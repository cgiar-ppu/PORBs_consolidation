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Prioritization and Coordination of Climate Action </v>
      </c>
      <c r="B5" s="2">
        <v>0</v>
      </c>
      <c r="C5" s="5">
        <v>0</v>
      </c>
      <c r="D5" s="2">
        <v>1</v>
      </c>
      <c r="E5" s="5">
        <v>30000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30000</v>
      </c>
      <c r="M5" s="5">
        <v>1057350</v>
      </c>
    </row>
    <row r="6" ht="20" customHeight="1">
      <c r="A6" s="2" t="str">
        <v xml:space="preserve">AOW02: Digital Advisories and Climate Risk Management  </v>
      </c>
      <c r="B6" s="2">
        <v>1</v>
      </c>
      <c r="C6" s="5">
        <v>150000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150000</v>
      </c>
      <c r="M6" s="5">
        <v>0</v>
      </c>
    </row>
    <row r="7" ht="20" customHeight="1">
      <c r="A7" s="2" t="str">
        <v xml:space="preserve">AOW03: Locally-led Adaptation  </v>
      </c>
      <c r="B7" s="2">
        <v>0</v>
      </c>
      <c r="C7" s="5">
        <v>0</v>
      </c>
      <c r="D7" s="2">
        <v>0</v>
      </c>
      <c r="E7" s="5">
        <v>0</v>
      </c>
      <c r="F7" s="2">
        <v>50</v>
      </c>
      <c r="G7" s="5">
        <v>50000</v>
      </c>
      <c r="H7" s="2">
        <v>0</v>
      </c>
      <c r="I7" s="5">
        <v>0</v>
      </c>
      <c r="J7" s="5">
        <v>0</v>
      </c>
      <c r="K7" s="5">
        <v>0</v>
      </c>
      <c r="L7" s="5">
        <v>50000</v>
      </c>
      <c r="M7" s="5">
        <v>1829999</v>
      </c>
    </row>
    <row r="8" ht="20" customHeight="1">
      <c r="A8" s="2" t="str">
        <v xml:space="preserve">AOW04: Low-emission Transitions  </v>
      </c>
      <c r="B8" s="2">
        <v>7</v>
      </c>
      <c r="C8" s="5">
        <v>175000</v>
      </c>
      <c r="D8" s="2">
        <v>0</v>
      </c>
      <c r="E8" s="5">
        <v>0</v>
      </c>
      <c r="F8" s="2">
        <v>0</v>
      </c>
      <c r="G8" s="5">
        <v>0</v>
      </c>
      <c r="H8" s="2">
        <v>1</v>
      </c>
      <c r="I8" s="5">
        <v>210000</v>
      </c>
      <c r="J8" s="5">
        <v>0</v>
      </c>
      <c r="K8" s="5">
        <v>0</v>
      </c>
      <c r="L8" s="5">
        <v>385000</v>
      </c>
      <c r="M8" s="5">
        <v>900590</v>
      </c>
    </row>
    <row r="9" ht="20" customHeight="1">
      <c r="A9" s="2" t="str">
        <v xml:space="preserve">AOW05: Finance and Policy for Scaling Solutions 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 xml:space="preserve">
        <v xml:space="preserve">Innovation Fund
</v>
      </c>
      <c r="C2" s="11" t="str" xml:space="preserve">
        <v xml:space="preserve">Costs for Climate Action Innovation Fund
</v>
      </c>
      <c r="D2" s="11">
        <v>0</v>
      </c>
    </row>
    <row r="3" ht="45" customHeight="1">
      <c r="A3" s="11" t="str">
        <v>AOW00</v>
      </c>
      <c r="B3" s="11" t="str">
        <v>Portfolio-level Financing Support</v>
      </c>
      <c r="C3" s="11" t="str">
        <v>Funding for Portfolio-level Finance support</v>
      </c>
      <c r="D3" s="11">
        <v>0</v>
      </c>
    </row>
    <row r="4" ht="45" customHeight="1" xml:space="preserve">
      <c r="A4" s="11" t="str">
        <v>AOW00</v>
      </c>
      <c r="B4" s="11" t="str" xml:space="preserve">
        <v xml:space="preserve">Program Director and Associated Costs 
</v>
      </c>
      <c r="C4" s="11" t="str" xml:space="preserve">
        <v xml:space="preserve">Global HR, Travel, Meetings, workshops, consultants, and other Miscellaneous Costs for the Program Director
</v>
      </c>
      <c r="D4" s="11">
        <v>0</v>
      </c>
    </row>
    <row r="5" ht="45" customHeight="1" xml:space="preserve">
      <c r="A5" s="11" t="str">
        <v>AOW00</v>
      </c>
      <c r="B5" s="11" t="str" xml:space="preserve">
        <v xml:space="preserve">AoW Leadership and PMU Costs
</v>
      </c>
      <c r="C5" s="11" t="str" xml:space="preserve">
        <v xml:space="preserve">Global HR, Travel, Meetings, workshops, and other Miscellaneous Costs for the AoW Leads and PMU staff
</v>
      </c>
      <c r="D5" s="11">
        <v>0</v>
      </c>
    </row>
    <row r="6" ht="45" customHeight="1" xml:space="preserve">
      <c r="A6" s="11" t="str">
        <v>AOW00</v>
      </c>
      <c r="B6" s="11" t="str" xml:space="preserve">
        <v xml:space="preserve">Consolidating CGIAR's climate offer
</v>
      </c>
      <c r="C6" s="11" t="str">
        <v>Funding for Climate Hub packages of deliverables to be allocated to relevant Centers on defining the evidence-base for CGIAR's climate activities. These funds will be allocated to AoW1 in Q1 2026.</v>
      </c>
      <c r="D6" s="11">
        <v>0</v>
      </c>
    </row>
    <row r="7" ht="45" customHeight="1" xml:space="preserve">
      <c r="A7" s="11" t="str">
        <v>AOW00</v>
      </c>
      <c r="B7" s="11" t="str" xml:space="preserve">
        <v xml:space="preserve">Program Director Discretionary Fund 
</v>
      </c>
      <c r="C7" s="11" t="str" xml:space="preserve">
        <v xml:space="preserve">Funds accessible to the Director for emerging opportunities, gaps, and other strategic interventions.
</v>
      </c>
      <c r="D7" s="11">
        <v>0</v>
      </c>
    </row>
    <row r="8" ht="45" customHeight="1" xml:space="preserve">
      <c r="A8" s="11" t="str">
        <v>AOW00</v>
      </c>
      <c r="B8" s="11" t="str" xml:space="preserve">
        <v xml:space="preserve">Gender Focal Point and targeted research
</v>
      </c>
      <c r="C8" s="11" t="str" xml:space="preserve">
        <v xml:space="preserve">Costs for Gender Focal Point and targeted Gender research activities.
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1.1.4. Synthesis products, advocacy and communication materials</v>
      </c>
      <c r="C3" s="11" t="str">
        <v>Number of synthesis products</v>
      </c>
      <c r="D3" s="11" t="str">
        <v>Number of knowledge products</v>
      </c>
      <c r="E3" s="11" t="str">
        <v>Global</v>
      </c>
      <c r="F3" s="11">
        <v>1</v>
      </c>
      <c r="G3" s="11">
        <v>30000</v>
      </c>
      <c r="H3" s="11">
        <f>SUM(G3:G3)</f>
      </c>
      <c r="I3" s="11" t="str">
        <v xml:space="preserve">CA108_CIMMYT: CIMMYT will deliver one synthesis product in collaboration with IFPRI, mainly on contribution of food system activities and climate change and climate mitigation solutions </v>
      </c>
    </row>
    <row r="4" ht="25" customHeight="1">
      <c r="B4" s="14" t="str">
        <v>HLO budget subtotal</v>
      </c>
      <c r="H4" s="15">
        <f>SUM(H3:H3)</f>
      </c>
    </row>
    <row r="5" ht="50" customHeight="1">
      <c r="A5" s="13" t="str">
        <v>AOW02</v>
      </c>
      <c r="B5" s="11" t="str">
        <v>2.1.1 &amp; 2.2.1 Climate information products and services</v>
      </c>
      <c r="C5" s="11" t="str">
        <v>Number of human-centered climate information products/services improved, co-designed, or co-developed</v>
      </c>
      <c r="D5" s="11" t="str">
        <v>Number of innovations (innovation development)</v>
      </c>
      <c r="E5" s="11" t="str">
        <v>Country: Senegal, Mali, Ethiopia, India, Bangladesh, Nigeria, Zambia, Philippines, Kenya, The Socialist Republic of Viet Nam</v>
      </c>
      <c r="F5" s="11">
        <v>1</v>
      </c>
      <c r="G5" s="11">
        <v>150000</v>
      </c>
      <c r="H5" s="11">
        <f>SUM(G5:G5)</f>
      </c>
      <c r="I5" s="11" t="str">
        <v>CA26_CIMMYT: Forecast translation, tailoring, and advisory dissemination—strengthen and scale ongoing systems for translating, tailoring, and bundling AI-enhanced seasonal forecasts into actionable agro-climate advisories. The deliverable institutionalize</v>
      </c>
    </row>
    <row r="6" ht="25" customHeight="1">
      <c r="B6" s="15" t="str">
        <v>HLO budget subtotal</v>
      </c>
      <c r="H6" s="15">
        <f>SUM(H5:H5)</f>
      </c>
    </row>
    <row r="7" ht="50" customHeight="1">
      <c r="A7" s="13" t="str">
        <v>AOW03</v>
      </c>
      <c r="B7" s="11" t="str">
        <v>3.1.2. Methodologies for implementing locally-led adaptation</v>
      </c>
      <c r="C7" s="11" t="str">
        <v>Number of people trained on  locally led adaptation methodologies/tools</v>
      </c>
      <c r="D7" s="11" t="str">
        <v>Number of people trained (capacity sharing for development)</v>
      </c>
      <c r="E7" s="11" t="str">
        <v>Global</v>
      </c>
      <c r="F7" s="11">
        <v>50</v>
      </c>
      <c r="G7" s="11">
        <v>50000</v>
      </c>
      <c r="H7" s="11">
        <f>SUM(G7:G7)</f>
      </c>
      <c r="I7" s="11" t="str">
        <v>CA50_CIMMYT-Educational tools based on use cases of LL</v>
      </c>
    </row>
    <row r="8" ht="25" customHeight="1">
      <c r="B8" s="15" t="str">
        <v>HLO budget subtotal</v>
      </c>
      <c r="H8" s="15">
        <f>SUM(H7:H7)</f>
      </c>
    </row>
    <row r="9" ht="50" customHeight="1">
      <c r="A9" s="13" t="str">
        <v>AOW04</v>
      </c>
      <c r="B9" s="11" t="str">
        <v>4.1.1 &amp; 4.2.1 Evidence and partnerships to inform low-emission development</v>
      </c>
      <c r="C9" s="11" t="str">
        <v>Number of private sector actors engaged in co-development of low-emission strategies across production systems with supporting policies/incentives</v>
      </c>
      <c r="D9" s="11" t="str">
        <v>Number of partners/actors engaged</v>
      </c>
      <c r="E9" s="11" t="str">
        <v>Country: Ghana, Kenya, Colombia, Nigeria, The Socialist Republic of Viet Nam, Philippines</v>
      </c>
      <c r="F9" s="11">
        <v>1</v>
      </c>
      <c r="G9" s="11">
        <v>210000</v>
      </c>
      <c r="H9" s="11">
        <f>SUM(G9:G9)</f>
      </c>
      <c r="I9" s="11" t="str">
        <v>CA-49: ISO-compliant LCA framework to compare C footprint of green vs. conventional ammonia production systems. Marginal Abatement Cost Curve (MACC) comparing the mitigation cost-effectiveness  of various SSNM practices</v>
      </c>
    </row>
    <row r="10" ht="50" customHeight="1">
      <c r="A10" s="11" t="str">
        <v>AOW04</v>
      </c>
      <c r="B10" s="11" t="str">
        <v>4.1.3 &amp; 4.2.3 &amp; 4.3.2 Evidence and partnerships to inform low-emission food systems</v>
      </c>
      <c r="C10" s="11" t="str">
        <v>Number of low-emission food strategies co-developed with partners</v>
      </c>
      <c r="D10" s="11" t="str">
        <v>Number of innovations (innovation development)</v>
      </c>
      <c r="E10" s="11" t="str">
        <v>Country: Brazil, India, Pakistan, China</v>
      </c>
      <c r="F10" s="11">
        <v>5</v>
      </c>
      <c r="G10" s="11">
        <v>50000</v>
      </c>
      <c r="H10" s="11">
        <f>SUM(G10:G10)</f>
      </c>
      <c r="I10" s="11" t="str">
        <v xml:space="preserve">CA88_CIMMYT: LCA framework for regenerative agriculture </v>
      </c>
    </row>
    <row r="11" ht="50" customHeight="1">
      <c r="A11" s="11" t="str">
        <v>AOW04</v>
      </c>
      <c r="B11" s="11" t="str">
        <v>4.2.4 &amp; 4.3.3 &amp; 4.4.1 Tools and approaches for monitoring, reporting and verification (MRV)</v>
      </c>
      <c r="C11" s="11" t="str">
        <v>Number of MRV tools/approaches for low-emission farming developed</v>
      </c>
      <c r="D11" s="11" t="str">
        <v>Number of innovations (innovation development)</v>
      </c>
      <c r="E11" s="11" t="str">
        <v>Country: Colombia, Ghana, India, Zambia, Egypt, Nigeria, Kenya</v>
      </c>
      <c r="F11" s="11">
        <v>2</v>
      </c>
      <c r="G11" s="11">
        <v>125000</v>
      </c>
      <c r="H11" s="11">
        <f>SUM(G11:G11)</f>
      </c>
      <c r="I11" s="11" t="str">
        <v>CA117_CIMMYT: N₂O MRV methodologies and capacity for tracking fertilizer-induced emissions</v>
      </c>
    </row>
    <row r="12" ht="25" customHeight="1">
      <c r="B12" s="15" t="str">
        <v>HLO budget subtotal</v>
      </c>
      <c r="H12" s="15">
        <f>SUM(H9:H11)</f>
      </c>
    </row>
  </sheetData>
  <mergeCells count="13">
    <mergeCell ref="A1:A2"/>
    <mergeCell ref="B1:B2"/>
    <mergeCell ref="C1:G1"/>
    <mergeCell ref="H1:H2"/>
    <mergeCell ref="I1:I2"/>
    <mergeCell ref="B4:G4"/>
    <mergeCell ref="A3:A4"/>
    <mergeCell ref="B6:G6"/>
    <mergeCell ref="A5:A6"/>
    <mergeCell ref="B8:G8"/>
    <mergeCell ref="A7:A8"/>
    <mergeCell ref="B12:G12"/>
    <mergeCell ref="A9:A12"/>
  </mergeCells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W0500-Verify global potential of biologic. Nitrific. inhib</v>
      </c>
      <c r="B2" s="19" t="str">
        <v>AOW04</v>
      </c>
      <c r="C2" s="18" t="str">
        <v>4.2.4 &amp; 4.3.3 &amp; 4.4.1 Tools and approaches for monitoring, reporting and verification (MRV)</v>
      </c>
      <c r="D2" s="19">
        <v>900590</v>
      </c>
      <c r="E2" s="19" t="str">
        <f>=SUM(D2:D3)</f>
        <v>0</v>
      </c>
      <c r="F2" s="19" t="str">
        <v>None</v>
      </c>
    </row>
    <row r="3" ht="30" customHeight="1">
      <c r="A3" s="18" t="str">
        <v>W0500-Verify global potential of biologic. Nitrific. inhib</v>
      </c>
      <c r="B3" s="19" t="str">
        <v>AOW00</v>
      </c>
      <c r="C3" s="18" t="str">
        <v>New finance for just climate action and transitions</v>
      </c>
      <c r="D3" s="19">
        <v>0</v>
      </c>
    </row>
    <row r="4" ht="30" customHeight="1">
      <c r="A4" s="18" t="str">
        <v>R0223-Mining useful alleles for climate change adaptation</v>
      </c>
      <c r="B4" s="19" t="str">
        <v>AOW04</v>
      </c>
      <c r="C4" s="18" t="str">
        <v>4.2.4 &amp; 4.3.3 &amp; 4.4.1 Tools and approaches for monitoring, reporting and verification (MRV)</v>
      </c>
      <c r="D4" s="19">
        <v>0</v>
      </c>
      <c r="E4" s="19" t="str">
        <f>=SUM(D4:D6)</f>
        <v>0</v>
      </c>
    </row>
    <row r="5" ht="30" customHeight="1">
      <c r="A5" s="18" t="str">
        <v>R0223-Mining useful alleles for climate change adaptation</v>
      </c>
      <c r="B5" s="19" t="str">
        <v>AOW00</v>
      </c>
      <c r="C5" s="18" t="str">
        <v>New finance for just climate action and transitions</v>
      </c>
      <c r="D5" s="19">
        <v>0</v>
      </c>
    </row>
    <row r="6" ht="30" customHeight="1">
      <c r="A6" s="18" t="str">
        <v>R0223-Mining useful alleles for climate change adaptation</v>
      </c>
      <c r="B6" s="19" t="str">
        <v>AOW03</v>
      </c>
      <c r="C6" s="18" t="str">
        <v>3.1.1. Institutional innovations and technical practices</v>
      </c>
      <c r="D6" s="19">
        <v>1252257</v>
      </c>
      <c r="F6" s="19" t="str">
        <v>None</v>
      </c>
    </row>
    <row r="7" ht="30" customHeight="1">
      <c r="A7" s="18" t="str">
        <v>D0001-SGP-AVISA Accelerated varietal improvement and seed delivery of legumes and cereals in Africa</v>
      </c>
      <c r="B7" s="19" t="str">
        <v>AOW04</v>
      </c>
      <c r="C7" s="18" t="str">
        <v>4.2.4 &amp; 4.3.3 &amp; 4.4.1 Tools and approaches for monitoring, reporting and verification (MRV)</v>
      </c>
      <c r="D7" s="19">
        <v>0</v>
      </c>
      <c r="E7" s="19" t="str">
        <f>=SUM(D7:D9)</f>
        <v>0</v>
      </c>
    </row>
    <row r="8" ht="30" customHeight="1">
      <c r="A8" s="18" t="str">
        <v>D0001-SGP-AVISA Accelerated varietal improvement and seed delivery of legumes and cereals in Africa</v>
      </c>
      <c r="B8" s="19" t="str">
        <v>AOW00</v>
      </c>
      <c r="C8" s="18" t="str">
        <v>New finance for just climate action and transitions</v>
      </c>
      <c r="D8" s="19">
        <v>0</v>
      </c>
    </row>
    <row r="9" ht="30" customHeight="1">
      <c r="A9" s="18" t="str">
        <v>D0001-SGP-AVISA Accelerated varietal improvement and seed delivery of legumes and cereals in Africa</v>
      </c>
      <c r="B9" s="19" t="str">
        <v>AOW03</v>
      </c>
      <c r="C9" s="18" t="str">
        <v>3.1.1. Institutional innovations and technical practices</v>
      </c>
      <c r="D9" s="19">
        <v>0</v>
      </c>
    </row>
    <row r="10" ht="30" customHeight="1">
      <c r="A10" s="18" t="str">
        <v>V0230 - Potential climate change effects on food security, nutrition, and health of the Mexican population.</v>
      </c>
      <c r="B10" s="19" t="str">
        <v>AOW00</v>
      </c>
      <c r="C10" s="18" t="str">
        <v>New finance for just climate action and transitions</v>
      </c>
      <c r="D10" s="19">
        <v>0</v>
      </c>
      <c r="E10" s="19" t="str">
        <f>=SUM(D10:D11)</f>
        <v>0</v>
      </c>
    </row>
    <row r="11" ht="30" customHeight="1">
      <c r="A11" s="18" t="str">
        <v>V0230 - Potential climate change effects on food security, nutrition, and health of the Mexican population.</v>
      </c>
      <c r="B11" s="19" t="str">
        <v>AOW01</v>
      </c>
      <c r="C11" s="18" t="str">
        <v>1.1.1. &amp; 1.2.1 &amp; 1.3.1 Global and regional partnerships</v>
      </c>
      <c r="D11" s="19">
        <v>1057350</v>
      </c>
      <c r="F11" s="19" t="str">
        <v>None</v>
      </c>
    </row>
    <row r="12" ht="30" customHeight="1">
      <c r="A12" s="18" t="str">
        <v>R0230-Mining useful alleles for climate change adaptation</v>
      </c>
      <c r="B12" s="19" t="str">
        <v>AOW00</v>
      </c>
      <c r="C12" s="18" t="str">
        <v>New finance for just climate action and transitions</v>
      </c>
      <c r="D12" s="19">
        <v>0</v>
      </c>
      <c r="E12" s="19" t="str">
        <f>=SUM(D12:D14)</f>
        <v>0</v>
      </c>
    </row>
    <row r="13" ht="30" customHeight="1">
      <c r="A13" s="18" t="str">
        <v>R0230-Mining useful alleles for climate change adaptation</v>
      </c>
      <c r="B13" s="19" t="str">
        <v>AOW01</v>
      </c>
      <c r="C13" s="18" t="str">
        <v>1.1.1. &amp; 1.2.1 &amp; 1.3.1 Global and regional partnerships</v>
      </c>
      <c r="D13" s="19">
        <v>0</v>
      </c>
    </row>
    <row r="14" ht="30" customHeight="1">
      <c r="A14" s="18" t="str">
        <v>R0230-Mining useful alleles for climate change adaptation</v>
      </c>
      <c r="B14" s="19" t="str">
        <v>AOW03</v>
      </c>
      <c r="C14" s="18" t="str">
        <v>3.1. Local institutions scale climate solutions and adaptation pathways</v>
      </c>
      <c r="D14" s="19">
        <v>425422</v>
      </c>
      <c r="F14" s="19" t="str">
        <v>None</v>
      </c>
    </row>
    <row r="15" ht="30" customHeight="1">
      <c r="A15" s="18" t="str">
        <v>V0165-ACIAR-ICCCAD</v>
      </c>
      <c r="B15" s="19" t="str">
        <v>AOW00</v>
      </c>
      <c r="C15" s="18" t="str">
        <v>New finance for just climate action and transitions</v>
      </c>
      <c r="D15" s="19">
        <v>0</v>
      </c>
      <c r="E15" s="19" t="str">
        <f>=SUM(D15:D16)</f>
        <v>0</v>
      </c>
    </row>
    <row r="16" ht="30" customHeight="1">
      <c r="A16" s="18" t="str">
        <v>V0165-ACIAR-ICCCAD</v>
      </c>
      <c r="B16" s="19" t="str">
        <v>AOW03</v>
      </c>
      <c r="C16" s="18" t="str">
        <v>3.1.1. Institutional innovations and technical practices</v>
      </c>
      <c r="D16" s="19">
        <v>152320</v>
      </c>
      <c r="F16" s="19" t="str">
        <v>None</v>
      </c>
    </row>
    <row r="17" ht="30" customHeight="1">
      <c r="A17" s="3" t="str">
        <v>W3/Bilateral projects subtotal</v>
      </c>
      <c r="E17" s="3">
        <f>SUM(E2:E16)</f>
      </c>
    </row>
  </sheetData>
  <mergeCells count="13">
    <mergeCell ref="A2:A3"/>
    <mergeCell ref="A4:A6"/>
    <mergeCell ref="A7:A9"/>
    <mergeCell ref="A10:A11"/>
    <mergeCell ref="A12:A14"/>
    <mergeCell ref="A15:A16"/>
    <mergeCell ref="E2:E3"/>
    <mergeCell ref="E4:E6"/>
    <mergeCell ref="E7:E9"/>
    <mergeCell ref="E10:E11"/>
    <mergeCell ref="E12:E14"/>
    <mergeCell ref="E15:E16"/>
    <mergeCell ref="A17:D17"/>
  </mergeCells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150000</v>
      </c>
      <c r="C3" s="20">
        <v>26087</v>
      </c>
      <c r="D3" s="20">
        <v>24308</v>
      </c>
      <c r="E3" s="20">
        <v>2505</v>
      </c>
      <c r="F3" s="20">
        <v>97092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110000</v>
      </c>
      <c r="C4" s="20">
        <v>3913</v>
      </c>
      <c r="D4" s="20">
        <v>125692</v>
      </c>
      <c r="E4" s="20">
        <v>47495</v>
      </c>
      <c r="F4" s="20">
        <v>287908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