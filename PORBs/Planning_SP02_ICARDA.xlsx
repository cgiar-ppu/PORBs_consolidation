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Accelerating AI-Enabled Farm Advisory at Scale.</v>
      </c>
      <c r="B5" s="2">
        <v>2</v>
      </c>
      <c r="C5" s="5">
        <v>30000</v>
      </c>
      <c r="D5" s="2">
        <v>3</v>
      </c>
      <c r="E5" s="5">
        <v>93170.16</v>
      </c>
      <c r="F5" s="2">
        <v>0</v>
      </c>
      <c r="G5" s="5">
        <v>0</v>
      </c>
      <c r="H5" s="2">
        <v>0</v>
      </c>
      <c r="I5" s="5">
        <v>0</v>
      </c>
      <c r="J5" s="5">
        <v>20000</v>
      </c>
      <c r="K5" s="5">
        <v>0</v>
      </c>
      <c r="L5" s="5">
        <v>143170</v>
      </c>
      <c r="M5" s="5">
        <v>1668190</v>
      </c>
    </row>
    <row r="6" ht="20" customHeight="1">
      <c r="A6" s="2" t="str">
        <v>AOW02: Enabling Preparedness and Rapid Response to Emerging Shocks</v>
      </c>
      <c r="B6" s="2">
        <v>1</v>
      </c>
      <c r="C6" s="5">
        <v>20000</v>
      </c>
      <c r="D6" s="2">
        <v>3</v>
      </c>
      <c r="E6" s="5">
        <v>87758</v>
      </c>
      <c r="F6" s="2">
        <v>15</v>
      </c>
      <c r="G6" s="5">
        <v>6000</v>
      </c>
      <c r="H6" s="2">
        <v>0</v>
      </c>
      <c r="I6" s="5">
        <v>0</v>
      </c>
      <c r="J6" s="5">
        <v>0</v>
      </c>
      <c r="K6" s="5">
        <v>0</v>
      </c>
      <c r="L6" s="5">
        <v>113758</v>
      </c>
      <c r="M6" s="5">
        <v>667276</v>
      </c>
    </row>
    <row r="7" ht="20" customHeight="1">
      <c r="A7" s="2" t="str">
        <v>AOW03: Delivering Integrated Solutions to Systemic Farm-Level Binding Constraints</v>
      </c>
      <c r="B7" s="2">
        <v>5</v>
      </c>
      <c r="C7" s="5">
        <v>165589.98</v>
      </c>
      <c r="D7" s="2">
        <v>4</v>
      </c>
      <c r="E7" s="5">
        <v>186959.53</v>
      </c>
      <c r="F7" s="2">
        <v>0</v>
      </c>
      <c r="G7" s="5">
        <v>0</v>
      </c>
      <c r="H7" s="2">
        <v>0</v>
      </c>
      <c r="I7" s="5">
        <v>0</v>
      </c>
      <c r="J7" s="5">
        <v>27000</v>
      </c>
      <c r="K7" s="5">
        <v>0</v>
      </c>
      <c r="L7" s="5">
        <v>379550</v>
      </c>
      <c r="M7" s="5">
        <v>1393202</v>
      </c>
    </row>
    <row r="8" ht="20" customHeight="1">
      <c r="A8" s="2" t="str">
        <v>AOW04: Incubating Innovation in Sustainable Farming</v>
      </c>
      <c r="B8" s="2">
        <v>0</v>
      </c>
      <c r="C8" s="5">
        <v>0</v>
      </c>
      <c r="D8" s="2">
        <v>0</v>
      </c>
      <c r="E8" s="5">
        <v>0</v>
      </c>
      <c r="F8" s="2">
        <v>0</v>
      </c>
      <c r="G8" s="5">
        <v>0</v>
      </c>
      <c r="H8" s="2">
        <v>0</v>
      </c>
      <c r="I8" s="5">
        <v>0</v>
      </c>
      <c r="J8" s="5">
        <v>0</v>
      </c>
      <c r="K8" s="5">
        <v>0</v>
      </c>
      <c r="L8" s="5">
        <v>0</v>
      </c>
      <c r="M8" s="5">
        <v>15426</v>
      </c>
    </row>
    <row r="9" ht="20" customHeight="1">
      <c r="A9" s="2" t="str">
        <v>AOW05: Accelerating Impact</v>
      </c>
      <c r="B9" s="2">
        <v>6</v>
      </c>
      <c r="C9" s="5">
        <v>89093.45</v>
      </c>
      <c r="D9" s="2">
        <v>2</v>
      </c>
      <c r="E9" s="5">
        <v>27485.6</v>
      </c>
      <c r="F9" s="2">
        <v>0</v>
      </c>
      <c r="G9" s="5">
        <v>0</v>
      </c>
      <c r="H9" s="2">
        <v>15</v>
      </c>
      <c r="I9" s="5">
        <v>25000</v>
      </c>
      <c r="J9" s="5">
        <v>30000</v>
      </c>
      <c r="K9" s="5">
        <v>0</v>
      </c>
      <c r="L9" s="5">
        <v>171579</v>
      </c>
      <c r="M9" s="5">
        <v>1668190</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10"/>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Program Director Discretionary Fund</v>
      </c>
      <c r="C2" s="11" t="str">
        <v>Funding allocation is accessible to the Program Director to address emerging opportunities and gaps, and strategic Program Level issues</v>
      </c>
      <c r="D2" s="11">
        <v>0</v>
      </c>
    </row>
    <row r="3" ht="45" customHeight="1">
      <c r="A3" s="11" t="str">
        <v>AOW00</v>
      </c>
      <c r="B3" s="11" t="str">
        <v xml:space="preserve">Program Level Communication </v>
      </c>
      <c r="C3" s="11" t="str">
        <v>Implementation of the 2026 Communication activities informed by the SFP Communications Strategy</v>
      </c>
      <c r="D3" s="11">
        <v>0</v>
      </c>
    </row>
    <row r="4" ht="45" customHeight="1">
      <c r="A4" s="11" t="str">
        <v>AOW00</v>
      </c>
      <c r="B4" s="11" t="str">
        <v xml:space="preserve">Other PMU Operations </v>
      </c>
      <c r="C4" s="11" t="str">
        <v>Travel, office supplies, and services, charge back, etc., for the PMU team</v>
      </c>
      <c r="D4" s="11">
        <v>0</v>
      </c>
    </row>
    <row r="5" ht="45" customHeight="1">
      <c r="A5" s="11" t="str">
        <v>AOW00</v>
      </c>
      <c r="B5" s="11" t="str">
        <v>Program Director and Associated Costs</v>
      </c>
      <c r="C5" s="11" t="str">
        <v>Program Director FTE, general administrative support, meetings and workshops, travel, smaller consultancies, and miscellaneous operating costs.</v>
      </c>
      <c r="D5" s="11">
        <v>0</v>
      </c>
    </row>
    <row r="6" ht="45" customHeight="1">
      <c r="A6" s="11" t="str">
        <v>AOW00</v>
      </c>
      <c r="B6" s="11" t="str">
        <v xml:space="preserve">PMU Team </v>
      </c>
      <c r="C6" s="11" t="str">
        <v>FTE for the Program Coordinator and MELIA Focal Point, and allowing for technical support for Communication, Finance, and Administration Functions.</v>
      </c>
      <c r="D6" s="11">
        <v>0</v>
      </c>
    </row>
    <row r="7" ht="45" customHeight="1">
      <c r="A7" s="11" t="str">
        <v>AOW00</v>
      </c>
      <c r="B7" s="11" t="str">
        <v xml:space="preserve">Area of Work (AoW) Leaders </v>
      </c>
      <c r="C7" s="11" t="str">
        <v xml:space="preserve">5 AoW Leads FTEs as guided by the SO </v>
      </c>
      <c r="D7" s="11">
        <v>0</v>
      </c>
    </row>
    <row r="8" ht="45" customHeight="1">
      <c r="A8" s="11" t="str">
        <v>AOW00</v>
      </c>
      <c r="B8" s="11" t="str">
        <v>Program Level MELIA Activities</v>
      </c>
      <c r="C8" s="11" t="str">
        <v>Implementation of the 2026 Program Level MELIA activities, informed by the overall Program MELIA Plan</v>
      </c>
      <c r="D8" s="11">
        <v>0</v>
      </c>
    </row>
    <row r="9" ht="45" customHeight="1">
      <c r="A9" s="11" t="str">
        <v>AOW00</v>
      </c>
      <c r="B9" s="11" t="str">
        <v>CGIAR Program Finance Support</v>
      </c>
      <c r="C9" s="11" t="str">
        <v>Shared Portfolio-Level Finance Support Services</v>
      </c>
      <c r="D9" s="11">
        <v>0</v>
      </c>
    </row>
    <row r="10" ht="45" customHeight="1">
      <c r="A10" s="11" t="str">
        <v>AOW00</v>
      </c>
      <c r="B10" s="11" t="str">
        <v>Program Leadership Meetings</v>
      </c>
      <c r="C10" s="11" t="str">
        <v>In-person planning, oversight, and progress review leadership meetings, including an annual pause and reflect forum.</v>
      </c>
      <c r="D10" s="11">
        <v>0</v>
      </c>
    </row>
  </sheetData>
  <mergeCells count="1">
    <mergeCell ref="A2:A10"/>
  </mergeCells>
  <ignoredErrors>
    <ignoredError numberStoredAsText="1" sqref="A1:E10"/>
  </ignoredErrors>
</worksheet>
</file>

<file path=xl/worksheets/sheet3.xml><?xml version="1.0" encoding="utf-8"?>
<worksheet xmlns="http://schemas.openxmlformats.org/spreadsheetml/2006/main" xmlns:r="http://schemas.openxmlformats.org/officeDocument/2006/relationships">
  <dimension ref="A1:I2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 xml:space="preserve"> 1.1: Agronomic and farm management scientific data and analytics  </v>
      </c>
      <c r="C3" s="11" t="str">
        <v>Critical Capability: At least two well-managed agronomic data sets will be made available to support the calibration and validation of the AgWise product. In addition, one well-calibrated model (cropping-system model—or another model as needed) will be provided for use by the AgWise team (ABC and IITA)</v>
      </c>
      <c r="D3" s="11" t="str">
        <v>Number of knowledge products</v>
      </c>
      <c r="E3" s="11" t="str">
        <v>Country: Morocco, India, Egypt</v>
      </c>
      <c r="F3" s="11">
        <v>1</v>
      </c>
      <c r="G3" s="11">
        <v>55663.95</v>
      </c>
      <c r="H3" s="11">
        <f>SUM(G3:G3)</f>
      </c>
      <c r="I3" s="11" t="str">
        <v>Critical capability for ICARDA to spend for AoW1 Deliverable</v>
      </c>
    </row>
    <row r="4" ht="50" customHeight="1">
      <c r="A4" s="11" t="str">
        <v>AOW01</v>
      </c>
      <c r="B4" s="11" t="str">
        <v xml:space="preserve">1.3: Farmer utilization and adoption of AI-enabled advisory services </v>
      </c>
      <c r="C4" s="11" t="str">
        <v xml:space="preserve">Agro-Digital Bundled Solutions for Water-and Climate-Smart Farm Management: Agro-digital bundles that integrate water-smart agronomy, precision nutrient management, and real-time digital advisories developed and piloted using low-cost </v>
      </c>
      <c r="D4" s="11" t="str">
        <v>Number of innovations (innovation development)</v>
      </c>
      <c r="E4" s="11" t="str">
        <v>Country: Ethiopia, India, Egypt, Morocco</v>
      </c>
      <c r="F4" s="11">
        <v>2</v>
      </c>
      <c r="G4" s="11">
        <v>30000</v>
      </c>
      <c r="H4" s="11">
        <f>SUM(G4:G5)</f>
      </c>
      <c r="I4" s="11" t="str">
        <v xml:space="preserve">As per the description </v>
      </c>
    </row>
    <row r="5" ht="50" customHeight="1">
      <c r="A5" s="11" t="str">
        <v>AOW01</v>
      </c>
      <c r="C5" s="11" t="str">
        <v xml:space="preserve">Agro-Digital Bundled Solutions for Water-and Climate-Smart Farm Management: Agro-digital bundles that integrate water-smart agronomy, precision nutrient management, and real-time digital advisories developed and piloted using low-cost </v>
      </c>
      <c r="D5" s="11" t="str">
        <v>Number of knowledge products</v>
      </c>
      <c r="E5" s="11" t="str">
        <v>Country: Egypt, India, Morocco, Ethiopia</v>
      </c>
      <c r="F5" s="11">
        <v>2</v>
      </c>
      <c r="G5" s="11">
        <v>37506.21</v>
      </c>
      <c r="I5" s="11" t="str">
        <v xml:space="preserve">as per the description </v>
      </c>
    </row>
    <row r="6" ht="25" customHeight="1">
      <c r="B6" s="14" t="str">
        <v>HLO budget subtotal</v>
      </c>
      <c r="H6" s="15">
        <f>SUM(H3:H5)</f>
      </c>
    </row>
    <row r="7" ht="50" customHeight="1">
      <c r="A7" s="13" t="str">
        <v>AOW02</v>
      </c>
      <c r="B7" s="11" t="str">
        <v>2.2: Strategies for response to water related shocks</v>
      </c>
      <c r="C7" s="11" t="str">
        <v>Training material and training activities to enhance farmer level response.</v>
      </c>
      <c r="D7" s="11" t="str">
        <v>Number of people trained (capacity sharing for development)</v>
      </c>
      <c r="E7" s="11" t="str">
        <v>Country: Lebanon, Ethiopia</v>
      </c>
      <c r="F7" s="11">
        <v>15</v>
      </c>
      <c r="G7" s="11">
        <v>6000</v>
      </c>
      <c r="H7" s="11">
        <f>SUM(G7:G11)</f>
      </c>
      <c r="I7" s="11" t="str">
        <v>This for training</v>
      </c>
    </row>
    <row r="8" ht="50" customHeight="1">
      <c r="A8" s="11" t="str">
        <v>AOW02</v>
      </c>
      <c r="C8" s="11" t="str">
        <v>Laboratory services and genotyping for pests (banana aphid, cassava mealybugs, and cassava green mite) and disease diagnostics of wheat, maize, cassava, banana, yam, potato, and sweet potato, and mycotoxin testing (wheat, maize, rice, forages and legumes) with the aim to enhance forecasting models such as ILCYM</v>
      </c>
      <c r="D8" s="11" t="str">
        <v>Number of knowledge products</v>
      </c>
      <c r="E8" s="11" t="str">
        <v>Country: Lebanon</v>
      </c>
      <c r="F8" s="11">
        <v>1</v>
      </c>
      <c r="G8" s="11">
        <v>33991.24</v>
      </c>
      <c r="I8" s="11" t="str">
        <v xml:space="preserve">as per the description </v>
      </c>
    </row>
    <row r="9" ht="50" customHeight="1">
      <c r="A9" s="11" t="str">
        <v>AOW02</v>
      </c>
      <c r="C9" s="11" t="str">
        <v>Data-driven platforms, dashboards, and modeling tools that support enhanced farmer level response towards water related shocks (e.g. droughts, floods), pests and disease outbreaks (e.g. BBTV, BXW, and FoC TR4 )</v>
      </c>
      <c r="D9" s="11" t="str">
        <v>Number of innovations (innovation development)</v>
      </c>
      <c r="E9" s="11" t="str">
        <v>Country: Nepal, Ethiopia, Morocco, India, Malawi, Ghana, Egypt, Cameroon, Tanzania, United Republic, Nigeria, Uganda</v>
      </c>
      <c r="F9" s="11">
        <v>1</v>
      </c>
      <c r="G9" s="11">
        <v>20000</v>
      </c>
      <c r="I9" s="11" t="str">
        <v xml:space="preserve">as per the description </v>
      </c>
    </row>
    <row r="10" ht="50" customHeight="1" xml:space="preserve">
      <c r="A10" s="11" t="str">
        <v>AOW02</v>
      </c>
      <c r="C10" s="11" t="str" xml:space="preserve">
        <v xml:space="preserve">Data-driven platforms, dashboards, and modeling tools that support enhanced farmer level response towards water related shocks (e.g. droughts, floods), pests and disease outbreaks (e.g. BBTV, BXW, and FoC TR4)
</v>
      </c>
      <c r="D10" s="11" t="str">
        <v>Number of knowledge products</v>
      </c>
      <c r="E10" s="11" t="str">
        <v>Country: Tanzania, United Republic, Cameroon, Ghana, Uganda, Nigeria, Nepal, Ethiopia, Malawi, Egypt, India, Morocco</v>
      </c>
      <c r="F10" s="11">
        <v>1</v>
      </c>
      <c r="G10" s="11">
        <v>19775.52</v>
      </c>
      <c r="I10" s="11" t="str">
        <v xml:space="preserve">as per the description </v>
      </c>
    </row>
    <row r="11" ht="50" customHeight="1">
      <c r="A11" s="11" t="str">
        <v>AOW02</v>
      </c>
      <c r="C11" s="11" t="str">
        <v>Knowledge products that enhance farmer level response towards water related shocks (e.g. droughts, floods), pests and disease outbreaks (e.g. BBTV, BXW, and FoC TR4, legume viral disease, potato purple top complex disease)</v>
      </c>
      <c r="D11" s="11" t="str">
        <v>Number of knowledge products</v>
      </c>
      <c r="E11" s="11" t="str">
        <v>Country: Zambia, Peru, Ethiopia, Lebanon, Tanzania, United Republic, Nigeria, Cameroon, Uganda</v>
      </c>
      <c r="F11" s="11">
        <v>1</v>
      </c>
      <c r="G11" s="11">
        <v>33991.24</v>
      </c>
      <c r="I11" s="11" t="str">
        <v>as per the description</v>
      </c>
    </row>
    <row r="12" ht="25" customHeight="1">
      <c r="B12" s="15" t="str">
        <v>HLO budget subtotal</v>
      </c>
      <c r="H12" s="15">
        <f>SUM(H7:H11)</f>
      </c>
    </row>
    <row r="13" ht="50" customHeight="1">
      <c r="A13" s="13" t="str">
        <v>AOW03</v>
      </c>
      <c r="B13" s="11" t="str">
        <v xml:space="preserve">3.2. Validated, farm-level management solutions </v>
      </c>
      <c r="C13" s="11" t="str">
        <v>Critical capabilities that enable R&amp;D to design, test, and refine sustainable farming innovations targeting priority farm-level constraints</v>
      </c>
      <c r="D13" s="11" t="str">
        <v>Number of knowledge products</v>
      </c>
      <c r="E13" s="11" t="str">
        <v>Country: Egypt, Morocco, Sri Lanka, Philippines, India, Malawi, Ethiopia, Nigeria, Cameroon, Côte d'Ivoire, Ghana, Kenya</v>
      </c>
      <c r="F13" s="11">
        <v>1</v>
      </c>
      <c r="G13" s="11">
        <v>106680.25</v>
      </c>
      <c r="H13" s="11">
        <f>SUM(G13:G16)</f>
      </c>
      <c r="I13" s="11" t="str">
        <v>as per the description</v>
      </c>
    </row>
    <row r="14" ht="50" customHeight="1">
      <c r="A14" s="11" t="str">
        <v>AOW03</v>
      </c>
      <c r="C14" s="11" t="str">
        <v>KPI 3: Validated agronomic solution packages that effectively address soil health-related limitations and demonstrate quantifiable improvements in agronomic gain</v>
      </c>
      <c r="D14" s="11" t="str">
        <v>Number of knowledge products</v>
      </c>
      <c r="E14" s="11" t="str">
        <v>Country: Ghana, Kenya, Malawi, Egypt, Morocco, Ethiopia, India</v>
      </c>
      <c r="F14" s="11">
        <v>2</v>
      </c>
      <c r="G14" s="11">
        <v>43685.77</v>
      </c>
      <c r="I14" s="11" t="str">
        <v xml:space="preserve">as per the description </v>
      </c>
    </row>
    <row r="15" ht="50" customHeight="1">
      <c r="A15" s="11" t="str">
        <v>AOW03</v>
      </c>
      <c r="C15" s="11" t="str">
        <v>KPI 5: Integrated, farm-level intervention packages that tackle clusters of interacting farm-level constraints to optimize agronomic outcomes</v>
      </c>
      <c r="D15" s="11" t="str">
        <v>Number of knowledge products</v>
      </c>
      <c r="E15" s="11" t="str">
        <v>Country: India, Tanzania, United Republic, Morocco, Madagascar, Ghana, Malawi, Kenya, Ethiopia, The Socialist Republic of Viet Nam</v>
      </c>
      <c r="F15" s="11">
        <v>1</v>
      </c>
      <c r="G15" s="11">
        <v>36593.51</v>
      </c>
      <c r="I15" s="11" t="str">
        <v xml:space="preserve">as per the description </v>
      </c>
    </row>
    <row r="16" ht="50" customHeight="1">
      <c r="A16" s="11" t="str">
        <v>AOW03</v>
      </c>
      <c r="C16" s="11" t="str">
        <v>KPI 5: Integrated, farm-level intervention packages that tackle clusters of interacting farm-level constraints to optimize agronomic outcomes</v>
      </c>
      <c r="D16" s="11" t="str">
        <v>Number of innovations (innovation development)</v>
      </c>
      <c r="E16" s="11" t="str">
        <v>Country: Ghana, Bangladesh, Sri Lanka, Nepal, Malawi, Morocco, Mexico, Tanzania, United Republic, Kenya, India, Ethiopia, Madagascar</v>
      </c>
      <c r="F16" s="11">
        <v>5</v>
      </c>
      <c r="G16" s="11">
        <v>165589.98</v>
      </c>
      <c r="I16" s="11" t="str">
        <v xml:space="preserve">as per the description </v>
      </c>
    </row>
    <row r="17" ht="25" customHeight="1">
      <c r="B17" s="15" t="str">
        <v>HLO budget subtotal</v>
      </c>
      <c r="H17" s="15">
        <f>SUM(H13:H16)</f>
      </c>
    </row>
    <row r="18" ht="50" customHeight="1">
      <c r="A18" s="13" t="str">
        <v>AOW05</v>
      </c>
      <c r="B18" s="11" t="str">
        <v xml:space="preserve">5.1. Prioritization logic for deployment via partnership platforms available </v>
      </c>
      <c r="C18" s="11" t="str">
        <v>Standardized data collection tool (LCAS-APT; Landscape Crop Assessment Survey-Agronomy Prioritization Tool) supported by rapid analytics pipeline for AI-ready insights through a repository of R scripts.</v>
      </c>
      <c r="D18" s="11" t="str">
        <v>Number of innovations (innovation development)</v>
      </c>
      <c r="E18" s="11" t="str">
        <v>Country: Morocco, Philippines, Ethiopia, Kenya</v>
      </c>
      <c r="F18" s="11">
        <v>1</v>
      </c>
      <c r="G18" s="11">
        <v>50000</v>
      </c>
      <c r="H18" s="11">
        <f>SUM(G18:G18)</f>
      </c>
      <c r="I18" s="11" t="str">
        <v xml:space="preserve">as per the description </v>
      </c>
    </row>
    <row r="19" ht="50" customHeight="1">
      <c r="A19" s="11" t="str">
        <v>AOW05</v>
      </c>
      <c r="B19" s="11" t="str">
        <v>5.3 FAIR, AI-ready data corpus, data and metadata standards</v>
      </c>
      <c r="C19" s="11" t="str">
        <v>Critical Capability: New standardized, quality-controlled datasets that serve AoWs 1, 2, and 3 (250 datasets, 0.5M new standardized observations) added to an existing corpus of about 2M records ("Carob") for analytics and decision support and assessment of Carob as training dataset for AI.</v>
      </c>
      <c r="D19" s="11" t="str">
        <v>Number of knowledge products</v>
      </c>
      <c r="E19" s="11" t="str">
        <v>Global</v>
      </c>
      <c r="F19" s="11">
        <v>2</v>
      </c>
      <c r="G19" s="11">
        <v>27485.6</v>
      </c>
      <c r="H19" s="11">
        <f>SUM(G19:G19)</f>
      </c>
      <c r="I19" s="11" t="str">
        <v xml:space="preserve">as per the description </v>
      </c>
    </row>
    <row r="20" ht="50" customHeight="1" xml:space="preserve">
      <c r="A20" s="11" t="str">
        <v>AOW05</v>
      </c>
      <c r="B20" s="11" t="str">
        <v xml:space="preserve">5.4: Tools and approaches to enable rapid insights, learnings and impact </v>
      </c>
      <c r="C20" s="11" t="str" xml:space="preserve">
        <v xml:space="preserve">Standardized approaches and guidelines for assessing KPIs across AoWs 1–3 developed, including an agreed list of indicators and assessment framework to ensure consistency and comparability in performance measurement.
 </v>
      </c>
      <c r="D20" s="11" t="str">
        <v>Number of innovations (innovation development)</v>
      </c>
      <c r="E20" s="11" t="str">
        <v>Country: Morocco, Senegal, Nigeria, Tanzania, United Republic, Ethiopia, Ghana, Rwanda, Philippines</v>
      </c>
      <c r="F20" s="11">
        <v>3</v>
      </c>
      <c r="G20" s="11">
        <v>14093.45</v>
      </c>
      <c r="H20" s="11">
        <f>SUM(G20:G20)</f>
      </c>
      <c r="I20" s="11" t="str">
        <v xml:space="preserve">as per the description </v>
      </c>
    </row>
    <row r="21" ht="50" customHeight="1">
      <c r="A21" s="11" t="str">
        <v>AOW05</v>
      </c>
      <c r="B21" s="11" t="str">
        <v xml:space="preserve">5.5. Well-documented, widely applicable and replicable partnership platforms </v>
      </c>
      <c r="C21" s="11" t="str">
        <v>Multi-stakeholder partnership platforms (PAASSs) framework engaging diverse partners to support the scaling of bundled solutions for multiple crops (cassava, maize, sorghum, soybean, teff, rice, cocoa, coffee, etc) and livestock emerging from AoWs 1–3 in different locations and countries.</v>
      </c>
      <c r="D21" s="11" t="str">
        <v>Number of innovations (innovation development)</v>
      </c>
      <c r="E21" s="11" t="str">
        <v>Country: The Democratic Republic of the Congo, Ghana, Kenya, Nigeria, Tanzania, United Republic, Malawi, Mexico, Ethiopia, Egypt, Morocco, The Socialist Republic of Viet Nam, India, Philippines, Cambodia</v>
      </c>
      <c r="F21" s="11">
        <v>2</v>
      </c>
      <c r="G21" s="11">
        <v>25000</v>
      </c>
      <c r="H21" s="11">
        <f>SUM(G21:G22)</f>
      </c>
      <c r="I21" s="11" t="str">
        <v xml:space="preserve">as per the description </v>
      </c>
    </row>
    <row r="22" ht="50" customHeight="1">
      <c r="A22" s="11" t="str">
        <v>AOW05</v>
      </c>
      <c r="C22" s="11" t="str">
        <v>Multi-stakeholder partnership platforms (PAASSs) engaging diverse partners to support the scaling of bundled solutions for multiple crops (cassava, maize, sorghum, soybean, teff, rice, cocoa, coffee, etc) and livestock emerging from AoWs 1–3 in different locations and countries.</v>
      </c>
      <c r="D22" s="11" t="str">
        <v xml:space="preserve"> Number of Partners engaged</v>
      </c>
      <c r="E22" s="11" t="str">
        <v>Country: Kenya, Ghana, Mexico, Malawi, Tanzania, United Republic, Nigeria, Cambodia, India, Philippines, The Socialist Republic of Viet Nam, Ethiopia</v>
      </c>
      <c r="F22" s="11">
        <v>15</v>
      </c>
      <c r="G22" s="11">
        <v>25000</v>
      </c>
      <c r="I22" s="11" t="str">
        <v xml:space="preserve">as per the description </v>
      </c>
    </row>
    <row r="23" ht="25" customHeight="1">
      <c r="B23" s="15" t="str">
        <v>HLO budget subtotal</v>
      </c>
      <c r="H23" s="15">
        <f>SUM(H18:H22)</f>
      </c>
    </row>
  </sheetData>
  <mergeCells count="21">
    <mergeCell ref="A1:A2"/>
    <mergeCell ref="B1:B2"/>
    <mergeCell ref="C1:G1"/>
    <mergeCell ref="H1:H2"/>
    <mergeCell ref="I1:I2"/>
    <mergeCell ref="B4:B5"/>
    <mergeCell ref="H4:H5"/>
    <mergeCell ref="B6:G6"/>
    <mergeCell ref="A3:A6"/>
    <mergeCell ref="B7:B11"/>
    <mergeCell ref="H7:H11"/>
    <mergeCell ref="B12:G12"/>
    <mergeCell ref="A7:A12"/>
    <mergeCell ref="B13:B16"/>
    <mergeCell ref="H13:H16"/>
    <mergeCell ref="B17:G17"/>
    <mergeCell ref="A13:A17"/>
    <mergeCell ref="B21:B22"/>
    <mergeCell ref="H21:H22"/>
    <mergeCell ref="B23:G23"/>
    <mergeCell ref="A18:A23"/>
  </mergeCells>
  <ignoredErrors>
    <ignoredError numberStoredAsText="1" sqref="A1:I23"/>
  </ignoredErrors>
</worksheet>
</file>

<file path=xl/worksheets/sheet4.xml><?xml version="1.0" encoding="utf-8"?>
<worksheet xmlns="http://schemas.openxmlformats.org/spreadsheetml/2006/main" xmlns:r="http://schemas.openxmlformats.org/officeDocument/2006/relationships">
  <dimension ref="A1:F20"/>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row r="2" ht="70" customHeight="1">
      <c r="A2" s="12" t="str">
        <v>AOW01</v>
      </c>
      <c r="B2" s="11" t="str">
        <v>Institut National de la Recherche Agronomique (Morocco)</v>
      </c>
      <c r="C2" s="11" t="str">
        <v>1.3: Farmer utilization and adoption of AI-enabled advisory services, 1.1: Agronomic and farm management scientific data and analytics</v>
      </c>
      <c r="D2" s="11" t="str">
        <v>Morocco,Morocco,Morocco</v>
      </c>
      <c r="E2" s="11">
        <v>10000</v>
      </c>
      <c r="F2" s="11" t="str">
        <v>partners willingness to co-invest resources</v>
      </c>
    </row>
    <row r="3" ht="70" customHeight="1">
      <c r="A3" s="11" t="str">
        <v>AOW01</v>
      </c>
      <c r="B3" s="11" t="str">
        <v>Agricultural Research Center (Egypt)</v>
      </c>
      <c r="C3" s="11" t="str">
        <v>1.3: Farmer utilization and adoption of AI-enabled advisory services, 1.1: Agronomic and farm management scientific data and analytics</v>
      </c>
      <c r="D3" s="11" t="str">
        <v>Egypt,Egypt,Egypt</v>
      </c>
      <c r="E3" s="11">
        <v>10000</v>
      </c>
      <c r="F3" s="11" t="str">
        <v>partners willingness to co-invest resources</v>
      </c>
    </row>
    <row r="4" ht="70" customHeight="1">
      <c r="A4" s="11" t="str">
        <v>AOW01</v>
      </c>
      <c r="B4" s="11" t="str">
        <v>Ethiopian Institute of Agricultural Research</v>
      </c>
      <c r="C4" s="11" t="str">
        <v>1.3: Farmer utilization and adoption of AI-enabled advisory services, 1.1: Agronomic and farm management scientific data and analytics</v>
      </c>
      <c r="D4" s="11" t="str">
        <v>Ethiopia</v>
      </c>
      <c r="E4" s="11">
        <v>0</v>
      </c>
    </row>
    <row r="5" ht="25" customHeight="1">
      <c r="B5" s="14" t="str">
        <v>Contracted partners subtotal</v>
      </c>
      <c r="E5" s="14">
        <f>SUM(E2:E4)</f>
      </c>
    </row>
    <row r="6" ht="70" customHeight="1">
      <c r="A6" s="12" t="str">
        <v>AOW02</v>
      </c>
      <c r="B6" s="11" t="str">
        <v>Ethiopian Institute of Agricultural Research</v>
      </c>
      <c r="C6" s="11" t="str">
        <v>2.3: Responses effectiveness and trade-offs to climate, pests and diseases shocks, 2.2: Strategies for response to water related shocks, 2.1: Enhanced resolution, accuracy and timeliness of early warning system</v>
      </c>
      <c r="D6" s="11" t="str">
        <v>Ethiopia</v>
      </c>
      <c r="E6" s="11">
        <v>0</v>
      </c>
    </row>
    <row r="7" ht="70" customHeight="1">
      <c r="A7" s="11" t="str">
        <v>AOW02</v>
      </c>
      <c r="B7" s="11" t="str">
        <v>Amhara Regional Agricultural Research Institute</v>
      </c>
      <c r="C7" s="11" t="str">
        <v>2.2: Strategies for response to water related shocks</v>
      </c>
      <c r="D7" s="11" t="str">
        <v>Ethiopia</v>
      </c>
      <c r="E7" s="11">
        <v>0</v>
      </c>
    </row>
    <row r="8" ht="70" customHeight="1">
      <c r="A8" s="11" t="str">
        <v>AOW02</v>
      </c>
      <c r="B8" s="11" t="str">
        <v>Agricultural Research Center (Egypt)</v>
      </c>
      <c r="C8" s="11" t="str">
        <v>2.2: Strategies for response to water related shocks</v>
      </c>
      <c r="D8" s="11" t="str">
        <v>Egypt,Egypt,Egypt</v>
      </c>
      <c r="E8" s="11">
        <v>0</v>
      </c>
    </row>
    <row r="9" ht="70" customHeight="1">
      <c r="A9" s="11" t="str">
        <v>AOW02</v>
      </c>
      <c r="B9" s="11" t="str">
        <v>Institut National de la Recherche Agronomique (Morocco)</v>
      </c>
      <c r="C9" s="11" t="str">
        <v>2.2: Strategies for response to water related shocks</v>
      </c>
      <c r="D9" s="11" t="str">
        <v>Morocco,Morocco,Morocco</v>
      </c>
      <c r="E9" s="11">
        <v>0</v>
      </c>
    </row>
    <row r="10" ht="25" customHeight="1">
      <c r="B10" s="14" t="str">
        <v>Contracted partners subtotal</v>
      </c>
      <c r="E10" s="14">
        <f>SUM(E6:E9)</f>
      </c>
    </row>
    <row r="11" ht="70" customHeight="1">
      <c r="A11" s="12" t="str">
        <v>AOW03</v>
      </c>
      <c r="B11" s="11" t="str">
        <v>Ethiopian Institute of Agricultural Research</v>
      </c>
      <c r="C11" s="11" t="str">
        <v>3.2. Validated, farm-level management solutions</v>
      </c>
      <c r="D11" s="11" t="str">
        <v>Ethiopia</v>
      </c>
      <c r="E11" s="11">
        <v>8000</v>
      </c>
      <c r="F11" s="11" t="str">
        <v>2026 budget</v>
      </c>
    </row>
    <row r="12" ht="70" customHeight="1">
      <c r="A12" s="11" t="str">
        <v>AOW03</v>
      </c>
      <c r="B12" s="11" t="str">
        <v>Amhara Regional Agricultural Research Institute</v>
      </c>
      <c r="C12" s="11" t="str">
        <v>3.2. Validated, farm-level management solutions</v>
      </c>
      <c r="D12" s="11" t="str">
        <v>Ethiopia</v>
      </c>
      <c r="E12" s="11">
        <v>7000</v>
      </c>
      <c r="F12" s="11" t="str">
        <v xml:space="preserve">partners engagement </v>
      </c>
    </row>
    <row r="13" ht="70" customHeight="1">
      <c r="A13" s="11" t="str">
        <v>AOW03</v>
      </c>
      <c r="B13" s="11" t="str">
        <v>Agricultural Research Center (Egypt)</v>
      </c>
      <c r="C13" s="11" t="str">
        <v>3.2. Validated, farm-level management solutions</v>
      </c>
      <c r="D13" s="11" t="str">
        <v>Egypt,Egypt,Egypt</v>
      </c>
      <c r="E13" s="11">
        <v>4000</v>
      </c>
      <c r="F13" s="11" t="str">
        <v>partners willingness to co-invest resources</v>
      </c>
    </row>
    <row r="14" ht="70" customHeight="1">
      <c r="A14" s="11" t="str">
        <v>AOW03</v>
      </c>
      <c r="B14" s="11" t="str">
        <v>Institut National de la Recherche Agronomique (Morocco)</v>
      </c>
      <c r="C14" s="11" t="str">
        <v>3.2. Validated, farm-level management solutions</v>
      </c>
      <c r="D14" s="11" t="str">
        <v>Morocco,Morocco,Morocco</v>
      </c>
      <c r="E14" s="11">
        <v>8000</v>
      </c>
      <c r="F14" s="11" t="str">
        <v xml:space="preserve">Validation </v>
      </c>
    </row>
    <row r="15" ht="25" customHeight="1">
      <c r="B15" s="14" t="str">
        <v>Contracted partners subtotal</v>
      </c>
      <c r="E15" s="14">
        <f>SUM(E11:E14)</f>
      </c>
    </row>
    <row r="16" ht="70" customHeight="1">
      <c r="A16" s="12" t="str">
        <v>AOW05</v>
      </c>
      <c r="B16" s="11" t="str">
        <v>Amhara Regional Agricultural Research Institute</v>
      </c>
      <c r="C16" s="11" t="str">
        <v>5.5. Well-documented, widely applicable and replicable partnership platforms</v>
      </c>
      <c r="D16" s="11" t="str">
        <v>Ethiopia</v>
      </c>
      <c r="E16" s="11">
        <v>0</v>
      </c>
    </row>
    <row r="17" ht="70" customHeight="1">
      <c r="A17" s="11" t="str">
        <v>AOW05</v>
      </c>
      <c r="B17" s="11" t="str">
        <v>Institut National de la Recherche Agronomique (Morocco)</v>
      </c>
      <c r="C17" s="11" t="str">
        <v>5.5. Well-documented, widely applicable and replicable partnership platforms</v>
      </c>
      <c r="D17" s="11" t="str">
        <v>Morocco,Morocco,Morocco</v>
      </c>
      <c r="E17" s="11">
        <v>15000</v>
      </c>
      <c r="F17" s="11" t="str">
        <v>partners willingness to co-invest resources</v>
      </c>
    </row>
    <row r="18" ht="70" customHeight="1">
      <c r="A18" s="11" t="str">
        <v>AOW05</v>
      </c>
      <c r="B18" s="11" t="str">
        <v>Agricultural Research Center (Egypt)</v>
      </c>
      <c r="C18" s="11" t="str">
        <v>5.5. Well-documented, widely applicable and replicable partnership platforms</v>
      </c>
      <c r="D18" s="11" t="str">
        <v>Egypt,Egypt,Egypt</v>
      </c>
      <c r="E18" s="11">
        <v>15000</v>
      </c>
      <c r="F18" s="11" t="str">
        <v>partners willingness to co-invest resources</v>
      </c>
    </row>
    <row r="19" ht="70" customHeight="1">
      <c r="A19" s="11" t="str">
        <v>AOW05</v>
      </c>
      <c r="B19" s="11" t="str">
        <v>Ethiopian Institute of Agricultural Research</v>
      </c>
      <c r="C19" s="11" t="str">
        <v>5.5. Well-documented, widely applicable and replicable partnership platforms</v>
      </c>
      <c r="D19" s="11" t="str">
        <v>Ethiopia</v>
      </c>
      <c r="E19" s="11">
        <v>0</v>
      </c>
    </row>
    <row r="20" ht="25" customHeight="1">
      <c r="B20" s="14" t="str">
        <v>Contracted partners subtotal</v>
      </c>
      <c r="E20" s="14">
        <f>SUM(E16:E19)</f>
      </c>
    </row>
  </sheetData>
  <mergeCells count="8">
    <mergeCell ref="B5:D5"/>
    <mergeCell ref="A2:A5"/>
    <mergeCell ref="B10:D10"/>
    <mergeCell ref="A6:A10"/>
    <mergeCell ref="B15:D15"/>
    <mergeCell ref="A11:A15"/>
    <mergeCell ref="B20:D20"/>
    <mergeCell ref="A16:A20"/>
  </mergeCells>
  <ignoredErrors>
    <ignoredError numberStoredAsText="1" sqref="A1:F20"/>
  </ignoredErrors>
</worksheet>
</file>

<file path=xl/worksheets/sheet5.xml><?xml version="1.0" encoding="utf-8"?>
<worksheet xmlns="http://schemas.openxmlformats.org/spreadsheetml/2006/main" xmlns:r="http://schemas.openxmlformats.org/officeDocument/2006/relationships">
  <dimension ref="A1:F1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D-100894- UAE -Red Palm Weevil</v>
      </c>
      <c r="B2" s="19" t="str">
        <v>AOW01</v>
      </c>
      <c r="C2" s="18" t="str">
        <v xml:space="preserve">1.3: Farmer utilization and adoption of AI-enabled advisory services </v>
      </c>
      <c r="D2" s="19">
        <v>1668190</v>
      </c>
      <c r="E2" s="19" t="str">
        <f>=SUM(D2:D3)</f>
        <v>0</v>
      </c>
      <c r="F2" s="19" t="str">
        <v>Donor does not terminate grant prematurely</v>
      </c>
    </row>
    <row r="3" ht="30" customHeight="1">
      <c r="A3" s="18" t="str">
        <v>D-100894- UAE -Red Palm Weevil</v>
      </c>
      <c r="B3" s="19" t="str">
        <v>AOW05</v>
      </c>
      <c r="C3" s="18" t="str">
        <v>5.3 FAIR, AI-ready data corpus, data and metadata standards</v>
      </c>
      <c r="D3" s="19">
        <v>1668190</v>
      </c>
      <c r="F3" s="19" t="str">
        <v>Donor does not terminate grant prematurely</v>
      </c>
    </row>
    <row r="4" ht="30" customHeight="1">
      <c r="A4" s="18" t="str">
        <v>D-200369-Fertilize Right - Pakistan</v>
      </c>
      <c r="B4" s="19" t="str">
        <v>AOW03</v>
      </c>
      <c r="C4" s="18" t="str">
        <v xml:space="preserve">3.2. Validated, farm-level management solutions </v>
      </c>
      <c r="D4" s="19">
        <v>500000</v>
      </c>
      <c r="E4" s="19" t="str">
        <f>=SUM(D4:D4)</f>
        <v>0</v>
      </c>
      <c r="F4" s="19" t="str">
        <v>Donor does not terminate grant prematurely</v>
      </c>
    </row>
    <row r="5" ht="30" customHeight="1">
      <c r="A5" s="18" t="str">
        <v>D-200086-Ultra-Low Energy Drip Irrigation for MENA Countries</v>
      </c>
      <c r="B5" s="19" t="str">
        <v>AOW03</v>
      </c>
      <c r="C5" s="18" t="str">
        <v xml:space="preserve">3.2. Validated, farm-level management solutions </v>
      </c>
      <c r="D5" s="19">
        <v>208346</v>
      </c>
      <c r="E5" s="19" t="str">
        <f>=SUM(D5:D5)</f>
        <v>0</v>
      </c>
      <c r="F5" s="19" t="str">
        <v>2026 budget</v>
      </c>
    </row>
    <row r="6" ht="30" customHeight="1">
      <c r="A6" s="18" t="str">
        <v>D-200340-CARINA - CARinata and CamelINA to boost the sustain</v>
      </c>
      <c r="B6" s="19" t="str">
        <v>AOW03</v>
      </c>
      <c r="C6" s="18" t="str">
        <v xml:space="preserve">3.2. Validated, farm-level management solutions </v>
      </c>
      <c r="D6" s="19">
        <v>57506</v>
      </c>
      <c r="E6" s="19" t="str">
        <f>=SUM(D6:D6)</f>
        <v>0</v>
      </c>
      <c r="F6" s="19" t="str">
        <v>Donor does not terminate grant prematurely</v>
      </c>
    </row>
    <row r="7" ht="30" customHeight="1">
      <c r="A7" s="18" t="str">
        <v>D-200371-Development and Scaling of Introduced Plant Species</v>
      </c>
      <c r="B7" s="19" t="str">
        <v>AOW03</v>
      </c>
      <c r="C7" s="18" t="str">
        <v xml:space="preserve">3.2. Validated, farm-level management solutions </v>
      </c>
      <c r="D7" s="19">
        <v>40103</v>
      </c>
      <c r="E7" s="19" t="str">
        <f>=SUM(D7:D7)</f>
        <v>0</v>
      </c>
      <c r="F7" s="19" t="str">
        <v>2026 budget from the dashboard</v>
      </c>
    </row>
    <row r="8" ht="30" customHeight="1">
      <c r="A8" s="18" t="str">
        <v>D-100894-BMGF: Preparatory phase for the Red Palm Weevil project</v>
      </c>
      <c r="B8" s="19" t="str">
        <v>AOW03</v>
      </c>
      <c r="C8" s="18" t="str">
        <v xml:space="preserve">3.3: Scaled and adopted farm management solutions </v>
      </c>
      <c r="D8" s="19">
        <v>0</v>
      </c>
      <c r="E8" s="19" t="str">
        <f>=SUM(D8:D8)</f>
        <v>0</v>
      </c>
    </row>
    <row r="9" ht="30" customHeight="1">
      <c r="A9" s="18" t="str">
        <v>D-200394-Program 2- International host / pathogen Differential Sets:</v>
      </c>
      <c r="B9" s="19" t="str">
        <v>AOW03</v>
      </c>
      <c r="C9" s="18" t="str">
        <v xml:space="preserve">3.3: Scaled and adopted farm management solutions </v>
      </c>
      <c r="D9" s="19">
        <v>136947</v>
      </c>
      <c r="E9" s="19" t="str">
        <f>=SUM(D9:D9)</f>
        <v>0</v>
      </c>
      <c r="F9" s="19" t="str">
        <v>Donor does not terminate grant prematurely</v>
      </c>
    </row>
    <row r="10" ht="30" customHeight="1">
      <c r="A10" s="18" t="str">
        <v>D-100777-GCC Date Palm</v>
      </c>
      <c r="B10" s="19" t="str">
        <v>AOW03</v>
      </c>
      <c r="C10" s="18" t="str">
        <v xml:space="preserve">3.3: Scaled and adopted farm management solutions </v>
      </c>
      <c r="D10" s="19">
        <v>351105</v>
      </c>
      <c r="E10" s="19" t="str">
        <f>=SUM(D10:D10)</f>
        <v>0</v>
      </c>
      <c r="F10" s="19" t="str">
        <v>Donor does not terminate grant prematurely</v>
      </c>
    </row>
    <row r="11" ht="30" customHeight="1">
      <c r="A11" s="18" t="str">
        <v>D-200352-SOILS4MED -Soil Health Monitoring and Information</v>
      </c>
      <c r="B11" s="19" t="str">
        <v>AOW03</v>
      </c>
      <c r="C11" s="18" t="str">
        <v xml:space="preserve">3.1: Farm-level diagnostic evidence on soil, plant, water, and socio-economic constraints </v>
      </c>
      <c r="D11" s="19">
        <v>99195</v>
      </c>
      <c r="E11" s="19" t="str">
        <f>=SUM(D11:D11)</f>
        <v>0</v>
      </c>
      <c r="F11" s="19" t="str">
        <v>Donor does not terminate grant prematurely</v>
      </c>
    </row>
    <row r="12" ht="30" customHeight="1">
      <c r="A12" s="18" t="str">
        <v>D-200364-Wheat Disease Early Warning Advisory System DEWAS</v>
      </c>
      <c r="B12" s="19" t="str">
        <v>AOW04</v>
      </c>
      <c r="C12" s="18" t="str">
        <v xml:space="preserve">4.1. A pipeline of at least eight high-risk, high-reward, early-stage research ideas </v>
      </c>
      <c r="D12" s="19">
        <v>15426</v>
      </c>
      <c r="E12" s="19" t="str">
        <f>=SUM(D12:D12)</f>
        <v>0</v>
      </c>
      <c r="F12" s="19" t="str">
        <v>Donor does not terminate grant prematurely</v>
      </c>
    </row>
    <row r="13" ht="30" customHeight="1">
      <c r="A13" s="3" t="str">
        <v>W3/Bilateral projects subtotal</v>
      </c>
      <c r="E13" s="3">
        <f>SUM(E2:E12)</f>
      </c>
    </row>
  </sheetData>
  <mergeCells count="3">
    <mergeCell ref="A2:A3"/>
    <mergeCell ref="E2:E3"/>
    <mergeCell ref="A13:D13"/>
  </mergeCells>
  <ignoredErrors>
    <ignoredError numberStoredAsText="1" sqref="A1:F13"/>
  </ignoredErrors>
</worksheet>
</file>

<file path=xl/worksheets/sheet6.xml><?xml version="1.0" encoding="utf-8"?>
<worksheet xmlns="http://schemas.openxmlformats.org/spreadsheetml/2006/main" xmlns:r="http://schemas.openxmlformats.org/officeDocument/2006/relationships">
  <dimension ref="A1:F5"/>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xml:space="preserve">
      <c r="A2" s="18" t="str" xml:space="preserve">
        <v xml:space="preserve">Digital inclusivity of AI advisories and SFP solutions assessed using CGIAR Inclusivity Index to ensure equitable access for women, youth, and disadvantaged groups.
 </v>
      </c>
      <c r="B2" s="19" t="str">
        <v>AOW00</v>
      </c>
      <c r="C2" s="18" t="str">
        <v xml:space="preserve">5b: CGIAR and its partners leverage standardized tools, MELIA frameworks, partnership platforms, and FAIR, AI-ready </v>
      </c>
      <c r="D2" s="19">
        <v>0</v>
      </c>
      <c r="E2" s="19" t="str">
        <f>=SUM(D2:D4)</f>
        <v>0</v>
      </c>
    </row>
    <row r="3" ht="30" customHeight="1" xml:space="preserve">
      <c r="A3" s="18" t="str" xml:space="preserve">
        <v xml:space="preserve">Digital inclusivity of AI advisories and SFP solutions assessed using CGIAR Inclusivity Index to ensure equitable access for women, youth, and disadvantaged groups.
 </v>
      </c>
      <c r="B3" s="19" t="str">
        <v>AOW05</v>
      </c>
      <c r="C3" s="18" t="str">
        <v xml:space="preserve">5.4: SFP teams and partners use Standard MELIA tools and KPI framework </v>
      </c>
      <c r="D3" s="19">
        <v>0</v>
      </c>
    </row>
    <row r="4" ht="30" customHeight="1" xml:space="preserve">
      <c r="A4" s="18" t="str" xml:space="preserve">
        <v xml:space="preserve">Digital inclusivity of AI advisories and SFP solutions assessed using CGIAR Inclusivity Index to ensure equitable access for women, youth, and disadvantaged groups.
 </v>
      </c>
      <c r="B4" s="19" t="str">
        <v>AOW01</v>
      </c>
      <c r="C4" s="18" t="str">
        <v xml:space="preserve">1.3: Partners adopt benchmarking tools </v>
      </c>
      <c r="D4" s="19">
        <v>0</v>
      </c>
    </row>
    <row r="5" ht="30" customHeight="1">
      <c r="A5" s="3" t="str">
        <v>MELIA Studies Budget subtotal</v>
      </c>
      <c r="E5" s="3">
        <f>SUM(E2:E4)</f>
      </c>
    </row>
  </sheetData>
  <mergeCells count="3">
    <mergeCell ref="A2:A4"/>
    <mergeCell ref="E2:E4"/>
    <mergeCell ref="A5:D5"/>
  </mergeCells>
  <ignoredErrors>
    <ignoredError numberStoredAsText="1" sqref="A1:F5"/>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70000</v>
      </c>
      <c r="C2" s="20">
        <v>20000</v>
      </c>
      <c r="D2" s="20">
        <v>0</v>
      </c>
      <c r="E2" s="20">
        <v>27000</v>
      </c>
      <c r="F2" s="20">
        <v>0</v>
      </c>
      <c r="G2" s="20">
        <v>30000</v>
      </c>
      <c r="H2" s="20" t="str">
        <f>=SUM(B2:G2)</f>
        <v>0</v>
      </c>
    </row>
    <row r="3" ht="20" customHeight="1">
      <c r="A3" s="20" t="str">
        <v>Operations (supplies, consultants, travels, workshops, other)</v>
      </c>
      <c r="B3" s="20">
        <v>39055</v>
      </c>
      <c r="C3" s="20">
        <v>60000</v>
      </c>
      <c r="D3" s="20">
        <v>42082</v>
      </c>
      <c r="E3" s="20">
        <v>151905</v>
      </c>
      <c r="F3" s="20">
        <v>0</v>
      </c>
      <c r="G3" s="20">
        <v>64515</v>
      </c>
      <c r="H3" s="20" t="str">
        <f>=SUM(B3:G3)</f>
        <v>0</v>
      </c>
    </row>
    <row r="4" ht="20" customHeight="1">
      <c r="A4" s="20" t="str">
        <v>Staffing, Chargebacks and Indirect</v>
      </c>
      <c r="B4" s="20">
        <v>42320</v>
      </c>
      <c r="C4" s="20">
        <v>63170</v>
      </c>
      <c r="D4" s="20">
        <v>71676</v>
      </c>
      <c r="E4" s="20">
        <v>200645</v>
      </c>
      <c r="F4" s="20">
        <v>0</v>
      </c>
      <c r="G4" s="20">
        <v>77064</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