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521800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510000</v>
      </c>
      <c r="E5" s="11" t="str">
        <v>Program Director FTE, administrative support, meeting and workshop coordination, travel, short-term consultancies, and various operational expenses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11800</v>
      </c>
      <c r="E9" s="11" t="str">
        <v xml:space="preserve">shared finance support arrangement 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15" t="str">
        <v>Collaborators non-CGIAR centers</v>
      </c>
      <c r="B2" s="15">
        <v>30000</v>
      </c>
      <c r="C2" s="15">
        <v>0</v>
      </c>
      <c r="D2" s="15">
        <v>0</v>
      </c>
      <c r="E2" s="15">
        <v>0</v>
      </c>
      <c r="F2" s="15">
        <v>0</v>
      </c>
      <c r="G2" s="15" t="str">
        <f>=SUM(B2:F2)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 t="str">
        <f>=SUM(B3:F3)</f>
        <v>0</v>
      </c>
    </row>
    <row r="4" ht="20" customHeight="1">
      <c r="A4" s="15" t="str">
        <v>Staffing, Chargebacks and Indirect</v>
      </c>
      <c r="B4" s="15">
        <v>521800</v>
      </c>
      <c r="C4" s="15">
        <v>0</v>
      </c>
      <c r="D4" s="15">
        <v>0</v>
      </c>
      <c r="E4" s="15">
        <v>0</v>
      </c>
      <c r="F4" s="15">
        <v>0</v>
      </c>
      <c r="G4" s="15" t="str">
        <f>=SUM(B4:F4)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