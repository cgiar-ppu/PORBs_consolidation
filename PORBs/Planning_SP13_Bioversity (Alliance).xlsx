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525321</v>
      </c>
      <c r="M4" s="5">
        <v>0</v>
      </c>
    </row>
    <row r="5" ht="20" customHeight="1">
      <c r="A5" s="2" t="str">
        <v>AOW01: Biodiversity Conservation</v>
      </c>
      <c r="B5" s="2">
        <v>6</v>
      </c>
      <c r="C5" s="5">
        <v>119000</v>
      </c>
      <c r="D5" s="2">
        <v>5</v>
      </c>
      <c r="E5" s="5">
        <v>30000</v>
      </c>
      <c r="F5" s="2">
        <v>0</v>
      </c>
      <c r="G5" s="5">
        <v>0</v>
      </c>
      <c r="H5" s="2">
        <v>880</v>
      </c>
      <c r="I5" s="5">
        <v>1099316</v>
      </c>
      <c r="J5" s="5">
        <v>639000</v>
      </c>
      <c r="K5" s="5">
        <v>0</v>
      </c>
      <c r="L5" s="5">
        <v>1887316</v>
      </c>
      <c r="M5" s="5">
        <v>0</v>
      </c>
    </row>
    <row r="6" ht="20" customHeight="1">
      <c r="A6" s="2" t="str">
        <v>AOW02: Strategic User Engagement</v>
      </c>
      <c r="B6" s="2">
        <v>1</v>
      </c>
      <c r="C6" s="5">
        <v>10000</v>
      </c>
      <c r="D6" s="2">
        <v>1</v>
      </c>
      <c r="E6" s="5">
        <v>10000</v>
      </c>
      <c r="F6" s="2">
        <v>0</v>
      </c>
      <c r="G6" s="5">
        <v>0</v>
      </c>
      <c r="H6" s="2">
        <v>5</v>
      </c>
      <c r="I6" s="5">
        <v>10000</v>
      </c>
      <c r="J6" s="5">
        <v>0</v>
      </c>
      <c r="K6" s="5">
        <v>0</v>
      </c>
      <c r="L6" s="5">
        <v>30000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15</v>
      </c>
      <c r="E7" s="5">
        <v>375000</v>
      </c>
      <c r="F7" s="2">
        <v>70</v>
      </c>
      <c r="G7" s="5">
        <v>150000</v>
      </c>
      <c r="H7" s="2">
        <v>36</v>
      </c>
      <c r="I7" s="5">
        <v>425000</v>
      </c>
      <c r="J7" s="5">
        <v>0</v>
      </c>
      <c r="K7" s="5">
        <v>0</v>
      </c>
      <c r="L7" s="5">
        <v>950000</v>
      </c>
      <c r="M7" s="5">
        <v>0</v>
      </c>
    </row>
    <row r="8" ht="20" customHeight="1">
      <c r="A8" s="2" t="str">
        <v>AOW04: Germplasm Health</v>
      </c>
      <c r="B8" s="2">
        <v>3</v>
      </c>
      <c r="C8" s="5">
        <v>90000</v>
      </c>
      <c r="D8" s="2">
        <v>2</v>
      </c>
      <c r="E8" s="5">
        <v>15000</v>
      </c>
      <c r="F8" s="2">
        <v>0</v>
      </c>
      <c r="G8" s="5">
        <v>0</v>
      </c>
      <c r="H8" s="2">
        <v>82</v>
      </c>
      <c r="I8" s="5">
        <v>50000</v>
      </c>
      <c r="J8" s="5">
        <v>0</v>
      </c>
      <c r="K8" s="5">
        <v>0</v>
      </c>
      <c r="L8" s="5">
        <v>155000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2</v>
      </c>
      <c r="E9" s="5">
        <v>170000</v>
      </c>
      <c r="F9" s="2">
        <v>48</v>
      </c>
      <c r="G9" s="5">
        <v>82000</v>
      </c>
      <c r="H9" s="2">
        <v>0</v>
      </c>
      <c r="I9" s="5">
        <v>0</v>
      </c>
      <c r="J9" s="5">
        <v>0</v>
      </c>
      <c r="K9" s="5">
        <v>0</v>
      </c>
      <c r="L9" s="5">
        <v>252000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285000</v>
      </c>
      <c r="E4" s="11" t="str">
        <v>Meeting costs include venue, catering, and others.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240321</v>
      </c>
      <c r="E6" s="11" t="str">
        <v>Personnel costs based on standard organizational salary scales.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400</v>
      </c>
      <c r="G3" s="11">
        <v>122000</v>
      </c>
      <c r="H3" s="11">
        <f>SUM(G3:G6)</f>
      </c>
      <c r="I3" s="11" t="str">
        <v>Personnel costs based on standard organizational salary scales.</v>
      </c>
    </row>
    <row r="4" ht="50" customHeight="1">
      <c r="A4" s="11" t="str">
        <v>AOW01</v>
      </c>
      <c r="C4" s="11" t="str">
        <v>1.1.1. Accessions made available for global distribution from CGIAR genebanks</v>
      </c>
      <c r="D4" s="11" t="str">
        <v xml:space="preserve"> </v>
      </c>
      <c r="E4" s="11" t="str">
        <v>Global</v>
      </c>
      <c r="F4" s="11">
        <v>68</v>
      </c>
      <c r="G4" s="11">
        <v>400000</v>
      </c>
      <c r="I4" s="11" t="str">
        <v>Includes partners budget as below</v>
      </c>
    </row>
    <row r="5" ht="50" customHeight="1">
      <c r="A5" s="11" t="str">
        <v>AOW01</v>
      </c>
      <c r="C5" s="11" t="str">
        <v>1.1.4. Average number of Quality Management System (QMS) elements in place across genebanks</v>
      </c>
      <c r="D5" s="11" t="str">
        <v xml:space="preserve"> </v>
      </c>
      <c r="E5" s="11" t="str">
        <v>Global</v>
      </c>
      <c r="F5" s="11">
        <v>38</v>
      </c>
      <c r="G5" s="11">
        <v>102316</v>
      </c>
      <c r="I5" s="11" t="str">
        <v>Personnel costs based on standard organizational salary scales.</v>
      </c>
    </row>
    <row r="6" ht="50" customHeight="1">
      <c r="A6" s="11" t="str">
        <v>AOW01</v>
      </c>
      <c r="C6" s="11" t="str">
        <v>1.1.3. Clonal accessions managed at CGIAR genebanks safety duplicated at one site</v>
      </c>
      <c r="D6" s="11" t="str">
        <v xml:space="preserve"> </v>
      </c>
      <c r="E6" s="11" t="str">
        <v>Global</v>
      </c>
      <c r="F6" s="11">
        <v>95</v>
      </c>
      <c r="G6" s="11">
        <v>50000</v>
      </c>
      <c r="I6" s="11" t="str">
        <v>Personnel costs based on standard organizational salary scales.</v>
      </c>
    </row>
    <row r="7" ht="50" customHeight="1">
      <c r="A7" s="11" t="str">
        <v>AOW01</v>
      </c>
      <c r="B7" s="11" t="str">
        <v>1.2. Innovations to enhance the efficiency of conserving collections</v>
      </c>
      <c r="C7" s="11" t="str">
        <v>1.2.5. Journal articles related to innovations to Seed Quality Management (SQM), in vitro and cryopreservation published each year</v>
      </c>
      <c r="D7" s="11" t="str">
        <v>Number of knowledge products</v>
      </c>
      <c r="E7" s="11" t="str">
        <v>Global</v>
      </c>
      <c r="F7" s="11">
        <v>3</v>
      </c>
      <c r="G7" s="11">
        <v>20000</v>
      </c>
      <c r="H7" s="11">
        <f>SUM(G7:G11)</f>
      </c>
      <c r="I7" s="11" t="str">
        <v>Personnel costs based on standard organizational salary scales.</v>
      </c>
    </row>
    <row r="8" ht="50" customHeight="1">
      <c r="A8" s="11" t="str">
        <v>AOW01</v>
      </c>
      <c r="C8" s="11" t="str">
        <v>1.2.3. Clonal accessions managed at CGIAR genebanks cryopreserved</v>
      </c>
      <c r="D8" s="11" t="str">
        <v xml:space="preserve"> </v>
      </c>
      <c r="E8" s="11" t="str">
        <v>Global</v>
      </c>
      <c r="F8" s="11">
        <v>85</v>
      </c>
      <c r="G8" s="11">
        <v>120000</v>
      </c>
      <c r="I8" s="11" t="str">
        <v>Personnel costs based on standard organizational salary scales.</v>
      </c>
    </row>
    <row r="9" ht="50" customHeight="1">
      <c r="A9" s="11" t="str">
        <v>AOW01</v>
      </c>
      <c r="C9" s="11" t="str">
        <v>1.2.1. Crops for which multispectral-imaging algorithms for seed characterization and/or viability estimation are available</v>
      </c>
      <c r="D9" s="11" t="str">
        <v>Number of innovations (innovation development)</v>
      </c>
      <c r="E9" s="11" t="str">
        <v>Global</v>
      </c>
      <c r="F9" s="11">
        <v>1</v>
      </c>
      <c r="G9" s="11">
        <v>20000</v>
      </c>
      <c r="I9" s="11" t="str">
        <v>Personnel costs based on standard organizational salary scales.</v>
      </c>
    </row>
    <row r="10" ht="50" customHeight="1">
      <c r="A10" s="11" t="str">
        <v>AOW01</v>
      </c>
      <c r="C10" s="11" t="str">
        <v>1.2.4. New or improved protocols to enhance the efficiency of conservation or to increase the availability of accessions</v>
      </c>
      <c r="D10" s="11" t="str">
        <v>Number of innovations (innovation development)</v>
      </c>
      <c r="E10" s="11" t="str">
        <v>Global</v>
      </c>
      <c r="F10" s="11">
        <v>4</v>
      </c>
      <c r="G10" s="11">
        <v>79000</v>
      </c>
      <c r="I10" s="11" t="str">
        <v>Personnel costs based on standard organizational salary scales.</v>
      </c>
    </row>
    <row r="11" ht="50" customHeight="1">
      <c r="A11" s="11" t="str">
        <v>AOW01</v>
      </c>
      <c r="C11" s="11" t="str">
        <v>1.2.2. Taxa for which new viability testing protocols are made available each year</v>
      </c>
      <c r="D11" s="11" t="str">
        <v>Number of innovations (innovation development)</v>
      </c>
      <c r="E11" s="11" t="str">
        <v>Global</v>
      </c>
      <c r="F11" s="11">
        <v>1</v>
      </c>
      <c r="G11" s="11">
        <v>20000</v>
      </c>
      <c r="I11" s="11" t="str">
        <v>Personnel costs based on standard organizational salary scales.</v>
      </c>
    </row>
    <row r="12" ht="50" customHeight="1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2</v>
      </c>
      <c r="G12" s="11">
        <v>10000</v>
      </c>
      <c r="H12" s="11">
        <f>SUM(G12:G15)</f>
      </c>
      <c r="I12" s="11" t="str">
        <v>Personnel costs based on standard organizational salary scales.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5</v>
      </c>
      <c r="G14" s="11">
        <v>15000</v>
      </c>
      <c r="I14" s="11" t="str">
        <v>Personnel costs based on standard organizational salary scales.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10</v>
      </c>
      <c r="G15" s="11">
        <v>30000</v>
      </c>
      <c r="I15" s="11" t="str">
        <v>Personnel costs based on standard organizational salary scales.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94</v>
      </c>
      <c r="G16" s="11">
        <v>20000</v>
      </c>
      <c r="H16" s="11">
        <f>SUM(G16:G18)</f>
      </c>
      <c r="I16" s="11" t="str">
        <v>Personnel costs based on standard organizational salary scales.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8</v>
      </c>
      <c r="G17" s="11">
        <v>220000</v>
      </c>
      <c r="I17" s="11" t="str">
        <v>Personnel costs based on standard organizational salary scales.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77</v>
      </c>
      <c r="G18" s="11">
        <v>20000</v>
      </c>
      <c r="I18" s="11" t="str">
        <v>Personnel costs based on standard organizational salary scales.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2.1. A strategy for proactive engagement with diverse users</v>
      </c>
      <c r="C20" s="11" t="str">
        <v>2.1.2. Communication products related to user outreach published</v>
      </c>
      <c r="D20" s="11" t="str">
        <v xml:space="preserve"> Number of blogs or social media posts</v>
      </c>
      <c r="E20" s="11" t="str">
        <v>Global</v>
      </c>
      <c r="F20" s="11">
        <v>4</v>
      </c>
      <c r="G20" s="11">
        <v>0</v>
      </c>
      <c r="H20" s="11">
        <f>SUM(G20:G20)</f>
      </c>
    </row>
    <row r="21" ht="50" customHeight="1">
      <c r="A21" s="11" t="str">
        <v>AOW02</v>
      </c>
      <c r="B21" s="11" t="str">
        <v>2.2. Enhanced germplasm information for more precise accession targeting</v>
      </c>
      <c r="C21" s="11" t="str">
        <v>2.2.2. Journal articles related to enhanced accessions data published</v>
      </c>
      <c r="D21" s="11" t="str">
        <v>Number of knowledge products</v>
      </c>
      <c r="E21" s="11" t="str">
        <v>Global</v>
      </c>
      <c r="F21" s="11">
        <v>1</v>
      </c>
      <c r="G21" s="11">
        <v>10000</v>
      </c>
      <c r="H21" s="11">
        <f>SUM(G21:G22)</f>
      </c>
      <c r="I21" s="11" t="str">
        <v>Personnel costs based on standard organizational salary scales</v>
      </c>
    </row>
    <row r="22" ht="50" customHeight="1">
      <c r="A22" s="11" t="str">
        <v>AOW02</v>
      </c>
      <c r="C22" s="11" t="str">
        <v>2.2.1. Datasets generated and uploaded into open-source databases ​</v>
      </c>
      <c r="D22" s="11" t="str">
        <v xml:space="preserve"> </v>
      </c>
      <c r="E22" s="11" t="str">
        <v>Global</v>
      </c>
      <c r="F22" s="11">
        <v>1</v>
      </c>
      <c r="G22" s="11">
        <v>10000</v>
      </c>
      <c r="I22" s="11" t="str">
        <v>Personnel costs based on standard organizational salary scales</v>
      </c>
    </row>
    <row r="23" ht="50" customHeight="1">
      <c r="A23" s="11" t="str">
        <v>AOW02</v>
      </c>
      <c r="B23" s="11" t="str">
        <v>2.4. Genebank product development to enhance diversity use</v>
      </c>
      <c r="C23" s="11" t="str">
        <v xml:space="preserve">2.4.1. AI-supported subset generation approach further developed </v>
      </c>
      <c r="D23" s="11" t="str">
        <v>Number of innovations (innovation development)</v>
      </c>
      <c r="E23" s="11" t="str">
        <v>Global</v>
      </c>
      <c r="F23" s="11">
        <v>1</v>
      </c>
      <c r="G23" s="11">
        <v>10000</v>
      </c>
      <c r="H23" s="11">
        <f>SUM(G23:G23)</f>
      </c>
      <c r="I23" s="11" t="str">
        <v>Personnel costs based on standard organizational salary scales</v>
      </c>
    </row>
    <row r="24" ht="25" customHeight="1">
      <c r="B24" s="15" t="str">
        <v>HLO budget subtotal</v>
      </c>
      <c r="H24" s="15">
        <f>SUM(H20:H23)</f>
      </c>
    </row>
    <row r="25" ht="50" customHeight="1">
      <c r="A25" s="13" t="str">
        <v>AOW03</v>
      </c>
      <c r="B25" s="11" t="str">
        <v xml:space="preserve">3.1. CGIAR Genebanks contributions to international negotiations </v>
      </c>
      <c r="C25" s="11" t="str">
        <v>3.1.4. Reports to Article 15 DGs, SO, SLT, relevant Programs and Accelerators regarding  negotiating progress and CGIAR engagement</v>
      </c>
      <c r="D25" s="11" t="str">
        <v>Number of knowledge products</v>
      </c>
      <c r="E25" s="11" t="str">
        <v>Global</v>
      </c>
      <c r="F25" s="11">
        <v>4</v>
      </c>
      <c r="G25" s="11">
        <v>50000</v>
      </c>
      <c r="H25" s="11">
        <f>SUM(G25:G29)</f>
      </c>
      <c r="I25" s="11" t="str">
        <v>Personnel costs based on standard organizational salary scales.</v>
      </c>
    </row>
    <row r="26" ht="50" customHeight="1">
      <c r="A26" s="11" t="str">
        <v>AOW03</v>
      </c>
      <c r="C26" s="11" t="str">
        <v>3.1.5. CGIAR represented in ITPGRFA, CBD, CGRFA meetings</v>
      </c>
      <c r="D26" s="11" t="str">
        <v xml:space="preserve"> </v>
      </c>
      <c r="E26" s="11" t="str">
        <v>Global</v>
      </c>
      <c r="F26" s="11">
        <v>7</v>
      </c>
      <c r="G26" s="11">
        <v>175000</v>
      </c>
      <c r="I26" s="11" t="str">
        <v>Personnel costs based on standard organizational salary scales.</v>
      </c>
    </row>
    <row r="27" ht="50" customHeight="1">
      <c r="A27" s="11" t="str">
        <v>AOW03</v>
      </c>
      <c r="C27" s="11" t="str">
        <v>3.1.1. CGIAR reports/submissions to international bodies dealing with genetic resources and DSI issues.</v>
      </c>
      <c r="D27" s="11" t="str">
        <v>Number of knowledge products</v>
      </c>
      <c r="E27" s="11" t="str">
        <v>Global</v>
      </c>
      <c r="F27" s="11">
        <v>3</v>
      </c>
      <c r="G27" s="11">
        <v>75000</v>
      </c>
      <c r="I27" s="11" t="str">
        <v>Personnel costs based on standard organizational salary scales.</v>
      </c>
    </row>
    <row r="28" ht="50" customHeight="1">
      <c r="A28" s="11" t="str">
        <v>AOW03</v>
      </c>
      <c r="C28" s="11" t="str">
        <v xml:space="preserve">3.1.3. Policy side events targeting negotiators </v>
      </c>
      <c r="D28" s="11" t="str">
        <v xml:space="preserve"> </v>
      </c>
      <c r="E28" s="11" t="str">
        <v>Global</v>
      </c>
      <c r="F28" s="11">
        <v>2</v>
      </c>
      <c r="G28" s="11">
        <v>50000</v>
      </c>
      <c r="I28" s="11" t="str">
        <v>Personnel costs based on standard organizational salary scales.</v>
      </c>
    </row>
    <row r="29" ht="50" customHeight="1">
      <c r="A29" s="11" t="str">
        <v>AOW03</v>
      </c>
      <c r="C29" s="11" t="str">
        <v xml:space="preserve">3.1.2. Policy-related publications in peer review journals, policy briefs and or other forms of written responses to requests for inputs from negotiating bodies. </v>
      </c>
      <c r="D29" s="11" t="str">
        <v>Number of knowledge products</v>
      </c>
      <c r="E29" s="11" t="str">
        <v>Global</v>
      </c>
      <c r="F29" s="11">
        <v>5</v>
      </c>
      <c r="G29" s="11">
        <v>150000</v>
      </c>
      <c r="I29" s="11" t="str">
        <v>Personnel costs based on standard organizational salary scales.</v>
      </c>
    </row>
    <row r="30" ht="50" customHeight="1">
      <c r="A30" s="11" t="str">
        <v>AOW03</v>
      </c>
      <c r="B30" s="11" t="str">
        <v>3.2. New CGIAR policies developed to operate under new access and benefit sharing rules.</v>
      </c>
      <c r="C30" s="11" t="str">
        <v>3.2.4. Internal policy network(s) created and functioning</v>
      </c>
      <c r="D30" s="11" t="str">
        <v xml:space="preserve"> </v>
      </c>
      <c r="E30" s="11" t="str">
        <v>Global</v>
      </c>
      <c r="F30" s="11">
        <v>2</v>
      </c>
      <c r="G30" s="11">
        <v>100000</v>
      </c>
      <c r="H30" s="11">
        <f>SUM(G30:G33)</f>
      </c>
      <c r="I30" s="11" t="str">
        <v>Personnel costs based on standard organizational salary scales.</v>
      </c>
    </row>
    <row r="31" ht="50" customHeight="1">
      <c r="A31" s="11" t="str">
        <v>AOW03</v>
      </c>
      <c r="C31" s="11" t="str">
        <v>3.2.3. Policy help desk requests addressed</v>
      </c>
      <c r="D31" s="11" t="str">
        <v xml:space="preserve"> </v>
      </c>
      <c r="E31" s="11" t="str">
        <v>Global</v>
      </c>
      <c r="F31" s="11">
        <v>25</v>
      </c>
      <c r="G31" s="11">
        <v>100000</v>
      </c>
      <c r="I31" s="11" t="str">
        <v>Personnel costs based on standard organizational salary scales.</v>
      </c>
    </row>
    <row r="32" ht="50" customHeight="1">
      <c r="A32" s="11" t="str">
        <v>AOW03</v>
      </c>
      <c r="C32" s="11" t="str">
        <v>3.2.2. Individuals from the CGIAR trained on policy through policy courses and other training events</v>
      </c>
      <c r="D32" s="11" t="str">
        <v>Number of people trained (capacity sharing for development)</v>
      </c>
      <c r="E32" s="11" t="str">
        <v>Global</v>
      </c>
      <c r="F32" s="11">
        <v>70</v>
      </c>
      <c r="G32" s="11">
        <v>150000</v>
      </c>
      <c r="I32" s="11" t="str">
        <v>Personnel costs based on standard organizational salary scales.</v>
      </c>
    </row>
    <row r="33" ht="50" customHeight="1">
      <c r="A33" s="11" t="str">
        <v>AOW03</v>
      </c>
      <c r="C33" s="11" t="str">
        <v>3.2.1. Guidelines and best practices published</v>
      </c>
      <c r="D33" s="11" t="str">
        <v>Number of knowledge products</v>
      </c>
      <c r="E33" s="11" t="str">
        <v>Global</v>
      </c>
      <c r="F33" s="11">
        <v>3</v>
      </c>
      <c r="G33" s="11">
        <v>100000</v>
      </c>
      <c r="I33" s="11" t="str">
        <v>Personnel costs based on standard organizational salary scales.</v>
      </c>
    </row>
    <row r="34" ht="25" customHeight="1">
      <c r="B34" s="15" t="str">
        <v>HLO budget subtotal</v>
      </c>
      <c r="H34" s="15">
        <f>SUM(H25:H33)</f>
      </c>
    </row>
    <row r="35" ht="50" customHeight="1">
      <c r="A35" s="13" t="str">
        <v>AOW04</v>
      </c>
      <c r="B35" s="11" t="str">
        <v>4.1. Optimized phytosanitary health delivery system</v>
      </c>
      <c r="C35" s="11" t="str">
        <v>4.1.4. Harmonized/updated SOPs/QMS processes and standards</v>
      </c>
      <c r="D35" s="11" t="str">
        <v xml:space="preserve"> </v>
      </c>
      <c r="E35" s="11" t="str">
        <v>Global</v>
      </c>
      <c r="F35" s="11">
        <v>1</v>
      </c>
      <c r="G35" s="11">
        <v>15000</v>
      </c>
      <c r="H35" s="11">
        <f>SUM(G35:G38)</f>
      </c>
      <c r="I35" s="11" t="str">
        <v>Personnel costs based on standard organizational salary scales.</v>
      </c>
    </row>
    <row r="36" ht="50" customHeight="1">
      <c r="A36" s="11" t="str">
        <v>AOW04</v>
      </c>
      <c r="C36" s="11" t="str">
        <v>4.1.2. Germplasm Health Unit (GHU) data dashboards published</v>
      </c>
      <c r="D36" s="11" t="str">
        <v xml:space="preserve"> </v>
      </c>
      <c r="E36" s="11" t="str">
        <v>Global</v>
      </c>
      <c r="F36" s="11">
        <v>0</v>
      </c>
      <c r="G36" s="11">
        <v>0</v>
      </c>
    </row>
    <row r="37" ht="50" customHeight="1">
      <c r="A37" s="11" t="str">
        <v>AOW04</v>
      </c>
      <c r="C37" s="11" t="str">
        <v xml:space="preserve">4.1.1. Service requests processed on time per year </v>
      </c>
      <c r="D37" s="11" t="str">
        <v xml:space="preserve"> </v>
      </c>
      <c r="E37" s="11" t="str">
        <v>Global</v>
      </c>
      <c r="F37" s="11">
        <v>80</v>
      </c>
      <c r="G37" s="11">
        <v>30000</v>
      </c>
      <c r="I37" s="11" t="str">
        <v>Personnel costs based on standard organizational salary scales.</v>
      </c>
    </row>
    <row r="38" ht="50" customHeight="1">
      <c r="A38" s="11" t="str">
        <v>AOW04</v>
      </c>
      <c r="C38" s="11" t="str">
        <v>4.1.3. GHUs applying costing processes and cost-recovery</v>
      </c>
      <c r="D38" s="11" t="str">
        <v xml:space="preserve"> </v>
      </c>
      <c r="E38" s="11" t="str">
        <v>Global</v>
      </c>
      <c r="F38" s="11">
        <v>1</v>
      </c>
      <c r="G38" s="11">
        <v>5000</v>
      </c>
      <c r="I38" s="11" t="str">
        <v>Personnel costs based on standard organizational salary scales.</v>
      </c>
    </row>
    <row r="39" ht="50" customHeight="1">
      <c r="A39" s="11" t="str">
        <v>AOW04</v>
      </c>
      <c r="B39" s="11" t="str">
        <v>4.2. Improved diagnostics and novel therapies for efficient germplasm health testing and phytosanitation​</v>
      </c>
      <c r="C39" s="11" t="str">
        <v>4.2.1. Upgraded/new protocols for germplasm health diagnostics and health monitoring</v>
      </c>
      <c r="D39" s="11" t="str">
        <v>Number of innovations (innovation development)</v>
      </c>
      <c r="E39" s="11" t="str">
        <v>Global</v>
      </c>
      <c r="F39" s="11">
        <v>2</v>
      </c>
      <c r="G39" s="11">
        <v>70000</v>
      </c>
      <c r="H39" s="11">
        <f>SUM(G39:G40)</f>
      </c>
      <c r="I39" s="11" t="str">
        <v>Personnel costs based on standard organizational salary scales.</v>
      </c>
    </row>
    <row r="40" ht="50" customHeight="1">
      <c r="A40" s="11" t="str">
        <v>AOW04</v>
      </c>
      <c r="C40" s="11" t="str">
        <v>4.2.2. Improved phytosanitary protocols for clonal and seed germplasm, including novel virus therapies and chemicals for seed dressing</v>
      </c>
      <c r="D40" s="11" t="str">
        <v>Number of innovations (innovation development)</v>
      </c>
      <c r="E40" s="11" t="str">
        <v>Global</v>
      </c>
      <c r="F40" s="11">
        <v>1</v>
      </c>
      <c r="G40" s="11">
        <v>20000</v>
      </c>
      <c r="I40" s="11" t="str">
        <v>Personnel costs based on standard organizational salary scales.</v>
      </c>
    </row>
    <row r="41" ht="50" customHeight="1">
      <c r="A41" s="11" t="str">
        <v>AOW04</v>
      </c>
      <c r="B41" s="11" t="str">
        <v>4.3. Enhanced knowledge for effective control of germplasm-borne pests and diseases</v>
      </c>
      <c r="C41" s="11" t="str">
        <v>4.3.3. Knowledge products on key seed-borne pests and diseases published</v>
      </c>
      <c r="D41" s="11" t="str">
        <v>Number of knowledge products</v>
      </c>
      <c r="E41" s="11" t="str">
        <v>Global</v>
      </c>
      <c r="F41" s="11">
        <v>1</v>
      </c>
      <c r="G41" s="11">
        <v>10000</v>
      </c>
      <c r="H41" s="11">
        <f>SUM(G41:G43)</f>
      </c>
      <c r="I41" s="11" t="str">
        <v>Personnel costs based on standard organizational salary scales.</v>
      </c>
    </row>
    <row r="42" ht="50" customHeight="1">
      <c r="A42" s="11" t="str">
        <v>AOW04</v>
      </c>
      <c r="C42" s="11" t="str">
        <v xml:space="preserve">4.3.1. P&amp;D intercepted in germplasm </v>
      </c>
      <c r="D42" s="11" t="str">
        <v>Number of knowledge products</v>
      </c>
      <c r="E42" s="11" t="str">
        <v>Global</v>
      </c>
      <c r="F42" s="11">
        <v>1</v>
      </c>
      <c r="G42" s="11">
        <v>5000</v>
      </c>
      <c r="I42" s="11" t="str">
        <v>Personnel costs based on standard organizational salary scales.</v>
      </c>
    </row>
    <row r="43" ht="50" customHeight="1">
      <c r="A43" s="11" t="str">
        <v>AOW04</v>
      </c>
      <c r="C43" s="11" t="str">
        <v>4.3.2. Augmented control measures to prevent seed-transmission.</v>
      </c>
      <c r="D43" s="11" t="str">
        <v xml:space="preserve"> </v>
      </c>
      <c r="E43" s="11" t="str">
        <v>Global</v>
      </c>
      <c r="F43" s="11">
        <v>0</v>
      </c>
      <c r="G43" s="11">
        <v>0</v>
      </c>
    </row>
    <row r="44" ht="50" customHeight="1">
      <c r="A44" s="11" t="str">
        <v>AOW04</v>
      </c>
      <c r="B44" s="11" t="str">
        <v>4.4. Systems-based phytosanitary protocol for expedited germplasm delivery​</v>
      </c>
      <c r="C44" s="11" t="str">
        <v>4.4.1. Average time to clear shipments under systems-based protocol.</v>
      </c>
      <c r="D44" s="11" t="str">
        <v xml:space="preserve"> </v>
      </c>
      <c r="E44" s="11" t="str">
        <v>Global</v>
      </c>
      <c r="F44" s="11">
        <v>0</v>
      </c>
      <c r="G44" s="11">
        <v>0</v>
      </c>
      <c r="H44" s="11">
        <f>SUM(G44:G45)</f>
      </c>
    </row>
    <row r="45" ht="50" customHeight="1">
      <c r="A45" s="11" t="str">
        <v>AOW04</v>
      </c>
      <c r="C45" s="11" t="str">
        <v>4.4.2. Formal protocols for expedited germplasm exchange developed through stakeholder consultations and submitted for accreditation by relevant NPPOs</v>
      </c>
      <c r="D45" s="11" t="str">
        <v>Number of knowledge products</v>
      </c>
      <c r="E45" s="11" t="str">
        <v>Global</v>
      </c>
      <c r="F45" s="11">
        <v>0</v>
      </c>
      <c r="G45" s="11">
        <v>0</v>
      </c>
    </row>
    <row r="46" ht="25" customHeight="1">
      <c r="B46" s="15" t="str">
        <v>HLO budget subtotal</v>
      </c>
      <c r="H46" s="15">
        <f>SUM(H35:H45)</f>
      </c>
    </row>
    <row r="47" ht="50" customHeight="1">
      <c r="A47" s="13" t="str">
        <v>AOW05</v>
      </c>
      <c r="B47" s="11" t="str">
        <v>5.1. Regional hubs for increasing capacities and saving crop diversity at risk</v>
      </c>
      <c r="C47" s="11" t="str">
        <v>5.1.2. Accessions from national or regional collections cryopreserved and safety duplicated</v>
      </c>
      <c r="D47" s="11" t="str">
        <v xml:space="preserve"> </v>
      </c>
      <c r="E47" s="11" t="str">
        <v>Regional: Latin America and the Caribbean, Asia, Africa</v>
      </c>
      <c r="F47" s="11">
        <v>0</v>
      </c>
      <c r="G47" s="11">
        <v>0</v>
      </c>
      <c r="H47" s="11">
        <f>SUM(G47:G47)</f>
      </c>
    </row>
    <row r="48" ht="50" customHeight="1">
      <c r="A48" s="11" t="str">
        <v>AOW05</v>
      </c>
      <c r="B48" s="11" t="str">
        <v>5.3. Capacity strengthened at a national and regional level for collection, conservation, SQM and characterization, phytosanitary measures for germplasm exchange and policy</v>
      </c>
      <c r="C48" s="11" t="str">
        <v>5.3.1. Individuals trained on collection, SQM, cryo, germplasm health, in situ, community genebanks</v>
      </c>
      <c r="D48" s="11" t="str">
        <v>Number of people trained (capacity sharing for development)</v>
      </c>
      <c r="E48" s="11" t="str">
        <v>Global</v>
      </c>
      <c r="F48" s="11">
        <v>48</v>
      </c>
      <c r="G48" s="11">
        <v>82000</v>
      </c>
      <c r="H48" s="11">
        <f>SUM(G48:G48)</f>
      </c>
      <c r="I48" s="11" t="str">
        <v>Personnel costs based on standard organizational salary scales.</v>
      </c>
    </row>
    <row r="49" ht="50" customHeight="1">
      <c r="A49" s="11" t="str">
        <v>AOW05</v>
      </c>
      <c r="B49" s="11" t="str">
        <v xml:space="preserve">5.4. Unique crop diversity under threat is safeguarded through the integration of in situ and ex situ conservation strategies </v>
      </c>
      <c r="C49" s="11" t="str">
        <v>5.4.2. Unique accessions shared by non CG genebanks to be safeguarded at CG Genebanks</v>
      </c>
      <c r="D49" s="11" t="str">
        <v xml:space="preserve"> </v>
      </c>
      <c r="E49" s="11" t="str">
        <v>Global</v>
      </c>
      <c r="F49" s="11">
        <v>0</v>
      </c>
      <c r="G49" s="11">
        <v>0</v>
      </c>
      <c r="H49" s="11">
        <f>SUM(G49:G49)</f>
      </c>
    </row>
    <row r="50" ht="50" customHeight="1">
      <c r="A50" s="11" t="str">
        <v>AOW05</v>
      </c>
      <c r="B50" s="11" t="str">
        <v xml:space="preserve">5.5. Draft national laws, policies and guidelines developed for partner countries to implement and operate under the Plant Treaty. </v>
      </c>
      <c r="C50" s="11" t="str">
        <v xml:space="preserve">5.5.1. Number of draft laws, policies, and guidelines developed </v>
      </c>
      <c r="D50" s="11" t="str">
        <v>Number of knowledge products</v>
      </c>
      <c r="E50" s="11" t="str">
        <v>Global</v>
      </c>
      <c r="F50" s="11">
        <v>2</v>
      </c>
      <c r="G50" s="11">
        <v>170000</v>
      </c>
      <c r="H50" s="11">
        <f>SUM(G50:G50)</f>
      </c>
      <c r="I50" s="11" t="str">
        <v>Personnel costs based on standard organizational salary scales.</v>
      </c>
    </row>
    <row r="51" ht="25" customHeight="1">
      <c r="B51" s="15" t="str">
        <v>HLO budget subtotal</v>
      </c>
      <c r="H51" s="15">
        <f>SUM(H47:H50)</f>
      </c>
    </row>
  </sheetData>
  <mergeCells count="37">
    <mergeCell ref="A1:A2"/>
    <mergeCell ref="B1:B2"/>
    <mergeCell ref="C1:G1"/>
    <mergeCell ref="H1:H2"/>
    <mergeCell ref="I1:I2"/>
    <mergeCell ref="B3:B6"/>
    <mergeCell ref="H3:H6"/>
    <mergeCell ref="B7:B11"/>
    <mergeCell ref="H7:H11"/>
    <mergeCell ref="B12:B15"/>
    <mergeCell ref="H12:H15"/>
    <mergeCell ref="B16:B18"/>
    <mergeCell ref="H16:H18"/>
    <mergeCell ref="B19:G19"/>
    <mergeCell ref="A3:A19"/>
    <mergeCell ref="B21:B22"/>
    <mergeCell ref="H21:H22"/>
    <mergeCell ref="B24:G24"/>
    <mergeCell ref="A20:A24"/>
    <mergeCell ref="B25:B29"/>
    <mergeCell ref="H25:H29"/>
    <mergeCell ref="B30:B33"/>
    <mergeCell ref="H30:H33"/>
    <mergeCell ref="B34:G34"/>
    <mergeCell ref="A25:A34"/>
    <mergeCell ref="B35:B38"/>
    <mergeCell ref="H35:H38"/>
    <mergeCell ref="B39:B40"/>
    <mergeCell ref="H39:H40"/>
    <mergeCell ref="B41:B43"/>
    <mergeCell ref="H41:H43"/>
    <mergeCell ref="B44:B45"/>
    <mergeCell ref="H44:H45"/>
    <mergeCell ref="B46:G46"/>
    <mergeCell ref="A35:A46"/>
    <mergeCell ref="B51:G51"/>
    <mergeCell ref="A47:A51"/>
  </mergeCells>
  <ignoredErrors>
    <ignoredError numberStoredAsText="1" sqref="A1:I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U.S. Department of Agriculture</v>
      </c>
      <c r="C2" s="11" t="str">
        <v>1.1. All collections conserved according to international standards and best practices, 1.3. Optimized collection composition and structure to represent crop gene pools</v>
      </c>
      <c r="D2" s="11" t="str">
        <v>United States of America</v>
      </c>
      <c r="E2" s="11">
        <v>10000</v>
      </c>
      <c r="F2" s="11" t="str">
        <v>Assuming same budget as 2025</v>
      </c>
    </row>
    <row r="3" ht="70" customHeight="1">
      <c r="A3" s="11" t="str">
        <v>AOW01</v>
      </c>
      <c r="B3" s="11" t="str">
        <v>Katholieke Universiteit Leuven</v>
      </c>
      <c r="C3" s="11" t="str">
        <v>1.1. All collections conserved according to international standards and best practices, 1.2. Innovations to enhance the efficiency of conserving collections, 1.4. Effective and AI-ready data management systems using harmonized data standards across Centers</v>
      </c>
      <c r="D3" s="11" t="str">
        <v>Belgium</v>
      </c>
      <c r="E3" s="11">
        <v>629000</v>
      </c>
      <c r="F3" s="11" t="str">
        <v>Partners budget assuming same as 2025</v>
      </c>
    </row>
    <row r="4" ht="25" customHeight="1">
      <c r="B4" s="14" t="str">
        <v>Contracted partners subtotal</v>
      </c>
      <c r="E4" s="14">
        <f>SUM(E2:E3)</f>
      </c>
    </row>
    <row r="5" ht="70" customHeight="1">
      <c r="A5" s="12" t="str">
        <v>AOW04</v>
      </c>
      <c r="B5" s="11" t="str">
        <v>U.S. Department of Agriculture</v>
      </c>
      <c r="C5" s="11" t="str">
        <v>4.2. Improved diagnostics and novel therapies for efficient germplasm health testing and phytosanitation​</v>
      </c>
      <c r="D5" s="11" t="str">
        <v>United States of America</v>
      </c>
      <c r="E5" s="11">
        <v>0</v>
      </c>
    </row>
    <row r="6" ht="25" customHeight="1">
      <c r="B6" s="14" t="str">
        <v>Contracted partners subtotal</v>
      </c>
      <c r="E6" s="14">
        <f>SUM(E5:E5)</f>
      </c>
    </row>
  </sheetData>
  <mergeCells count="4">
    <mergeCell ref="B4:D4"/>
    <mergeCell ref="A2:A4"/>
    <mergeCell ref="B6:D6"/>
    <mergeCell ref="A5:A6"/>
  </mergeCells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Providing for the long-term funding of ex situ collections of germplasm held by Bioversity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110000</v>
      </c>
      <c r="C2" s="20">
        <v>705400</v>
      </c>
      <c r="D2" s="20">
        <v>0</v>
      </c>
      <c r="E2" s="20">
        <v>10000</v>
      </c>
      <c r="F2" s="20">
        <v>130000</v>
      </c>
      <c r="G2" s="20">
        <v>120000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285000</v>
      </c>
      <c r="C3" s="20">
        <v>70000</v>
      </c>
      <c r="D3" s="20">
        <v>7667</v>
      </c>
      <c r="E3" s="20">
        <v>74317</v>
      </c>
      <c r="F3" s="20">
        <v>4783</v>
      </c>
      <c r="G3" s="20">
        <v>88913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130321</v>
      </c>
      <c r="C4" s="20">
        <v>1111916</v>
      </c>
      <c r="D4" s="20">
        <v>22333</v>
      </c>
      <c r="E4" s="20">
        <v>865683</v>
      </c>
      <c r="F4" s="20">
        <v>20217</v>
      </c>
      <c r="G4" s="20">
        <v>43087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