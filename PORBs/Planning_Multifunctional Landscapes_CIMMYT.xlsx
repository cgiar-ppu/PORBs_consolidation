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4</v>
      </c>
      <c r="C5" s="5">
        <v>75500</v>
      </c>
      <c r="D5" s="2">
        <v>5</v>
      </c>
      <c r="E5" s="5">
        <v>0</v>
      </c>
      <c r="F5" s="2">
        <v>0</v>
      </c>
      <c r="G5" s="5">
        <v>0</v>
      </c>
      <c r="H5" s="2">
        <v>56</v>
      </c>
      <c r="I5" s="5">
        <v>57357</v>
      </c>
      <c r="J5" s="5">
        <v>0</v>
      </c>
      <c r="K5" s="5">
        <v>0</v>
      </c>
      <c r="L5" s="5">
        <v>132857</v>
      </c>
      <c r="M5" s="5">
        <v>438515</v>
      </c>
    </row>
    <row r="6" ht="20" customHeight="1">
      <c r="A6" s="2" t="str">
        <v>AOW02: Landscape Optimization and Inclusive Planning</v>
      </c>
      <c r="B6" s="2">
        <v>1</v>
      </c>
      <c r="C6" s="5">
        <v>24550</v>
      </c>
      <c r="D6" s="2">
        <v>502</v>
      </c>
      <c r="E6" s="5">
        <v>122767</v>
      </c>
      <c r="F6" s="2">
        <v>0</v>
      </c>
      <c r="G6" s="5">
        <v>0</v>
      </c>
      <c r="H6" s="2">
        <v>121</v>
      </c>
      <c r="I6" s="5">
        <v>194910</v>
      </c>
      <c r="J6" s="5">
        <v>0</v>
      </c>
      <c r="K6" s="5">
        <v>0</v>
      </c>
      <c r="L6" s="5">
        <v>342227</v>
      </c>
      <c r="M6" s="5">
        <v>0</v>
      </c>
    </row>
    <row r="7" ht="20" customHeight="1">
      <c r="A7" s="2" t="str">
        <v>AOW03: Business Models, Markets, and Sustainable Finance</v>
      </c>
      <c r="B7" s="2">
        <v>0</v>
      </c>
      <c r="C7" s="5">
        <v>0</v>
      </c>
      <c r="D7" s="2">
        <v>0</v>
      </c>
      <c r="E7" s="5">
        <v>0</v>
      </c>
      <c r="F7" s="2">
        <v>0</v>
      </c>
      <c r="G7" s="5">
        <v>0</v>
      </c>
      <c r="H7" s="2">
        <v>225</v>
      </c>
      <c r="I7" s="5">
        <v>72920</v>
      </c>
      <c r="J7" s="5">
        <v>0</v>
      </c>
      <c r="K7" s="5">
        <v>0</v>
      </c>
      <c r="L7" s="5">
        <v>72920</v>
      </c>
      <c r="M7" s="5">
        <v>0</v>
      </c>
    </row>
    <row r="8" ht="20" customHeight="1">
      <c r="A8" s="2" t="str">
        <v>AOW04: Governance, Institutions, Policy, and Inclusion</v>
      </c>
      <c r="B8" s="2">
        <v>0</v>
      </c>
      <c r="C8" s="5">
        <v>0</v>
      </c>
      <c r="D8" s="2">
        <v>4</v>
      </c>
      <c r="E8" s="5">
        <v>58518</v>
      </c>
      <c r="F8" s="2">
        <v>0</v>
      </c>
      <c r="G8" s="5">
        <v>0</v>
      </c>
      <c r="H8" s="2">
        <v>0</v>
      </c>
      <c r="I8" s="5">
        <v>0</v>
      </c>
      <c r="J8" s="5">
        <v>0</v>
      </c>
      <c r="K8" s="5">
        <v>0</v>
      </c>
      <c r="L8" s="5">
        <v>58518</v>
      </c>
      <c r="M8" s="5">
        <v>76160</v>
      </c>
    </row>
    <row r="9" ht="20" customHeight="1">
      <c r="A9" s="2" t="str">
        <v>AOW05: Performance Assessments &amp; Evidence Generation</v>
      </c>
      <c r="B9" s="2">
        <v>0</v>
      </c>
      <c r="C9" s="5">
        <v>0</v>
      </c>
      <c r="D9" s="2">
        <v>1</v>
      </c>
      <c r="E9" s="5">
        <v>80938</v>
      </c>
      <c r="F9" s="2">
        <v>0</v>
      </c>
      <c r="G9" s="5">
        <v>0</v>
      </c>
      <c r="H9" s="2">
        <v>0</v>
      </c>
      <c r="I9" s="5">
        <v>0</v>
      </c>
      <c r="J9" s="5">
        <v>0</v>
      </c>
      <c r="K9" s="5">
        <v>0</v>
      </c>
      <c r="L9" s="5">
        <v>80938</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v>
      </c>
      <c r="D3" s="11" t="str">
        <v>Number of innovations (innovation development)</v>
      </c>
      <c r="E3" s="11" t="str">
        <v>Country: Kenya, Ethiopia, Tunisia, Peru, Colombia, India, Senegal, Zimbabwe, Tanzania, United Republic</v>
      </c>
      <c r="F3" s="11">
        <v>1</v>
      </c>
      <c r="G3" s="11">
        <v>35500</v>
      </c>
      <c r="H3" s="11">
        <f>SUM(G3:G4)</f>
      </c>
      <c r="I3" s="11" t="str">
        <v>.</v>
      </c>
    </row>
    <row r="4" ht="50" customHeight="1" xml:space="preserve">
      <c r="A4" s="11" t="str">
        <v>AOW01</v>
      </c>
      <c r="C4" s="11" t="str" xml:space="preserve">
        <v xml:space="preserve">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v>
      </c>
      <c r="D4" s="11" t="str">
        <v xml:space="preserve"> Number of institutions trained to apply the framework on multifunctionality assessment</v>
      </c>
      <c r="E4" s="11" t="str">
        <v>Country: Tunisia, Peru, Kenya, Colombia, Zimbabwe, Senegal</v>
      </c>
      <c r="F4" s="11">
        <v>6</v>
      </c>
      <c r="G4" s="11">
        <v>10000</v>
      </c>
      <c r="I4" s="11" t="str">
        <v>.</v>
      </c>
    </row>
    <row r="5" ht="50" customHeight="1" xml:space="preserve">
      <c r="A5" s="11" t="str">
        <v>AOW01</v>
      </c>
      <c r="B5" s="11" t="str">
        <v>OP 1.1.2. – Climate-smart adaptation &amp; mitigation bundles</v>
      </c>
      <c r="C5" s="11" t="str" xml:space="preserve">
        <v xml:space="preserve">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v>
      </c>
      <c r="D5" s="11" t="str">
        <v xml:space="preserve"> Number of mother and baby trials for agroecological solutions established</v>
      </c>
      <c r="E5" s="11" t="str">
        <v>Country: Zimbabwe</v>
      </c>
      <c r="F5" s="11">
        <v>50</v>
      </c>
      <c r="G5" s="11">
        <v>47357</v>
      </c>
      <c r="H5" s="11">
        <f>SUM(G5:G6)</f>
      </c>
      <c r="I5" s="11" t="str">
        <v>.</v>
      </c>
    </row>
    <row r="6" ht="50" customHeight="1">
      <c r="A6" s="11" t="str">
        <v>AOW01</v>
      </c>
      <c r="C6" s="11" t="str">
        <v>Number of recommendations for Climate-Integrated Landscape Management</v>
      </c>
      <c r="D6" s="11" t="str">
        <v>Number of knowledge products</v>
      </c>
      <c r="E6" s="11" t="str">
        <v>Country: Cambodia, Zimbabwe, Tunisia, Lao People's Democratic Republic, Kenya, Peru, The Socialist Republic of Viet Nam, Senegal, India, Colombia, Tanzania, United Republic</v>
      </c>
      <c r="F6" s="11">
        <v>5</v>
      </c>
      <c r="G6" s="11">
        <v>0</v>
      </c>
    </row>
    <row r="7" ht="50" customHeight="1" xml:space="preserve">
      <c r="A7" s="11" t="str">
        <v>AOW01</v>
      </c>
      <c r="B7" s="11" t="str">
        <v>OP 1.2.4. – Protected area solutions</v>
      </c>
      <c r="C7" s="11" t="str" xml:space="preserve">
        <v xml:space="preserve">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circular bioinputs innovations tested</v>
      </c>
      <c r="D7" s="11" t="str">
        <v>Number of innovations (innovation development)</v>
      </c>
      <c r="E7" s="11" t="str">
        <v>Country: Colombia</v>
      </c>
      <c r="F7" s="11">
        <v>1</v>
      </c>
      <c r="G7" s="11">
        <v>20000</v>
      </c>
      <c r="H7" s="11">
        <f>SUM(G7:G7)</f>
      </c>
      <c r="I7" s="11" t="str">
        <v>.</v>
      </c>
    </row>
    <row r="8" ht="50" customHeight="1" xml:space="preserve">
      <c r="A8" s="11" t="str">
        <v>AOW01</v>
      </c>
      <c r="B8" s="11" t="str">
        <v>OP 1.2.5. – Nutrition-sensitive innovations</v>
      </c>
      <c r="C8" s="11" t="str" xml:space="preserve">
        <v xml:space="preserve">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strengthened</v>
      </c>
      <c r="D8" s="11" t="str">
        <v>Number of innovations (innovation development)</v>
      </c>
      <c r="E8" s="11" t="str">
        <v>Country: Colombia, Zimbabwe</v>
      </c>
      <c r="F8" s="11">
        <v>2</v>
      </c>
      <c r="G8" s="11">
        <v>20000</v>
      </c>
      <c r="H8" s="11">
        <f>SUM(G8:G8)</f>
      </c>
      <c r="I8" s="11" t="str">
        <v>.</v>
      </c>
    </row>
    <row r="9" ht="25" customHeight="1">
      <c r="B9" s="14" t="str">
        <v>HLO budget subtotal</v>
      </c>
      <c r="H9" s="15">
        <f>SUM(H3:H8)</f>
      </c>
    </row>
    <row r="10" ht="50" customHeight="1" xml:space="preserve">
      <c r="A10" s="13" t="str">
        <v>AOW02</v>
      </c>
      <c r="B10" s="11" t="str">
        <v>OP 2.2.2. – Landscape visions &amp; co-developed plans</v>
      </c>
      <c r="C10" s="11" t="str" xml:space="preserve">
        <v xml:space="preserve">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v>
      </c>
      <c r="D10" s="11" t="str">
        <v xml:space="preserve"> Number of multistakeholder groups actively participating in co-creation</v>
      </c>
      <c r="E10" s="11" t="str">
        <v>Country: Tunisia, Senegal, Kenya, Tanzania, United Republic, Ethiopia, Zimbabwe</v>
      </c>
      <c r="F10" s="11">
        <v>20</v>
      </c>
      <c r="G10" s="11">
        <v>80000</v>
      </c>
      <c r="H10" s="11">
        <f>SUM(G10:G13)</f>
      </c>
      <c r="I10" s="11" t="str">
        <v>.</v>
      </c>
    </row>
    <row r="11" ht="50" customHeight="1" xml:space="preserve">
      <c r="A11" s="11" t="str">
        <v>AOW02</v>
      </c>
      <c r="C11" s="11" t="str" xml:space="preserve">
        <v xml:space="preserve">Deliverable - Landscape Vision to Action (LV2A) Implementation – Zimbabwe: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v>
      </c>
      <c r="D11" s="11" t="str">
        <v>Number of multistakeholder processes</v>
      </c>
      <c r="E11" s="11" t="str">
        <v>Country: Zimbabwe</v>
      </c>
      <c r="F11" s="11">
        <v>1</v>
      </c>
      <c r="G11" s="11">
        <v>30687</v>
      </c>
      <c r="I11" s="11" t="str">
        <v>.</v>
      </c>
    </row>
    <row r="12" ht="50" customHeight="1" xml:space="preserve">
      <c r="A12" s="11" t="str">
        <v>AOW02</v>
      </c>
      <c r="C12" s="11" t="str" xml:space="preserve">
        <v xml:space="preserve">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v>
      </c>
      <c r="D12" s="11" t="str">
        <v>Number of knowledge products</v>
      </c>
      <c r="E12" s="11" t="str">
        <v>Global</v>
      </c>
      <c r="F12" s="11">
        <v>2</v>
      </c>
      <c r="G12" s="11">
        <v>36824</v>
      </c>
      <c r="I12" s="11" t="str">
        <v>.</v>
      </c>
    </row>
    <row r="13" ht="50" customHeight="1" xml:space="preserve">
      <c r="A13" s="11" t="str">
        <v>AOW02</v>
      </c>
      <c r="C13" s="11" t="str" xml:space="preserve">
        <v xml:space="preserve">Deliverable - Landscape Vision to Action (LV2A) Innovation Product – Dashboard Coordination: Coordinate and support the implementation of the LV2A innovation product across participating countries through development of a dashboard. 
Indicator: Number of Vision To Action dashboards</v>
      </c>
      <c r="D13" s="11" t="str">
        <v>Number of innovations (innovation development)</v>
      </c>
      <c r="E13" s="11" t="str">
        <v>Global</v>
      </c>
      <c r="F13" s="11">
        <v>1</v>
      </c>
      <c r="G13" s="11">
        <v>24550</v>
      </c>
      <c r="I13" s="11" t="str">
        <v>.</v>
      </c>
    </row>
    <row r="14" ht="50" customHeight="1" xml:space="preserve">
      <c r="A14" s="11" t="str">
        <v>AOW02</v>
      </c>
      <c r="B14" s="11" t="str">
        <v>OP 2.2.3. – Integrated planning &amp; scenarios</v>
      </c>
      <c r="C14" s="11" t="str" xml:space="preserve">
        <v xml:space="preserve">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v>
      </c>
      <c r="D14" s="11" t="str">
        <v>Number of knowledge products</v>
      </c>
      <c r="E14" s="11" t="str">
        <v>Country: Kenya, Senegal, Tunisia, Zimbabwe, Ethiopia</v>
      </c>
      <c r="F14" s="11">
        <v>500</v>
      </c>
      <c r="G14" s="11">
        <v>85943</v>
      </c>
      <c r="H14" s="11">
        <f>SUM(G14:G15)</f>
      </c>
      <c r="I14" s="11" t="str">
        <v>.</v>
      </c>
    </row>
    <row r="15" ht="50" customHeight="1" xml:space="preserve">
      <c r="A15" s="11" t="str">
        <v>AOW02</v>
      </c>
      <c r="C15" s="11" t="str" xml:space="preserve">
        <v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
</v>
      </c>
      <c r="D15" s="11" t="str">
        <v>Number of stakeholders involved in exchange visits</v>
      </c>
      <c r="E15" s="11" t="str">
        <v>Country: Tunisia, Senegal, Kenya, Zimbabwe, Tanzania, United Republic, Ethiopia</v>
      </c>
      <c r="F15" s="11">
        <v>100</v>
      </c>
      <c r="G15" s="11">
        <v>84223</v>
      </c>
      <c r="I15" s="11" t="str">
        <v>.</v>
      </c>
    </row>
    <row r="16" ht="25" customHeight="1">
      <c r="B16" s="15" t="str">
        <v>HLO budget subtotal</v>
      </c>
      <c r="H16" s="15">
        <f>SUM(H10:H15)</f>
      </c>
    </row>
    <row r="17" ht="50" customHeight="1" xml:space="preserve">
      <c r="A17" s="13" t="str">
        <v>AOW03</v>
      </c>
      <c r="B17" s="11" t="str">
        <v>OP 3.2.2. Inclusive business models</v>
      </c>
      <c r="C17" s="11" t="str" xml:space="preserve">
        <v xml:space="preserve">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v>
      </c>
      <c r="D17" s="11" t="str">
        <v xml:space="preserve"> Number of stakeholders engaged in the co-design of inclusive business models optimizing landscape multifunctionality</v>
      </c>
      <c r="E17" s="11" t="str">
        <v>Country: Zimbabwe</v>
      </c>
      <c r="F17" s="11">
        <v>225</v>
      </c>
      <c r="G17" s="11">
        <v>72920</v>
      </c>
      <c r="H17" s="11">
        <f>SUM(G17:G17)</f>
      </c>
      <c r="I17" s="11" t="str">
        <v>.</v>
      </c>
    </row>
    <row r="18" ht="25" customHeight="1">
      <c r="B18" s="15" t="str">
        <v>HLO budget subtotal</v>
      </c>
      <c r="H18" s="15">
        <f>SUM(H17:H17)</f>
      </c>
    </row>
    <row r="19" ht="50" customHeight="1" xml:space="preserve">
      <c r="A19" s="13" t="str">
        <v>AOW04</v>
      </c>
      <c r="B19" s="11" t="str">
        <v>OP 4.1.2 GEYSI for co-creation and inclusive governance</v>
      </c>
      <c r="C19" s="11" t="str" xml:space="preserve">
        <v xml:space="preserve">Deliverable: Qualitative research and participatory analysis identifying barriers, enablers, and opportunities for women’s leadership in seed systems and biodiversity conservation within multifunctional landscapes, generating evidence and recommendations for equitable governance and policy processes.
Indicator: Number of assessments of barriers, enables and opportunities for women's leadership in seed systems and biodiversity conservation implemented
</v>
      </c>
      <c r="D19" s="11" t="str">
        <v>Number of knowledge products</v>
      </c>
      <c r="E19" s="11" t="str">
        <v>Country: Zimbabwe, Colombia</v>
      </c>
      <c r="F19" s="11">
        <v>2</v>
      </c>
      <c r="G19" s="11">
        <v>43752</v>
      </c>
      <c r="H19" s="11">
        <f>SUM(G19:G21)</f>
      </c>
      <c r="I19" s="11" t="str">
        <v>.</v>
      </c>
    </row>
    <row r="20" ht="50" customHeight="1" xml:space="preserve">
      <c r="A20" s="11" t="str">
        <v>AOW04</v>
      </c>
      <c r="C20" s="11" t="str" xml:space="preserve">
        <v xml:space="preserve">Deliverable: Youth and women agency and policy change assessment
Indicator: Number of assessments on women agency and policy change implemented
</v>
      </c>
      <c r="D20" s="11" t="str">
        <v>Number of knowledge products</v>
      </c>
      <c r="E20" s="11" t="str">
        <v>Country: Zimbabwe</v>
      </c>
      <c r="F20" s="11">
        <v>1</v>
      </c>
      <c r="G20" s="11">
        <v>9297</v>
      </c>
      <c r="I20" s="11" t="str">
        <v>.</v>
      </c>
    </row>
    <row r="21" ht="50" customHeight="1" xml:space="preserve">
      <c r="A21" s="11" t="str">
        <v>AOW04</v>
      </c>
      <c r="C21" s="11" t="str" xml:space="preserve">
        <v xml:space="preserve">Deliverable: Empowered youth and indigenous leaders
Indicator: Number of publications, reports or briefs on youth and indigenous leaders empowerment
</v>
      </c>
      <c r="D21" s="11" t="str">
        <v>Number of knowledge products</v>
      </c>
      <c r="E21" s="11" t="str">
        <v>Global</v>
      </c>
      <c r="F21" s="11">
        <v>1</v>
      </c>
      <c r="G21" s="11">
        <v>5469</v>
      </c>
      <c r="I21" s="11" t="str">
        <v>.</v>
      </c>
    </row>
    <row r="22" ht="25" customHeight="1">
      <c r="B22" s="15" t="str">
        <v>HLO budget subtotal</v>
      </c>
      <c r="H22" s="15">
        <f>SUM(H19:H21)</f>
      </c>
    </row>
    <row r="23" ht="50" customHeight="1" xml:space="preserve">
      <c r="A23" s="13" t="str">
        <v>AOW05</v>
      </c>
      <c r="B23" s="11" t="str">
        <v>OP 5.1.3. Cross-CGIAR assessment frameworks of impact indicators</v>
      </c>
      <c r="C23" s="11" t="str" xml:space="preserve">
        <v xml:space="preserve">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v>
      </c>
      <c r="D23" s="11" t="str">
        <v>Number of knowledge products</v>
      </c>
      <c r="E23" s="11" t="str">
        <v>Global</v>
      </c>
      <c r="F23" s="11">
        <v>1</v>
      </c>
      <c r="G23" s="11">
        <v>80938</v>
      </c>
      <c r="H23" s="11">
        <f>SUM(G23:G23)</f>
      </c>
      <c r="I23" s="11" t="str">
        <v>.</v>
      </c>
    </row>
    <row r="24" ht="25" customHeight="1">
      <c r="B24" s="15" t="str">
        <v>HLO budget subtotal</v>
      </c>
      <c r="H24" s="15">
        <f>SUM(H23:H23)</f>
      </c>
    </row>
  </sheetData>
  <mergeCells count="25">
    <mergeCell ref="A1:A2"/>
    <mergeCell ref="B1:B2"/>
    <mergeCell ref="C1:G1"/>
    <mergeCell ref="H1:H2"/>
    <mergeCell ref="I1:I2"/>
    <mergeCell ref="B3:B4"/>
    <mergeCell ref="H3:H4"/>
    <mergeCell ref="B5:B6"/>
    <mergeCell ref="H5:H6"/>
    <mergeCell ref="B9:G9"/>
    <mergeCell ref="A3:A9"/>
    <mergeCell ref="B10:B13"/>
    <mergeCell ref="H10:H13"/>
    <mergeCell ref="B14:B15"/>
    <mergeCell ref="H14:H15"/>
    <mergeCell ref="B16:G16"/>
    <mergeCell ref="A10:A16"/>
    <mergeCell ref="B18:G18"/>
    <mergeCell ref="A17:A18"/>
    <mergeCell ref="B19:B21"/>
    <mergeCell ref="H19:H21"/>
    <mergeCell ref="B22:G22"/>
    <mergeCell ref="A19:A22"/>
    <mergeCell ref="B24:G24"/>
    <mergeCell ref="A23:A24"/>
  </mergeCells>
  <ignoredErrors>
    <ignoredError numberStoredAsText="1" sqref="A1:I2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V0179-Intercropping project CROP/2022/111</v>
      </c>
      <c r="B2" s="19" t="str">
        <v>AOW00</v>
      </c>
      <c r="C2" s="18" t="str">
        <v>Environmental Health and Biodiversity</v>
      </c>
      <c r="D2" s="19">
        <v>0</v>
      </c>
      <c r="E2" s="19" t="str">
        <f>=SUM(D2:D3)</f>
        <v>0</v>
      </c>
    </row>
    <row r="3" ht="30" customHeight="1">
      <c r="A3" s="18" t="str">
        <v>V0179-Intercropping project CROP/2022/111</v>
      </c>
      <c r="B3" s="19" t="str">
        <v>AOW01</v>
      </c>
      <c r="C3" s="18" t="str">
        <v>I-OC 1.2 Research institutes, extension agents, NGOs and private sector actors disseminate evidence-based AE+ solutions and innovations, and/or their bundles</v>
      </c>
      <c r="D3" s="19">
        <v>438515</v>
      </c>
      <c r="F3" s="19" t="str">
        <v>.</v>
      </c>
    </row>
    <row r="4" ht="30" customHeight="1">
      <c r="A4" s="18" t="str">
        <v>V0165-ACIAR-ICCCAD</v>
      </c>
      <c r="B4" s="19" t="str">
        <v>AOW04</v>
      </c>
      <c r="C4" s="18" t="str">
        <v>OP 4.1.1. Inclusive governance architectures</v>
      </c>
      <c r="D4" s="19">
        <v>76160</v>
      </c>
      <c r="E4" s="19" t="str">
        <f>=SUM(D4:D5)</f>
        <v>0</v>
      </c>
      <c r="F4" s="19" t="str">
        <v>.</v>
      </c>
    </row>
    <row r="5" ht="30" customHeight="1">
      <c r="A5" s="18" t="str">
        <v>V0165-ACIAR-ICCCAD</v>
      </c>
      <c r="B5" s="19" t="str">
        <v>AOW00</v>
      </c>
      <c r="C5" s="18" t="str">
        <v>2030 OC-2. National and sub-national public actors, farmers, herders and fishers groups, local communities, private sector, NGOs and CSOs actively implement and sustain inclusive land and resource use plans and governance mechanisms</v>
      </c>
      <c r="D5" s="19">
        <v>0</v>
      </c>
    </row>
    <row r="6" ht="30" customHeight="1">
      <c r="A6" s="3" t="str">
        <v>W3/Bilateral projects subtotal</v>
      </c>
      <c r="E6" s="3">
        <f>SUM(E2:E5)</f>
      </c>
    </row>
  </sheetData>
  <mergeCells count="5">
    <mergeCell ref="A2:A3"/>
    <mergeCell ref="A4:A5"/>
    <mergeCell ref="E2:E3"/>
    <mergeCell ref="E4:E5"/>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150000</v>
      </c>
      <c r="C3" s="20">
        <v>66428</v>
      </c>
      <c r="D3" s="20">
        <v>214085</v>
      </c>
      <c r="E3" s="20">
        <v>36460</v>
      </c>
      <c r="F3" s="20">
        <v>29259</v>
      </c>
      <c r="G3" s="20">
        <v>40469</v>
      </c>
      <c r="H3" s="20" t="str">
        <f>=SUM(B3:G3)</f>
        <v>0</v>
      </c>
    </row>
    <row r="4" ht="20" customHeight="1">
      <c r="A4" s="20" t="str">
        <v>Staffing, Chargebacks and Indirect</v>
      </c>
      <c r="B4" s="20">
        <v>110000</v>
      </c>
      <c r="C4" s="20">
        <v>66429</v>
      </c>
      <c r="D4" s="20">
        <v>128142</v>
      </c>
      <c r="E4" s="20">
        <v>36460</v>
      </c>
      <c r="F4" s="20">
        <v>29259</v>
      </c>
      <c r="G4" s="20">
        <v>40469</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