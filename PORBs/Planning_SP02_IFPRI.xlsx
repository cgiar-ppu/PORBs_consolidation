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Accelerating AI-Enabled Farm Advisory at Scale.</v>
      </c>
      <c r="B5" s="2">
        <v>0</v>
      </c>
      <c r="C5" s="5">
        <v>0</v>
      </c>
      <c r="D5" s="2">
        <v>3</v>
      </c>
      <c r="E5" s="5">
        <v>124681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124681</v>
      </c>
      <c r="M5" s="5">
        <v>0</v>
      </c>
    </row>
    <row r="6" ht="20" customHeight="1">
      <c r="A6" s="2" t="str">
        <v>AOW02: Enabling Preparedness and Rapid Response to Emerging Shocks</v>
      </c>
      <c r="B6" s="2">
        <v>0</v>
      </c>
      <c r="C6" s="5">
        <v>0</v>
      </c>
      <c r="D6" s="2">
        <v>1</v>
      </c>
      <c r="E6" s="5">
        <v>33254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33254</v>
      </c>
      <c r="M6" s="5">
        <v>0</v>
      </c>
    </row>
    <row r="7" ht="20" customHeight="1">
      <c r="A7" s="2" t="str">
        <v>AOW03: Delivering Integrated Solutions to Systemic Farm-Level Binding Constraints</v>
      </c>
      <c r="B7" s="2">
        <v>0</v>
      </c>
      <c r="C7" s="5">
        <v>0</v>
      </c>
      <c r="D7" s="2">
        <v>4</v>
      </c>
      <c r="E7" s="5">
        <v>109762.66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109763</v>
      </c>
      <c r="M7" s="5">
        <v>0</v>
      </c>
    </row>
    <row r="8" ht="20" customHeight="1">
      <c r="A8" s="2" t="str">
        <v>AOW04: Incubating Innovation in Sustainable Farming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Accelerating Impact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73983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Funding allocation is accessible to the Program Director to address emerging opportunities and gaps, and strategic Program Level issues</v>
      </c>
      <c r="D2" s="11">
        <v>0</v>
      </c>
    </row>
    <row r="3" ht="45" customHeight="1">
      <c r="A3" s="11" t="str">
        <v>AOW00</v>
      </c>
      <c r="B3" s="11" t="str">
        <v xml:space="preserve">Program Level Communication </v>
      </c>
      <c r="C3" s="11" t="str">
        <v>Implementation of the 2026 Communication activities informed by the SFP Communications Strategy</v>
      </c>
      <c r="D3" s="11">
        <v>0</v>
      </c>
    </row>
    <row r="4" ht="45" customHeight="1">
      <c r="A4" s="11" t="str">
        <v>AOW00</v>
      </c>
      <c r="B4" s="11" t="str">
        <v xml:space="preserve">Other PMU Operations </v>
      </c>
      <c r="C4" s="11" t="str">
        <v>Travel, office supplies, and services, charge back, etc., for the PMU team</v>
      </c>
      <c r="D4" s="11">
        <v>0</v>
      </c>
    </row>
    <row r="5" ht="45" customHeight="1">
      <c r="A5" s="11" t="str">
        <v>AOW00</v>
      </c>
      <c r="B5" s="11" t="str">
        <v>Program Director and Associated Costs</v>
      </c>
      <c r="C5" s="11" t="str">
        <v>Program Director FTE, general administrative support, meetings and workshops, travel, smaller consultancies, and miscellaneous operating costs.</v>
      </c>
      <c r="D5" s="11">
        <v>0</v>
      </c>
    </row>
    <row r="6" ht="45" customHeight="1">
      <c r="A6" s="11" t="str">
        <v>AOW00</v>
      </c>
      <c r="B6" s="11" t="str">
        <v xml:space="preserve">PMU Team </v>
      </c>
      <c r="C6" s="11" t="str">
        <v>FTE for the Program Coordinator and MELIA Focal Point, and allowing for technical support for Communication, Finance, and Administration Functions.</v>
      </c>
      <c r="D6" s="11">
        <v>0</v>
      </c>
    </row>
    <row r="7" ht="45" customHeight="1">
      <c r="A7" s="11" t="str">
        <v>AOW00</v>
      </c>
      <c r="B7" s="11" t="str">
        <v xml:space="preserve">Area of Work (AoW) Leaders </v>
      </c>
      <c r="C7" s="11" t="str">
        <v xml:space="preserve">5 AoW Leads FTEs as guided by the SO 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Implementation of the 2026 Program Level MELIA activities, informed by the overall Program MELIA Plan</v>
      </c>
      <c r="D8" s="11">
        <v>0</v>
      </c>
    </row>
    <row r="9" ht="45" customHeight="1">
      <c r="A9" s="11" t="str">
        <v>AOW00</v>
      </c>
      <c r="B9" s="11" t="str">
        <v>CGIAR Program Finance Support</v>
      </c>
      <c r="C9" s="11" t="str">
        <v>Shared Portfolio-Level Finance Support Services</v>
      </c>
      <c r="D9" s="11">
        <v>0</v>
      </c>
    </row>
    <row r="10" ht="45" customHeight="1">
      <c r="A10" s="11" t="str">
        <v>AOW00</v>
      </c>
      <c r="B10" s="11" t="str">
        <v>Program Leadership Meetings</v>
      </c>
      <c r="C10" s="11" t="str">
        <v>In-person planning, oversight, and progress review leadership meetings, including an annual pause and reflect forum.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 xml:space="preserve">1.2: Benchmarking and performance validation systems </v>
      </c>
      <c r="C3" s="11" t="str">
        <v>Science-based standard protocols, methodologies and benchmarks for independent in-field and external performance evaluations of AI and digital systems and advisories</v>
      </c>
      <c r="D3" s="11" t="str">
        <v>Number of knowledge products</v>
      </c>
      <c r="E3" s="11" t="str">
        <v>Country: India, Ethiopia, Kenya</v>
      </c>
      <c r="F3" s="11">
        <v>2</v>
      </c>
      <c r="G3" s="11">
        <v>62341</v>
      </c>
      <c r="H3" s="11">
        <f>SUM(G3:G4)</f>
      </c>
      <c r="I3" s="11" t="str">
        <v>2026 Budget</v>
      </c>
    </row>
    <row r="4" ht="50" customHeight="1">
      <c r="A4" s="11" t="str">
        <v>AOW01</v>
      </c>
      <c r="C4" s="11" t="str">
        <v>Policy and investment-relevant evidence on the impact, inclusiveness, cost-effectiveness, and return on investment on AI-enabled advisory services made available to stakeholders</v>
      </c>
      <c r="D4" s="11" t="str">
        <v>Number of knowledge products</v>
      </c>
      <c r="E4" s="11" t="str">
        <v>Country: Kenya</v>
      </c>
      <c r="F4" s="11">
        <v>1</v>
      </c>
      <c r="G4" s="11">
        <v>62340</v>
      </c>
      <c r="I4" s="11" t="str">
        <v>2026 budget</v>
      </c>
    </row>
    <row r="5" ht="25" customHeight="1">
      <c r="B5" s="14" t="str">
        <v>HLO budget subtotal</v>
      </c>
      <c r="H5" s="15">
        <f>SUM(H3:H4)</f>
      </c>
    </row>
    <row r="6" ht="50" customHeight="1">
      <c r="A6" s="13" t="str">
        <v>AOW02</v>
      </c>
      <c r="B6" s="11" t="str">
        <v xml:space="preserve">2.1: Enhanced resolution, accuracy and timeliness of early warning system </v>
      </c>
      <c r="C6" s="11" t="str">
        <v>Enhanced data sets to enhance detection, distribution, diversity and forecasting of current and emerging pests or diseases for different cropping systems (yam, bean, cassava, banana, sorghum, potato, and sweet potato)</v>
      </c>
      <c r="D6" s="11" t="str">
        <v>Number of knowledge products</v>
      </c>
      <c r="E6" s="11" t="str">
        <v>Country: Ethiopia, Tanzania, United Republic, Togo, Niger, Zambia, Burkina Faso, South Sudan, Kenya, Mozambique, Uganda, Colombia, Ghana, Senegal, Zimbabwe, Cameroon, Mali, India, Chad, Nigeria</v>
      </c>
      <c r="F6" s="11">
        <v>1</v>
      </c>
      <c r="G6" s="11">
        <v>33254</v>
      </c>
      <c r="H6" s="11">
        <f>SUM(G6:G6)</f>
      </c>
      <c r="I6" s="11" t="str">
        <v>2026 Budget</v>
      </c>
    </row>
    <row r="7" ht="25" customHeight="1">
      <c r="B7" s="15" t="str">
        <v>HLO budget subtotal</v>
      </c>
      <c r="H7" s="15">
        <f>SUM(H6:H6)</f>
      </c>
    </row>
    <row r="8" ht="50" customHeight="1">
      <c r="A8" s="13" t="str">
        <v>AOW03</v>
      </c>
      <c r="B8" s="11" t="str">
        <v xml:space="preserve">3.3: Scaled and adopted farm management solutions </v>
      </c>
      <c r="C8" s="11" t="str">
        <v>KPI 6: Systematic assessment capturing farmer uptake, contextual adaptation, and scaling trajectories of validated solutions addressing binding constraints</v>
      </c>
      <c r="D8" s="11" t="str">
        <v>Number of knowledge products</v>
      </c>
      <c r="E8" s="11" t="str">
        <v>Country: Malawi, Kenya</v>
      </c>
      <c r="F8" s="11">
        <v>4</v>
      </c>
      <c r="G8" s="11">
        <v>109762.66</v>
      </c>
      <c r="H8" s="11">
        <f>SUM(G8:G8)</f>
      </c>
      <c r="I8" s="11" t="str">
        <v>2026 Budget</v>
      </c>
    </row>
    <row r="9" ht="25" customHeight="1">
      <c r="B9" s="15" t="str">
        <v>HLO budget subtotal</v>
      </c>
      <c r="H9" s="15">
        <f>SUM(H8:H8)</f>
      </c>
    </row>
  </sheetData>
  <mergeCells count="13">
    <mergeCell ref="A1:A2"/>
    <mergeCell ref="B1:B2"/>
    <mergeCell ref="C1:G1"/>
    <mergeCell ref="H1:H2"/>
    <mergeCell ref="I1:I2"/>
    <mergeCell ref="B3:B4"/>
    <mergeCell ref="H3:H4"/>
    <mergeCell ref="B5:G5"/>
    <mergeCell ref="A3:A5"/>
    <mergeCell ref="B7:G7"/>
    <mergeCell ref="A6:A7"/>
    <mergeCell ref="B9:G9"/>
    <mergeCell ref="A8:A9"/>
  </mergeCells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N-632001-EFF CASH TXFR ON COFFE PR</v>
      </c>
      <c r="B2" s="19" t="str">
        <v>AOW05</v>
      </c>
      <c r="C2" s="18" t="str">
        <v xml:space="preserve">5.2: Well- documented and communicated SFP impact assessments </v>
      </c>
      <c r="D2" s="19">
        <v>73983</v>
      </c>
      <c r="E2" s="19" t="str">
        <f>=SUM(D2:D3)</f>
        <v>0</v>
      </c>
      <c r="F2" s="19" t="str">
        <v>2026 budget</v>
      </c>
    </row>
    <row r="3" ht="30" customHeight="1">
      <c r="A3" s="18" t="str">
        <v>N-632001-EFF CASH TXFR ON COFFE PR</v>
      </c>
      <c r="B3" s="19" t="str">
        <v>AOW03</v>
      </c>
      <c r="C3" s="18" t="str">
        <v xml:space="preserve">3.2. Validated, farm-level management solutions </v>
      </c>
      <c r="D3" s="19">
        <v>0</v>
      </c>
    </row>
    <row r="4" ht="30" customHeight="1">
      <c r="A4" s="3" t="str">
        <v>W3/Bilateral projects subtotal</v>
      </c>
      <c r="E4" s="3">
        <f>SUM(E2:E3)</f>
      </c>
    </row>
  </sheetData>
  <mergeCells count="3">
    <mergeCell ref="A2:A3"/>
    <mergeCell ref="E2:E3"/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 xml:space="preserve">
      <c r="A2" s="18" t="str" xml:space="preserve">
        <v xml:space="preserve">Digital inclusivity of AI advisories and SFP solutions assessed using CGIAR Inclusivity Index to ensure equitable access for women, youth, and disadvantaged groups.
 </v>
      </c>
      <c r="B2" s="19" t="str">
        <v>AOW00</v>
      </c>
      <c r="C2" s="18" t="str">
        <v xml:space="preserve">5b: CGIAR and its partners leverage standardized tools, MELIA frameworks, partnership platforms, and FAIR, AI-ready </v>
      </c>
      <c r="D2" s="19">
        <v>0</v>
      </c>
      <c r="E2" s="19" t="str">
        <f>=SUM(D2:D4)</f>
        <v>0</v>
      </c>
    </row>
    <row r="3" ht="30" customHeight="1" xml:space="preserve">
      <c r="A3" s="18" t="str" xml:space="preserve">
        <v xml:space="preserve">Digital inclusivity of AI advisories and SFP solutions assessed using CGIAR Inclusivity Index to ensure equitable access for women, youth, and disadvantaged groups.
 </v>
      </c>
      <c r="B3" s="19" t="str">
        <v>AOW05</v>
      </c>
      <c r="C3" s="18" t="str">
        <v xml:space="preserve">5.4: SFP teams and partners use Standard MELIA tools and KPI framework </v>
      </c>
      <c r="D3" s="19">
        <v>0</v>
      </c>
    </row>
    <row r="4" ht="30" customHeight="1" xml:space="preserve">
      <c r="A4" s="18" t="str" xml:space="preserve">
        <v xml:space="preserve">Digital inclusivity of AI advisories and SFP solutions assessed using CGIAR Inclusivity Index to ensure equitable access for women, youth, and disadvantaged groups.
 </v>
      </c>
      <c r="B4" s="19" t="str">
        <v>AOW01</v>
      </c>
      <c r="C4" s="18" t="str">
        <v xml:space="preserve">1.3: Partners adopt benchmarking tools </v>
      </c>
      <c r="D4" s="19">
        <v>0</v>
      </c>
    </row>
    <row r="5" ht="30" customHeight="1">
      <c r="A5" s="3" t="str">
        <v>MELIA Studies Budget subtotal</v>
      </c>
      <c r="E5" s="3">
        <f>SUM(E2:E4)</f>
      </c>
    </row>
  </sheetData>
  <mergeCells count="3">
    <mergeCell ref="A2:A4"/>
    <mergeCell ref="E2:E4"/>
    <mergeCell ref="A5:D5"/>
  </mergeCells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37404</v>
      </c>
      <c r="D3" s="20">
        <v>0</v>
      </c>
      <c r="E3" s="20">
        <v>0</v>
      </c>
      <c r="F3" s="20">
        <v>0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87277</v>
      </c>
      <c r="D4" s="20">
        <v>33254</v>
      </c>
      <c r="E4" s="20">
        <v>109763</v>
      </c>
      <c r="F4" s="20">
        <v>0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