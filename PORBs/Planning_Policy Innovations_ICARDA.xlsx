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Foresight and Prioritization </v>
      </c>
      <c r="B5" s="2">
        <v>0</v>
      </c>
      <c r="C5" s="5">
        <v>0</v>
      </c>
      <c r="D5" s="2">
        <v>0</v>
      </c>
      <c r="E5" s="5">
        <v>0</v>
      </c>
      <c r="F5" s="2">
        <v>0</v>
      </c>
      <c r="G5" s="5">
        <v>0</v>
      </c>
      <c r="H5" s="2">
        <v>0</v>
      </c>
      <c r="I5" s="5">
        <v>0</v>
      </c>
      <c r="J5" s="5">
        <v>0</v>
      </c>
      <c r="K5" s="5">
        <v>0</v>
      </c>
      <c r="L5" s="5">
        <v>0</v>
      </c>
      <c r="M5" s="5">
        <v>0</v>
      </c>
    </row>
    <row r="6" ht="20" customHeight="1">
      <c r="A6" s="2" t="str">
        <v xml:space="preserve">AOW02: Market-led Food Systems Transformation </v>
      </c>
      <c r="B6" s="2">
        <v>0</v>
      </c>
      <c r="C6" s="5">
        <v>0</v>
      </c>
      <c r="D6" s="2">
        <v>0</v>
      </c>
      <c r="E6" s="5">
        <v>0</v>
      </c>
      <c r="F6" s="2">
        <v>0</v>
      </c>
      <c r="G6" s="5">
        <v>0</v>
      </c>
      <c r="H6" s="2">
        <v>10</v>
      </c>
      <c r="I6" s="5">
        <v>223804</v>
      </c>
      <c r="J6" s="5">
        <v>0</v>
      </c>
      <c r="K6" s="5">
        <v>0</v>
      </c>
      <c r="L6" s="5">
        <v>223804</v>
      </c>
      <c r="M6" s="5">
        <v>62759</v>
      </c>
    </row>
    <row r="7" ht="20" customHeight="1">
      <c r="A7" s="2" t="str">
        <v xml:space="preserve">AOW03: Governance and Political Economy </v>
      </c>
      <c r="B7" s="2">
        <v>0</v>
      </c>
      <c r="C7" s="5">
        <v>0</v>
      </c>
      <c r="D7" s="2">
        <v>0</v>
      </c>
      <c r="E7" s="5">
        <v>0</v>
      </c>
      <c r="F7" s="2">
        <v>0</v>
      </c>
      <c r="G7" s="5">
        <v>0</v>
      </c>
      <c r="H7" s="2">
        <v>0</v>
      </c>
      <c r="I7" s="5">
        <v>0</v>
      </c>
      <c r="J7" s="5">
        <v>0</v>
      </c>
      <c r="K7" s="5">
        <v>0</v>
      </c>
      <c r="L7" s="5">
        <v>0</v>
      </c>
      <c r="M7" s="5">
        <v>0</v>
      </c>
    </row>
    <row r="8" ht="20" customHeight="1">
      <c r="A8" s="2" t="str">
        <v xml:space="preserve">AOW04: Water, Energy, Food, and Environment (WEFE) Nexus Policy </v>
      </c>
      <c r="B8" s="2">
        <v>0</v>
      </c>
      <c r="C8" s="5">
        <v>0</v>
      </c>
      <c r="D8" s="2">
        <v>0</v>
      </c>
      <c r="E8" s="5">
        <v>0</v>
      </c>
      <c r="F8" s="2">
        <v>0</v>
      </c>
      <c r="G8" s="5">
        <v>0</v>
      </c>
      <c r="H8" s="2">
        <v>0</v>
      </c>
      <c r="I8" s="5">
        <v>0</v>
      </c>
      <c r="J8" s="5">
        <v>0</v>
      </c>
      <c r="K8" s="5">
        <v>0</v>
      </c>
      <c r="L8" s="5">
        <v>0</v>
      </c>
      <c r="M8" s="5">
        <v>0</v>
      </c>
    </row>
    <row r="9" ht="20" customHeight="1">
      <c r="A9" s="2" t="str">
        <v>AOW05: Country and Regional Strategy and Engagement</v>
      </c>
      <c r="B9" s="2">
        <v>0</v>
      </c>
      <c r="C9" s="5">
        <v>0</v>
      </c>
      <c r="D9" s="2">
        <v>0</v>
      </c>
      <c r="E9" s="5">
        <v>0</v>
      </c>
      <c r="F9" s="2">
        <v>0</v>
      </c>
      <c r="G9" s="5">
        <v>0</v>
      </c>
      <c r="H9" s="2">
        <v>0</v>
      </c>
      <c r="I9" s="5">
        <v>0</v>
      </c>
      <c r="J9" s="5">
        <v>0</v>
      </c>
      <c r="K9" s="5">
        <v>0</v>
      </c>
      <c r="L9" s="5">
        <v>0</v>
      </c>
      <c r="M9" s="5">
        <v>0</v>
      </c>
    </row>
    <row r="10" ht="20" customHeight="1">
      <c r="A10" s="2" t="str">
        <v xml:space="preserve">AOW06: Global Poverty and Jobs Policy Knowledge Brokering Hub </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0</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2.2.  Policy response</v>
      </c>
      <c r="C3" s="11" t="str">
        <v>Country level seminar on the current status and necessary measures to revitalize  agricultural markets in Syria.</v>
      </c>
      <c r="D3" s="11" t="str">
        <v xml:space="preserve"> Policy informed</v>
      </c>
      <c r="E3" s="11" t="str">
        <v>Country: Syrian Arab Republic</v>
      </c>
      <c r="F3" s="11">
        <v>1</v>
      </c>
      <c r="G3" s="11">
        <v>13750</v>
      </c>
      <c r="H3" s="11">
        <f>SUM(G3:G8)</f>
      </c>
      <c r="I3" s="11" t="str" xml:space="preserve">
        <v xml:space="preserve">Partner: Ministry of Agriculture and Agrarian Reform
Budget to be added in Q1 2026</v>
      </c>
    </row>
    <row r="4" ht="50" customHeight="1" xml:space="preserve">
      <c r="A4" s="11" t="str">
        <v>AOW02</v>
      </c>
      <c r="C4" s="11" t="str">
        <v>Country level seminar on the current status and necessary measures to revitalize  agricultural markets in Syria</v>
      </c>
      <c r="D4" s="11" t="str">
        <v xml:space="preserve"> Policy recommendation</v>
      </c>
      <c r="E4" s="11" t="str">
        <v>Country: Syrian Arab Republic</v>
      </c>
      <c r="F4" s="11">
        <v>1</v>
      </c>
      <c r="G4" s="11">
        <v>13750</v>
      </c>
      <c r="I4" s="11" t="str" xml:space="preserve">
        <v xml:space="preserve">Partner: Ministry of Agriculture and Agrarian Reform
Budget to be added in Q1 2026</v>
      </c>
    </row>
    <row r="5" ht="50" customHeight="1" xml:space="preserve">
      <c r="A5" s="11" t="str">
        <v>AOW02</v>
      </c>
      <c r="C5" s="11" t="str">
        <v xml:space="preserve">Technical papers that respond to country's demand to guide dairy policies and investments, including private investments </v>
      </c>
      <c r="D5" s="11" t="str">
        <v xml:space="preserve"> Policy recommendation</v>
      </c>
      <c r="E5" s="11" t="str">
        <v>Country: Ethiopia</v>
      </c>
      <c r="F5" s="11">
        <v>3</v>
      </c>
      <c r="G5" s="11">
        <v>84402</v>
      </c>
      <c r="I5" s="11" t="str" xml:space="preserve">
        <v xml:space="preserve">Partner: Ethiopian Public Health Institute
Ministry of Agriculture (Ethiopia)
Land O' Lakes (Ethiopia)
Budget to be added in Q1 2026</v>
      </c>
    </row>
    <row r="6" ht="50" customHeight="1" xml:space="preserve">
      <c r="A6" s="11" t="str">
        <v>AOW02</v>
      </c>
      <c r="C6" s="11" t="str">
        <v xml:space="preserve"> Workshop on current status and potential interventon to revitalize agricltural marketing in Syria. This will inform the reconstruction effort of the government and the international community.</v>
      </c>
      <c r="D6" s="11" t="str">
        <v>Policy Informed</v>
      </c>
      <c r="E6" s="11" t="str">
        <v>Country: Syrian Arab Republic</v>
      </c>
      <c r="F6" s="11">
        <v>1</v>
      </c>
      <c r="G6" s="11">
        <v>13750</v>
      </c>
      <c r="I6" s="11" t="str" xml:space="preserve">
        <v xml:space="preserve">Partner: Ministry of Agriculture and Agrarian Reform
Budget to be added in Q1 2026</v>
      </c>
    </row>
    <row r="7" ht="50" customHeight="1" xml:space="preserve">
      <c r="A7" s="11" t="str">
        <v>AOW02</v>
      </c>
      <c r="C7" s="11" t="str">
        <v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v>
      </c>
      <c r="D7" s="11" t="str">
        <v xml:space="preserve"> Policy recommendation</v>
      </c>
      <c r="E7" s="11" t="str">
        <v>Country: Syrian Arab Republic</v>
      </c>
      <c r="F7" s="11">
        <v>1</v>
      </c>
      <c r="G7" s="11">
        <v>13750</v>
      </c>
      <c r="I7" s="11" t="str" xml:space="preserve">
        <v xml:space="preserve">Partner: Ministry of Agriculture and Agrarian Reform
Budget to be added in Q1 2026</v>
      </c>
    </row>
    <row r="8" ht="50" customHeight="1" xml:space="preserve">
      <c r="A8" s="11" t="str">
        <v>AOW02</v>
      </c>
      <c r="C8" s="11" t="str">
        <v>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v>
      </c>
      <c r="D8" s="11" t="str">
        <v xml:space="preserve"> Policy recommendation</v>
      </c>
      <c r="E8" s="11" t="str">
        <v>Country: Ethiopia</v>
      </c>
      <c r="F8" s="11">
        <v>3</v>
      </c>
      <c r="G8" s="11">
        <v>84402</v>
      </c>
      <c r="I8" s="11" t="str" xml:space="preserve">
        <v xml:space="preserve">Partner: Ethiopian Public Health Institute
Ministry of Agriculture (Ethiopia)
Land O' Lakes (Ethiopia)
Budget to be added in Q1 2026</v>
      </c>
    </row>
    <row r="9" ht="25" customHeight="1">
      <c r="B9" s="14" t="str">
        <v>HLO budget subtotal</v>
      </c>
      <c r="H9" s="15">
        <f>SUM(H3:H8)</f>
      </c>
    </row>
  </sheetData>
  <mergeCells count="9">
    <mergeCell ref="A1:A2"/>
    <mergeCell ref="B1:B2"/>
    <mergeCell ref="C1:G1"/>
    <mergeCell ref="H1:H2"/>
    <mergeCell ref="I1:I2"/>
    <mergeCell ref="B3:B8"/>
    <mergeCell ref="H3:H8"/>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xml:space="preserve">
      <c r="A2" s="18" t="str">
        <v>D-200337-WEFE4MED - Towards a Mediterranean WEFE Nexus</v>
      </c>
      <c r="B2" s="19" t="str">
        <v>AOW02</v>
      </c>
      <c r="C2" s="18" t="str">
        <v>2.2.  Policy response</v>
      </c>
      <c r="D2" s="19">
        <v>62759</v>
      </c>
      <c r="E2" s="19" t="str">
        <f>=SUM(D2:D2)</f>
        <v>0</v>
      </c>
      <c r="F2" s="19" t="str" xml:space="preserve">
        <v xml:space="preserve">2026 Budget for this Program
</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70000</v>
      </c>
      <c r="C2" s="20">
        <v>0</v>
      </c>
      <c r="D2" s="20">
        <v>0</v>
      </c>
      <c r="E2" s="20">
        <v>0</v>
      </c>
      <c r="F2" s="20">
        <v>0</v>
      </c>
      <c r="G2" s="20">
        <v>0</v>
      </c>
      <c r="H2" s="20">
        <v>0</v>
      </c>
      <c r="I2" s="20" t="str">
        <f>=SUM(B2:H2)</f>
        <v>0</v>
      </c>
    </row>
    <row r="3" ht="20" customHeight="1">
      <c r="A3" s="20" t="str">
        <v>Operations (supplies, consultants, travels, workshops, other)</v>
      </c>
      <c r="B3" s="20">
        <v>39055</v>
      </c>
      <c r="C3" s="20">
        <v>0</v>
      </c>
      <c r="D3" s="20">
        <v>92272</v>
      </c>
      <c r="E3" s="20">
        <v>0</v>
      </c>
      <c r="F3" s="20">
        <v>0</v>
      </c>
      <c r="G3" s="20">
        <v>0</v>
      </c>
      <c r="H3" s="20">
        <v>0</v>
      </c>
      <c r="I3" s="20" t="str">
        <f>=SUM(B3:H3)</f>
        <v>0</v>
      </c>
    </row>
    <row r="4" ht="20" customHeight="1">
      <c r="A4" s="20" t="str">
        <v>Staffing, Chargebacks and Indirect</v>
      </c>
      <c r="B4" s="20">
        <v>96606</v>
      </c>
      <c r="C4" s="20">
        <v>0</v>
      </c>
      <c r="D4" s="20">
        <v>131532</v>
      </c>
      <c r="E4" s="20">
        <v>0</v>
      </c>
      <c r="F4" s="20">
        <v>0</v>
      </c>
      <c r="G4" s="20">
        <v>0</v>
      </c>
      <c r="H4" s="20">
        <v>0</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