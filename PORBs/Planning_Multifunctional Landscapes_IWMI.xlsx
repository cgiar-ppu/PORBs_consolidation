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Solutions and Innovations: Agroecology, Nature-positive, Regenerative and Nutrition-sensitive </v>
      </c>
      <c r="B5" s="2">
        <v>9</v>
      </c>
      <c r="C5" s="5">
        <v>188292</v>
      </c>
      <c r="D5" s="2">
        <v>2</v>
      </c>
      <c r="E5" s="5">
        <v>10650</v>
      </c>
      <c r="F5" s="2">
        <v>400</v>
      </c>
      <c r="G5" s="5">
        <v>108250</v>
      </c>
      <c r="H5" s="2">
        <v>455</v>
      </c>
      <c r="I5" s="5">
        <v>303295</v>
      </c>
      <c r="J5" s="5">
        <v>0</v>
      </c>
      <c r="K5" s="5">
        <v>0</v>
      </c>
      <c r="L5" s="5">
        <v>610487</v>
      </c>
      <c r="M5" s="5">
        <v>492407</v>
      </c>
    </row>
    <row r="6" ht="20" customHeight="1">
      <c r="A6" s="2" t="str">
        <v>AOW02: Landscape Optimization and Inclusive Planning</v>
      </c>
      <c r="B6" s="2">
        <v>3</v>
      </c>
      <c r="C6" s="5">
        <v>113576</v>
      </c>
      <c r="D6" s="2">
        <v>7</v>
      </c>
      <c r="E6" s="5">
        <v>92327</v>
      </c>
      <c r="F6" s="2">
        <v>100</v>
      </c>
      <c r="G6" s="5">
        <v>25522</v>
      </c>
      <c r="H6" s="2">
        <v>20</v>
      </c>
      <c r="I6" s="5">
        <v>99293</v>
      </c>
      <c r="J6" s="5">
        <v>0</v>
      </c>
      <c r="K6" s="5">
        <v>0</v>
      </c>
      <c r="L6" s="5">
        <v>330718</v>
      </c>
      <c r="M6" s="5">
        <v>0</v>
      </c>
    </row>
    <row r="7" ht="20" customHeight="1">
      <c r="A7" s="2" t="str">
        <v>AOW03: Business Models, Markets, and Sustainable Finance</v>
      </c>
      <c r="B7" s="2">
        <v>11</v>
      </c>
      <c r="C7" s="5">
        <v>195410</v>
      </c>
      <c r="D7" s="2">
        <v>15</v>
      </c>
      <c r="E7" s="5">
        <v>306680</v>
      </c>
      <c r="F7" s="2">
        <v>100</v>
      </c>
      <c r="G7" s="5">
        <v>95100</v>
      </c>
      <c r="H7" s="2">
        <v>0</v>
      </c>
      <c r="I7" s="5">
        <v>0</v>
      </c>
      <c r="J7" s="5">
        <v>0</v>
      </c>
      <c r="K7" s="5">
        <v>0</v>
      </c>
      <c r="L7" s="5">
        <v>597190</v>
      </c>
      <c r="M7" s="5">
        <v>706594</v>
      </c>
    </row>
    <row r="8" ht="20" customHeight="1">
      <c r="A8" s="2" t="str">
        <v>AOW04: Governance, Institutions, Policy, and Inclusion</v>
      </c>
      <c r="B8" s="2">
        <v>8</v>
      </c>
      <c r="C8" s="5">
        <v>56878</v>
      </c>
      <c r="D8" s="2">
        <v>6</v>
      </c>
      <c r="E8" s="5">
        <v>86775</v>
      </c>
      <c r="F8" s="2">
        <v>0</v>
      </c>
      <c r="G8" s="5">
        <v>0</v>
      </c>
      <c r="H8" s="2">
        <v>0</v>
      </c>
      <c r="I8" s="5">
        <v>0</v>
      </c>
      <c r="J8" s="5">
        <v>0</v>
      </c>
      <c r="K8" s="5">
        <v>0</v>
      </c>
      <c r="L8" s="5">
        <v>143653</v>
      </c>
      <c r="M8" s="5">
        <v>767367</v>
      </c>
    </row>
    <row r="9" ht="20" customHeight="1">
      <c r="A9" s="2" t="str">
        <v>AOW05: Performance Assessments &amp; Evidence Generation</v>
      </c>
      <c r="B9" s="2">
        <v>0</v>
      </c>
      <c r="C9" s="5">
        <v>0</v>
      </c>
      <c r="D9" s="2">
        <v>0</v>
      </c>
      <c r="E9" s="5">
        <v>0</v>
      </c>
      <c r="F9" s="2">
        <v>0</v>
      </c>
      <c r="G9" s="5">
        <v>0</v>
      </c>
      <c r="H9" s="2">
        <v>0</v>
      </c>
      <c r="I9" s="5">
        <v>0</v>
      </c>
      <c r="J9" s="5">
        <v>0</v>
      </c>
      <c r="K9" s="5">
        <v>0</v>
      </c>
      <c r="L9" s="5">
        <v>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Other PMU Operations</v>
      </c>
      <c r="C2" s="11" t="str">
        <v>Travel and other operations budget for all PMU roles.</v>
      </c>
      <c r="D2" s="11">
        <v>0</v>
      </c>
    </row>
    <row r="3" ht="45" customHeight="1" xml:space="preserve">
      <c r="A3" s="11" t="str">
        <v>AOW00</v>
      </c>
      <c r="B3" s="11" t="str">
        <v>Area of Work (AoW) Leaders</v>
      </c>
      <c r="C3" s="11" t="str" xml:space="preserve">
        <v xml:space="preserve">Fixed amount of USD 80,000 per AoW lead, for five AoW leads (one per AoW).
</v>
      </c>
      <c r="D3" s="11">
        <v>0</v>
      </c>
    </row>
    <row r="4" ht="45" customHeight="1">
      <c r="A4" s="11" t="str">
        <v>AOW00</v>
      </c>
      <c r="B4" s="11" t="str">
        <v>Global Engagement Activities</v>
      </c>
      <c r="C4" s="11" t="str">
        <v>Staff and operations for global engagement activities.</v>
      </c>
      <c r="D4" s="11">
        <v>0</v>
      </c>
    </row>
    <row r="5" ht="45" customHeight="1">
      <c r="A5" s="11" t="str">
        <v>AOW00</v>
      </c>
      <c r="B5" s="11" t="str">
        <v>PMU Team</v>
      </c>
      <c r="C5" s="11" t="str">
        <v xml:space="preserve">Position costs for Coordination Focal Point, MELIA Focal Point, Finance Focal Point and Communications Focal Point. </v>
      </c>
      <c r="D5" s="11">
        <v>0</v>
      </c>
    </row>
    <row r="6" ht="45" customHeight="1">
      <c r="A6" s="11" t="str">
        <v>AOW00</v>
      </c>
      <c r="B6" s="11" t="str">
        <v>Shared Finance Support</v>
      </c>
      <c r="D6" s="11">
        <v>0</v>
      </c>
    </row>
    <row r="7" ht="45" customHeight="1">
      <c r="A7" s="11" t="str">
        <v>AOW00</v>
      </c>
      <c r="B7" s="11" t="str">
        <v>Program Director and Associated Costs</v>
      </c>
      <c r="C7" s="11" t="str">
        <v>Standard cost defined by System Office for Director, administrative support, meetings and workshops, travel, smaller consultancies, and miscellaneous operating costs.</v>
      </c>
      <c r="D7" s="11">
        <v>0</v>
      </c>
    </row>
    <row r="8" ht="45" customHeight="1">
      <c r="A8" s="11" t="str">
        <v>AOW00</v>
      </c>
      <c r="B8" s="11" t="str">
        <v>Program Director Discretionary Fund</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4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OP 1.1.1. – Bundles of farm-level solutions</v>
      </c>
      <c r="C3" s="11" t="str" xml:space="preserve">
        <v xml:space="preserve">Deliverable - Agroecological Homestead Design Tool: An interactive planning tool for designing farm and homestead-scale agroecological systems that integrate crops, livestock, fisheries, water management, and household nutrition, incorporating Agrobiodiversity Index (ABI)–based diversity scoring to support climate-smart and nutrition-smart decision-making.
Indicator: Number of HHs participating in co-design sessions of the Agroecological homestead Design Tool</v>
      </c>
      <c r="D3" s="11" t="str">
        <v xml:space="preserve"> Number of HHs participating in co-design sessions of the Agroecological homestead Design Tool</v>
      </c>
      <c r="E3" s="11" t="str">
        <v>Country: Lao People's Democratic Republic, Kenya, India</v>
      </c>
      <c r="F3" s="11">
        <v>150</v>
      </c>
      <c r="G3" s="11">
        <v>105668</v>
      </c>
      <c r="H3" s="11">
        <f>SUM(G3:G9)</f>
      </c>
      <c r="I3" s="11" t="str">
        <v>.</v>
      </c>
    </row>
    <row r="4" ht="50" customHeight="1" xml:space="preserve">
      <c r="A4" s="11" t="str">
        <v>AOW01</v>
      </c>
      <c r="C4" s="11" t="str" xml:space="preserve">
        <v xml:space="preserve">Deliverable - Integrated Farming System Models for Resilient Livelihoods: Co-design and promote integrated farm models that combine short-duration and climate-resilient crops with improved small livestock, backyard poultry, and fishery components to enhance food security, diversify incomes, and strengthen household resilience. 
Indicator: Number of households engaged in testing integrated farming system models</v>
      </c>
      <c r="D4" s="11" t="str">
        <v xml:space="preserve"> Number of households engaged in testing integrated farming system models</v>
      </c>
      <c r="E4" s="11" t="str">
        <v>Country: Lao People's Democratic Republic, Kenya, India</v>
      </c>
      <c r="F4" s="11">
        <v>100</v>
      </c>
      <c r="G4" s="11">
        <v>37068</v>
      </c>
      <c r="I4" s="11" t="str">
        <v>.</v>
      </c>
    </row>
    <row r="5" ht="50" customHeight="1" xml:space="preserve">
      <c r="A5" s="11" t="str">
        <v>AOW01</v>
      </c>
      <c r="C5" s="11" t="str" xml:space="preserve">
        <v xml:space="preserve">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protocols for applying bioformulations tested</v>
      </c>
      <c r="D5" s="11" t="str">
        <v>Number of knowledge products</v>
      </c>
      <c r="E5" s="11" t="str">
        <v>Country: India, Lao People's Democratic Republic</v>
      </c>
      <c r="F5" s="11">
        <v>2</v>
      </c>
      <c r="G5" s="11">
        <v>10650</v>
      </c>
      <c r="I5" s="11" t="str">
        <v>.</v>
      </c>
    </row>
    <row r="6" ht="50" customHeight="1" xml:space="preserve">
      <c r="A6" s="11" t="str">
        <v>AOW01</v>
      </c>
      <c r="C6" s="11" t="str" xml:space="preserve">
        <v xml:space="preserve">Deliverable - Closing the Loop for Resource-Efficient Agroecology: Promote circular resource-use practices in Agroecology+ farms by recycling nutrients, organic matter, water, and energy within the farm system to reduce external inputs and enhance soil, crop, and livestock productivity.
Indicator: Number of households testing circular resource-use practices </v>
      </c>
      <c r="D6" s="11" t="str">
        <v xml:space="preserve"> Number of households testing circular resource-use practices </v>
      </c>
      <c r="E6" s="11" t="str">
        <v>Country: Kenya, India</v>
      </c>
      <c r="F6" s="11">
        <v>100</v>
      </c>
      <c r="G6" s="11">
        <v>101738</v>
      </c>
      <c r="I6" s="11" t="str">
        <v>.</v>
      </c>
    </row>
    <row r="7" ht="50" customHeight="1" xml:space="preserve">
      <c r="A7" s="11" t="str">
        <v>AOW01</v>
      </c>
      <c r="C7" s="11" t="str" xml:space="preserve">
        <v xml:space="preserve">Deliverable - Capacity-Building for Participatory Agroecosystem Planning: Develop and deliver training modules that enable farmers, researchers, and practitioners to apply the agroecosystem planning tool in co-designing farming and landscape management practices
Indicator: Number of stakeholders trained on participatory agroecosystem planning (India; Colombia; Peru)</v>
      </c>
      <c r="D7" s="11" t="str">
        <v>Number of people trained (capacity sharing for development)</v>
      </c>
      <c r="E7" s="11" t="str">
        <v>Country: Peru, Colombia, India</v>
      </c>
      <c r="F7" s="11">
        <v>100</v>
      </c>
      <c r="G7" s="11">
        <v>55000</v>
      </c>
      <c r="I7" s="11" t="str">
        <v>.</v>
      </c>
    </row>
    <row r="8" ht="50" customHeight="1" xml:space="preserve">
      <c r="A8" s="11" t="str">
        <v>AOW01</v>
      </c>
      <c r="C8" s="11" t="str" xml:space="preserve">
        <v xml:space="preserve">Deliverable - Circular Bioeconomy Knowledge and Training Toolkit: Co-develop farmer field manuals, training modules, and a practical knowledge compendium and catalog on circular bioeconomy practices (e.g., composting, digestate use, biochar, insect frass), to support farmer learning, extension services, and local innovation
Indicator: Number of farmers and extension agents trained on circular bioeconomy</v>
      </c>
      <c r="D8" s="11" t="str">
        <v>Number of people trained (capacity sharing for development)</v>
      </c>
      <c r="E8" s="11" t="str">
        <v>Country: India, The Socialist Republic of Viet Nam, Kenya, Tanzania, United Republic</v>
      </c>
      <c r="F8" s="11">
        <v>300</v>
      </c>
      <c r="G8" s="11">
        <v>53250</v>
      </c>
      <c r="I8" s="11" t="str">
        <v>.</v>
      </c>
    </row>
    <row r="9" ht="50" customHeight="1" xml:space="preserve">
      <c r="A9" s="11" t="str">
        <v>AOW01</v>
      </c>
      <c r="C9" s="11" t="str" xml:space="preserve">
        <v xml:space="preserve">Deliverable -Climate-Smart Irrigation Bundles: Co-develop and demonstrate climate-smart irrigation bundles combining drip and improved flood irrigation systems with sub-surface soil-water retention technologies to increase water-use efficiency, stabilize yields, and reduce production risk in rain-scarce farming systems
Indicator: Number of climate-smart irrigation bundles installed</v>
      </c>
      <c r="D9" s="11" t="str">
        <v>Number of innovations (innovation development)</v>
      </c>
      <c r="E9" s="11" t="str">
        <v>Country: Zimbabwe</v>
      </c>
      <c r="F9" s="11">
        <v>3</v>
      </c>
      <c r="G9" s="11">
        <v>67308</v>
      </c>
      <c r="I9" s="11" t="str">
        <v>.</v>
      </c>
    </row>
    <row r="10" ht="50" customHeight="1" xml:space="preserve">
      <c r="A10" s="11" t="str">
        <v>AOW01</v>
      </c>
      <c r="B10" s="11" t="str">
        <v>OP 1.1.2. – Climate-smart adaptation &amp; mitigation bundles</v>
      </c>
      <c r="C10" s="11" t="str" xml:space="preserve">
        <v xml:space="preserve">Deliverable - Integrated nutrient, carbon, and water-loop innovations and management plans at pilot MFL sites 
Indicator: Number of water-loop innovations</v>
      </c>
      <c r="D10" s="11" t="str">
        <v>Number of innovations (innovation development)</v>
      </c>
      <c r="E10" s="11" t="str">
        <v>Country: Kenya, Tanzania, United Republic, The Socialist Republic of Viet Nam, India</v>
      </c>
      <c r="F10" s="11">
        <v>2</v>
      </c>
      <c r="G10" s="11">
        <v>61344</v>
      </c>
      <c r="H10" s="11">
        <f>SUM(G10:G12)</f>
      </c>
      <c r="I10" s="11" t="str">
        <v>.</v>
      </c>
    </row>
    <row r="11" ht="50" customHeight="1" xml:space="preserve">
      <c r="A11" s="11" t="str">
        <v>AOW01</v>
      </c>
      <c r="C11" s="11" t="str" xml:space="preserve">
        <v xml:space="preserve">Deliverable - Decentralized resource recovery and recycling hubs and maker-spaces for prototyping, incubation, and training
Indicator: Number of decentralized resource recovery units and maker-spaces for prototyping, incubation, and training</v>
      </c>
      <c r="D11" s="11" t="str">
        <v>Number of innovations (innovation development)</v>
      </c>
      <c r="E11" s="11" t="str">
        <v>Country: India, Kenya</v>
      </c>
      <c r="F11" s="11">
        <v>2</v>
      </c>
      <c r="G11" s="11">
        <v>59640</v>
      </c>
      <c r="I11" s="11" t="str">
        <v>.</v>
      </c>
    </row>
    <row r="12" ht="50" customHeight="1" xml:space="preserve">
      <c r="A12" s="11" t="str">
        <v>AOW01</v>
      </c>
      <c r="C12" s="11" t="str" xml:space="preserve">
        <v xml:space="preserve">Deliverable - Integrated Climate-Smart Resource-Efficient Solution Bundles: Demonstrate and evaluate farm-level bundles of climate-smart practices, including weather-informed agro-advisories, composting and bio-inputs, green-energy irrigation, and soil–water–biodiversity conservation measures to enhance productivity, resilience, and resource-use efficiency.
Indicator: Number of households engaged in testing climate smart resource efficient solution bundles</v>
      </c>
      <c r="D12" s="11" t="str">
        <v xml:space="preserve"> Number of households engaged in testing climate smart resource efficient solution bundles</v>
      </c>
      <c r="E12" s="11" t="str">
        <v>Country: India, Lao People's Democratic Republic, Kenya</v>
      </c>
      <c r="F12" s="11">
        <v>100</v>
      </c>
      <c r="G12" s="11">
        <v>29572</v>
      </c>
      <c r="I12" s="11" t="str">
        <v>.</v>
      </c>
    </row>
    <row r="13" ht="50" customHeight="1" xml:space="preserve">
      <c r="A13" s="11" t="str">
        <v>AOW01</v>
      </c>
      <c r="B13" s="11" t="str">
        <v>OP 1.2.5. – Nutrition-sensitive innovations</v>
      </c>
      <c r="C13" s="11" t="str" xml:space="preserve">
        <v xml:space="preserve">Deliverable - Nutrition-Smart Villages and Capacity Building: Establish nutrition-smart villages that link diversified farming systems with state nutrition and health programs, while building the capacities of farmers, women, and youth to improve household food diversity, dietary practices, and community-level nutrition outcomes  
Indicator: Number of nutrition-smart villages established</v>
      </c>
      <c r="D13" s="11" t="str">
        <v xml:space="preserve"> Number of nutrition-smart villages established</v>
      </c>
      <c r="E13" s="11" t="str">
        <v>Country: India, Lao People's Democratic Republic, Kenya</v>
      </c>
      <c r="F13" s="11">
        <v>5</v>
      </c>
      <c r="G13" s="11">
        <v>29249</v>
      </c>
      <c r="H13" s="11">
        <f>SUM(G13:G13)</f>
      </c>
      <c r="I13" s="11" t="str">
        <v>.</v>
      </c>
    </row>
    <row r="14" ht="50" customHeight="1">
      <c r="A14" s="11" t="str">
        <v>AOW01</v>
      </c>
      <c r="B14" s="11" t="str">
        <v>OP 1.2.6. – Advisory &amp; training innovations</v>
      </c>
      <c r="C14" s="11" t="str">
        <v>Number of adapted advisory and training innovations to widely disseminate validated solutions</v>
      </c>
      <c r="D14" s="11" t="str">
        <v>Number of innovations (innovation development)</v>
      </c>
      <c r="E14" s="11" t="str">
        <v>Country: Kenya, Senegal, The Socialist Republic of Viet Nam, Cambodia, Peru, Tunisia, Colombia, Lao People's Democratic Republic, Zimbabwe, Tanzania, United Republic, India</v>
      </c>
      <c r="F14" s="11">
        <v>2</v>
      </c>
      <c r="G14" s="11">
        <v>0</v>
      </c>
      <c r="H14" s="11">
        <f>SUM(G14:G14)</f>
      </c>
    </row>
    <row r="15" ht="25" customHeight="1">
      <c r="B15" s="14" t="str">
        <v>HLO budget subtotal</v>
      </c>
      <c r="H15" s="15">
        <f>SUM(H3:H14)</f>
      </c>
    </row>
    <row r="16" ht="50" customHeight="1" xml:space="preserve">
      <c r="A16" s="13" t="str">
        <v>AOW02</v>
      </c>
      <c r="B16" s="11" t="str">
        <v>OP 2.1.1. – Hotspot mapping &amp; characterization</v>
      </c>
      <c r="C16" s="11" t="str" xml:space="preserve">
        <v xml:space="preserve">Deliverable - Prioritization Framework for Regenerative Investments: Develop criteria for prioritizing landscape restoration and conservation investments using indicators of degradation magnitude, soil loss tolerance, biodiversity loss, and socioeconomic vulnerability.
Indicator: Number of prioritization frameworks for regenerative investments</v>
      </c>
      <c r="D16" s="11" t="str">
        <v>Number of knowledge products</v>
      </c>
      <c r="E16" s="11" t="str">
        <v>Country: India</v>
      </c>
      <c r="F16" s="11">
        <v>1</v>
      </c>
      <c r="G16" s="11">
        <v>9479</v>
      </c>
      <c r="H16" s="11">
        <f>SUM(G16:G18)</f>
      </c>
      <c r="I16" s="11" t="str">
        <v>.</v>
      </c>
    </row>
    <row r="17" ht="50" customHeight="1" xml:space="preserve">
      <c r="A17" s="11" t="str">
        <v>AOW02</v>
      </c>
      <c r="C17" s="11" t="str" xml:space="preserve">
        <v xml:space="preserve">Deliverable - Landscape Degradation Mapping: Map potential water erosion and land degradation using geospatial data and field validation to identify major degraded and erosion-prone areas in India.
Indicator: Number of publications, maps or datasets on landscape degradation in India</v>
      </c>
      <c r="D17" s="11" t="str">
        <v>Number of knowledge products</v>
      </c>
      <c r="E17" s="11" t="str">
        <v>Country: India</v>
      </c>
      <c r="F17" s="11">
        <v>1</v>
      </c>
      <c r="G17" s="11">
        <v>14098</v>
      </c>
      <c r="I17" s="11" t="str">
        <v>.</v>
      </c>
    </row>
    <row r="18" ht="50" customHeight="1" xml:space="preserve">
      <c r="A18" s="11" t="str">
        <v>AOW02</v>
      </c>
      <c r="C18" s="11" t="str" xml:space="preserve">
        <v xml:space="preserve">Deliverable - Hotspot Identification and Mapping: Identify and map hotspots of erosion, biodiversity, deforestation, and water scarcity across two focus states to guide conservation investments.
Indicator: Number of publications, maps or datasets on hotspots of erosion, biodiversity, deforestation and water scarcity</v>
      </c>
      <c r="D18" s="11" t="str">
        <v>Number of knowledge products</v>
      </c>
      <c r="E18" s="11" t="str">
        <v>Country: India</v>
      </c>
      <c r="F18" s="11">
        <v>2</v>
      </c>
      <c r="G18" s="11">
        <v>10938</v>
      </c>
      <c r="I18" s="11" t="str">
        <v>.</v>
      </c>
    </row>
    <row r="19" ht="50" customHeight="1" xml:space="preserve">
      <c r="A19" s="11" t="str">
        <v>AOW02</v>
      </c>
      <c r="B19" s="11" t="str">
        <v>OP 2.2.3. – Integrated planning &amp; scenarios</v>
      </c>
      <c r="C19" s="11" t="str" xml:space="preserve">
        <v xml:space="preserve">Deliverable - Landscape Optimization and Land-Use Planning for the Lake Victoria Basin (Kenya): Develop integrated land-use optimization and planning process for the Lake Victoria Basin MFL Living Landscape with landscape stakeholders. 
Indicator: Number of stakeholder groups involved in multifunctional integrated landscape planning in Kenya (Lake Victoria Basin)</v>
      </c>
      <c r="D19" s="11" t="str">
        <v xml:space="preserve"> Number of stakeholder groups involved in multifunctional integrated landscape planning in Kenya (Lake Victoria Basin)</v>
      </c>
      <c r="E19" s="11" t="str">
        <v>Country: Kenya</v>
      </c>
      <c r="F19" s="11">
        <v>10</v>
      </c>
      <c r="G19" s="11">
        <v>43387</v>
      </c>
      <c r="H19" s="11">
        <f>SUM(G19:G25)</f>
      </c>
      <c r="I19" s="11" t="str">
        <v>.</v>
      </c>
    </row>
    <row r="20" ht="50" customHeight="1" xml:space="preserve">
      <c r="A20" s="11" t="str">
        <v>AOW02</v>
      </c>
      <c r="C20" s="11" t="str" xml:space="preserve">
        <v xml:space="preserve">Deliverable - Decision-Support Tool for Landscape Investment Planning: Develop a digital tool for identifying context specific interventions (Land, Soil, Livestock and agricultural practices) by  integrating spatial, ecological, and socioeconomic data layers to support sustainable management of landscapes.
Indicator: Number of decision-support tools for landscape regeneration investment planning</v>
      </c>
      <c r="D20" s="11" t="str">
        <v>Number of innovations (innovation development)</v>
      </c>
      <c r="E20" s="11" t="str">
        <v>Country: India</v>
      </c>
      <c r="F20" s="11">
        <v>1</v>
      </c>
      <c r="G20" s="11">
        <v>8264</v>
      </c>
      <c r="I20" s="11" t="str">
        <v>.</v>
      </c>
    </row>
    <row r="21" ht="50" customHeight="1" xml:space="preserve">
      <c r="A21" s="11" t="str">
        <v>AOW02</v>
      </c>
      <c r="C21" s="11" t="str" xml:space="preserve">
        <v xml:space="preserve">Deliverable - Context-Specific Land and Water Management Option Packages: Identify, co-design, and document locally adapted land and water management option packages (e.g., soil-water conservation, agroforestry arrangements, riparian restoration, water harvesting, grazing and cropping management) tailored to biophysical conditions, livelihood systems, and community priorities in selected MFL Living Landscapes.
Indicator: Number of publications, maps, protocols or datasets on land and water management options</v>
      </c>
      <c r="D21" s="11" t="str">
        <v>Number of knowledge products</v>
      </c>
      <c r="E21" s="11" t="str">
        <v>Country: Ethiopia</v>
      </c>
      <c r="F21" s="11">
        <v>1</v>
      </c>
      <c r="G21" s="11">
        <v>18230</v>
      </c>
      <c r="I21" s="11" t="str">
        <v>.</v>
      </c>
    </row>
    <row r="22" ht="50" customHeight="1" xml:space="preserve">
      <c r="A22" s="11" t="str">
        <v>AOW02</v>
      </c>
      <c r="C22" s="11" t="str" xml:space="preserve">
        <v xml:space="preserve">Deliverable - Public–Private Partnership Platform for Landscape Water Stewardship: Establish a Public–Private Partnership (PPP) platform to strengthen coordination and collaboration among key actors for informed dialogue and joint action on governance, institutional structures, management options, carbon financing, and Payment for Ecosystem Services (PES) to sustain water infrastructures and freshwater ecosystems. 
Indicator: Number of guidelines for establishing public private partnerships platforms developed</v>
      </c>
      <c r="D22" s="11" t="str">
        <v>Number of knowledge products</v>
      </c>
      <c r="E22" s="11" t="str">
        <v>Country: Ethiopia, Kenya</v>
      </c>
      <c r="F22" s="11">
        <v>1</v>
      </c>
      <c r="G22" s="11">
        <v>17706</v>
      </c>
      <c r="I22" s="11" t="str">
        <v>.</v>
      </c>
    </row>
    <row r="23" ht="50" customHeight="1" xml:space="preserve">
      <c r="A23" s="11" t="str">
        <v>AOW02</v>
      </c>
      <c r="C23" s="11" t="str" xml:space="preserve">
        <v xml:space="preserve">Deliverable - Evidence on barriers, opportunities, and enabling conditions for carbon financing in restoration contexts:  Comparative assessment across priority landscapes identifying barriers, opportunities, and enabling conditions plus an actionable toolkit and investment cases for piloting
Indicator: Number of publications, maps, protocols or datasets on carbon financing for restoration</v>
      </c>
      <c r="D23" s="11" t="str">
        <v>Number of knowledge products</v>
      </c>
      <c r="E23" s="11" t="str">
        <v>Country: Kenya, Ethiopia</v>
      </c>
      <c r="F23" s="11">
        <v>1</v>
      </c>
      <c r="G23" s="11">
        <v>21876</v>
      </c>
      <c r="I23" s="11" t="str">
        <v>.</v>
      </c>
    </row>
    <row r="24" ht="50" customHeight="1" xml:space="preserve">
      <c r="A24" s="11" t="str">
        <v>AOW02</v>
      </c>
      <c r="C24" s="11" t="str" xml:space="preserve">
        <v xml:space="preserve">Deliverable - Capacity Building on Integrated Water Resource Management:  Capacity building (training and knowledge sharing) on integrated water resource management  best practices
Indicator: Number of training participants on integrated water resource management</v>
      </c>
      <c r="D24" s="11" t="str">
        <v>Number of people trained (capacity sharing for development)</v>
      </c>
      <c r="E24" s="11" t="str">
        <v>Country: Ethiopia, Kenya</v>
      </c>
      <c r="F24" s="11">
        <v>100</v>
      </c>
      <c r="G24" s="11">
        <v>25522</v>
      </c>
      <c r="I24" s="11" t="str">
        <v>.</v>
      </c>
    </row>
    <row r="25" ht="50" customHeight="1" xml:space="preserve">
      <c r="A25" s="11" t="str">
        <v>AOW02</v>
      </c>
      <c r="C25" s="11" t="str" xml:space="preserve">
        <v xml:space="preserve">Deliverable: Critical Capabilities - Environmental flows (e-flows) modelling framework: this deliverable develops and applies an environmental flows (e-flows) modelling framework for a transboundary river basin to sustain ecosystems and livelihoods. Integrating hydrological, ecological, and socio-economic data, it generates flow estimates, conducts stakeholder co-design workshops, and embeds results within a digital twin to inform adaptive, cross-border water governance and planning.
Indicator: Validated environmental flow models and datasets produced for one transboundary river basin.
 </v>
      </c>
      <c r="D25" s="11" t="str">
        <v>Number of innovations (innovation development)</v>
      </c>
      <c r="E25" s="11" t="str">
        <v>Country: Ethiopia</v>
      </c>
      <c r="F25" s="11">
        <v>2</v>
      </c>
      <c r="G25" s="11">
        <v>105312</v>
      </c>
      <c r="I25" s="11" t="str">
        <v>.</v>
      </c>
    </row>
    <row r="26" ht="50" customHeight="1" xml:space="preserve">
      <c r="A26" s="11" t="str">
        <v>AOW02</v>
      </c>
      <c r="B26" s="11" t="str">
        <v>OP 2.2.4. – Digital Twins for foresight</v>
      </c>
      <c r="C26" s="11" t="str" xml:space="preserve">
        <v xml:space="preserve">Deliverable - Stakeholder Co-Design for Landscape Digital Twins: Conduct multi-sector stakeholder consultations in target countries to co-define priority decision use-cases, data and model requirements, access and governance arrangements, and user interaction workflows needed to guide the co-design and deployment of Landscape Digital Twins.
Indicator: Number of stakeholder groups involved in developing Digital Twins</v>
      </c>
      <c r="D26" s="11" t="str">
        <v xml:space="preserve"> Number of stakeholder groups involved in developing Digital Twins</v>
      </c>
      <c r="E26" s="11" t="str">
        <v>Country: Lao People's Democratic Republic, Cambodia</v>
      </c>
      <c r="F26" s="11">
        <v>10</v>
      </c>
      <c r="G26" s="11">
        <v>55906</v>
      </c>
      <c r="H26" s="11">
        <f>SUM(G26:G26)</f>
      </c>
      <c r="I26" s="11" t="str">
        <v>.</v>
      </c>
    </row>
    <row r="27" ht="25" customHeight="1">
      <c r="B27" s="15" t="str">
        <v>HLO budget subtotal</v>
      </c>
      <c r="H27" s="15">
        <f>SUM(H16:H26)</f>
      </c>
    </row>
    <row r="28" ht="50" customHeight="1" xml:space="preserve">
      <c r="A28" s="13" t="str">
        <v>AOW03</v>
      </c>
      <c r="B28" s="11" t="str">
        <v>OP 3.1.1. Capacity strengthening for producer organizations &amp; value chains</v>
      </c>
      <c r="C28" s="11" t="str" xml:space="preserve">
        <v xml:space="preserve">Deliverable - Peer-to-peer learning and knowledge exchange for Business Engagement across multifunctional landscapes (MFLs): Facilitate peer-to-peer learning and knowledge exchange among producer organizations and enterprises across Multifunctional Landscapes (MFLs), enabling them to share experiences, showcase products, and participate in business and market engagement events, including fairs, buyer roundtables, territorial markets, and innovation showcases.
Indicator: Number of people engaged</v>
      </c>
      <c r="D28" s="11" t="str">
        <v>Number of people trained (capacity sharing for development)</v>
      </c>
      <c r="E28" s="11" t="str">
        <v>Country: Kenya, The Socialist Republic of Viet Nam, India</v>
      </c>
      <c r="F28" s="11">
        <v>100</v>
      </c>
      <c r="G28" s="11">
        <v>95100</v>
      </c>
      <c r="H28" s="11">
        <f>SUM(G28:G28)</f>
      </c>
      <c r="I28" s="11" t="str">
        <v>.</v>
      </c>
    </row>
    <row r="29" ht="50" customHeight="1" xml:space="preserve">
      <c r="A29" s="11" t="str">
        <v>AOW03</v>
      </c>
      <c r="B29" s="11" t="str">
        <v>OP 3.2.2. Inclusive business models</v>
      </c>
      <c r="C29" s="11" t="str" xml:space="preserve">
        <v xml:space="preserve">Deliverable - Piloting and scaling of inclusive circular bioeconomy business models 
Indicator: Number of inclusive circular bioeconomy business models piloted and/or scaled</v>
      </c>
      <c r="D29" s="11" t="str">
        <v>Number of innovations (innovation development)</v>
      </c>
      <c r="E29" s="11" t="str">
        <v>Country: India</v>
      </c>
      <c r="F29" s="11">
        <v>3</v>
      </c>
      <c r="G29" s="11">
        <v>84707</v>
      </c>
      <c r="H29" s="11">
        <f>SUM(G29:G31)</f>
      </c>
      <c r="I29" s="11" t="str">
        <v>.</v>
      </c>
    </row>
    <row r="30" ht="50" customHeight="1" xml:space="preserve">
      <c r="A30" s="11" t="str">
        <v>AOW03</v>
      </c>
      <c r="C30" s="11" t="str" xml:space="preserve">
        <v xml:space="preserve">Deliverable - Catalogue of Inclusive circular models for sustainable MFLs: Identify, document, and analyze inclusive circular production and resource-use models (e.g., nutrient recycling, bio-inputs, livestock–crop integration, residue valorization, community composting, water reuse) that improve livelihoods and environmental outcomes in MFLs. The catalogue will classify models by landscape context, resource conditions, gender and youth inclusion considerations, and implementation requirements, to support bundling and scaling.
Indicator: Number of inclusive circular models catalogued</v>
      </c>
      <c r="D30" s="11" t="str">
        <v>Number of knowledge products</v>
      </c>
      <c r="E30" s="11" t="str">
        <v>Country: The Socialist Republic of Viet Nam, India, Kenya</v>
      </c>
      <c r="F30" s="11">
        <v>7</v>
      </c>
      <c r="G30" s="11">
        <v>109380</v>
      </c>
      <c r="I30" s="11" t="str">
        <v>.</v>
      </c>
    </row>
    <row r="31" ht="50" customHeight="1">
      <c r="A31" s="11" t="str">
        <v>AOW03</v>
      </c>
      <c r="C31" s="11" t="str">
        <v>Number of inclusive enterprises and business models co-designed</v>
      </c>
      <c r="D31" s="11" t="str">
        <v>Number of innovations (innovation development)</v>
      </c>
      <c r="E31" s="11" t="str">
        <v>Country: Peru, Senegal, India, The Socialist Republic of Viet Nam, Kenya, Cambodia, Lao People's Democratic Republic, Tunisia, Zimbabwe, Colombia, Tanzania, United Republic</v>
      </c>
      <c r="F31" s="11">
        <v>2</v>
      </c>
      <c r="G31" s="11">
        <v>0</v>
      </c>
    </row>
    <row r="32" ht="50" customHeight="1" xml:space="preserve">
      <c r="A32" s="11" t="str">
        <v>AOW03</v>
      </c>
      <c r="B32" s="11" t="str">
        <v>OP 3.3.4. Innovative sustainable finance instruments</v>
      </c>
      <c r="C32" s="11" t="str" xml:space="preserve">
        <v xml:space="preserve">Deliverable - Inclusive green finance models for circular and green enterprises
Indicator: Number of financing models for circular and green enterprises designed</v>
      </c>
      <c r="D32" s="11" t="str">
        <v>Number of innovations (innovation development)</v>
      </c>
      <c r="E32" s="11" t="str">
        <v>Country: The Socialist Republic of Viet Nam, Kenya, India</v>
      </c>
      <c r="F32" s="11">
        <v>5</v>
      </c>
      <c r="G32" s="11">
        <v>56742</v>
      </c>
      <c r="H32" s="11">
        <f>SUM(G32:G35)</f>
      </c>
      <c r="I32" s="11" t="str">
        <v>.</v>
      </c>
    </row>
    <row r="33" ht="50" customHeight="1" xml:space="preserve">
      <c r="A33" s="11" t="str">
        <v>AOW03</v>
      </c>
      <c r="C33" s="11" t="str" xml:space="preserve">
        <v xml:space="preserve">Deliverable - Financial ecosystem assessment and toolbox 
Indicator: Number of financial ecosystem assessments implemented</v>
      </c>
      <c r="D33" s="11" t="str">
        <v>Number of knowledge products</v>
      </c>
      <c r="E33" s="11" t="str">
        <v>Country: The Socialist Republic of Viet Nam, Kenya, India</v>
      </c>
      <c r="F33" s="11">
        <v>4</v>
      </c>
      <c r="G33" s="11">
        <v>51460</v>
      </c>
      <c r="I33" s="11" t="str">
        <v>.</v>
      </c>
    </row>
    <row r="34" ht="50" customHeight="1" xml:space="preserve">
      <c r="A34" s="11" t="str">
        <v>AOW03</v>
      </c>
      <c r="C34" s="11" t="str" xml:space="preserve">
        <v xml:space="preserve">Deliverable - Innovation ecosystem for circular and green enterprise incubation
Indicator: Number of innovation challenges, small and medium enterprises incubators or businesses assessed using decision support tools</v>
      </c>
      <c r="D34" s="11" t="str">
        <v>Number of knowledge products</v>
      </c>
      <c r="E34" s="11" t="str">
        <v>Country: The Socialist Republic of Viet Nam, India, Kenya</v>
      </c>
      <c r="F34" s="11">
        <v>4</v>
      </c>
      <c r="G34" s="11">
        <v>145840</v>
      </c>
      <c r="I34" s="11" t="str">
        <v>.</v>
      </c>
    </row>
    <row r="35" ht="50" customHeight="1">
      <c r="A35" s="11" t="str">
        <v>AOW03</v>
      </c>
      <c r="C35" s="11" t="str">
        <v>Number of co-developed financial mechanisms for landscape transformations</v>
      </c>
      <c r="D35" s="11" t="str">
        <v>Number of innovations (innovation development)</v>
      </c>
      <c r="E35" s="11" t="str">
        <v>Country: Peru, Kenya, Cambodia, The Socialist Republic of Viet Nam, India, Senegal, Colombia, Zimbabwe, Tunisia, Lao People's Democratic Republic, Tanzania, United Republic</v>
      </c>
      <c r="F35" s="11">
        <v>0</v>
      </c>
      <c r="G35" s="11">
        <v>0</v>
      </c>
    </row>
    <row r="36" ht="50" customHeight="1" xml:space="preserve">
      <c r="A36" s="11" t="str">
        <v>AOW03</v>
      </c>
      <c r="B36" s="11" t="str">
        <v>OP 3.4.5. Integrated policy–market–finance pathways</v>
      </c>
      <c r="C36" s="11" t="str" xml:space="preserve">
        <v xml:space="preserve">Deliverable - Partnerships with financial institutions to co-design and implement Green Financing Models
Indicator: Number of partnerships for green financing models established with financial institutions and piloted</v>
      </c>
      <c r="D36" s="11" t="str">
        <v>Number of innovations (innovation development)</v>
      </c>
      <c r="E36" s="11" t="str">
        <v>Country: The Socialist Republic of Viet Nam, India, Kenya</v>
      </c>
      <c r="F36" s="11">
        <v>1</v>
      </c>
      <c r="G36" s="11">
        <v>53961</v>
      </c>
      <c r="H36" s="11">
        <f>SUM(G36:G36)</f>
      </c>
      <c r="I36" s="11" t="str">
        <v>.</v>
      </c>
    </row>
    <row r="37" ht="25" customHeight="1">
      <c r="B37" s="15" t="str">
        <v>HLO budget subtotal</v>
      </c>
      <c r="H37" s="15">
        <f>SUM(H28:H36)</f>
      </c>
    </row>
    <row r="38" ht="50" customHeight="1" xml:space="preserve">
      <c r="A38" s="13" t="str">
        <v>AOW04</v>
      </c>
      <c r="B38" s="11" t="str">
        <v>OP 4.1.2 GEYSI for co-creation and inclusive governance</v>
      </c>
      <c r="C38" s="11" t="str" xml:space="preserve">
        <v xml:space="preserve">Deliverable: Inclusive Business Models and Institutional Capacity for Youth Inclusion in MFLs — Co-design and strengthen business models, policies, and institutional mechanisms that address youth aspirations in education, employment, and migration, ensuring GEYSI-responsive approaches within multifunctional landscapes.
Indicator: Number of capacity sharing modules on GEYSI resposive business models for youth inclusion
</v>
      </c>
      <c r="D38" s="11" t="str">
        <v>Number of knowledge products</v>
      </c>
      <c r="E38" s="11" t="str">
        <v>Country: Kenya, Zimbabwe</v>
      </c>
      <c r="F38" s="11">
        <v>2</v>
      </c>
      <c r="G38" s="11">
        <v>19688</v>
      </c>
      <c r="H38" s="11">
        <f>SUM(G38:G40)</f>
      </c>
      <c r="I38" s="11" t="str">
        <v>.</v>
      </c>
    </row>
    <row r="39" ht="50" customHeight="1" xml:space="preserve">
      <c r="A39" s="11" t="str">
        <v>AOW04</v>
      </c>
      <c r="C39" s="11" t="str" xml:space="preserve">
        <v xml:space="preserve">Deliverable: Capacity sharing- From the GEYSI-responsive plans, data, and tools deliverable - Disseminate data, research findings, guidance, recommendations, methods and tools to research team, partners, living lab participants and other MFL stakeholders across scales 
Indicator:  Number of capacity sharing modules on GEYSI responsive plans, data and tools implemented
</v>
      </c>
      <c r="D39" s="11" t="str">
        <v>Number of knowledge products</v>
      </c>
      <c r="E39" s="11" t="str">
        <v>Country: Zimbabwe, Kenya</v>
      </c>
      <c r="F39" s="11">
        <v>2</v>
      </c>
      <c r="G39" s="11">
        <v>32085</v>
      </c>
      <c r="I39" s="11" t="str">
        <v>.</v>
      </c>
    </row>
    <row r="40" ht="50" customHeight="1" xml:space="preserve">
      <c r="A40" s="11" t="str">
        <v>AOW04</v>
      </c>
      <c r="C40" s="11" t="str" xml:space="preserve">
        <v xml:space="preserve">Deliverable: GEYSI situational analysis per MFL: recommendations and guidance documents for inclusive- Vision to Action and tradeoff analysis, innovation and responsible scaling  value chains , MFL governance, methods and tools, for landscape level gender transformative research methods
Indicator: Number of GEYSI recommendation packages
</v>
      </c>
      <c r="D40" s="11" t="str">
        <v>Number of knowledge products</v>
      </c>
      <c r="E40" s="11" t="str">
        <v>Country: Zimbabwe, Kenya</v>
      </c>
      <c r="F40" s="11">
        <v>2</v>
      </c>
      <c r="G40" s="11">
        <v>35002</v>
      </c>
      <c r="I40" s="11" t="str">
        <v>.</v>
      </c>
    </row>
    <row r="41" ht="50" customHeight="1" xml:space="preserve">
      <c r="A41" s="11" t="str">
        <v>AOW04</v>
      </c>
      <c r="B41" s="11" t="str">
        <v>OP 4.3.2. Engagement frameworks and pilots</v>
      </c>
      <c r="C41" s="11" t="str" xml:space="preserve">
        <v xml:space="preserve">Deliverable: Knowledge hub, evidence and policy platform - decentralised community led multiscale governance platform
Indicator: Number of stakeholder groups engaging in decentralised governance platforms
</v>
      </c>
      <c r="D41" s="11" t="str">
        <v>Number of innovations (innovation development)</v>
      </c>
      <c r="E41" s="11" t="str">
        <v>Country: Cambodia, Lao People's Democratic Republic</v>
      </c>
      <c r="F41" s="11">
        <v>8</v>
      </c>
      <c r="G41" s="11">
        <v>56878</v>
      </c>
      <c r="H41" s="11">
        <f>SUM(G41:G41)</f>
      </c>
      <c r="I41" s="11" t="str">
        <v>.</v>
      </c>
    </row>
    <row r="42" ht="25" customHeight="1">
      <c r="B42" s="15" t="str">
        <v>HLO budget subtotal</v>
      </c>
      <c r="H42" s="15">
        <f>SUM(H38:H41)</f>
      </c>
    </row>
  </sheetData>
  <mergeCells count="27">
    <mergeCell ref="A1:A2"/>
    <mergeCell ref="B1:B2"/>
    <mergeCell ref="C1:G1"/>
    <mergeCell ref="H1:H2"/>
    <mergeCell ref="I1:I2"/>
    <mergeCell ref="B3:B9"/>
    <mergeCell ref="H3:H9"/>
    <mergeCell ref="B10:B12"/>
    <mergeCell ref="H10:H12"/>
    <mergeCell ref="B15:G15"/>
    <mergeCell ref="A3:A15"/>
    <mergeCell ref="B16:B18"/>
    <mergeCell ref="H16:H18"/>
    <mergeCell ref="B19:B25"/>
    <mergeCell ref="H19:H25"/>
    <mergeCell ref="B27:G27"/>
    <mergeCell ref="A16:A27"/>
    <mergeCell ref="B29:B31"/>
    <mergeCell ref="H29:H31"/>
    <mergeCell ref="B32:B35"/>
    <mergeCell ref="H32:H35"/>
    <mergeCell ref="B37:G37"/>
    <mergeCell ref="A28:A37"/>
    <mergeCell ref="B38:B40"/>
    <mergeCell ref="H38:H40"/>
    <mergeCell ref="B42:G42"/>
    <mergeCell ref="A38:A42"/>
  </mergeCells>
  <ignoredErrors>
    <ignoredError numberStoredAsText="1" sqref="A1:I42"/>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8"/>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W-D-0526-GEF: G4DR in Africa</v>
      </c>
      <c r="B2" s="19" t="str">
        <v>AOW00</v>
      </c>
      <c r="C2" s="18" t="str">
        <v>2030 OC-5 National, regional, and global actors apply scientifically-sound evidence, knowledge products, and strengthened capacities on multifunctional landscapes</v>
      </c>
      <c r="D2" s="19">
        <v>0</v>
      </c>
      <c r="E2" s="19" t="str">
        <f>=SUM(D2:D3)</f>
        <v>0</v>
      </c>
    </row>
    <row r="3" ht="30" customHeight="1">
      <c r="A3" s="18" t="str">
        <v>W-D-0526-GEF: G4DR in Africa</v>
      </c>
      <c r="B3" s="19" t="str">
        <v>AOW04</v>
      </c>
      <c r="C3" s="18" t="str">
        <v>OP 4.3.1. Multifunctional landscapes policy design and implementation</v>
      </c>
      <c r="D3" s="19">
        <v>767367</v>
      </c>
      <c r="F3" s="19" t="str">
        <v>.</v>
      </c>
    </row>
    <row r="4" ht="30" customHeight="1">
      <c r="A4" s="18" t="str">
        <v>W-P-1641-IKI Indo-German Cooperation on Agrivoltaics (IGCA)</v>
      </c>
      <c r="B4" s="19" t="str">
        <v>AOW00</v>
      </c>
      <c r="C4" s="18" t="str">
        <v>2030 OC-3 National and sub-national public actors, market and finance sector actors co-design, implement, and sustain coordinated, inclusive and coherent policy, institutional, organizational, market and non-market innovations</v>
      </c>
      <c r="D4" s="19">
        <v>0</v>
      </c>
      <c r="E4" s="19" t="str">
        <f>=SUM(D4:D5)</f>
        <v>0</v>
      </c>
    </row>
    <row r="5" ht="30" customHeight="1">
      <c r="A5" s="18" t="str">
        <v>W-P-1641-IKI Indo-German Cooperation on Agrivoltaics (IGCA)</v>
      </c>
      <c r="B5" s="19" t="str">
        <v>AOW03</v>
      </c>
      <c r="C5" s="18" t="str">
        <v>OP 3.3.3. Co-designed inclusive market and non-market mechanisms for optimizing ecosystem services</v>
      </c>
      <c r="D5" s="19">
        <v>706594</v>
      </c>
      <c r="F5" s="19" t="str">
        <v>.</v>
      </c>
    </row>
    <row r="6" ht="30" customHeight="1">
      <c r="A6" s="18" t="str">
        <v>W-D-0440-AL MURANA</v>
      </c>
      <c r="B6" s="19" t="str">
        <v>AOW00</v>
      </c>
      <c r="C6" s="18" t="str">
        <v>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v>
      </c>
      <c r="D6" s="19">
        <v>0</v>
      </c>
      <c r="E6" s="19" t="str">
        <f>=SUM(D6:D7)</f>
        <v>0</v>
      </c>
    </row>
    <row r="7" ht="30" customHeight="1">
      <c r="A7" s="18" t="str">
        <v>W-D-0440-AL MURANA</v>
      </c>
      <c r="B7" s="19" t="str">
        <v>AOW01</v>
      </c>
      <c r="C7" s="18" t="str">
        <v>OP 1.1.2. – Climate-smart adaptation &amp; mitigation bundles</v>
      </c>
      <c r="D7" s="19">
        <v>492407</v>
      </c>
      <c r="F7" s="19" t="str">
        <v>.</v>
      </c>
    </row>
    <row r="8" ht="30" customHeight="1">
      <c r="A8" s="3" t="str">
        <v>W3/Bilateral projects subtotal</v>
      </c>
      <c r="E8" s="3">
        <f>SUM(E2:E7)</f>
      </c>
    </row>
  </sheetData>
  <mergeCells count="7">
    <mergeCell ref="A2:A3"/>
    <mergeCell ref="A4:A5"/>
    <mergeCell ref="A6:A7"/>
    <mergeCell ref="E2:E3"/>
    <mergeCell ref="E4:E5"/>
    <mergeCell ref="E6:E7"/>
    <mergeCell ref="A8:D8"/>
  </mergeCells>
  <ignoredErrors>
    <ignoredError numberStoredAsText="1" sqref="A1:F8"/>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7500</v>
      </c>
      <c r="D2" s="20">
        <v>0</v>
      </c>
      <c r="E2" s="20">
        <v>85000</v>
      </c>
      <c r="F2" s="20">
        <v>5000</v>
      </c>
      <c r="G2" s="20">
        <v>0</v>
      </c>
      <c r="H2" s="20" t="str">
        <f>=SUM(B2:G2)</f>
        <v>0</v>
      </c>
    </row>
    <row r="3" ht="20" customHeight="1">
      <c r="A3" s="20" t="str">
        <v>Operations (supplies, consultants, travels, workshops, other)</v>
      </c>
      <c r="B3" s="20">
        <v>0</v>
      </c>
      <c r="C3" s="20">
        <v>246057</v>
      </c>
      <c r="D3" s="20">
        <v>160333</v>
      </c>
      <c r="E3" s="20">
        <v>140000</v>
      </c>
      <c r="F3" s="20">
        <v>42782</v>
      </c>
      <c r="G3" s="20">
        <v>0</v>
      </c>
      <c r="H3" s="20" t="str">
        <f>=SUM(B3:G3)</f>
        <v>0</v>
      </c>
    </row>
    <row r="4" ht="20" customHeight="1">
      <c r="A4" s="20" t="str">
        <v>Staffing, Chargebacks and Indirect</v>
      </c>
      <c r="B4" s="20">
        <v>0</v>
      </c>
      <c r="C4" s="20">
        <v>356930</v>
      </c>
      <c r="D4" s="20">
        <v>170385</v>
      </c>
      <c r="E4" s="20">
        <v>372190</v>
      </c>
      <c r="F4" s="20">
        <v>95871</v>
      </c>
      <c r="G4" s="20">
        <v>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