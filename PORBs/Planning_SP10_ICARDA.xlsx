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Anapl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68652</v>
      </c>
    </row>
    <row r="5" ht="20" customHeight="1">
      <c r="A5" s="2" t="str">
        <v>AOW01: Accelerating Solutions for Impact</v>
      </c>
      <c r="B5" s="2">
        <v>0</v>
      </c>
      <c r="C5" s="5">
        <v>0</v>
      </c>
      <c r="D5" s="2">
        <v>8</v>
      </c>
      <c r="E5" s="5">
        <v>198500</v>
      </c>
      <c r="F5" s="2">
        <v>0</v>
      </c>
      <c r="G5" s="5">
        <v>0</v>
      </c>
      <c r="H5" s="2">
        <v>0</v>
      </c>
      <c r="I5" s="5">
        <v>0</v>
      </c>
      <c r="J5" s="5">
        <v>60000</v>
      </c>
      <c r="K5" s="5">
        <v>0</v>
      </c>
      <c r="L5" s="5">
        <v>258500</v>
      </c>
      <c r="M5" s="5">
        <v>0</v>
      </c>
    </row>
    <row r="6" ht="20" customHeight="1">
      <c r="A6" s="2" t="str">
        <v>AOW02: Accelerating Change Through Evidence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Youth Thrive</v>
      </c>
      <c r="B7" s="2">
        <v>0</v>
      </c>
      <c r="C7" s="5">
        <v>0</v>
      </c>
      <c r="D7" s="2">
        <v>3</v>
      </c>
      <c r="E7" s="5">
        <v>100000</v>
      </c>
      <c r="F7" s="2">
        <v>0</v>
      </c>
      <c r="G7" s="5">
        <v>0</v>
      </c>
      <c r="H7" s="2">
        <v>0</v>
      </c>
      <c r="I7" s="5">
        <v>0</v>
      </c>
      <c r="J7" s="5">
        <v>30000</v>
      </c>
      <c r="K7" s="5">
        <v>0</v>
      </c>
      <c r="L7" s="5">
        <v>130000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Area of Work Leadership Costs</v>
      </c>
      <c r="D2" s="11">
        <v>0</v>
      </c>
    </row>
    <row r="3" ht="45" customHeight="1">
      <c r="A3" s="11" t="str">
        <v>AOW00</v>
      </c>
      <c r="B3" s="11" t="str">
        <v xml:space="preserve">PMU Team 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Director and associated costs</v>
      </c>
      <c r="D4" s="11">
        <v>0</v>
      </c>
    </row>
    <row r="5" ht="45" customHeight="1">
      <c r="A5" s="11" t="str">
        <v>AOW00</v>
      </c>
      <c r="B5" s="11" t="str">
        <v>Director's discretionary fund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 xml:space="preserve">1.4.3: Solutions for inclusive leadership </v>
      </c>
      <c r="C3" s="11" t="str">
        <v>Scoping study and analysis of inclusion dynamics in women’s food processing groups, identifying successful models and mechanisms for integrating marginalized women, and producing evidence-based recommendations co-validated with policy actors to inform future interventions</v>
      </c>
      <c r="D3" s="11" t="str">
        <v>Number of knowledge products</v>
      </c>
      <c r="E3" s="11" t="str">
        <v>Country: Morocco</v>
      </c>
      <c r="F3" s="11">
        <v>2</v>
      </c>
      <c r="G3" s="11">
        <v>50000</v>
      </c>
      <c r="H3" s="11">
        <f>SUM(G3:G6)</f>
      </c>
      <c r="I3" s="11" t="str">
        <v xml:space="preserve">10,000 goes to Fondation Spect'act Morocco; 30000 to Terroir Mania Morocco </v>
      </c>
    </row>
    <row r="4" ht="50" customHeight="1">
      <c r="A4" s="11" t="str">
        <v>AOW01</v>
      </c>
      <c r="C4" s="11" t="str">
        <v>Published papers that present an assessment of the effects of capacity-strengthening initiatives on awareness and membership of agricultural cooperatives in Tunisia</v>
      </c>
      <c r="D4" s="11" t="str">
        <v>Number of knowledge products</v>
      </c>
      <c r="E4" s="11" t="str">
        <v>Country: Tunisia</v>
      </c>
      <c r="F4" s="11">
        <v>2</v>
      </c>
      <c r="G4" s="11">
        <v>58500</v>
      </c>
      <c r="I4" s="11" t="str">
        <v>Collaborating partners, non-contracted: National Institute for Agricultural Research in Tunisia; Women Development Division in Tunisia</v>
      </c>
    </row>
    <row r="5" ht="50" customHeight="1" xml:space="preserve">
      <c r="A5" s="11" t="str">
        <v>AOW01</v>
      </c>
      <c r="C5" s="11" t="str">
        <v>Scoping study on women’s leadership and digital transformation in agri-food cooperatives: evidence from Morocco, Tunisia, and Lebanon</v>
      </c>
      <c r="D5" s="11" t="str">
        <v>Number of knowledge products</v>
      </c>
      <c r="E5" s="11" t="str">
        <v>Country: Tunisia, Lebanon, Morocco</v>
      </c>
      <c r="F5" s="11">
        <v>2</v>
      </c>
      <c r="G5" s="11">
        <v>35000</v>
      </c>
      <c r="I5" s="11" t="str" xml:space="preserve">
        <v xml:space="preserve">Collaborating partners, non-contracted: Lebanese Agriculture Research Institute; Lebanese Agricultural Directorate; National Institute for Agricultural Research in Tunisia; Women Development Division in Tunisia- Agriculture Development Agency in Morocco
20,000 USD to be implemented through ONCA</v>
      </c>
    </row>
    <row r="6" ht="50" customHeight="1">
      <c r="A6" s="11" t="str">
        <v>AOW01</v>
      </c>
      <c r="C6" s="11" t="str">
        <v>Scoping study of women's voice and leadership in food processing cooperatives in MENA</v>
      </c>
      <c r="D6" s="11" t="str">
        <v>Number of knowledge products</v>
      </c>
      <c r="E6" s="11" t="str">
        <v>Country: Lebanon, Morocco, Tunisia</v>
      </c>
      <c r="F6" s="11">
        <v>2</v>
      </c>
      <c r="G6" s="11">
        <v>55000</v>
      </c>
      <c r="I6" s="11" t="str">
        <v>Collaborating partners, non-contracted: Lebanese Agriculture Research Institute; Lebanese Agricultural Directorate; National Institute for Agricultural Research in Tunisia; Women Development Division in Tunisia- Agriculture Development Agency in Morocco</v>
      </c>
    </row>
    <row r="7" ht="25" customHeight="1">
      <c r="B7" s="14" t="str">
        <v>HLO budget subtotal</v>
      </c>
      <c r="H7" s="15">
        <f>SUM(H3:H6)</f>
      </c>
    </row>
    <row r="8" ht="50" customHeight="1">
      <c r="A8" s="13" t="str">
        <v>AOW03</v>
      </c>
      <c r="B8" s="11" t="str">
        <v>3.1.3: Analysis of constraints and pathways for youth in FLWS</v>
      </c>
      <c r="C8" s="11" t="str">
        <v>Age- and gender-specific empowerment indicators defined based on the scoping study and validated with youth and stakeholders</v>
      </c>
      <c r="D8" s="11" t="str">
        <v>Number of knowledge products</v>
      </c>
      <c r="E8" s="11" t="str">
        <v>Country: Ethiopia</v>
      </c>
      <c r="F8" s="11">
        <v>1</v>
      </c>
      <c r="G8" s="11">
        <v>65000</v>
      </c>
      <c r="H8" s="11">
        <f>SUM(G8:G9)</f>
      </c>
      <c r="I8" s="11" t="str">
        <v>Staff FTE and validation workshop</v>
      </c>
    </row>
    <row r="9" ht="50" customHeight="1">
      <c r="A9" s="11" t="str">
        <v>AOW03</v>
      </c>
      <c r="C9" s="11" t="str">
        <v>Scoping study and evidence report on pathways enabling youth to access resources, strengthen skills, and exercise agency within the sheep fattening value chain, providing actionable recommendations for targeted interventions</v>
      </c>
      <c r="D9" s="11" t="str">
        <v>Number of knowledge products</v>
      </c>
      <c r="E9" s="11" t="str">
        <v>Country: Ethiopia</v>
      </c>
      <c r="F9" s="11">
        <v>2</v>
      </c>
      <c r="G9" s="11">
        <v>35000</v>
      </c>
      <c r="I9" s="11" t="str">
        <v>30,000 USD goes to Women Empowerment Action Ethiopia for this deliverable</v>
      </c>
    </row>
    <row r="10" ht="25" customHeight="1">
      <c r="B10" s="15" t="str">
        <v>HLO budget subtotal</v>
      </c>
      <c r="H10" s="15">
        <f>SUM(H8:H9)</f>
      </c>
    </row>
  </sheetData>
  <mergeCells count="13">
    <mergeCell ref="A1:A2"/>
    <mergeCell ref="B1:B2"/>
    <mergeCell ref="C1:G1"/>
    <mergeCell ref="H1:H2"/>
    <mergeCell ref="I1:I2"/>
    <mergeCell ref="B3:B6"/>
    <mergeCell ref="H3:H6"/>
    <mergeCell ref="B7:G7"/>
    <mergeCell ref="A3:A7"/>
    <mergeCell ref="B8:B9"/>
    <mergeCell ref="H8:H9"/>
    <mergeCell ref="B10:G10"/>
    <mergeCell ref="A8:A10"/>
  </mergeCells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AOW01</v>
      </c>
      <c r="B2" s="11" t="str">
        <v>Office National du Conseil Agricole/National Office of the Agricultural Council (Morocco)</v>
      </c>
      <c r="C2" s="11" t="str">
        <v>1.4.3: Solutions for inclusive leadership</v>
      </c>
      <c r="D2" s="11" t="str">
        <v>Morocco</v>
      </c>
      <c r="E2" s="11">
        <v>20000</v>
      </c>
      <c r="F2" s="11" t="str">
        <v>N/A</v>
      </c>
    </row>
    <row r="3" ht="70" customHeight="1">
      <c r="A3" s="11" t="str">
        <v>AOW01</v>
      </c>
      <c r="B3" s="11" t="str">
        <v>terroir mania morocco</v>
      </c>
      <c r="C3" s="11" t="str">
        <v>1.4.3: Solutions for inclusive leadership</v>
      </c>
      <c r="D3" s="11" t="str">
        <v>Morocco</v>
      </c>
      <c r="E3" s="11">
        <v>30000</v>
      </c>
      <c r="F3" s="11" t="str">
        <v>N/A</v>
      </c>
    </row>
    <row r="4" ht="70" customHeight="1">
      <c r="A4" s="11" t="str">
        <v>AOW01</v>
      </c>
      <c r="B4" s="11" t="str">
        <v>Fondation Spect'act</v>
      </c>
      <c r="C4" s="11" t="str">
        <v>1.4.3: Solutions for inclusive leadership</v>
      </c>
      <c r="D4" s="11" t="str">
        <v>Morocco</v>
      </c>
      <c r="E4" s="11">
        <v>10000</v>
      </c>
      <c r="F4" s="11" t="str">
        <v>N/A</v>
      </c>
    </row>
    <row r="5" ht="25" customHeight="1">
      <c r="B5" s="14" t="str">
        <v>Contracted partners subtotal</v>
      </c>
      <c r="E5" s="14">
        <f>SUM(E2:E4)</f>
      </c>
    </row>
    <row r="6" ht="70" customHeight="1">
      <c r="A6" s="12" t="str">
        <v>AOW03</v>
      </c>
      <c r="B6" s="11" t="str">
        <v>Fondation Spect'act</v>
      </c>
      <c r="C6" s="11" t="str">
        <v>3.1.3: Analysis of constraints and pathways for youth in FLWS</v>
      </c>
      <c r="D6" s="11" t="str">
        <v>Morocco</v>
      </c>
      <c r="E6" s="11">
        <v>0</v>
      </c>
    </row>
    <row r="7" ht="70" customHeight="1">
      <c r="A7" s="11" t="str">
        <v>AOW03</v>
      </c>
      <c r="B7" s="11" t="str">
        <v>women empowerment action ethiopia</v>
      </c>
      <c r="C7" s="11" t="str">
        <v>3.1.3: Analysis of constraints and pathways for youth in FLWS</v>
      </c>
      <c r="D7" s="11" t="str">
        <v>Ethiopia</v>
      </c>
      <c r="E7" s="11">
        <v>30000</v>
      </c>
      <c r="F7" s="11" t="str">
        <v>This budget is for the scoping study and evidence report on pathways enabling youth to access resources...</v>
      </c>
    </row>
    <row r="8" ht="25" customHeight="1">
      <c r="B8" s="14" t="str">
        <v>Contracted partners subtotal</v>
      </c>
      <c r="E8" s="14">
        <f>SUM(E6:E7)</f>
      </c>
    </row>
  </sheetData>
  <mergeCells count="4">
    <mergeCell ref="B5:D5"/>
    <mergeCell ref="A2:A5"/>
    <mergeCell ref="B8:D8"/>
    <mergeCell ref="A6:A8"/>
  </mergeCells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D-100867-PRIMA: Lost and found: Neglected and Underutilized Species (NUS) and water harvesting for building climate change resilience, soil fertility, dietary diversity, and women’s empowerment</v>
      </c>
      <c r="B2" s="19" t="str">
        <v>AOW00</v>
      </c>
      <c r="C2" s="18" t="str">
        <v>1.4 Amplify the voices of women, youth and socially excluded groups</v>
      </c>
      <c r="D2" s="19">
        <v>68652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20" t="str">
        <v>Collaborators non-CGIAR centers</v>
      </c>
      <c r="B2" s="20">
        <v>70000</v>
      </c>
      <c r="C2" s="20">
        <v>60000</v>
      </c>
      <c r="D2" s="20">
        <v>0</v>
      </c>
      <c r="E2" s="20">
        <v>30000</v>
      </c>
      <c r="F2" s="20" t="str">
        <f>=SUM(B2:E2)</f>
        <v>0</v>
      </c>
    </row>
    <row r="3" ht="20" customHeight="1">
      <c r="A3" s="20" t="str">
        <v>Operations (supplies, consultants, travels, workshops, other)</v>
      </c>
      <c r="B3" s="20">
        <v>39055</v>
      </c>
      <c r="C3" s="20">
        <v>65634</v>
      </c>
      <c r="D3" s="20">
        <v>0</v>
      </c>
      <c r="E3" s="20">
        <v>56683</v>
      </c>
      <c r="F3" s="20" t="str">
        <f>=SUM(B3:E3)</f>
        <v>0</v>
      </c>
    </row>
    <row r="4" ht="20" customHeight="1">
      <c r="A4" s="20" t="str">
        <v>Staffing, Chargebacks and Indirect</v>
      </c>
      <c r="B4" s="20">
        <v>96606</v>
      </c>
      <c r="C4" s="20">
        <v>132866</v>
      </c>
      <c r="D4" s="20">
        <v>0</v>
      </c>
      <c r="E4" s="20">
        <v>43317</v>
      </c>
      <c r="F4" s="20" t="str">
        <f>=SUM(B4:E4)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Cross-Cutting</vt:lpstr>
      <vt:lpstr>HLO</vt:lpstr>
      <vt:lpstr>Partner</vt:lpstr>
      <vt:lpstr>W3-Bilateral projects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