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1362124</v>
      </c>
      <c r="M4" s="5">
        <v>0</v>
      </c>
    </row>
    <row r="5" ht="20" customHeight="1">
      <c r="A5" s="2" t="str">
        <v xml:space="preserve">AOW01: Prioritization and Coordination of Climate Action </v>
      </c>
      <c r="B5" s="2">
        <v>1</v>
      </c>
      <c r="C5" s="5">
        <v>549216</v>
      </c>
      <c r="D5" s="2">
        <v>2</v>
      </c>
      <c r="E5" s="5">
        <v>748710</v>
      </c>
      <c r="F5" s="2">
        <v>0</v>
      </c>
      <c r="G5" s="5">
        <v>0</v>
      </c>
      <c r="H5" s="2">
        <v>0</v>
      </c>
      <c r="I5" s="5">
        <v>0</v>
      </c>
      <c r="J5" s="5">
        <v>0</v>
      </c>
      <c r="K5" s="5">
        <v>113000</v>
      </c>
      <c r="L5" s="5">
        <v>1410926</v>
      </c>
      <c r="M5" s="5">
        <v>0</v>
      </c>
    </row>
    <row r="6" ht="20" customHeight="1">
      <c r="A6" s="2" t="str">
        <v xml:space="preserve">AOW02: Digital Advisories and Climate Risk Management  </v>
      </c>
      <c r="B6" s="2">
        <v>0</v>
      </c>
      <c r="C6" s="5">
        <v>0</v>
      </c>
      <c r="D6" s="2">
        <v>0</v>
      </c>
      <c r="E6" s="5">
        <v>0</v>
      </c>
      <c r="F6" s="2">
        <v>0</v>
      </c>
      <c r="G6" s="5">
        <v>0</v>
      </c>
      <c r="H6" s="2">
        <v>0</v>
      </c>
      <c r="I6" s="5">
        <v>0</v>
      </c>
      <c r="J6" s="5">
        <v>0</v>
      </c>
      <c r="K6" s="5">
        <v>0</v>
      </c>
      <c r="L6" s="5">
        <v>0</v>
      </c>
      <c r="M6" s="5">
        <v>0</v>
      </c>
    </row>
    <row r="7" ht="20" customHeight="1">
      <c r="A7" s="2" t="str">
        <v xml:space="preserve">AOW03: Locally-led Adaptation  </v>
      </c>
      <c r="B7" s="2">
        <v>0</v>
      </c>
      <c r="C7" s="5">
        <v>0</v>
      </c>
      <c r="D7" s="2">
        <v>0</v>
      </c>
      <c r="E7" s="5">
        <v>0</v>
      </c>
      <c r="F7" s="2">
        <v>0</v>
      </c>
      <c r="G7" s="5">
        <v>0</v>
      </c>
      <c r="H7" s="2">
        <v>0</v>
      </c>
      <c r="I7" s="5">
        <v>0</v>
      </c>
      <c r="J7" s="5">
        <v>0</v>
      </c>
      <c r="K7" s="5">
        <v>36000</v>
      </c>
      <c r="L7" s="5">
        <v>36000</v>
      </c>
      <c r="M7" s="5">
        <v>0</v>
      </c>
    </row>
    <row r="8" ht="20" customHeight="1">
      <c r="A8" s="2" t="str">
        <v xml:space="preserve">AOW04: Low-emission Transitions  </v>
      </c>
      <c r="B8" s="2">
        <v>0</v>
      </c>
      <c r="C8" s="5">
        <v>0</v>
      </c>
      <c r="D8" s="2">
        <v>0</v>
      </c>
      <c r="E8" s="5">
        <v>0</v>
      </c>
      <c r="F8" s="2">
        <v>0</v>
      </c>
      <c r="G8" s="5">
        <v>0</v>
      </c>
      <c r="H8" s="2">
        <v>0</v>
      </c>
      <c r="I8" s="5">
        <v>0</v>
      </c>
      <c r="J8" s="5">
        <v>0</v>
      </c>
      <c r="K8" s="5">
        <v>48500</v>
      </c>
      <c r="L8" s="5">
        <v>48500</v>
      </c>
      <c r="M8" s="5">
        <v>0</v>
      </c>
    </row>
    <row r="9" ht="20" customHeight="1">
      <c r="A9" s="2" t="str">
        <v xml:space="preserve">AOW05: Finance and Policy for Scaling Solutions </v>
      </c>
      <c r="B9" s="2">
        <v>0</v>
      </c>
      <c r="C9" s="5">
        <v>0</v>
      </c>
      <c r="D9" s="2">
        <v>0</v>
      </c>
      <c r="E9" s="5">
        <v>0</v>
      </c>
      <c r="F9" s="2">
        <v>0</v>
      </c>
      <c r="G9" s="5">
        <v>0</v>
      </c>
      <c r="H9" s="2">
        <v>0</v>
      </c>
      <c r="I9" s="5">
        <v>0</v>
      </c>
      <c r="J9" s="5">
        <v>0</v>
      </c>
      <c r="K9" s="5">
        <v>12500</v>
      </c>
      <c r="L9" s="5">
        <v>12500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1062124</v>
      </c>
      <c r="E5" s="11" t="str">
        <v>None</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300000</v>
      </c>
      <c r="E7" s="11" t="str">
        <v>Director discretionary funds</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1.1.2. Frameworks, strategies and tools for vulnerability root causes, climate justice pathways</v>
      </c>
      <c r="C3" s="11" t="str">
        <v>Number of targeted studies (through Gender Focal Point) to strengthen gender integration in select packages</v>
      </c>
      <c r="D3" s="11" t="str">
        <v>Number of knowledge products</v>
      </c>
      <c r="E3" s="11" t="str">
        <v>Global</v>
      </c>
      <c r="F3" s="11">
        <v>1</v>
      </c>
      <c r="G3" s="11">
        <v>500000</v>
      </c>
      <c r="H3" s="11">
        <f>SUM(G3:G3)</f>
      </c>
      <c r="I3" s="11" t="str">
        <v>Dedicated gender focal point and modest research funds to support targeted studies that strengthen gender in select packages. Funding to be allocated to AoW1 in the Centers following the recruitment of the gender focal point.</v>
      </c>
    </row>
    <row r="4" ht="50" customHeight="1">
      <c r="A4" s="11" t="str">
        <v>AOW01</v>
      </c>
      <c r="B4" s="11" t="str">
        <v>1.1.3 &amp; 1.3.2 Harmonized data, simulations, insights and decision support tools</v>
      </c>
      <c r="C4" s="11" t="str">
        <v>Number of Innovation Fund: Internal fund for the Program for high-impact potential innovations</v>
      </c>
      <c r="D4" s="11" t="str">
        <v>Number of innovations (innovation development)</v>
      </c>
      <c r="E4" s="11" t="str">
        <v>Global</v>
      </c>
      <c r="F4" s="11">
        <v>1</v>
      </c>
      <c r="G4" s="11">
        <v>549216</v>
      </c>
      <c r="H4" s="11">
        <f>SUM(G4:G4)</f>
      </c>
      <c r="I4" s="11" t="str">
        <v>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v>
      </c>
    </row>
    <row r="5" ht="50" customHeight="1">
      <c r="A5" s="11" t="str">
        <v>AOW01</v>
      </c>
      <c r="B5" s="11" t="str">
        <v>1.1.4. Synthesis products, advocacy and communication materials</v>
      </c>
      <c r="C5" s="11" t="str">
        <v>Number of consolidated CGIAR's climate offer</v>
      </c>
      <c r="D5" s="11" t="str">
        <v>Number of knowledge products</v>
      </c>
      <c r="E5" s="11" t="str">
        <v>Global</v>
      </c>
      <c r="F5" s="11">
        <v>1</v>
      </c>
      <c r="G5" s="11">
        <v>248710</v>
      </c>
      <c r="H5" s="11">
        <f>SUM(G5:G5)</f>
      </c>
      <c r="I5" s="11" t="str">
        <v>Funding for Climate Hub packages of deliverables to be allocated to relevant Centers on defining the evidence-base for CGIAR's climate activities. These funds will be allocated to AoW1 in Q1 2026.</v>
      </c>
    </row>
    <row r="6" ht="25" customHeight="1">
      <c r="B6" s="14" t="str">
        <v>HLO budget subtotal</v>
      </c>
      <c r="H6" s="15">
        <f>SUM(H3:H5)</f>
      </c>
    </row>
  </sheetData>
  <mergeCells count="7">
    <mergeCell ref="A1:A2"/>
    <mergeCell ref="B1:B2"/>
    <mergeCell ref="C1:G1"/>
    <mergeCell ref="H1:H2"/>
    <mergeCell ref="I1:I2"/>
    <mergeCell ref="B6:G6"/>
    <mergeCell ref="A3:A6"/>
  </mergeCells>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18" t="str">
        <v>Collaborators non-CGIAR centers</v>
      </c>
      <c r="B2" s="18">
        <v>0</v>
      </c>
      <c r="C2" s="18">
        <v>0</v>
      </c>
      <c r="D2" s="18">
        <v>0</v>
      </c>
      <c r="E2" s="18">
        <v>0</v>
      </c>
      <c r="F2" s="18">
        <v>0</v>
      </c>
      <c r="G2" s="18">
        <v>0</v>
      </c>
      <c r="H2" s="18" t="str">
        <f>=SUM(B2:G2)</f>
        <v>0</v>
      </c>
    </row>
    <row r="3" ht="20" customHeight="1">
      <c r="A3" s="18" t="str">
        <v>Operations (supplies, consultants, travels, workshops, other)</v>
      </c>
      <c r="B3" s="18">
        <v>289318</v>
      </c>
      <c r="C3" s="18">
        <v>211639</v>
      </c>
      <c r="D3" s="18">
        <v>0</v>
      </c>
      <c r="E3" s="18">
        <v>5400</v>
      </c>
      <c r="F3" s="18">
        <v>7275</v>
      </c>
      <c r="G3" s="18">
        <v>1875</v>
      </c>
      <c r="H3" s="18" t="str">
        <f>=SUM(B3:G3)</f>
        <v>0</v>
      </c>
    </row>
    <row r="4" ht="20" customHeight="1">
      <c r="A4" s="18" t="str">
        <v>Staffing, Chargebacks and Indirect</v>
      </c>
      <c r="B4" s="18">
        <v>1072806</v>
      </c>
      <c r="C4" s="18">
        <v>1199287</v>
      </c>
      <c r="D4" s="18">
        <v>0</v>
      </c>
      <c r="E4" s="18">
        <v>30600</v>
      </c>
      <c r="F4" s="18">
        <v>41225</v>
      </c>
      <c r="G4" s="18">
        <v>10625</v>
      </c>
      <c r="H4" s="18" t="str">
        <f>=SUM(B4:G4)</f>
        <v>0</v>
      </c>
    </row>
    <row r="5" ht="20" customHeight="1">
      <c r="A5" s="19" t="str">
        <v>Subtotal</v>
      </c>
      <c r="B5" s="20" t="str">
        <f>=SUM(B2:B4)</f>
        <v>0</v>
      </c>
      <c r="C5" s="21" t="str">
        <f>=SUM(C2:C4)</f>
        <v>0</v>
      </c>
      <c r="D5" s="21" t="str">
        <f>=SUM(D2:D4)</f>
        <v>0</v>
      </c>
      <c r="E5" s="21" t="str">
        <f>=SUM(E2:E4)</f>
        <v>0</v>
      </c>
      <c r="F5" s="21" t="str">
        <f>=SUM(F2:F4)</f>
        <v>0</v>
      </c>
      <c r="G5" s="21" t="str">
        <f>=SUM(G2:G4)</f>
        <v>0</v>
      </c>
      <c r="H5" s="21"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