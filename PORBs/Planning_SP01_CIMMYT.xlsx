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260000</v>
      </c>
      <c r="M4" s="5">
        <v>0</v>
      </c>
    </row>
    <row r="5" ht="20" customHeight="1">
      <c r="A5" s="2" t="str">
        <v>AOW01: Market Intelligence</v>
      </c>
      <c r="B5" s="2">
        <v>0</v>
      </c>
      <c r="C5" s="5">
        <v>0</v>
      </c>
      <c r="D5" s="2">
        <v>6</v>
      </c>
      <c r="E5" s="5">
        <v>271281</v>
      </c>
      <c r="F5" s="2">
        <v>0</v>
      </c>
      <c r="G5" s="5">
        <v>0</v>
      </c>
      <c r="H5" s="2">
        <v>0</v>
      </c>
      <c r="I5" s="5">
        <v>0</v>
      </c>
      <c r="J5" s="5">
        <v>0</v>
      </c>
      <c r="K5" s="5">
        <v>0</v>
      </c>
      <c r="L5" s="5">
        <v>271281</v>
      </c>
      <c r="M5" s="5">
        <v>0</v>
      </c>
    </row>
    <row r="6" ht="20" customHeight="1">
      <c r="A6" s="2" t="str">
        <v>AOW02: Accelerated Breeding</v>
      </c>
      <c r="B6" s="2">
        <v>361</v>
      </c>
      <c r="C6" s="5">
        <v>2492071</v>
      </c>
      <c r="D6" s="2">
        <v>6</v>
      </c>
      <c r="E6" s="5">
        <v>225982</v>
      </c>
      <c r="F6" s="2">
        <v>0</v>
      </c>
      <c r="G6" s="5">
        <v>0</v>
      </c>
      <c r="H6" s="2">
        <v>20</v>
      </c>
      <c r="I6" s="5">
        <v>127191</v>
      </c>
      <c r="J6" s="5">
        <v>189636</v>
      </c>
      <c r="K6" s="5">
        <v>0</v>
      </c>
      <c r="L6" s="5">
        <v>3034880</v>
      </c>
      <c r="M6" s="5">
        <v>0</v>
      </c>
    </row>
    <row r="7" ht="20" customHeight="1">
      <c r="A7" s="2" t="str">
        <v>AOW03: Inclusive Delivery</v>
      </c>
      <c r="B7" s="2">
        <v>30</v>
      </c>
      <c r="C7" s="5">
        <v>303460</v>
      </c>
      <c r="D7" s="2">
        <v>10</v>
      </c>
      <c r="E7" s="5">
        <v>297467</v>
      </c>
      <c r="F7" s="2">
        <v>0</v>
      </c>
      <c r="G7" s="5">
        <v>0</v>
      </c>
      <c r="H7" s="2">
        <v>15</v>
      </c>
      <c r="I7" s="5">
        <v>80000</v>
      </c>
      <c r="J7" s="5">
        <v>252790</v>
      </c>
      <c r="K7" s="5">
        <v>0</v>
      </c>
      <c r="L7" s="5">
        <v>933717</v>
      </c>
      <c r="M7" s="5">
        <v>0</v>
      </c>
    </row>
    <row r="8" ht="20" customHeight="1">
      <c r="A8" s="2" t="str">
        <v>AOW04: Breeding Resources</v>
      </c>
      <c r="B8" s="2">
        <v>4</v>
      </c>
      <c r="C8" s="5">
        <v>411949</v>
      </c>
      <c r="D8" s="2">
        <v>0</v>
      </c>
      <c r="E8" s="5">
        <v>0</v>
      </c>
      <c r="F8" s="2">
        <v>352</v>
      </c>
      <c r="G8" s="5">
        <v>396371</v>
      </c>
      <c r="H8" s="2">
        <v>1260</v>
      </c>
      <c r="I8" s="5">
        <v>977083</v>
      </c>
      <c r="J8" s="5">
        <v>0</v>
      </c>
      <c r="K8" s="5">
        <v>0</v>
      </c>
      <c r="L8" s="5">
        <v>1785403</v>
      </c>
      <c r="M8" s="5">
        <v>0</v>
      </c>
    </row>
    <row r="9" ht="20" customHeight="1">
      <c r="A9" s="2" t="str">
        <v>AOW05: Enable</v>
      </c>
      <c r="B9" s="2">
        <v>0</v>
      </c>
      <c r="C9" s="5">
        <v>0</v>
      </c>
      <c r="D9" s="2">
        <v>22</v>
      </c>
      <c r="E9" s="5">
        <v>370787</v>
      </c>
      <c r="F9" s="2">
        <v>80</v>
      </c>
      <c r="G9" s="5">
        <v>123000</v>
      </c>
      <c r="H9" s="2">
        <v>6</v>
      </c>
      <c r="I9" s="5">
        <v>40000</v>
      </c>
      <c r="J9" s="5">
        <v>0</v>
      </c>
      <c r="K9" s="5">
        <v>0</v>
      </c>
      <c r="L9" s="5">
        <v>533787</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NARES leadership team meeting</v>
      </c>
      <c r="C2" s="11" t="str">
        <v>For High level NARES meeting under ENABLE (150k)</v>
      </c>
      <c r="D2" s="11">
        <v>150000</v>
      </c>
      <c r="E2" s="11" t="str">
        <v>Cross cutting function, held by CIMMYT on behlaf of other Centres for the Enable Highl Level Leadership team meeting</v>
      </c>
    </row>
    <row r="3" ht="45" customHeight="1">
      <c r="A3" s="11" t="str">
        <v>AOW00</v>
      </c>
      <c r="B3" s="11" t="str">
        <v>DIscretionary funds</v>
      </c>
      <c r="C3" s="11" t="str">
        <v xml:space="preserve">To be allocated </v>
      </c>
      <c r="D3" s="11">
        <v>0</v>
      </c>
    </row>
    <row r="4" ht="45" customHeight="1">
      <c r="A4" s="11" t="str">
        <v>AOW00</v>
      </c>
      <c r="B4" s="11" t="str">
        <v>To be allocated to research</v>
      </c>
      <c r="C4" s="11" t="str">
        <v>PODs pending</v>
      </c>
      <c r="D4" s="11">
        <v>0</v>
      </c>
    </row>
    <row r="5" ht="45" customHeight="1">
      <c r="A5" s="11" t="str">
        <v>AOW00</v>
      </c>
      <c r="B5" s="11" t="str">
        <v>Director Salary and costs</v>
      </c>
      <c r="C5" s="11" t="str">
        <v>510k for the Director's salary + relevant costs, as outlined by instructions</v>
      </c>
      <c r="D5" s="11">
        <v>0</v>
      </c>
    </row>
    <row r="6" ht="45" customHeight="1">
      <c r="A6" s="11" t="str">
        <v>AOW00</v>
      </c>
      <c r="B6" s="11" t="str">
        <v>Finance Focal point</v>
      </c>
      <c r="C6" s="11" t="str">
        <v>Mandated by Finance for 36.5k</v>
      </c>
      <c r="D6" s="11">
        <v>0</v>
      </c>
    </row>
    <row r="7" ht="45" customHeight="1" xml:space="preserve">
      <c r="A7" s="11" t="str">
        <v>AOW00</v>
      </c>
      <c r="B7" s="11" t="str">
        <v xml:space="preserve">Travel costs </v>
      </c>
      <c r="C7" s="11" t="str" xml:space="preserve">
        <v xml:space="preserve">Budget for two meetings of 75k costs each
</v>
      </c>
      <c r="D7" s="11">
        <v>0</v>
      </c>
    </row>
    <row r="8" ht="45" customHeight="1">
      <c r="A8" s="11" t="str">
        <v>AOW00</v>
      </c>
      <c r="B8" s="11" t="str">
        <v>AoW lead total salary costs at up to 50% of time</v>
      </c>
      <c r="C8" s="11" t="str">
        <v>For four AoW leads at 50% and two at 25%</v>
      </c>
      <c r="D8" s="11">
        <v>0</v>
      </c>
    </row>
    <row r="9" ht="45" customHeight="1" xml:space="preserve">
      <c r="A9" s="11" t="str">
        <v>AOW00</v>
      </c>
      <c r="B9" s="11" t="str">
        <v>PMU costs (Program Coordinator; Communications Focal Point;  MELIA Focal Point)</v>
      </c>
      <c r="C9" s="11" t="str">
        <v>All at 50% FTE</v>
      </c>
      <c r="D9" s="11">
        <v>110000</v>
      </c>
      <c r="E9" s="11" t="str" xml:space="preserve">
        <v xml:space="preserve">50k for MELIA FP
60k for Comms FP</v>
      </c>
    </row>
    <row r="10" ht="45" customHeight="1">
      <c r="A10" s="11" t="str">
        <v>AOW00</v>
      </c>
      <c r="B10" s="11" t="str">
        <v>Consultants</v>
      </c>
      <c r="C10" s="11" t="str">
        <v>Primary consultants for B4T</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5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HLO2.AOW1.IO1 Target markets</v>
      </c>
      <c r="C3" s="11" t="str">
        <v>Market intelligence is gathered to evidence demand-led and foresight opportunities for impact--------------CIMMYT - (Maize, wheat, Sorghum, Pearl Millet, Finger Millet) -----------Number of knowledge products featuring new demand led market segments updates</v>
      </c>
      <c r="D3" s="11" t="str">
        <v>Number of knowledge products</v>
      </c>
      <c r="E3" s="11" t="str">
        <v>Country: Kenya</v>
      </c>
      <c r="F3" s="11">
        <v>5</v>
      </c>
      <c r="G3" s="11">
        <v>200000</v>
      </c>
      <c r="H3" s="11">
        <f>SUM(G3:G3)</f>
      </c>
      <c r="I3" s="11" t="str" xml:space="preserve">
        <v xml:space="preserve">CIMMYT_Breeding for Tomorrow_31_SAS
Responsible: Agnes Mbugua (a.mbugua@cgiar.org)
The 5 knowledge products are updated future market intelligence segmentations for CIMMYT crops: Wheat, Maize, Sorghum, Pearl millet and Finger Millet.</v>
      </c>
    </row>
    <row r="4" ht="50" customHeight="1" xml:space="preserve">
      <c r="A4" s="11" t="str">
        <v>AOW01</v>
      </c>
      <c r="B4" s="11" t="str">
        <v>HLO3.AOW1.IO1 Design concepts</v>
      </c>
      <c r="C4" s="11" t="str">
        <v>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v>
      </c>
      <c r="D4" s="11" t="str">
        <v>Number of knowledge products</v>
      </c>
      <c r="E4" s="11" t="str">
        <v>Global</v>
      </c>
      <c r="F4" s="11">
        <v>1</v>
      </c>
      <c r="G4" s="11">
        <v>71281</v>
      </c>
      <c r="H4" s="11">
        <f>SUM(G4:G4)</f>
      </c>
      <c r="I4" s="11" t="str" xml:space="preserve">
        <v xml:space="preserve">CIMMYT_Breeding for Tomorrow_CC4 (ex. IRRI_CGIAR_Breeding for Tomorrow_04)
Pieter Rutsaert (p.rutsaert@cgiar.org)
New standardized guidelines for PDT and advancement meeting processes, tools, and data flows.</v>
      </c>
    </row>
    <row r="5" ht="25" customHeight="1">
      <c r="B5" s="14" t="str">
        <v>HLO budget subtotal</v>
      </c>
      <c r="H5" s="15">
        <f>SUM(H3:H4)</f>
      </c>
    </row>
    <row r="6" ht="50" customHeight="1" xml:space="preserve">
      <c r="A6" s="13" t="str">
        <v>AOW02</v>
      </c>
      <c r="B6" s="11" t="str">
        <v>HLO6.AOW2.IO1 Refocus to markets</v>
      </c>
      <c r="C6" s="11" t="str" xml:space="preserve">
        <v xml:space="preserve">Discovery and development of foundational genetic resources such as traits, high-value haplotypes and elite lines that can deliver on targeted product profiles. ---- CIMMYT - CROP AGNOSTIC -------- Number of breeding pipelines developed	
</v>
      </c>
      <c r="D6" s="11" t="str">
        <v>Number of innovations (innovation development)</v>
      </c>
      <c r="E6" s="11" t="str">
        <v>Country: Kenya, Mexico</v>
      </c>
      <c r="F6" s="11">
        <v>150</v>
      </c>
      <c r="G6" s="11">
        <v>227191</v>
      </c>
      <c r="H6" s="11">
        <f>SUM(G6:G6)</f>
      </c>
      <c r="I6" s="11" t="str" xml:space="preserve">
        <v xml:space="preserve">CIMMYT_Breeding for Tomorrow_4_BMI. 
Responsible: Dorcus Gemenet (D.gemenet@cgiar.org).
Revision of the 75 CGIAR priority breeding pipelines: revised gender-intentional TPPs, breeding scheme optimization</v>
      </c>
    </row>
    <row r="7" ht="50" customHeight="1" xml:space="preserve">
      <c r="A7" s="11" t="str">
        <v>AOW02</v>
      </c>
      <c r="B7" s="11" t="str">
        <v>HLO7.AOW2.IO2 Accelerating genetic gain</v>
      </c>
      <c r="C7" s="11" t="str" xml:space="preserve">
        <v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v>
      </c>
      <c r="D7" s="11" t="str">
        <v>Number of knowledge products</v>
      </c>
      <c r="E7" s="11" t="str">
        <v>Country: Mexico, Kenya</v>
      </c>
      <c r="F7" s="11">
        <v>3</v>
      </c>
      <c r="G7" s="11">
        <v>100982</v>
      </c>
      <c r="H7" s="11">
        <f>SUM(G7:G10)</f>
      </c>
      <c r="I7" s="11" t="str" xml:space="preserve">
        <v xml:space="preserve">CIMMYT_Breeding for Tomorrow_CC3 (ex. CIMMYT_Breeding for Tomorrow_10_BQG)
Juan Burgueno(j.burgueno@cgiar.org)
Three SOPs/protocols developed for sparse phenotyping design, data collection and data management, and downstream data analysis.</v>
      </c>
    </row>
    <row r="8" ht="50" customHeight="1" xml:space="preserve">
      <c r="A8" s="11" t="str">
        <v>AOW02</v>
      </c>
      <c r="C8" s="11" t="str" xml:space="preserve">
        <v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v>
      </c>
      <c r="D8" s="11" t="str">
        <v>Number of knowledge products</v>
      </c>
      <c r="E8" s="11" t="str">
        <v>Country: Kenya, Mexico</v>
      </c>
      <c r="F8" s="11">
        <v>3</v>
      </c>
      <c r="G8" s="11">
        <v>125000</v>
      </c>
      <c r="I8" s="11" t="str" xml:space="preserve">
        <v xml:space="preserve">CIMMYT_Breeding for Tomorrow_CC3 (ex. CIMMYT_Breeding for Tomorrow_10_BQG)
Juan Burgueno(j.burgueno@cgiar.org)
Three SOPs/protocols developed for on-farm trial design, data collection and data management, and data analysis.</v>
      </c>
    </row>
    <row r="9" ht="50" customHeight="1" xml:space="preserve">
      <c r="A9" s="11" t="str">
        <v>AOW02</v>
      </c>
      <c r="C9" s="11" t="str">
        <v>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v>
      </c>
      <c r="D9" s="11" t="str">
        <v>Number of innovations (innovation development)</v>
      </c>
      <c r="E9" s="11" t="str">
        <v>Country: Kenya, Mexico</v>
      </c>
      <c r="F9" s="11">
        <v>5</v>
      </c>
      <c r="G9" s="11">
        <v>73000</v>
      </c>
      <c r="I9" s="11" t="str" xml:space="preserve">
        <v xml:space="preserve">Second deliverable of CIMMYT_Breeding for Tomorrow_8_BQG
Responsible: Keith Gardner (k.gardner@cgiar.org)
Provision of improved breeding program optimization plans for 5 pipelines in the CIMMYT wheat breeding program.</v>
      </c>
    </row>
    <row r="10" ht="50" customHeight="1" xml:space="preserve">
      <c r="A10" s="11" t="str">
        <v>AOW02</v>
      </c>
      <c r="C10" s="11" t="str" xml:space="preserve">
        <v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v>
      </c>
      <c r="D10" s="11" t="str">
        <v>Number of innovations (innovation development)</v>
      </c>
      <c r="E10" s="11" t="str">
        <v>Country: Mexico, Senegal, Kenya</v>
      </c>
      <c r="F10" s="11">
        <v>5</v>
      </c>
      <c r="G10" s="11">
        <v>40000</v>
      </c>
      <c r="I10" s="11" t="str" xml:space="preserve">
        <v xml:space="preserve">First deliverable of CIMMYT_Breeding for Tomorrow_8_BQG
Responsible: Keith Gardner (k.gardner@cgiar.org)
Provision of improved breeding program optimization plans for 5 pipelines in the CIMMYT maize and DCP breeding programs.</v>
      </c>
    </row>
    <row r="11" ht="50" customHeight="1" xml:space="preserve">
      <c r="A11" s="11" t="str">
        <v>AOW02</v>
      </c>
      <c r="B11" s="11" t="str">
        <v>HLO8.AOW2.IO2 Discover genetic potential</v>
      </c>
      <c r="C11" s="11" t="str">
        <v>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v>
      </c>
      <c r="D11" s="11" t="str">
        <v xml:space="preserve"> Number of crops with completed Trait Discovery and Deployment reviews for all pipelines</v>
      </c>
      <c r="E11" s="11" t="str">
        <v>Country: Kenya, Mexico</v>
      </c>
      <c r="F11" s="11">
        <v>20</v>
      </c>
      <c r="G11" s="11">
        <v>127191</v>
      </c>
      <c r="H11" s="11">
        <f>SUM(G11:G11)</f>
      </c>
      <c r="I11" s="11" t="str" xml:space="preserve">
        <v xml:space="preserve">CIMMYT_Breeding for Tomorrow_4_BMI. 
Responsible: Dorcus Gemenet (D.gemenet@cgiar.org).
Revision of 20 CGIAR priority breeding pipelines with integration of Trait Discovery &amp; Deployment (TD&amp;D) targets.</v>
      </c>
    </row>
    <row r="12" ht="50" customHeight="1" xml:space="preserve">
      <c r="A12" s="11" t="str">
        <v>AOW02</v>
      </c>
      <c r="B12" s="11" t="str">
        <v>HLO9.AOW2.IO2 Create products</v>
      </c>
      <c r="C12" s="11" t="str">
        <v xml:space="preserve">Breeding networks collaborate on the development of targeted products. ---- CIMMYT - WHEAT (Climate resilient bread wheat lines with 1.5% yield gains, durable disease resistance and enhanced nutritional value.)---------- Number of elite breeding lines released to partners	</v>
      </c>
      <c r="D12" s="11" t="str">
        <v>Number of innovations (innovation development)</v>
      </c>
      <c r="E12" s="11" t="str">
        <v>Country: Ethiopia</v>
      </c>
      <c r="F12" s="11">
        <v>50</v>
      </c>
      <c r="G12" s="11">
        <v>637261</v>
      </c>
      <c r="H12" s="11">
        <f>SUM(G12:G17)</f>
      </c>
      <c r="I12" s="11" t="str" xml:space="preserve">
        <v xml:space="preserve">CIMMYT_Breeding for Tomorrow_23_GWP.
Responsible: Zerihun Tarekegn (z.tarekegn@cgiar.org).
Release of 50 improved wheat germplasm lines to national partners in Ethiopia.</v>
      </c>
    </row>
    <row r="13" ht="50" customHeight="1" xml:space="preserve">
      <c r="A13" s="11" t="str">
        <v>AOW02</v>
      </c>
      <c r="C13" s="11" t="str" xml:space="preserve">
        <v xml:space="preserve">Breeding networks collaborate on the development of targeted products. ---- CIMMYT - WHEAT - (Climate resilient, yellow rust-resistant wheat lines with 1.5% yield gain and enhanced nutritional quality.) ---------- Number of elite breeding lines released to partners
</v>
      </c>
      <c r="D13" s="11" t="str">
        <v>Number of innovations (innovation development)</v>
      </c>
      <c r="E13" s="11" t="str">
        <v>Country: Mexico</v>
      </c>
      <c r="F13" s="11">
        <v>50</v>
      </c>
      <c r="G13" s="11">
        <v>311949</v>
      </c>
      <c r="I13" s="11" t="str" xml:space="preserve">
        <v xml:space="preserve">First deliverable of CIMMYT_Breeding for Tomorrow_19_GWP.
Responsible: Velu Govindan (velu@cgiar.org).
Release of 50 improved wheat germplasm lines to national partners in Pakistan.</v>
      </c>
    </row>
    <row r="14" ht="50" customHeight="1" xml:space="preserve">
      <c r="A14" s="11" t="str">
        <v>AOW02</v>
      </c>
      <c r="C14" s="11" t="str" xml:space="preserve">
        <v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v>
      </c>
      <c r="D14" s="11" t="str">
        <v>Number of innovations (innovation development)</v>
      </c>
      <c r="E14" s="11" t="str">
        <v>Country: Mexico</v>
      </c>
      <c r="F14" s="11">
        <v>50</v>
      </c>
      <c r="G14" s="11">
        <v>311949</v>
      </c>
      <c r="I14" s="11" t="str" xml:space="preserve">
        <v xml:space="preserve">Second deliverable of CIMMYT_Breeding for Tomorrow_19_GWP.
Responsible: Velu Govindan (velu@cgiar.org).
Release of 50 improved wheat germplasm lines to national partners in India and Nepal.</v>
      </c>
    </row>
    <row r="15" ht="50" customHeight="1" xml:space="preserve">
      <c r="A15" s="11" t="str">
        <v>AOW02</v>
      </c>
      <c r="C15" s="11" t="str">
        <v xml:space="preserve">Breeding networks collaborate on the development of targeted products. ---- CIMMYT - sorghum, pearl millet, groundnut, pigeon pea, finger millet, chickpea--- (Breakthrough Maize Hybrids and CMLs for Eastern Africa.) --------Number of candidate varieties released to partners </v>
      </c>
      <c r="D15" s="11" t="str">
        <v>Number of innovations (innovation development)</v>
      </c>
      <c r="E15" s="11" t="str">
        <v>Country: Kenya, Senegal</v>
      </c>
      <c r="F15" s="11">
        <v>36</v>
      </c>
      <c r="G15" s="11">
        <v>90721</v>
      </c>
      <c r="I15" s="11" t="str" xml:space="preserve">
        <v xml:space="preserve">CIMMYT_ICRISAT_DCP_AccBreed_06
Responsible: Harish Gandhi (harish.gandhi@cgiar.org).
Late-stage testing of 36 candidate varieties across 6 DCP crops, and sharing of resulting data to partners and national testing organizations. </v>
      </c>
    </row>
    <row r="16" ht="50" customHeight="1" xml:space="preserve">
      <c r="A16" s="11" t="str">
        <v>AOW02</v>
      </c>
      <c r="C16" s="11" t="str">
        <v xml:space="preserve">Breeding networks collaborate on the development of targeted products. ---- CIMMYT -MAIZE (Breakthrough Maize Hybrids and CMLs for Southern Africa.) --------Number of varieties released to partners for scaling	</v>
      </c>
      <c r="D16" s="11" t="str">
        <v>Number of innovations (innovation development)</v>
      </c>
      <c r="E16" s="11" t="str">
        <v>Country: Zimbabwe</v>
      </c>
      <c r="F16" s="11">
        <v>8</v>
      </c>
      <c r="G16" s="11">
        <v>400000</v>
      </c>
      <c r="I16" s="11" t="str" xml:space="preserve">
        <v xml:space="preserve">CIMMYT_Breeding for Tomorrow_14_GMP
Responsible: Dagne Wegary (D.Wegary@cgiar.org)
5 CML and 3 hybrid maize varieties released to partners for scaling in Southern Africa.
</v>
      </c>
    </row>
    <row r="17" ht="50" customHeight="1" xml:space="preserve">
      <c r="A17" s="11" t="str">
        <v>AOW02</v>
      </c>
      <c r="C17" s="11" t="str">
        <v>Breeding networks collaborate on the development of targeted products. ---- CIMMYT -MAIZE (Breakthrough Maize Hybrids and CMLs for Eastern Africa.) --------Number of varieties released to partners for scaling</v>
      </c>
      <c r="D17" s="11" t="str">
        <v>Number of innovations (innovation development)</v>
      </c>
      <c r="E17" s="11" t="str">
        <v>Country: Kenya</v>
      </c>
      <c r="F17" s="11">
        <v>7</v>
      </c>
      <c r="G17" s="11">
        <v>400000</v>
      </c>
      <c r="I17" s="11" t="str" xml:space="preserve">
        <v xml:space="preserve">CIMMYT_Breeding for Tomorrow_12_GMP
Responsible: Yoseph Beyene (Y.Beyene@cgiar.org)
4 CML and 3 hybrid maize varieties released to partners for scaling in Eastern Africa.</v>
      </c>
    </row>
    <row r="18" ht="25" customHeight="1">
      <c r="B18" s="15" t="str">
        <v>HLO budget subtotal</v>
      </c>
      <c r="H18" s="15">
        <f>SUM(H6:H17)</f>
      </c>
    </row>
    <row r="19" ht="50" customHeight="1" xml:space="preserve">
      <c r="A19" s="13" t="str">
        <v>AOW03</v>
      </c>
      <c r="B19" s="11" t="str">
        <v>HLO11.AOW3.IO4 Position for demand</v>
      </c>
      <c r="C19" s="11" t="str">
        <v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v>
      </c>
      <c r="D19" s="11" t="str">
        <v>Number of innovations (innovation development)</v>
      </c>
      <c r="E19" s="11" t="str">
        <v>Country: Zimbabwe, Kenya</v>
      </c>
      <c r="F19" s="11">
        <v>15</v>
      </c>
      <c r="G19" s="11">
        <v>157478</v>
      </c>
      <c r="H19" s="11">
        <f>SUM(G19:G21)</f>
      </c>
      <c r="I19" s="11" t="str" xml:space="preserve">
        <v xml:space="preserve">CIMMYT_Breeding for Tomorrow_17_GMP
Responsible: Walter Chivasa (w.chivasa@cgiar.org)
15 new maize hybrids announced to partners (from across 10 pipelines) following late stage OFT testing.</v>
      </c>
    </row>
    <row r="20" ht="50" customHeight="1" xml:space="preserve">
      <c r="A20" s="11" t="str">
        <v>AOW03</v>
      </c>
      <c r="C20" s="11" t="str">
        <v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v>
      </c>
      <c r="D20" s="11" t="str">
        <v>Number of CG-collaborative varieties being NEWLY scaled</v>
      </c>
      <c r="E20" s="11" t="str">
        <v>Country: Kenya, Zimbabwe</v>
      </c>
      <c r="F20" s="11">
        <v>15</v>
      </c>
      <c r="G20" s="11">
        <v>80000</v>
      </c>
      <c r="I20" s="11" t="str" xml:space="preserve">
        <v xml:space="preserve">CIMMYT_Breeding for Tomorrow_18_GMP
Responsible: Walter Chivasa (w.chivasa@cgiar.org)
Seed of parents of 15 newly announced maize hybrids (from across 10 pipelines) produced and made available to scaling partners.</v>
      </c>
    </row>
    <row r="21" ht="50" customHeight="1" xml:space="preserve">
      <c r="A21" s="11" t="str">
        <v>AOW03</v>
      </c>
      <c r="C21" s="11" t="str" xml:space="preserve">
        <v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v>
      </c>
      <c r="D21" s="11" t="str">
        <v>Number of innovations (innovation development)</v>
      </c>
      <c r="E21" s="11" t="str">
        <v>Country: Zimbabwe, Kenya</v>
      </c>
      <c r="F21" s="11">
        <v>15</v>
      </c>
      <c r="G21" s="11">
        <v>145982</v>
      </c>
      <c r="I21" s="11" t="str" xml:space="preserve">
        <v xml:space="preserve">CIMMYT_Breeding for Tomorrow_18_GMP
Responsible: Walter Chivasa (w.chivasa@cgiar.org)
15 new maize hybrids announced to partners (from across 10 pipelines) based on seed producibility data for advanced hybrids.</v>
      </c>
    </row>
    <row r="22" ht="50" customHeight="1" xml:space="preserve">
      <c r="A22" s="11" t="str">
        <v>AOW03</v>
      </c>
      <c r="B22" s="11" t="str">
        <v>HLO14.AOW3.IO5 TRACK adoption</v>
      </c>
      <c r="C22" s="11" t="str" xml:space="preserve">
        <v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v>
      </c>
      <c r="D22" s="11" t="str">
        <v>Number of knowledge products</v>
      </c>
      <c r="E22" s="11" t="str">
        <v>Country: Senegal, Kenya</v>
      </c>
      <c r="F22" s="11">
        <v>3</v>
      </c>
      <c r="G22" s="11">
        <v>59536</v>
      </c>
      <c r="H22" s="11">
        <f>SUM(G22:G24)</f>
      </c>
      <c r="I22" s="11" t="str" xml:space="preserve">
        <v xml:space="preserve">CIMMYT_Breeding for Tomorrow_29_DCP
Responsible: Chris Ojiewo (c.ojiewo@cgiar.org)
3 reports of compiled data on seed sector architecture, regulatory environments, multiplication and distribution capacity, and delivery models for DCP crops in 3 countries.</v>
      </c>
    </row>
    <row r="23" ht="50" customHeight="1" xml:space="preserve">
      <c r="A23" s="11" t="str">
        <v>AOW03</v>
      </c>
      <c r="C23" s="11" t="str">
        <v>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v>
      </c>
      <c r="D23" s="11" t="str">
        <v>Number of knowledge products</v>
      </c>
      <c r="E23" s="11" t="str">
        <v>Country: Senegal, Kenya</v>
      </c>
      <c r="F23" s="11">
        <v>5</v>
      </c>
      <c r="G23" s="11">
        <v>153093</v>
      </c>
      <c r="I23" s="11" t="str" xml:space="preserve">
        <v xml:space="preserve">CIMMYT_Breeding for Tomorrow_29_DCP
Responsible: Chris Ojiewo (c.ojiewo@cgiar.org)
Reports on Identification and characterization of leading farmer-preferred DCP crop varieties in 5 target market segments via participatory approaches and partner consultin</v>
      </c>
    </row>
    <row r="24" ht="50" customHeight="1" xml:space="preserve">
      <c r="A24" s="11" t="str">
        <v>AOW03</v>
      </c>
      <c r="C24" s="11" t="str" xml:space="preserve">
        <v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v>
      </c>
      <c r="D24" s="11" t="str">
        <v>Number of knowledge products</v>
      </c>
      <c r="E24" s="11" t="str">
        <v>Country: Senegal, Kenya</v>
      </c>
      <c r="F24" s="11">
        <v>2</v>
      </c>
      <c r="G24" s="11">
        <v>84838</v>
      </c>
      <c r="I24" s="11" t="str" xml:space="preserve">
        <v xml:space="preserve">CIMMYT_Breeding for Tomorrow_29_DCP
Responsible: Chris Ojiewo (c.ojiewo@cgiar.org)
2 reports for tools developed for seed system analysis: varietal adoption, varietal turnover, seed replacement, and quality seed use in dryland crops.
</v>
      </c>
    </row>
    <row r="25" ht="25" customHeight="1">
      <c r="B25" s="15" t="str">
        <v>HLO budget subtotal</v>
      </c>
      <c r="H25" s="15">
        <f>SUM(H19:H24)</f>
      </c>
    </row>
    <row r="26" ht="50" customHeight="1" xml:space="preserve">
      <c r="A26" s="13" t="str">
        <v>AOW04</v>
      </c>
      <c r="B26" s="11" t="str">
        <v>HLO15.AOW4.IO2 Hub &amp; spoke scaling</v>
      </c>
      <c r="C26" s="11" t="str">
        <v>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v>
      </c>
      <c r="D26" s="11" t="str">
        <v>Number of High-capacity partners acting as central hub, providing breeding network support services to less resourced partners</v>
      </c>
      <c r="E26" s="11" t="str">
        <v>Country: Zimbabwe, India, Kenya, Mexico</v>
      </c>
      <c r="F26" s="11">
        <v>1</v>
      </c>
      <c r="G26" s="11">
        <v>56496</v>
      </c>
      <c r="H26" s="11">
        <f>SUM(G26:G31)</f>
      </c>
      <c r="I26" s="11" t="str" xml:space="preserve">
        <v xml:space="preserve">CIMMYT_Breeding for Tomorrow_11_Data
Responsible: Kate Dreher (k.dreher@cgiar.org)
Support to CIMMYT scientists and partners across 3 breeding programs for EBS and Bioflow</v>
      </c>
    </row>
    <row r="27" ht="50" customHeight="1" xml:space="preserve">
      <c r="A27" s="11" t="str">
        <v>AOW04</v>
      </c>
      <c r="C27" s="11"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v>
      </c>
      <c r="D27" s="11" t="str">
        <v xml:space="preserve"> Number of institutional users in Service Portal	</v>
      </c>
      <c r="E27" s="11" t="str">
        <v>Country: Mexico, Senegal, Kenya</v>
      </c>
      <c r="F27" s="11">
        <v>500</v>
      </c>
      <c r="G27" s="11">
        <v>100000</v>
      </c>
      <c r="I27" s="11" t="str" xml:space="preserve">
        <v xml:space="preserve">CIMMYT_Breeding for Tomorrow_3_BRS
Responsible: Gustavo Teixeira (g.teixeira@cgiar.org)
500 institutional users of expanded CGIAR phenotyping service (including AI-based image phenotyping) in service portal </v>
      </c>
    </row>
    <row r="28" ht="50" customHeight="1" xml:space="preserve">
      <c r="A28" s="11" t="str">
        <v>AOW04</v>
      </c>
      <c r="C28" s="11"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v>
      </c>
      <c r="D28" s="11" t="str">
        <v>Number of people trained (capacity sharing for development)</v>
      </c>
      <c r="E28" s="11" t="str">
        <v>Country: Mexico, Senegal, Kenya</v>
      </c>
      <c r="F28" s="11">
        <v>2</v>
      </c>
      <c r="G28" s="11">
        <v>80000</v>
      </c>
      <c r="I28" s="11" t="str" xml:space="preserve">
        <v xml:space="preserve">CIMMYT_Breeding for Tomorrow_3_BRS
Responsible: Gustavo Teixeira (g.teixeira@cgiar.org)
2 CGIAR hubs developed to provide breeding network support for phenotyping services </v>
      </c>
    </row>
    <row r="29" ht="50" customHeight="1" xml:space="preserve">
      <c r="A29" s="11" t="str">
        <v>AOW04</v>
      </c>
      <c r="C29" s="11" t="str" xml:space="preserve">
        <v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v>
      </c>
      <c r="D29" s="11" t="str">
        <v>Number of High-capacity partners acting as central hub, providing breeding network support services to less resourced partners</v>
      </c>
      <c r="E29" s="11" t="str">
        <v>Country: Kenya, Mexico</v>
      </c>
      <c r="F29" s="11">
        <v>1</v>
      </c>
      <c r="G29" s="11">
        <v>80000</v>
      </c>
      <c r="I29" s="11" t="str" xml:space="preserve">
        <v xml:space="preserve">CIMMYT_Breeding for Tomorrow_CC1 (ex. AfricaRice-B4T_14)
Kate Dreher (k.dreher@cgiar.org)
Acting as hub for provision of EBS and Bioflow Support to African breeding pipelines (Kenya, Ethiopia, Nigeria, Ghana, Uganda, Senegal, Tanzania)</v>
      </c>
    </row>
    <row r="30" ht="50" customHeight="1" xml:space="preserve">
      <c r="A30" s="11" t="str">
        <v>AOW04</v>
      </c>
      <c r="C30" s="11"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v>
      </c>
      <c r="D30" s="11" t="str">
        <v>Number of institutional users in Service Portal</v>
      </c>
      <c r="E30" s="11" t="str">
        <v>Country: Philippines, Kenya, Mexico</v>
      </c>
      <c r="F30" s="11">
        <v>750</v>
      </c>
      <c r="G30" s="11">
        <v>250000</v>
      </c>
      <c r="I30" s="11" t="str" xml:space="preserve">
        <v xml:space="preserve">CIMMYT_Breeding for Tomorrow_1_BRS.
Responsible: Andre Moretto Embersics (A.MORETTO@cgiar.org).
Expand EBS adoption across CGIAR-NARES networks to 750 users.</v>
      </c>
    </row>
    <row r="31" ht="50" customHeight="1" xml:space="preserve">
      <c r="A31" s="11" t="str">
        <v>AOW04</v>
      </c>
      <c r="C31" s="11" t="str">
        <v>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v>
      </c>
      <c r="D31" s="11" t="str">
        <v>Number of innovations (innovation development)</v>
      </c>
      <c r="E31" s="11" t="str">
        <v>Global</v>
      </c>
      <c r="F31" s="11">
        <v>1</v>
      </c>
      <c r="G31" s="11">
        <v>75000</v>
      </c>
      <c r="I31" s="11" t="str" xml:space="preserve">
        <v xml:space="preserve">CIMMYT_Breeding for Tomorrow_2_BRS
Responsible: Gustavo Teixeira (g.teixeira@cgiar.org)
South Asia Elemental Analysis Hub strengthened with QMS and SOPs.</v>
      </c>
    </row>
    <row r="32" ht="50" customHeight="1" xml:space="preserve">
      <c r="A32" s="11" t="str">
        <v>AOW04</v>
      </c>
      <c r="B32" s="11" t="str">
        <v>HLO16.AOW4.IO3 Shared services</v>
      </c>
      <c r="C32" s="11" t="str">
        <v>A portfolio of connected tools and services that collectively meet current and emerging needs for modernized breeding is made available to breeding networks ---------------------CIMMYT (CROP AGNOSTIC) Upgrade CGIAR genotyping QA/QC workflows, forecast planning and quality control</v>
      </c>
      <c r="D32" s="11" t="str">
        <v xml:space="preserve"> Number of tools and services offered</v>
      </c>
      <c r="E32" s="11" t="str">
        <v>Country: India, Philippines, Mexico, Kenya</v>
      </c>
      <c r="F32" s="11">
        <v>1</v>
      </c>
      <c r="G32" s="11">
        <v>100000</v>
      </c>
      <c r="H32" s="11">
        <f>SUM(G32:G42)</f>
      </c>
      <c r="I32" s="11" t="str" xml:space="preserve">
        <v xml:space="preserve">CIMMYT_Breeding for Tomorrow_2_BRS
Responsible: Gustavo Teixeira (g.teixeira@cgiar.org)
Upgraded CGIAR genotyping QA/QC workflows, forecast planning and quality control</v>
      </c>
    </row>
    <row r="33" ht="50" customHeight="1" xml:space="preserve">
      <c r="A33" s="11" t="str">
        <v>AOW04</v>
      </c>
      <c r="C33" s="11" t="str">
        <v>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v>
      </c>
      <c r="D33" s="11" t="str">
        <v xml:space="preserve"> Number of institutional users in Service Portal</v>
      </c>
      <c r="E33" s="11" t="str">
        <v>Country: Ethiopia, Kenya</v>
      </c>
      <c r="F33" s="11">
        <v>2</v>
      </c>
      <c r="G33" s="11">
        <v>70587</v>
      </c>
      <c r="I33" s="11" t="str" xml:space="preserve">
        <v xml:space="preserve">CIMMYT_Breeding for Tomorrow_CC4 (ex. IRRI_CGIAR_Breeding for Tomorrow_04)
Keith Gardner (k.gardner@cgiar.org)
Provision of improved breeding program optimization plans for 2 priority breeding pipelines using
new integrated Return on Investment estimation</v>
      </c>
    </row>
    <row r="34" ht="50" customHeight="1" xml:space="preserve">
      <c r="A34" s="11" t="str">
        <v>AOW04</v>
      </c>
      <c r="C34" s="11" t="str" xml:space="preserve">
        <v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v>
      </c>
      <c r="D34" s="11" t="str">
        <v>Number of innovations (innovation development)</v>
      </c>
      <c r="E34" s="11" t="str">
        <v>Country: Mexico, Kenya</v>
      </c>
      <c r="F34" s="11">
        <v>1</v>
      </c>
      <c r="G34" s="11">
        <v>60000</v>
      </c>
      <c r="I34" s="11" t="str" xml:space="preserve">
        <v xml:space="preserve">CIMMYT_Breeding for Tomorrow_CC4 (ex. IRRI_CGIAR_Breeding for Tomorrow_04)
Pieter Rutsaert (p.rutsaert@cgiar.org)
New tool developed for Return on Investment estimation, integrating quantitative genetics and market intelligence.</v>
      </c>
    </row>
    <row r="35" ht="50" customHeight="1" xml:space="preserve">
      <c r="A35" s="11" t="str">
        <v>AOW04</v>
      </c>
      <c r="C35" s="11" t="str" xml:space="preserve">
        <v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v>
      </c>
      <c r="D35" s="11" t="str">
        <v xml:space="preserve"> Number of tools and services offered</v>
      </c>
      <c r="E35" s="11" t="str">
        <v>Country: Mexico</v>
      </c>
      <c r="F35" s="11">
        <v>1</v>
      </c>
      <c r="G35" s="11">
        <v>80000</v>
      </c>
      <c r="I35" s="11" t="str" xml:space="preserve">
        <v xml:space="preserve">CIMMYT_Breeding for Tomorrow_CC2 (ex. ICRISAT_Breeding for Tomorrow_18)
Kai Sonder (k.sonder@cgiar.org)
A report mapping future climate scenarios for CGIAR crops in Africa: maps, spatial data layers and data for decision making.</v>
      </c>
    </row>
    <row r="36" ht="50" customHeight="1" xml:space="preserve">
      <c r="A36" s="11" t="str">
        <v>AOW04</v>
      </c>
      <c r="C36" s="11" t="str" xml:space="preserve">
        <v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v>
      </c>
      <c r="D36" s="11" t="str">
        <v xml:space="preserve"> Number of tools and services offered	</v>
      </c>
      <c r="E36" s="11" t="str">
        <v>Country: Mexico</v>
      </c>
      <c r="F36" s="11">
        <v>1</v>
      </c>
      <c r="G36" s="11">
        <v>40000</v>
      </c>
      <c r="I36" s="11" t="str" xml:space="preserve">
        <v xml:space="preserve">CIMMYT_Breeding for Tomorrow_CC2 (ex. ICRISAT_Breeding for Tomorrow_18)
Kai Sonder (k.sonder@cgiar.org)
Development of a service for high resolution environmental data extraction.</v>
      </c>
    </row>
    <row r="37" ht="50" customHeight="1" xml:space="preserve">
      <c r="A37" s="11" t="str">
        <v>AOW04</v>
      </c>
      <c r="C37" s="11" t="str" xml:space="preserve">
        <v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v>
      </c>
      <c r="D37" s="11" t="str">
        <v>Number of people trained (capacity sharing for development)</v>
      </c>
      <c r="E37" s="11" t="str">
        <v>Country: Mexico, Philippines, Kenya</v>
      </c>
      <c r="F37" s="11">
        <v>100</v>
      </c>
      <c r="G37" s="11">
        <v>29311</v>
      </c>
      <c r="I37" s="11" t="str" xml:space="preserve">
        <v xml:space="preserve">CIMMYT_Breeding for Tomorrow_1_BRS.
Responsible: Andre Moretto Embersics (A.MORETTO@cgiar.org).
100 trainees (30 % female) from research or scaling partner organizations complete training in EBS and Bioflow</v>
      </c>
    </row>
    <row r="38" ht="50" customHeight="1" xml:space="preserve">
      <c r="A38" s="11" t="str">
        <v>AOW04</v>
      </c>
      <c r="C38" s="11" t="str">
        <v>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v>
      </c>
      <c r="D38" s="11" t="str">
        <v>Number of people trained (capacity sharing for development)</v>
      </c>
      <c r="E38" s="11" t="str">
        <v>Country: Mexico, Kenya</v>
      </c>
      <c r="F38" s="11">
        <v>50</v>
      </c>
      <c r="G38" s="11">
        <v>120000</v>
      </c>
      <c r="I38" s="11" t="str" xml:space="preserve">
        <v xml:space="preserve">CIMMYT_Breeding for Tomorrow_CC1 (ex. AfricaRice-B4T_14)
Kate Dreher (k.dreher@cgiar.org)
Provision of EBS and Bioflow training to a total of 50 participants from African breeding pipelines.</v>
      </c>
    </row>
    <row r="39" ht="50" customHeight="1" xml:space="preserve">
      <c r="A39" s="11" t="str">
        <v>AOW04</v>
      </c>
      <c r="C39" s="11" t="str" xml:space="preserve">
        <v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v>
      </c>
      <c r="D39" s="11" t="str">
        <v>Number of people trained (capacity sharing for development)</v>
      </c>
      <c r="E39" s="11" t="str">
        <v>Country: India, Kenya, Philippines, Mexico</v>
      </c>
      <c r="F39" s="11">
        <v>100</v>
      </c>
      <c r="G39" s="11">
        <v>87060</v>
      </c>
      <c r="I39" s="11" t="str" xml:space="preserve">
        <v xml:space="preserve">CIMMYT_Breeding for Tomorrow_2_BRS
Responsible: Gustavo Teixeira (g.teixeira@cgiar.org)
100 trainees (30 % female) from research or scaling partner organizations complete training in genotyping shared services</v>
      </c>
    </row>
    <row r="40" ht="50" customHeight="1" xml:space="preserve">
      <c r="A40" s="11" t="str">
        <v>AOW04</v>
      </c>
      <c r="C40" s="11" t="str">
        <v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v>
      </c>
      <c r="D40" s="11" t="str">
        <v>Number of people trained (capacity sharing for development)</v>
      </c>
      <c r="E40" s="11" t="str">
        <v>Country: Mexico, Senegal, Kenya</v>
      </c>
      <c r="F40" s="11">
        <v>100</v>
      </c>
      <c r="G40" s="11">
        <v>80000</v>
      </c>
      <c r="I40" s="11" t="str" xml:space="preserve">
        <v xml:space="preserve">CIMMYT_Breeding for Tomorrow_3_BRS
Responsible: Gustavo Teixeira (g.teixeira@cgiar.org)
100 trainees (30 % female) from research or scaling partner organizations complete training in image analysis shared services</v>
      </c>
    </row>
    <row r="41" ht="50" customHeight="1" xml:space="preserve">
      <c r="A41" s="11" t="str">
        <v>AOW04</v>
      </c>
      <c r="C41" s="11" t="str">
        <v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v>
      </c>
      <c r="D41" s="11" t="str">
        <v>Number of innovations (innovation development)</v>
      </c>
      <c r="E41" s="11" t="str">
        <v>Country: Philippines, Kenya, Mexico</v>
      </c>
      <c r="F41" s="11">
        <v>1</v>
      </c>
      <c r="G41" s="11">
        <v>170000</v>
      </c>
      <c r="I41" s="11" t="str" xml:space="preserve">
        <v xml:space="preserve">CIMMYT_Breeding for Tomorrow_1_BRS.
Responsible: Eng Wha Ng (n.enghwa@cgiar.org).
Release BioFlow 2026 with enhanced QA/QC, MTA, DGI and mate-optimization modules.</v>
      </c>
    </row>
    <row r="42" ht="50" customHeight="1" xml:space="preserve">
      <c r="A42" s="11" t="str">
        <v>AOW04</v>
      </c>
      <c r="C42" s="11" t="str" xml:space="preserve">
        <v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v>
      </c>
      <c r="D42" s="11" t="str">
        <v>Number of innovations (innovation development)</v>
      </c>
      <c r="E42" s="11" t="str">
        <v>Country: Kenya, Senegal, Mexico</v>
      </c>
      <c r="F42" s="11">
        <v>1</v>
      </c>
      <c r="G42" s="11">
        <v>106949</v>
      </c>
      <c r="I42" s="11" t="str" xml:space="preserve">
        <v xml:space="preserve">CIMMYT_Breeding for Tomorrow_3_BRS
Responsible: Gustavo Teixeira (g.teixeira@cgiar.org)
Establish phenotyping platform as shared service</v>
      </c>
    </row>
    <row r="43" ht="50" customHeight="1" xml:space="preserve">
      <c r="A43" s="11" t="str">
        <v>AOW04</v>
      </c>
      <c r="B43" s="11" t="str">
        <v>HLO17.AOW4.IO3 FAIR principles</v>
      </c>
      <c r="C43" s="11" t="str">
        <v>All breeding programs are supported to maximize alignment with FAIR principles ---- CIMMYT - CROP AGNOSTIC (Pilot interoperability across breeding, agronomy and genebank systems)--------------Number of Centers that make EBS data API accessible</v>
      </c>
      <c r="D43" s="11" t="str">
        <v>Number of Centers that make EBS data API accessible</v>
      </c>
      <c r="E43" s="11" t="str">
        <v>Country: Mexico, Kenya, Philippines</v>
      </c>
      <c r="F43" s="11">
        <v>3</v>
      </c>
      <c r="G43" s="11">
        <v>200000</v>
      </c>
      <c r="H43" s="11">
        <f>SUM(G43:G43)</f>
      </c>
      <c r="I43" s="11" t="str" xml:space="preserve">
        <v xml:space="preserve">CIMMYT_Breeding for Tomorrow_1_BRS.
Responsible: Andre Moretto Embersics (A.MORETTO@cgiar.org).
3 centers make EBS data API accessible</v>
      </c>
    </row>
    <row r="44" ht="25" customHeight="1">
      <c r="B44" s="15" t="str">
        <v>HLO budget subtotal</v>
      </c>
      <c r="H44" s="15">
        <f>SUM(H26:H43)</f>
      </c>
    </row>
    <row r="45" ht="50" customHeight="1" xml:space="preserve">
      <c r="A45" s="13" t="str">
        <v>AOW05</v>
      </c>
      <c r="B45" s="11" t="str">
        <v>HLO18.AOW5.IO2 Partnered networks</v>
      </c>
      <c r="C45" s="11" t="str">
        <v>Strategic planning of crop x region breeding networks that enables collaboration on common challenges and opportunities----CIMMYT - CROP AGNOSTIC - (Network agreements with clearly defined and updated roles and responsibilities ) -----------Formalized network agreements signed</v>
      </c>
      <c r="D45" s="11" t="str">
        <v>Number of knowledge products</v>
      </c>
      <c r="E45" s="11" t="str">
        <v>Global</v>
      </c>
      <c r="F45" s="11">
        <v>20</v>
      </c>
      <c r="G45" s="11">
        <v>30000</v>
      </c>
      <c r="H45" s="11">
        <f>SUM(G45:G46)</f>
      </c>
      <c r="I45" s="11" t="str" xml:space="preserve">
        <v xml:space="preserve">CIMMYT_Breeding for Tomorrow_6_BMI
Responsible: Biswanath Das (b.das@cgiar.org)
20 formalized partnered breeding network agreements signed across CGIAR.</v>
      </c>
    </row>
    <row r="46" ht="50" customHeight="1" xml:space="preserve">
      <c r="A46" s="11" t="str">
        <v>AOW05</v>
      </c>
      <c r="C46" s="11" t="str">
        <v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v>
      </c>
      <c r="D46" s="11" t="str">
        <v>Number of Crops with Level 1 &amp; Level 2 partner countries characterized</v>
      </c>
      <c r="E46" s="11" t="str">
        <v>Global</v>
      </c>
      <c r="F46" s="11">
        <v>6</v>
      </c>
      <c r="G46" s="11">
        <v>40000</v>
      </c>
      <c r="I46" s="11" t="str" xml:space="preserve">
        <v xml:space="preserve">CIMMYT_Breeding for Tomorrow_6_BMI
Responsible: Biswanath Das (b.das@cgiar.org)
6 crop-based network assessments made and level 1 and level 2 partner countries characterized.</v>
      </c>
    </row>
    <row r="47" ht="50" customHeight="1" xml:space="preserve">
      <c r="A47" s="11" t="str">
        <v>AOW05</v>
      </c>
      <c r="B47" s="11" t="str">
        <v>HLO19.AOW5.IO2 Share capacity</v>
      </c>
      <c r="C47" s="11" t="str" xml:space="preserve">
        <v xml:space="preserve">Number of individuals from research or scaling partner organizations who attended CGIAR trainings ---- CIMMYT -WHEAT - (Breeding network support)--------------Number of people trained (capacity sharing for development)	
</v>
      </c>
      <c r="D47" s="11" t="str">
        <v>Number of people trained (capacity sharing for development)</v>
      </c>
      <c r="E47" s="11" t="str">
        <v>Country: Uganda, Nepal, Kenya, Mexico, Bangladesh, Ethiopia, India</v>
      </c>
      <c r="F47" s="11">
        <v>40</v>
      </c>
      <c r="G47" s="11">
        <v>64500</v>
      </c>
      <c r="H47" s="11">
        <f>SUM(G47:G48)</f>
      </c>
      <c r="I47" s="11" t="str" xml:space="preserve">
        <v xml:space="preserve">CIMMYT_Breeding for Tomorrow_9_BQG
Responsible: Keith Gardner (k.gardner@cgiar.org)
40 people from partner organizations supported in EBS usage, trial analysis and design in CIMMYT wheat breeding networks in East Africa and South Asia. </v>
      </c>
    </row>
    <row r="48" ht="50" customHeight="1" xml:space="preserve">
      <c r="A48" s="11" t="str">
        <v>AOW05</v>
      </c>
      <c r="C48" s="11" t="str">
        <v>Number of individuals from research or scaling partner organizations who attended CGIAR trainings ---- CIMMYT -WHEAT - (Breeding network capacity building including communities of practice)--------------Number of people trained (capacity sharing for development)</v>
      </c>
      <c r="D48" s="11" t="str">
        <v>Number of people trained (capacity sharing for development)</v>
      </c>
      <c r="E48" s="11" t="str">
        <v>Country: Pakistan, Uganda, Bangladesh, Tanzania, United Republic, India, Mexico, Ethiopia, Kenya, Nepal</v>
      </c>
      <c r="F48" s="11">
        <v>40</v>
      </c>
      <c r="G48" s="11">
        <v>58500</v>
      </c>
      <c r="I48" s="11" t="str" xml:space="preserve">
        <v xml:space="preserve">CIMMYT_Breeding for Tomorrow_9_BQG
Responsible: Keith Gardner (k.gardner@cgiar.org)
40 people from wheat partner organizations trained in EBS usage, trial analysis and design in Community of Practice Meetings in East Africa and South Asia. </v>
      </c>
    </row>
    <row r="49" ht="50" customHeight="1" xml:space="preserve">
      <c r="A49" s="11" t="str">
        <v>AOW05</v>
      </c>
      <c r="B49" s="11" t="str">
        <v>HLO20.AOW5.IO3 Assess performance</v>
      </c>
      <c r="C49" s="11" t="str">
        <v>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v>
      </c>
      <c r="D49" s="11" t="str">
        <v>Number of knowledge products</v>
      </c>
      <c r="E49" s="11" t="str">
        <v>Global</v>
      </c>
      <c r="F49" s="11">
        <v>1</v>
      </c>
      <c r="G49" s="11">
        <v>150000</v>
      </c>
      <c r="H49" s="11">
        <f>SUM(G49:G50)</f>
      </c>
      <c r="I49" s="11" t="str" xml:space="preserve">
        <v xml:space="preserve">CIMMYT_Breeding for Tomorrow_7_BMI
Responsible: Eng Hwa Ng (N.Enghwa@cgiar.org)
Breeding portal linked with Glomip, bioflow, service portal for single multi-system interoperability. 
</v>
      </c>
    </row>
    <row r="50" ht="50" customHeight="1" xml:space="preserve">
      <c r="A50" s="11" t="str">
        <v>AOW05</v>
      </c>
      <c r="C50" s="11" t="str">
        <v>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v>
      </c>
      <c r="D50" s="11" t="str">
        <v>Number of knowledge products</v>
      </c>
      <c r="E50" s="11" t="str">
        <v>Global</v>
      </c>
      <c r="F50" s="11">
        <v>1</v>
      </c>
      <c r="G50" s="11">
        <v>190787</v>
      </c>
      <c r="I50" s="11" t="str" xml:space="preserve">
        <v xml:space="preserve">CIMMYT_Breeding for Tomorrow_7_BMI
Responsible: Eng Hwa Ng (N.Enghwa@cgiar.org)
1 Portfolio level performance dashboard made available for harmonized Crop Report</v>
      </c>
    </row>
    <row r="51" ht="25" customHeight="1">
      <c r="B51" s="15" t="str">
        <v>HLO budget subtotal</v>
      </c>
      <c r="H51" s="15">
        <f>SUM(H45:H50)</f>
      </c>
    </row>
  </sheetData>
  <mergeCells count="33">
    <mergeCell ref="A1:A2"/>
    <mergeCell ref="B1:B2"/>
    <mergeCell ref="C1:G1"/>
    <mergeCell ref="H1:H2"/>
    <mergeCell ref="I1:I2"/>
    <mergeCell ref="B5:G5"/>
    <mergeCell ref="A3:A5"/>
    <mergeCell ref="B7:B10"/>
    <mergeCell ref="H7:H10"/>
    <mergeCell ref="B12:B17"/>
    <mergeCell ref="H12:H17"/>
    <mergeCell ref="B18:G18"/>
    <mergeCell ref="A6:A18"/>
    <mergeCell ref="B19:B21"/>
    <mergeCell ref="H19:H21"/>
    <mergeCell ref="B22:B24"/>
    <mergeCell ref="H22:H24"/>
    <mergeCell ref="B25:G25"/>
    <mergeCell ref="A19:A25"/>
    <mergeCell ref="B26:B31"/>
    <mergeCell ref="H26:H31"/>
    <mergeCell ref="B32:B42"/>
    <mergeCell ref="H32:H42"/>
    <mergeCell ref="B44:G44"/>
    <mergeCell ref="A26:A44"/>
    <mergeCell ref="B45:B46"/>
    <mergeCell ref="H45:H46"/>
    <mergeCell ref="B47:B48"/>
    <mergeCell ref="H47:H48"/>
    <mergeCell ref="B49:B50"/>
    <mergeCell ref="H49:H50"/>
    <mergeCell ref="B51:G51"/>
    <mergeCell ref="A45:A51"/>
  </mergeCells>
  <ignoredErrors>
    <ignoredError numberStoredAsText="1" sqref="A1:I51"/>
  </ignoredErrors>
</worksheet>
</file>

<file path=xl/worksheets/sheet4.xml><?xml version="1.0" encoding="utf-8"?>
<worksheet xmlns="http://schemas.openxmlformats.org/spreadsheetml/2006/main" xmlns:r="http://schemas.openxmlformats.org/officeDocument/2006/relationships">
  <dimension ref="A1:F64"/>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Agricultural Research Institute - Tanzania</v>
      </c>
      <c r="C2" s="11" t="str">
        <v>HLO2.AOW1.IO1 Target markets</v>
      </c>
      <c r="D2" s="11" t="str">
        <v>Tanzania, United Republic,Tanzania, United Republic</v>
      </c>
      <c r="E2" s="11">
        <v>0</v>
      </c>
    </row>
    <row r="3" ht="25" customHeight="1">
      <c r="B3" s="14" t="str">
        <v>Contracted partners subtotal</v>
      </c>
      <c r="E3" s="14">
        <f>SUM(E2:E2)</f>
      </c>
    </row>
    <row r="4" ht="70" customHeight="1" xml:space="preserve">
      <c r="A4" s="12" t="str">
        <v>AOW02</v>
      </c>
      <c r="B4" s="11" t="str">
        <v>Savannah Agricultural Research Institute</v>
      </c>
      <c r="C4" s="11" t="str">
        <v>HLO6.AOW2.IO1 Refocus to markets, HLO9.AOW2.IO2 Create products</v>
      </c>
      <c r="D4" s="11" t="str">
        <v>Ghana</v>
      </c>
      <c r="E4" s="11">
        <v>8000</v>
      </c>
      <c r="F4" s="11" t="str" xml:space="preserve">
        <v xml:space="preserve">CIMMYT_ICRISAT_DCP_AccBreed_06. HLO9.AOW2.IO2. harish.gandhi@cgiar.org.
Late-stage testing of candidate varieties of DCP crops in Ghana, and sharing of resulting data. </v>
      </c>
    </row>
    <row r="5" ht="70" customHeight="1" xml:space="preserve">
      <c r="A5" s="11" t="str">
        <v>AOW02</v>
      </c>
      <c r="B5" s="11" t="str">
        <v>Institut de l’Environnement et de Recherches Agricoles (Burkina Faso)</v>
      </c>
      <c r="C5" s="11" t="str">
        <v>HLO6.AOW2.IO1 Refocus to markets, HLO9.AOW2.IO2 Create products</v>
      </c>
      <c r="D5" s="11" t="str">
        <v>Burkina Faso</v>
      </c>
      <c r="E5" s="11">
        <v>5000</v>
      </c>
      <c r="F5" s="11" t="str" xml:space="preserve">
        <v xml:space="preserve">CIMMYT_ICRISAT_DCP_AccBreed_06. HLO9.AOW2.IO2. harish.gandhi@cgiar.org.
Late-stage testing of candidate varieties of DCP crops in Burkina Faso, and sharing of resulting data. </v>
      </c>
    </row>
    <row r="6" ht="70" customHeight="1" xml:space="preserve">
      <c r="A6" s="11" t="str">
        <v>AOW02</v>
      </c>
      <c r="B6" s="11" t="str">
        <v>Institut Senegalais de Recherche Agricole</v>
      </c>
      <c r="C6" s="11" t="str">
        <v>HLO6.AOW2.IO1 Refocus to markets, HLO9.AOW2.IO2 Create products</v>
      </c>
      <c r="D6" s="11" t="str">
        <v>Senegal,Senegal</v>
      </c>
      <c r="E6" s="11">
        <v>5000</v>
      </c>
      <c r="F6" s="11" t="str" xml:space="preserve">
        <v xml:space="preserve">CIMMYT_ICRISAT_DCP_AccBreed_06. HLO9.AOW2.IO2. harish.gandhi@cgiar.org.
Late-stage testing of candidate varieties of DCP crops in Senegal, and sharing of resulting data. </v>
      </c>
    </row>
    <row r="7" ht="70" customHeight="1" xml:space="preserve">
      <c r="A7" s="11" t="str">
        <v>AOW02</v>
      </c>
      <c r="B7" s="11" t="str">
        <v>Institut d’Economie Rurale (Mali)</v>
      </c>
      <c r="C7" s="11" t="str">
        <v>HLO6.AOW2.IO1 Refocus to markets, HLO9.AOW2.IO2 Create products</v>
      </c>
      <c r="D7" s="11" t="str">
        <v>Mali,Mali</v>
      </c>
      <c r="E7" s="11">
        <v>8083</v>
      </c>
      <c r="F7" s="11" t="str" xml:space="preserve">
        <v xml:space="preserve">CIMMYT_ICRISAT_DCP_AccBreed_06. HLO9.AOW2.IO2. harish.gandhi@cgiar.org.
Late-stage testing of candidate varieties of DCP crops in Mali, and sharing of resulting data. </v>
      </c>
    </row>
    <row r="8" ht="70" customHeight="1" xml:space="preserve">
      <c r="A8" s="11" t="str">
        <v>AOW02</v>
      </c>
      <c r="B8" s="11" t="str">
        <v>Department of Agricultural Research Services</v>
      </c>
      <c r="C8" s="11" t="str">
        <v>HLO8.AOW2.IO2 Discover genetic potential</v>
      </c>
      <c r="D8" s="11" t="str">
        <v>Malawi,Malawi</v>
      </c>
      <c r="E8" s="11">
        <v>30000</v>
      </c>
      <c r="F8" s="11" t="str" xml:space="preserve">
        <v xml:space="preserve">CIMMYT_ICRISAT_DCP_AccBreed_06. HLO9.AOW2.IO2. harish.gandhi@cgiar.org.
Late-stage testing of candidate varieties of DCP crops in Malawi, and sharing of resulting data. </v>
      </c>
    </row>
    <row r="9" ht="70" customHeight="1">
      <c r="A9" s="11" t="str">
        <v>AOW02</v>
      </c>
      <c r="B9" s="11" t="str">
        <v>Zambia Agriculture Research Institute</v>
      </c>
      <c r="C9" s="11" t="str">
        <v>HLO8.AOW2.IO2 Discover genetic potential, HLO7.AOW2.IO2 Accelerating genetic gain, HLO9.AOW2.IO2 Create products</v>
      </c>
      <c r="D9" s="11" t="str">
        <v>Zambia</v>
      </c>
      <c r="E9" s="11">
        <v>0</v>
      </c>
    </row>
    <row r="10" ht="70" customHeight="1" xml:space="preserve">
      <c r="A10" s="11" t="str">
        <v>AOW02</v>
      </c>
      <c r="B10" s="11" t="str">
        <v>Agricultural Research Institute - Tanzania</v>
      </c>
      <c r="C10" s="11" t="str">
        <v>HLO8.AOW2.IO2 Discover genetic potential, HLO7.AOW2.IO2 Accelerating genetic gain</v>
      </c>
      <c r="D10" s="11" t="str">
        <v>Tanzania, United Republic,Tanzania, United Republic</v>
      </c>
      <c r="E10" s="11">
        <v>10000</v>
      </c>
      <c r="F10" s="11" t="str" xml:space="preserve">
        <v xml:space="preserve">CIMMYT_ICRISAT_DCP_AccBreed_06. HLO9.AOW2.IO2. harish.gandhi@cgiar.org.
Late-stage testing of candidate varieties of DCP crops in Tanzania, and sharing of resulting data. </v>
      </c>
    </row>
    <row r="11" ht="70" customHeight="1">
      <c r="A11" s="11" t="str">
        <v>AOW02</v>
      </c>
      <c r="B11" s="11" t="str">
        <v>National Agricultural Research Organisation (Uganda)</v>
      </c>
      <c r="C11" s="11" t="str">
        <v>HLO8.AOW2.IO2 Discover genetic potential, HLO7.AOW2.IO2 Accelerating genetic gain, HLO9.AOW2.IO2 Create products</v>
      </c>
      <c r="D11" s="11" t="str">
        <v>Uganda</v>
      </c>
      <c r="E11" s="11">
        <v>0</v>
      </c>
    </row>
    <row r="12" ht="70" customHeight="1" xml:space="preserve">
      <c r="A12" s="11" t="str">
        <v>AOW02</v>
      </c>
      <c r="B12" s="11" t="str">
        <v>Kenya Agricultural and Livestock Research Organization</v>
      </c>
      <c r="C12" s="11" t="str">
        <v>HLO7.AOW2.IO2 Accelerating genetic gain, HLO9.AOW2.IO2 Create products</v>
      </c>
      <c r="D12" s="11" t="str">
        <v>Kenya</v>
      </c>
      <c r="E12" s="11">
        <v>25000</v>
      </c>
      <c r="F12" s="11" t="str" xml:space="preserve">
        <v xml:space="preserve">CIMMYT_ICRISAT_DCP_AccBreed_06. HLO9.AOW2.IO2. harish.gandhi@cgiar.org.
Late-stage testing of candidate varieties of DCP crops in Kenya, and sharing of resulting data. </v>
      </c>
    </row>
    <row r="13" ht="70" customHeight="1" xml:space="preserve">
      <c r="A13" s="11" t="str">
        <v>AOW02</v>
      </c>
      <c r="B13" s="11" t="str">
        <v>Ethiopian Institute of Agricultural Research</v>
      </c>
      <c r="C13" s="11" t="str">
        <v>HLO7.AOW2.IO2 Accelerating genetic gain, HLO9.AOW2.IO2 Create products</v>
      </c>
      <c r="D13" s="11" t="str">
        <v>Ethiopia,Ethiopia</v>
      </c>
      <c r="E13" s="11">
        <v>51553</v>
      </c>
      <c r="F13" s="11" t="str" xml:space="preserve">
        <v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v>
      </c>
    </row>
    <row r="14" ht="70" customHeight="1" xml:space="preserve">
      <c r="A14" s="11" t="str">
        <v>AOW02</v>
      </c>
      <c r="B14" s="11" t="str">
        <v>Nepal Agricultural Research Council</v>
      </c>
      <c r="C14" s="11" t="str">
        <v>HLO7.AOW2.IO2 Accelerating genetic gain, HLO9.AOW2.IO2 Create products</v>
      </c>
      <c r="D14" s="11" t="str">
        <v>Nepal</v>
      </c>
      <c r="E14" s="11">
        <v>4500</v>
      </c>
      <c r="F14" s="11" t="str" xml:space="preserve">
        <v xml:space="preserve">CIMMYT_Breeding for Tomorrow_19_GWP. HLO9.AOW2.IO2
Velu Govindan
POD includes testing of wheat germplasm with NARC in Nepal for selection and release to partners in the country. </v>
      </c>
    </row>
    <row r="15" ht="70" customHeight="1" xml:space="preserve">
      <c r="A15" s="11" t="str">
        <v>AOW02</v>
      </c>
      <c r="B15" s="11" t="str">
        <v>Pakistan Agricultural Research Council</v>
      </c>
      <c r="C15" s="11" t="str">
        <v>HLO7.AOW2.IO2 Accelerating genetic gain, HLO9.AOW2.IO2 Create products</v>
      </c>
      <c r="D15" s="11" t="str">
        <v>Pakistan</v>
      </c>
      <c r="E15" s="11">
        <v>13500</v>
      </c>
      <c r="F15" s="11" t="str" xml:space="preserve">
        <v xml:space="preserve">CIMMYT_Breeding for Tomorrow_19_GWP. HLO9.AOW2.IO2
Velu Govindan
POD includes testing of wheat germplasm with PARC in Pakistan for selection and release to partners in the country. </v>
      </c>
    </row>
    <row r="16" ht="70" customHeight="1" xml:space="preserve">
      <c r="A16" s="11" t="str">
        <v>AOW02</v>
      </c>
      <c r="B16" s="11" t="str">
        <v>Indian Council of Agricultural Research</v>
      </c>
      <c r="C16" s="11" t="str">
        <v>HLO7.AOW2.IO2 Accelerating genetic gain, HLO9.AOW2.IO2 Create products</v>
      </c>
      <c r="D16" s="11" t="str">
        <v>India</v>
      </c>
      <c r="E16" s="11">
        <v>9000</v>
      </c>
      <c r="F16" s="11" t="str" xml:space="preserve">
        <v xml:space="preserve">CIMMYT_Breeding for Tomorrow_19_GWP. HLO9.AOW2.IO2
Velu Govindan
POD includes testing of wheat germplasm with ICAR in India for selection and release to partners in the country. </v>
      </c>
    </row>
    <row r="17" ht="70" customHeight="1" xml:space="preserve">
      <c r="A17" s="11" t="str">
        <v>AOW02</v>
      </c>
      <c r="B17" s="11" t="str">
        <v>Egerton University</v>
      </c>
      <c r="C17" s="11" t="str">
        <v>HLO9.AOW2.IO2 Create products</v>
      </c>
      <c r="D17" s="11" t="str">
        <v>Kenya</v>
      </c>
      <c r="E17" s="11">
        <v>15000</v>
      </c>
      <c r="F17" s="11" t="str" xml:space="preserve">
        <v xml:space="preserve">CIMMYT_ICRISAT_DCP_AccBreed_06. HLO9.AOW2.IO2. harish.gandhi@cgiar.org.
Late-stage testing of candidate varieties of DCP crops in Kenya, and sharing of resulting data. </v>
      </c>
    </row>
    <row r="18" ht="70" customHeight="1">
      <c r="A18" s="11" t="str">
        <v>AOW02</v>
      </c>
      <c r="B18" s="11" t="str">
        <v>Ministry of Agriculture, Irrigation and Water Development (Malawi)</v>
      </c>
      <c r="C18" s="11" t="str">
        <v>HLO9.AOW2.IO2 Create products</v>
      </c>
      <c r="D18" s="11" t="str">
        <v>Malawi</v>
      </c>
      <c r="E18" s="11">
        <v>0</v>
      </c>
    </row>
    <row r="19" ht="70" customHeight="1" xml:space="preserve">
      <c r="A19" s="11" t="str">
        <v>AOW02</v>
      </c>
      <c r="B19" s="11" t="str">
        <v>Instituto de Investigacao Agraria de Mozambique</v>
      </c>
      <c r="C19" s="11" t="str">
        <v>HLO9.AOW2.IO2 Create products</v>
      </c>
      <c r="D19" s="11" t="str">
        <v>Mozambique</v>
      </c>
      <c r="E19" s="11">
        <v>5000</v>
      </c>
      <c r="F19" s="11" t="str" xml:space="preserve">
        <v xml:space="preserve">CIMMYT_ICRISAT_DCP_AccBreed_06. HLO9.AOW2.IO2. harish.gandhi@cgiar.org.
Late-stage testing of candidate varieties of DCP crops in Mozambique, and sharing of resulting data. </v>
      </c>
    </row>
    <row r="20" ht="25" customHeight="1">
      <c r="B20" s="14" t="str">
        <v>Contracted partners subtotal</v>
      </c>
      <c r="E20" s="14">
        <f>SUM(E4:E19)</f>
      </c>
    </row>
    <row r="21" ht="70" customHeight="1" xml:space="preserve">
      <c r="A21" s="12" t="str">
        <v>AOW03</v>
      </c>
      <c r="B21" s="11" t="str">
        <v>National Agricultural Research Organisation (Uganda)</v>
      </c>
      <c r="C21" s="11" t="str">
        <v>HLO11.AOW3.IO4 Position for demand, HLO14.AOW3.IO5 TRACK adoption</v>
      </c>
      <c r="D21" s="11" t="str">
        <v>Uganda</v>
      </c>
      <c r="E21" s="11">
        <v>15000</v>
      </c>
      <c r="F21" s="11" t="str" xml:space="preserve">
        <v xml:space="preserve">CIMMYT_Breeding for Tomorrow_17_GMP. HLO11.AOW3.IO4 
Walter Chivasa (w.chivasa@cgiar.org)
Late stage OFT testing of new maize hybrids in Uganda, and sharing of results.</v>
      </c>
    </row>
    <row r="22" ht="70" customHeight="1" xml:space="preserve">
      <c r="A22" s="11" t="str">
        <v>AOW03</v>
      </c>
      <c r="B22" s="11" t="str">
        <v>Instituto de Investigacao Agraria de Mozambique</v>
      </c>
      <c r="C22" s="11" t="str">
        <v>HLO11.AOW3.IO4 Position for demand, HLO12.AOW3.IO5 Deploy seed, HLO14.AOW3.IO5 TRACK adoption</v>
      </c>
      <c r="D22" s="11" t="str">
        <v>Mozambique</v>
      </c>
      <c r="E22" s="11">
        <v>5000</v>
      </c>
      <c r="F22" s="11" t="str" xml:space="preserve">
        <v xml:space="preserve">CIMMYT_Breeding for Tomorrow_17_GMP. HLO11.AOW3.IO4 
Walter Chivasa (w.chivasa@cgiar.org)
Late stage OFT testing of new maize hybrids in Mozambique, and sharing of results.</v>
      </c>
    </row>
    <row r="23" ht="70" customHeight="1">
      <c r="A23" s="11" t="str">
        <v>AOW03</v>
      </c>
      <c r="B23" s="11" t="str">
        <v>Pakistan Agricultural Research Council</v>
      </c>
      <c r="C23" s="11" t="str">
        <v>HLO11.AOW3.IO4 Position for demand, HLO13.AOW3.IO5 Power seed scaling, HLO14.AOW3.IO5 TRACK adoption</v>
      </c>
      <c r="D23" s="11" t="str">
        <v>Pakistan</v>
      </c>
      <c r="E23" s="11">
        <v>0</v>
      </c>
    </row>
    <row r="24" ht="70" customHeight="1" xml:space="preserve">
      <c r="A24" s="11" t="str">
        <v>AOW03</v>
      </c>
      <c r="B24" s="11" t="str">
        <v>Department of Agricultural Research Services</v>
      </c>
      <c r="C24" s="11" t="str">
        <v>HLO11.AOW3.IO4 Position for demand</v>
      </c>
      <c r="D24" s="11" t="str">
        <v>Malawi,Malawi</v>
      </c>
      <c r="E24" s="11">
        <v>5000</v>
      </c>
      <c r="F24" s="11" t="str" xml:space="preserve">
        <v xml:space="preserve">CIMMYT_Breeding for Tomorrow_17_GMP. HLO11.AOW3.IO4 
Walter Chivasa (w.chivasa@cgiar.org)
Late stage OFT testing of new maize hybrids in Malawi, and sharing of results.</v>
      </c>
    </row>
    <row r="25" ht="70" customHeight="1" xml:space="preserve">
      <c r="A25" s="11" t="str">
        <v>AOW03</v>
      </c>
      <c r="B25" s="11" t="str">
        <v>Kenya Agricultural and Livestock Research Organization</v>
      </c>
      <c r="C25" s="11" t="str">
        <v>HLO11.AOW3.IO4 Position for demand, HLO12.AOW3.IO5 Deploy seed, HLO13.AOW3.IO5 Power seed scaling, HLO14.AOW3.IO5 TRACK adoption</v>
      </c>
      <c r="D25" s="11" t="str">
        <v>Kenya</v>
      </c>
      <c r="E25" s="11">
        <v>25000</v>
      </c>
      <c r="F25" s="11" t="str" xml:space="preserve">
        <v xml:space="preserve">CIMMYT_Breeding for Tomorrow_17_GMP. HLO11.AOW3.IO4 
Walter Chivasa (w.chivasa@cgiar.org)
Late stage OFT testing of new maize hybrids in Kenya, and sharing of results.</v>
      </c>
    </row>
    <row r="26" ht="70" customHeight="1" xml:space="preserve">
      <c r="A26" s="11" t="str">
        <v>AOW03</v>
      </c>
      <c r="B26" s="11" t="str">
        <v>Tanzania Agricultural Research Institute</v>
      </c>
      <c r="C26" s="11" t="str">
        <v>HLO11.AOW3.IO4 Position for demand</v>
      </c>
      <c r="D26" s="11" t="str">
        <v>Tanzania, United Republic</v>
      </c>
      <c r="E26" s="11">
        <v>10000</v>
      </c>
      <c r="F26" s="11" t="str" xml:space="preserve">
        <v xml:space="preserve">CIMMYT_Breeding for Tomorrow_17_GMP. HLO11.AOW3.IO4 
Walter Chivasa (w.chivasa@cgiar.org)
Late stage OFT testing of new maize hybrids in Tanzania, and sharing of results.</v>
      </c>
    </row>
    <row r="27" ht="70" customHeight="1" xml:space="preserve">
      <c r="A27" s="11" t="str">
        <v>AOW03</v>
      </c>
      <c r="B27" s="11" t="str">
        <v>Institut d’Economie Rurale (Mali)</v>
      </c>
      <c r="C27" s="11" t="str">
        <v>HLO11.AOW3.IO4 Position for demand, HLO13.AOW3.IO5 Power seed scaling, HLO14.AOW3.IO5 TRACK adoption</v>
      </c>
      <c r="D27" s="11" t="str">
        <v>Mali,Mali</v>
      </c>
      <c r="E27" s="11">
        <v>5895</v>
      </c>
      <c r="F27" s="11" t="str" xml:space="preserve">
        <v xml:space="preserve">CIMMYT_Breeding for Tomorrow_29_DCP. HLO14.AOW3.IO5 TRACK adoption
Chris Ojiewo (c.ojiewo@cgiar.org)
Report on Identification and characterization of leading farmer-preferred DCP crop varieties in Mali.</v>
      </c>
    </row>
    <row r="28" ht="70" customHeight="1">
      <c r="A28" s="11" t="str">
        <v>AOW03</v>
      </c>
      <c r="B28" s="11" t="str">
        <v>Indian Council of Agricultural Research</v>
      </c>
      <c r="C28" s="11" t="str">
        <v>HLO11.AOW3.IO4 Position for demand, HLO12.AOW3.IO5 Deploy seed, HLO13.AOW3.IO5 Power seed scaling, HLO14.AOW3.IO5 TRACK adoption</v>
      </c>
      <c r="D28" s="11" t="str">
        <v>India</v>
      </c>
      <c r="E28" s="11">
        <v>0</v>
      </c>
    </row>
    <row r="29" ht="70" customHeight="1" xml:space="preserve">
      <c r="A29" s="11" t="str">
        <v>AOW03</v>
      </c>
      <c r="B29" s="11" t="str">
        <v>Agricultural Research Institute - Tanzania</v>
      </c>
      <c r="C29" s="11" t="str">
        <v>HLO11.AOW3.IO4 Position for demand, HLO12.AOW3.IO5 Deploy seed, HLO13.AOW3.IO5 Power seed scaling, HLO14.AOW3.IO5 TRACK adoption</v>
      </c>
      <c r="D29" s="11" t="str">
        <v>Tanzania, United Republic,Tanzania, United Republic</v>
      </c>
      <c r="E29" s="11">
        <v>6800</v>
      </c>
      <c r="F29" s="11" t="str" xml:space="preserve">
        <v xml:space="preserve">CIMMYT_Breeding for Tomorrow_29_DCP. HLO14.AOW3.IO5 TRACK adoption
Chris Ojiewo (c.ojiewo@cgiar.org)
Report on Identification and characterization of leading farmer-preferred DCP crop varieties in Tanzania.</v>
      </c>
    </row>
    <row r="30" ht="70" customHeight="1" xml:space="preserve">
      <c r="A30" s="11" t="str">
        <v>AOW03</v>
      </c>
      <c r="B30" s="11" t="str">
        <v>Zambia Agriculture Research Institute</v>
      </c>
      <c r="C30" s="11" t="str">
        <v>HLO11.AOW3.IO4 Position for demand, HLO14.AOW3.IO5 TRACK adoption</v>
      </c>
      <c r="D30" s="11" t="str">
        <v>Zambia</v>
      </c>
      <c r="E30" s="11">
        <v>16925</v>
      </c>
      <c r="F30" s="11" t="str" xml:space="preserve">
        <v xml:space="preserve">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v>
      </c>
    </row>
    <row r="31" ht="70" customHeight="1" xml:space="preserve">
      <c r="A31" s="11" t="str">
        <v>AOW03</v>
      </c>
      <c r="B31" s="11" t="str">
        <v>Department of Agricultural, Technical and Extension Services (Zimbabwe)</v>
      </c>
      <c r="C31" s="11" t="str">
        <v>HLO11.AOW3.IO4 Position for demand, HLO13.AOW3.IO5 Power seed scaling, HLO14.AOW3.IO5 TRACK adoption</v>
      </c>
      <c r="D31" s="11" t="str">
        <v>Zimbabwe</v>
      </c>
      <c r="E31" s="11">
        <v>40000</v>
      </c>
      <c r="F31" s="11" t="str" xml:space="preserve">
        <v xml:space="preserve">CIMMYT_Breeding for Tomorrow_17_GMP. HLO11.AOW3.IO4 
Walter Chivasa (w.chivasa@cgiar.org)
Late stage OFT testing of new maize hybrids in Zimbabwe, and sharing of results.</v>
      </c>
    </row>
    <row r="32" ht="70" customHeight="1" xml:space="preserve">
      <c r="A32" s="11" t="str">
        <v>AOW03</v>
      </c>
      <c r="B32" s="11" t="str">
        <v>Ethiopian Institute of Agricultural Research</v>
      </c>
      <c r="C32" s="11" t="str">
        <v>HLO11.AOW3.IO4 Position for demand, HLO12.AOW3.IO5 Deploy seed</v>
      </c>
      <c r="D32" s="11" t="str">
        <v>Ethiopia,Ethiopia</v>
      </c>
      <c r="E32" s="11">
        <v>15000</v>
      </c>
      <c r="F32" s="11" t="str" xml:space="preserve">
        <v xml:space="preserve">CIMMYT_Breeding for Tomorrow_17_GMP. HLO11.AOW3.IO4 
Walter Chivasa (w.chivasa@cgiar.org)
Late stage OFT testing of new maize hybrids in Ethiopia, and sharing of results.</v>
      </c>
    </row>
    <row r="33" ht="70" customHeight="1">
      <c r="A33" s="11" t="str">
        <v>AOW03</v>
      </c>
      <c r="B33" s="11" t="str">
        <v>Nepal Agricultural Research Council</v>
      </c>
      <c r="C33" s="11" t="str">
        <v>HLO12.AOW3.IO5 Deploy seed</v>
      </c>
      <c r="D33" s="11" t="str">
        <v>Nepal</v>
      </c>
      <c r="E33" s="11">
        <v>0</v>
      </c>
    </row>
    <row r="34" ht="70" customHeight="1" xml:space="preserve">
      <c r="A34" s="11" t="str">
        <v>AOW03</v>
      </c>
      <c r="B34" s="11" t="str">
        <v>Eastern African Grain Council</v>
      </c>
      <c r="C34" s="11" t="str">
        <v>HLO14.AOW3.IO5 TRACK adoption</v>
      </c>
      <c r="D34" s="11" t="str">
        <v>Kenya</v>
      </c>
      <c r="E34" s="11">
        <v>29981</v>
      </c>
      <c r="F34" s="11" t="str" xml:space="preserve">
        <v xml:space="preserve">CIMMYT_Breeding for Tomorrow_29_DCP. HLO14.AOW3.IO5 TRACK adoption
Chris Ojiewo (c.ojiewo@cgiar.org)
2 reports for tools developed for seed system analysis: varietal adoption, varietal turnover, seed replacement, and quality seed use in dryland crops, work with Eastern African Grain Council</v>
      </c>
    </row>
    <row r="35" ht="70" customHeight="1" xml:space="preserve">
      <c r="A35" s="11" t="str">
        <v>AOW03</v>
      </c>
      <c r="B35" s="11" t="str">
        <v>African Seed Access Index (TASAI)</v>
      </c>
      <c r="C35" s="11" t="str">
        <v>HLO14.AOW3.IO5 TRACK adoption</v>
      </c>
      <c r="D35" s="11" t="str">
        <v>Kenya</v>
      </c>
      <c r="E35" s="11">
        <v>59536</v>
      </c>
      <c r="F35" s="11" t="str" xml:space="preserve">
        <v xml:space="preserve">CIMMYT_Breeding for Tomorrow_29_DCP. HLO14.AOW3.IO5 TRACK adoption
Chris Ojiewo (c.ojiewo@cgiar.org)
3 reports of compiled data on seed sector architecture, regulatory environments, multiplication and distribution capacity, and delivery models for DCP crops, working with TASAI.</v>
      </c>
    </row>
    <row r="36" ht="70" customHeight="1" xml:space="preserve">
      <c r="A36" s="11" t="str">
        <v>AOW03</v>
      </c>
      <c r="B36" s="11" t="str">
        <v>Council for Scientific and Industrial Research (Ghana)</v>
      </c>
      <c r="C36" s="11" t="str">
        <v>HLO14.AOW3.IO5 TRACK adoption</v>
      </c>
      <c r="D36" s="11" t="str">
        <v>Ghana</v>
      </c>
      <c r="E36" s="11">
        <v>6250</v>
      </c>
      <c r="F36" s="11" t="str" xml:space="preserve">
        <v xml:space="preserve">CIMMYT_Breeding for Tomorrow_29_DCP. HLO14.AOW3.IO5 TRACK adoption
Chris Ojiewo (c.ojiewo@cgiar.org)
Report on Identification and characterization of leading farmer-preferred DCP crop varieties in Ghana.</v>
      </c>
    </row>
    <row r="37" ht="70" customHeight="1" xml:space="preserve">
      <c r="A37" s="11" t="str">
        <v>AOW03</v>
      </c>
      <c r="B37" s="11" t="str">
        <v>Ministry of Agriculture, Irrigation and Water Development (Malawi)</v>
      </c>
      <c r="C37" s="11" t="str">
        <v>HLO14.AOW3.IO5 TRACK adoption</v>
      </c>
      <c r="D37" s="11" t="str">
        <v>Malawi</v>
      </c>
      <c r="E37" s="11">
        <v>6250</v>
      </c>
      <c r="F37" s="11" t="str" xml:space="preserve">
        <v xml:space="preserve">CIMMYT_Breeding for Tomorrow_29_DCP. HLO14.AOW3.IO5 TRACK adoption
Chris Ojiewo (c.ojiewo@cgiar.org)
Report on Identification and characterization of leading farmer-preferred DCP crop varieties in Malawi.</v>
      </c>
    </row>
    <row r="38" ht="70" customHeight="1" xml:space="preserve">
      <c r="A38" s="11" t="str">
        <v>AOW03</v>
      </c>
      <c r="B38" s="11" t="str">
        <v>Institut Senegalais de Recherche Agricole</v>
      </c>
      <c r="C38" s="11" t="str">
        <v>HLO14.AOW3.IO5 TRACK adoption</v>
      </c>
      <c r="D38" s="11" t="str">
        <v>Senegal,Senegal</v>
      </c>
      <c r="E38" s="11">
        <v>6153</v>
      </c>
      <c r="F38" s="11" t="str" xml:space="preserve">
        <v xml:space="preserve">CIMMYT_Breeding for Tomorrow_29_DCP. HLO14.AOW3.IO5 TRACK adoption
Chris Ojiewo (c.ojiewo@cgiar.org)
Report on Identification and characterization of leading farmer-preferred DCP crop varieties in Senegal.</v>
      </c>
    </row>
    <row r="39" ht="70" customHeight="1">
      <c r="A39" s="11" t="str">
        <v>AOW03</v>
      </c>
      <c r="B39" s="11" t="str">
        <v>Institut de l’Environnement et de Recherches Agricoles (Burkina Faso)</v>
      </c>
      <c r="C39" s="11" t="str">
        <v>HLO14.AOW3.IO5 TRACK adoption</v>
      </c>
      <c r="D39" s="11" t="str">
        <v>Burkina Faso</v>
      </c>
      <c r="E39" s="11">
        <v>0</v>
      </c>
    </row>
    <row r="40" ht="25" customHeight="1">
      <c r="B40" s="14" t="str">
        <v>Contracted partners subtotal</v>
      </c>
      <c r="E40" s="14">
        <f>SUM(E21:E39)</f>
      </c>
    </row>
    <row r="41" ht="70" customHeight="1">
      <c r="A41" s="12" t="str">
        <v>AOW04</v>
      </c>
      <c r="B41" s="11" t="str">
        <v>National Agricultural Research Organisation (Uganda)</v>
      </c>
      <c r="C41" s="11" t="str">
        <v>HLO17.AOW4.IO3 FAIR principles, HLO15.AOW4.IO2 Hub &amp; spoke scaling, HLO16.AOW4.IO3 Shared services</v>
      </c>
      <c r="D41" s="11" t="str">
        <v>Uganda</v>
      </c>
      <c r="E41" s="11">
        <v>0</v>
      </c>
    </row>
    <row r="42" ht="70" customHeight="1">
      <c r="A42" s="11" t="str">
        <v>AOW04</v>
      </c>
      <c r="B42" s="11" t="str">
        <v>Indian Council of Agricultural Research</v>
      </c>
      <c r="C42" s="11" t="str">
        <v>HLO15.AOW4.IO2 Hub &amp; spoke scaling, HLO16.AOW4.IO3 Shared services</v>
      </c>
      <c r="D42" s="11" t="str">
        <v>India</v>
      </c>
      <c r="E42" s="11">
        <v>0</v>
      </c>
    </row>
    <row r="43" ht="70" customHeight="1">
      <c r="A43" s="11" t="str">
        <v>AOW04</v>
      </c>
      <c r="B43" s="11" t="str">
        <v>Savannah Agricultural Research Institute</v>
      </c>
      <c r="C43" s="11" t="str">
        <v>HLO15.AOW4.IO2 Hub &amp; spoke scaling, HLO16.AOW4.IO3 Shared services</v>
      </c>
      <c r="D43" s="11" t="str">
        <v>Ghana</v>
      </c>
      <c r="E43" s="11">
        <v>0</v>
      </c>
    </row>
    <row r="44" ht="70" customHeight="1">
      <c r="A44" s="11" t="str">
        <v>AOW04</v>
      </c>
      <c r="B44" s="11" t="str">
        <v>Institut de l’Environnement et de Recherches Agricoles (Burkina Faso)</v>
      </c>
      <c r="C44" s="11" t="str">
        <v>HLO15.AOW4.IO2 Hub &amp; spoke scaling, HLO16.AOW4.IO3 Shared services</v>
      </c>
      <c r="D44" s="11" t="str">
        <v>Burkina Faso</v>
      </c>
      <c r="E44" s="11">
        <v>0</v>
      </c>
    </row>
    <row r="45" ht="70" customHeight="1">
      <c r="A45" s="11" t="str">
        <v>AOW04</v>
      </c>
      <c r="B45" s="11" t="str">
        <v>Kenya Agricultural and Livestock Research Organization</v>
      </c>
      <c r="C45" s="11" t="str">
        <v>HLO15.AOW4.IO2 Hub &amp; spoke scaling, HLO16.AOW4.IO3 Shared services</v>
      </c>
      <c r="D45" s="11" t="str">
        <v>Kenya</v>
      </c>
      <c r="E45" s="11">
        <v>0</v>
      </c>
    </row>
    <row r="46" ht="70" customHeight="1">
      <c r="A46" s="11" t="str">
        <v>AOW04</v>
      </c>
      <c r="B46" s="11" t="str">
        <v>Institut d’Economie Rurale (Mali)</v>
      </c>
      <c r="C46" s="11" t="str">
        <v>HLO15.AOW4.IO2 Hub &amp; spoke scaling, HLO16.AOW4.IO3 Shared services</v>
      </c>
      <c r="D46" s="11" t="str">
        <v>Mali,Mali</v>
      </c>
      <c r="E46" s="11">
        <v>0</v>
      </c>
    </row>
    <row r="47" ht="70" customHeight="1">
      <c r="A47" s="11" t="str">
        <v>AOW04</v>
      </c>
      <c r="B47" s="11" t="str">
        <v>Institut Senegalais de Recherche Agricole</v>
      </c>
      <c r="C47" s="11" t="str">
        <v>HLO15.AOW4.IO2 Hub &amp; spoke scaling, HLO16.AOW4.IO3 Shared services</v>
      </c>
      <c r="D47" s="11" t="str">
        <v>Senegal,Senegal</v>
      </c>
      <c r="E47" s="11">
        <v>0</v>
      </c>
    </row>
    <row r="48" ht="70" customHeight="1">
      <c r="A48" s="11" t="str">
        <v>AOW04</v>
      </c>
      <c r="B48" s="11" t="str">
        <v>Ethiopian Institute of Agricultural Research</v>
      </c>
      <c r="C48" s="11" t="str">
        <v>HLO15.AOW4.IO2 Hub &amp; spoke scaling, HLO16.AOW4.IO3 Shared services</v>
      </c>
      <c r="D48" s="11" t="str">
        <v>Ethiopia,Ethiopia</v>
      </c>
      <c r="E48" s="11">
        <v>0</v>
      </c>
    </row>
    <row r="49" ht="70" customHeight="1">
      <c r="A49" s="11" t="str">
        <v>AOW04</v>
      </c>
      <c r="B49" s="11" t="str">
        <v>Agricultural Research Institute - Tanzania</v>
      </c>
      <c r="C49" s="11" t="str">
        <v>HLO16.AOW4.IO3 Shared services</v>
      </c>
      <c r="D49" s="11" t="str">
        <v>Tanzania, United Republic,Tanzania, United Republic</v>
      </c>
      <c r="E49" s="11">
        <v>0</v>
      </c>
    </row>
    <row r="50" ht="70" customHeight="1">
      <c r="A50" s="11" t="str">
        <v>AOW04</v>
      </c>
      <c r="B50" s="11" t="str">
        <v>Nepal Agricultural Research Council</v>
      </c>
      <c r="C50" s="11" t="str">
        <v>HLO16.AOW4.IO3 Shared services</v>
      </c>
      <c r="D50" s="11" t="str">
        <v>Nepal</v>
      </c>
      <c r="E50" s="11">
        <v>0</v>
      </c>
    </row>
    <row r="51" ht="70" customHeight="1">
      <c r="A51" s="11" t="str">
        <v>AOW04</v>
      </c>
      <c r="B51" s="11" t="str">
        <v>Instituto de Investigacao Agraria de Mozambique</v>
      </c>
      <c r="C51" s="11" t="str">
        <v>HLO16.AOW4.IO3 Shared services</v>
      </c>
      <c r="D51" s="11" t="str">
        <v>Mozambique</v>
      </c>
      <c r="E51" s="11">
        <v>0</v>
      </c>
    </row>
    <row r="52" ht="70" customHeight="1">
      <c r="A52" s="11" t="str">
        <v>AOW04</v>
      </c>
      <c r="B52" s="11" t="str">
        <v>Pakistan Agricultural Research Council</v>
      </c>
      <c r="C52" s="11" t="str">
        <v>HLO16.AOW4.IO3 Shared services</v>
      </c>
      <c r="D52" s="11" t="str">
        <v>Pakistan</v>
      </c>
      <c r="E52" s="11">
        <v>0</v>
      </c>
    </row>
    <row r="53" ht="25" customHeight="1">
      <c r="B53" s="14" t="str">
        <v>Contracted partners subtotal</v>
      </c>
      <c r="E53" s="14">
        <f>SUM(E41:E52)</f>
      </c>
    </row>
    <row r="54" ht="70" customHeight="1">
      <c r="A54" s="12" t="str">
        <v>AOW05</v>
      </c>
      <c r="B54" s="11" t="str">
        <v>Savannah Agricultural Research Institute</v>
      </c>
      <c r="C54" s="11" t="str">
        <v>HLO22.AOW5.IO5 Exchange genetic resources</v>
      </c>
      <c r="D54" s="11" t="str">
        <v>Ghana</v>
      </c>
      <c r="E54" s="11">
        <v>0</v>
      </c>
    </row>
    <row r="55" ht="70" customHeight="1">
      <c r="A55" s="11" t="str">
        <v>AOW05</v>
      </c>
      <c r="B55" s="11" t="str">
        <v>Institut de l’Environnement et de Recherches Agricoles (Burkina Faso)</v>
      </c>
      <c r="C55" s="11" t="str">
        <v>HLO22.AOW5.IO5 Exchange genetic resources</v>
      </c>
      <c r="D55" s="11" t="str">
        <v>Burkina Faso</v>
      </c>
      <c r="E55" s="11">
        <v>0</v>
      </c>
    </row>
    <row r="56" ht="70" customHeight="1">
      <c r="A56" s="11" t="str">
        <v>AOW05</v>
      </c>
      <c r="B56" s="11" t="str">
        <v>Institut Senegalais de Recherche Agricole</v>
      </c>
      <c r="C56" s="11" t="str">
        <v>HLO22.AOW5.IO5 Exchange genetic resources</v>
      </c>
      <c r="D56" s="11" t="str">
        <v>Senegal,Senegal</v>
      </c>
      <c r="E56" s="11">
        <v>0</v>
      </c>
    </row>
    <row r="57" ht="70" customHeight="1">
      <c r="A57" s="11" t="str">
        <v>AOW05</v>
      </c>
      <c r="B57" s="11" t="str">
        <v>Institut d’Economie Rurale (Mali)</v>
      </c>
      <c r="C57" s="11" t="str">
        <v>HLO22.AOW5.IO5 Exchange genetic resources</v>
      </c>
      <c r="D57" s="11" t="str">
        <v>Mali,Mali</v>
      </c>
      <c r="E57" s="11">
        <v>0</v>
      </c>
    </row>
    <row r="58" ht="70" customHeight="1">
      <c r="A58" s="11" t="str">
        <v>AOW05</v>
      </c>
      <c r="B58" s="11" t="str">
        <v>Indian Council of Agricultural Research</v>
      </c>
      <c r="C58" s="11" t="str">
        <v>HLO18.AOW5.IO2 Partnered networks, HLO19.AOW5.IO2 Share capacity</v>
      </c>
      <c r="D58" s="11" t="str">
        <v>India</v>
      </c>
      <c r="E58" s="11">
        <v>0</v>
      </c>
    </row>
    <row r="59" ht="70" customHeight="1">
      <c r="A59" s="11" t="str">
        <v>AOW05</v>
      </c>
      <c r="B59" s="11" t="str">
        <v>Kenya Agricultural and Livestock Research Organization</v>
      </c>
      <c r="C59" s="11" t="str">
        <v>HLO18.AOW5.IO2 Partnered networks, HLO19.AOW5.IO2 Share capacity</v>
      </c>
      <c r="D59" s="11" t="str">
        <v>Kenya</v>
      </c>
      <c r="E59" s="11">
        <v>0</v>
      </c>
    </row>
    <row r="60" ht="70" customHeight="1">
      <c r="A60" s="11" t="str">
        <v>AOW05</v>
      </c>
      <c r="B60" s="11" t="str">
        <v>Ethiopian Institute of Agricultural Research</v>
      </c>
      <c r="C60" s="11" t="str">
        <v>HLO18.AOW5.IO2 Partnered networks, HLO19.AOW5.IO2 Share capacity</v>
      </c>
      <c r="D60" s="11" t="str">
        <v>Ethiopia,Ethiopia</v>
      </c>
      <c r="E60" s="11">
        <v>0</v>
      </c>
    </row>
    <row r="61" ht="70" customHeight="1">
      <c r="A61" s="11" t="str">
        <v>AOW05</v>
      </c>
      <c r="B61" s="11" t="str">
        <v>Agricultural Research Institute - Tanzania</v>
      </c>
      <c r="C61" s="11" t="str">
        <v>HLO19.AOW5.IO2 Share capacity</v>
      </c>
      <c r="D61" s="11" t="str">
        <v>Tanzania, United Republic,Tanzania, United Republic</v>
      </c>
      <c r="E61" s="11">
        <v>0</v>
      </c>
    </row>
    <row r="62" ht="70" customHeight="1">
      <c r="A62" s="11" t="str">
        <v>AOW05</v>
      </c>
      <c r="B62" s="11" t="str">
        <v>Pakistan Agricultural Research Council</v>
      </c>
      <c r="C62" s="11" t="str">
        <v>HLO19.AOW5.IO2 Share capacity</v>
      </c>
      <c r="D62" s="11" t="str">
        <v>Pakistan</v>
      </c>
      <c r="E62" s="11">
        <v>0</v>
      </c>
    </row>
    <row r="63" ht="70" customHeight="1">
      <c r="A63" s="11" t="str">
        <v>AOW05</v>
      </c>
      <c r="B63" s="11" t="str">
        <v>National Agricultural Research Organisation (Uganda)</v>
      </c>
      <c r="C63" s="11" t="str">
        <v>HLO19.AOW5.IO2 Share capacity</v>
      </c>
      <c r="D63" s="11" t="str">
        <v>Uganda</v>
      </c>
      <c r="E63" s="11">
        <v>0</v>
      </c>
    </row>
    <row r="64" ht="25" customHeight="1">
      <c r="B64" s="14" t="str">
        <v>Contracted partners subtotal</v>
      </c>
      <c r="E64" s="14">
        <f>SUM(E54:E63)</f>
      </c>
    </row>
  </sheetData>
  <mergeCells count="10">
    <mergeCell ref="B3:D3"/>
    <mergeCell ref="A2:A3"/>
    <mergeCell ref="B20:D20"/>
    <mergeCell ref="A4:A20"/>
    <mergeCell ref="B40:D40"/>
    <mergeCell ref="A21:A40"/>
    <mergeCell ref="B53:D53"/>
    <mergeCell ref="A41:A53"/>
    <mergeCell ref="B64:D64"/>
    <mergeCell ref="A54:A64"/>
  </mergeCells>
  <ignoredErrors>
    <ignoredError numberStoredAsText="1" sqref="A1:F64"/>
  </ignoredErrors>
</worksheet>
</file>

<file path=xl/worksheets/sheet5.xml><?xml version="1.0" encoding="utf-8"?>
<worksheet xmlns="http://schemas.openxmlformats.org/spreadsheetml/2006/main" xmlns:r="http://schemas.openxmlformats.org/officeDocument/2006/relationships">
  <dimension ref="A1:F3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D0001-SGP-AVISA Accelerated varietal improvement and seed delivery of legumes and cereals in Africa</v>
      </c>
      <c r="B2" s="19" t="str">
        <v>AOW00</v>
      </c>
      <c r="C2" s="18" t="str">
        <v xml:space="preserve">IOC5 Equitable access to improved varieties </v>
      </c>
      <c r="D2" s="19">
        <v>0</v>
      </c>
      <c r="E2" s="19" t="str">
        <f>=SUM(D2:D5)</f>
        <v>0</v>
      </c>
    </row>
    <row r="3" ht="30" customHeight="1">
      <c r="A3" s="18" t="str">
        <v>D0001-SGP-AVISA Accelerated varietal improvement and seed delivery of legumes and cereals in Africa</v>
      </c>
      <c r="B3" s="19" t="str">
        <v>AOW05</v>
      </c>
      <c r="C3" s="18" t="str">
        <v>HLO21.AOW5.IO3 Improve management</v>
      </c>
      <c r="D3" s="19">
        <v>0</v>
      </c>
    </row>
    <row r="4" ht="30" customHeight="1">
      <c r="A4" s="18" t="str">
        <v>D0001-SGP-AVISA Accelerated varietal improvement and seed delivery of legumes and cereals in Africa</v>
      </c>
      <c r="B4" s="19" t="str">
        <v>AOW02</v>
      </c>
      <c r="C4" s="18" t="str">
        <v>HLO8.AOW2.IO2 Discover genetic potential</v>
      </c>
      <c r="D4" s="19">
        <v>0</v>
      </c>
    </row>
    <row r="5" ht="30" customHeight="1">
      <c r="A5" s="18" t="str">
        <v>D0001-SGP-AVISA Accelerated varietal improvement and seed delivery of legumes and cereals in Africa</v>
      </c>
      <c r="B5" s="19" t="str">
        <v>AOW03</v>
      </c>
      <c r="C5" s="18" t="str">
        <v>HLO11.AOW3.IO4 Position for demand</v>
      </c>
      <c r="D5" s="19">
        <v>0</v>
      </c>
    </row>
    <row r="6" ht="30" customHeight="1">
      <c r="A6" s="18" t="str">
        <v>D0006-VACS Crop Improvement Coalition</v>
      </c>
      <c r="B6" s="19" t="str">
        <v>AOW00</v>
      </c>
      <c r="C6" s="18" t="str">
        <v xml:space="preserve">IOC5 Equitable access to improved varieties </v>
      </c>
      <c r="D6" s="19">
        <v>0</v>
      </c>
      <c r="E6" s="19" t="str">
        <f>=SUM(D6:D9)</f>
        <v>0</v>
      </c>
    </row>
    <row r="7" ht="30" customHeight="1">
      <c r="A7" s="18" t="str">
        <v>D0006-VACS Crop Improvement Coalition</v>
      </c>
      <c r="B7" s="19" t="str">
        <v>AOW05</v>
      </c>
      <c r="C7" s="18" t="str">
        <v>HLO21.AOW5.IO3 Improve management</v>
      </c>
      <c r="D7" s="19">
        <v>0</v>
      </c>
    </row>
    <row r="8" ht="30" customHeight="1">
      <c r="A8" s="18" t="str">
        <v>D0006-VACS Crop Improvement Coalition</v>
      </c>
      <c r="B8" s="19" t="str">
        <v>AOW02</v>
      </c>
      <c r="C8" s="18" t="str">
        <v>HLO9.AOW2.IO2 Create products</v>
      </c>
      <c r="D8" s="19">
        <v>0</v>
      </c>
    </row>
    <row r="9" ht="30" customHeight="1">
      <c r="A9" s="18" t="str">
        <v>D0006-VACS Crop Improvement Coalition</v>
      </c>
      <c r="B9" s="19" t="str">
        <v>AOW03</v>
      </c>
      <c r="C9" s="18" t="str">
        <v>HLO11.AOW3.IO4 Position for demand</v>
      </c>
      <c r="D9" s="19">
        <v>0</v>
      </c>
    </row>
    <row r="10" ht="30" customHeight="1">
      <c r="A10" s="18" t="str">
        <v>S0003 -Piloting a Private-Public Genotyping Consortium for Crops in LMICs</v>
      </c>
      <c r="B10" s="19" t="str">
        <v>AOW00</v>
      </c>
      <c r="C10" s="18" t="str">
        <v xml:space="preserve">IOC5 Equitable access to improved varieties </v>
      </c>
      <c r="D10" s="19">
        <v>0</v>
      </c>
      <c r="E10" s="19" t="str">
        <f>=SUM(D10:D12)</f>
        <v>0</v>
      </c>
    </row>
    <row r="11" ht="30" customHeight="1">
      <c r="A11" s="18" t="str">
        <v>S0003 -Piloting a Private-Public Genotyping Consortium for Crops in LMICs</v>
      </c>
      <c r="B11" s="19" t="str">
        <v>AOW05</v>
      </c>
      <c r="C11" s="18" t="str">
        <v>HLO22.AOW5.IO5 Exchange genetic resources</v>
      </c>
      <c r="D11" s="19">
        <v>0</v>
      </c>
    </row>
    <row r="12" ht="30" customHeight="1">
      <c r="A12" s="18" t="str">
        <v>S0003 -Piloting a Private-Public Genotyping Consortium for Crops in LMICs</v>
      </c>
      <c r="B12" s="19" t="str">
        <v>AOW02</v>
      </c>
      <c r="C12" s="18" t="str">
        <v>HLO8.AOW2.IO2 Discover genetic potential</v>
      </c>
      <c r="D12" s="19">
        <v>0</v>
      </c>
    </row>
    <row r="13" ht="30" customHeight="1">
      <c r="A13" s="18" t="str">
        <v>R0218-Accelerating Genetic Gains in Maize &amp; Wheat (DFID-DF</v>
      </c>
      <c r="B13" s="19" t="str">
        <v>AOW00</v>
      </c>
      <c r="C13" s="18" t="str">
        <v xml:space="preserve">IOC5 Equitable access to improved varieties </v>
      </c>
      <c r="D13" s="19">
        <v>0</v>
      </c>
      <c r="E13" s="19" t="str">
        <f>=SUM(D13:D15)</f>
        <v>0</v>
      </c>
    </row>
    <row r="14" ht="30" customHeight="1">
      <c r="A14" s="18" t="str">
        <v>R0218-Accelerating Genetic Gains in Maize &amp; Wheat (DFID-DF</v>
      </c>
      <c r="B14" s="19" t="str">
        <v>AOW02</v>
      </c>
      <c r="C14" s="18" t="str">
        <v>HLO7.AOW2.IO2 Accelerating genetic gain</v>
      </c>
      <c r="D14" s="19">
        <v>0</v>
      </c>
    </row>
    <row r="15" ht="30" customHeight="1">
      <c r="A15" s="18" t="str">
        <v>R0218-Accelerating Genetic Gains in Maize &amp; Wheat (DFID-DF</v>
      </c>
      <c r="B15" s="19" t="str">
        <v>AOW03</v>
      </c>
      <c r="C15" s="18" t="str">
        <v>HLO11.AOW3.IO4 Position for demand</v>
      </c>
      <c r="D15" s="19">
        <v>0</v>
      </c>
    </row>
    <row r="16" ht="30" customHeight="1">
      <c r="A16" s="18" t="str">
        <v>R0235-USAID-VACS BT Pigeon Pea</v>
      </c>
      <c r="B16" s="19" t="str">
        <v>AOW00</v>
      </c>
      <c r="C16" s="18" t="str">
        <v>IOC3 Cost-effective product development by Breeding Networks.</v>
      </c>
      <c r="D16" s="19">
        <v>0</v>
      </c>
      <c r="E16" s="19" t="str">
        <f>=SUM(D16:D16)</f>
        <v>0</v>
      </c>
    </row>
    <row r="17" ht="30" customHeight="1">
      <c r="A17" s="18" t="str">
        <v>R0223-Mining useful alleles for climate change adaptation</v>
      </c>
      <c r="B17" s="19" t="str">
        <v>AOW00</v>
      </c>
      <c r="C17" s="18" t="str">
        <v>IOC3 Cost-effective product development by Breeding Networks.</v>
      </c>
      <c r="D17" s="19">
        <v>0</v>
      </c>
      <c r="E17" s="19" t="str">
        <f>=SUM(D17:D19)</f>
        <v>0</v>
      </c>
    </row>
    <row r="18" ht="30" customHeight="1">
      <c r="A18" s="18" t="str">
        <v>R0223-Mining useful alleles for climate change adaptation</v>
      </c>
      <c r="B18" s="19" t="str">
        <v>AOW04</v>
      </c>
      <c r="C18" s="18" t="str">
        <v>HLO17.AOW4.IO3 FAIR principles</v>
      </c>
      <c r="D18" s="19">
        <v>0</v>
      </c>
    </row>
    <row r="19" ht="30" customHeight="1">
      <c r="A19" s="18" t="str">
        <v>R0223-Mining useful alleles for climate change adaptation</v>
      </c>
      <c r="B19" s="19" t="str">
        <v>AOW02</v>
      </c>
      <c r="C19" s="18" t="str">
        <v>HLO8.AOW2.IO2 Discover genetic potential</v>
      </c>
      <c r="D19" s="19">
        <v>0</v>
      </c>
    </row>
    <row r="20" ht="30" customHeight="1">
      <c r="A20" s="18" t="str">
        <v>I0001 - SGP-BMI Genetic Innovation Transition Plan</v>
      </c>
      <c r="B20" s="19" t="str">
        <v>AOW00</v>
      </c>
      <c r="C20" s="18" t="str">
        <v>IOC3 Cost-effective product development by Breeding Networks.</v>
      </c>
      <c r="D20" s="19">
        <v>0</v>
      </c>
      <c r="E20" s="19" t="str">
        <f>=SUM(D20:D23)</f>
        <v>0</v>
      </c>
    </row>
    <row r="21" ht="30" customHeight="1">
      <c r="A21" s="18" t="str">
        <v>I0001 - SGP-BMI Genetic Innovation Transition Plan</v>
      </c>
      <c r="B21" s="19" t="str">
        <v>AOW04</v>
      </c>
      <c r="C21" s="18" t="str">
        <v>HLO17.AOW4.IO3 FAIR principles</v>
      </c>
      <c r="D21" s="19">
        <v>0</v>
      </c>
    </row>
    <row r="22" ht="30" customHeight="1">
      <c r="A22" s="18" t="str">
        <v>I0001 - SGP-BMI Genetic Innovation Transition Plan</v>
      </c>
      <c r="B22" s="19" t="str">
        <v>AOW05</v>
      </c>
      <c r="C22" s="18" t="str">
        <v>HLO21.AOW5.IO3 Improve management</v>
      </c>
      <c r="D22" s="19">
        <v>0</v>
      </c>
    </row>
    <row r="23" ht="30" customHeight="1">
      <c r="A23" s="18" t="str">
        <v>I0001 - SGP-BMI Genetic Innovation Transition Plan</v>
      </c>
      <c r="B23" s="19" t="str">
        <v>AOW02</v>
      </c>
      <c r="C23" s="18" t="str">
        <v>HLO7.AOW2.IO2 Accelerating genetic gain</v>
      </c>
      <c r="D23" s="19">
        <v>0</v>
      </c>
    </row>
    <row r="24" ht="30" customHeight="1">
      <c r="A24" s="18" t="str">
        <v>W0516 W-Shandong Maize and wheat production caused by abiotic an biotic stresses and Global climate chan</v>
      </c>
      <c r="B24" s="19" t="str">
        <v>AOW05</v>
      </c>
      <c r="C24" s="18" t="str">
        <v>HLO18.AOW5.IO2 Partnered networks</v>
      </c>
      <c r="D24" s="19">
        <v>0</v>
      </c>
      <c r="E24" s="19" t="str">
        <f>=SUM(D24:D26)</f>
        <v>0</v>
      </c>
    </row>
    <row r="25" ht="30" customHeight="1">
      <c r="A25" s="18" t="str">
        <v>W0516 W-Shandong Maize and wheat production caused by abiotic an biotic stresses and Global climate chan</v>
      </c>
      <c r="B25" s="19" t="str">
        <v>AOW00</v>
      </c>
      <c r="C25" s="18" t="str">
        <v xml:space="preserve">IOC2 - Active collaboration to develop products </v>
      </c>
      <c r="D25" s="19">
        <v>0</v>
      </c>
    </row>
    <row r="26" ht="30" customHeight="1">
      <c r="A26" s="18" t="str">
        <v>W0516 W-Shandong Maize and wheat production caused by abiotic an biotic stresses and Global climate chan</v>
      </c>
      <c r="B26" s="19" t="str">
        <v>AOW02</v>
      </c>
      <c r="C26" s="18" t="str">
        <v>HLO7.AOW2.IO2 Accelerating genetic gain</v>
      </c>
      <c r="D26" s="19">
        <v>0</v>
      </c>
    </row>
    <row r="27" ht="30" customHeight="1">
      <c r="A27" s="18" t="str">
        <v>M0369-1000Farms-MaizeSelect</v>
      </c>
      <c r="B27" s="19" t="str">
        <v>AOW00</v>
      </c>
      <c r="C27" s="18" t="str">
        <v xml:space="preserve">IOC2 - Active collaboration to develop products </v>
      </c>
      <c r="D27" s="19">
        <v>0</v>
      </c>
      <c r="E27" s="19" t="str">
        <f>=SUM(D27:D28)</f>
        <v>0</v>
      </c>
    </row>
    <row r="28" ht="30" customHeight="1">
      <c r="A28" s="18" t="str">
        <v>M0369-1000Farms-MaizeSelect</v>
      </c>
      <c r="B28" s="19" t="str">
        <v>AOW02</v>
      </c>
      <c r="C28" s="18" t="str">
        <v>HLO7.AOW2.IO2 Accelerating genetic gain</v>
      </c>
      <c r="D28" s="19">
        <v>0</v>
      </c>
    </row>
    <row r="29" ht="30" customHeight="1">
      <c r="A29" s="18" t="str">
        <v>W0500-Verify global potential of biologic. Nitrific. inhib</v>
      </c>
      <c r="B29" s="19" t="str">
        <v>AOW00</v>
      </c>
      <c r="C29" s="18" t="str">
        <v xml:space="preserve">IOC2 - Active collaboration to develop products </v>
      </c>
      <c r="D29" s="19">
        <v>0</v>
      </c>
      <c r="E29" s="19" t="str">
        <f>=SUM(D29:D30)</f>
        <v>0</v>
      </c>
    </row>
    <row r="30" ht="30" customHeight="1">
      <c r="A30" s="18" t="str">
        <v>W0500-Verify global potential of biologic. Nitrific. inhib</v>
      </c>
      <c r="B30" s="19" t="str">
        <v>AOW02</v>
      </c>
      <c r="C30" s="18" t="str">
        <v>HLO9.AOW2.IO2 Create products</v>
      </c>
      <c r="D30" s="19">
        <v>0</v>
      </c>
    </row>
    <row r="31" ht="30" customHeight="1">
      <c r="A31" s="18" t="str">
        <v>M0377-VACS Quick Wins Project</v>
      </c>
      <c r="B31" s="19" t="str">
        <v>AOW00</v>
      </c>
      <c r="C31" s="18" t="str">
        <v xml:space="preserve">IOC2 - Active collaboration to develop products </v>
      </c>
      <c r="D31" s="19">
        <v>0</v>
      </c>
      <c r="E31" s="19" t="str">
        <f>=SUM(D31:D31)</f>
        <v>0</v>
      </c>
    </row>
    <row r="32" ht="30" customHeight="1">
      <c r="A32" s="18" t="str">
        <v>R0230-Mining useful alleles for climate change adaptation</v>
      </c>
      <c r="B32" s="19" t="str">
        <v>AOW00</v>
      </c>
      <c r="C32" s="18" t="str">
        <v xml:space="preserve">IOC2 - Active collaboration to develop products </v>
      </c>
      <c r="D32" s="19">
        <v>0</v>
      </c>
      <c r="E32" s="19" t="str">
        <f>=SUM(D32:D32)</f>
        <v>0</v>
      </c>
    </row>
    <row r="33" ht="30" customHeight="1">
      <c r="A33" s="3" t="str">
        <v>W3/Bilateral projects subtotal</v>
      </c>
      <c r="E33" s="3">
        <f>SUM(E2:E32)</f>
      </c>
    </row>
  </sheetData>
  <mergeCells count="19">
    <mergeCell ref="A2:A5"/>
    <mergeCell ref="A6:A9"/>
    <mergeCell ref="A10:A12"/>
    <mergeCell ref="A13:A15"/>
    <mergeCell ref="A17:A19"/>
    <mergeCell ref="A20:A23"/>
    <mergeCell ref="A24:A26"/>
    <mergeCell ref="A27:A28"/>
    <mergeCell ref="A29:A30"/>
    <mergeCell ref="E2:E5"/>
    <mergeCell ref="E6:E9"/>
    <mergeCell ref="E10:E12"/>
    <mergeCell ref="E13:E15"/>
    <mergeCell ref="E17:E19"/>
    <mergeCell ref="E20:E23"/>
    <mergeCell ref="E24:E26"/>
    <mergeCell ref="E27:E28"/>
    <mergeCell ref="E29:E30"/>
    <mergeCell ref="A33:D33"/>
  </mergeCells>
  <ignoredErrors>
    <ignoredError numberStoredAsText="1" sqref="A1:F3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189636</v>
      </c>
      <c r="E2" s="20">
        <v>252790</v>
      </c>
      <c r="F2" s="20">
        <v>0</v>
      </c>
      <c r="G2" s="20">
        <v>0</v>
      </c>
      <c r="H2" s="20" t="str">
        <f>=SUM(B2:G2)</f>
        <v>0</v>
      </c>
    </row>
    <row r="3" ht="20" customHeight="1">
      <c r="A3" s="20" t="str">
        <v>Operations (supplies, consultants, travels, workshops, other)</v>
      </c>
      <c r="B3" s="20">
        <v>150000</v>
      </c>
      <c r="C3" s="20">
        <v>40800</v>
      </c>
      <c r="D3" s="20">
        <v>1159037</v>
      </c>
      <c r="E3" s="20">
        <v>353349</v>
      </c>
      <c r="F3" s="20">
        <v>340721</v>
      </c>
      <c r="G3" s="20">
        <v>401787</v>
      </c>
      <c r="H3" s="20" t="str">
        <f>=SUM(B3:G3)</f>
        <v>0</v>
      </c>
    </row>
    <row r="4" ht="20" customHeight="1">
      <c r="A4" s="20" t="str">
        <v>Staffing, Chargebacks and Indirect</v>
      </c>
      <c r="B4" s="20">
        <v>110000</v>
      </c>
      <c r="C4" s="20">
        <v>230481</v>
      </c>
      <c r="D4" s="20">
        <v>1686207</v>
      </c>
      <c r="E4" s="20">
        <v>327578</v>
      </c>
      <c r="F4" s="20">
        <v>1444682</v>
      </c>
      <c r="G4" s="20">
        <v>132000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