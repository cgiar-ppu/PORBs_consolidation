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5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 wrapText="true"/>
    </xf>
    <xf numFmtId="0" fontId="11" fillId="11" borderId="10" xfId="0" applyFont="1" applyFill="1" applyBorder="1" applyAlignment="1">
      <alignment horizontal="center" vertical="center" wrapText="true"/>
    </xf>
    <xf numFmtId="1" fontId="0" fillId="0" borderId="11" xfId="0" applyBorder="1" applyNumberFormat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1" fontId="13" fillId="13" borderId="12" xfId="0" applyFont="1" applyFill="1" applyBorder="1" applyNumberFormat="1" applyAlignment="1">
      <alignment horizontal="center" vertical="center"/>
    </xf>
    <xf numFmtId="1" fontId="14" fillId="14" borderId="13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425100</v>
      </c>
      <c r="M4" s="5">
        <v>0</v>
      </c>
    </row>
    <row r="5" ht="20" customHeight="1">
      <c r="A5" s="2" t="str">
        <v>AOW01: Biodiversity Conservation</v>
      </c>
      <c r="B5" s="2">
        <v>0</v>
      </c>
      <c r="C5" s="5">
        <v>0</v>
      </c>
      <c r="D5" s="2">
        <v>0</v>
      </c>
      <c r="E5" s="5">
        <v>0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</row>
    <row r="6" ht="20" customHeight="1">
      <c r="A6" s="2" t="str">
        <v>AOW02: Strategic User Engagement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Genetic Resources Policy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Germplasm Health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Strengthening Capacity for In Situ and Ex Situ Conservation Globally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5" customHeight="1">
      <c r="A10" s="6" t="str">
        <v>Total</v>
      </c>
      <c r="B10" s="7">
        <f>SUM(B4:B9)</f>
      </c>
      <c r="C10" s="7">
        <f>SUM(C4:C9)</f>
      </c>
      <c r="D10" s="7">
        <f>SUM(D4:D9)</f>
      </c>
      <c r="E10" s="7">
        <f>SUM(E4:E9)</f>
      </c>
      <c r="F10" s="7">
        <f>SUM(F4:F9)</f>
      </c>
      <c r="G10" s="7">
        <f>SUM(G4:G9)</f>
      </c>
      <c r="H10" s="7">
        <f>SUM(H4:H9)</f>
      </c>
      <c r="I10" s="7">
        <f>SUM(I4:I9)</f>
      </c>
      <c r="J10" s="7">
        <f>SUM(J4:J9)</f>
      </c>
      <c r="K10" s="7">
        <f>SUM(K4:K9)</f>
      </c>
      <c r="L10" s="7">
        <f>SUM(L4:L9)</f>
      </c>
      <c r="M10" s="7">
        <f>SUM(M4:M9)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AoW Lead</v>
      </c>
      <c r="D2" s="11">
        <v>270000</v>
      </c>
      <c r="E2" s="11" t="str">
        <v>Personnel costs as per standard organizational scales.</v>
      </c>
    </row>
    <row r="3" ht="45" customHeight="1">
      <c r="A3" s="11" t="str">
        <v>AOW00</v>
      </c>
      <c r="B3" s="11" t="str">
        <v>Discretionary Funds</v>
      </c>
      <c r="D3" s="11">
        <v>155100</v>
      </c>
      <c r="E3" s="11" t="str">
        <v>Use of these funds to be determined in consultation with Genebanks Management team..</v>
      </c>
    </row>
    <row r="4" ht="45" customHeight="1">
      <c r="A4" s="11" t="str">
        <v>AOW00</v>
      </c>
      <c r="B4" s="11" t="str">
        <v>Annual planning + consultation + communications</v>
      </c>
      <c r="D4" s="11">
        <v>0</v>
      </c>
    </row>
    <row r="5" ht="45" customHeight="1">
      <c r="A5" s="11" t="str">
        <v>AOW00</v>
      </c>
      <c r="B5" s="11" t="str">
        <v>Admin Assistant</v>
      </c>
      <c r="C5" s="11" t="str">
        <v>Admin support to be shared with 2 SPs.</v>
      </c>
      <c r="D5" s="11">
        <v>0</v>
      </c>
    </row>
    <row r="6" ht="45" customHeight="1">
      <c r="A6" s="11" t="str">
        <v>AOW00</v>
      </c>
      <c r="B6" s="11" t="str">
        <v>PMU (Coordinator, MELIA, Communication, Finance)</v>
      </c>
      <c r="D6" s="11">
        <v>0</v>
      </c>
    </row>
    <row r="7" ht="45" customHeight="1">
      <c r="A7" s="11" t="str">
        <v>AOW00</v>
      </c>
      <c r="B7" s="11" t="str">
        <v>Director costs</v>
      </c>
      <c r="D7" s="11">
        <v>0</v>
      </c>
    </row>
  </sheetData>
  <mergeCells count="1">
    <mergeCell ref="A2:A7"/>
  </mergeCells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</sheetData>
  <mergeCells count="5">
    <mergeCell ref="A1:A2"/>
    <mergeCell ref="B1:B2"/>
    <mergeCell ref="C1:G1"/>
    <mergeCell ref="H1:H2"/>
    <mergeCell ref="I1:I2"/>
  </mergeCells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Project title</v>
      </c>
      <c r="B1" s="14" t="str">
        <v>AOW</v>
      </c>
      <c r="C1" s="14" t="str">
        <v>High Level Outputs</v>
      </c>
      <c r="D1" s="14" t="str">
        <v>Budget (USD)</v>
      </c>
      <c r="E1" s="14" t="str">
        <v>Total budget (USD)</v>
      </c>
      <c r="F1" s="14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3" t="str">
        <v>MELIA study</v>
      </c>
      <c r="B1" s="13" t="str">
        <v>AOW</v>
      </c>
      <c r="C1" s="13" t="str">
        <v>Supported outcomes</v>
      </c>
      <c r="D1" s="13" t="str">
        <v>AOW budget (USD)</v>
      </c>
      <c r="E1" s="13" t="str">
        <v>Total budget (USD)</v>
      </c>
      <c r="F1" s="13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Total budget (USD)</v>
      </c>
    </row>
    <row r="2" ht="20" customHeight="1">
      <c r="A2" s="15" t="str">
        <v>Collaborators non-CGIAR centers</v>
      </c>
      <c r="B2" s="15">
        <v>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H2" s="15" t="str">
        <f>=SUM(B2:G2)</f>
        <v>0</v>
      </c>
    </row>
    <row r="3" ht="20" customHeight="1">
      <c r="A3" s="15" t="str">
        <v>Operations (supplies, consultants, travels, workshops, other)</v>
      </c>
      <c r="B3" s="15">
        <v>155100</v>
      </c>
      <c r="C3" s="15">
        <v>0</v>
      </c>
      <c r="D3" s="15">
        <v>0</v>
      </c>
      <c r="E3" s="15">
        <v>0</v>
      </c>
      <c r="F3" s="15">
        <v>0</v>
      </c>
      <c r="G3" s="15">
        <v>0</v>
      </c>
      <c r="H3" s="15" t="str">
        <f>=SUM(B3:G3)</f>
        <v>0</v>
      </c>
    </row>
    <row r="4" ht="20" customHeight="1">
      <c r="A4" s="15" t="str">
        <v>Staffing, Chargebacks and Indirect</v>
      </c>
      <c r="B4" s="15">
        <v>270000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 t="str">
        <f>=SUM(B4:G4)</f>
        <v>0</v>
      </c>
    </row>
    <row r="5" ht="20" customHeight="1">
      <c r="A5" s="16" t="str">
        <v>Subtotal</v>
      </c>
      <c r="B5" s="17" t="str">
        <f>=SUM(B2:B4)</f>
        <v>0</v>
      </c>
      <c r="C5" s="18" t="str">
        <f>=SUM(C2:C4)</f>
        <v>0</v>
      </c>
      <c r="D5" s="18" t="str">
        <f>=SUM(D2:D4)</f>
        <v>0</v>
      </c>
      <c r="E5" s="18" t="str">
        <f>=SUM(E2:E4)</f>
        <v>0</v>
      </c>
      <c r="F5" s="18" t="str">
        <f>=SUM(F2:F4)</f>
        <v>0</v>
      </c>
      <c r="G5" s="18" t="str">
        <f>=SUM(G2:G4)</f>
        <v>0</v>
      </c>
      <c r="H5" s="18" t="str">
        <f>=SUM(H2:H4)</f>
        <v>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