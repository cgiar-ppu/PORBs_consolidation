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39</v>
      </c>
      <c r="C5" s="5">
        <v>653372</v>
      </c>
      <c r="D5" s="2">
        <v>13</v>
      </c>
      <c r="E5" s="5">
        <v>241850</v>
      </c>
      <c r="F5" s="2">
        <v>4</v>
      </c>
      <c r="G5" s="5">
        <v>30000</v>
      </c>
      <c r="H5" s="2">
        <v>24</v>
      </c>
      <c r="I5" s="5">
        <v>241400</v>
      </c>
      <c r="J5" s="5">
        <v>0</v>
      </c>
      <c r="K5" s="5">
        <v>0</v>
      </c>
      <c r="L5" s="5">
        <v>1166622</v>
      </c>
      <c r="M5" s="5">
        <v>1677387</v>
      </c>
    </row>
    <row r="6" ht="20" customHeight="1">
      <c r="A6" s="2" t="str">
        <v>AOW02: Landscape Optimization and Inclusive Planning</v>
      </c>
      <c r="B6" s="2">
        <v>8</v>
      </c>
      <c r="C6" s="5">
        <v>269750</v>
      </c>
      <c r="D6" s="2">
        <v>7</v>
      </c>
      <c r="E6" s="5">
        <v>218968</v>
      </c>
      <c r="F6" s="2">
        <v>0</v>
      </c>
      <c r="G6" s="5">
        <v>0</v>
      </c>
      <c r="H6" s="2">
        <v>34</v>
      </c>
      <c r="I6" s="5">
        <v>204416</v>
      </c>
      <c r="J6" s="5">
        <v>0</v>
      </c>
      <c r="K6" s="5">
        <v>0</v>
      </c>
      <c r="L6" s="5">
        <v>693134</v>
      </c>
      <c r="M6" s="5">
        <v>100000</v>
      </c>
    </row>
    <row r="7" ht="20" customHeight="1">
      <c r="A7" s="2" t="str">
        <v>AOW03: Business Models, Markets, and Sustainable Finance</v>
      </c>
      <c r="B7" s="2">
        <v>13</v>
      </c>
      <c r="C7" s="5">
        <v>292877</v>
      </c>
      <c r="D7" s="2">
        <v>17</v>
      </c>
      <c r="E7" s="5">
        <v>258248</v>
      </c>
      <c r="F7" s="2">
        <v>0</v>
      </c>
      <c r="G7" s="5">
        <v>0</v>
      </c>
      <c r="H7" s="2">
        <v>467</v>
      </c>
      <c r="I7" s="5">
        <v>253397</v>
      </c>
      <c r="J7" s="5">
        <v>0</v>
      </c>
      <c r="K7" s="5">
        <v>0</v>
      </c>
      <c r="L7" s="5">
        <v>804522</v>
      </c>
      <c r="M7" s="5">
        <v>3241582</v>
      </c>
    </row>
    <row r="8" ht="20" customHeight="1">
      <c r="A8" s="2" t="str">
        <v>AOW04: Governance, Institutions, Policy, and Inclusion</v>
      </c>
      <c r="B8" s="2">
        <v>1</v>
      </c>
      <c r="C8" s="5">
        <v>32814</v>
      </c>
      <c r="D8" s="2">
        <v>19</v>
      </c>
      <c r="E8" s="5">
        <v>343076</v>
      </c>
      <c r="F8" s="2">
        <v>120</v>
      </c>
      <c r="G8" s="5">
        <v>32814</v>
      </c>
      <c r="H8" s="2">
        <v>0</v>
      </c>
      <c r="I8" s="5">
        <v>0</v>
      </c>
      <c r="J8" s="5">
        <v>0</v>
      </c>
      <c r="K8" s="5">
        <v>0</v>
      </c>
      <c r="L8" s="5">
        <v>408704</v>
      </c>
      <c r="M8" s="5">
        <v>203966</v>
      </c>
    </row>
    <row r="9" ht="20" customHeight="1">
      <c r="A9" s="2" t="str">
        <v>AOW05: Performance Assessments &amp; Evidence Generation</v>
      </c>
      <c r="B9" s="2">
        <v>5</v>
      </c>
      <c r="C9" s="5">
        <v>177716</v>
      </c>
      <c r="D9" s="2">
        <v>7</v>
      </c>
      <c r="E9" s="5">
        <v>214020</v>
      </c>
      <c r="F9" s="2">
        <v>0</v>
      </c>
      <c r="G9" s="5">
        <v>0</v>
      </c>
      <c r="H9" s="2">
        <v>1</v>
      </c>
      <c r="I9" s="5">
        <v>204176</v>
      </c>
      <c r="J9" s="5">
        <v>0</v>
      </c>
      <c r="K9" s="5">
        <v>167964</v>
      </c>
      <c r="L9" s="5">
        <v>763876</v>
      </c>
      <c r="M9" s="5">
        <v>305541</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7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AI-powered precision advisory for pest and disease detection, input optimization, soil conservation, yield improvement and stability, and accurate forecasting of offtake volumes and market prices.
Indicator: Number of comprehensive AI-enabled DST</v>
      </c>
      <c r="D3" s="11" t="str">
        <v>Number of innovations (innovation development)</v>
      </c>
      <c r="E3" s="11" t="str">
        <v>Country: Ethiopia, Kenya</v>
      </c>
      <c r="F3" s="11">
        <v>2</v>
      </c>
      <c r="G3" s="11">
        <v>96000</v>
      </c>
      <c r="H3" s="11">
        <f>SUM(G3:G11)</f>
      </c>
      <c r="I3" s="11" t="str">
        <v>.</v>
      </c>
    </row>
    <row r="4" ht="50" customHeight="1" xml:space="preserve">
      <c r="A4" s="11" t="str">
        <v>AOW01</v>
      </c>
      <c r="C4" s="11" t="str" xml:space="preserve">
        <v xml:space="preserve">Deliverable - Harmonized digital agronomic data collection system that enables consistent, comparable field data across sites and partners.
Indicator: Number of sites where harmonized digital agronomic data collection system is implemented</v>
      </c>
      <c r="D4" s="11" t="str">
        <v>Number of innovations (innovation development)</v>
      </c>
      <c r="E4" s="11" t="str">
        <v>Country: Ethiopia, Kenya, Colombia, Peru, Zimbabwe, Senegal</v>
      </c>
      <c r="F4" s="11">
        <v>6</v>
      </c>
      <c r="G4" s="11">
        <v>25000</v>
      </c>
      <c r="I4" s="11" t="str">
        <v>.</v>
      </c>
    </row>
    <row r="5" ht="50" customHeight="1" xml:space="preserve">
      <c r="A5" s="11" t="str">
        <v>AOW01</v>
      </c>
      <c r="C5" s="11" t="str" xml:space="preserve">
        <v xml:space="preserve">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v>
      </c>
      <c r="D5" s="11" t="str">
        <v>Number of knowledge products</v>
      </c>
      <c r="E5" s="11" t="str">
        <v>Country: Zimbabwe, Kenya, Colombia, Peru, Ethiopia, Senegal</v>
      </c>
      <c r="F5" s="11">
        <v>6</v>
      </c>
      <c r="G5" s="11">
        <v>25000</v>
      </c>
      <c r="I5" s="11" t="str">
        <v>.</v>
      </c>
    </row>
    <row r="6" ht="50" customHeight="1" xml:space="preserve">
      <c r="A6" s="11" t="str">
        <v>AOW01</v>
      </c>
      <c r="C6" s="11" t="str" xml:space="preserve">
        <v xml:space="preserve">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v>
      </c>
      <c r="D6" s="11" t="str">
        <v>Number of knowledge products</v>
      </c>
      <c r="E6" s="11" t="str">
        <v>Country: Colombia</v>
      </c>
      <c r="F6" s="11">
        <v>2</v>
      </c>
      <c r="G6" s="11">
        <v>53250</v>
      </c>
      <c r="I6" s="11" t="str">
        <v>.</v>
      </c>
    </row>
    <row r="7" ht="50" customHeight="1" xml:space="preserve">
      <c r="A7" s="11" t="str">
        <v>AOW01</v>
      </c>
      <c r="C7" s="11" t="str" xml:space="preserve">
        <v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v>
      </c>
      <c r="D7" s="11" t="str">
        <v xml:space="preserve"> Number of landscapes with comprehensive opportunity crop assessment </v>
      </c>
      <c r="E7" s="11" t="str">
        <v>Country: Ethiopia, Peru</v>
      </c>
      <c r="F7" s="11">
        <v>1</v>
      </c>
      <c r="G7" s="11">
        <v>28400</v>
      </c>
      <c r="I7" s="11" t="str">
        <v>.</v>
      </c>
    </row>
    <row r="8" ht="50" customHeight="1" xml:space="preserve">
      <c r="A8" s="11" t="str">
        <v>AOW01</v>
      </c>
      <c r="C8" s="11" t="str" xml:space="preserve">
        <v xml:space="preserve">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v>
      </c>
      <c r="D8" s="11" t="str">
        <v>Number of knowledge products</v>
      </c>
      <c r="E8" s="11" t="str">
        <v>Country: Ethiopia, Peru</v>
      </c>
      <c r="F8" s="11">
        <v>3</v>
      </c>
      <c r="G8" s="11">
        <v>42600</v>
      </c>
      <c r="I8" s="11" t="str">
        <v>.</v>
      </c>
    </row>
    <row r="9" ht="50" customHeight="1" xml:space="preserve">
      <c r="A9" s="11" t="str">
        <v>AOW01</v>
      </c>
      <c r="C9" s="11" t="str" xml:space="preserve">
        <v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v>
      </c>
      <c r="D9" s="11" t="str">
        <v>Number of knowledge products</v>
      </c>
      <c r="E9" s="11" t="str">
        <v>Country: Peru, Colombia</v>
      </c>
      <c r="F9" s="11">
        <v>2</v>
      </c>
      <c r="G9" s="11">
        <v>121000</v>
      </c>
      <c r="I9" s="11" t="str">
        <v>.</v>
      </c>
    </row>
    <row r="10" ht="50" customHeight="1" xml:space="preserve">
      <c r="A10" s="11" t="str">
        <v>AOW01</v>
      </c>
      <c r="C10" s="11" t="str" xml:space="preserve">
        <v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v>
      </c>
      <c r="D10" s="11" t="str">
        <v>Number of innovations (innovation development)</v>
      </c>
      <c r="E10" s="11" t="str">
        <v>Country: The Socialist Republic of Viet Nam, Peru, Colombia</v>
      </c>
      <c r="F10" s="11">
        <v>3</v>
      </c>
      <c r="G10" s="11">
        <v>35500</v>
      </c>
      <c r="I10" s="11" t="str">
        <v>.</v>
      </c>
    </row>
    <row r="11" ht="50" customHeight="1" xml:space="preserve">
      <c r="A11" s="11" t="str">
        <v>AOW01</v>
      </c>
      <c r="C11" s="11" t="str" xml:space="preserve">
        <v xml:space="preserve">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v>
      </c>
      <c r="D11" s="11" t="str">
        <v>Number of innovations (innovation development)</v>
      </c>
      <c r="E11" s="11" t="str">
        <v>Country: Ethiopia</v>
      </c>
      <c r="F11" s="11">
        <v>1</v>
      </c>
      <c r="G11" s="11">
        <v>96000</v>
      </c>
      <c r="I11" s="11" t="str">
        <v>.</v>
      </c>
    </row>
    <row r="12" ht="50" customHeight="1" xml:space="preserve">
      <c r="A12" s="11" t="str">
        <v>AOW01</v>
      </c>
      <c r="B12" s="11" t="str">
        <v>OP 1.2.6. – Advisory &amp; training innovations</v>
      </c>
      <c r="C12" s="11" t="str" xml:space="preserve">
        <v xml:space="preserve">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v>
      </c>
      <c r="D12" s="11" t="str">
        <v>Number of innovations (innovation development)</v>
      </c>
      <c r="E12" s="11" t="str">
        <v>Global</v>
      </c>
      <c r="F12" s="11">
        <v>20</v>
      </c>
      <c r="G12" s="11">
        <v>236088</v>
      </c>
      <c r="H12" s="11">
        <f>SUM(G12:G17)</f>
      </c>
      <c r="I12" s="11" t="str">
        <v>.</v>
      </c>
    </row>
    <row r="13" ht="50" customHeight="1" xml:space="preserve">
      <c r="A13" s="11" t="str">
        <v>AOW01</v>
      </c>
      <c r="C13" s="11" t="str" xml:space="preserve">
        <v xml:space="preserve">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v>
      </c>
      <c r="D13" s="11" t="str">
        <v xml:space="preserve"> Number of schools involved in Multifunctional School Networks</v>
      </c>
      <c r="E13" s="11" t="str">
        <v>Country: Kenya</v>
      </c>
      <c r="F13" s="11">
        <v>20</v>
      </c>
      <c r="G13" s="11">
        <v>106500</v>
      </c>
      <c r="I13" s="11" t="str">
        <v>.</v>
      </c>
    </row>
    <row r="14" ht="50" customHeight="1" xml:space="preserve">
      <c r="A14" s="11" t="str">
        <v>AOW01</v>
      </c>
      <c r="C14" s="11" t="str" xml:space="preserve">
        <v xml:space="preserve">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v>
      </c>
      <c r="D14" s="11" t="str">
        <v xml:space="preserve"> Number of Farmer Research Networks established</v>
      </c>
      <c r="E14" s="11" t="str">
        <v>Country: Kenya</v>
      </c>
      <c r="F14" s="11">
        <v>3</v>
      </c>
      <c r="G14" s="11">
        <v>106500</v>
      </c>
      <c r="I14" s="11" t="str">
        <v>.</v>
      </c>
    </row>
    <row r="15" ht="50" customHeight="1" xml:space="preserve">
      <c r="A15" s="11" t="str">
        <v>AOW01</v>
      </c>
      <c r="C15" s="11" t="str" xml:space="preserve">
        <v xml:space="preserve">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v>
      </c>
      <c r="D15" s="11" t="str">
        <v>Number of people trained (capacity sharing for development)</v>
      </c>
      <c r="E15" s="11" t="str">
        <v>Country: Colombia, Peru, The Socialist Republic of Viet Nam, India, Kenya</v>
      </c>
      <c r="F15" s="11">
        <v>4</v>
      </c>
      <c r="G15" s="11">
        <v>30000</v>
      </c>
      <c r="I15" s="11" t="str">
        <v>.</v>
      </c>
    </row>
    <row r="16" ht="50" customHeight="1" xml:space="preserve">
      <c r="A16" s="11" t="str">
        <v>AOW01</v>
      </c>
      <c r="C16" s="11" t="str" xml:space="preserve">
        <v xml:space="preserve">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v>
      </c>
      <c r="D16" s="11" t="str">
        <v>Number of innovations (innovation development)</v>
      </c>
      <c r="E16" s="11" t="str">
        <v>Country: Colombia</v>
      </c>
      <c r="F16" s="11">
        <v>3</v>
      </c>
      <c r="G16" s="11">
        <v>31950</v>
      </c>
      <c r="I16" s="11" t="str">
        <v>.</v>
      </c>
    </row>
    <row r="17" ht="50" customHeight="1" xml:space="preserve">
      <c r="A17" s="11" t="str">
        <v>AOW01</v>
      </c>
      <c r="C17" s="11" t="str" xml:space="preserve">
        <v xml:space="preserve">Deliverable - Rural Advisory modules for tree-based systems for Agroecological and Nature+ transition 
Indicator: Number of advisory modules piloted on tree-based systems</v>
      </c>
      <c r="D17" s="11" t="str">
        <v>Number of innovations (innovation development)</v>
      </c>
      <c r="E17" s="11" t="str">
        <v>Country: Colombia, Peru</v>
      </c>
      <c r="F17" s="11">
        <v>4</v>
      </c>
      <c r="G17" s="11">
        <v>132834</v>
      </c>
      <c r="I17" s="11" t="str">
        <v>.</v>
      </c>
    </row>
    <row r="18" ht="25" customHeight="1">
      <c r="B18" s="14" t="str">
        <v>HLO budget subtotal</v>
      </c>
      <c r="H18" s="15">
        <f>SUM(H3:H17)</f>
      </c>
    </row>
    <row r="19" ht="50" customHeight="1" xml:space="preserve">
      <c r="A19" s="13" t="str">
        <v>AOW02</v>
      </c>
      <c r="B19" s="11" t="str">
        <v>OP 2.1.1. – Hotspot mapping &amp; characterization</v>
      </c>
      <c r="C19" s="11" t="str" xml:space="preserve">
        <v xml:space="preserve">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v>
      </c>
      <c r="D19" s="11" t="str">
        <v>Number of innovations (innovation development)</v>
      </c>
      <c r="E19" s="11" t="str">
        <v>Country: Tanzania, United Republic, Kenya</v>
      </c>
      <c r="F19" s="11">
        <v>2</v>
      </c>
      <c r="G19" s="11">
        <v>22222</v>
      </c>
      <c r="H19" s="11">
        <f>SUM(G19:G23)</f>
      </c>
      <c r="I19" s="11" t="str">
        <v>.</v>
      </c>
    </row>
    <row r="20" ht="50" customHeight="1" xml:space="preserve">
      <c r="A20" s="11" t="str">
        <v>AOW02</v>
      </c>
      <c r="C20" s="11" t="str" xml:space="preserve">
        <v xml:space="preserve">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v>
      </c>
      <c r="D20" s="11" t="str">
        <v>Number of knowledge products</v>
      </c>
      <c r="E20" s="11" t="str">
        <v>Country: Ethiopia, Kenya</v>
      </c>
      <c r="F20" s="11">
        <v>2</v>
      </c>
      <c r="G20" s="11">
        <v>24307</v>
      </c>
      <c r="I20" s="11" t="str">
        <v>.</v>
      </c>
    </row>
    <row r="21" ht="50" customHeight="1" xml:space="preserve">
      <c r="A21" s="11" t="str">
        <v>AOW02</v>
      </c>
      <c r="C21" s="11" t="str" xml:space="preserve">
        <v xml:space="preserve">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v>
      </c>
      <c r="D21" s="11" t="str">
        <v>Number of innovations (innovation development)</v>
      </c>
      <c r="E21" s="11" t="str">
        <v>Country: Ethiopia, Kenya</v>
      </c>
      <c r="F21" s="11">
        <v>1</v>
      </c>
      <c r="G21" s="11">
        <v>29168</v>
      </c>
      <c r="I21" s="11" t="str">
        <v>.</v>
      </c>
    </row>
    <row r="22" ht="50" customHeight="1" xml:space="preserve">
      <c r="A22" s="11" t="str">
        <v>AOW02</v>
      </c>
      <c r="C22" s="11" t="str" xml:space="preserve">
        <v xml:space="preserve">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v>
      </c>
      <c r="D22" s="11" t="str">
        <v>Number of knowledge products</v>
      </c>
      <c r="E22" s="11" t="str">
        <v>Country: Kenya, Ethiopia</v>
      </c>
      <c r="F22" s="11">
        <v>2</v>
      </c>
      <c r="G22" s="11">
        <v>29168</v>
      </c>
      <c r="I22" s="11" t="str">
        <v>.</v>
      </c>
    </row>
    <row r="23" ht="50" customHeight="1" xml:space="preserve">
      <c r="A23" s="11" t="str">
        <v>AOW02</v>
      </c>
      <c r="C23" s="11" t="str" xml:space="preserve">
        <v xml:space="preserve">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v>
      </c>
      <c r="D23" s="11" t="str">
        <v>Number of knowledge products</v>
      </c>
      <c r="E23" s="11" t="str">
        <v>Country: Tanzania, United Republic, Kenya, Ethiopia</v>
      </c>
      <c r="F23" s="11">
        <v>2</v>
      </c>
      <c r="G23" s="11">
        <v>27709</v>
      </c>
      <c r="I23" s="11" t="str">
        <v>.</v>
      </c>
    </row>
    <row r="24" ht="50" customHeight="1" xml:space="preserve">
      <c r="A24" s="11" t="str">
        <v>AOW02</v>
      </c>
      <c r="B24" s="11" t="str">
        <v>OP 2.2.2. – Landscape visions &amp; co-developed plans</v>
      </c>
      <c r="C24" s="11" t="str" xml:space="preserve">
        <v xml:space="preserve">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v>
      </c>
      <c r="D24" s="11" t="str">
        <v>Number of multistakeholder processes</v>
      </c>
      <c r="E24" s="11" t="str">
        <v>Country: Colombia, Kenya, Peru, Senegal, Zimbabwe</v>
      </c>
      <c r="F24" s="11">
        <v>4</v>
      </c>
      <c r="G24" s="11">
        <v>73649</v>
      </c>
      <c r="H24" s="11">
        <f>SUM(G24:G25)</f>
      </c>
      <c r="I24" s="11" t="str">
        <v>.</v>
      </c>
    </row>
    <row r="25" ht="50" customHeight="1" xml:space="preserve">
      <c r="A25" s="11" t="str">
        <v>AOW02</v>
      </c>
      <c r="C25" s="11" t="str" xml:space="preserve">
        <v xml:space="preserve">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v>
      </c>
      <c r="D25" s="11" t="str">
        <v>Number of innovations (innovation development)</v>
      </c>
      <c r="E25" s="11" t="str">
        <v>Country: Tunisia, Peru, Tanzania, United Republic, Colombia, Kenya, Zimbabwe, India</v>
      </c>
      <c r="F25" s="11">
        <v>1</v>
      </c>
      <c r="G25" s="11">
        <v>36824</v>
      </c>
      <c r="I25" s="11" t="str">
        <v>.</v>
      </c>
    </row>
    <row r="26" ht="50" customHeight="1" xml:space="preserve">
      <c r="A26" s="11" t="str">
        <v>AOW02</v>
      </c>
      <c r="B26" s="11" t="str">
        <v>OP 2.2.3. – Integrated planning &amp; scenarios</v>
      </c>
      <c r="C26" s="11" t="str" xml:space="preserve">
        <v xml:space="preserve">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v>
      </c>
      <c r="D26" s="11" t="str">
        <v xml:space="preserve"> Number of stakeholder groups involved in multifunctional integrated landscape planning  in Senegal</v>
      </c>
      <c r="E26" s="11" t="str">
        <v>Country: Senegal</v>
      </c>
      <c r="F26" s="11">
        <v>20</v>
      </c>
      <c r="G26" s="11">
        <v>102814</v>
      </c>
      <c r="H26" s="11">
        <f>SUM(G26:G29)</f>
      </c>
      <c r="I26" s="11" t="str">
        <v>.</v>
      </c>
    </row>
    <row r="27" ht="50" customHeight="1" xml:space="preserve">
      <c r="A27" s="11" t="str">
        <v>AOW02</v>
      </c>
      <c r="C27" s="11" t="str" xml:space="preserve">
        <v xml:space="preserve">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v>
      </c>
      <c r="D27" s="11" t="str">
        <v xml:space="preserve"> Number of stakeholder groups involved in multifunctional integrated landscape planning  in Peru</v>
      </c>
      <c r="E27" s="11" t="str">
        <v>Country: Peru</v>
      </c>
      <c r="F27" s="11">
        <v>10</v>
      </c>
      <c r="G27" s="11">
        <v>27953</v>
      </c>
      <c r="I27" s="11" t="str">
        <v>.</v>
      </c>
    </row>
    <row r="28" ht="50" customHeight="1" xml:space="preserve">
      <c r="A28" s="11" t="str">
        <v>AOW02</v>
      </c>
      <c r="C28" s="11" t="str" xml:space="preserve">
        <v xml:space="preserve">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v>
      </c>
      <c r="D28" s="11" t="str">
        <v>Number of innovations (innovation development)</v>
      </c>
      <c r="E28" s="11" t="str">
        <v>Country: Ethiopia, The Socialist Republic of Viet Nam, Kenya</v>
      </c>
      <c r="F28" s="11">
        <v>1</v>
      </c>
      <c r="G28" s="11">
        <v>43752</v>
      </c>
      <c r="I28" s="11" t="str">
        <v>.</v>
      </c>
    </row>
    <row r="29" ht="50" customHeight="1" xml:space="preserve">
      <c r="A29" s="11" t="str">
        <v>AOW02</v>
      </c>
      <c r="C29" s="11" t="str" xml:space="preserve">
        <v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v>
      </c>
      <c r="D29" s="11" t="str">
        <v>Number of knowledge products</v>
      </c>
      <c r="E29" s="11" t="str">
        <v>Global</v>
      </c>
      <c r="F29" s="11">
        <v>1</v>
      </c>
      <c r="G29" s="11">
        <v>137784</v>
      </c>
      <c r="I29" s="11" t="str">
        <v>.</v>
      </c>
    </row>
    <row r="30" ht="50" customHeight="1" xml:space="preserve">
      <c r="A30" s="11" t="str">
        <v>AOW02</v>
      </c>
      <c r="B30" s="11" t="str">
        <v>OP 2.2.4. – Digital Twins for foresight</v>
      </c>
      <c r="C30" s="11" t="str" xml:space="preserve">
        <v xml:space="preserve">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v>
      </c>
      <c r="D30" s="11" t="str">
        <v>Number of innovations (innovation development)</v>
      </c>
      <c r="E30" s="11" t="str">
        <v>Country: Peru, Cambodia, Colombia, The Socialist Republic of Viet Nam, Lao People's Democratic Republic, Ethiopia, India</v>
      </c>
      <c r="F30" s="11">
        <v>3</v>
      </c>
      <c r="G30" s="11">
        <v>137784</v>
      </c>
      <c r="H30" s="11">
        <f>SUM(G30:G30)</f>
      </c>
      <c r="I30" s="11" t="str">
        <v>.</v>
      </c>
    </row>
    <row r="31" ht="25" customHeight="1">
      <c r="B31" s="15" t="str">
        <v>HLO budget subtotal</v>
      </c>
      <c r="H31" s="15">
        <f>SUM(H19:H30)</f>
      </c>
    </row>
    <row r="32" ht="50" customHeight="1" xml:space="preserve">
      <c r="A32" s="13" t="str">
        <v>AOW03</v>
      </c>
      <c r="B32" s="11" t="str">
        <v>OP 3.1.1. Capacity strengthening for producer organizations &amp; value chains</v>
      </c>
      <c r="C32" s="11" t="str" xml:space="preserve">
        <v xml:space="preserve">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v>
      </c>
      <c r="D32" s="11" t="str">
        <v xml:space="preserve"> Number of capacity development programs implemented to strengthen organizational, managerial, and marketing capacities of producer organizations and local SMEs in the bioeconomy sector</v>
      </c>
      <c r="E32" s="11" t="str">
        <v>Country: Peru</v>
      </c>
      <c r="F32" s="11">
        <v>7</v>
      </c>
      <c r="G32" s="11">
        <v>58336</v>
      </c>
      <c r="H32" s="11">
        <f>SUM(G32:G34)</f>
      </c>
      <c r="I32" s="11" t="str">
        <v>.</v>
      </c>
    </row>
    <row r="33" ht="50" customHeight="1" xml:space="preserve">
      <c r="A33" s="11" t="str">
        <v>AOW03</v>
      </c>
      <c r="C33" s="11" t="str" xml:space="preserve">
        <v xml:space="preserve">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v>
      </c>
      <c r="D33" s="11" t="str">
        <v xml:space="preserve"> Number of individuals sensitized to healthier diets and the consumption of local products.</v>
      </c>
      <c r="E33" s="11" t="str">
        <v>Country: Peru</v>
      </c>
      <c r="F33" s="11">
        <v>100</v>
      </c>
      <c r="G33" s="11">
        <v>25522</v>
      </c>
      <c r="I33" s="11" t="str">
        <v>.</v>
      </c>
    </row>
    <row r="34" ht="50" customHeight="1" xml:space="preserve">
      <c r="A34" s="11" t="str">
        <v>AOW03</v>
      </c>
      <c r="C34" s="11" t="str" xml:space="preserve">
        <v xml:space="preserve">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v>
      </c>
      <c r="D34" s="11" t="str">
        <v>Number of actors strengthened to improve linkages through capacity building in MRV, financial and business literacy, and investment readiness</v>
      </c>
      <c r="E34" s="11" t="str">
        <v>Country: Colombia</v>
      </c>
      <c r="F34" s="11">
        <v>35</v>
      </c>
      <c r="G34" s="11">
        <v>36460</v>
      </c>
      <c r="I34" s="11" t="str">
        <v>.</v>
      </c>
    </row>
    <row r="35" ht="50" customHeight="1" xml:space="preserve">
      <c r="A35" s="11" t="str">
        <v>AOW03</v>
      </c>
      <c r="B35" s="11" t="str">
        <v>OP 3.2.2. Inclusive business models</v>
      </c>
      <c r="C35" s="11" t="str" xml:space="preserve">
        <v xml:space="preserve">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v>
      </c>
      <c r="D35" s="11" t="str">
        <v>Number of knowledge products</v>
      </c>
      <c r="E35" s="11" t="str">
        <v>Country: Peru</v>
      </c>
      <c r="F35" s="11">
        <v>3</v>
      </c>
      <c r="G35" s="11">
        <v>58336</v>
      </c>
      <c r="H35" s="11">
        <f>SUM(G35:G43)</f>
      </c>
      <c r="I35" s="11" t="str">
        <v>.</v>
      </c>
    </row>
    <row r="36" ht="50" customHeight="1" xml:space="preserve">
      <c r="A36" s="11" t="str">
        <v>AOW03</v>
      </c>
      <c r="C36" s="11" t="str" xml:space="preserve">
        <v xml:space="preserve">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v>
      </c>
      <c r="D36" s="11" t="str">
        <v>Number of innovations (innovation development)</v>
      </c>
      <c r="E36" s="11" t="str">
        <v>Country: Senegal</v>
      </c>
      <c r="F36" s="11">
        <v>1</v>
      </c>
      <c r="G36" s="11">
        <v>16772</v>
      </c>
      <c r="I36" s="11" t="str">
        <v>.</v>
      </c>
    </row>
    <row r="37" ht="50" customHeight="1" xml:space="preserve">
      <c r="A37" s="11" t="str">
        <v>AOW03</v>
      </c>
      <c r="C37" s="11" t="str" xml:space="preserve">
        <v xml:space="preserve">Deliverable - Agroecological Business Models in Two Priority Value Chains characterized: Characterization of the currents and agroecological business models of the actors of the two value chains
Indicator: Number of current and agroecological business models assessed</v>
      </c>
      <c r="D37" s="11" t="str">
        <v>Number of knowledge products</v>
      </c>
      <c r="E37" s="11" t="str">
        <v>Country: Senegal</v>
      </c>
      <c r="F37" s="11">
        <v>6</v>
      </c>
      <c r="G37" s="11">
        <v>21366</v>
      </c>
      <c r="I37" s="11" t="str">
        <v>.</v>
      </c>
    </row>
    <row r="38" ht="50" customHeight="1" xml:space="preserve">
      <c r="A38" s="11" t="str">
        <v>AOW03</v>
      </c>
      <c r="C38" s="11" t="str" xml:space="preserve">
        <v xml:space="preserve">Deliverable - Characterization of the space for initiatives of the operators of the two value chains
Indicator: Number of value chain assessments</v>
      </c>
      <c r="D38" s="11" t="str">
        <v>Number of knowledge products</v>
      </c>
      <c r="E38" s="11" t="str">
        <v>Country: Senegal</v>
      </c>
      <c r="F38" s="11">
        <v>2</v>
      </c>
      <c r="G38" s="11">
        <v>16772</v>
      </c>
      <c r="I38" s="11" t="str">
        <v>.</v>
      </c>
    </row>
    <row r="39" ht="50" customHeight="1" xml:space="preserve">
      <c r="A39" s="11" t="str">
        <v>AOW03</v>
      </c>
      <c r="C39" s="11" t="str" xml:space="preserve">
        <v xml:space="preserve">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v>
      </c>
      <c r="D39" s="11" t="str">
        <v>Number of knowledge products</v>
      </c>
      <c r="E39" s="11" t="str">
        <v>Country: Senegal</v>
      </c>
      <c r="F39" s="11">
        <v>2</v>
      </c>
      <c r="G39" s="11">
        <v>16772</v>
      </c>
      <c r="I39" s="11" t="str">
        <v>.</v>
      </c>
    </row>
    <row r="40" ht="50" customHeight="1" xml:space="preserve">
      <c r="A40" s="11" t="str">
        <v>AOW03</v>
      </c>
      <c r="C40" s="11" t="str" xml:space="preserve">
        <v xml:space="preserve">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v>
      </c>
      <c r="D40" s="11" t="str">
        <v>Number of innovations (innovation development)</v>
      </c>
      <c r="E40" s="11" t="str">
        <v>Country: Colombia</v>
      </c>
      <c r="F40" s="11">
        <v>2</v>
      </c>
      <c r="G40" s="11">
        <v>43752</v>
      </c>
      <c r="I40" s="11" t="str">
        <v>.</v>
      </c>
    </row>
    <row r="41" ht="50" customHeight="1" xml:space="preserve">
      <c r="A41" s="11" t="str">
        <v>AOW03</v>
      </c>
      <c r="C41" s="11" t="str" xml:space="preserve">
        <v xml:space="preserve">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v>
      </c>
      <c r="D41" s="11" t="str">
        <v>Number of consumers and MSMEs involved in the codesign of business models</v>
      </c>
      <c r="E41" s="11" t="str">
        <v>Country: Kenya</v>
      </c>
      <c r="F41" s="11">
        <v>100</v>
      </c>
      <c r="G41" s="11">
        <v>47398</v>
      </c>
      <c r="I41" s="11" t="str">
        <v>.</v>
      </c>
    </row>
    <row r="42" ht="50" customHeight="1" xml:space="preserve">
      <c r="A42" s="11" t="str">
        <v>AOW03</v>
      </c>
      <c r="C42" s="11" t="str" xml:space="preserve">
        <v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v>
      </c>
      <c r="D42" s="11" t="str">
        <v>Number of innovations (innovation development)</v>
      </c>
      <c r="E42" s="11" t="str">
        <v>Country: Kenya</v>
      </c>
      <c r="F42" s="11">
        <v>1</v>
      </c>
      <c r="G42" s="11">
        <v>27345</v>
      </c>
      <c r="I42" s="11" t="str">
        <v>.</v>
      </c>
    </row>
    <row r="43" ht="50" customHeight="1" xml:space="preserve">
      <c r="A43" s="11" t="str">
        <v>AOW03</v>
      </c>
      <c r="C43" s="11" t="str" xml:space="preserve">
        <v xml:space="preserve">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v>
      </c>
      <c r="D43" s="11" t="str">
        <v>Number of farmer organizations or market actors supported in the implementation of peer-to-peer certification systems</v>
      </c>
      <c r="E43" s="11" t="str">
        <v>Country: Kenya</v>
      </c>
      <c r="F43" s="11">
        <v>75</v>
      </c>
      <c r="G43" s="11">
        <v>27345</v>
      </c>
      <c r="I43" s="11" t="str">
        <v>.</v>
      </c>
    </row>
    <row r="44" ht="50" customHeight="1" xml:space="preserve">
      <c r="A44" s="11" t="str">
        <v>AOW03</v>
      </c>
      <c r="B44" s="11" t="str">
        <v>OP 3.3.3. Co-designed inclusive market and non-market mechanisms for optimizing ecosystem services</v>
      </c>
      <c r="C44" s="11" t="str" xml:space="preserve">
        <v xml:space="preserve">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v>
      </c>
      <c r="D44" s="11" t="str">
        <v>Number of knowledge products</v>
      </c>
      <c r="E44" s="11" t="str">
        <v>Country: Colombia</v>
      </c>
      <c r="F44" s="11">
        <v>2</v>
      </c>
      <c r="G44" s="11">
        <v>72082</v>
      </c>
      <c r="H44" s="11">
        <f>SUM(G44:G46)</f>
      </c>
      <c r="I44" s="11" t="str">
        <v>.</v>
      </c>
    </row>
    <row r="45" ht="50" customHeight="1" xml:space="preserve">
      <c r="A45" s="11" t="str">
        <v>AOW03</v>
      </c>
      <c r="C45" s="11" t="str" xml:space="preserve">
        <v xml:space="preserve">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v>
      </c>
      <c r="D45" s="11" t="str">
        <v>Number of knowledge products</v>
      </c>
      <c r="E45" s="11" t="str">
        <v>Country: Colombia</v>
      </c>
      <c r="F45" s="11">
        <v>2</v>
      </c>
      <c r="G45" s="11">
        <v>72920</v>
      </c>
      <c r="I45" s="11" t="str">
        <v>.</v>
      </c>
    </row>
    <row r="46" ht="50" customHeight="1" xml:space="preserve">
      <c r="A46" s="11" t="str">
        <v>AOW03</v>
      </c>
      <c r="C46" s="11" t="str" xml:space="preserve">
        <v xml:space="preserve">Deliverable - Territorial Market Model Linking Schools and Farmer Research Networks: Co-design and implement a Territorial market model bringing together MFL schools and Farmer research networks
Indicator: Number of territorial market models co-designed</v>
      </c>
      <c r="D46" s="11" t="str">
        <v>Number of innovations (innovation development)</v>
      </c>
      <c r="E46" s="11" t="str">
        <v>Country: Kenya</v>
      </c>
      <c r="F46" s="11">
        <v>2</v>
      </c>
      <c r="G46" s="11">
        <v>29168</v>
      </c>
      <c r="I46" s="11" t="str">
        <v>.</v>
      </c>
    </row>
    <row r="47" ht="50" customHeight="1" xml:space="preserve">
      <c r="A47" s="11" t="str">
        <v>AOW03</v>
      </c>
      <c r="B47" s="11" t="str">
        <v>OP 3.3.4. Innovative sustainable finance instruments</v>
      </c>
      <c r="C47" s="11" t="str" xml:space="preserve">
        <v xml:space="preserve">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v>
      </c>
      <c r="D47" s="11" t="str">
        <v>Number of innovations (innovation development)</v>
      </c>
      <c r="E47" s="11" t="str">
        <v>Country: Kenya</v>
      </c>
      <c r="F47" s="11">
        <v>2</v>
      </c>
      <c r="G47" s="11">
        <v>72920</v>
      </c>
      <c r="H47" s="11">
        <f>SUM(G47:G48)</f>
      </c>
      <c r="I47" s="11" t="str">
        <v>.</v>
      </c>
    </row>
    <row r="48" ht="50" customHeight="1" xml:space="preserve">
      <c r="A48" s="11" t="str">
        <v>AOW03</v>
      </c>
      <c r="C48" s="11" t="str" xml:space="preserve">
        <v xml:space="preserve">Deliverable - MFL accelerator/incubator program 
Indicator: Number of MFL accelerator/incubator programs established</v>
      </c>
      <c r="D48" s="11" t="str">
        <v>Number of innovations (innovation development)</v>
      </c>
      <c r="E48" s="11" t="str">
        <v>Country: India, Tunisia, Peru, Kenya, Zimbabwe, Colombia, The Socialist Republic of Viet Nam, Senegal</v>
      </c>
      <c r="F48" s="11">
        <v>5</v>
      </c>
      <c r="G48" s="11">
        <v>102920</v>
      </c>
      <c r="I48" s="11" t="str">
        <v>.</v>
      </c>
    </row>
    <row r="49" ht="50" customHeight="1" xml:space="preserve">
      <c r="A49" s="11" t="str">
        <v>AOW03</v>
      </c>
      <c r="B49" s="11" t="str">
        <v>OP 3.4.5. Integrated policy–market–finance pathways</v>
      </c>
      <c r="C49" s="11" t="str" xml:space="preserve">
        <v xml:space="preserve">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v>
      </c>
      <c r="D49" s="11" t="str">
        <v>Number of stakeholders engaged in validating and testing the conservation compensation analytical framework and practical guidelines</v>
      </c>
      <c r="E49" s="11" t="str">
        <v>Country: Peru</v>
      </c>
      <c r="F49" s="11">
        <v>150</v>
      </c>
      <c r="G49" s="11">
        <v>58336</v>
      </c>
      <c r="H49" s="11">
        <f>SUM(G49:G50)</f>
      </c>
      <c r="I49" s="11" t="str">
        <v>.</v>
      </c>
    </row>
    <row r="50" ht="50" customHeight="1">
      <c r="A50" s="11" t="str">
        <v>AOW03</v>
      </c>
      <c r="C50" s="11" t="str">
        <v>Number of evidence-based frameworks and decision support tools developed for policy-market-finance alignment</v>
      </c>
      <c r="D50" s="11" t="str">
        <v>Number of innovations (innovation development)</v>
      </c>
      <c r="E50" s="11" t="str">
        <v>Global</v>
      </c>
      <c r="F50" s="11">
        <v>0</v>
      </c>
      <c r="G50" s="11">
        <v>0</v>
      </c>
    </row>
    <row r="51" ht="25" customHeight="1">
      <c r="B51" s="15" t="str">
        <v>HLO budget subtotal</v>
      </c>
      <c r="H51" s="15">
        <f>SUM(H32:H50)</f>
      </c>
    </row>
    <row r="52" ht="50" customHeight="1" xml:space="preserve">
      <c r="A52" s="13" t="str">
        <v>AOW04</v>
      </c>
      <c r="B52" s="11" t="str">
        <v>OP 4.1.1. Inclusive governance architectures</v>
      </c>
      <c r="C52" s="11" t="str" xml:space="preserve">
        <v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v>
      </c>
      <c r="D52" s="11" t="str">
        <v>Number of people trained (capacity sharing for development)</v>
      </c>
      <c r="E52" s="11" t="str">
        <v>Country: Kenya</v>
      </c>
      <c r="F52" s="11">
        <v>70</v>
      </c>
      <c r="G52" s="11">
        <v>25522</v>
      </c>
      <c r="H52" s="11">
        <f>SUM(G52:G54)</f>
      </c>
      <c r="I52" s="11" t="str">
        <v>.</v>
      </c>
    </row>
    <row r="53" ht="50" customHeight="1" xml:space="preserve">
      <c r="A53" s="11" t="str">
        <v>AOW04</v>
      </c>
      <c r="C53" s="11" t="str" xml:space="preserve">
        <v xml:space="preserve">Deliverable: Governance assessment mapping institutional arrangements, policy incentives, and power dynamics shaping dry forest management in pilot sites.
Indicator: Number of dry forest governance assessment mappings implemented
</v>
      </c>
      <c r="D53" s="11" t="str">
        <v>Number of knowledge products</v>
      </c>
      <c r="E53" s="11" t="str">
        <v>Country: Kenya</v>
      </c>
      <c r="F53" s="11">
        <v>2</v>
      </c>
      <c r="G53" s="11">
        <v>25522</v>
      </c>
      <c r="I53" s="11" t="str">
        <v>.</v>
      </c>
    </row>
    <row r="54" ht="50" customHeight="1" xml:space="preserve">
      <c r="A54" s="11" t="str">
        <v>AOW04</v>
      </c>
      <c r="C54" s="11" t="str" xml:space="preserve">
        <v xml:space="preserve">Deliverable: Inclusive governance knowlege products and tools to support transition to agrecology+ solutions, regenerative agriculture and circular agriculture 
Indicator: Number of inclusive governance knowledge products and tools
</v>
      </c>
      <c r="D54" s="11" t="str">
        <v>Number of knowledge products</v>
      </c>
      <c r="E54" s="11" t="str">
        <v>Country: Kenya, Colombia, Senegal, Ethiopia, Peru, India</v>
      </c>
      <c r="F54" s="11">
        <v>1</v>
      </c>
      <c r="G54" s="11">
        <v>29168</v>
      </c>
      <c r="I54" s="11" t="str">
        <v>.</v>
      </c>
    </row>
    <row r="55" ht="50" customHeight="1" xml:space="preserve">
      <c r="A55" s="11" t="str">
        <v>AOW04</v>
      </c>
      <c r="B55" s="11" t="str">
        <v>OP 4.1.2 GEYSI for co-creation and inclusive governance</v>
      </c>
      <c r="C55" s="11" t="str" xml:space="preserve">
        <v xml:space="preserve">Deliverable: Capacity strengthening on inclusive governance
Indicator: Number of stakeholders trained on inclusive governance
</v>
      </c>
      <c r="D55" s="11" t="str">
        <v>Number of people trained (capacity sharing for development)</v>
      </c>
      <c r="E55" s="11" t="str">
        <v>Country: Senegal</v>
      </c>
      <c r="F55" s="11">
        <v>50</v>
      </c>
      <c r="G55" s="11">
        <v>7292</v>
      </c>
      <c r="H55" s="11">
        <f>SUM(G55:G59)</f>
      </c>
      <c r="I55" s="11" t="str">
        <v>.</v>
      </c>
    </row>
    <row r="56" ht="50" customHeight="1" xml:space="preserve">
      <c r="A56" s="11" t="str">
        <v>AOW04</v>
      </c>
      <c r="C56" s="11" t="str" xml:space="preserve">
        <v xml:space="preserve">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v>
      </c>
      <c r="D56" s="11" t="str">
        <v>Number of knowledge products</v>
      </c>
      <c r="E56" s="11" t="str">
        <v>Country: India, Peru, Colombia</v>
      </c>
      <c r="F56" s="11">
        <v>3</v>
      </c>
      <c r="G56" s="11">
        <v>69301</v>
      </c>
      <c r="I56" s="11" t="str">
        <v>.</v>
      </c>
    </row>
    <row r="57" ht="50" customHeight="1" xml:space="preserve">
      <c r="A57" s="11" t="str">
        <v>AOW04</v>
      </c>
      <c r="C57" s="11" t="str" xml:space="preserve">
        <v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v>
      </c>
      <c r="D57" s="11" t="str">
        <v>Number of knowledge products</v>
      </c>
      <c r="E57" s="11" t="str">
        <v>Country: India, Peru, Colombia, Senegal</v>
      </c>
      <c r="F57" s="11">
        <v>5</v>
      </c>
      <c r="G57" s="11">
        <v>68661</v>
      </c>
      <c r="I57" s="11" t="str">
        <v>.</v>
      </c>
    </row>
    <row r="58" ht="50" customHeight="1" xml:space="preserve">
      <c r="A58" s="11" t="str">
        <v>AOW04</v>
      </c>
      <c r="C58" s="11" t="str" xml:space="preserve">
        <v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v>
      </c>
      <c r="D58" s="11" t="str">
        <v>Number of knowledge products</v>
      </c>
      <c r="E58" s="11" t="str">
        <v>Country: Cambodia, Lao People's Democratic Republic, Colombia, India</v>
      </c>
      <c r="F58" s="11">
        <v>2</v>
      </c>
      <c r="G58" s="11">
        <v>29168</v>
      </c>
      <c r="I58" s="11" t="str">
        <v>.</v>
      </c>
    </row>
    <row r="59" ht="50" customHeight="1" xml:space="preserve">
      <c r="A59" s="11" t="str">
        <v>AOW04</v>
      </c>
      <c r="C59" s="11" t="str" xml:space="preserve">
        <v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v>
      </c>
      <c r="D59" s="11" t="str">
        <v>Number of knowledge products</v>
      </c>
      <c r="E59" s="11" t="str">
        <v>Country: India, Colombia, Peru</v>
      </c>
      <c r="F59" s="11">
        <v>2</v>
      </c>
      <c r="G59" s="11">
        <v>55628</v>
      </c>
      <c r="I59" s="11" t="str">
        <v>.</v>
      </c>
    </row>
    <row r="60" ht="50" customHeight="1" xml:space="preserve">
      <c r="A60" s="11" t="str">
        <v>AOW04</v>
      </c>
      <c r="B60" s="11" t="str">
        <v>OP 4.2.1. Institutional, social and behavioral mechanisms</v>
      </c>
      <c r="C60" s="11" t="str" xml:space="preserve">
        <v xml:space="preserve">Deliverable: Strategies in concept phase to support behavior change, structural leverage points, collective action and inclusive social movements in context of biodiversity loss, climate change, water stress/scarcity,
Indicator: Number of strategies to support behavior changes tested</v>
      </c>
      <c r="D60" s="11" t="str">
        <v>Number of innovations (innovation development)</v>
      </c>
      <c r="E60" s="11" t="str">
        <v>Country: India, Peru, Colombia</v>
      </c>
      <c r="F60" s="11">
        <v>1</v>
      </c>
      <c r="G60" s="11">
        <v>32814</v>
      </c>
      <c r="H60" s="11">
        <f>SUM(G60:G60)</f>
      </c>
      <c r="I60" s="11" t="str">
        <v>.</v>
      </c>
    </row>
    <row r="61" ht="50" customHeight="1" xml:space="preserve">
      <c r="A61" s="11" t="str">
        <v>AOW04</v>
      </c>
      <c r="B61" s="11" t="str">
        <v>OP 4.3.2. Engagement frameworks and pilots</v>
      </c>
      <c r="C61" s="11" t="str" xml:space="preserve">
        <v xml:space="preserve">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v>
      </c>
      <c r="D61" s="11" t="str">
        <v>Number of knowledge products</v>
      </c>
      <c r="E61" s="11" t="str">
        <v>Country: Peru, Ethiopia</v>
      </c>
      <c r="F61" s="11">
        <v>2</v>
      </c>
      <c r="G61" s="11">
        <v>10938</v>
      </c>
      <c r="H61" s="11">
        <f>SUM(G61:G62)</f>
      </c>
      <c r="I61" s="11" t="str">
        <v>.</v>
      </c>
    </row>
    <row r="62" ht="50" customHeight="1" xml:space="preserve">
      <c r="A62" s="11" t="str">
        <v>AOW04</v>
      </c>
      <c r="C62" s="11" t="str" xml:space="preserve">
        <v xml:space="preserve">Deliverable: Design of national Agroecology strategy, regional biotrade and NBSAP 
Indicator: Number of national agroecology strategies, regional biotrade and NBSAPS designed
</v>
      </c>
      <c r="D62" s="11" t="str">
        <v>Number of knowledge products</v>
      </c>
      <c r="E62" s="11" t="str">
        <v>Country: Peru, Ethiopia</v>
      </c>
      <c r="F62" s="11">
        <v>2</v>
      </c>
      <c r="G62" s="11">
        <v>54690</v>
      </c>
      <c r="I62" s="11" t="str">
        <v>.</v>
      </c>
    </row>
    <row r="63" ht="25" customHeight="1">
      <c r="B63" s="15" t="str">
        <v>HLO budget subtotal</v>
      </c>
      <c r="H63" s="15">
        <f>SUM(H52:H62)</f>
      </c>
    </row>
    <row r="64" ht="50" customHeight="1" xml:space="preserve">
      <c r="A64" s="13" t="str">
        <v>AOW05</v>
      </c>
      <c r="B64" s="11" t="str">
        <v>OP 5.1.1 – Metrics database</v>
      </c>
      <c r="C64" s="11" t="str" xml:space="preserve">
        <v xml:space="preserve">Deliverable - Metrics Database providing a one-stop shop for methods to co-select indicators, and protocols for tested and scientifically robust data-collection and indicator calculation processes 
Indicator: Number of cross-scale metrics databases</v>
      </c>
      <c r="D64" s="11" t="str">
        <v xml:space="preserve"> Number of cross-scale metrics databases</v>
      </c>
      <c r="E64" s="11" t="str">
        <v>Country: Lao People's Democratic Republic, India, Tanzania, United Republic, Colombia, Ethiopia, Kenya, Senegal, Cambodia, Zimbabwe, Tunisia, The Socialist Republic of Viet Nam, Peru</v>
      </c>
      <c r="F64" s="11">
        <v>1</v>
      </c>
      <c r="G64" s="11">
        <v>204176</v>
      </c>
      <c r="H64" s="11">
        <f>SUM(G64:G66)</f>
      </c>
      <c r="I64" s="11" t="str">
        <v>.</v>
      </c>
    </row>
    <row r="65" ht="50" customHeight="1" xml:space="preserve">
      <c r="A65" s="11" t="str">
        <v>AOW05</v>
      </c>
      <c r="C65" s="11" t="str" xml:space="preserve">
        <v xml:space="preserve">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v>
      </c>
      <c r="D65" s="11" t="str">
        <v>Number of knowledge products</v>
      </c>
      <c r="E65" s="11" t="str">
        <v>Country: Colombia, Kenya, Lao People's Democratic Republic, The Socialist Republic of Viet Nam, Tunisia</v>
      </c>
      <c r="F65" s="11">
        <v>2</v>
      </c>
      <c r="G65" s="11">
        <v>75472</v>
      </c>
      <c r="I65" s="11" t="str">
        <v>.</v>
      </c>
    </row>
    <row r="66" ht="50" customHeight="1" xml:space="preserve">
      <c r="A66" s="11" t="str">
        <v>AOW05</v>
      </c>
      <c r="C66" s="11" t="str" xml:space="preserve">
        <v xml:space="preserve">Deliverable - Organomineral fertilization framework (validated) provides evidence for soil health and GHG mitigation strengthening local and national MRV capabilities. 
Indicator: Number of Organomineral fertilization frameworks validated</v>
      </c>
      <c r="D66" s="11" t="str">
        <v>Number of knowledge products</v>
      </c>
      <c r="E66" s="11" t="str">
        <v>Country: Colombia</v>
      </c>
      <c r="F66" s="11">
        <v>1</v>
      </c>
      <c r="G66" s="11">
        <v>7292</v>
      </c>
      <c r="I66" s="11" t="str">
        <v>.</v>
      </c>
    </row>
    <row r="67" ht="50" customHeight="1" xml:space="preserve">
      <c r="A67" s="11" t="str">
        <v>AOW05</v>
      </c>
      <c r="B67" s="11" t="str">
        <v>OP 5.1.2 Landscape-specific assessment frameworks</v>
      </c>
      <c r="C67" s="11" t="str" xml:space="preserve">
        <v xml:space="preserve">Deliverable: MELIA STUDY Landscape appropriate Impact Assessment data collection in Peru and Colombia: farming households + system actors
Indicator: Number of baseline/midline datasets to capture landscape interventions impacts published
</v>
      </c>
      <c r="D67" s="11" t="str">
        <v>Number of knowledge products</v>
      </c>
      <c r="E67" s="11" t="str">
        <v>Country: Peru, Colombia</v>
      </c>
      <c r="F67" s="11">
        <v>2</v>
      </c>
      <c r="G67" s="11">
        <v>0</v>
      </c>
      <c r="H67" s="11">
        <f>SUM(G67:G70)</f>
      </c>
    </row>
    <row r="68" ht="50" customHeight="1" xml:space="preserve">
      <c r="A68" s="11" t="str">
        <v>AOW05</v>
      </c>
      <c r="C68" s="11" t="str" xml:space="preserve">
        <v xml:space="preserve">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v>
      </c>
      <c r="D68" s="11" t="str">
        <v>Number of innovations (innovation development)</v>
      </c>
      <c r="E68" s="11" t="str">
        <v>Country: Peru</v>
      </c>
      <c r="F68" s="11">
        <v>1</v>
      </c>
      <c r="G68" s="11">
        <v>80212</v>
      </c>
      <c r="I68" s="11" t="str">
        <v>.</v>
      </c>
    </row>
    <row r="69" ht="50" customHeight="1" xml:space="preserve">
      <c r="A69" s="11" t="str">
        <v>AOW05</v>
      </c>
      <c r="C69" s="11" t="str" xml:space="preserve">
        <v xml:space="preserve">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v>
      </c>
      <c r="D69" s="11" t="str">
        <v>Number of innovations (innovation development)</v>
      </c>
      <c r="E69" s="11" t="str">
        <v>Country: Kenya</v>
      </c>
      <c r="F69" s="11">
        <v>2</v>
      </c>
      <c r="G69" s="11">
        <v>97504</v>
      </c>
      <c r="I69" s="11" t="str">
        <v>.</v>
      </c>
    </row>
    <row r="70" ht="50" customHeight="1" xml:space="preserve">
      <c r="A70" s="11" t="str">
        <v>AOW05</v>
      </c>
      <c r="C70" s="11" t="str" xml:space="preserve">
        <v xml:space="preserve">Deliverable - MELIA STUDY Landscape appropriate Impact Assessment system implementation: cross country coordination and learning briefs 
Indicator: Number of landscape-specific frameworks to assess multifunctional landscape performance</v>
      </c>
      <c r="D70" s="11" t="str">
        <v>Number of innovations (innovation development)</v>
      </c>
      <c r="E70" s="11" t="str">
        <v>Country: The Socialist Republic of Viet Nam, India, Kenya, Peru, Colombia</v>
      </c>
      <c r="F70" s="11">
        <v>2</v>
      </c>
      <c r="G70" s="11">
        <v>0</v>
      </c>
    </row>
    <row r="71" ht="50" customHeight="1" xml:space="preserve">
      <c r="A71" s="11" t="str">
        <v>AOW05</v>
      </c>
      <c r="B71" s="11" t="str">
        <v>OP 5.2.2. Near real-time monitoring</v>
      </c>
      <c r="C71" s="11" t="str" xml:space="preserve">
        <v xml:space="preserve">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v>
      </c>
      <c r="D71" s="11" t="str">
        <v>Number of knowledge products</v>
      </c>
      <c r="E71" s="11" t="str">
        <v>Global</v>
      </c>
      <c r="F71" s="11">
        <v>2</v>
      </c>
      <c r="G71" s="11">
        <v>131256</v>
      </c>
      <c r="H71" s="11">
        <f>SUM(G71:G71)</f>
      </c>
      <c r="I71" s="11" t="str">
        <v>.</v>
      </c>
    </row>
    <row r="72" ht="25" customHeight="1">
      <c r="B72" s="15" t="str">
        <v>HLO budget subtotal</v>
      </c>
      <c r="H72" s="15">
        <f>SUM(H64:H71)</f>
      </c>
    </row>
  </sheetData>
  <mergeCells count="45">
    <mergeCell ref="A1:A2"/>
    <mergeCell ref="B1:B2"/>
    <mergeCell ref="C1:G1"/>
    <mergeCell ref="H1:H2"/>
    <mergeCell ref="I1:I2"/>
    <mergeCell ref="B3:B11"/>
    <mergeCell ref="H3:H11"/>
    <mergeCell ref="B12:B17"/>
    <mergeCell ref="H12:H17"/>
    <mergeCell ref="B18:G18"/>
    <mergeCell ref="A3:A18"/>
    <mergeCell ref="B19:B23"/>
    <mergeCell ref="H19:H23"/>
    <mergeCell ref="B24:B25"/>
    <mergeCell ref="H24:H25"/>
    <mergeCell ref="B26:B29"/>
    <mergeCell ref="H26:H29"/>
    <mergeCell ref="B31:G31"/>
    <mergeCell ref="A19:A31"/>
    <mergeCell ref="B32:B34"/>
    <mergeCell ref="H32:H34"/>
    <mergeCell ref="B35:B43"/>
    <mergeCell ref="H35:H43"/>
    <mergeCell ref="B44:B46"/>
    <mergeCell ref="H44:H46"/>
    <mergeCell ref="B47:B48"/>
    <mergeCell ref="H47:H48"/>
    <mergeCell ref="B49:B50"/>
    <mergeCell ref="H49:H50"/>
    <mergeCell ref="B51:G51"/>
    <mergeCell ref="A32:A51"/>
    <mergeCell ref="B52:B54"/>
    <mergeCell ref="H52:H54"/>
    <mergeCell ref="B55:B59"/>
    <mergeCell ref="H55:H59"/>
    <mergeCell ref="B61:B62"/>
    <mergeCell ref="H61:H62"/>
    <mergeCell ref="B63:G63"/>
    <mergeCell ref="A52:A63"/>
    <mergeCell ref="B64:B66"/>
    <mergeCell ref="H64:H66"/>
    <mergeCell ref="B67:B70"/>
    <mergeCell ref="H67:H70"/>
    <mergeCell ref="B72:G72"/>
    <mergeCell ref="A64:A72"/>
  </mergeCells>
  <ignoredErrors>
    <ignoredError numberStoredAsText="1" sqref="A1:I7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FRANCE – FFEM Promover Oportunidades Sostenibles en la Cadena de Valor del Cacao de Excelencia (IA Lead of A1537)</v>
      </c>
      <c r="B2" s="19" t="str">
        <v>AOW00</v>
      </c>
      <c r="C2" s="18" t="str">
        <v>Poverty Reduction, Livelihoods and Jobs</v>
      </c>
      <c r="D2" s="19">
        <v>0</v>
      </c>
      <c r="E2" s="19" t="str">
        <f>=SUM(D2:D3)</f>
        <v>0</v>
      </c>
    </row>
    <row r="3" ht="30" customHeight="1">
      <c r="A3" s="18" t="str">
        <v>FRANCE – FFEM Promover Oportunidades Sostenibles en la Cadena de Valor del Cacao de Excelencia (IA Lead of A1537)</v>
      </c>
      <c r="B3" s="19" t="str">
        <v>AOW03</v>
      </c>
      <c r="C3" s="18" t="str">
        <v>OP 3.2.2. Inclusive business models</v>
      </c>
      <c r="D3" s="19">
        <v>763584</v>
      </c>
      <c r="F3" s="19" t="str">
        <v>.</v>
      </c>
    </row>
    <row r="4" ht="30" customHeight="1">
      <c r="A4" s="18" t="str">
        <v>PREPARATION PHASE - "Supporting Colombia’s Just Energy Transition, climate resilience, and food security through the introduction of inclusive agri-photovoltaic systems" (JET-AgriSOL)</v>
      </c>
      <c r="B4" s="19" t="str">
        <v>AOW00</v>
      </c>
      <c r="C4" s="18" t="str">
        <v>Poverty Reduction, Livelihoods and Jobs</v>
      </c>
      <c r="D4" s="19">
        <v>0</v>
      </c>
      <c r="E4" s="19" t="str">
        <f>=SUM(D4:D7)</f>
        <v>0</v>
      </c>
    </row>
    <row r="5" ht="30" customHeight="1">
      <c r="A5" s="18" t="str">
        <v>PREPARATION PHASE - "Supporting Colombia’s Just Energy Transition, climate resilience, and food security through the introduction of inclusive agri-photovoltaic systems" (JET-AgriSOL)</v>
      </c>
      <c r="B5" s="19" t="str">
        <v>AOW04</v>
      </c>
      <c r="C5" s="18" t="str">
        <v>OP 4.2.1. Institutional, social and behavioral mechanisms</v>
      </c>
      <c r="D5" s="19">
        <v>103966</v>
      </c>
      <c r="F5" s="19" t="str">
        <v>.</v>
      </c>
    </row>
    <row r="6" ht="30" customHeight="1">
      <c r="A6" s="18" t="str">
        <v>PREPARATION PHASE - "Supporting Colombia’s Just Energy Transition, climate resilience, and food security through the introduction of inclusive agri-photovoltaic systems" (JET-AgriSOL)</v>
      </c>
      <c r="B6" s="19" t="str">
        <v>AOW03</v>
      </c>
      <c r="C6" s="18" t="str">
        <v>OP 3.3.3. Co-designed inclusive market and non-market mechanisms for optimizing ecosystem services</v>
      </c>
      <c r="D6" s="19">
        <v>1000000</v>
      </c>
      <c r="F6" s="19" t="str">
        <v>.</v>
      </c>
    </row>
    <row r="7" ht="30" customHeight="1">
      <c r="A7" s="18" t="str">
        <v>PREPARATION PHASE - "Supporting Colombia’s Just Energy Transition, climate resilience, and food security through the introduction of inclusive agri-photovoltaic systems" (JET-AgriSOL)</v>
      </c>
      <c r="B7" s="19" t="str">
        <v>AOW01</v>
      </c>
      <c r="C7" s="18" t="str">
        <v>OP 1.1.1. – Bundles of farm-level solutions</v>
      </c>
      <c r="D7" s="19">
        <v>500000</v>
      </c>
      <c r="F7" s="19" t="str">
        <v>.</v>
      </c>
    </row>
    <row r="8" ht="30" customHeight="1">
      <c r="A8" s="18" t="str">
        <v>IUCN (GEF)-Restoration Challenge Grant Platform for Smallholders and Communities, with Blockchain-Enabled Crowdfunding</v>
      </c>
      <c r="B8" s="19" t="str">
        <v>AOW00</v>
      </c>
      <c r="C8" s="18" t="str">
        <v>Poverty Reduction, Livelihoods and Jobs</v>
      </c>
      <c r="D8" s="19">
        <v>0</v>
      </c>
      <c r="E8" s="19" t="str">
        <f>=SUM(D8:D10)</f>
        <v>0</v>
      </c>
    </row>
    <row r="9" ht="30" customHeight="1">
      <c r="A9" s="18" t="str">
        <v>IUCN (GEF)-Restoration Challenge Grant Platform for Smallholders and Communities, with Blockchain-Enabled Crowdfunding</v>
      </c>
      <c r="B9" s="19" t="str">
        <v>AOW03</v>
      </c>
      <c r="C9" s="18" t="str">
        <v>AOW-IOC 3.1. Producer organizations, local institutions and private sector actors demonstrate strengthened organizational and marketing capacity</v>
      </c>
      <c r="D9" s="19">
        <v>0</v>
      </c>
    </row>
    <row r="10" ht="30" customHeight="1">
      <c r="A10" s="18" t="str">
        <v>IUCN (GEF)-Restoration Challenge Grant Platform for Smallholders and Communities, with Blockchain-Enabled Crowdfunding</v>
      </c>
      <c r="B10" s="19" t="str">
        <v>AOW01</v>
      </c>
      <c r="C10" s="18" t="str">
        <v>I-OC 1.2 Research institutes, extension agents, NGOs and private sector actors disseminate evidence-based AE+ solutions and innovations, and/or their bundles</v>
      </c>
      <c r="D10" s="19">
        <v>0</v>
      </c>
    </row>
    <row r="11" ht="30" customHeight="1">
      <c r="A11" s="18" t="str">
        <v>IFAD (EC) Agroecological Transitions for Building Resilient, Inclusive, Agricultural and Food Systems (TRANSITIONS): Private sector incentives and investments</v>
      </c>
      <c r="B11" s="19" t="str">
        <v>AOW00</v>
      </c>
      <c r="C11" s="18" t="str">
        <v>Poverty Reduction, Livelihoods and Jobs</v>
      </c>
      <c r="D11" s="19">
        <v>0</v>
      </c>
      <c r="E11" s="19" t="str">
        <f>=SUM(D11:D14)</f>
        <v>0</v>
      </c>
    </row>
    <row r="12" ht="30" customHeight="1">
      <c r="A12" s="18" t="str">
        <v>IFAD (EC) Agroecological Transitions for Building Resilient, Inclusive, Agricultural and Food Systems (TRANSITIONS): Private sector incentives and investments</v>
      </c>
      <c r="B12" s="19" t="str">
        <v>AOW04</v>
      </c>
      <c r="C12" s="18" t="str">
        <v>OP 4.2.1. Institutional, social and behavioral mechanisms</v>
      </c>
      <c r="D12" s="19">
        <v>100000</v>
      </c>
      <c r="F12" s="19" t="str">
        <v>.</v>
      </c>
    </row>
    <row r="13" ht="30" customHeight="1">
      <c r="A13" s="18" t="str">
        <v>IFAD (EC) Agroecological Transitions for Building Resilient, Inclusive, Agricultural and Food Systems (TRANSITIONS): Private sector incentives and investments</v>
      </c>
      <c r="B13" s="19" t="str">
        <v>AOW03</v>
      </c>
      <c r="C13" s="18" t="str">
        <v>OP 3.2.2. Inclusive business models</v>
      </c>
      <c r="D13" s="19">
        <v>100000</v>
      </c>
      <c r="F13" s="19" t="str">
        <v>.</v>
      </c>
    </row>
    <row r="14" ht="30" customHeight="1">
      <c r="A14" s="18" t="str">
        <v>IFAD (EC) Agroecological Transitions for Building Resilient, Inclusive, Agricultural and Food Systems (TRANSITIONS): Private sector incentives and investments</v>
      </c>
      <c r="B14" s="19" t="str">
        <v>AOW01</v>
      </c>
      <c r="C14" s="18" t="str">
        <v>OP 1.2.5. – Nutrition-sensitive innovations</v>
      </c>
      <c r="D14" s="19">
        <v>145770</v>
      </c>
      <c r="F14" s="19" t="str">
        <v>.</v>
      </c>
    </row>
    <row r="15" ht="30" customHeight="1">
      <c r="A15" s="18" t="str">
        <v>UK – GCBC (UK-Defra) , Deploying Diversity as a Strategic Asset for Scaling of  Ethiopia’s Green Legacy Initiative for Climate Change  Resilience and Livelihoods</v>
      </c>
      <c r="B15" s="19" t="str">
        <v>AOW00</v>
      </c>
      <c r="C15" s="18" t="str">
        <v>Environmental Health and Biodiversity</v>
      </c>
      <c r="D15" s="19">
        <v>0</v>
      </c>
      <c r="E15" s="19" t="str">
        <f>=SUM(D15:D19)</f>
        <v>0</v>
      </c>
    </row>
    <row r="16" ht="30" customHeight="1">
      <c r="A16" s="18" t="str">
        <v>UK – GCBC (UK-Defra) , Deploying Diversity as a Strategic Asset for Scaling of  Ethiopia’s Green Legacy Initiative for Climate Change  Resilience and Livelihoods</v>
      </c>
      <c r="B16" s="19" t="str">
        <v>AOW05</v>
      </c>
      <c r="C16" s="18" t="str">
        <v>AOW-IOC 5.2 Landscape stakeholders contribute to data analysis and knowledge production</v>
      </c>
      <c r="D16" s="19">
        <v>44280</v>
      </c>
      <c r="F16" s="19" t="str">
        <v>.</v>
      </c>
    </row>
    <row r="17" ht="30" customHeight="1">
      <c r="A17" s="18" t="str">
        <v>UK – GCBC (UK-Defra) , Deploying Diversity as a Strategic Asset for Scaling of  Ethiopia’s Green Legacy Initiative for Climate Change  Resilience and Livelihoods</v>
      </c>
      <c r="B17" s="19" t="str">
        <v>AOW02</v>
      </c>
      <c r="C17" s="18" t="str">
        <v>OP 2.2.4. – Digital Twins for foresight</v>
      </c>
      <c r="D17" s="19">
        <v>100000</v>
      </c>
      <c r="F17" s="19" t="str">
        <v>.</v>
      </c>
    </row>
    <row r="18" ht="30" customHeight="1">
      <c r="A18" s="18" t="str">
        <v>UK – GCBC (UK-Defra) , Deploying Diversity as a Strategic Asset for Scaling of  Ethiopia’s Green Legacy Initiative for Climate Change  Resilience and Livelihoods</v>
      </c>
      <c r="B18" s="19" t="str">
        <v>AOW03</v>
      </c>
      <c r="C18" s="18" t="str">
        <v>OP 3.1.1. Capacity strengthening for producer organizations &amp; value chains</v>
      </c>
      <c r="D18" s="19">
        <v>100000</v>
      </c>
      <c r="F18" s="19" t="str">
        <v>.</v>
      </c>
    </row>
    <row r="19" ht="30" customHeight="1">
      <c r="A19" s="18" t="str">
        <v>UK – GCBC (UK-Defra) , Deploying Diversity as a Strategic Asset for Scaling of  Ethiopia’s Green Legacy Initiative for Climate Change  Resilience and Livelihoods</v>
      </c>
      <c r="B19" s="19" t="str">
        <v>AOW01</v>
      </c>
      <c r="C19" s="18" t="str">
        <v>OP 1.1.2. – Climate-smart adaptation &amp; mitigation bundles</v>
      </c>
      <c r="D19" s="19">
        <v>100000</v>
      </c>
      <c r="F19" s="19" t="str">
        <v>.</v>
      </c>
    </row>
    <row r="20" ht="30" customHeight="1">
      <c r="A20" s="18" t="str">
        <v>ANONYMOUS DONOR - Fruitful Lands India Phase II: Harnessing Fruit Tree Biodiversity as a Nature-Based Solution for Food Security, Nutrition, Human and Planetary Health</v>
      </c>
      <c r="B20" s="19" t="str">
        <v>AOW00</v>
      </c>
      <c r="C20" s="18" t="str">
        <v>Environmental Health and Biodiversity</v>
      </c>
      <c r="D20" s="19">
        <v>0</v>
      </c>
      <c r="E20" s="19" t="str">
        <f>=SUM(D20:D21)</f>
        <v>0</v>
      </c>
    </row>
    <row r="21" ht="30" customHeight="1">
      <c r="A21" s="18" t="str">
        <v>ANONYMOUS DONOR - Fruitful Lands India Phase II: Harnessing Fruit Tree Biodiversity as a Nature-Based Solution for Food Security, Nutrition, Human and Planetary Health</v>
      </c>
      <c r="B21" s="19" t="str">
        <v>AOW01</v>
      </c>
      <c r="C21" s="18" t="str">
        <v>OP 1.1.1. – Bundles of farm-level solutions</v>
      </c>
      <c r="D21" s="19">
        <v>254571</v>
      </c>
      <c r="F21" s="19" t="str">
        <v>.</v>
      </c>
    </row>
    <row r="22" ht="30" customHeight="1">
      <c r="A22" s="18" t="str">
        <v>Rural and sustainable innovation for regional development in conditions of climate variability in the Central RAP-E Region</v>
      </c>
      <c r="B22" s="19" t="str">
        <v>AOW04</v>
      </c>
      <c r="C22" s="18" t="str">
        <v>OP 4.1.2 GEYSI for co-creation and inclusive governance</v>
      </c>
      <c r="D22" s="19">
        <v>0</v>
      </c>
      <c r="E22" s="19" t="str">
        <f>=SUM(D22:D23)</f>
        <v>0</v>
      </c>
    </row>
    <row r="23" ht="30" customHeight="1">
      <c r="A23" s="18" t="str">
        <v>Rural and sustainable innovation for regional development in conditions of climate variability in the Central RAP-E Region</v>
      </c>
      <c r="B23" s="19" t="str">
        <v>AOW01</v>
      </c>
      <c r="C23" s="18" t="str">
        <v>OP 1.1.1. – Bundles of farm-level solutions</v>
      </c>
      <c r="D23" s="19">
        <v>0</v>
      </c>
    </row>
    <row r="24" ht="30" customHeight="1">
      <c r="A24" s="18" t="str">
        <v>THE FOOD PLANET PRIZE &amp; THE CURT BERGFORS FOUNDATION Agrobiodiversity Index</v>
      </c>
      <c r="B24" s="19" t="str">
        <v>AOW00</v>
      </c>
      <c r="C24" s="18" t="str">
        <v>2030 OC-5 National, regional, and global actors apply scientifically-sound evidence, knowledge products, and strengthened capacities on multifunctional landscapes</v>
      </c>
      <c r="D24" s="19">
        <v>0</v>
      </c>
      <c r="E24" s="19" t="str">
        <f>=SUM(D24:D25)</f>
        <v>0</v>
      </c>
    </row>
    <row r="25" ht="30" customHeight="1">
      <c r="A25" s="18" t="str">
        <v>THE FOOD PLANET PRIZE &amp; THE CURT BERGFORS FOUNDATION Agrobiodiversity Index</v>
      </c>
      <c r="B25" s="19" t="str">
        <v>AOW05</v>
      </c>
      <c r="C25" s="18" t="str">
        <v>OP 5.1.3. Cross-CGIAR assessment frameworks of impact indicators</v>
      </c>
      <c r="D25" s="19">
        <v>261261</v>
      </c>
      <c r="F25" s="19" t="str">
        <v>.</v>
      </c>
    </row>
    <row r="26" ht="30" customHeight="1">
      <c r="A26" s="18" t="str">
        <v>ITALY-Italy Voluntary contribution 2024 - Sustainable cocoa value chains in West Africa (A1701)</v>
      </c>
      <c r="B26" s="19" t="str">
        <v>AOW00</v>
      </c>
      <c r="C26" s="18" t="str">
        <v>2030 OC-3 National and sub-national public actors, market and finance sector actors co-design, implement, and sustain coordinated, inclusive and coherent policy, institutional, organizational, market and non-market innovations</v>
      </c>
      <c r="D26" s="19">
        <v>0</v>
      </c>
      <c r="E26" s="19" t="str">
        <f>=SUM(D26:D26)</f>
        <v>0</v>
      </c>
    </row>
    <row r="27" ht="30" customHeight="1">
      <c r="A27" s="18" t="str">
        <v>USA-USAID-Amazon Biodiversity Fund Brazil Fundo de Investimento em Participações Multiestratégia</v>
      </c>
      <c r="B27" s="19" t="str">
        <v>AOW00</v>
      </c>
      <c r="C27" s="18" t="str">
        <v>2030 OC-3 National and sub-national public actors, market and finance sector actors co-design, implement, and sustain coordinated, inclusive and coherent policy, institutional, organizational, market and non-market innovations</v>
      </c>
      <c r="D27" s="19">
        <v>0</v>
      </c>
      <c r="E27" s="19" t="str">
        <f>=SUM(D27:D28)</f>
        <v>0</v>
      </c>
    </row>
    <row r="28" ht="30" customHeight="1">
      <c r="A28" s="18" t="str">
        <v>USA-USAID-Amazon Biodiversity Fund Brazil Fundo de Investimento em Participações Multiestratégia</v>
      </c>
      <c r="B28" s="19" t="str">
        <v>AOW03</v>
      </c>
      <c r="C28" s="18" t="str">
        <v>OP 3.3.3. Co-designed inclusive market and non-market mechanisms for optimizing ecosystem services</v>
      </c>
      <c r="D28" s="19">
        <v>518003</v>
      </c>
      <c r="F28" s="19" t="str">
        <v>.</v>
      </c>
    </row>
    <row r="29" ht="30" customHeight="1">
      <c r="A29" s="18" t="str">
        <v>UK FCDO - Seed to tree: value  chains and partnerships for resilient restored forests in Malaysia</v>
      </c>
      <c r="B29" s="19" t="str">
        <v>AOW00</v>
      </c>
      <c r="C29" s="18" t="str">
        <v>2030 OC-3 National and sub-national public actors, market and finance sector actors co-design, implement, and sustain coordinated, inclusive and coherent policy, institutional, organizational, market and non-market innovations</v>
      </c>
      <c r="D29" s="19">
        <v>0</v>
      </c>
      <c r="E29" s="19" t="str">
        <f>=SUM(D29:D30)</f>
        <v>0</v>
      </c>
    </row>
    <row r="30" ht="30" customHeight="1">
      <c r="A30" s="18" t="str">
        <v>UK FCDO - Seed to tree: value  chains and partnerships for resilient restored forests in Malaysia</v>
      </c>
      <c r="B30" s="19" t="str">
        <v>AOW03</v>
      </c>
      <c r="C30" s="18" t="str">
        <v>OP 3.2.2. Inclusive business models</v>
      </c>
      <c r="D30" s="19">
        <v>759995</v>
      </c>
      <c r="F30" s="19" t="str">
        <v>.</v>
      </c>
    </row>
    <row r="31" ht="30" customHeight="1">
      <c r="A31" s="18" t="str">
        <v>BIUSA (Bezos Earth Fund)-Using genetic diversity to capture carbon through deep root systems in tropical soils  (Research and Capacity development)</v>
      </c>
      <c r="B31" s="19" t="str">
        <v>AOW00</v>
      </c>
      <c r="C31" s="18" t="str">
        <v>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v>
      </c>
      <c r="D31" s="19">
        <v>0</v>
      </c>
      <c r="E31" s="19" t="str">
        <f>=SUM(D31:D32)</f>
        <v>0</v>
      </c>
    </row>
    <row r="32" ht="30" customHeight="1">
      <c r="A32" s="18" t="str">
        <v>BIUSA (Bezos Earth Fund)-Using genetic diversity to capture carbon through deep root systems in tropical soils  (Research and Capacity development)</v>
      </c>
      <c r="B32" s="19" t="str">
        <v>AOW01</v>
      </c>
      <c r="C32" s="18" t="str">
        <v>OP 1.1.2. – Climate-smart adaptation &amp; mitigation bundles</v>
      </c>
      <c r="D32" s="19">
        <v>324405</v>
      </c>
      <c r="F32" s="19" t="str">
        <v>.</v>
      </c>
    </row>
    <row r="33" ht="30" customHeight="1">
      <c r="A33" s="18" t="str">
        <v>Fertilize Right Colombia</v>
      </c>
      <c r="B33" s="19" t="str">
        <v>AOW00</v>
      </c>
      <c r="C33" s="18" t="str">
        <v>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v>
      </c>
      <c r="D33" s="19">
        <v>0</v>
      </c>
      <c r="E33" s="19" t="str">
        <f>=SUM(D33:D34)</f>
        <v>0</v>
      </c>
    </row>
    <row r="34" ht="30" customHeight="1">
      <c r="A34" s="18" t="str">
        <v>Fertilize Right Colombia</v>
      </c>
      <c r="B34" s="19" t="str">
        <v>AOW01</v>
      </c>
      <c r="C34" s="18" t="str">
        <v>OP 1.1.1. – Bundles of farm-level solutions</v>
      </c>
      <c r="D34" s="19">
        <v>352641</v>
      </c>
      <c r="F34" s="19" t="str">
        <v>.</v>
      </c>
    </row>
    <row r="35" ht="30" customHeight="1">
      <c r="A35" s="18" t="str">
        <v>SCIENTIFIC AND TECHNICAL SUPPORT TO ASEAN COUNTRIES' SUSTAINABLE AGRICULTURE - 3S</v>
      </c>
      <c r="B35" s="19" t="str">
        <v>AOW01</v>
      </c>
      <c r="C35" s="18" t="str">
        <v>OP 1.1.1. – Bundles of farm-level solutions</v>
      </c>
      <c r="D35" s="19">
        <v>0</v>
      </c>
      <c r="E35" s="19" t="str">
        <f>=SUM(D35:D35)</f>
        <v>0</v>
      </c>
    </row>
    <row r="36" ht="30" customHeight="1">
      <c r="A36" s="3" t="str">
        <v>W3/Bilateral projects subtotal</v>
      </c>
      <c r="E36" s="3">
        <f>SUM(E2:E35)</f>
      </c>
    </row>
  </sheetData>
  <mergeCells count="25">
    <mergeCell ref="A2:A3"/>
    <mergeCell ref="A4:A7"/>
    <mergeCell ref="A8:A10"/>
    <mergeCell ref="A11:A14"/>
    <mergeCell ref="A15:A19"/>
    <mergeCell ref="A20:A21"/>
    <mergeCell ref="A22:A23"/>
    <mergeCell ref="A24:A25"/>
    <mergeCell ref="A27:A28"/>
    <mergeCell ref="A29:A30"/>
    <mergeCell ref="A31:A32"/>
    <mergeCell ref="A33:A34"/>
    <mergeCell ref="E2:E3"/>
    <mergeCell ref="E4:E7"/>
    <mergeCell ref="E8:E10"/>
    <mergeCell ref="E11:E14"/>
    <mergeCell ref="E15:E19"/>
    <mergeCell ref="E20:E21"/>
    <mergeCell ref="E22:E23"/>
    <mergeCell ref="E24:E25"/>
    <mergeCell ref="E27:E28"/>
    <mergeCell ref="E29:E30"/>
    <mergeCell ref="E31:E32"/>
    <mergeCell ref="E33:E34"/>
    <mergeCell ref="A36:D36"/>
  </mergeCells>
  <ignoredErrors>
    <ignoredError numberStoredAsText="1" sqref="A1:F36"/>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 xml:space="preserve">Landscape appropriate Impact Assessment system implementation </v>
      </c>
      <c r="B2" s="19" t="str">
        <v>AOW05</v>
      </c>
      <c r="C2"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2" s="19">
        <v>22124</v>
      </c>
      <c r="E2" s="19" t="str">
        <f>=SUM(D2:D2)</f>
        <v>0</v>
      </c>
      <c r="F2" s="19" t="str">
        <v>.</v>
      </c>
    </row>
    <row r="3" ht="30" customHeight="1">
      <c r="A3" s="18" t="str">
        <v>Landscape appropriate Impact Assessment baseline data collection in Peru and Colombia</v>
      </c>
      <c r="B3" s="19" t="str">
        <v>AOW05</v>
      </c>
      <c r="C3"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3" s="19">
        <v>145840</v>
      </c>
      <c r="E3" s="19" t="str">
        <f>=SUM(D3:D3)</f>
        <v>0</v>
      </c>
      <c r="F3" s="19" t="str">
        <v>.</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158986</v>
      </c>
      <c r="D2" s="20">
        <v>113710</v>
      </c>
      <c r="E2" s="20">
        <v>62332</v>
      </c>
      <c r="F2" s="20">
        <v>15852</v>
      </c>
      <c r="G2" s="20">
        <v>446216</v>
      </c>
      <c r="H2" s="20" t="str">
        <f>=SUM(B2:G2)</f>
        <v>0</v>
      </c>
    </row>
    <row r="3" ht="20" customHeight="1">
      <c r="A3" s="20" t="str">
        <v>Operations (supplies, consultants, travels, workshops, other)</v>
      </c>
      <c r="B3" s="20">
        <v>0</v>
      </c>
      <c r="C3" s="20">
        <v>313263</v>
      </c>
      <c r="D3" s="20">
        <v>184116</v>
      </c>
      <c r="E3" s="20">
        <v>260452</v>
      </c>
      <c r="F3" s="20">
        <v>138774</v>
      </c>
      <c r="G3" s="20">
        <v>89109</v>
      </c>
      <c r="H3" s="20" t="str">
        <f>=SUM(B3:G3)</f>
        <v>0</v>
      </c>
    </row>
    <row r="4" ht="20" customHeight="1">
      <c r="A4" s="20" t="str">
        <v>Staffing, Chargebacks and Indirect</v>
      </c>
      <c r="B4" s="20">
        <v>0</v>
      </c>
      <c r="C4" s="20">
        <v>694373</v>
      </c>
      <c r="D4" s="20">
        <v>395308</v>
      </c>
      <c r="E4" s="20">
        <v>481738</v>
      </c>
      <c r="F4" s="20">
        <v>254078</v>
      </c>
      <c r="G4" s="20">
        <v>228551</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