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560000</v>
      </c>
      <c r="M4" s="5">
        <v>0</v>
      </c>
    </row>
    <row r="5" ht="20" customHeight="1">
      <c r="A5" s="2" t="str">
        <v>AOW01: Accelerating AI-Enabled Farm Advisory at Scale.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Enabling Preparedness and Rapid Response to Emerging Shocks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Delivering Integrated Solutions to Systemic Farm-Level Binding Constraints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Incubating Innovation in Sustainable Farming</v>
      </c>
      <c r="B8" s="2">
        <v>0</v>
      </c>
      <c r="C8" s="5">
        <v>0</v>
      </c>
      <c r="D8" s="2">
        <v>4</v>
      </c>
      <c r="E8" s="5">
        <v>800000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800000</v>
      </c>
      <c r="M8" s="5">
        <v>0</v>
      </c>
    </row>
    <row r="9" ht="20" customHeight="1">
      <c r="A9" s="2" t="str">
        <v>AOW05: Accelerating Impact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Program Director Discretionary Fund</v>
      </c>
      <c r="C2" s="11" t="str">
        <v>Funding allocation is accessible to the Program Director to address emerging opportunities and gaps, and strategic Program Level issues</v>
      </c>
      <c r="D2" s="11">
        <v>200000</v>
      </c>
      <c r="E2" s="11" t="str">
        <v>Program Director discretionary fund. This is not part of the 10% for cross-cutting program management costs.</v>
      </c>
    </row>
    <row r="3" ht="45" customHeight="1">
      <c r="A3" s="11" t="str">
        <v>AOW00</v>
      </c>
      <c r="B3" s="11" t="str">
        <v xml:space="preserve">Program Level Communication </v>
      </c>
      <c r="C3" s="11" t="str">
        <v>Implementation of the 2026 Communication activities informed by the SFP Communications Strategy</v>
      </c>
      <c r="D3" s="11">
        <v>0</v>
      </c>
    </row>
    <row r="4" ht="45" customHeight="1">
      <c r="A4" s="11" t="str">
        <v>AOW00</v>
      </c>
      <c r="B4" s="11" t="str">
        <v xml:space="preserve">Other PMU Operations </v>
      </c>
      <c r="C4" s="11" t="str">
        <v>Travel, office supplies, and services, charge back, etc., for the PMU team</v>
      </c>
      <c r="D4" s="11">
        <v>0</v>
      </c>
    </row>
    <row r="5" ht="45" customHeight="1">
      <c r="A5" s="11" t="str">
        <v>AOW00</v>
      </c>
      <c r="B5" s="11" t="str">
        <v>Program Director and Associated Costs</v>
      </c>
      <c r="C5" s="11" t="str">
        <v>Program Director FTE, general administrative support, meetings and workshops, travel, smaller consultancies, and miscellaneous operating costs.</v>
      </c>
      <c r="D5" s="11">
        <v>0</v>
      </c>
    </row>
    <row r="6" ht="45" customHeight="1">
      <c r="A6" s="11" t="str">
        <v>AOW00</v>
      </c>
      <c r="B6" s="11" t="str">
        <v xml:space="preserve">PMU Team </v>
      </c>
      <c r="C6" s="11" t="str">
        <v>FTE for the Program Coordinator and MELIA Focal Point, and allowing for technical support for Communication, Finance, and Administration Functions.</v>
      </c>
      <c r="D6" s="11">
        <v>0</v>
      </c>
    </row>
    <row r="7" ht="45" customHeight="1">
      <c r="A7" s="11" t="str">
        <v>AOW00</v>
      </c>
      <c r="B7" s="11" t="str">
        <v xml:space="preserve">Area of Work (AoW) Leaders </v>
      </c>
      <c r="C7" s="11" t="str">
        <v xml:space="preserve">5 AoW Leads FTEs as guided by the SO </v>
      </c>
      <c r="D7" s="11">
        <v>360000</v>
      </c>
      <c r="E7" s="11" t="str">
        <v>AoWs 1, 2, 3 and 5 leads budgeted at 50% FTE, AoW 4 at 25% FTE. The budget will be reallocated to the centers as soon as the AoW leads are confirmed.</v>
      </c>
    </row>
    <row r="8" ht="45" customHeight="1">
      <c r="A8" s="11" t="str">
        <v>AOW00</v>
      </c>
      <c r="B8" s="11" t="str">
        <v>Program Level MELIA Activities</v>
      </c>
      <c r="C8" s="11" t="str">
        <v>Implementation of the 2026 Program Level MELIA activities, informed by the overall Program MELIA Plan</v>
      </c>
      <c r="D8" s="11">
        <v>0</v>
      </c>
    </row>
    <row r="9" ht="45" customHeight="1">
      <c r="A9" s="11" t="str">
        <v>AOW00</v>
      </c>
      <c r="B9" s="11" t="str">
        <v>CGIAR Program Finance Support</v>
      </c>
      <c r="C9" s="11" t="str">
        <v>Shared Portfolio-Level Finance Support Services</v>
      </c>
      <c r="D9" s="11">
        <v>0</v>
      </c>
    </row>
    <row r="10" ht="45" customHeight="1">
      <c r="A10" s="11" t="str">
        <v>AOW00</v>
      </c>
      <c r="B10" s="11" t="str">
        <v>Program Leadership Meetings</v>
      </c>
      <c r="C10" s="11" t="str">
        <v>In-person planning, oversight, and progress review leadership meetings, including an annual pause and reflect forum.</v>
      </c>
      <c r="D10" s="11">
        <v>0</v>
      </c>
    </row>
  </sheetData>
  <mergeCells count="1">
    <mergeCell ref="A2:A10"/>
  </mergeCells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AOW04</v>
      </c>
      <c r="B3" s="11" t="str">
        <v xml:space="preserve">4.1. A pipeline of at least eight high-risk, high-reward, early-stage research ideas </v>
      </c>
      <c r="C3" s="11" t="str">
        <v>Results from at least 4 seed grant-funded tests, demonstrating the feasibility, potential impact and sustainability of the proposed solutions; including data on their viability and initial performance in relevant agricultural contexts</v>
      </c>
      <c r="D3" s="11" t="str">
        <v>Number of knowledge products</v>
      </c>
      <c r="E3" s="11" t="str">
        <v>Global</v>
      </c>
      <c r="F3" s="11">
        <v>4</v>
      </c>
      <c r="G3" s="11">
        <v>800000</v>
      </c>
      <c r="H3" s="11">
        <f>SUM(G3:G3)</f>
      </c>
      <c r="I3" s="11" t="str">
        <v>The budget will be allocated to centers after the competitive process</v>
      </c>
    </row>
    <row r="4" ht="25" customHeight="1">
      <c r="B4" s="14" t="str">
        <v>HLO budget subtotal</v>
      </c>
      <c r="H4" s="15">
        <f>SUM(H3:H3)</f>
      </c>
    </row>
  </sheetData>
  <mergeCells count="7">
    <mergeCell ref="A1:A2"/>
    <mergeCell ref="B1:B2"/>
    <mergeCell ref="C1:G1"/>
    <mergeCell ref="H1:H2"/>
    <mergeCell ref="I1:I2"/>
    <mergeCell ref="B4:G4"/>
    <mergeCell ref="A3:A4"/>
  </mergeCells>
  <ignoredErrors>
    <ignoredError numberStoredAsText="1" sqref="A1:I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 ht="30" customHeight="1" xml:space="preserve">
      <c r="A2" s="18" t="str" xml:space="preserve">
        <v xml:space="preserve">Digital inclusivity of AI advisories and SFP solutions assessed using CGIAR Inclusivity Index to ensure equitable access for women, youth, and disadvantaged groups.
 </v>
      </c>
      <c r="B2" s="19" t="str">
        <v>AOW00</v>
      </c>
      <c r="C2" s="18" t="str">
        <v xml:space="preserve">5b: CGIAR and its partners leverage standardized tools, MELIA frameworks, partnership platforms, and FAIR, AI-ready </v>
      </c>
      <c r="D2" s="19">
        <v>0</v>
      </c>
      <c r="E2" s="19" t="str">
        <f>=SUM(D2:D4)</f>
        <v>0</v>
      </c>
    </row>
    <row r="3" ht="30" customHeight="1" xml:space="preserve">
      <c r="A3" s="18" t="str" xml:space="preserve">
        <v xml:space="preserve">Digital inclusivity of AI advisories and SFP solutions assessed using CGIAR Inclusivity Index to ensure equitable access for women, youth, and disadvantaged groups.
 </v>
      </c>
      <c r="B3" s="19" t="str">
        <v>AOW05</v>
      </c>
      <c r="C3" s="18" t="str">
        <v xml:space="preserve">5.4: SFP teams and partners use Standard MELIA tools and KPI framework </v>
      </c>
      <c r="D3" s="19">
        <v>0</v>
      </c>
    </row>
    <row r="4" ht="30" customHeight="1" xml:space="preserve">
      <c r="A4" s="18" t="str" xml:space="preserve">
        <v xml:space="preserve">Digital inclusivity of AI advisories and SFP solutions assessed using CGIAR Inclusivity Index to ensure equitable access for women, youth, and disadvantaged groups.
 </v>
      </c>
      <c r="B4" s="19" t="str">
        <v>AOW01</v>
      </c>
      <c r="C4" s="18" t="str">
        <v xml:space="preserve">1.3: Partners adopt benchmarking tools </v>
      </c>
      <c r="D4" s="19">
        <v>0</v>
      </c>
    </row>
    <row r="5" ht="30" customHeight="1">
      <c r="A5" s="3" t="str">
        <v>MELIA Studies Budget subtotal</v>
      </c>
      <c r="E5" s="3">
        <f>SUM(E2:E4)</f>
      </c>
    </row>
  </sheetData>
  <mergeCells count="3">
    <mergeCell ref="A2:A4"/>
    <mergeCell ref="E2:E4"/>
    <mergeCell ref="A5:D5"/>
  </mergeCells>
  <ignoredErrors>
    <ignoredError numberStoredAsText="1" sqref="A1:F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 t="str">
        <f>=SUM(B2:G2)</f>
        <v>0</v>
      </c>
    </row>
    <row r="3" ht="20" customHeight="1">
      <c r="A3" s="20" t="str">
        <v>Operations (supplies, consultants, travels, workshops, other)</v>
      </c>
      <c r="B3" s="20">
        <v>200000</v>
      </c>
      <c r="C3" s="20">
        <v>0</v>
      </c>
      <c r="D3" s="20">
        <v>0</v>
      </c>
      <c r="E3" s="20">
        <v>0</v>
      </c>
      <c r="F3" s="20">
        <v>800000</v>
      </c>
      <c r="G3" s="20">
        <v>0</v>
      </c>
      <c r="H3" s="20" t="str">
        <f>=SUM(B3:G3)</f>
        <v>0</v>
      </c>
    </row>
    <row r="4" ht="20" customHeight="1">
      <c r="A4" s="20" t="str">
        <v>Staffing, Chargebacks and Indirect</v>
      </c>
      <c r="B4" s="20">
        <v>360000</v>
      </c>
      <c r="C4" s="20">
        <v>0</v>
      </c>
      <c r="D4" s="20">
        <v>0</v>
      </c>
      <c r="E4" s="20">
        <v>0</v>
      </c>
      <c r="F4" s="20">
        <v>0</v>
      </c>
      <c r="G4" s="20">
        <v>0</v>
      </c>
      <c r="H4" s="20" t="str">
        <f>=SUM(B4:G4)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