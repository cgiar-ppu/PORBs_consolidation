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20200</v>
      </c>
      <c r="M4" s="5">
        <v>0</v>
      </c>
    </row>
    <row r="5" ht="20" customHeight="1">
      <c r="A5" s="2" t="str">
        <v>AOW01: Productivity+</v>
      </c>
      <c r="B5" s="2">
        <v>6</v>
      </c>
      <c r="C5" s="5">
        <v>720161</v>
      </c>
      <c r="D5" s="2">
        <v>3</v>
      </c>
      <c r="E5" s="5">
        <v>79701</v>
      </c>
      <c r="F5" s="2">
        <v>0</v>
      </c>
      <c r="G5" s="5">
        <v>0</v>
      </c>
      <c r="H5" s="2">
        <v>350285</v>
      </c>
      <c r="I5" s="5">
        <v>513503</v>
      </c>
      <c r="J5" s="5">
        <v>0</v>
      </c>
      <c r="K5" s="5">
        <v>0</v>
      </c>
      <c r="L5" s="5">
        <v>1313365</v>
      </c>
      <c r="M5" s="5">
        <v>1922881</v>
      </c>
    </row>
    <row r="6" ht="20" customHeight="1">
      <c r="A6" s="2" t="str">
        <v>AOW02: Climate and the Environment</v>
      </c>
      <c r="B6" s="2">
        <v>0</v>
      </c>
      <c r="C6" s="5">
        <v>0</v>
      </c>
      <c r="D6" s="2">
        <v>1</v>
      </c>
      <c r="E6" s="5">
        <v>69680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69680</v>
      </c>
      <c r="M6" s="5">
        <v>395084</v>
      </c>
    </row>
    <row r="7" ht="20" customHeight="1">
      <c r="A7" s="2" t="str">
        <v>AOW03: One Health</v>
      </c>
      <c r="B7" s="2">
        <v>0</v>
      </c>
      <c r="C7" s="5">
        <v>0</v>
      </c>
      <c r="D7" s="2">
        <v>1</v>
      </c>
      <c r="E7" s="5">
        <v>52000</v>
      </c>
      <c r="F7" s="2">
        <v>300</v>
      </c>
      <c r="G7" s="5">
        <v>69841</v>
      </c>
      <c r="H7" s="2">
        <v>0</v>
      </c>
      <c r="I7" s="5">
        <v>0</v>
      </c>
      <c r="J7" s="5">
        <v>3000</v>
      </c>
      <c r="K7" s="5">
        <v>0</v>
      </c>
      <c r="L7" s="5">
        <v>124841</v>
      </c>
      <c r="M7" s="5">
        <v>182727</v>
      </c>
    </row>
    <row r="8" ht="20" customHeight="1">
      <c r="A8" s="2" t="str">
        <v>AOW04: Market Systems, Policy Solutions and Scaling</v>
      </c>
      <c r="B8" s="2">
        <v>0</v>
      </c>
      <c r="C8" s="5">
        <v>0</v>
      </c>
      <c r="D8" s="2">
        <v>1</v>
      </c>
      <c r="E8" s="5">
        <v>97261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97261</v>
      </c>
      <c r="M8" s="5">
        <v>898817</v>
      </c>
    </row>
    <row r="9" ht="20" customHeight="1">
      <c r="A9" s="2" t="str">
        <v>AOW05: Gender, Youth and Social Inclusion</v>
      </c>
      <c r="B9" s="2">
        <v>0</v>
      </c>
      <c r="C9" s="5">
        <v>0</v>
      </c>
      <c r="D9" s="2">
        <v>1</v>
      </c>
      <c r="E9" s="5">
        <v>103974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103974</v>
      </c>
      <c r="M9" s="5">
        <v>192603</v>
      </c>
    </row>
    <row r="10" ht="20" customHeight="1">
      <c r="A10" s="2" t="str">
        <v>AOW06: Data and Digital Solutions</v>
      </c>
      <c r="B10" s="2">
        <v>0</v>
      </c>
      <c r="C10" s="5">
        <v>0</v>
      </c>
      <c r="D10" s="2">
        <v>2</v>
      </c>
      <c r="E10" s="5">
        <v>119452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119452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Leads</v>
      </c>
      <c r="C2" s="11" t="str">
        <v>Six (6) AOW Leads averaging 21.67% FTE</v>
      </c>
      <c r="D2" s="11">
        <v>0</v>
      </c>
    </row>
    <row r="3" ht="45" customHeight="1">
      <c r="A3" s="11" t="str">
        <v>AOW00</v>
      </c>
      <c r="B3" s="11" t="str">
        <v>Program Meetings and Workshops</v>
      </c>
      <c r="C3" s="11" t="str">
        <v>In-person progress, review, or planning meetings for program leadership, including the annual pause and reflect event</v>
      </c>
      <c r="D3" s="11">
        <v>0</v>
      </c>
    </row>
    <row r="4" ht="45" customHeight="1">
      <c r="A4" s="11" t="str">
        <v>AOW00</v>
      </c>
      <c r="B4" s="11" t="str">
        <v>Program Director Discretionary</v>
      </c>
      <c r="C4" s="11" t="str">
        <v>As directed by the SO; funds for consultants, meetings, travel, workshops, supplies, and other admin support needed by the Program Director in 2026 to address emerging opportunities and gaps or strategic program level issues</v>
      </c>
      <c r="D4" s="11">
        <v>0</v>
      </c>
    </row>
    <row r="5" ht="45" customHeight="1">
      <c r="A5" s="11" t="str">
        <v>AOW00</v>
      </c>
      <c r="B5" s="11" t="str">
        <v>Program Director Operations Costs</v>
      </c>
      <c r="C5" s="11" t="str">
        <v>As instructed by the SO; Travel, consultants, supplies, admin support, meetings or workshops required by the Director to perform their role</v>
      </c>
      <c r="D5" s="11">
        <v>0</v>
      </c>
    </row>
    <row r="6" ht="45" customHeight="1">
      <c r="A6" s="11" t="str">
        <v>AOW00</v>
      </c>
      <c r="B6" s="11" t="str">
        <v>Other PMU Operations</v>
      </c>
      <c r="C6" s="11" t="str">
        <v>Travel, office supplies, and other charge-backs for PMU team</v>
      </c>
      <c r="D6" s="11">
        <v>0</v>
      </c>
    </row>
    <row r="7" ht="45" customHeight="1">
      <c r="A7" s="11" t="str">
        <v>AOW00</v>
      </c>
      <c r="B7" s="11" t="str">
        <v>SO Central Finance Funds</v>
      </c>
      <c r="C7" s="11" t="str">
        <v>As required by the SO</v>
      </c>
      <c r="D7" s="11">
        <v>0</v>
      </c>
    </row>
    <row r="8" ht="45" customHeight="1">
      <c r="A8" s="11" t="str">
        <v>AOW00</v>
      </c>
      <c r="B8" s="11" t="str">
        <v>Program MELIA Funds</v>
      </c>
      <c r="C8" s="11" t="str">
        <v>Program funds for implementation of the MELIA plan</v>
      </c>
      <c r="D8" s="11">
        <v>0</v>
      </c>
    </row>
    <row r="9" ht="45" customHeight="1">
      <c r="A9" s="11" t="str">
        <v>AOW00</v>
      </c>
      <c r="B9" s="11" t="str">
        <v>Program Communications Operations</v>
      </c>
      <c r="C9" s="11" t="str">
        <v>Program communications funds to implement CKM strategy</v>
      </c>
      <c r="D9" s="11">
        <v>0</v>
      </c>
    </row>
    <row r="10" ht="45" customHeight="1">
      <c r="A10" s="11" t="str">
        <v>AOW00</v>
      </c>
      <c r="B10" s="11" t="str">
        <v>PMU Team</v>
      </c>
      <c r="C10" s="11" t="str">
        <v>Staff fees for Program Coordinator (50%), Program MELIA Focal Point (20%) and Program CKM Lead (50%) and any other administrative roles/needs</v>
      </c>
      <c r="D10" s="11">
        <v>20200</v>
      </c>
      <c r="E10" s="11" t="str">
        <v>PMU - Finance Focal Point 25% LoE</v>
      </c>
    </row>
    <row r="11" ht="45" customHeight="1">
      <c r="A11" s="11" t="str">
        <v>AOW00</v>
      </c>
      <c r="B11" s="11" t="str">
        <v>Program Director Staff Costs</v>
      </c>
      <c r="C11" s="11" t="str">
        <v>100% FTE Program Director and associated cost recovery</v>
      </c>
      <c r="D11" s="11">
        <v>0</v>
      </c>
    </row>
  </sheetData>
  <mergeCells count="1">
    <mergeCell ref="A2:A11"/>
  </mergeCells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HLO 1.1 - Sustainable breeding and conservation programs and inclusive delivery models</v>
      </c>
      <c r="C3" s="11" t="str">
        <v>CRITICAL CAPABILITY - Use facilities at the Aquaculture Research Centre to support the continuous provision of advanced generations of genetically improved GIFT tilapia to national public and private hatcheries</v>
      </c>
      <c r="D3" s="11" t="str">
        <v xml:space="preserve"> Critical capabilities </v>
      </c>
      <c r="E3" s="11" t="str">
        <v>Global</v>
      </c>
      <c r="F3" s="11">
        <v>95235</v>
      </c>
      <c r="G3" s="11">
        <v>321693</v>
      </c>
      <c r="H3" s="11">
        <f>SUM(G3:G10)</f>
      </c>
      <c r="I3" s="11" t="str">
        <v>as per approved budget</v>
      </c>
    </row>
    <row r="4" ht="50" customHeight="1">
      <c r="A4" s="11" t="str">
        <v>AOW01</v>
      </c>
      <c r="C4" s="11" t="str">
        <v>Tilapia breeding and dissemination - Publications and publication pipeline relating to tilapia genetic improvement and dissemination</v>
      </c>
      <c r="D4" s="11" t="str">
        <v>Number of knowledge products</v>
      </c>
      <c r="E4" s="11" t="str">
        <v>Global</v>
      </c>
      <c r="F4" s="11">
        <v>3</v>
      </c>
      <c r="G4" s="11">
        <v>79701</v>
      </c>
      <c r="I4" s="11" t="str">
        <v>The best information available</v>
      </c>
    </row>
    <row r="5" ht="50" customHeight="1">
      <c r="A5" s="11" t="str">
        <v>AOW01</v>
      </c>
      <c r="C5" s="11" t="str">
        <v>Tilapia breedng and dissemination - Dissemination of improved Tilapia to farmers through hatcheries</v>
      </c>
      <c r="D5" s="11" t="str">
        <v>Number of farmers receiving improved strains of Tilapia</v>
      </c>
      <c r="E5" s="11" t="str">
        <v>Country: Bangladesh, Nigeria</v>
      </c>
      <c r="F5" s="11">
        <v>5000</v>
      </c>
      <c r="G5" s="11">
        <v>36016</v>
      </c>
      <c r="I5" s="11" t="str">
        <v>The best information available</v>
      </c>
    </row>
    <row r="6" ht="50" customHeight="1">
      <c r="A6" s="11" t="str">
        <v>AOW01</v>
      </c>
      <c r="C6" s="11" t="str">
        <v>Tilapia breeding and dissemination - Dissemination of G20 GIFT and G19 GIANT to hatcheries to allow dissemination to farmers from 2027</v>
      </c>
      <c r="D6" s="11" t="str">
        <v>Number of hatcheries receiving improved strains of Tilapia</v>
      </c>
      <c r="E6" s="11" t="str">
        <v>Global</v>
      </c>
      <c r="F6" s="11">
        <v>20</v>
      </c>
      <c r="G6" s="11">
        <v>44938</v>
      </c>
      <c r="I6" s="11" t="str">
        <v>The best information available</v>
      </c>
    </row>
    <row r="7" ht="50" customHeight="1">
      <c r="A7" s="11" t="str">
        <v>AOW01</v>
      </c>
      <c r="C7" s="11" t="str">
        <v>Tilapia breeding and dissemination - 250+ advanced generation families across 4 strains.</v>
      </c>
      <c r="D7" s="11" t="str">
        <v>Number of innovations (innovation development)</v>
      </c>
      <c r="E7" s="11" t="str">
        <v>Global</v>
      </c>
      <c r="F7" s="11">
        <v>3</v>
      </c>
      <c r="G7" s="11">
        <v>309613</v>
      </c>
      <c r="I7" s="11" t="str">
        <v>The best information available</v>
      </c>
    </row>
    <row r="8" ht="50" customHeight="1">
      <c r="A8" s="11" t="str">
        <v>AOW01</v>
      </c>
      <c r="C8" s="11" t="str">
        <v xml:space="preserve">Genetic improvement and dissemination of carp –   Dissemination of G3 Rohu to farmers  through hatcheries </v>
      </c>
      <c r="D8" s="11" t="str">
        <v>Number of farmers receiving improved strains of carp</v>
      </c>
      <c r="E8" s="11" t="str">
        <v>Country: Bangladesh</v>
      </c>
      <c r="F8" s="11">
        <v>250000</v>
      </c>
      <c r="G8" s="11">
        <v>14013</v>
      </c>
      <c r="I8" s="11" t="str">
        <v>The best information available</v>
      </c>
    </row>
    <row r="9" ht="50" customHeight="1">
      <c r="A9" s="11" t="str">
        <v>AOW01</v>
      </c>
      <c r="C9" s="11" t="str">
        <v>Genetic improvement and dissemination of carp – Dissemination of G5 rohu and G4 silver carp to hatcheries to allow dissemination to farmers from 2028</v>
      </c>
      <c r="D9" s="11" t="str">
        <v>Number of hatcheries receiving improved strains of carp</v>
      </c>
      <c r="E9" s="11" t="str">
        <v>Country: Bangladesh</v>
      </c>
      <c r="F9" s="11">
        <v>30</v>
      </c>
      <c r="G9" s="11">
        <v>96843</v>
      </c>
      <c r="I9" s="11" t="str">
        <v>The best information available</v>
      </c>
    </row>
    <row r="10" ht="50" customHeight="1">
      <c r="A10" s="11" t="str">
        <v>AOW01</v>
      </c>
      <c r="C10" s="11" t="str">
        <v>Genetic improvement and dissemination of carp - 300+ advanced generation families across 3 species.</v>
      </c>
      <c r="D10" s="11" t="str">
        <v>Number of innovations (innovation development)</v>
      </c>
      <c r="E10" s="11" t="str">
        <v>Country: Bangladesh</v>
      </c>
      <c r="F10" s="11">
        <v>3</v>
      </c>
      <c r="G10" s="11">
        <v>410548</v>
      </c>
      <c r="I10" s="11" t="str">
        <v>The best information available</v>
      </c>
    </row>
    <row r="11" ht="25" customHeight="1">
      <c r="B11" s="14" t="str">
        <v>HLO budget subtotal</v>
      </c>
      <c r="H11" s="15">
        <f>SUM(H3:H10)</f>
      </c>
    </row>
    <row r="12" ht="50" customHeight="1">
      <c r="A12" s="13" t="str">
        <v>AOW02</v>
      </c>
      <c r="B12" s="11" t="str">
        <v xml:space="preserve">HLO 2.1 - Evidence of the benefits and impacts on climate and the environment </v>
      </c>
      <c r="C12" s="11" t="str">
        <v>Aquaculture Adaptation Decision Support - Aquaculture Climate Risk Profiles &amp; Innovation Pathways – Compile, clean and harmonize climate projections, historical climate data, aquaculture and socio-economic data to produce a unified aquaculture climate risk database, supporting vulnerability and adaptation modelling across geographies; produce aquaculture climate risk profiles for key SAAF aquaculture geographies; co-develop climate-informed pathways for future innovation in collaboration with genetics, animal health, GESI, and policy teams.</v>
      </c>
      <c r="D12" s="11" t="str">
        <v>Number of knowledge products</v>
      </c>
      <c r="E12" s="11" t="str">
        <v>Global</v>
      </c>
      <c r="F12" s="11">
        <v>1</v>
      </c>
      <c r="G12" s="11">
        <v>69680</v>
      </c>
      <c r="H12" s="11">
        <f>SUM(G12:G12)</f>
      </c>
      <c r="I12" s="11" t="str">
        <v>The best information available</v>
      </c>
    </row>
    <row r="13" ht="25" customHeight="1">
      <c r="B13" s="15" t="str">
        <v>HLO budget subtotal</v>
      </c>
      <c r="H13" s="15">
        <f>SUM(H12:H12)</f>
      </c>
    </row>
    <row r="14" ht="50" customHeight="1">
      <c r="A14" s="13" t="str">
        <v>AOW03</v>
      </c>
      <c r="B14" s="11" t="str">
        <v xml:space="preserve">HLO 3.3 - Targeted innovations and incentives to reduce antimicrobial use and mitigate antimicrobial risks </v>
      </c>
      <c r="C14" s="11" t="str">
        <v xml:space="preserve">A circular One Health Approach for integrated livestock-fish-crop systems - Recommendation guidelines for integrated antimicrobial resistance (AMR) surveillance and innovative solutions to reduce AMR in aquaculture systems. </v>
      </c>
      <c r="D14" s="11" t="str">
        <v>Number of knowledge products</v>
      </c>
      <c r="E14" s="11" t="str">
        <v>Country: Bangladesh</v>
      </c>
      <c r="F14" s="11">
        <v>1</v>
      </c>
      <c r="G14" s="11">
        <v>52000</v>
      </c>
      <c r="H14" s="11">
        <f>SUM(G14:G14)</f>
      </c>
      <c r="I14" s="11" t="str">
        <v>The best information available</v>
      </c>
    </row>
    <row r="15" ht="50" customHeight="1">
      <c r="A15" s="11" t="str">
        <v>AOW03</v>
      </c>
      <c r="B15" s="11" t="str">
        <v>HLO 3.4 - Optimized One Health service delivery model​</v>
      </c>
      <c r="C15" s="11" t="str">
        <v>A circular One Health Approach for integrated livestock-fish-crop systems - Enhancing national capacity through One Health training and action in Bangladesh.</v>
      </c>
      <c r="D15" s="11" t="str">
        <v>Number of people trained (capacity sharing for development)</v>
      </c>
      <c r="E15" s="11" t="str">
        <v>Country: Bangladesh</v>
      </c>
      <c r="F15" s="11">
        <v>300</v>
      </c>
      <c r="G15" s="11">
        <v>69841</v>
      </c>
      <c r="H15" s="11">
        <f>SUM(G15:G15)</f>
      </c>
      <c r="I15" s="11" t="str">
        <v>The best information available</v>
      </c>
    </row>
    <row r="16" ht="25" customHeight="1">
      <c r="B16" s="15" t="str">
        <v>HLO budget subtotal</v>
      </c>
      <c r="H16" s="15">
        <f>SUM(H14:H15)</f>
      </c>
    </row>
    <row r="17" ht="50" customHeight="1">
      <c r="A17" s="13" t="str">
        <v>AOW04</v>
      </c>
      <c r="B17" s="11" t="str">
        <v xml:space="preserve">HLO 4.4 - Policy analysis and engagement processes for improved governance and effectiveness </v>
      </c>
      <c r="C17" s="11" t="str">
        <v>Building Inclusive and Nutrition-Sensitive Small Indigenous Fish Value Chains Pathways - Scientific evidence mapping small fish value chains and co-developing system diagnostics to identify blockages, incentive gaps, and enabling conditions for scaling nutrition-sensitive aquatic food systems, aiming to provide policy recommendations</v>
      </c>
      <c r="D17" s="11" t="str">
        <v>Number of knowledge products</v>
      </c>
      <c r="E17" s="11" t="str">
        <v>Country: India</v>
      </c>
      <c r="F17" s="11">
        <v>1</v>
      </c>
      <c r="G17" s="11">
        <v>97261</v>
      </c>
      <c r="H17" s="11">
        <f>SUM(G17:G17)</f>
      </c>
      <c r="I17" s="11" t="str">
        <v>The best information available</v>
      </c>
    </row>
    <row r="18" ht="25" customHeight="1">
      <c r="B18" s="15" t="str">
        <v>HLO budget subtotal</v>
      </c>
      <c r="H18" s="15">
        <f>SUM(H17:H17)</f>
      </c>
    </row>
    <row r="19" ht="50" customHeight="1">
      <c r="A19" s="13" t="str">
        <v>AOW05</v>
      </c>
      <c r="B19" s="11" t="str">
        <v>HLO 5.2 - Tested interventions for women &amp; youth empowerment and  for equitable norms  and policies</v>
      </c>
      <c r="C19" s="11" t="str">
        <v>Gender-Transformative and Empowerment Interventions for Women- and Youth-Led Businesses - An approach to integrating gender considerations in fisheries and aquaculture development policy</v>
      </c>
      <c r="D19" s="11" t="str">
        <v>Number of knowledge products</v>
      </c>
      <c r="E19" s="11" t="str">
        <v>Global</v>
      </c>
      <c r="F19" s="11">
        <v>1</v>
      </c>
      <c r="G19" s="11">
        <v>103974</v>
      </c>
      <c r="H19" s="11">
        <f>SUM(G19:G19)</f>
      </c>
      <c r="I19" s="11" t="str">
        <v>The best estimation available</v>
      </c>
    </row>
    <row r="20" ht="25" customHeight="1">
      <c r="B20" s="15" t="str">
        <v>HLO budget subtotal</v>
      </c>
      <c r="H20" s="15">
        <f>SUM(H19:H19)</f>
      </c>
    </row>
    <row r="21" ht="50" customHeight="1">
      <c r="A21" s="13" t="str">
        <v>AOW06</v>
      </c>
      <c r="B21" s="11" t="str">
        <v>HLO 6.1 - Develop and promote standardized, FAIR-aligned data protocols, ethical guidelines, best practices, and inform institutional practice and policies</v>
      </c>
      <c r="C21" s="11" t="str">
        <v xml:space="preserve">Building Digital Ecosystems for Animal and Aquatic Food System Transformation - Country Digital Landscape Assessments: National digital landscape assessments will be conducted in to map data ecosystems, identify priority needs, and assess enabling conditions for scaling digital innovations. </v>
      </c>
      <c r="D21" s="11" t="str">
        <v>Number of knowledge products</v>
      </c>
      <c r="E21" s="11" t="str">
        <v>Global</v>
      </c>
      <c r="F21" s="11">
        <v>2</v>
      </c>
      <c r="G21" s="11">
        <v>119452</v>
      </c>
      <c r="H21" s="11">
        <f>SUM(G21:G21)</f>
      </c>
      <c r="I21" s="11" t="str">
        <v>The best information available</v>
      </c>
    </row>
    <row r="22" ht="25" customHeight="1">
      <c r="B22" s="15" t="str">
        <v>HLO budget subtotal</v>
      </c>
      <c r="H22" s="15">
        <f>SUM(H21:H21)</f>
      </c>
    </row>
  </sheetData>
  <mergeCells count="19">
    <mergeCell ref="A1:A2"/>
    <mergeCell ref="B1:B2"/>
    <mergeCell ref="C1:G1"/>
    <mergeCell ref="H1:H2"/>
    <mergeCell ref="I1:I2"/>
    <mergeCell ref="B3:B10"/>
    <mergeCell ref="H3:H10"/>
    <mergeCell ref="B11:G11"/>
    <mergeCell ref="A3:A11"/>
    <mergeCell ref="B13:G13"/>
    <mergeCell ref="A12:A13"/>
    <mergeCell ref="B16:G16"/>
    <mergeCell ref="A14:A16"/>
    <mergeCell ref="B18:G18"/>
    <mergeCell ref="A17:A18"/>
    <mergeCell ref="B20:G20"/>
    <mergeCell ref="A19:A20"/>
    <mergeCell ref="B22:G22"/>
    <mergeCell ref="A21:A22"/>
  </mergeCells>
  <ignoredErrors>
    <ignoredError numberStoredAsText="1" sqref="A1: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AOW03</v>
      </c>
      <c r="B2" s="11" t="str">
        <v>Khulna University</v>
      </c>
      <c r="C2" s="11" t="str">
        <v>HLO 3.4 - Optimized One Health service delivery model​</v>
      </c>
      <c r="D2" s="11" t="str">
        <v>Bangladesh</v>
      </c>
      <c r="E2" s="11">
        <v>3000</v>
      </c>
      <c r="F2" s="11" t="str">
        <v>One Health collaboration with lab analysis</v>
      </c>
    </row>
    <row r="3" ht="25" customHeight="1">
      <c r="B3" s="14" t="str">
        <v>Contracted partners subtotal</v>
      </c>
      <c r="E3" s="14">
        <f>SUM(E2:E2)</f>
      </c>
    </row>
  </sheetData>
  <mergeCells count="2">
    <mergeCell ref="B3:D3"/>
    <mergeCell ref="A2:A3"/>
  </mergeCells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F-AG10607-ASIA-AFRICA BLUETECH SUPERHIGHWAY PROJECT (COAST)</v>
      </c>
      <c r="B2" s="19" t="str">
        <v>AOW00</v>
      </c>
      <c r="C2" s="18" t="str">
        <v>PO8 - Policy and decision-makers implement new or improved policies, regulations or strategies for equitable, efficient, low-emission and resilient animal and aquatic food systems</v>
      </c>
      <c r="D2" s="19">
        <v>0</v>
      </c>
      <c r="E2" s="19" t="str">
        <f>=SUM(D2:D7)</f>
        <v>0</v>
      </c>
    </row>
    <row r="3" ht="30" customHeight="1">
      <c r="A3" s="18" t="str">
        <v>F-AG10607-ASIA-AFRICA BLUETECH SUPERHIGHWAY PROJECT (COAST)</v>
      </c>
      <c r="B3" s="19" t="str">
        <v>AOW05</v>
      </c>
      <c r="C3" s="18" t="str">
        <v xml:space="preserve">HLO 5.3 - Integrated packages of socio-institutional and technical interventions for equity </v>
      </c>
      <c r="D3" s="19">
        <v>192603</v>
      </c>
      <c r="F3" s="19" t="str">
        <v>The 2026 budget allocation proportions are derived by applying the same ratio used in the 2025 budget.</v>
      </c>
    </row>
    <row r="4" ht="30" customHeight="1">
      <c r="A4" s="18" t="str">
        <v>F-AG10607-ASIA-AFRICA BLUETECH SUPERHIGHWAY PROJECT (COAST)</v>
      </c>
      <c r="B4" s="19" t="str">
        <v>AOW01</v>
      </c>
      <c r="C4" s="18" t="str">
        <v>HLO 1.3 - Cost-efficient animal and aquatic species health and welfare innovations and inclusive delivery models</v>
      </c>
      <c r="D4" s="19">
        <v>804984</v>
      </c>
      <c r="F4" s="19" t="str">
        <v>The 2026 budget allocation proportions are derived by applying the same ratio used in the 2025 budget.</v>
      </c>
    </row>
    <row r="5" ht="30" customHeight="1">
      <c r="A5" s="18" t="str">
        <v>F-AG10607-ASIA-AFRICA BLUETECH SUPERHIGHWAY PROJECT (COAST)</v>
      </c>
      <c r="B5" s="19" t="str">
        <v>AOW02</v>
      </c>
      <c r="C5" s="18" t="str">
        <v>HLO 2.2- Climate-adapted innovations for efficient use and restoration of water, soil, and land resources, enhanced livelihoods, and reduced climate impacts</v>
      </c>
      <c r="D5" s="19">
        <v>395084</v>
      </c>
      <c r="F5" s="19" t="str">
        <v>The 2026 budget allocation proportions are derived by applying the same ratio used in the 2025 budget.</v>
      </c>
    </row>
    <row r="6" ht="30" customHeight="1">
      <c r="A6" s="18" t="str">
        <v>F-AG10607-ASIA-AFRICA BLUETECH SUPERHIGHWAY PROJECT (COAST)</v>
      </c>
      <c r="B6" s="19" t="str">
        <v>AOW03</v>
      </c>
      <c r="C6" s="18" t="str">
        <v xml:space="preserve">HLO 3.3 - Targeted innovations and incentives to reduce antimicrobial use and mitigate antimicrobial risks </v>
      </c>
      <c r="D6" s="19">
        <v>182727</v>
      </c>
      <c r="F6" s="19" t="str">
        <v>The 2026 budget allocation proportions are derived by applying the same ratio used in the 2025 budget.</v>
      </c>
    </row>
    <row r="7" ht="30" customHeight="1">
      <c r="A7" s="18" t="str">
        <v>F-AG10607-ASIA-AFRICA BLUETECH SUPERHIGHWAY PROJECT (COAST)</v>
      </c>
      <c r="B7" s="19" t="str">
        <v>AOW04</v>
      </c>
      <c r="C7" s="18" t="str">
        <v>HLO 4.2 - Decision-support tools for efficient animal and aquatic food system</v>
      </c>
      <c r="D7" s="19">
        <v>898817</v>
      </c>
      <c r="F7" s="19" t="str">
        <v>The 2026 budget allocation proportions are derived by applying the same ratio used in the 2025 budget.</v>
      </c>
    </row>
    <row r="8" ht="30" customHeight="1">
      <c r="A8" s="18" t="str">
        <v>F-PP-2022-1020-Climate-Resilient Aquaculture Systems for Afr (AG10618)</v>
      </c>
      <c r="B8" s="19" t="str">
        <v>AOW00</v>
      </c>
      <c r="C8" s="18" t="str">
        <v xml:space="preserve">PO1 - Animal and aquatic food producers, including women, youth and marginalized groups adopting combinations of innovations </v>
      </c>
      <c r="D8" s="19">
        <v>0</v>
      </c>
      <c r="E8" s="19" t="str">
        <f>=SUM(D8:D9)</f>
        <v>0</v>
      </c>
    </row>
    <row r="9" ht="30" customHeight="1">
      <c r="A9" s="18" t="str">
        <v>F-PP-2022-1020-Climate-Resilient Aquaculture Systems for Afr (AG10618)</v>
      </c>
      <c r="B9" s="19" t="str">
        <v>AOW01</v>
      </c>
      <c r="C9" s="18" t="str">
        <v>HLO 1.1 - Sustainable breeding and conservation programs and inclusive delivery models</v>
      </c>
      <c r="D9" s="19">
        <v>1117897</v>
      </c>
      <c r="F9" s="19" t="str">
        <v>The 2026 budget allocation proportions are derived by applying the same ratio used in the 2025 budget.</v>
      </c>
    </row>
    <row r="10" ht="30" customHeight="1">
      <c r="A10" s="3" t="str">
        <v>W3/Bilateral projects subtotal</v>
      </c>
      <c r="E10" s="3">
        <f>SUM(E2:E9)</f>
      </c>
    </row>
  </sheetData>
  <mergeCells count="5">
    <mergeCell ref="A2:A7"/>
    <mergeCell ref="A8:A9"/>
    <mergeCell ref="E2:E7"/>
    <mergeCell ref="E8:E9"/>
    <mergeCell ref="A10:D10"/>
  </mergeCells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3000</v>
      </c>
      <c r="F2" s="20">
        <v>0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270381</v>
      </c>
      <c r="D3" s="20">
        <v>15114</v>
      </c>
      <c r="E3" s="20">
        <v>15684</v>
      </c>
      <c r="F3" s="20">
        <v>11269</v>
      </c>
      <c r="G3" s="20">
        <v>20597</v>
      </c>
      <c r="H3" s="20">
        <v>5119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20200</v>
      </c>
      <c r="C4" s="20">
        <v>1042984</v>
      </c>
      <c r="D4" s="20">
        <v>54566</v>
      </c>
      <c r="E4" s="20">
        <v>106157</v>
      </c>
      <c r="F4" s="20">
        <v>85992</v>
      </c>
      <c r="G4" s="20">
        <v>83377</v>
      </c>
      <c r="H4" s="20">
        <v>114333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