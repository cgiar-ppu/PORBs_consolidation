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295002</v>
      </c>
    </row>
    <row r="5" ht="20" customHeight="1">
      <c r="A5" s="2" t="str">
        <v>AOW01: Engage and Empower</v>
      </c>
      <c r="B5" s="2">
        <v>0</v>
      </c>
      <c r="C5" s="5">
        <v>0</v>
      </c>
      <c r="D5" s="2">
        <v>0</v>
      </c>
      <c r="E5" s="5">
        <v>0</v>
      </c>
      <c r="F5" s="2">
        <v>0</v>
      </c>
      <c r="G5" s="5">
        <v>0</v>
      </c>
      <c r="H5" s="2">
        <v>90</v>
      </c>
      <c r="I5" s="5">
        <v>60000</v>
      </c>
      <c r="J5" s="5">
        <v>0</v>
      </c>
      <c r="K5" s="5">
        <v>0</v>
      </c>
      <c r="L5" s="5">
        <v>60000</v>
      </c>
      <c r="M5" s="5">
        <v>0</v>
      </c>
    </row>
    <row r="6" ht="20" customHeight="1">
      <c r="A6" s="2" t="str">
        <v>AOW02: Grand Challenges and Scaling Flagships</v>
      </c>
      <c r="B6" s="2">
        <v>0</v>
      </c>
      <c r="C6" s="5">
        <v>0</v>
      </c>
      <c r="D6" s="2">
        <v>0</v>
      </c>
      <c r="E6" s="5">
        <v>0</v>
      </c>
      <c r="F6" s="2">
        <v>0</v>
      </c>
      <c r="G6" s="5">
        <v>0</v>
      </c>
      <c r="H6" s="2">
        <v>868764</v>
      </c>
      <c r="I6" s="5">
        <v>548929</v>
      </c>
      <c r="J6" s="5">
        <v>302812</v>
      </c>
      <c r="K6" s="5">
        <v>0</v>
      </c>
      <c r="L6" s="5">
        <v>851741</v>
      </c>
      <c r="M6" s="5">
        <v>1031667</v>
      </c>
    </row>
    <row r="7" ht="20" customHeight="1">
      <c r="A7" s="2" t="str">
        <v>AOW03: Enabling Environment Lab</v>
      </c>
      <c r="B7" s="2">
        <v>0</v>
      </c>
      <c r="C7" s="5">
        <v>0</v>
      </c>
      <c r="D7" s="2">
        <v>6</v>
      </c>
      <c r="E7" s="5">
        <v>75000</v>
      </c>
      <c r="F7" s="2">
        <v>9</v>
      </c>
      <c r="G7" s="5">
        <v>90000</v>
      </c>
      <c r="H7" s="2">
        <v>6</v>
      </c>
      <c r="I7" s="5">
        <v>90000</v>
      </c>
      <c r="J7" s="5">
        <v>20000</v>
      </c>
      <c r="K7" s="5">
        <v>0</v>
      </c>
      <c r="L7" s="5">
        <v>275000</v>
      </c>
      <c r="M7" s="5">
        <v>0</v>
      </c>
    </row>
    <row r="8" ht="20" customHeight="1">
      <c r="A8" s="2" t="str">
        <v>AOW04: Achieving Impact by Unlocking Finance and Partnerships</v>
      </c>
      <c r="B8" s="2">
        <v>0</v>
      </c>
      <c r="C8" s="5">
        <v>0</v>
      </c>
      <c r="D8" s="2">
        <v>0</v>
      </c>
      <c r="E8" s="5">
        <v>0</v>
      </c>
      <c r="F8" s="2">
        <v>0</v>
      </c>
      <c r="G8" s="5">
        <v>0</v>
      </c>
      <c r="H8" s="2">
        <v>60000006</v>
      </c>
      <c r="I8" s="5">
        <v>138585</v>
      </c>
      <c r="J8" s="5">
        <v>0</v>
      </c>
      <c r="K8" s="5">
        <v>0</v>
      </c>
      <c r="L8" s="5">
        <v>138585</v>
      </c>
      <c r="M8" s="5">
        <v>0</v>
      </c>
    </row>
    <row r="9" ht="20" customHeight="1">
      <c r="A9" s="2" t="str">
        <v>AOW05: Learning for Impact</v>
      </c>
      <c r="B9" s="2">
        <v>3</v>
      </c>
      <c r="C9" s="5">
        <v>0</v>
      </c>
      <c r="D9" s="2">
        <v>3</v>
      </c>
      <c r="E9" s="5">
        <v>0</v>
      </c>
      <c r="F9" s="2">
        <v>0</v>
      </c>
      <c r="G9" s="5">
        <v>0</v>
      </c>
      <c r="H9" s="2">
        <v>0</v>
      </c>
      <c r="I9" s="5">
        <v>0</v>
      </c>
      <c r="J9" s="5">
        <v>194915</v>
      </c>
      <c r="K9" s="5">
        <v>65085</v>
      </c>
      <c r="L9" s="5">
        <v>260000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row r="8" ht="45" customHeight="1">
      <c r="A8" s="11" t="str">
        <v>AOW00</v>
      </c>
      <c r="B8" s="11" t="str">
        <v>Scaling for Impact Pause and Reflect, Adaptive Management and Replanning processes</v>
      </c>
      <c r="C8"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8" s="11">
        <v>0</v>
      </c>
    </row>
    <row r="9" ht="45" customHeight="1">
      <c r="A9" s="11" t="str">
        <v>AOW00</v>
      </c>
      <c r="B9" s="11" t="str">
        <v xml:space="preserve">Program Communication Activities </v>
      </c>
      <c r="C9"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9" s="11">
        <v>0</v>
      </c>
    </row>
    <row r="10" ht="45" customHeight="1" xml:space="preserve">
      <c r="A10" s="11" t="str">
        <v>AOW00</v>
      </c>
      <c r="B10" s="11" t="str">
        <v>Area of Work Leadership and Coordination Support</v>
      </c>
      <c r="C10"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10" s="11">
        <v>0</v>
      </c>
    </row>
    <row r="11" ht="45" customHeight="1">
      <c r="A11" s="11" t="str">
        <v>AOW00</v>
      </c>
      <c r="B11" s="11" t="str">
        <v>Program Leadership and Core Operations Support</v>
      </c>
      <c r="C11"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11" s="11">
        <v>0</v>
      </c>
    </row>
    <row r="12" ht="45" customHeight="1">
      <c r="A12" s="11" t="str">
        <v>AOW00</v>
      </c>
      <c r="B12" s="11" t="str">
        <v>Director's Strategic Opportunity and Partnership Support Fund</v>
      </c>
      <c r="C12"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12" s="11">
        <v>0</v>
      </c>
    </row>
    <row r="13" ht="45" customHeight="1" xml:space="preserve">
      <c r="A13" s="11" t="str">
        <v>AOW00</v>
      </c>
      <c r="B13" s="11" t="str">
        <v>Program Management Unit Coordination and Oversight Support</v>
      </c>
      <c r="C13"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13" s="11">
        <v>0</v>
      </c>
    </row>
  </sheetData>
  <mergeCells count="1">
    <mergeCell ref="A2:A13"/>
  </mergeCells>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v>
      </c>
      <c r="D3" s="11" t="str">
        <v xml:space="preserve"> Number of organizations</v>
      </c>
      <c r="E3" s="11" t="str">
        <v>Country: India, Bangladesh</v>
      </c>
      <c r="F3" s="11">
        <v>30</v>
      </c>
      <c r="G3" s="11">
        <v>60000</v>
      </c>
      <c r="H3" s="11">
        <f>SUM(G3:G3)</f>
      </c>
      <c r="I3" s="11" t="str">
        <v>Assumptions: Governments remain committed to improving diet diversity and accessible nutrition through policy innovation.</v>
      </c>
    </row>
    <row r="4" ht="25" customHeight="1">
      <c r="B4" s="14" t="str">
        <v>HLO budget subtotal</v>
      </c>
      <c r="H4" s="15">
        <f>SUM(H3:H3)</f>
      </c>
    </row>
    <row r="5" ht="50" customHeight="1" xml:space="preserve">
      <c r="A5" s="13" t="str">
        <v>AOW02</v>
      </c>
      <c r="B5" s="11" t="str">
        <v>HLO 2.2.1: Access climate services and smart water management tools that improve adaptation decisions and resource efficiency.</v>
      </c>
      <c r="C5" s="11" t="str" xml:space="preserve">
        <v xml:space="preserve">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5" s="11" t="str">
        <v>Number of APIs</v>
      </c>
      <c r="E5" s="11" t="str">
        <v>Country: Kenya</v>
      </c>
      <c r="F5" s="11">
        <v>1</v>
      </c>
      <c r="G5" s="11">
        <v>26616</v>
      </c>
      <c r="H5" s="11">
        <f>SUM(G5:G9)</f>
      </c>
      <c r="I5" s="11" t="str">
        <v>One fully operational automated API connecting KMD climate forecasts to KAOP and functioning across 10 counties by the end of 2026</v>
      </c>
    </row>
    <row r="6" ht="50" customHeight="1" xml:space="preserve">
      <c r="A6" s="11" t="str">
        <v>AOW02</v>
      </c>
      <c r="C6" s="11" t="str" xml:space="preserve">
        <v xml:space="preserve">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individuals</v>
      </c>
      <c r="E6" s="11" t="str">
        <v>Country: India, Kenya</v>
      </c>
      <c r="F6" s="11">
        <v>25000</v>
      </c>
      <c r="G6" s="11">
        <v>82382</v>
      </c>
      <c r="I6" s="11" t="str" xml:space="preserve">
        <v xml:space="preserve">Assumption: Strong demand from farmers and institutional commitment of financial partners sustain service delivery and expansion.
Budget Allocation to Partner:US$-50703-ACRE, Dvara, HDFC Ergo General Insurance and Avanti Finance, Juhudi, NCBA
</v>
      </c>
    </row>
    <row r="7" ht="50" customHeight="1" xml:space="preserve">
      <c r="A7" s="11" t="str">
        <v>AOW02</v>
      </c>
      <c r="C7" s="11" t="str" xml:space="preserve">
        <v xml:space="preserve">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v>
      </c>
      <c r="D7" s="11" t="str">
        <v xml:space="preserve"> Amount in USD </v>
      </c>
      <c r="E7" s="11" t="str">
        <v>Country: India, Kenya</v>
      </c>
      <c r="F7" s="11">
        <v>6000000</v>
      </c>
      <c r="G7" s="11">
        <v>82382</v>
      </c>
      <c r="I7" s="11" t="str" xml:space="preserve">
        <v xml:space="preserve">Assumption: Continued market demand and partner commitment sustain growth in digital financial service uptake and co-investment levels.
Budget Allocation to Partner:US$-50703-ACRE, Dvara, HDFC Ergo General Insurance and Avanti Finance, Juhudi, NCBA
</v>
      </c>
    </row>
    <row r="8" ht="50" customHeight="1" xml:space="preserve">
      <c r="A8" s="11" t="str">
        <v>AOW02</v>
      </c>
      <c r="C8" s="11" t="str" xml:space="preserve">
        <v xml:space="preserve">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v>
      </c>
      <c r="D8" s="11" t="str">
        <v xml:space="preserve"> Other Output</v>
      </c>
      <c r="E8" s="11" t="str">
        <v>Country: India, Bangladesh, Nigeria, Kenya, Ethiopia</v>
      </c>
      <c r="F8" s="11">
        <v>150000</v>
      </c>
      <c r="G8" s="11">
        <v>58723</v>
      </c>
      <c r="I8" s="11" t="str" xml:space="preserve">
        <v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v>
      </c>
    </row>
    <row r="9" ht="50" customHeight="1" xml:space="preserve">
      <c r="A9" s="11" t="str">
        <v>AOW02</v>
      </c>
      <c r="C9" s="11" t="str" xml:space="preserve">
        <v xml:space="preserve">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9" s="11" t="str">
        <v xml:space="preserve"> Number of extension agents</v>
      </c>
      <c r="E9" s="11" t="str">
        <v>Country: Kenya</v>
      </c>
      <c r="F9" s="11">
        <v>1150</v>
      </c>
      <c r="G9" s="11">
        <v>26617</v>
      </c>
      <c r="I9" s="11" t="str">
        <v>1,150 trained extension agents and agripreneurs delivering climate advisories; 500,000 smallholder farmers receiving automated SMS/USSD/IVR advisories through KAOP by 2026</v>
      </c>
    </row>
    <row r="10" ht="50" customHeight="1" xml:space="preserve">
      <c r="A10" s="11" t="str">
        <v>AOW02</v>
      </c>
      <c r="B10" s="11" t="str">
        <v>HLO 2.2.3: Nutrition-smart crop and livestock systems and inclusive food markets, with increased jobs, improved livelihoods, and enhanced access for women and youth to diverse, safe, and affordable diets.</v>
      </c>
      <c r="C10" s="11" t="str" xml:space="preserve">
        <v xml:space="preserve">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Number of aquaculture farmers </v>
      </c>
      <c r="E10" s="11" t="str">
        <v>Country: Bangladesh</v>
      </c>
      <c r="F10" s="11">
        <v>130000</v>
      </c>
      <c r="G10" s="11">
        <v>58723</v>
      </c>
      <c r="H10" s="11">
        <f>SUM(G10:G12)</f>
      </c>
      <c r="I10" s="11" t="str" xml:space="preserve">
        <v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v>
      </c>
    </row>
    <row r="11" ht="50" customHeight="1" xml:space="preserve">
      <c r="A11" s="11" t="str">
        <v>AOW02</v>
      </c>
      <c r="C11" s="11" t="str" xml:space="preserve">
        <v xml:space="preserve">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 Other Output</v>
      </c>
      <c r="E11" s="11" t="str">
        <v>Country: Kenya</v>
      </c>
      <c r="F11" s="11">
        <v>1500</v>
      </c>
      <c r="G11" s="11">
        <v>106743</v>
      </c>
      <c r="I11" s="11" t="str" xml:space="preserve">
        <v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v>
      </c>
    </row>
    <row r="12" ht="50" customHeight="1" xml:space="preserve">
      <c r="A12" s="11" t="str">
        <v>AOW02</v>
      </c>
      <c r="C12" s="11" t="str" xml:space="preserve">
        <v xml:space="preserve">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v>
      </c>
      <c r="D12" s="11" t="str">
        <v xml:space="preserve"> Other Output</v>
      </c>
      <c r="E12" s="11" t="str">
        <v>Country: Kenya</v>
      </c>
      <c r="F12" s="11">
        <v>6938</v>
      </c>
      <c r="G12" s="11">
        <v>106743</v>
      </c>
      <c r="I12" s="11" t="str" xml:space="preserve">
        <v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v>
      </c>
    </row>
    <row r="13" ht="25" customHeight="1">
      <c r="B13" s="15" t="str">
        <v>HLO budget subtotal</v>
      </c>
      <c r="H13" s="15">
        <f>SUM(H5:H12)</f>
      </c>
    </row>
    <row r="14" ht="50" customHeight="1" xml:space="preserve">
      <c r="A14" s="13" t="str">
        <v>AOW03</v>
      </c>
      <c r="B14" s="11" t="str">
        <v xml:space="preserve">HLO 3.3.1: Enabling environment diagnostics </v>
      </c>
      <c r="C14" s="11" t="str" xml:space="preserve">
        <v xml:space="preserve">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v>
      </c>
      <c r="D14" s="11" t="str">
        <v>Number of knowledge products</v>
      </c>
      <c r="E14" s="11" t="str">
        <v>Country: Bangladesh, Kenya</v>
      </c>
      <c r="F14" s="11">
        <v>2</v>
      </c>
      <c r="G14" s="11">
        <v>75000</v>
      </c>
      <c r="H14" s="11">
        <f>SUM(G14:G14)</f>
      </c>
      <c r="I14" s="11" t="str">
        <v>Governments and private hatchery networks remain committed to governance reforms; donor-funded bilateral projects provide continuity for scaling activities. Funding risk: Uncertainty in W1/W2 allocations may constrain technical assistance or regional diss</v>
      </c>
    </row>
    <row r="15" ht="50" customHeight="1" xml:space="preserve">
      <c r="A15" s="11" t="str">
        <v>AOW03</v>
      </c>
      <c r="B15" s="11" t="str" xml:space="preserve">
        <v xml:space="preserve">HLO 3.3.2: Scaling support services for enabling 
environments and institutions </v>
      </c>
      <c r="C15" s="11" t="str" xml:space="preserve">
        <v xml:space="preserve">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D15" s="11" t="str">
        <v xml:space="preserve"> Other Output</v>
      </c>
      <c r="E15" s="11" t="str">
        <v>Country: Nigeria</v>
      </c>
      <c r="F15" s="11">
        <v>2</v>
      </c>
      <c r="G15" s="11">
        <v>90000</v>
      </c>
      <c r="H15" s="11">
        <f>SUM(G15:G16)</f>
      </c>
      <c r="I15" s="11" t="str" xml:space="preserve">
        <v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v>
      </c>
    </row>
    <row r="16" ht="50" customHeight="1" xml:space="preserve">
      <c r="A16" s="11" t="str">
        <v>AOW03</v>
      </c>
      <c r="C16" s="11" t="str" xml:space="preserve">
        <v xml:space="preserve">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v>
      </c>
      <c r="D16" s="11" t="str">
        <v>Number of people trained (capacity sharing for development)</v>
      </c>
      <c r="E16" s="11" t="str">
        <v>Country: Nigeria</v>
      </c>
      <c r="F16" s="11">
        <v>3</v>
      </c>
      <c r="G16" s="11">
        <v>90000</v>
      </c>
      <c r="I16" s="11" t="str" xml:space="preserve">
        <v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v>
      </c>
    </row>
    <row r="17" ht="25" customHeight="1">
      <c r="B17" s="15" t="str">
        <v>HLO budget subtotal</v>
      </c>
      <c r="H17" s="15">
        <f>SUM(H14:H16)</f>
      </c>
    </row>
    <row r="18" ht="50" customHeight="1" xml:space="preserve">
      <c r="A18" s="13" t="str">
        <v>AOW04</v>
      </c>
      <c r="B18" s="11" t="str">
        <v>HLO 4.4.1: CGIAR Expertise and Solutions Embedded in Development Investments and Partnerships</v>
      </c>
      <c r="C18" s="11" t="str" xml:space="preserve">
        <v xml:space="preserve">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 Other Output</v>
      </c>
      <c r="E18" s="11" t="str">
        <v>Global</v>
      </c>
      <c r="F18" s="11">
        <v>2</v>
      </c>
      <c r="G18" s="11">
        <v>97825</v>
      </c>
      <c r="H18" s="11">
        <f>SUM(G18:G19)</f>
      </c>
      <c r="I18" s="11" t="str">
        <v xml:space="preserve">High-level commitment from AIM for Scale partners to co-develop financing prototypes; access to CGIAR economic and policy expertise for cost–benefit modeling; and strong regional collaboration through AoW 4 to align investment design with broader scaling </v>
      </c>
    </row>
    <row r="19" ht="50" customHeight="1" xml:space="preserve">
      <c r="A19" s="11" t="str">
        <v>AOW04</v>
      </c>
      <c r="C19" s="11" t="str" xml:space="preserve">
        <v xml:space="preserve">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v>
      </c>
      <c r="D19" s="11" t="str">
        <v xml:space="preserve"> Other Output</v>
      </c>
      <c r="E19" s="11" t="str">
        <v>Country: India, Philippines, Bangladesh</v>
      </c>
      <c r="F19" s="11">
        <v>20000000</v>
      </c>
      <c r="G19" s="11">
        <v>40760</v>
      </c>
      <c r="I19" s="11" t="str">
        <v>ADB continues prioritizing CGIAR partnership for investment design; IRRI and IFPRI maintain complementary technical leadership for evidence generation and policy analysis; and demand from ADB's regional departments remains strong for integrating CGIAR inn</v>
      </c>
    </row>
    <row r="20" ht="25" customHeight="1">
      <c r="B20" s="15" t="str">
        <v>HLO budget subtotal</v>
      </c>
      <c r="H20" s="15">
        <f>SUM(H18:H19)</f>
      </c>
    </row>
    <row r="21" ht="50" customHeight="1" xml:space="preserve">
      <c r="A21" s="13" t="str">
        <v>AOW05</v>
      </c>
      <c r="B21" s="11" t="str">
        <v>HLO 5.5.2: Insights for CGIAR scaling success through impact assessments</v>
      </c>
      <c r="C21" s="11" t="str" xml:space="preserve">
        <v xml:space="preserve">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v>
      </c>
      <c r="D21" s="11" t="str">
        <v>Number of knowledge products</v>
      </c>
      <c r="E21" s="11" t="str">
        <v>Global</v>
      </c>
      <c r="F21" s="11">
        <v>1</v>
      </c>
      <c r="G21" s="11">
        <v>0</v>
      </c>
      <c r="H21" s="11">
        <f>SUM(G21:G22)</f>
      </c>
    </row>
    <row r="22" ht="50" customHeight="1" xml:space="preserve">
      <c r="A22" s="11" t="str">
        <v>AOW05</v>
      </c>
      <c r="C22" s="11" t="str" xml:space="preserve">
        <v xml:space="preserve">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v>
      </c>
      <c r="D22" s="11" t="str">
        <v>Number of innovations (innovation development)</v>
      </c>
      <c r="E22" s="11" t="str">
        <v>Country: Kenya</v>
      </c>
      <c r="F22" s="11">
        <v>1</v>
      </c>
      <c r="G22" s="11">
        <v>0</v>
      </c>
    </row>
    <row r="23" ht="25" customHeight="1">
      <c r="B23" s="15" t="str">
        <v>HLO budget subtotal</v>
      </c>
      <c r="H23" s="15">
        <f>SUM(H21:H22)</f>
      </c>
    </row>
  </sheetData>
  <mergeCells count="25">
    <mergeCell ref="A1:A2"/>
    <mergeCell ref="B1:B2"/>
    <mergeCell ref="C1:G1"/>
    <mergeCell ref="H1:H2"/>
    <mergeCell ref="I1:I2"/>
    <mergeCell ref="B4:G4"/>
    <mergeCell ref="A3:A4"/>
    <mergeCell ref="B5:B9"/>
    <mergeCell ref="H5:H9"/>
    <mergeCell ref="B10:B12"/>
    <mergeCell ref="H10:H12"/>
    <mergeCell ref="B13:G13"/>
    <mergeCell ref="A5:A13"/>
    <mergeCell ref="B15:B16"/>
    <mergeCell ref="H15:H16"/>
    <mergeCell ref="B17:G17"/>
    <mergeCell ref="A14:A17"/>
    <mergeCell ref="B18:B19"/>
    <mergeCell ref="H18:H19"/>
    <mergeCell ref="B20:G20"/>
    <mergeCell ref="A18:A20"/>
    <mergeCell ref="B21:B22"/>
    <mergeCell ref="H21:H22"/>
    <mergeCell ref="B23:G23"/>
    <mergeCell ref="A21: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Bangladesh,Ethiopia,India,Kenya,Kenya,Nigeria</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Bangladesh,Ethiopia,India,Kenya,Kenya,Nigeria</v>
      </c>
      <c r="E4" s="11">
        <v>302812</v>
      </c>
      <c r="F4" s="11" t="str" xml:space="preserve">
        <v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Bangladesh,Ethiopia,India,Kenya,Kenya,Nigeria</v>
      </c>
      <c r="E6" s="11">
        <v>20000</v>
      </c>
      <c r="F6" s="11" t="str">
        <v>Placeholder Budget for Ministry of Humanitarian Affairs (Nigeria); Ministry of Education (Nigeria); Ministry of Agriculture and Food Security (Nigeria).</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Bangladesh,Ethiopia,India,Kenya,Kenya,Nigeria</v>
      </c>
      <c r="E8" s="11">
        <v>0</v>
      </c>
    </row>
    <row r="9" ht="25" customHeight="1">
      <c r="B9" s="14" t="str">
        <v>Contracted partners subtotal</v>
      </c>
      <c r="E9" s="14">
        <f>SUM(E8:E8)</f>
      </c>
    </row>
    <row r="10" ht="70" customHeight="1" xml:space="preserve">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Bangladesh,Ethiopia,India,Kenya,Kenya,Nigeria</v>
      </c>
      <c r="E10" s="11">
        <v>194915</v>
      </c>
      <c r="F10" s="11" t="str" xml:space="preserve">
        <v xml:space="preserve">It is placeholder budget for AiM for Scale; Digital Green; Ministry of Agriculture and Livestock Development (Kenya)
</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N-644H12 - NUTRIHARVEST</v>
      </c>
      <c r="B2" s="19" t="str">
        <v>AOW02</v>
      </c>
      <c r="C2" s="18" t="str">
        <v>HLO 2.2.1: Access climate services and smart water management tools that improve adaptation decisions and resource efficiency.</v>
      </c>
      <c r="D2" s="19">
        <v>590005</v>
      </c>
      <c r="E2" s="19" t="str">
        <f>=SUM(D2:D2)</f>
        <v>0</v>
      </c>
      <c r="F2" s="19" t="str">
        <v>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N-606015-BIO-FORTIFICATION DEPLOYM</v>
      </c>
      <c r="B3" s="19" t="str">
        <v>AOW02</v>
      </c>
      <c r="C3" s="18" t="str">
        <v>HLO 2.2.3: Nutrition-smart crop and livestock systems and inclusive food markets, with increased jobs, improved livelihoods, and enhanced access for women and youth to diverse, safe, and affordable diets.</v>
      </c>
      <c r="D3" s="19">
        <v>441662</v>
      </c>
      <c r="E3" s="19" t="str">
        <f>=SUM(D3:D3)</f>
        <v>0</v>
      </c>
      <c r="F3" s="19" t="str">
        <v>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v>
      </c>
      <c r="B2" s="19" t="str">
        <v>AOW02</v>
      </c>
      <c r="C2" s="18" t="str">
        <v>HLO 2.2.1: Access climate services and smart water management tools that improve adaptation decisions and resource efficiency.</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v>
      </c>
      <c r="B3" s="19" t="str">
        <v>AOW02</v>
      </c>
      <c r="C3" s="18" t="str">
        <v>HLO 2.2.3: Nutrition-smart crop and livestock systems and inclusive food markets, with increased jobs, improved livelihoods, and enhanced access for women and youth to diverse, safe, and affordable diets.</v>
      </c>
      <c r="D3" s="19">
        <v>0</v>
      </c>
      <c r="E3" s="19" t="str">
        <f>=SUM(D3:D3)</f>
        <v>0</v>
      </c>
    </row>
    <row r="4" ht="30" customHeight="1" xml:space="preserve">
      <c r="A4" s="18" t="str">
        <v>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v>
      </c>
      <c r="B4" s="19" t="str">
        <v>AOW05</v>
      </c>
      <c r="C4" s="18" t="str">
        <v xml:space="preserve">HLO 5.5.1: Enhancing scaling science for societal impact </v>
      </c>
      <c r="D4" s="19">
        <v>30000</v>
      </c>
      <c r="E4" s="19" t="str">
        <f>=SUM(D4:D4)</f>
        <v>0</v>
      </c>
      <c r="F4" s="19" t="str" xml:space="preserve">
        <v xml:space="preserve">Assumptions: active engagement from AoW 2 Flagship leads; sustained support from program management; and alignment with CGIAR's broader learning and scaling frameworks to ensure institutional adoption.
</v>
      </c>
    </row>
    <row r="5" ht="30" customHeight="1" xml:space="preserve">
      <c r="A5" s="18" t="str">
        <v>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v>
      </c>
      <c r="B5" s="19" t="str">
        <v>AOW05</v>
      </c>
      <c r="C5" s="18" t="str">
        <v>HLO 5.5.2: Insights for CGIAR scaling success through impact assessments</v>
      </c>
      <c r="D5" s="19">
        <v>35085</v>
      </c>
      <c r="E5" s="19" t="str">
        <f>=SUM(D5:D5)</f>
        <v>0</v>
      </c>
      <c r="F5" s="19" t="str" xml:space="preserve">
        <v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v>
      </c>
    </row>
    <row r="6" ht="30" customHeight="1">
      <c r="A6" s="3" t="str">
        <v>MELIA Studies Budget subtotal</v>
      </c>
      <c r="E6" s="3">
        <f>SUM(E2:E5)</f>
      </c>
    </row>
  </sheetData>
  <mergeCells count="1">
    <mergeCell ref="A6:D6"/>
  </mergeCells>
  <ignoredErrors>
    <ignoredError numberStoredAsText="1" sqref="A1:F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302812</v>
      </c>
      <c r="E2" s="20">
        <v>20000</v>
      </c>
      <c r="F2" s="20">
        <v>0</v>
      </c>
      <c r="G2" s="20">
        <v>194915</v>
      </c>
      <c r="H2" s="20" t="str">
        <f>=SUM(B2:G2)</f>
        <v>0</v>
      </c>
    </row>
    <row r="3" ht="20" customHeight="1">
      <c r="A3" s="20" t="str">
        <v>Operations (supplies, consultants, travels, workshops, other)</v>
      </c>
      <c r="B3" s="20">
        <v>0</v>
      </c>
      <c r="C3" s="20">
        <v>7535</v>
      </c>
      <c r="D3" s="20">
        <v>153666</v>
      </c>
      <c r="E3" s="20">
        <v>74979</v>
      </c>
      <c r="F3" s="20">
        <v>0</v>
      </c>
      <c r="G3" s="20">
        <v>0</v>
      </c>
      <c r="H3" s="20" t="str">
        <f>=SUM(B3:G3)</f>
        <v>0</v>
      </c>
    </row>
    <row r="4" ht="20" customHeight="1">
      <c r="A4" s="20" t="str">
        <v>Staffing, Chargebacks and Indirect</v>
      </c>
      <c r="B4" s="20">
        <v>234000</v>
      </c>
      <c r="C4" s="20">
        <v>52465</v>
      </c>
      <c r="D4" s="20">
        <v>395263</v>
      </c>
      <c r="E4" s="20">
        <v>180021</v>
      </c>
      <c r="F4" s="20">
        <v>138585</v>
      </c>
      <c r="G4" s="20">
        <v>65085</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