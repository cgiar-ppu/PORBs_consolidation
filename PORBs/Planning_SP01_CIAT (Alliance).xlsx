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Market Intelligence</v>
      </c>
      <c r="B5" s="2">
        <v>0</v>
      </c>
      <c r="C5" s="5">
        <v>0</v>
      </c>
      <c r="D5" s="2">
        <v>8</v>
      </c>
      <c r="E5" s="5">
        <v>73095</v>
      </c>
      <c r="F5" s="2">
        <v>0</v>
      </c>
      <c r="G5" s="5">
        <v>0</v>
      </c>
      <c r="H5" s="2">
        <v>0</v>
      </c>
      <c r="I5" s="5">
        <v>0</v>
      </c>
      <c r="J5" s="5">
        <v>0</v>
      </c>
      <c r="K5" s="5">
        <v>0</v>
      </c>
      <c r="L5" s="5">
        <v>73095</v>
      </c>
      <c r="M5" s="5">
        <v>0</v>
      </c>
    </row>
    <row r="6" ht="20" customHeight="1">
      <c r="A6" s="2" t="str">
        <v>AOW02: Accelerated Breeding</v>
      </c>
      <c r="B6" s="2">
        <v>600</v>
      </c>
      <c r="C6" s="5">
        <v>1020191</v>
      </c>
      <c r="D6" s="2">
        <v>0</v>
      </c>
      <c r="E6" s="5">
        <v>0</v>
      </c>
      <c r="F6" s="2">
        <v>0</v>
      </c>
      <c r="G6" s="5">
        <v>0</v>
      </c>
      <c r="H6" s="2">
        <v>5000</v>
      </c>
      <c r="I6" s="5">
        <v>119732</v>
      </c>
      <c r="J6" s="5">
        <v>12000</v>
      </c>
      <c r="K6" s="5">
        <v>0</v>
      </c>
      <c r="L6" s="5">
        <v>1151923</v>
      </c>
      <c r="M6" s="5">
        <v>0</v>
      </c>
    </row>
    <row r="7" ht="20" customHeight="1">
      <c r="A7" s="2" t="str">
        <v>AOW03: Inclusive Delivery</v>
      </c>
      <c r="B7" s="2">
        <v>1</v>
      </c>
      <c r="C7" s="5">
        <v>5000</v>
      </c>
      <c r="D7" s="2">
        <v>13</v>
      </c>
      <c r="E7" s="5">
        <v>99334</v>
      </c>
      <c r="F7" s="2">
        <v>0</v>
      </c>
      <c r="G7" s="5">
        <v>0</v>
      </c>
      <c r="H7" s="2">
        <v>30008</v>
      </c>
      <c r="I7" s="5">
        <v>40667</v>
      </c>
      <c r="J7" s="5">
        <v>0</v>
      </c>
      <c r="K7" s="5">
        <v>0</v>
      </c>
      <c r="L7" s="5">
        <v>145001</v>
      </c>
      <c r="M7" s="5">
        <v>0</v>
      </c>
    </row>
    <row r="8" ht="20" customHeight="1">
      <c r="A8" s="2" t="str">
        <v>AOW04: Breeding Resources</v>
      </c>
      <c r="B8" s="2">
        <v>0</v>
      </c>
      <c r="C8" s="5">
        <v>0</v>
      </c>
      <c r="D8" s="2">
        <v>0</v>
      </c>
      <c r="E8" s="5">
        <v>0</v>
      </c>
      <c r="F8" s="2">
        <v>0</v>
      </c>
      <c r="G8" s="5">
        <v>0</v>
      </c>
      <c r="H8" s="2">
        <v>0</v>
      </c>
      <c r="I8" s="5">
        <v>0</v>
      </c>
      <c r="J8" s="5">
        <v>0</v>
      </c>
      <c r="K8" s="5">
        <v>0</v>
      </c>
      <c r="L8" s="5">
        <v>0</v>
      </c>
      <c r="M8" s="5">
        <v>0</v>
      </c>
    </row>
    <row r="9" ht="20" customHeight="1">
      <c r="A9" s="2" t="str">
        <v>AOW05: Enable</v>
      </c>
      <c r="B9" s="2">
        <v>0</v>
      </c>
      <c r="C9" s="5">
        <v>0</v>
      </c>
      <c r="D9" s="2">
        <v>0</v>
      </c>
      <c r="E9" s="5">
        <v>0</v>
      </c>
      <c r="F9" s="2">
        <v>0</v>
      </c>
      <c r="G9" s="5">
        <v>0</v>
      </c>
      <c r="H9" s="2">
        <v>0</v>
      </c>
      <c r="I9" s="5">
        <v>0</v>
      </c>
      <c r="J9" s="5">
        <v>0</v>
      </c>
      <c r="K9" s="5">
        <v>0</v>
      </c>
      <c r="L9" s="5">
        <v>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NARES leadership team meeting</v>
      </c>
      <c r="C2" s="11" t="str">
        <v>For High level NARES meeting under ENABLE (150k)</v>
      </c>
      <c r="D2" s="11">
        <v>0</v>
      </c>
    </row>
    <row r="3" ht="45" customHeight="1">
      <c r="A3" s="11" t="str">
        <v>AOW00</v>
      </c>
      <c r="B3" s="11" t="str">
        <v>DIscretionary funds</v>
      </c>
      <c r="C3" s="11" t="str">
        <v xml:space="preserve">To be allocated </v>
      </c>
      <c r="D3" s="11">
        <v>0</v>
      </c>
    </row>
    <row r="4" ht="45" customHeight="1">
      <c r="A4" s="11" t="str">
        <v>AOW00</v>
      </c>
      <c r="B4" s="11" t="str">
        <v>To be allocated to research</v>
      </c>
      <c r="C4" s="11" t="str">
        <v>PODs pending</v>
      </c>
      <c r="D4" s="11">
        <v>0</v>
      </c>
    </row>
    <row r="5" ht="45" customHeight="1">
      <c r="A5" s="11" t="str">
        <v>AOW00</v>
      </c>
      <c r="B5" s="11" t="str">
        <v>Director Salary and costs</v>
      </c>
      <c r="C5" s="11" t="str">
        <v>510k for the Director's salary + relevant costs, as outlined by instructions</v>
      </c>
      <c r="D5" s="11">
        <v>0</v>
      </c>
    </row>
    <row r="6" ht="45" customHeight="1">
      <c r="A6" s="11" t="str">
        <v>AOW00</v>
      </c>
      <c r="B6" s="11" t="str">
        <v>Finance Focal point</v>
      </c>
      <c r="C6" s="11" t="str">
        <v>Mandated by Finance for 36.5k</v>
      </c>
      <c r="D6" s="11">
        <v>0</v>
      </c>
    </row>
    <row r="7" ht="45" customHeight="1" xml:space="preserve">
      <c r="A7" s="11" t="str">
        <v>AOW00</v>
      </c>
      <c r="B7" s="11" t="str">
        <v xml:space="preserve">Travel costs </v>
      </c>
      <c r="C7" s="11" t="str" xml:space="preserve">
        <v xml:space="preserve">Budget for two meetings of 75k costs each
</v>
      </c>
      <c r="D7" s="11">
        <v>0</v>
      </c>
    </row>
    <row r="8" ht="45" customHeight="1">
      <c r="A8" s="11" t="str">
        <v>AOW00</v>
      </c>
      <c r="B8" s="11" t="str">
        <v>AoW lead total salary costs at up to 50% of time</v>
      </c>
      <c r="C8" s="11" t="str">
        <v>For four AoW leads at 50% and two at 25%</v>
      </c>
      <c r="D8" s="11">
        <v>0</v>
      </c>
    </row>
    <row r="9" ht="45" customHeight="1">
      <c r="A9" s="11" t="str">
        <v>AOW00</v>
      </c>
      <c r="B9" s="11" t="str">
        <v>PMU costs (Program Coordinator; Communications Focal Point;  MELIA Focal Point)</v>
      </c>
      <c r="C9" s="11" t="str">
        <v>All at 50% FTE</v>
      </c>
      <c r="D9" s="11">
        <v>0</v>
      </c>
    </row>
    <row r="10" ht="45" customHeight="1">
      <c r="A10" s="11" t="str">
        <v>AOW00</v>
      </c>
      <c r="B10" s="11" t="str">
        <v>Consultants</v>
      </c>
      <c r="C10" s="11" t="str">
        <v>Primary consultants for B4T</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3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HLO1.AOW1.IO1 Steer to impact</v>
      </c>
      <c r="C3" s="11" t="str">
        <v>Market intelligence is packaged into decision-support tools to guide investment decisions in breeding and other science programs------CIAT - Multi-Crop Data Integration Framework---- Number of new market intelligence briefs</v>
      </c>
      <c r="D3" s="11" t="str">
        <v>Number of knowledge products</v>
      </c>
      <c r="E3" s="11" t="str">
        <v>Country: Colombia</v>
      </c>
      <c r="F3" s="11">
        <v>5</v>
      </c>
      <c r="G3" s="11">
        <v>32861</v>
      </c>
      <c r="H3" s="11">
        <f>SUM(G3:G3)</f>
      </c>
      <c r="I3" s="11" t="str" xml:space="preserve">
        <v xml:space="preserve">Data documentation to replicate and link with other platforms and 4 Publish SOPs from the labs that will be shared with partners
</v>
      </c>
    </row>
    <row r="4" ht="50" customHeight="1" xml:space="preserve">
      <c r="A4" s="11" t="str">
        <v>AOW01</v>
      </c>
      <c r="B4" s="11" t="str">
        <v>HLO3.AOW1.IO1 Design concepts</v>
      </c>
      <c r="C4" s="11" t="str">
        <v>New product concepts are designed for demand-led and foresight opportunities, that can be used by breeders to meet the Product Design Standard. ---- CIAT --- (Observatory Dashboards and Analytics Modules:) ---- Number of reports documenting the development, implementation and periodic assessment of the Product Design Standard</v>
      </c>
      <c r="D4" s="11" t="str">
        <v>Number of knowledge products</v>
      </c>
      <c r="E4" s="11" t="str">
        <v>Country: Colombia</v>
      </c>
      <c r="F4" s="11">
        <v>1</v>
      </c>
      <c r="G4" s="11">
        <v>28234</v>
      </c>
      <c r="H4" s="11">
        <f>SUM(G4:G4)</f>
      </c>
      <c r="I4" s="11" t="str" xml:space="preserve">
        <v xml:space="preserve">New crops integrated into the platforms and additional sections
</v>
      </c>
    </row>
    <row r="5" ht="50" customHeight="1" xml:space="preserve">
      <c r="A5" s="11" t="str">
        <v>AOW01</v>
      </c>
      <c r="B5" s="11" t="str">
        <v>HLO4.AOW1.IO1 Foster motivations</v>
      </c>
      <c r="C5" s="11" t="str">
        <v xml:space="preserve">Intelligence gathered on motivations (social, economic, behavioral) for change across the supply chain, consumers and smallholder farmers  --------------------CIAT - CROP AGNOSTIC - (Partnership Expansion and Thematic Collaboration)------------------- Number of knowledge products that present findings on what incentivizes farmers, markets and consumers to replace current varieties </v>
      </c>
      <c r="D5" s="11" t="str">
        <v>Number of knowledge products</v>
      </c>
      <c r="E5" s="11" t="str">
        <v>Global</v>
      </c>
      <c r="F5" s="11">
        <v>2</v>
      </c>
      <c r="G5" s="11">
        <v>12000</v>
      </c>
      <c r="H5" s="11">
        <f>SUM(G5:G5)</f>
      </c>
      <c r="I5" s="11" t="str" xml:space="preserve">
        <v xml:space="preserve">Dissemination of results with partners
</v>
      </c>
    </row>
    <row r="6" ht="25" customHeight="1">
      <c r="B6" s="14" t="str">
        <v>HLO budget subtotal</v>
      </c>
      <c r="H6" s="15">
        <f>SUM(H3:H5)</f>
      </c>
    </row>
    <row r="7" ht="50" customHeight="1">
      <c r="A7" s="13" t="str">
        <v>AOW02</v>
      </c>
      <c r="B7" s="11" t="str">
        <v>HLO6.AOW2.IO1 Refocus to markets</v>
      </c>
      <c r="C7" s="11" t="str">
        <v xml:space="preserve">Feasible breeding pipelines are aligned to market segments and opportunities, as guided by product concepts. ---------------- CRITICAL CAPABILITIES -  CIAT - BEANS - (Breeding portal update of TPP's and Value propositions) ------------------------ Number of breeding pipelines developed. </v>
      </c>
      <c r="D7" s="11" t="str">
        <v>Number of innovations (innovation development)</v>
      </c>
      <c r="E7" s="11" t="str">
        <v>Country: Cameroon, Guatemala</v>
      </c>
      <c r="F7" s="11">
        <v>2</v>
      </c>
      <c r="G7" s="11">
        <v>15000</v>
      </c>
      <c r="H7" s="11">
        <f>SUM(G7:G7)</f>
      </c>
      <c r="I7" s="11" t="str">
        <v>Product design team meetings for Guatemala and Cameroon (10,000 each)</v>
      </c>
    </row>
    <row r="8" ht="50" customHeight="1" xml:space="preserve">
      <c r="A8" s="11" t="str">
        <v>AOW02</v>
      </c>
      <c r="B8" s="11" t="str">
        <v>HLO7.AOW2.IO2 Accelerating genetic gain</v>
      </c>
      <c r="C8" s="11" t="str" xml:space="preserve">
        <v xml:space="preserve">Design breeding schemes and pipelines that maximize extraction of breakthrough products for the global cassava pipelines—Cassava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Indicator: Number of breeding schemes and pipelines designed with improved cycle time relative to 2025.
</v>
      </c>
      <c r="D8" s="11" t="str">
        <v>Number of innovations (innovation development)</v>
      </c>
      <c r="E8" s="11" t="str">
        <v>Country: The Socialist Republic of Viet Nam, Colombia</v>
      </c>
      <c r="F8" s="11">
        <v>25</v>
      </c>
      <c r="G8" s="11">
        <v>32200</v>
      </c>
      <c r="H8" s="11">
        <f>SUM(G8:G10)</f>
      </c>
      <c r="I8" s="11" t="str" xml:space="preserve">
        <v xml:space="preserve">(Cassava Sweet CIAT BP00217; Cassava CIAT BP00218) Reduction in breeding cycle time
</v>
      </c>
    </row>
    <row r="9" ht="50" customHeight="1" xml:space="preserve">
      <c r="A9" s="11" t="str">
        <v>AOW02</v>
      </c>
      <c r="C9" s="11" t="str">
        <v xml:space="preserve"> Number of breeding schemes and pipelines designed with optimized breeding cycle time as compared to 2025 ----- CIAT - BEANS - Breeding portal update of TPP's and Value propositions ---- Number of breeding schemes and pipelines designed with optimized breeding cycle time as compared to 2025</v>
      </c>
      <c r="D9" s="11" t="str">
        <v>Number of innovations (innovation development)</v>
      </c>
      <c r="E9" s="11" t="str">
        <v>Country: Colombia, Uganda</v>
      </c>
      <c r="F9" s="11">
        <v>3</v>
      </c>
      <c r="G9" s="11">
        <v>85000</v>
      </c>
      <c r="I9" s="11" t="str" xml:space="preserve">
        <v xml:space="preserve">Breeding schemes for climbing beans. New KPI added for this BUT only one target added (80%) for both bush and climbing beans and little black beans.
</v>
      </c>
    </row>
    <row r="10" ht="50" customHeight="1" xml:space="preserve">
      <c r="A10" s="11" t="str">
        <v>AOW02</v>
      </c>
      <c r="C10" s="11" t="str" xml:space="preserve">
        <v xml:space="preserve">Design of optimized breeding schemes and pipelines that maximize the potential for genetic gain. ------- CIAT --- FORAGERS (Optimize breeding schemes and population sizes, generate high-quality data for early and late-stage materials, and enhance parent recycling efficiency through robust data-driven selection.) ---------- Number of breeding schemes and pipelines designed with optimized breeding cycle time as compared to 2025
</v>
      </c>
      <c r="D10" s="11" t="str">
        <v>Number of innovations (innovation development)</v>
      </c>
      <c r="E10" s="11" t="str">
        <v>Country: Colombia</v>
      </c>
      <c r="F10" s="11">
        <v>2</v>
      </c>
      <c r="G10" s="11">
        <v>223000</v>
      </c>
      <c r="I10" s="11" t="str" xml:space="preserve">
        <v xml:space="preserve">Phenotyping and genotyping of all pipelines; application of desired index and genomic selection in interspecific Urochloa; application of desired index in megathyrsus pipeline 
</v>
      </c>
    </row>
    <row r="11" ht="50" customHeight="1" xml:space="preserve">
      <c r="A11" s="11" t="str">
        <v>AOW02</v>
      </c>
      <c r="B11" s="11" t="str">
        <v>HLO8.AOW2.IO2 Discover genetic potential</v>
      </c>
      <c r="C11" s="11" t="str" xml:space="preserve">
        <v xml:space="preserve">Discovery and development of foundational genetic resources such as traits, high-value haplotypes and elite lines that can deliver on targeted product profiles ---------------------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-------------------------Average stage of trait discovery and deployment efforts across the portfolio	
High Level Output - HLO8.AOW2.IO2 Discover genetic potential
</v>
      </c>
      <c r="D11" s="11" t="str">
        <v>Number of innovations (innovation development)</v>
      </c>
      <c r="E11" s="11" t="str">
        <v>Country: Kenya, Colombia</v>
      </c>
      <c r="F11" s="11">
        <v>2</v>
      </c>
      <c r="G11" s="11">
        <v>60000</v>
      </c>
      <c r="H11" s="11">
        <f>SUM(G11:G15)</f>
      </c>
      <c r="I11" s="11" t="str" xml:space="preserve">
        <v xml:space="preserve">Priority diseases and pest 
</v>
      </c>
    </row>
    <row r="12" ht="50" customHeight="1">
      <c r="A12" s="11" t="str">
        <v>AOW02</v>
      </c>
      <c r="C12" s="11" t="str">
        <v>Development and distribution of foundational genetic resources—including priority traits, high-value haplotypes, and elite lines—that enable delivery of targeted product profiles. For the global cassava breeding pipelines Cassava CIAT BP00218 and Cassava Sweet CIAT BP00217, key outputs include deploying validated traits into improved genetic backgrounds and sharing botanical seed with IITA and national partners in Africa. Trait discovery and deployment have progressed beyond the initial discovery phase, with resistance to cassava mosaic disease (CMD) and cassava brown streak disease (CBSD) now incorporated into improved backgrounds featuring low cyanide and fast cooking time, as well as backgrounds with high and stable starch yield and erect plant type.-------------------------------------------CRITICAL CAPABILITIES - CIAT - CASSAVA -- CMD/CBSD-resistant fresh-market cassava and CMD/CBSD-resistant processing/starch cassava -------------------------------------Number of botanical seeds shared with IITA and African NARES partners</v>
      </c>
      <c r="D12" s="11" t="str">
        <v xml:space="preserve"> Number of botanical seeds shared with IITA and African NARES partners</v>
      </c>
      <c r="E12" s="11" t="str">
        <v>Country: The Socialist Republic of Viet Nam, Colombia</v>
      </c>
      <c r="F12" s="11">
        <v>5000</v>
      </c>
      <c r="G12" s="11">
        <v>119732</v>
      </c>
      <c r="I12" s="11" t="str">
        <v>(Cassava CIAT BP00218) Traits deployed in improved backgrounds, with botanical seed shared with IITA and African NAREs. (Cassava Sweet CIAT BP00217) Traits deployed in improved backgrounds, with botanical seed shared with IITA and African NAREs. Total Del</v>
      </c>
    </row>
    <row r="13" ht="50" customHeight="1" xml:space="preserve">
      <c r="A13" s="11" t="str">
        <v>AOW02</v>
      </c>
      <c r="C13" s="11" t="str">
        <v xml:space="preserve">Discovery and development of foundational genetic resources such as traits, high-value haplotypes and elite lines that can deliver on targeted product profiles ---- CIAT - BEANS --  GENOME TOOLS FOR PRIORITY TRAITS---- Average stage of trait discovery and deployment efforts across the portfolio	</v>
      </c>
      <c r="D13" s="11" t="str">
        <v>Number of innovations (innovation development)</v>
      </c>
      <c r="E13" s="11" t="str">
        <v>Country: Colombia, Uganda</v>
      </c>
      <c r="F13" s="11">
        <v>2</v>
      </c>
      <c r="G13" s="11">
        <v>40000</v>
      </c>
      <c r="I13" s="11" t="str" xml:space="preserve">
        <v xml:space="preserve">Genome tools for priority traits 
</v>
      </c>
    </row>
    <row r="14" ht="50" customHeight="1" xml:space="preserve">
      <c r="A14" s="11" t="str">
        <v>AOW02</v>
      </c>
      <c r="C14" s="11" t="str">
        <v xml:space="preserve">Discovery and development of foundational genetic resources such as traits, high-value haplotypes and elite lines that can deliver on targeted product profiles ----------------------- CRITICAL CAPABILITIES -  CIAT - BEANS --  PRIORITY DISEASES AND PESTS -----------------------------Average stage of trait discovery and deployment efforts across the portfolio	</v>
      </c>
      <c r="D14" s="11" t="str">
        <v>Number of innovations (innovation development)</v>
      </c>
      <c r="E14" s="11" t="str">
        <v>Country: Uganda, Colombia</v>
      </c>
      <c r="F14" s="11">
        <v>2</v>
      </c>
      <c r="G14" s="11">
        <v>40000</v>
      </c>
      <c r="I14" s="11" t="str" xml:space="preserve">
        <v xml:space="preserve">Priority diseases and pest 
</v>
      </c>
    </row>
    <row r="15" ht="50" customHeight="1">
      <c r="A15" s="11" t="str">
        <v>AOW02</v>
      </c>
      <c r="C15" s="11" t="str">
        <v xml:space="preserve">Discovery and development of foundational genetic resources such as traits, high-value haplotypes and elite lines that can deliver on targeted product profiles ---- CIAT- BEANS -- ROOT TRAITS  - Average stage of trait discovery and deployment efforts across the portfolio	</v>
      </c>
      <c r="D15" s="11" t="str">
        <v>Number of innovations (innovation development)</v>
      </c>
      <c r="E15" s="11" t="str">
        <v>Country: Colombia</v>
      </c>
      <c r="F15" s="11">
        <v>1</v>
      </c>
      <c r="G15" s="11">
        <v>40000</v>
      </c>
      <c r="I15" s="11" t="str">
        <v>Root traits</v>
      </c>
    </row>
    <row r="16" ht="50" customHeight="1" xml:space="preserve">
      <c r="A16" s="11" t="str">
        <v>AOW02</v>
      </c>
      <c r="B16" s="11" t="str">
        <v>HLO9.AOW2.IO2 Create products</v>
      </c>
      <c r="C16" s="11" t="str" xml:space="preserve">
        <v xml:space="preserve">Breeding networks collaborate on the development of targeted products. ----CIAT - FORAGES - (National performance trials: Coordinate regional and national trials for distinctiveness, yield, and stability, ensuring high-quality seed production and alignment with varietal release requirements.) --- Number of elite breeding lines released to partners	
</v>
      </c>
      <c r="D16" s="11" t="str">
        <v>Number of innovations (innovation development)</v>
      </c>
      <c r="E16" s="11" t="str">
        <v>Country: Colombia</v>
      </c>
      <c r="F16" s="11">
        <v>50</v>
      </c>
      <c r="G16" s="11">
        <v>60000</v>
      </c>
      <c r="H16" s="11">
        <f>SUM(G16:G20)</f>
      </c>
      <c r="I16" s="11" t="str" xml:space="preserve">
        <v xml:space="preserve">Breeding lines advance
</v>
      </c>
    </row>
    <row r="17" ht="50" customHeight="1" xml:space="preserve">
      <c r="A17" s="11" t="str">
        <v>AOW02</v>
      </c>
      <c r="C17" s="11" t="str">
        <v xml:space="preserve">Breeding networks collaborate on the development of targeted products. Conduct late stage testing  of lines slected from regional trials (AYT, PYT) in line with priority triats (Ethiopia and Honduras: small red bush beans, Uganda: large red bush beans, Guatemala: small black bush beans, Rwanda: Climbers): -------------------------- CIAT --- BEANS -- (Candidate varieties for AYT and NPT ) -------------------------------  Number of candidate varieties released to partners </v>
      </c>
      <c r="D17" s="11" t="str">
        <v>Number of innovations (innovation development)</v>
      </c>
      <c r="E17" s="11" t="str">
        <v>Country: Honduras, Rwanda, Uganda, Guatemala, Ethiopia</v>
      </c>
      <c r="F17" s="11">
        <v>10</v>
      </c>
      <c r="G17" s="11">
        <v>18938</v>
      </c>
      <c r="I17" s="11" t="str" xml:space="preserve">
        <v xml:space="preserve">Candidate varieties for NPT. Partners: RAB - Rwanda Agriculture and devolpment Board
$6k, ICTA - Instituto de Ciencia y Tecnología Agrícolas $6k, DICTA - Direccion de Ciencia y Tecnologia Agropecuaria $6K.
</v>
      </c>
    </row>
    <row r="18" ht="50" customHeight="1" xml:space="preserve">
      <c r="A18" s="11" t="str">
        <v>AOW02</v>
      </c>
      <c r="C18" s="11" t="str">
        <v xml:space="preserve">Breeding networks collaborate on the development of targeted products. ----CIAT - BEANS - ( Validated parents, Optimised Breeding Schem --- Breeding lines in the regional nurseries) ----------------------------- Number of elite breeding lines released to partners </v>
      </c>
      <c r="D18" s="11" t="str">
        <v>Number of innovations (innovation development)</v>
      </c>
      <c r="E18" s="11" t="str">
        <v>Country: Colombia, Tanzania, United Republic, Malawi, Uganda</v>
      </c>
      <c r="F18" s="11">
        <v>200</v>
      </c>
      <c r="G18" s="11">
        <v>50000</v>
      </c>
      <c r="I18" s="11" t="str" xml:space="preserve">
        <v xml:space="preserve">Breeding lines in the regional nurseries
</v>
      </c>
    </row>
    <row r="19" ht="50" customHeight="1">
      <c r="A19" s="11" t="str">
        <v>AOW02</v>
      </c>
      <c r="C19" s="11" t="str">
        <v xml:space="preserve">Breeding networks collaborate on the development of targeted products. ---------------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Number of varieties released to partners for scaling. </v>
      </c>
      <c r="D19" s="11" t="str">
        <v>Number of innovations (innovation development)</v>
      </c>
      <c r="E19" s="11" t="str">
        <v>Country: Lao People's Democratic Republic, Nigeria, Cambodia, The Socialist Republic of Viet Nam</v>
      </c>
      <c r="F19" s="11">
        <v>1</v>
      </c>
      <c r="G19" s="11">
        <v>249758</v>
      </c>
      <c r="I19" s="11" t="str">
        <v>&gt;/= 1 new variety released in Cassava SEA MS00909; Cassava WAF MS01065; Cassava WAF MS00884 SCAR - added this in vars released. &gt;/= 1 new variety released in Cassava SEA MS00909; Cassava WAF MS01065; Cassava WAF MS00884 SCAR - added this in vars released</v>
      </c>
    </row>
    <row r="20" ht="50" customHeight="1">
      <c r="A20" s="11" t="str">
        <v>AOW02</v>
      </c>
      <c r="C20" s="11" t="str">
        <v xml:space="preserve">Breeding networks collaborate on the development of targeted products. Test and advance selections from existing populations for priority TPPS for ESA (large and medium yellow, red mottled, sugar bush beans linked to GF-BP)------------------------------------CIAT - BEANS - (Validated parents, Optimised Breeding Scheme - Breeding lines advance) --------------------------------  Number of elite breeding lines released to partners </v>
      </c>
      <c r="D20" s="11" t="str">
        <v>Number of innovations (innovation development)</v>
      </c>
      <c r="E20" s="11" t="str">
        <v>Country: Malawi, Tanzania, United Republic, Colombia, Uganda</v>
      </c>
      <c r="F20" s="11">
        <v>300</v>
      </c>
      <c r="G20" s="11">
        <v>106295</v>
      </c>
      <c r="I20" s="11" t="str">
        <v>Breeding lines advance</v>
      </c>
    </row>
    <row r="21" ht="25" customHeight="1">
      <c r="B21" s="15" t="str">
        <v>HLO budget subtotal</v>
      </c>
      <c r="H21" s="15">
        <f>SUM(H7:H20)</f>
      </c>
    </row>
    <row r="22" ht="50" customHeight="1" xml:space="preserve">
      <c r="A22" s="13" t="str">
        <v>AOW03</v>
      </c>
      <c r="B22" s="11" t="str">
        <v>HLO11.AOW3.IO4 Position for demand</v>
      </c>
      <c r="C22" s="11" t="str">
        <v>Strategies to position quality seed and increase scaling partner demand for new varieties, encouraging variety replacement and Product Lifecycle Management.---------------- CRITICAL CAPABILITIES --CIAT - BEANS (comprehensive communication kit) --------------- Number of scaling partners involved in CG-collaborative variety registrations</v>
      </c>
      <c r="D22" s="11" t="str">
        <v>Number of scaling partners involved in CG-collaborative variety registrations</v>
      </c>
      <c r="E22" s="11" t="str">
        <v>Country: Cameroon, Uganda, Burundi, Zimbabwe, Zambia, Rwanda, Ethiopia, Kenya</v>
      </c>
      <c r="F22" s="11">
        <v>8</v>
      </c>
      <c r="G22" s="11">
        <v>21500</v>
      </c>
      <c r="H22" s="11">
        <f>SUM(G22:G22)</f>
      </c>
      <c r="I22" s="11" t="str" xml:space="preserve">
        <v xml:space="preserve">Technical assistance to partners + Some physical activities supported by bilateral projects
</v>
      </c>
    </row>
    <row r="23" ht="50" customHeight="1" xml:space="preserve">
      <c r="A23" s="11" t="str">
        <v>AOW03</v>
      </c>
      <c r="B23" s="11" t="str">
        <v>HLO12.AOW3.IO5 Deploy seed</v>
      </c>
      <c r="C23" s="11" t="str">
        <v>Technologies and strategies to encourage scaling partners to increase production and equitable supply of new varieties. -------------------CRITICAL CAPABILITIES -  CIAT - Cassava (Tunnel-based rapid multiplication of clean cassava seed) --------- Number of clean seedling plants produced by national partners using innovative CIAT multiplication technology</v>
      </c>
      <c r="D23" s="11" t="str">
        <v>Number of clean seedling plants produced by national partners using innovative CIAT multiplication technology</v>
      </c>
      <c r="E23" s="11" t="str">
        <v>Country: Cambodia, Lao People's Democratic Republic, The Socialist Republic of Viet Nam</v>
      </c>
      <c r="F23" s="11">
        <v>30000</v>
      </c>
      <c r="G23" s="11">
        <v>19167</v>
      </c>
      <c r="H23" s="11">
        <f>SUM(G23:G28)</f>
      </c>
      <c r="I23" s="11" t="str" xml:space="preserve">
        <v xml:space="preserve">Physical activities supported by bilateral projects. Clean cassava plants produced by partners using tunnel rapid multiplication systems
</v>
      </c>
    </row>
    <row r="24" ht="50" customHeight="1" xml:space="preserve">
      <c r="A24" s="11" t="str">
        <v>AOW03</v>
      </c>
      <c r="C24" s="11" t="str">
        <v>Technologies and strategies to encourage scaling partners to increase production and equitable supply of new varieties. --------------------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Number of roadmaps developed</v>
      </c>
      <c r="D24" s="11" t="str">
        <v>Number of knowledge products</v>
      </c>
      <c r="E24" s="11" t="str">
        <v>Country: Burundi, Uganda</v>
      </c>
      <c r="F24" s="11">
        <v>1</v>
      </c>
      <c r="G24" s="11">
        <v>5000</v>
      </c>
      <c r="I24" s="11" t="str" xml:space="preserve">
        <v xml:space="preserve">Technical assistance to partners + Some physical activities supported by bilateral projects
</v>
      </c>
    </row>
    <row r="25" ht="50" customHeight="1" xml:space="preserve">
      <c r="A25" s="11" t="str">
        <v>AOW03</v>
      </c>
      <c r="C25" s="11" t="str">
        <v>Technologies and strategies to encourage scaling partners to increase production and equitable supply of new varieties. ------------ CRITICAL CAPABILITIES -  CIAT - Beans - (Increased EGS Quantities; Business Case for EGS Investment; Partnership Frameworks) ----------------- Number of strategies that increase production and supply of new varieties by scaling partners</v>
      </c>
      <c r="D25" s="11" t="str">
        <v>Number of knowledge products</v>
      </c>
      <c r="E25" s="11" t="str">
        <v>Country: Kenya, Zimbabwe, Rwanda, Zambia, Uganda, Cameroon, Burundi, Ethiopia</v>
      </c>
      <c r="F25" s="11">
        <v>2</v>
      </c>
      <c r="G25" s="11">
        <v>30000</v>
      </c>
      <c r="I25" s="11" t="str" xml:space="preserve">
        <v xml:space="preserve">Budget to support EGS production by partners. Partners: Institut des Sciences Agronomiques du Burundi $3K
Ethiopian Institute of Agricultural Research $4.5K
Institute of Agricultural Research for Development $3K
Kenya Agricultural &amp; Livestock Research Organization$4K
National Agricultural Research Organisation (Uganda) $4K
Rwanda Agriculture and Animal Resources Development Board $3K
Zambia Agriculture Research Institute $4.5K
Department of Research and Specialist Services $4K
</v>
      </c>
    </row>
    <row r="26" ht="50" customHeight="1" xml:space="preserve">
      <c r="A26" s="11" t="str">
        <v>AOW03</v>
      </c>
      <c r="C26" s="11" t="str">
        <v>Technologies and strategies to encourage scaling partners to increase production and equitable supply of new varieties. ---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Number of projects piloting the model</v>
      </c>
      <c r="D26" s="11" t="str">
        <v>Number of innovations (innovation development)</v>
      </c>
      <c r="E26" s="11" t="str">
        <v>Country: Burundi, Uganda</v>
      </c>
      <c r="F26" s="11">
        <v>1</v>
      </c>
      <c r="G26" s="11">
        <v>5000</v>
      </c>
      <c r="I26" s="11" t="str" xml:space="preserve">
        <v xml:space="preserve">Technical assistance to partners + Some physical activities supported by bilateral projects. 
</v>
      </c>
    </row>
    <row r="27" ht="50" customHeight="1" xml:space="preserve">
      <c r="A27" s="11" t="str">
        <v>AOW03</v>
      </c>
      <c r="C27" s="11" t="str" xml:space="preserve">
        <v xml:space="preserve">Technologies and strategies to encourage scaling partners to increase production and equitable supply of new varieties. --- CRITICAL CAPABILITIES - CIAT - Beans - (Improved common bean and ICM option Uptake; Co-Designed Last-Mile Distribution Model; Evidence and Learning Documents; Validated Trader Network Map and partnership structure)----- Number of strategies that increase production and supply of new varieties by scaling partners	
</v>
      </c>
      <c r="D27" s="11" t="str">
        <v>Number of knowledge products</v>
      </c>
      <c r="E27" s="11" t="str">
        <v>Country: Burundi, Zimbabwe, Rwanda, Ethiopia, Cameroon, Uganda, Zambia, Kenya</v>
      </c>
      <c r="F27" s="11">
        <v>2</v>
      </c>
      <c r="G27" s="11">
        <v>17000</v>
      </c>
      <c r="I27" s="11" t="str" xml:space="preserve">
        <v xml:space="preserve">Technical assistance to partners + Some physical activities supported by bilateral projects
</v>
      </c>
    </row>
    <row r="28" ht="50" customHeight="1" xml:space="preserve">
      <c r="A28" s="11" t="str">
        <v>AOW03</v>
      </c>
      <c r="C28" s="11" t="str" xml:space="preserve">
        <v xml:space="preserve">Technologies and strategies to encourage scaling partners to increase production and equitable supply of new varieties. --- CIAT - Cassava (Institutional innovations for public and private production of early generation RTB seed) --------- Number of strategies that increase production and supply of new varieties by scaling partners 
</v>
      </c>
      <c r="D28" s="11" t="str">
        <v>Number of knowledge products</v>
      </c>
      <c r="E28" s="11" t="str">
        <v>Country: Lao People's Democratic Republic, The Socialist Republic of Viet Nam</v>
      </c>
      <c r="F28" s="11">
        <v>3</v>
      </c>
      <c r="G28" s="11">
        <v>19167</v>
      </c>
      <c r="I28" s="11" t="str" xml:space="preserve">
        <v xml:space="preserve">Physical activities supported by bilateral projects
</v>
      </c>
    </row>
    <row r="29" ht="50" customHeight="1" xml:space="preserve">
      <c r="A29" s="11" t="str">
        <v>AOW03</v>
      </c>
      <c r="B29" s="11" t="str">
        <v>HLO13.AOW3.IO5 Power seed scaling</v>
      </c>
      <c r="C29" s="11" t="str" xml:space="preserve">
        <v xml:space="preserve">Technologies, strategies and regulatory solutions to encourage scaling partners to accelerate delivery of new varieties to smallholders. --------------------- CIAT - CASSAVA (Scale adoption of CMD-resistant cassava seed in Southeast Asia) ---------------------- Number of technologies, strategies, or regulatory solutions developed to encourage scaling partners to accelerate equity in the delivery of new varieties and quality seed to smallholders
</v>
      </c>
      <c r="D29" s="11" t="str">
        <v>Number of knowledge products</v>
      </c>
      <c r="E29" s="11" t="str">
        <v>Country: Thailand, The Socialist Republic of Viet Nam, Lao People's Democratic Republic, Cambodia</v>
      </c>
      <c r="F29" s="11">
        <v>4</v>
      </c>
      <c r="G29" s="11">
        <v>19167</v>
      </c>
      <c r="H29" s="11">
        <f>SUM(G29:G29)</f>
      </c>
      <c r="I29" s="11" t="str" xml:space="preserve">
        <v xml:space="preserve">Physical activities supported by bilateral projects
</v>
      </c>
    </row>
    <row r="30" ht="50" customHeight="1" xml:space="preserve">
      <c r="A30" s="11" t="str">
        <v>AOW03</v>
      </c>
      <c r="B30" s="11" t="str">
        <v>HLO14.AOW3.IO5 TRACK adoption</v>
      </c>
      <c r="C30" s="11" t="str">
        <v xml:space="preserve">Methods and tools to track variety adoption and turnover at scale ----CIAT - BEAN - Operational Database; Mobile based data entry tools; Seed Systems performance analytics ----- Number of tools (to track variety adoption/scale turnover) available	</v>
      </c>
      <c r="D30" s="11" t="str">
        <v>Number of knowledge products</v>
      </c>
      <c r="E30" s="11" t="str">
        <v>Country: Zimbabwe, Rwanda, Zambia, Cameroon, Burundi, Kenya, Uganda, Ethiopia</v>
      </c>
      <c r="F30" s="11">
        <v>1</v>
      </c>
      <c r="G30" s="11">
        <v>9000</v>
      </c>
      <c r="H30" s="11">
        <f>SUM(G30:G30)</f>
      </c>
      <c r="I30" s="11" t="str" xml:space="preserve">
        <v xml:space="preserve">Technical assistance to partners + Some physical activities supported by bilateral projects
</v>
      </c>
    </row>
    <row r="31" ht="25" customHeight="1">
      <c r="B31" s="15" t="str">
        <v>HLO budget subtotal</v>
      </c>
      <c r="H31" s="15">
        <f>SUM(H22:H30)</f>
      </c>
    </row>
  </sheetData>
  <mergeCells count="19">
    <mergeCell ref="A1:A2"/>
    <mergeCell ref="B1:B2"/>
    <mergeCell ref="C1:G1"/>
    <mergeCell ref="H1:H2"/>
    <mergeCell ref="I1:I2"/>
    <mergeCell ref="B6:G6"/>
    <mergeCell ref="A3:A6"/>
    <mergeCell ref="B8:B10"/>
    <mergeCell ref="H8:H10"/>
    <mergeCell ref="B11:B15"/>
    <mergeCell ref="H11:H15"/>
    <mergeCell ref="B16:B20"/>
    <mergeCell ref="H16:H20"/>
    <mergeCell ref="B21:G21"/>
    <mergeCell ref="A7:A21"/>
    <mergeCell ref="B23:B28"/>
    <mergeCell ref="H23:H28"/>
    <mergeCell ref="B31:G31"/>
    <mergeCell ref="A22:A31"/>
  </mergeCells>
  <ignoredErrors>
    <ignoredError numberStoredAsText="1" sqref="A1:I31"/>
  </ignoredErrors>
</worksheet>
</file>

<file path=xl/worksheets/sheet4.xml><?xml version="1.0" encoding="utf-8"?>
<worksheet xmlns="http://schemas.openxmlformats.org/spreadsheetml/2006/main" xmlns:r="http://schemas.openxmlformats.org/officeDocument/2006/relationships">
  <dimension ref="A1:F13"/>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xml:space="preserve">
      <c r="A2" s="12" t="str">
        <v>AOW02</v>
      </c>
      <c r="B2" s="11" t="str">
        <v>National Agricultural Research Organisation (Uganda)</v>
      </c>
      <c r="C2" s="11" t="str">
        <v>HLO8.AOW2.IO2 Discover genetic potential, HLO7.AOW2.IO2 Accelerating genetic gain, HLO9.AOW2.IO2 Create products</v>
      </c>
      <c r="D2" s="11" t="str">
        <v>Uganda</v>
      </c>
      <c r="E2" s="11">
        <v>6000</v>
      </c>
      <c r="F2" s="11" t="str" xml:space="preserve">
        <v xml:space="preserve">Support to NARO for executing PYT/AYT trials and data collection, complemented with technical guidance from the breeding network.
</v>
      </c>
    </row>
    <row r="3" ht="70" customHeight="1" xml:space="preserve">
      <c r="A3" s="11" t="str">
        <v>AOW02</v>
      </c>
      <c r="B3" s="11" t="str">
        <v>Ethiopian Institute of Agricultural Research</v>
      </c>
      <c r="C3" s="11" t="str">
        <v>HLO7.AOW2.IO2 Accelerating genetic gain, HLO9.AOW2.IO2 Create products</v>
      </c>
      <c r="D3" s="11" t="str">
        <v>Ethiopia</v>
      </c>
      <c r="E3" s="11">
        <v>6000</v>
      </c>
      <c r="F3" s="11" t="str" xml:space="preserve">
        <v xml:space="preserve">Technical assistance for EIAR to conduct PYT/AYT evaluations; partial field operation costs supported through bilateral funds.
</v>
      </c>
    </row>
    <row r="4" ht="25" customHeight="1">
      <c r="B4" s="14" t="str">
        <v>Contracted partners subtotal</v>
      </c>
      <c r="E4" s="14">
        <f>SUM(E2:E3)</f>
      </c>
    </row>
    <row r="5" ht="70" customHeight="1">
      <c r="A5" s="12" t="str">
        <v>AOW03</v>
      </c>
      <c r="B5" s="11" t="str">
        <v>National Agricultural Research Organisation (Uganda)</v>
      </c>
      <c r="C5" s="11" t="str">
        <v>HLO11.AOW3.IO4 Position for demand, HLO14.AOW3.IO5 TRACK adoption</v>
      </c>
      <c r="D5" s="11" t="str">
        <v>Uganda</v>
      </c>
      <c r="E5" s="11">
        <v>0</v>
      </c>
    </row>
    <row r="6" ht="70" customHeight="1">
      <c r="A6" s="11" t="str">
        <v>AOW03</v>
      </c>
      <c r="B6" s="11" t="str">
        <v>Ethiopian Institute of Agricultural Research</v>
      </c>
      <c r="C6" s="11" t="str">
        <v>HLO11.AOW3.IO4 Position for demand, HLO12.AOW3.IO5 Deploy seed</v>
      </c>
      <c r="D6" s="11" t="str">
        <v>Ethiopia</v>
      </c>
      <c r="E6" s="11">
        <v>0</v>
      </c>
    </row>
    <row r="7" ht="25" customHeight="1">
      <c r="B7" s="14" t="str">
        <v>Contracted partners subtotal</v>
      </c>
      <c r="E7" s="14">
        <f>SUM(E5:E6)</f>
      </c>
    </row>
    <row r="8" ht="70" customHeight="1">
      <c r="A8" s="12" t="str">
        <v>AOW04</v>
      </c>
      <c r="B8" s="11" t="str">
        <v>National Agricultural Research Organisation (Uganda)</v>
      </c>
      <c r="C8" s="11" t="str">
        <v>HLO17.AOW4.IO3 FAIR principles, HLO15.AOW4.IO2 Hub &amp; spoke scaling, HLO16.AOW4.IO3 Shared services</v>
      </c>
      <c r="D8" s="11" t="str">
        <v>Uganda</v>
      </c>
      <c r="E8" s="11">
        <v>0</v>
      </c>
    </row>
    <row r="9" ht="70" customHeight="1">
      <c r="A9" s="11" t="str">
        <v>AOW04</v>
      </c>
      <c r="B9" s="11" t="str">
        <v>Ethiopian Institute of Agricultural Research</v>
      </c>
      <c r="C9" s="11" t="str">
        <v>HLO15.AOW4.IO2 Hub &amp; spoke scaling, HLO16.AOW4.IO3 Shared services</v>
      </c>
      <c r="D9" s="11" t="str">
        <v>Ethiopia</v>
      </c>
      <c r="E9" s="11">
        <v>0</v>
      </c>
    </row>
    <row r="10" ht="25" customHeight="1">
      <c r="B10" s="14" t="str">
        <v>Contracted partners subtotal</v>
      </c>
      <c r="E10" s="14">
        <f>SUM(E8:E9)</f>
      </c>
    </row>
    <row r="11" ht="70" customHeight="1">
      <c r="A11" s="12" t="str">
        <v>AOW05</v>
      </c>
      <c r="B11" s="11" t="str">
        <v>Ethiopian Institute of Agricultural Research</v>
      </c>
      <c r="C11" s="11" t="str">
        <v>HLO18.AOW5.IO2 Partnered networks, HLO19.AOW5.IO2 Share capacity</v>
      </c>
      <c r="D11" s="11" t="str">
        <v>Ethiopia</v>
      </c>
      <c r="E11" s="11">
        <v>0</v>
      </c>
    </row>
    <row r="12" ht="70" customHeight="1">
      <c r="A12" s="11" t="str">
        <v>AOW05</v>
      </c>
      <c r="B12" s="11" t="str">
        <v>National Agricultural Research Organisation (Uganda)</v>
      </c>
      <c r="C12" s="11" t="str">
        <v>HLO19.AOW5.IO2 Share capacity</v>
      </c>
      <c r="D12" s="11" t="str">
        <v>Uganda</v>
      </c>
      <c r="E12" s="11">
        <v>0</v>
      </c>
    </row>
    <row r="13" ht="25" customHeight="1">
      <c r="B13" s="14" t="str">
        <v>Contracted partners subtotal</v>
      </c>
      <c r="E13" s="14">
        <f>SUM(E11:E12)</f>
      </c>
    </row>
  </sheetData>
  <mergeCells count="8">
    <mergeCell ref="B4:D4"/>
    <mergeCell ref="A2:A4"/>
    <mergeCell ref="B7:D7"/>
    <mergeCell ref="A5:A7"/>
    <mergeCell ref="B10:D10"/>
    <mergeCell ref="A8:A10"/>
    <mergeCell ref="B13:D13"/>
    <mergeCell ref="A11:A13"/>
  </mergeCells>
  <ignoredErrors>
    <ignoredError numberStoredAsText="1" sqref="A1:F13"/>
  </ignoredErrors>
</worksheet>
</file>

<file path=xl/worksheets/sheet5.xml><?xml version="1.0" encoding="utf-8"?>
<worksheet xmlns="http://schemas.openxmlformats.org/spreadsheetml/2006/main" xmlns:r="http://schemas.openxmlformats.org/officeDocument/2006/relationships">
  <dimension ref="A1:F1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USA-BMGF-Artemis II - Field Phenotyping Prototype</v>
      </c>
      <c r="B2" s="19" t="str">
        <v>AOW00</v>
      </c>
      <c r="C2" s="18" t="str">
        <v xml:space="preserve">IOC5 Equitable access to improved varieties </v>
      </c>
      <c r="D2" s="19">
        <v>0</v>
      </c>
      <c r="E2" s="19" t="str">
        <f>=SUM(D2:D5)</f>
        <v>0</v>
      </c>
    </row>
    <row r="3" ht="30" customHeight="1">
      <c r="A3" s="18" t="str">
        <v>USA-BMGF-Artemis II - Field Phenotyping Prototype</v>
      </c>
      <c r="B3" s="19" t="str">
        <v>AOW04</v>
      </c>
      <c r="C3" s="18" t="str">
        <v>HLO17.AOW4.IO3 FAIR principles</v>
      </c>
      <c r="D3" s="19">
        <v>0</v>
      </c>
    </row>
    <row r="4" ht="30" customHeight="1">
      <c r="A4" s="18" t="str">
        <v>USA-BMGF-Artemis II - Field Phenotyping Prototype</v>
      </c>
      <c r="B4" s="19" t="str">
        <v>AOW05</v>
      </c>
      <c r="C4" s="18" t="str">
        <v>HLO21.AOW5.IO3 Improve management</v>
      </c>
      <c r="D4" s="19">
        <v>0</v>
      </c>
    </row>
    <row r="5" ht="30" customHeight="1">
      <c r="A5" s="18" t="str">
        <v>USA-BMGF-Artemis II - Field Phenotyping Prototype</v>
      </c>
      <c r="B5" s="19" t="str">
        <v>AOW02</v>
      </c>
      <c r="C5" s="18" t="str">
        <v>HLO7.AOW2.IO2 Accelerating genetic gain</v>
      </c>
      <c r="D5" s="19">
        <v>0</v>
      </c>
    </row>
    <row r="6" ht="30" customHeight="1">
      <c r="A6" s="18" t="str">
        <v>CANADA -GAC - Beans For Women For Empowerment  In Eastern DRC (BEANS4WOMEN)</v>
      </c>
      <c r="B6" s="19" t="str">
        <v>AOW00</v>
      </c>
      <c r="C6" s="18" t="str">
        <v xml:space="preserve">IOC5 Equitable access to improved varieties </v>
      </c>
      <c r="D6" s="19">
        <v>0</v>
      </c>
      <c r="E6" s="19" t="str">
        <f>=SUM(D6:D6)</f>
        <v>0</v>
      </c>
    </row>
    <row r="7" ht="30" customHeight="1">
      <c r="A7" s="18" t="str">
        <v>Climate-smart initiatives for climate change adaptation and sustainability in prioritized agricultural production systems in Colombia (CSICAP)</v>
      </c>
      <c r="B7" s="19" t="str">
        <v>AOW00</v>
      </c>
      <c r="C7" s="18" t="str">
        <v xml:space="preserve">IOC5 Equitable access to improved varieties </v>
      </c>
      <c r="D7" s="19">
        <v>0</v>
      </c>
      <c r="E7" s="19" t="str">
        <f>=SUM(D7:D10)</f>
        <v>0</v>
      </c>
    </row>
    <row r="8" ht="30" customHeight="1">
      <c r="A8" s="18" t="str">
        <v>Climate-smart initiatives for climate change adaptation and sustainability in prioritized agricultural production systems in Colombia (CSICAP)</v>
      </c>
      <c r="B8" s="19" t="str">
        <v>AOW05</v>
      </c>
      <c r="C8" s="18" t="str">
        <v>HLO22.AOW5.IO5 Exchange genetic resources</v>
      </c>
      <c r="D8" s="19">
        <v>0</v>
      </c>
    </row>
    <row r="9" ht="30" customHeight="1">
      <c r="A9" s="18" t="str">
        <v>Climate-smart initiatives for climate change adaptation and sustainability in prioritized agricultural production systems in Colombia (CSICAP)</v>
      </c>
      <c r="B9" s="19" t="str">
        <v>AOW02</v>
      </c>
      <c r="C9" s="18" t="str">
        <v>HLO9.AOW2.IO2 Create products</v>
      </c>
      <c r="D9" s="19">
        <v>0</v>
      </c>
    </row>
    <row r="10" ht="30" customHeight="1">
      <c r="A10" s="18" t="str">
        <v>Climate-smart initiatives for climate change adaptation and sustainability in prioritized agricultural production systems in Colombia (CSICAP)</v>
      </c>
      <c r="B10" s="19" t="str">
        <v>AOW03</v>
      </c>
      <c r="C10" s="18" t="str">
        <v>HLO11.AOW3.IO4 Position for demand</v>
      </c>
      <c r="D10" s="19">
        <v>0</v>
      </c>
    </row>
    <row r="11" ht="30" customHeight="1">
      <c r="A11" s="18" t="str">
        <v>Bill &amp; Melinda Gates Foundation(BMGF)-1000 Farms Research Platform</v>
      </c>
      <c r="B11" s="19" t="str">
        <v>AOW00</v>
      </c>
      <c r="C11" s="18" t="str">
        <v xml:space="preserve">IOC5 Equitable access to improved varieties </v>
      </c>
      <c r="D11" s="19">
        <v>0</v>
      </c>
      <c r="E11" s="19" t="str">
        <f>=SUM(D11:D15)</f>
        <v>0</v>
      </c>
    </row>
    <row r="12" ht="30" customHeight="1">
      <c r="A12" s="18" t="str">
        <v>Bill &amp; Melinda Gates Foundation(BMGF)-1000 Farms Research Platform</v>
      </c>
      <c r="B12" s="19" t="str">
        <v>AOW05</v>
      </c>
      <c r="C12" s="18" t="str">
        <v>HLO20.AOW5.IO3 Assess performance</v>
      </c>
      <c r="D12" s="19">
        <v>0</v>
      </c>
    </row>
    <row r="13" ht="30" customHeight="1">
      <c r="A13" s="18" t="str">
        <v>Bill &amp; Melinda Gates Foundation(BMGF)-1000 Farms Research Platform</v>
      </c>
      <c r="B13" s="19" t="str">
        <v>AOW04</v>
      </c>
      <c r="C13" s="18" t="str">
        <v>HLO17.AOW4.IO3 FAIR principles</v>
      </c>
      <c r="D13" s="19">
        <v>0</v>
      </c>
    </row>
    <row r="14" ht="30" customHeight="1">
      <c r="A14" s="18" t="str">
        <v>Bill &amp; Melinda Gates Foundation(BMGF)-1000 Farms Research Platform</v>
      </c>
      <c r="B14" s="19" t="str">
        <v>AOW02</v>
      </c>
      <c r="C14" s="18" t="str">
        <v>HLO6.AOW2.IO1 Refocus to markets</v>
      </c>
      <c r="D14" s="19">
        <v>0</v>
      </c>
    </row>
    <row r="15" ht="30" customHeight="1">
      <c r="A15" s="18" t="str">
        <v>Bill &amp; Melinda Gates Foundation(BMGF)-1000 Farms Research Platform</v>
      </c>
      <c r="B15" s="19" t="str">
        <v>AOW03</v>
      </c>
      <c r="C15" s="18" t="str">
        <v>HLO13.AOW3.IO5 Power seed scaling</v>
      </c>
      <c r="D15" s="19">
        <v>0</v>
      </c>
    </row>
    <row r="16" ht="30" customHeight="1">
      <c r="A16" s="3" t="str">
        <v>W3/Bilateral projects subtotal</v>
      </c>
      <c r="E16" s="3">
        <f>SUM(E2:E15)</f>
      </c>
    </row>
  </sheetData>
  <mergeCells count="7">
    <mergeCell ref="A2:A5"/>
    <mergeCell ref="A7:A10"/>
    <mergeCell ref="A11:A15"/>
    <mergeCell ref="E2:E5"/>
    <mergeCell ref="E7:E10"/>
    <mergeCell ref="E11:E15"/>
    <mergeCell ref="A16:D16"/>
  </mergeCells>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30000</v>
      </c>
      <c r="E2" s="20">
        <v>30001</v>
      </c>
      <c r="F2" s="20">
        <v>0</v>
      </c>
      <c r="G2" s="20">
        <v>0</v>
      </c>
      <c r="H2" s="20" t="str">
        <f>=SUM(B2:G2)</f>
        <v>0</v>
      </c>
    </row>
    <row r="3" ht="20" customHeight="1">
      <c r="A3" s="20" t="str">
        <v>Operations (supplies, consultants, travels, workshops, other)</v>
      </c>
      <c r="B3" s="20">
        <v>0</v>
      </c>
      <c r="C3" s="20">
        <v>14619</v>
      </c>
      <c r="D3" s="20">
        <v>287981</v>
      </c>
      <c r="E3" s="20">
        <v>21750</v>
      </c>
      <c r="F3" s="20">
        <v>0</v>
      </c>
      <c r="G3" s="20">
        <v>0</v>
      </c>
      <c r="H3" s="20" t="str">
        <f>=SUM(B3:G3)</f>
        <v>0</v>
      </c>
    </row>
    <row r="4" ht="20" customHeight="1">
      <c r="A4" s="20" t="str">
        <v>Staffing, Chargebacks and Indirect</v>
      </c>
      <c r="B4" s="20">
        <v>0</v>
      </c>
      <c r="C4" s="20">
        <v>58476</v>
      </c>
      <c r="D4" s="20">
        <v>833942</v>
      </c>
      <c r="E4" s="20">
        <v>93250</v>
      </c>
      <c r="F4" s="20">
        <v>0</v>
      </c>
      <c r="G4" s="20">
        <v>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