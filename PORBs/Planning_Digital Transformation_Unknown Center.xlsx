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7">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2">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1" fontId="0" fillId="0" borderId="14" xfId="0" applyBorder="1" applyNumberFormat="1" applyAlignment="1">
      <alignment horizontal="center" vertical="center"/>
    </xf>
    <xf numFmtId="0" fontId="15" fillId="15" borderId="0" xfId="0" applyFont="1" applyFill="1" applyAlignment="1">
      <alignment horizontal="center" vertical="center"/>
    </xf>
    <xf numFmtId="1" fontId="16" fillId="16" borderId="15" xfId="0" applyFont="1" applyFill="1" applyBorder="1" applyNumberFormat="1" applyAlignment="1">
      <alignment horizontal="center" vertical="center"/>
    </xf>
    <xf numFmtId="1" fontId="17" fillId="17" borderId="16"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255000</v>
      </c>
      <c r="M4" s="5">
        <v>0</v>
      </c>
    </row>
    <row r="5" ht="20" customHeight="1">
      <c r="A5" s="2" t="str">
        <v>AOW01: Data Ecosystem</v>
      </c>
      <c r="B5" s="2">
        <v>0</v>
      </c>
      <c r="C5" s="5">
        <v>0</v>
      </c>
      <c r="D5" s="2">
        <v>0</v>
      </c>
      <c r="E5" s="5">
        <v>0</v>
      </c>
      <c r="F5" s="2">
        <v>0</v>
      </c>
      <c r="G5" s="5">
        <v>0</v>
      </c>
      <c r="H5" s="2">
        <v>0</v>
      </c>
      <c r="I5" s="5">
        <v>0</v>
      </c>
      <c r="J5" s="5">
        <v>0</v>
      </c>
      <c r="K5" s="5">
        <v>0</v>
      </c>
      <c r="L5" s="5">
        <v>0</v>
      </c>
      <c r="M5" s="5">
        <v>0</v>
      </c>
    </row>
    <row r="6" ht="20" customHeight="1">
      <c r="A6" s="2" t="str">
        <v>AOW02: Action Lab</v>
      </c>
      <c r="B6" s="2">
        <v>0</v>
      </c>
      <c r="C6" s="5">
        <v>0</v>
      </c>
      <c r="D6" s="2">
        <v>0</v>
      </c>
      <c r="E6" s="5">
        <v>0</v>
      </c>
      <c r="F6" s="2">
        <v>0</v>
      </c>
      <c r="G6" s="5">
        <v>0</v>
      </c>
      <c r="H6" s="2">
        <v>0</v>
      </c>
      <c r="I6" s="5">
        <v>0</v>
      </c>
      <c r="J6" s="5">
        <v>0</v>
      </c>
      <c r="K6" s="5">
        <v>0</v>
      </c>
      <c r="L6" s="5">
        <v>0</v>
      </c>
      <c r="M6" s="5">
        <v>0</v>
      </c>
    </row>
    <row r="7" ht="20" customHeight="1">
      <c r="A7" s="2" t="str">
        <v>AOW03: Digital Futures</v>
      </c>
      <c r="B7" s="2">
        <v>0</v>
      </c>
      <c r="C7" s="5">
        <v>0</v>
      </c>
      <c r="D7" s="2">
        <v>0</v>
      </c>
      <c r="E7" s="5">
        <v>0</v>
      </c>
      <c r="F7" s="2">
        <v>0</v>
      </c>
      <c r="G7" s="5">
        <v>0</v>
      </c>
      <c r="H7" s="2">
        <v>0</v>
      </c>
      <c r="I7" s="5">
        <v>0</v>
      </c>
      <c r="J7" s="5">
        <v>0</v>
      </c>
      <c r="K7" s="5">
        <v>0</v>
      </c>
      <c r="L7" s="5">
        <v>0</v>
      </c>
      <c r="M7" s="5">
        <v>0</v>
      </c>
    </row>
    <row r="8" ht="20" customHeight="1">
      <c r="A8" s="2" t="str">
        <v>AOW04: Enabling Environment</v>
      </c>
      <c r="B8" s="2">
        <v>3</v>
      </c>
      <c r="C8" s="5">
        <v>980000</v>
      </c>
      <c r="D8" s="2">
        <v>0</v>
      </c>
      <c r="E8" s="5">
        <v>0</v>
      </c>
      <c r="F8" s="2">
        <v>0</v>
      </c>
      <c r="G8" s="5">
        <v>0</v>
      </c>
      <c r="H8" s="2">
        <v>0</v>
      </c>
      <c r="I8" s="5">
        <v>0</v>
      </c>
      <c r="J8" s="5">
        <v>0</v>
      </c>
      <c r="K8" s="5">
        <v>0</v>
      </c>
      <c r="L8" s="5">
        <v>980000</v>
      </c>
      <c r="M8" s="5">
        <v>0</v>
      </c>
    </row>
    <row r="9" ht="25" customHeight="1">
      <c r="A9" s="6" t="str">
        <v>Total</v>
      </c>
      <c r="B9" s="7">
        <f>SUM(B4:B8)</f>
      </c>
      <c r="C9" s="7">
        <f>SUM(C4:C8)</f>
      </c>
      <c r="D9" s="7">
        <f>SUM(D4:D8)</f>
      </c>
      <c r="E9" s="7">
        <f>SUM(E4:E8)</f>
      </c>
      <c r="F9" s="7">
        <f>SUM(F4:F8)</f>
      </c>
      <c r="G9" s="7">
        <f>SUM(G4:G8)</f>
      </c>
      <c r="H9" s="7">
        <f>SUM(H4:H8)</f>
      </c>
      <c r="I9" s="7">
        <f>SUM(I4:I8)</f>
      </c>
      <c r="J9" s="7">
        <f>SUM(J4:J8)</f>
      </c>
      <c r="K9" s="7">
        <f>SUM(K4:K8)</f>
      </c>
      <c r="L9" s="7">
        <f>SUM(L4:L8)</f>
      </c>
      <c r="M9" s="7">
        <f>SUM(M4:M8)</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9"/>
  </ignoredErrors>
</worksheet>
</file>

<file path=xl/worksheets/sheet2.xml><?xml version="1.0" encoding="utf-8"?>
<worksheet xmlns="http://schemas.openxmlformats.org/spreadsheetml/2006/main" xmlns:r="http://schemas.openxmlformats.org/officeDocument/2006/relationships">
  <dimension ref="A1:E8"/>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Product manager</v>
      </c>
      <c r="C2" s="11" t="str">
        <v xml:space="preserve">The budget will be used towards expenses of a Product manager, who will be based in Abu Dhabi. </v>
      </c>
      <c r="D2" s="11">
        <v>0</v>
      </c>
    </row>
    <row r="3" ht="45" customHeight="1">
      <c r="A3" s="11" t="str">
        <v>AOW00</v>
      </c>
      <c r="B3" s="11" t="str">
        <v>PMU cost- Program Coordinator</v>
      </c>
      <c r="C3" s="11" t="str">
        <v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v>
      </c>
      <c r="D3" s="11">
        <v>52500</v>
      </c>
      <c r="E3" s="11" t="str">
        <v xml:space="preserve">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These funds are earmarked for the new leadership during second half of the year. </v>
      </c>
    </row>
    <row r="4" ht="45" customHeight="1">
      <c r="A4" s="11" t="str">
        <v>AOW00</v>
      </c>
      <c r="B4" s="11" t="str">
        <v>SO Finance support</v>
      </c>
      <c r="C4" s="11" t="str">
        <v xml:space="preserve">Funds for Finance support as requested by PCU. </v>
      </c>
      <c r="D4" s="11">
        <v>0</v>
      </c>
    </row>
    <row r="5" ht="45" customHeight="1">
      <c r="A5" s="11" t="str">
        <v>AOW00</v>
      </c>
      <c r="B5" s="11" t="str">
        <v>Director and associated cost</v>
      </c>
      <c r="C5" s="11" t="str">
        <v xml:space="preserve">This budget includes coverage for Director, and associated cost on travel, workshops, and other admin expenses. supporting Director's office. </v>
      </c>
      <c r="D5" s="11">
        <v>0</v>
      </c>
    </row>
    <row r="6" ht="45" customHeight="1">
      <c r="A6" s="11" t="str">
        <v>AOW00</v>
      </c>
      <c r="B6" s="11" t="str">
        <v>AOW Lead cost</v>
      </c>
      <c r="C6" s="11" t="str">
        <v>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v>
      </c>
      <c r="D6" s="11">
        <v>165000</v>
      </c>
      <c r="E6" s="11" t="str">
        <v xml:space="preserve">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These funds are earmarked for the new leadership during second half of the year. </v>
      </c>
    </row>
    <row r="7" ht="45" customHeight="1">
      <c r="A7" s="11" t="str">
        <v>AOW00</v>
      </c>
      <c r="B7" s="11" t="str">
        <v>PMU cost- Melia focal point</v>
      </c>
      <c r="C7" s="11" t="str">
        <v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v>
      </c>
      <c r="D7" s="11">
        <v>37500</v>
      </c>
      <c r="E7" s="11" t="str">
        <v xml:space="preserve">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These funds are earmarked for the new leadership during second half of the year. </v>
      </c>
    </row>
    <row r="8" ht="45" customHeight="1">
      <c r="A8" s="11" t="str">
        <v>AOW00</v>
      </c>
      <c r="B8" s="11" t="str">
        <v>W2 designated funds</v>
      </c>
      <c r="C8" s="11" t="str">
        <v xml:space="preserve">W2 designated funds that will be supported towards establishing AI Hub in Abu Dhabi. </v>
      </c>
      <c r="D8" s="11">
        <v>0</v>
      </c>
    </row>
  </sheetData>
  <mergeCells count="1">
    <mergeCell ref="A2:A8"/>
  </mergeCells>
  <ignoredErrors>
    <ignoredError numberStoredAsText="1" sqref="A1:E8"/>
  </ignoredErrors>
</worksheet>
</file>

<file path=xl/worksheets/sheet3.xml><?xml version="1.0" encoding="utf-8"?>
<worksheet xmlns="http://schemas.openxmlformats.org/spreadsheetml/2006/main" xmlns:r="http://schemas.openxmlformats.org/officeDocument/2006/relationships">
  <dimension ref="A1:I4"/>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c r="A3" s="13" t="str">
        <v>AOW04</v>
      </c>
      <c r="B3" s="11" t="str">
        <v>HLO 4.2.6 AI-based Inclusive digital products/Innovations co-created in partnership with the digital innovation nodes​</v>
      </c>
      <c r="C3" s="11" t="str">
        <v>Number of inclusive and human centered AI products co-created with partners</v>
      </c>
      <c r="D3" s="11" t="str">
        <v>Number of innovations (innovation development)</v>
      </c>
      <c r="E3" s="11" t="str">
        <v>Global</v>
      </c>
      <c r="F3" s="11">
        <v>3</v>
      </c>
      <c r="G3" s="11">
        <v>980000</v>
      </c>
      <c r="H3" s="11">
        <f>SUM(G3:G3)</f>
      </c>
      <c r="I3" s="11" t="str">
        <v xml:space="preserve">These are W2 designated funds, which will be used towards activities in AI Hub in Abu Dhabi.  </v>
      </c>
    </row>
    <row r="4" ht="25" customHeight="1">
      <c r="B4" s="14" t="str">
        <v>HLO budget subtotal</v>
      </c>
      <c r="H4" s="15">
        <f>SUM(H3:H3)</f>
      </c>
    </row>
  </sheetData>
  <mergeCells count="7">
    <mergeCell ref="A1:A2"/>
    <mergeCell ref="B1:B2"/>
    <mergeCell ref="C1:G1"/>
    <mergeCell ref="H1:H2"/>
    <mergeCell ref="I1:I2"/>
    <mergeCell ref="B4:G4"/>
    <mergeCell ref="A3:A4"/>
  </mergeCells>
  <ignoredErrors>
    <ignoredError numberStoredAsText="1" sqref="A1:I4"/>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Project title</v>
      </c>
      <c r="B1" s="17" t="str">
        <v>AOW</v>
      </c>
      <c r="C1" s="17" t="str">
        <v>High Level Outputs</v>
      </c>
      <c r="D1" s="17" t="str">
        <v>Budget (USD)</v>
      </c>
      <c r="E1" s="17" t="str">
        <v>Total budget (USD)</v>
      </c>
      <c r="F1" s="17" t="str">
        <v>Budget Assumptions</v>
      </c>
    </row>
    <row r="2">
      <c r="E2" s="3">
        <f>SUM(E2:E1)</f>
      </c>
    </row>
    <row r="3">
      <c r="A3" s="2" t="str">
        <v>W3/Bilateral projects subtotal</v>
      </c>
    </row>
  </sheetData>
  <mergeCells count="1">
    <mergeCell ref="A2:D2"/>
  </mergeCells>
  <ignoredErrors>
    <ignoredError numberStoredAsText="1" sqref="A1:F3"/>
  </ignoredErrors>
</worksheet>
</file>

<file path=xl/worksheets/sheet6.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MELIA study</v>
      </c>
      <c r="B1" s="16" t="str">
        <v>AOW</v>
      </c>
      <c r="C1" s="16" t="str">
        <v>Supported outcomes</v>
      </c>
      <c r="D1" s="16" t="str">
        <v>AOW budget (USD)</v>
      </c>
      <c r="E1" s="16" t="str">
        <v>Total budget (USD)</v>
      </c>
      <c r="F1" s="16" t="str">
        <v>Budget Assumptions</v>
      </c>
    </row>
    <row r="2">
      <c r="E2" s="3">
        <f>SUM(E2:E1)</f>
      </c>
    </row>
    <row r="3">
      <c r="A3" s="2" t="str">
        <v>MELIA Studies Budget subtotal</v>
      </c>
    </row>
  </sheetData>
  <mergeCells count="1">
    <mergeCell ref="A2:D2"/>
  </mergeCells>
  <ignoredErrors>
    <ignoredError numberStoredAsText="1" sqref="A1:F3"/>
  </ignoredErrors>
</worksheet>
</file>

<file path=xl/worksheets/sheet7.xml><?xml version="1.0" encoding="utf-8"?>
<worksheet xmlns="http://schemas.openxmlformats.org/spreadsheetml/2006/main" xmlns:r="http://schemas.openxmlformats.org/officeDocument/2006/relationships">
  <dimension ref="A1:G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18" t="str">
        <v>Collaborators non-CGIAR centers</v>
      </c>
      <c r="B2" s="18">
        <v>0</v>
      </c>
      <c r="C2" s="18">
        <v>0</v>
      </c>
      <c r="D2" s="18">
        <v>0</v>
      </c>
      <c r="E2" s="18">
        <v>0</v>
      </c>
      <c r="F2" s="18">
        <v>0</v>
      </c>
      <c r="G2" s="18" t="str">
        <f>=SUM(B2:F2)</f>
        <v>0</v>
      </c>
    </row>
    <row r="3" ht="20" customHeight="1">
      <c r="A3" s="18" t="str">
        <v>Operations (supplies, consultants, travels, workshops, other)</v>
      </c>
      <c r="B3" s="18">
        <v>10000</v>
      </c>
      <c r="C3" s="18">
        <v>0</v>
      </c>
      <c r="D3" s="18">
        <v>0</v>
      </c>
      <c r="E3" s="18">
        <v>0</v>
      </c>
      <c r="F3" s="18">
        <v>0</v>
      </c>
      <c r="G3" s="18" t="str">
        <f>=SUM(B3:F3)</f>
        <v>0</v>
      </c>
    </row>
    <row r="4" ht="20" customHeight="1">
      <c r="A4" s="18" t="str">
        <v>Staffing, Chargebacks and Indirect</v>
      </c>
      <c r="B4" s="18">
        <v>255000</v>
      </c>
      <c r="C4" s="18">
        <v>0</v>
      </c>
      <c r="D4" s="18">
        <v>0</v>
      </c>
      <c r="E4" s="18">
        <v>0</v>
      </c>
      <c r="F4" s="18">
        <v>980000</v>
      </c>
      <c r="G4" s="18" t="str">
        <f>=SUM(B4:F4)</f>
        <v>0</v>
      </c>
    </row>
    <row r="5" ht="20" customHeight="1">
      <c r="A5" s="19" t="str">
        <v>Subtotal</v>
      </c>
      <c r="B5" s="20" t="str">
        <f>=SUM(B2:B4)</f>
        <v>0</v>
      </c>
      <c r="C5" s="21" t="str">
        <f>=SUM(C2:C4)</f>
        <v>0</v>
      </c>
      <c r="D5" s="21" t="str">
        <f>=SUM(D2:D4)</f>
        <v>0</v>
      </c>
      <c r="E5" s="21" t="str">
        <f>=SUM(E2:E4)</f>
        <v>0</v>
      </c>
      <c r="F5" s="21" t="str">
        <f>=SUM(F2:F4)</f>
        <v>0</v>
      </c>
      <c r="G5" s="21" t="str">
        <f>=SUM(G2:G4)</f>
        <v>0</v>
      </c>
    </row>
  </sheetData>
  <ignoredErrors>
    <ignoredError numberStoredAsText="1" sqref="A1:G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