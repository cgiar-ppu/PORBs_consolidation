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529200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19200</v>
      </c>
      <c r="E2" s="11" t="str">
        <v>Finance person from System office pooled team (19.200 USD)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510000</v>
      </c>
      <c r="E5" s="11" t="str">
        <v>This is a standard amount of 510k, covering salary, supplies and services, travel, consultants, other.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5" t="str">
        <v>Collaborators non-CGIAR centers</v>
      </c>
      <c r="B2" s="15">
        <v>33000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 t="str">
        <f>=SUM(B2:H2)</f>
        <v>0</v>
      </c>
    </row>
    <row r="3" ht="20" customHeight="1">
      <c r="A3" s="15" t="str">
        <v>Operations (supplies, consultants, travels, workshops, other)</v>
      </c>
      <c r="B3" s="15">
        <v>157000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 t="str">
        <f>=SUM(B3:H3)</f>
        <v>0</v>
      </c>
    </row>
    <row r="4" ht="20" customHeight="1">
      <c r="A4" s="15" t="str">
        <v>Staffing, Chargebacks and Indirect</v>
      </c>
      <c r="B4" s="15">
        <v>339200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 t="str">
        <f>=SUM(B4:H4)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  <c r="I5" s="18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