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Market Intelligence</v>
      </c>
      <c r="B5" s="2">
        <v>0</v>
      </c>
      <c r="C5" s="5">
        <v>0</v>
      </c>
      <c r="D5" s="2">
        <v>3</v>
      </c>
      <c r="E5" s="5">
        <v>195000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195000</v>
      </c>
      <c r="M5" s="5">
        <v>0</v>
      </c>
    </row>
    <row r="6" ht="20" customHeight="1">
      <c r="A6" s="2" t="str">
        <v>AOW02: Accelerated Breeding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Inclusive Delivery</v>
      </c>
      <c r="B7" s="2">
        <v>0</v>
      </c>
      <c r="C7" s="5">
        <v>0</v>
      </c>
      <c r="D7" s="2">
        <v>4</v>
      </c>
      <c r="E7" s="5">
        <v>200000</v>
      </c>
      <c r="F7" s="2">
        <v>0</v>
      </c>
      <c r="G7" s="5">
        <v>0</v>
      </c>
      <c r="H7" s="2">
        <v>0</v>
      </c>
      <c r="I7" s="5">
        <v>0</v>
      </c>
      <c r="J7" s="5">
        <v>50000</v>
      </c>
      <c r="K7" s="5">
        <v>0</v>
      </c>
      <c r="L7" s="5">
        <v>250000</v>
      </c>
      <c r="M7" s="5">
        <v>0</v>
      </c>
    </row>
    <row r="8" ht="20" customHeight="1">
      <c r="A8" s="2" t="str">
        <v>AOW04: Breeding Resources</v>
      </c>
      <c r="B8" s="2">
        <v>6</v>
      </c>
      <c r="C8" s="5">
        <v>75000</v>
      </c>
      <c r="D8" s="2">
        <v>0</v>
      </c>
      <c r="E8" s="5">
        <v>0</v>
      </c>
      <c r="F8" s="2">
        <v>0</v>
      </c>
      <c r="G8" s="5">
        <v>0</v>
      </c>
      <c r="H8" s="2">
        <v>4</v>
      </c>
      <c r="I8" s="5">
        <v>75000</v>
      </c>
      <c r="J8" s="5">
        <v>0</v>
      </c>
      <c r="K8" s="5">
        <v>0</v>
      </c>
      <c r="L8" s="5">
        <v>150000</v>
      </c>
      <c r="M8" s="5">
        <v>0</v>
      </c>
    </row>
    <row r="9" ht="20" customHeight="1">
      <c r="A9" s="2" t="str">
        <v>AOW05: Enable</v>
      </c>
      <c r="B9" s="2">
        <v>0</v>
      </c>
      <c r="C9" s="5">
        <v>0</v>
      </c>
      <c r="D9" s="2">
        <v>2</v>
      </c>
      <c r="E9" s="5">
        <v>135000</v>
      </c>
      <c r="F9" s="2">
        <v>0</v>
      </c>
      <c r="G9" s="5">
        <v>0</v>
      </c>
      <c r="H9" s="2">
        <v>0</v>
      </c>
      <c r="I9" s="5">
        <v>0</v>
      </c>
      <c r="J9" s="5">
        <v>65000</v>
      </c>
      <c r="K9" s="5">
        <v>0</v>
      </c>
      <c r="L9" s="5">
        <v>200000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NARES leadership team meeting</v>
      </c>
      <c r="C2" s="11" t="str">
        <v>For High level NARES meeting under ENABLE (150k)</v>
      </c>
      <c r="D2" s="11">
        <v>0</v>
      </c>
    </row>
    <row r="3" ht="45" customHeight="1">
      <c r="A3" s="11" t="str">
        <v>AOW00</v>
      </c>
      <c r="B3" s="11" t="str">
        <v>DIscretionary funds</v>
      </c>
      <c r="C3" s="11" t="str">
        <v xml:space="preserve">To be allocated </v>
      </c>
      <c r="D3" s="11">
        <v>0</v>
      </c>
    </row>
    <row r="4" ht="45" customHeight="1">
      <c r="A4" s="11" t="str">
        <v>AOW00</v>
      </c>
      <c r="B4" s="11" t="str">
        <v>To be allocated to research</v>
      </c>
      <c r="C4" s="11" t="str">
        <v>PODs pending</v>
      </c>
      <c r="D4" s="11">
        <v>0</v>
      </c>
    </row>
    <row r="5" ht="45" customHeight="1">
      <c r="A5" s="11" t="str">
        <v>AOW00</v>
      </c>
      <c r="B5" s="11" t="str">
        <v>Director Salary and costs</v>
      </c>
      <c r="C5" s="11" t="str">
        <v>510k for the Director's salary + relevant costs, as outlined by instructions</v>
      </c>
      <c r="D5" s="11">
        <v>0</v>
      </c>
    </row>
    <row r="6" ht="45" customHeight="1">
      <c r="A6" s="11" t="str">
        <v>AOW00</v>
      </c>
      <c r="B6" s="11" t="str">
        <v>Finance Focal point</v>
      </c>
      <c r="C6" s="11" t="str">
        <v>Mandated by Finance for 36.5k</v>
      </c>
      <c r="D6" s="11">
        <v>0</v>
      </c>
    </row>
    <row r="7" ht="45" customHeight="1" xml:space="preserve">
      <c r="A7" s="11" t="str">
        <v>AOW00</v>
      </c>
      <c r="B7" s="11" t="str">
        <v xml:space="preserve">Travel costs </v>
      </c>
      <c r="C7" s="11" t="str" xml:space="preserve">
        <v xml:space="preserve">Budget for two meetings of 75k costs each
</v>
      </c>
      <c r="D7" s="11">
        <v>0</v>
      </c>
    </row>
    <row r="8" ht="45" customHeight="1">
      <c r="A8" s="11" t="str">
        <v>AOW00</v>
      </c>
      <c r="B8" s="11" t="str">
        <v>AoW lead total salary costs at up to 50% of time</v>
      </c>
      <c r="C8" s="11" t="str">
        <v>For four AoW leads at 50% and two at 25%</v>
      </c>
      <c r="D8" s="11">
        <v>0</v>
      </c>
    </row>
    <row r="9" ht="45" customHeight="1">
      <c r="A9" s="11" t="str">
        <v>AOW00</v>
      </c>
      <c r="B9" s="11" t="str">
        <v>PMU costs (Program Coordinator; Communications Focal Point;  MELIA Focal Point)</v>
      </c>
      <c r="C9" s="11" t="str">
        <v>All at 50% FTE</v>
      </c>
      <c r="D9" s="11">
        <v>0</v>
      </c>
    </row>
    <row r="10" ht="45" customHeight="1">
      <c r="A10" s="11" t="str">
        <v>AOW00</v>
      </c>
      <c r="B10" s="11" t="str">
        <v>Consultants</v>
      </c>
      <c r="C10" s="11" t="str">
        <v>Primary consultants for B4T</v>
      </c>
      <c r="D10" s="11">
        <v>0</v>
      </c>
    </row>
  </sheetData>
  <mergeCells count="1">
    <mergeCell ref="A2:A10"/>
  </mergeCells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>HLO3.AOW1.IO1 Design concepts</v>
      </c>
      <c r="C3" s="11" t="str">
        <v>New product concepts are designed for demand-led and foresight opportunities, that can be used by breeders to meet the Product Design Standard. ------------------------ IFPRI - CROP AGNOSTIC - (1 Report with at least 10 updated TPPs) ------------------------------- Number of updated TPPs with reprioritized nutrition traits</v>
      </c>
      <c r="D3" s="11" t="str">
        <v>Number of knowledge products</v>
      </c>
      <c r="E3" s="11" t="str">
        <v>Country: United States of America, India</v>
      </c>
      <c r="F3" s="11">
        <v>1</v>
      </c>
      <c r="G3" s="11">
        <v>70000</v>
      </c>
      <c r="H3" s="11">
        <f>SUM(G3:G3)</f>
      </c>
      <c r="I3" s="11" t="str">
        <v>POD ID: IFPRI_B4T_03</v>
      </c>
    </row>
    <row r="4" ht="50" customHeight="1" xml:space="preserve">
      <c r="A4" s="11" t="str">
        <v>AOW01</v>
      </c>
      <c r="B4" s="11" t="str">
        <v>HLO5.AOW1.IO3 Investment cases</v>
      </c>
      <c r="C4" s="11" t="str" xml:space="preserve">
        <v xml:space="preserve">Investment case studies are developed to inform investments for maximized impact (change in targeted SDGs) ----IFPRI - CROP AGNOSTIC (Prioritizing Investment with Foresight, Portfolio, and Pipeline Analysis) ------- Number of case studies that inform investments for maximized impact developed	
</v>
      </c>
      <c r="D4" s="11" t="str">
        <v>Number of knowledge products</v>
      </c>
      <c r="E4" s="11" t="str">
        <v>Country: United States of America, India, Kenya</v>
      </c>
      <c r="F4" s="11">
        <v>2</v>
      </c>
      <c r="G4" s="11">
        <v>125000</v>
      </c>
      <c r="H4" s="11">
        <f>SUM(G4:G4)</f>
      </c>
      <c r="I4" s="11" t="str" xml:space="preserve">
        <v xml:space="preserve">Contact persons: David Spielman, Alejandro Nin Pratt
Working with IFPRI's global IMPACT modeling team and Center focal points </v>
      </c>
    </row>
    <row r="5" ht="25" customHeight="1">
      <c r="B5" s="14" t="str">
        <v>HLO budget subtotal</v>
      </c>
      <c r="H5" s="15">
        <f>SUM(H3:H4)</f>
      </c>
    </row>
    <row r="6" ht="50" customHeight="1" xml:space="preserve">
      <c r="A6" s="13" t="str">
        <v>AOW03</v>
      </c>
      <c r="B6" s="11" t="str">
        <v>HLO13.AOW3.IO5 Power seed scaling</v>
      </c>
      <c r="C6" s="11" t="str">
        <v>Technologies, strategies and regulatory solutions to encourage scaling partners to accelerate delivery of new varieties to smallholders. ----IFPRI - (Monitoring Seed Markets and Seed Sector Performance) ---------- Number of technologies, strategies, or regulatory solutions developed to encourage scaling partners to accelerate equity in the delivery of new varieties and quality seed to smallholders</v>
      </c>
      <c r="D6" s="11" t="str">
        <v>Number of knowledge products</v>
      </c>
      <c r="E6" s="11" t="str">
        <v>Country: United States of America, Kenya, Ethiopia, Nigeria</v>
      </c>
      <c r="F6" s="11">
        <v>2</v>
      </c>
      <c r="G6" s="11">
        <v>125000</v>
      </c>
      <c r="H6" s="11">
        <f>SUM(G6:G6)</f>
      </c>
      <c r="I6" s="11" t="str" xml:space="preserve">
        <v xml:space="preserve">Contact person(s): David Spielman
</v>
      </c>
    </row>
    <row r="7" ht="50" customHeight="1" xml:space="preserve">
      <c r="A7" s="11" t="str">
        <v>AOW03</v>
      </c>
      <c r="B7" s="11" t="str">
        <v>HLO14.AOW3.IO5 TRACK adoption</v>
      </c>
      <c r="C7" s="11" t="str" xml:space="preserve">
        <v xml:space="preserve">Methods and tools to track variety adoption and turnover at scale ----IFPRI - ( Monitoring Seed Markets and Seed Sector Performance) ------Number of tools (to track variety adoption/scale turnover) available
</v>
      </c>
      <c r="D7" s="11" t="str">
        <v>Number of knowledge products</v>
      </c>
      <c r="E7" s="11" t="str">
        <v>Country: Ethiopia, Kenya, Nigeria</v>
      </c>
      <c r="F7" s="11">
        <v>2</v>
      </c>
      <c r="G7" s="11">
        <v>75000</v>
      </c>
      <c r="H7" s="11">
        <f>SUM(G7:G7)</f>
      </c>
      <c r="I7" s="11" t="str" xml:space="preserve">
        <v xml:space="preserve">Contact person(s): David Spielman
Partners: 
African Seed Access Index (TASAI), US$40,000, Kenya, Ethiopia, and Nigeria
Cornell University, US$10,000, Kenya, Ethiopia, and Nigeria
</v>
      </c>
    </row>
    <row r="8" ht="25" customHeight="1">
      <c r="B8" s="15" t="str">
        <v>HLO budget subtotal</v>
      </c>
      <c r="H8" s="15">
        <f>SUM(H6:H7)</f>
      </c>
    </row>
    <row r="9" ht="50" customHeight="1" xml:space="preserve">
      <c r="A9" s="13" t="str">
        <v>AOW04</v>
      </c>
      <c r="B9" s="11" t="str">
        <v>HLO15.AOW4.IO2 Hub &amp; spoke scaling</v>
      </c>
      <c r="C9" s="11" t="str" xml:space="preserve">
        <v xml:space="preserve">Interoperable tools and services are scaled to match the varied capacities of partners across the breeding network. High-capacity partners are supported to act as central hubs, providing in breeding network support to less resourced partners. ----- IFPRI - (Building Shared Capacity and Services for Nutrient Phenotyping in Crops) --------- Number of institutional users in Service Portal	
</v>
      </c>
      <c r="D9" s="11" t="str">
        <v xml:space="preserve"> Number of institutional users in Service Portal	</v>
      </c>
      <c r="E9" s="11" t="str">
        <v>Country: The Democratic Republic of the Congo, India, Nigeria, Bangladesh</v>
      </c>
      <c r="F9" s="11">
        <v>4</v>
      </c>
      <c r="G9" s="11">
        <v>75000</v>
      </c>
      <c r="H9" s="11">
        <f>SUM(G9:G9)</f>
      </c>
      <c r="I9" s="11" t="str" xml:space="preserve">
        <v xml:space="preserve">Contact person: Victor Taleon
Collaborators: Mahalingam Govindaraj  (IFPRI-INDIA-HarvestPlus), Pravalika, V (IFPRI-India-HP)</v>
      </c>
    </row>
    <row r="10" ht="50" customHeight="1" xml:space="preserve">
      <c r="A10" s="11" t="str">
        <v>AOW04</v>
      </c>
      <c r="B10" s="11" t="str">
        <v>HLO16.AOW4.IO3 Shared services</v>
      </c>
      <c r="C10" s="11" t="str" xml:space="preserve">
        <v xml:space="preserve">A portfolio of connected tools and services that collectively meet current and emerging needs for modernized breeding is made available to breeding networks ---- IFPRI - CROP AGNOSTIC (Building Shared Capacity and Services for Nutrient 
</v>
      </c>
      <c r="D10" s="11" t="str">
        <v>Number of innovations (innovation development)</v>
      </c>
      <c r="E10" s="11" t="str">
        <v>Country: Bangladesh, The Democratic Republic of the Congo, India, Nigeria</v>
      </c>
      <c r="F10" s="11">
        <v>6</v>
      </c>
      <c r="G10" s="11">
        <v>75000</v>
      </c>
      <c r="H10" s="11">
        <f>SUM(G10:G10)</f>
      </c>
      <c r="I10" s="11" t="str" xml:space="preserve">
        <v xml:space="preserve">Contact person: Victor Taleon
Collaborator: Mahalingam Govindaraj  (IFPRI-INDIA-HarvestPlus), Pravalika, V (IFPRI-India-HP)</v>
      </c>
    </row>
    <row r="11" ht="25" customHeight="1">
      <c r="B11" s="15" t="str">
        <v>HLO budget subtotal</v>
      </c>
      <c r="H11" s="15">
        <f>SUM(H9:H10)</f>
      </c>
    </row>
    <row r="12" ht="50" customHeight="1">
      <c r="A12" s="13" t="str">
        <v>AOW05</v>
      </c>
      <c r="B12" s="11" t="str">
        <v>HLO22.AOW5.IO5 Exchange genetic resources</v>
      </c>
      <c r="C12" s="11" t="str">
        <v>Recommendations and guidance on genetic resources policies and practices relating to the use and exchange of genetic resources ----IFPRI - CROP AGNOSTIC (Advancing Genetic Resource use Through Improved Global Exchange Strategies)------  Number of recommendation and guidance developed on genetic resources policies and practices</v>
      </c>
      <c r="D12" s="11" t="str">
        <v>Number of knowledge products</v>
      </c>
      <c r="E12" s="11" t="str">
        <v>Country: China, Kenya, United States of America</v>
      </c>
      <c r="F12" s="11">
        <v>2</v>
      </c>
      <c r="G12" s="11">
        <v>135000</v>
      </c>
      <c r="H12" s="11">
        <f>SUM(G12:G12)</f>
      </c>
      <c r="I12" s="11" t="str">
        <v>Partners: New Markets Lab, US$65,000, Ethiopia; Kenya; Bangladesh; India; Nigeria; Tanzania; Ghana; Philippines; Uganda; Vietnam; Pakistan; Congo, Dem. Rep.; Mali; Senegal; Burkina Faso; Malawi; Mozambique; Niger; Zimbabwe; Madagascar; Nepal; Guatemala; Honduras</v>
      </c>
    </row>
    <row r="13" ht="25" customHeight="1">
      <c r="B13" s="15" t="str">
        <v>HLO budget subtotal</v>
      </c>
      <c r="H13" s="15">
        <f>SUM(H12:H12)</f>
      </c>
    </row>
  </sheetData>
  <mergeCells count="13">
    <mergeCell ref="A1:A2"/>
    <mergeCell ref="B1:B2"/>
    <mergeCell ref="C1:G1"/>
    <mergeCell ref="H1:H2"/>
    <mergeCell ref="I1:I2"/>
    <mergeCell ref="B5:G5"/>
    <mergeCell ref="A3:A5"/>
    <mergeCell ref="B8:G8"/>
    <mergeCell ref="A6:A8"/>
    <mergeCell ref="B11:G11"/>
    <mergeCell ref="A9:A11"/>
    <mergeCell ref="B13:G13"/>
    <mergeCell ref="A12:A13"/>
  </mergeCells>
  <ignoredErrors>
    <ignoredError numberStoredAsText="1" sqref="A1:I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  <row r="2" ht="70" customHeight="1">
      <c r="A2" s="12" t="str">
        <v>AOW03</v>
      </c>
      <c r="B2" s="11" t="str">
        <v>African Seed Access Index (TASAI)</v>
      </c>
      <c r="C2" s="11" t="str">
        <v>HLO14.AOW3.IO5 TRACK adoption</v>
      </c>
      <c r="D2" s="11" t="str">
        <v>Ethiopia,Kenya,Nigeria</v>
      </c>
      <c r="E2" s="11">
        <v>40000</v>
      </c>
      <c r="F2" s="11" t="str">
        <v>Sub</v>
      </c>
    </row>
    <row r="3" ht="70" customHeight="1">
      <c r="A3" s="11" t="str">
        <v>AOW03</v>
      </c>
      <c r="B3" s="11" t="str">
        <v>Cornell University</v>
      </c>
      <c r="C3" s="11" t="str">
        <v>HLO14.AOW3.IO5 TRACK adoption</v>
      </c>
      <c r="D3" s="11" t="str">
        <v>Ethiopia,Kenya,Nigeria</v>
      </c>
      <c r="E3" s="11">
        <v>10000</v>
      </c>
      <c r="F3" s="11" t="str">
        <v>Sub</v>
      </c>
    </row>
    <row r="4" ht="25" customHeight="1">
      <c r="B4" s="14" t="str">
        <v>Contracted partners subtotal</v>
      </c>
      <c r="E4" s="14">
        <f>SUM(E2:E3)</f>
      </c>
    </row>
    <row r="5" ht="70" customHeight="1">
      <c r="A5" s="12" t="str">
        <v>AOW05</v>
      </c>
      <c r="B5" s="11" t="str">
        <v>New Markets Lab</v>
      </c>
      <c r="C5" s="11" t="str">
        <v>HLO22.AOW5.IO5 Exchange genetic resources, HLO21.AOW5.IO3 Improve management</v>
      </c>
      <c r="D5" s="11" t="str">
        <v>Bangladesh,Burkina Faso,Ghana,Guatemala,Honduras,India,Kenya,Madagascar,Malawi,Mali,Niger,Nigeria,Pakistan,Philippines,Senegal,Tanzania, United Republic,The Democratic Republic of the Congo,Uganda</v>
      </c>
      <c r="E5" s="11">
        <v>65000</v>
      </c>
      <c r="F5" s="11" t="str">
        <v>Sub</v>
      </c>
    </row>
    <row r="6" ht="25" customHeight="1">
      <c r="B6" s="14" t="str">
        <v>Contracted partners subtotal</v>
      </c>
      <c r="E6" s="14">
        <f>SUM(E5:E5)</f>
      </c>
    </row>
  </sheetData>
  <mergeCells count="4">
    <mergeCell ref="B4:D4"/>
    <mergeCell ref="A2:A4"/>
    <mergeCell ref="B6:D6"/>
    <mergeCell ref="A5:A6"/>
  </mergeCells>
  <ignoredErrors>
    <ignoredError numberStoredAsText="1" sqref="A1:F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N-644H03-HP–GAC–ENFS</v>
      </c>
      <c r="B2" s="19" t="str">
        <v>AOW00</v>
      </c>
      <c r="C2" s="18" t="str">
        <v xml:space="preserve">IOC5 Equitable access to improved varieties </v>
      </c>
      <c r="D2" s="19">
        <v>0</v>
      </c>
      <c r="E2" s="19" t="str">
        <f>=SUM(D2:D3)</f>
        <v>0</v>
      </c>
    </row>
    <row r="3" ht="30" customHeight="1">
      <c r="A3" s="18" t="str">
        <v>N-644H03-HP–GAC–ENFS</v>
      </c>
      <c r="B3" s="19" t="str">
        <v>AOW03</v>
      </c>
      <c r="C3" s="18" t="str">
        <v>HLO11.AOW3.IO4 Position for demand</v>
      </c>
      <c r="D3" s="19">
        <v>0</v>
      </c>
    </row>
    <row r="4" ht="30" customHeight="1">
      <c r="A4" s="18" t="str">
        <v>N-300044-Biotechnology Innovations</v>
      </c>
      <c r="B4" s="19" t="str">
        <v>AOW00</v>
      </c>
      <c r="C4" s="18" t="str">
        <v>IOC3 Cost-effective product development by Breeding Networks.</v>
      </c>
      <c r="D4" s="19">
        <v>0</v>
      </c>
      <c r="E4" s="19" t="str">
        <f>=SUM(D4:D4)</f>
        <v>0</v>
      </c>
    </row>
    <row r="5" ht="30" customHeight="1">
      <c r="A5" s="18" t="str">
        <v>N-306005-NUTRITION STATUS-BIHAR&amp;OD</v>
      </c>
      <c r="B5" s="19" t="str">
        <v>AOW05</v>
      </c>
      <c r="C5" s="18" t="str">
        <v>HLO20.AOW5.IO3 Assess performance</v>
      </c>
      <c r="D5" s="19">
        <v>0</v>
      </c>
      <c r="E5" s="19" t="str">
        <f>=SUM(D5:D5)</f>
        <v>0</v>
      </c>
    </row>
    <row r="6" ht="30" customHeight="1">
      <c r="A6" s="18" t="str">
        <v>N-644006 - ACCELERATING CROP IMPROVEMENT THROUGH GENOME EDITING</v>
      </c>
      <c r="B6" s="19" t="str">
        <v>AOW00</v>
      </c>
      <c r="C6" s="18" t="str">
        <v xml:space="preserve">IOC2 - Active collaboration to develop products </v>
      </c>
      <c r="D6" s="19">
        <v>0</v>
      </c>
      <c r="E6" s="19" t="str">
        <f>=SUM(D6:D7)</f>
        <v>0</v>
      </c>
    </row>
    <row r="7" ht="30" customHeight="1">
      <c r="A7" s="18" t="str">
        <v>N-644006 - ACCELERATING CROP IMPROVEMENT THROUGH GENOME EDITING</v>
      </c>
      <c r="B7" s="19" t="str">
        <v>AOW02</v>
      </c>
      <c r="C7" s="18" t="str">
        <v>HLO8.AOW2.IO2 Discover genetic potential</v>
      </c>
      <c r="D7" s="19">
        <v>0</v>
      </c>
    </row>
    <row r="8" ht="30" customHeight="1">
      <c r="A8" s="3" t="str">
        <v>W3/Bilateral projects subtotal</v>
      </c>
      <c r="E8" s="3">
        <f>SUM(E2:E7)</f>
      </c>
    </row>
  </sheetData>
  <mergeCells count="5">
    <mergeCell ref="A2:A3"/>
    <mergeCell ref="A6:A7"/>
    <mergeCell ref="E2:E3"/>
    <mergeCell ref="E6:E7"/>
    <mergeCell ref="A8:D8"/>
  </mergeCells>
  <ignoredErrors>
    <ignoredError numberStoredAsText="1" sqref="A1:F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0</v>
      </c>
      <c r="E2" s="20">
        <v>50000</v>
      </c>
      <c r="F2" s="20">
        <v>0</v>
      </c>
      <c r="G2" s="20">
        <v>65000</v>
      </c>
      <c r="H2" s="20" t="str">
        <f>=SUM(B2:G2)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17000</v>
      </c>
      <c r="D3" s="20">
        <v>0</v>
      </c>
      <c r="E3" s="20">
        <v>0</v>
      </c>
      <c r="F3" s="20">
        <v>104161</v>
      </c>
      <c r="G3" s="20">
        <v>0</v>
      </c>
      <c r="H3" s="20" t="str">
        <f>=SUM(B3:G3)</f>
        <v>0</v>
      </c>
    </row>
    <row r="4" ht="20" customHeight="1">
      <c r="A4" s="20" t="str">
        <v>Staffing, Chargebacks and Indirect</v>
      </c>
      <c r="B4" s="20">
        <v>0</v>
      </c>
      <c r="C4" s="20">
        <v>178000</v>
      </c>
      <c r="D4" s="20">
        <v>0</v>
      </c>
      <c r="E4" s="20">
        <v>200000</v>
      </c>
      <c r="F4" s="20">
        <v>45839</v>
      </c>
      <c r="G4" s="20">
        <v>135000</v>
      </c>
      <c r="H4" s="20" t="str">
        <f>=SUM(B4:G4)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