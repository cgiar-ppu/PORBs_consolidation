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4</v>
      </c>
      <c r="E5" s="5">
        <v>140000</v>
      </c>
      <c r="F5" s="2">
        <v>1</v>
      </c>
      <c r="G5" s="5">
        <v>20000</v>
      </c>
      <c r="H5" s="2">
        <v>3</v>
      </c>
      <c r="I5" s="5">
        <v>70000</v>
      </c>
      <c r="J5" s="5">
        <v>10000</v>
      </c>
      <c r="K5" s="5">
        <v>0</v>
      </c>
      <c r="L5" s="5">
        <v>240000</v>
      </c>
      <c r="M5" s="5">
        <v>0</v>
      </c>
    </row>
    <row r="6" ht="20" customHeight="1">
      <c r="A6" s="2" t="str">
        <v>AOW02: Grand Challenges and Scaling Flagships</v>
      </c>
      <c r="B6" s="2">
        <v>0</v>
      </c>
      <c r="C6" s="5">
        <v>0</v>
      </c>
      <c r="D6" s="2">
        <v>0</v>
      </c>
      <c r="E6" s="5">
        <v>0</v>
      </c>
      <c r="F6" s="2">
        <v>0</v>
      </c>
      <c r="G6" s="5">
        <v>0</v>
      </c>
      <c r="H6" s="2">
        <v>16132271</v>
      </c>
      <c r="I6" s="5">
        <v>1330803</v>
      </c>
      <c r="J6" s="5">
        <v>156000</v>
      </c>
      <c r="K6" s="5">
        <v>0</v>
      </c>
      <c r="L6" s="5">
        <v>1486803</v>
      </c>
      <c r="M6" s="5">
        <v>0</v>
      </c>
    </row>
    <row r="7" ht="20" customHeight="1">
      <c r="A7" s="2" t="str">
        <v>AOW03: Enabling Environment Lab</v>
      </c>
      <c r="B7" s="2">
        <v>0</v>
      </c>
      <c r="C7" s="5">
        <v>0</v>
      </c>
      <c r="D7" s="2">
        <v>3</v>
      </c>
      <c r="E7" s="5">
        <v>40000</v>
      </c>
      <c r="F7" s="2">
        <v>262</v>
      </c>
      <c r="G7" s="5">
        <v>267508</v>
      </c>
      <c r="H7" s="2">
        <v>0</v>
      </c>
      <c r="I7" s="5">
        <v>0</v>
      </c>
      <c r="J7" s="5">
        <v>0</v>
      </c>
      <c r="K7" s="5">
        <v>0</v>
      </c>
      <c r="L7" s="5">
        <v>307508</v>
      </c>
      <c r="M7" s="5">
        <v>0</v>
      </c>
    </row>
    <row r="8" ht="20" customHeight="1">
      <c r="A8" s="2" t="str">
        <v>AOW04: Achieving Impact by Unlocking Finance and Partnerships</v>
      </c>
      <c r="B8" s="2">
        <v>1</v>
      </c>
      <c r="C8" s="5">
        <v>36684</v>
      </c>
      <c r="D8" s="2">
        <v>0</v>
      </c>
      <c r="E8" s="5">
        <v>0</v>
      </c>
      <c r="F8" s="2">
        <v>3</v>
      </c>
      <c r="G8" s="5">
        <v>16304</v>
      </c>
      <c r="H8" s="2">
        <v>420000000</v>
      </c>
      <c r="I8" s="5">
        <v>150814</v>
      </c>
      <c r="J8" s="5">
        <v>0</v>
      </c>
      <c r="K8" s="5">
        <v>0</v>
      </c>
      <c r="L8" s="5">
        <v>203802</v>
      </c>
      <c r="M8" s="5">
        <v>0</v>
      </c>
    </row>
    <row r="9" ht="20" customHeight="1">
      <c r="A9" s="2" t="str">
        <v>AOW05: Learning for Impact</v>
      </c>
      <c r="B9" s="2">
        <v>2</v>
      </c>
      <c r="C9" s="5">
        <v>20000</v>
      </c>
      <c r="D9" s="2">
        <v>10</v>
      </c>
      <c r="E9" s="5">
        <v>135992</v>
      </c>
      <c r="F9" s="2">
        <v>10</v>
      </c>
      <c r="G9" s="5">
        <v>44000</v>
      </c>
      <c r="H9" s="2">
        <v>0</v>
      </c>
      <c r="I9" s="5">
        <v>0</v>
      </c>
      <c r="J9" s="5">
        <v>0</v>
      </c>
      <c r="K9" s="5">
        <v>88000</v>
      </c>
      <c r="L9" s="5">
        <v>287992</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4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A1P1.1: PoD name: AKIS-DS: Agrifood knowledge and innovation systems for demand-driven scaling. Lead Center: Alliance of Bioversity and CIAT. PoD KPI: 1 – One validated dynamic systems simulation model completed and shared in Colombia by the end of 2026, designed as a foresight and decision-support tool for adaptive scaling and evidence-based management of agrifood innovation systems. Suggested Disaggregation: Not applicable (tool-level KPI focused on a single simulation model). 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Kenya,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four focus countries, co-developed roadmaps in Colombia, Nigeria, and Bangladesh, and tested a dynamic systems simulation model in Colombia that visualizes interactions, feedback loops, and leverage points across AKIS actors.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knowledge products</v>
      </c>
      <c r="E3" s="11" t="str">
        <v>Country: Colombia</v>
      </c>
      <c r="F3" s="11">
        <v>1</v>
      </c>
      <c r="G3" s="11">
        <v>50000</v>
      </c>
      <c r="H3" s="11">
        <f>SUM(G3:G3)</f>
      </c>
      <c r="I3" s="11" t="str" xml:space="preserve">
        <v xml:space="preserve">Assumptions: Continued political stability, strong institutional commitment to AKIS strengthening, and alignment of the diagnostic with national innovation policies.
10K budget is moved to unkown centre! </v>
      </c>
    </row>
    <row r="4" ht="50" customHeight="1" xml:space="preserve">
      <c r="A4" s="11" t="str">
        <v>AOW01</v>
      </c>
      <c r="B4" s="11" t="str">
        <v>HLO 1.1.2: Feedback and adaptive research and scaling prioritization</v>
      </c>
      <c r="C4" s="11" t="str" xml:space="preserve">
        <v xml:space="preserve">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Indicator type: Capacity Sharing. Unit: Number of methods.
Description: This package strengthens CGIAR’s demand signaling and adaptive management capacity by developing and standardizing a policy and institutional analysis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Bangladesh, Nigeria, and Ethiopia to generate comparable evidence on policy alignment, gaps, and opportunities for research, investment, and scaling. By institutionalizing a shared approach to demand-informed policy analysis, the package will directly contribute to AoW1 HLO 1.1 “Demand Signaling” and to 2030 Outcome 1 on adaptive and demand-driven CGIAR research and scaling.  Suggested Disaggregation: Not applicable (framework-level KPI focused on a single methodology). Accountable Center leading this PoD: Alliance of Bioversity and CIAT. Anticipated partners: Instituto Interamericano de Cooperación para la Agricultura (IICA) and IICA Guatemala, in coordination with national policy institutions in Colombia and regional SICA-related policy platforms. MELIA: Monitoring, evaluation, and learning plans will be developed in early 2026 in cooperation with the S4I PMU and/or AoW‑5, and where needed will include baseline assessments and indicator tracking and reporting in line with Program and CGIAR guidelines.</v>
      </c>
      <c r="D4" s="11" t="str">
        <v>Number of people trained (capacity sharing for development)</v>
      </c>
      <c r="E4" s="11" t="str">
        <v>Country: Guatemala, Colombia</v>
      </c>
      <c r="F4" s="11">
        <v>1</v>
      </c>
      <c r="G4" s="11">
        <v>20000</v>
      </c>
      <c r="H4" s="11">
        <f>SUM(G4:G4)</f>
      </c>
      <c r="I4" s="11" t="str" xml:space="preserve">
        <v xml:space="preserve">Assumptions: Continuous engagement of policy institutions, data availability, and alignment with AoW1 coordination priorities.
</v>
      </c>
    </row>
    <row r="5" ht="50" customHeight="1" xml:space="preserve">
      <c r="A5" s="11" t="str">
        <v>AOW01</v>
      </c>
      <c r="B5" s="11" t="str">
        <v>HLO 1.1.3: Enhance strategies and coordination</v>
      </c>
      <c r="C5" s="11" t="str" xml:space="preserve">
        <v xml:space="preserve">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Other Output. Unit: Number of strategies/methods.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D5" s="11" t="str">
        <v xml:space="preserve"> Other Output</v>
      </c>
      <c r="E5" s="11" t="str">
        <v>Country: Colombia</v>
      </c>
      <c r="F5" s="11">
        <v>1</v>
      </c>
      <c r="G5" s="11">
        <v>40000</v>
      </c>
      <c r="H5" s="11">
        <f>SUM(G5:G8)</f>
      </c>
      <c r="I5" s="11" t="str" xml:space="preserve">
        <v xml:space="preserve">Continued engagement from public and private stakeholders, alignment with national research and innovation agendas, and sustained government commitment to adaptive planning.
</v>
      </c>
    </row>
    <row r="6" ht="50" customHeight="1" xml:space="preserve">
      <c r="A6" s="11" t="str">
        <v>AOW01</v>
      </c>
      <c r="C6" s="11" t="str" xml:space="preserve">
        <v xml:space="preserve">A1P13.2: PoD name: PAD: Policy alignment and demand signaling for scaling CGIAR innovations. Lead Center: Alliance of Bioversity and CIAT. PoD KPI: 2 – Two workshop and report outputs completed by the end of 2026 in Colombia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Knowledge product. Unit: Number of workshops and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and informing future work in Guatemala.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1.1 on demand signaling and alignment of CGIAR research with country needs. Accountable Center leading this PoD: Alliance of Bioversity and CIAT. Anticipated partners: Ministry of Agriculture and Rural Development of Colombia (MADR); Ministry of Agriculture, Livestock and Food of Guatemala (MAGA); Inter-American Institute for Cooperation on Agriculture (IICA); and regional policy platforms such as SICA engaged in policy dialogue and participatory agenda-setting.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knowledge products</v>
      </c>
      <c r="E6" s="11" t="str">
        <v>Country: Colombia, Guatemala</v>
      </c>
      <c r="F6" s="11">
        <v>2</v>
      </c>
      <c r="G6" s="11">
        <v>50000</v>
      </c>
      <c r="I6" s="11" t="str" xml:space="preserve">
        <v xml:space="preserve">Assumptions: Continued partner engagement and government commitment to adaptive policy and scaling dialogue.
</v>
      </c>
    </row>
    <row r="7" ht="50" customHeight="1" xml:space="preserve">
      <c r="A7" s="11" t="str">
        <v>AOW01</v>
      </c>
      <c r="C7" s="11" t="str" xml:space="preserve">
        <v xml:space="preserve">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with lessons informing regional work in Guatemala. Suggested Disaggregation: 40% women and youth, 10% marginalized groups, and 50% other stakeholders among those engaged in consultations, validation workshops, and co-design of the country agendas.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and Guatemala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1.1 “Demand Signaling” and 2030 Outcome 1 on adaptive, demand-driven research and scaling. Accountable Center leading this PoD: Alliance of Bioversity and CIAT. Anticipated partners: Ministry of Agriculture and Rural Development of Colombia (MADR); Ministry of Agriculture, Livestock and Food of Guatemala (MAGA); Instituto Interamericano de Cooperacion para la Agricultura; regional bodies such as SICA.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knowledge products</v>
      </c>
      <c r="E7" s="11" t="str">
        <v>Country: Guatemala, Colombia</v>
      </c>
      <c r="F7" s="11">
        <v>1</v>
      </c>
      <c r="G7" s="11">
        <v>40000</v>
      </c>
      <c r="I7" s="11" t="str" xml:space="preserve">
        <v xml:space="preserve">Assumptions: Sustained government collaboration, continuity of national focal points, and timely input from CGIAR policy and scaling teams.
</v>
      </c>
    </row>
    <row r="8" ht="50" customHeight="1" xml:space="preserve">
      <c r="A8" s="11" t="str">
        <v>AOW01</v>
      </c>
      <c r="C8" s="11" t="str" xml:space="preserve">
        <v xml:space="preserve">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(number of reports and strategies rather than individual beneficiaries). Indicator type: Other Output. Unit: Number of reports.
PoD Description: The AKIS-DS package strengthens national agrifood knowledge and innovation systems by generating robust, socially inclusive evidence on stakeholder needs and priorities and translating this evidence into demand-driven scaling guidance. Building on multi-stakeholder engagement initiated under S4I AoW1, this deliverable focuses on Colombia, where findings from harmonized AKIS diagnostics and demand-driven roadmaps will be synthesized into a demand-driven scaling report and a complementary communication strategy. Co-designed with AKIS actors, these products will translate diagnostic and roadmap insights into actionable messages that support institutional learning, evidence-based coordination, and policy alignment for scaling CGIAR-linked innovations, while also informing South–South collaboration and broader AKIS-DS implementation in other countries.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D8" s="11" t="str">
        <v xml:space="preserve"> Other Output</v>
      </c>
      <c r="E8" s="11" t="str">
        <v>Country: Colombia</v>
      </c>
      <c r="F8" s="11">
        <v>2</v>
      </c>
      <c r="G8" s="11">
        <v>30000</v>
      </c>
      <c r="I8" s="11" t="str">
        <v>Assumptions: Stable engagement from national AKIS actors, continued government collaboration, and ongoing demand for system-level coordination and knowledge products.</v>
      </c>
    </row>
    <row r="9" ht="25" customHeight="1">
      <c r="B9" s="14" t="str">
        <v>HLO budget subtotal</v>
      </c>
      <c r="H9" s="15">
        <f>SUM(H3:H8)</f>
      </c>
    </row>
    <row r="10" ht="50" customHeight="1" xml:space="preserve">
      <c r="A10" s="13" t="str">
        <v>AOW02</v>
      </c>
      <c r="B10" s="11" t="str">
        <v>HLO 2.2.1: Access climate services and smart water management tools that improve adaptation decisions and resource efficiency.</v>
      </c>
      <c r="C10" s="11" t="str" xml:space="preserve">
        <v xml:space="preserve">A2P1.1: PoD name: Scaling Climate-Smart Agro-Advisories through the Shamba Shape Up Content Generation Platform. Lead Center: Alliance of Bioversity and CIAT. PoD KPI: 10,000,000 –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Other Output. Unit: Number of individuals.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 Ten million individuals applying CGIAR-linked innovations through the Shamba Shape Up platform and associated partnerships in Kenya, Zambia, and Ethiopia by the end of 2026</v>
      </c>
      <c r="E10" s="11" t="str">
        <v>Country: Ethiopia, Zambia, Kenya</v>
      </c>
      <c r="F10" s="11">
        <v>10000000</v>
      </c>
      <c r="G10" s="11">
        <v>298892</v>
      </c>
      <c r="H10" s="11">
        <f>SUM(G10:G15)</f>
      </c>
      <c r="I10" s="11" t="str" xml:space="preserve">
        <v xml:space="preserve"> Farmer trust in SSU and access to mass-media and mobile delivery channels remain strong across Kenya, Zambia, and Ethiopia, sustaining user engagement and adoption of CGIAR-linked innovations.
56K budget is moved to unknown partner as a placeholder </v>
      </c>
    </row>
    <row r="11" ht="50" customHeight="1" xml:space="preserve">
      <c r="A11" s="11" t="str">
        <v>AOW02</v>
      </c>
      <c r="C11" s="11" t="str" xml:space="preserve">
        <v xml:space="preserve">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11" s="11" t="str">
        <v>Number of APIs</v>
      </c>
      <c r="E11" s="11" t="str">
        <v>Country: Kenya</v>
      </c>
      <c r="F11" s="11">
        <v>1</v>
      </c>
      <c r="G11" s="11">
        <v>128424</v>
      </c>
      <c r="I11" s="11" t="str" xml:space="preserve">
        <v xml:space="preserve">Farmer trust in SSU and access to mass-media and mobile delivery channels remain strong across Kenya, Zambia, and Ethiopia, sustaining user engagement and adoption of CGIAR-linked innovations.
</v>
      </c>
    </row>
    <row r="12" ht="50" customHeight="1" xml:space="preserve">
      <c r="A12" s="11" t="str">
        <v>AOW02</v>
      </c>
      <c r="C12" s="11" t="str" xml:space="preserve">
        <v xml:space="preserve">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v>
      </c>
      <c r="D12" s="11" t="str">
        <v>Number of individuals</v>
      </c>
      <c r="E12" s="11" t="str">
        <v>Country: India, Kenya</v>
      </c>
      <c r="F12" s="11">
        <v>25000</v>
      </c>
      <c r="G12" s="11">
        <v>44362</v>
      </c>
      <c r="I12" s="11" t="str" xml:space="preserve">
        <v xml:space="preserve">Strong demand from farmers and institutional commitment of financial partners sustain service delivery and expansion.
</v>
      </c>
    </row>
    <row r="13" ht="50" customHeight="1" xml:space="preserve">
      <c r="A13" s="11" t="str">
        <v>AOW02</v>
      </c>
      <c r="C13" s="11" t="str" xml:space="preserve">
        <v xml:space="preserve">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v>
      </c>
      <c r="D13" s="11" t="str">
        <v xml:space="preserve"> Amount in USD </v>
      </c>
      <c r="E13" s="11" t="str">
        <v>Country: India, Kenya</v>
      </c>
      <c r="F13" s="11">
        <v>6000000</v>
      </c>
      <c r="G13" s="11">
        <v>44362</v>
      </c>
      <c r="I13" s="11" t="str" xml:space="preserve">
        <v xml:space="preserve">Continued market demand and partner commitment sustain growth in digital financial service uptake and co-investment levels.
</v>
      </c>
    </row>
    <row r="14" ht="50" customHeight="1" xml:space="preserve">
      <c r="A14" s="11" t="str">
        <v>AOW02</v>
      </c>
      <c r="C14" s="11" t="str" xml:space="preserve">
        <v xml:space="preserve">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v>
      </c>
      <c r="D14" s="11" t="str">
        <v xml:space="preserve"> Other Output</v>
      </c>
      <c r="E14" s="11" t="str">
        <v>Country: Guatemala, Colombia</v>
      </c>
      <c r="F14" s="11">
        <v>20000</v>
      </c>
      <c r="G14" s="11">
        <v>216169</v>
      </c>
      <c r="I14" s="11" t="str" xml:space="preserve">
        <v xml:space="preserve">Assumption: National policy support and donor alignment (e.g., GCF pipelines) remain stable to enable institutional embedding.
50K budget is moved to the unknown partner as a placeholder. </v>
      </c>
    </row>
    <row r="15" ht="50" customHeight="1" xml:space="preserve">
      <c r="A15" s="11" t="str">
        <v>AOW02</v>
      </c>
      <c r="C15" s="11" t="str" xml:space="preserve">
        <v xml:space="preserve">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15" s="11" t="str">
        <v xml:space="preserve"> Number of extension agents</v>
      </c>
      <c r="E15" s="11" t="str">
        <v>Country: Kenya</v>
      </c>
      <c r="F15" s="11">
        <v>1150</v>
      </c>
      <c r="G15" s="11">
        <v>120000</v>
      </c>
      <c r="I15" s="11" t="str">
        <v>County government sustained support; NAVCDP/FSRP co-financing secured; farmer registry accuracy maintained; telecom partnerships functional; trained agents remain active; farmers access mobile services.</v>
      </c>
    </row>
    <row r="16" ht="50" customHeight="1" xml:space="preserve">
      <c r="A16" s="11" t="str">
        <v>AOW02</v>
      </c>
      <c r="B16" s="11" t="str">
        <v>HLO 2.2.2: Inclusive and efficient innovation delivery systems that support biodiverse, sustainable production, generate new jobs, and expand access for women, youth, and small and medium enterprises.</v>
      </c>
      <c r="C16" s="11"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D16" s="11" t="str">
        <v>Number of partnerships</v>
      </c>
      <c r="E16" s="11" t="str">
        <v>Country: Tanzania, United Republic, Malawi, Uganda</v>
      </c>
      <c r="F16" s="11">
        <v>27</v>
      </c>
      <c r="G16" s="11">
        <v>151046</v>
      </c>
      <c r="H16" s="11">
        <f>SUM(G16:G20)</f>
      </c>
      <c r="I16" s="11" t="str">
        <v>Assumptions are that national programs, PABRA partners, seed companies, and community multipliers remain engaged; technical and data management support is consistently available; quality assurance procedures are followed across countries; and regulatory b</v>
      </c>
    </row>
    <row r="17" ht="50" customHeight="1" xml:space="preserve">
      <c r="A17" s="11" t="str">
        <v>AOW02</v>
      </c>
      <c r="C17" s="11" t="str" xml:space="preserve">
        <v xml:space="preserve">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v>
      </c>
      <c r="D17" s="11" t="str">
        <v>Number of jobs</v>
      </c>
      <c r="E17" s="11" t="str">
        <v>Country: Malawi, Zambia</v>
      </c>
      <c r="F17" s="11">
        <v>500</v>
      </c>
      <c r="G17" s="11">
        <v>14624</v>
      </c>
      <c r="I17" s="11" t="str" xml:space="preserve">
        <v xml:space="preserve">Assumption: Continued demand from governments and private sector for inclusive mechanization business models that create rural employment and improve productivity.
</v>
      </c>
    </row>
    <row r="18" ht="50" customHeight="1" xml:space="preserve">
      <c r="A18" s="11" t="str">
        <v>AOW02</v>
      </c>
      <c r="C18" s="11" t="str" xml:space="preserve">
        <v xml:space="preserve">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v>
      </c>
      <c r="D18" s="11" t="str">
        <v xml:space="preserve">Number of farmers </v>
      </c>
      <c r="E18" s="11" t="str">
        <v>Country: Malawi, Zambia</v>
      </c>
      <c r="F18" s="11">
        <v>15000</v>
      </c>
      <c r="G18" s="11">
        <v>13162</v>
      </c>
      <c r="I18" s="11" t="str">
        <v>Ongoing uncertainty in W1/W2 funding levels could constrain MSP training and expansion; mitigation: leverage bilateral investments (e.g., SIFAZ, Ukama Ustawi) and IFI programs targeting mechanization. Institutional fragmentation between public, private, a</v>
      </c>
    </row>
    <row r="19" ht="50" customHeight="1" xml:space="preserve">
      <c r="A19" s="11" t="str">
        <v>AOW02</v>
      </c>
      <c r="C19" s="11" t="str" xml:space="preserve">
        <v xml:space="preserve">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v>
      </c>
      <c r="D19" s="11" t="str">
        <v>Amount in USD</v>
      </c>
      <c r="E19" s="11" t="str">
        <v>Country: Malawi, Zambia</v>
      </c>
      <c r="F19" s="11">
        <v>30000</v>
      </c>
      <c r="G19" s="11">
        <v>7312</v>
      </c>
      <c r="I19" s="11" t="str" xml:space="preserve">
        <v xml:space="preserve">Assumes consistent government and private-sector demand for mechanization finance to support youth and women entrepreneurs.
</v>
      </c>
    </row>
    <row r="20" ht="50" customHeight="1" xml:space="preserve">
      <c r="A20" s="11" t="str">
        <v>AOW02</v>
      </c>
      <c r="C20" s="11" t="str" xml:space="preserve">
        <v xml:space="preserve">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v>
      </c>
      <c r="D20" s="11" t="str">
        <v>Number of policy/market intervention</v>
      </c>
      <c r="E20" s="11" t="str">
        <v>Country: Malawi, Zambia</v>
      </c>
      <c r="F20" s="11">
        <v>1</v>
      </c>
      <c r="G20" s="11">
        <v>2925</v>
      </c>
      <c r="I20" s="11" t="str" xml:space="preserve">
        <v xml:space="preserve">Assumption: Continued government and donor commitment to mechanization as a lever for climate-smart agricultural transformation and youth employment.
</v>
      </c>
    </row>
    <row r="21" ht="50" customHeight="1" xml:space="preserve">
      <c r="A21" s="11" t="str">
        <v>AOW02</v>
      </c>
      <c r="B21" s="11" t="str">
        <v>HLO 2.2.3: Nutrition-smart crop and livestock systems and inclusive food markets, with increased jobs, improved livelihoods, and enhanced access for women and youth to diverse, safe, and affordable diets.</v>
      </c>
      <c r="C21" s="11" t="str" xml:space="preserve">
        <v xml:space="preserve">A2P11.1: PoD name: Accelerating the commercialization of climate-resilient and nutrient-dense bean varieties in Kenya and Malawi. Lead Center: Alliance of Bioversity International and CIAT. PoD KPI: 8 – Eight partnerships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eight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v>
      </c>
      <c r="D21" s="11" t="str">
        <v>Other Output</v>
      </c>
      <c r="E21" s="11" t="str">
        <v>Country: Malawi, Kenya</v>
      </c>
      <c r="F21" s="11">
        <v>8</v>
      </c>
      <c r="G21" s="11">
        <v>150000</v>
      </c>
      <c r="H21" s="11">
        <f>SUM(G21:G25)</f>
      </c>
      <c r="I21" s="11" t="str" xml:space="preserve">
        <v xml:space="preserve">Assumption: National policy support for certified seed systems remains steady and partner institutions sustain co-investment through 2026.
50K budget is moved to the unknown partner as a placeholder. </v>
      </c>
    </row>
    <row r="22" ht="50" customHeight="1" xml:space="preserve">
      <c r="A22" s="11" t="str">
        <v>AOW02</v>
      </c>
      <c r="C22" s="11" t="str" xml:space="preserve">
        <v xml:space="preserve">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v>
      </c>
      <c r="D22" s="11" t="str">
        <v>Number of hectares</v>
      </c>
      <c r="E22" s="11" t="str">
        <v>Country: Malawi, Zambia</v>
      </c>
      <c r="F22" s="11">
        <v>9000</v>
      </c>
      <c r="G22" s="11">
        <v>7898</v>
      </c>
      <c r="I22" s="11" t="str">
        <v>Uncertainty in W1/W2 funding levels may slow delivery of mechanization pilots and limit demonstration scale. Mitigation: leverage existing bilateral funding (e.g., SIFAZ, Water &amp; Soil Accelerator) and co-financing from private suppliers. High equipment co</v>
      </c>
    </row>
    <row r="23" ht="50" customHeight="1" xml:space="preserve">
      <c r="A23" s="11" t="str">
        <v>AOW02</v>
      </c>
      <c r="C23" s="11" t="str" xml:space="preserve">
        <v xml:space="preserve">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v>
      </c>
      <c r="D23" s="11" t="str">
        <v>Number of individuals</v>
      </c>
      <c r="E23" s="11" t="str">
        <v>Country: Malawi, Zambia</v>
      </c>
      <c r="F23" s="11">
        <v>10000</v>
      </c>
      <c r="G23" s="11">
        <v>7312</v>
      </c>
      <c r="I23" s="11" t="str" xml:space="preserve">
        <v xml:space="preserve"> Extension networks and local service centers will reduce logistics barriers, while adaptive coordination through Zambia's mechanization platform ensures regulatory alignment and partner accountability.
2026 Target"</v>
      </c>
    </row>
    <row r="24" ht="50" customHeight="1" xml:space="preserve">
      <c r="A24" s="11" t="str">
        <v>AOW02</v>
      </c>
      <c r="C24" s="11" t="str" xml:space="preserve">
        <v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v>
      </c>
      <c r="D24" s="11" t="str">
        <v>Number of smallholder farmers</v>
      </c>
      <c r="E24" s="11" t="str">
        <v>Country: Ethiopia, Zambia</v>
      </c>
      <c r="F24" s="11">
        <v>53234</v>
      </c>
      <c r="G24" s="11">
        <v>53234</v>
      </c>
      <c r="I24" s="11" t="str" xml:space="preserve">
        <v xml:space="preserve">Assumption: Continued government prioritization of livestock feed systems and stable policy support for private-sector engagement in forage markets.
</v>
      </c>
    </row>
    <row r="25" ht="50" customHeight="1" xml:space="preserve">
      <c r="A25" s="11" t="str">
        <v>AOW02</v>
      </c>
      <c r="C25" s="11" t="str" xml:space="preserve">
        <v xml:space="preserve">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v>
      </c>
      <c r="D25" s="11" t="str">
        <v xml:space="preserve"> Number of projects</v>
      </c>
      <c r="E25" s="11" t="str">
        <v>Country: Tanzania, United Republic, Ethiopia, Kenya</v>
      </c>
      <c r="F25" s="11">
        <v>1</v>
      </c>
      <c r="G25" s="11">
        <v>71081</v>
      </c>
      <c r="I25" s="11" t="str" xml:space="preserve">
        <v xml:space="preserve">• NARES, ILRI, ICARDA, and FAN maintain strong collaboration on testing protocols, data validation, and trait prioritization.
• Bilateral and W2 investments in Ethiopia and Zambia continue to prioritize forage-based feed solutions and remain open to align</v>
      </c>
    </row>
    <row r="26" ht="25" customHeight="1">
      <c r="B26" s="15" t="str">
        <v>HLO budget subtotal</v>
      </c>
      <c r="H26" s="15">
        <f>SUM(H10:H25)</f>
      </c>
    </row>
    <row r="27" ht="50" customHeight="1" xml:space="preserve">
      <c r="A27" s="13" t="str">
        <v>AOW03</v>
      </c>
      <c r="B27" s="11" t="str">
        <v xml:space="preserve">HLO 3.3.1: Enabling environment diagnostics </v>
      </c>
      <c r="C27" s="11" t="str" xml:space="preserve">
        <v xml:space="preserve">A3P6.2: PoD name: Enabling Environments for Scaling Innovations across AoW2 Flagships. Lead Center: Alliance of Bioversity and CIAT. PoD KPI: 90 – Ninety organizations applying co-created enabling-environment diagnostics and analyses by the end of 2026 to identify and address barriers to scaling innovation bundles across policy, finance, and capacity pathways in Zambia, Côte d’Ivoire, and other AoW2-relevant contexts.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Diversification and Nutrition-Smart Food Systems (Grand Challenge 2.3) or other AoW2 Flagships.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(as a primary geography served) and Côte d’Ivoire (as an initial work location) will engage a broad set of policy, market, and finance actors around scaling pathways for prioritized innovations. Accountable Center leading this PoD: Alliance of Bioversity and CIAT. Anticipated partners: AoW2 Flagship leads and Scaling for Impact leadership; relevant public and private organizations in Zambia and Côte d’Ivoire;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v>
      </c>
      <c r="D27" s="11" t="str">
        <v>Number of people trained (capacity sharing for development)</v>
      </c>
      <c r="E27" s="11" t="str">
        <v>Country: Zambia</v>
      </c>
      <c r="F27" s="11">
        <v>90</v>
      </c>
      <c r="G27" s="11">
        <v>80000</v>
      </c>
      <c r="H27" s="11">
        <f>SUM(G27:G28)</f>
      </c>
      <c r="I27" s="11" t="str">
        <v>Assumption: Key policy, finance, and market actors will maintain interest and commitment to applying CGIAR-developed tools to support innovation scaling.</v>
      </c>
    </row>
    <row r="28" ht="50" customHeight="1" xml:space="preserve">
      <c r="A28" s="11" t="str">
        <v>AOW03</v>
      </c>
      <c r="C28" s="11" t="str" xml:space="preserve">
        <v xml:space="preserve">A3P6.1: PoD name: Enabling Environments for Scaling Innovations across AoW2 Flagships. Lead Center: Alliance of Bioversity and CIAT. PoD KPI: 3 – Three validated enabling environment strategies produced by the end of 2026, providing evidence and recommendations to guide institutional, financial, and behavioral reforms that support innovation scaling across AoW2 Flagships and inform policy and investment processes in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Diversification and Nutrition-Smart Food Systems (Grand Challenge 2.3) or other AoW2 Flagships.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Zambia and Côte d’Ivoire (with potential application in other AoW2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AoW2 Flagship leads; Scaling for Impact leadership; policy and finance stakeholders in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v>
      </c>
      <c r="D28" s="11" t="str">
        <v>Number of knowledge products</v>
      </c>
      <c r="E28" s="11" t="str">
        <v>Country: Zambia</v>
      </c>
      <c r="F28" s="11">
        <v>3</v>
      </c>
      <c r="G28" s="11">
        <v>40000</v>
      </c>
      <c r="I28" s="11" t="str">
        <v>Assumption: Policy and market stakeholders remain committed to building enabling environments for scaling.</v>
      </c>
    </row>
    <row r="29" ht="50" customHeight="1" xml:space="preserve">
      <c r="A29" s="11" t="str">
        <v>AOW03</v>
      </c>
      <c r="B29" s="11" t="str" xml:space="preserve">
        <v xml:space="preserve">HLO 3.3.2: Scaling support services for enabling 
environments and institutions </v>
      </c>
      <c r="C29" s="11" t="str" xml:space="preserve">
        <v xml:space="preserve">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partners.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v>
      </c>
      <c r="D29" s="11" t="str">
        <v>Number of people trained (capacity sharing for development)</v>
      </c>
      <c r="E29" s="11" t="str">
        <v>Country: Nigeria, Kenya, Ethiopia, Zambia</v>
      </c>
      <c r="F29" s="11">
        <v>18</v>
      </c>
      <c r="G29" s="11">
        <v>44426</v>
      </c>
      <c r="H29" s="11">
        <f>SUM(G29:G32)</f>
      </c>
      <c r="I29" s="11" t="str">
        <v>20 – Twenty enterprises participating in S4I Flagship Solution Scaling Tracks completing standardized light AgentBI diagnostics and receiving documented last-mile risk profiles and finalized scaling recommendations by end-2026 across Ethiopia, Kenya, Nigeria, and Zambia.</v>
      </c>
    </row>
    <row r="30" ht="50" customHeight="1" xml:space="preserve">
      <c r="A30" s="11" t="str">
        <v>AOW03</v>
      </c>
      <c r="C30" s="11" t="str" xml:space="preserve">
        <v xml:space="preserve">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v>
      </c>
      <c r="D30" s="11" t="str">
        <v>Number of people trained (capacity sharing for development)</v>
      </c>
      <c r="E30" s="11" t="str">
        <v>Global</v>
      </c>
      <c r="F30" s="11">
        <v>100</v>
      </c>
      <c r="G30" s="11">
        <v>37500</v>
      </c>
      <c r="I30" s="11" t="str">
        <v>Assumption: Continued partner government and institutional interest in gender-transformative and youth-inclusive agricultural development.</v>
      </c>
    </row>
    <row r="31" ht="50" customHeight="1" xml:space="preserve">
      <c r="A31" s="11" t="str">
        <v>AOW03</v>
      </c>
      <c r="C31" s="11" t="str" xml:space="preserve">
        <v xml:space="preserve">A3P11.2: PoD name: The EE Playbook — Frameworks, Methods, and Tools for Scaling. Lead Center: Alliance of Bioversity and CIAT.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v>
      </c>
      <c r="D31" s="11" t="str">
        <v>Number of people trained (capacity sharing for development)</v>
      </c>
      <c r="E31" s="11" t="str">
        <v>Country: Ethiopia, Kenya, Colombia</v>
      </c>
      <c r="F31" s="11">
        <v>4</v>
      </c>
      <c r="G31" s="11">
        <v>85582</v>
      </c>
      <c r="I31" s="11" t="str">
        <v>Assumption: National and regional institutions remain committed to applying EE diagnostics and tools to strengthen scaling frameworks.</v>
      </c>
    </row>
    <row r="32" ht="50" customHeight="1" xml:space="preserve">
      <c r="A32" s="11" t="str">
        <v>AOW03</v>
      </c>
      <c r="C32" s="11" t="str" xml:space="preserve">
        <v xml:space="preserve">A3P9.1: PoD name: Inclusive Pathways for Transformative Innovation. Lead Center: Alliance of Bioversity and CIAT. PoD KPI: 50 – One hundred fifty cumulative individuals from regional and local extension systems trained and applying inclusive scaling and monitoring frameworks across CGIAR partner countries by end of 2026. Suggested Disaggregation: 20 women and youth (40%), 5 marginalized groups (10%), 25 other individuals (50%). Indicator type: Capacity Sharing; Unit: Number of individuals.
PoD Description: The 2026 work package “Inclusive Pathways for Transformative Innovation” strengthens equity, resilience, and impact across AoW2 flagships and accelerators by embedding gender- and youth-responsive approaches in policies, budgets, and scaling practices.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v>
      </c>
      <c r="D32" s="11" t="str">
        <v>Number of people trained (capacity sharing for development)</v>
      </c>
      <c r="E32" s="11" t="str">
        <v>Country: Ethiopia, Kenya, Guatemala, Colombia</v>
      </c>
      <c r="F32" s="11">
        <v>50</v>
      </c>
      <c r="G32" s="11">
        <v>20000</v>
      </c>
      <c r="I32" s="11" t="str">
        <v>Assumption: Continued partner government and institutional interest in gender-transformative and youth-inclusive agricultural development.</v>
      </c>
    </row>
    <row r="33" ht="25" customHeight="1">
      <c r="B33" s="15" t="str">
        <v>HLO budget subtotal</v>
      </c>
      <c r="H33" s="15">
        <f>SUM(H27:H32)</f>
      </c>
    </row>
    <row r="34" ht="50" customHeight="1" xml:space="preserve">
      <c r="A34" s="13" t="str">
        <v>AOW04</v>
      </c>
      <c r="B34" s="11" t="str">
        <v>HLO 4.4.1: CGIAR Expertise and Solutions Embedded in Development Investments and Partnerships</v>
      </c>
      <c r="C34" s="11" t="str" xml:space="preserve">
        <v xml:space="preserve">A4P12.1: PoD name (Lead Center: Alliance of Bioversity and CIAT): ImpactSF. PoD KPI: 320,000,000 – Cumulative investment value of USD 320 million influenced by the ImpactSF Sustainable Finance Suite by end-2026 through the integration of CGIAR analytics into climate-smart financial products. Suggested Disaggregation: To be determined through partner engagement, targeting equitable distribution across participating countries. Indicator type: Other Output. Unit: USD leveraged for scaling through CGIAR influence, technical assistance, and/or advisory support.
PoD Description: ImpactSF is a flagship initiative under CGIAR that bridges science and finance to accelerate the transition to climate-smart, resilient food systems. By embedding CGIAR science into financial systems, it channels capital to farmers, cooperatives, and agri-SMEs focusing on adaptation, productivity, and nature-positive practices. The ImpactSF Sustainable Finance Suite—comprising the Analyzer and Reporting Platform—will be scaled in 2026 through three key workstreams: strengthening data infrastructure, co-designing climate-smart funds, and integrating with financial institutions to support sustainable finance. ImpactSF aims to mobilize substantial investments by embedding CGIAR science in real-world financial operations. The package will leverage its partnerships to influence over USD 320 million in investment value by the end of 2026. Accountable Center leading this PoD: Alliance of Bioversity and CIAT. Anticipated partners: Big Valley, ImpactEarth, Incofin, ARDB, Co-op Bank of Oromia, MCCB Philippines, Gates Foundation, UNDP, and GGGI. MELIA: Monitoring, evaluation, and learning plans will be developed in early 2026 in cooperation with the S4I PMU and/or AoW‑5, and where needed will include baseline assessments and indicator tracking and reporting in line with Program and CGIAR guidelines.</v>
      </c>
      <c r="D34" s="11" t="str">
        <v xml:space="preserve"> Other Output</v>
      </c>
      <c r="E34" s="11" t="str">
        <v>Country: Colombia, Ethiopia, Philippines, Kenya</v>
      </c>
      <c r="F34" s="11">
        <v>320000000</v>
      </c>
      <c r="G34" s="11">
        <v>97825</v>
      </c>
      <c r="H34" s="11">
        <f>SUM(G34:G36)</f>
      </c>
      <c r="I34" s="11" t="str">
        <v>Strong continued engagement of DFIs and commercial banks in climate-smart investment design; functional collaboration between CGIAR Centers on data infrastructure and MRV integration; enabling policy and regulatory conditions that support sustainable fina</v>
      </c>
    </row>
    <row r="35" ht="50" customHeight="1" xml:space="preserve">
      <c r="A35" s="11" t="str">
        <v>AOW04</v>
      </c>
      <c r="C35" s="11" t="str" xml:space="preserve">
        <v xml:space="preserve">A4P8.1: PoD name: Leveraging World Bank Investments for Scaling Global Clearinghouse Innovations through the Scaling Strategy Support Team. Lead Center: Alliance of Bioversity and CIAT. PoD KPI: 100,000,000 – One hundred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Other output. Unit: USD leveraged for scaling through CGIAR influence, technical assistance, and/or advisory support.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v>
      </c>
      <c r="D35" s="11" t="str">
        <v xml:space="preserve"> Other Output</v>
      </c>
      <c r="E35" s="11" t="str">
        <v>Country: Kenya</v>
      </c>
      <c r="F35" s="11">
        <v>100000000</v>
      </c>
      <c r="G35" s="11">
        <v>52989</v>
      </c>
      <c r="I35" s="11" t="str">
        <v>Assumptions: World Bank and government partners sustain high demand for scaling integration; AICCRA 3 implementation begins on schedule; CGIAR Global Clearinghouse remains operational and accessible for innovation sourcing; and coordination between the Al</v>
      </c>
    </row>
    <row r="36" ht="50" customHeight="1" xml:space="preserve">
      <c r="A36" s="11" t="str">
        <v>AOW04</v>
      </c>
      <c r="C36" s="11" t="str" xml:space="preserve">
        <v xml:space="preserve">A4P8.2: PoD name: Leveraging World Bank Investments for Scaling Global Clearinghouse Innovations through the Scaling Strategy Support Team. Lead Center: Alliance of Bioversity and CIAT. PoD KPI: 1 – One Innovation Package Scaling Action Plan developed and operationalized within World Bank investment portfolios by end-2026 under AoW 4 CoA 4.2, embedding CGIAR and partner innovations into at least one major government-led agricultural or food-system program. Suggested Disaggregation: Not applicable; KPI counts innovations integrated into investments rather than numbers of individuals. Indicator type: Innovation Development. Unit: Number of innovations integrated into investments.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v>
      </c>
      <c r="D36" s="11" t="str">
        <v>Number of innovations (innovation development)</v>
      </c>
      <c r="E36" s="11" t="str">
        <v>Country: Kenya</v>
      </c>
      <c r="F36" s="11">
        <v>1</v>
      </c>
      <c r="G36" s="11">
        <v>36684</v>
      </c>
      <c r="I36" s="11" t="str">
        <v>AICCRA 3 is launched as planned in early 2026, ensuring continuity of collaboration with the World Bank; client governments sustain commitment to integrating CGIAR innovations; and innovation providers remain engaged through the Global Clearinghouse and o</v>
      </c>
    </row>
    <row r="37" ht="50" customHeight="1" xml:space="preserve">
      <c r="A37" s="11" t="str">
        <v>AOW04</v>
      </c>
      <c r="B37" s="11" t="str">
        <v>HLO 4.4.2: Innovation portfolio management and scaling strategy support teams</v>
      </c>
      <c r="C37" s="11" t="str" xml:space="preserve">
        <v xml:space="preserve">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Capacity Sharing Unit: Number of Partners.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v>
      </c>
      <c r="D37" s="11" t="str">
        <v>Number of people trained (capacity sharing for development)</v>
      </c>
      <c r="E37" s="11" t="str">
        <v>Country: Kenya</v>
      </c>
      <c r="F37" s="11">
        <v>3</v>
      </c>
      <c r="G37" s="11">
        <v>16304</v>
      </c>
      <c r="H37" s="11">
        <f>SUM(G37:G37)</f>
      </c>
      <c r="I37" s="11" t="str">
        <v>High-level endorsement from the World Bank's Global Lead for Scaling and national task teams; continued cross-Center collaboration within the Scaling for Impact and AICCRA frameworks; and stable operational support from the Global Clearinghouse for coordi</v>
      </c>
    </row>
    <row r="38" ht="25" customHeight="1">
      <c r="B38" s="15" t="str">
        <v>HLO budget subtotal</v>
      </c>
      <c r="H38" s="15">
        <f>SUM(H34:H37)</f>
      </c>
    </row>
    <row r="39" ht="50" customHeight="1" xml:space="preserve">
      <c r="A39" s="13" t="str">
        <v>AOW05</v>
      </c>
      <c r="B39" s="11" t="str">
        <v xml:space="preserve">HLO 5.5.1: Enhancing scaling science for societal impact </v>
      </c>
      <c r="C39" s="11" t="str" xml:space="preserve">
        <v xml:space="preserve">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Capacity Sharing.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v>
      </c>
      <c r="D39" s="11" t="str">
        <v>Number of people trained (capacity sharing for development)</v>
      </c>
      <c r="E39" s="11" t="str">
        <v>Country: Colombia, Guatemala</v>
      </c>
      <c r="F39" s="11">
        <v>5</v>
      </c>
      <c r="G39" s="11">
        <v>24000</v>
      </c>
      <c r="H39" s="11">
        <f>SUM(G39:G47)</f>
      </c>
      <c r="I39" s="11" t="str">
        <v>Continued regional engagement from key partners in Colombia and Guatemala; alignment with the CGIAR Global Scaling Network; and active cross-linkages with AoW 2 Flagships and AoW 5 CoA 5.5 to ensure operational integration and mutual learning.</v>
      </c>
    </row>
    <row r="40" ht="50" customHeight="1" xml:space="preserve">
      <c r="A40" s="11" t="str">
        <v>AOW05</v>
      </c>
      <c r="C40" s="11" t="str" xml:space="preserve">
        <v xml:space="preserve">A5P4.2: PoD name (Lead Center: Alliance of Bioversity and CIAT): LAC Regional Scaling Network for Learning and Exchange — KMC &amp; Repository. PoD KPI: 1 – One integrated regional KMC strategy delivered (repository live with initial content set) by the end of 2026. Suggested Disaggregation: Repository + starter pack (≥5 synthesis/communication products). Indicator type: Knowledge product; Unit: Number of strategies/pathways.
By the end of 2026, this package will deploy an integrated knowledge-management and communications strategy that includes a digital repository, synthesis notes, and storytelling products, all connected to CGIAR’s Learning for Impact Platform. This initiative will sustain regional learning and support the replication of responsible scaling approaches across Latin America and the Caribbean. The work will promote knowledge exchange and capacity building, ensuring that scaling strategies are informed by evidence and best practices. By fostering regional collaboration and enhancing access to key scaling tools, the PoD will contribute to the long-term success of agricultural innovations. Responsible Center: Alliance of Bioversity and CIAT. Anticipated partners: PLACA; IDB; IICA. Partner modality: In-kind content co-creation, platform promotion, and periodic updates; technical hosting aligned to CGIAR systems; no direct W1/2 fund flow. MELIA: Monitoring, evaluation, and learning plans will be developed in early 2026 in cooperation with the S4I PMU and/or AoW‑5, and where needed will include baseline assessments and indicator tracking and reporting in line with Program and CGIAR guidelines.</v>
      </c>
      <c r="D40" s="11" t="str">
        <v>Number of innovations (innovation development)</v>
      </c>
      <c r="E40" s="11" t="str">
        <v>Country: Colombia, Guatemala</v>
      </c>
      <c r="F40" s="11">
        <v>1</v>
      </c>
      <c r="G40" s="11">
        <v>20000</v>
      </c>
      <c r="I40" s="11" t="str">
        <v>Strong alignment and data sharing between AoW 2 and AoW 5 teams; active participation from regional partners; and institutional support from CGIAR Centers and regional ministries to integrate findings into practice.</v>
      </c>
    </row>
    <row r="41" ht="50" customHeight="1" xml:space="preserve">
      <c r="A41" s="11" t="str">
        <v>AOW05</v>
      </c>
      <c r="C41" s="11" t="str" xml:space="preserve">
        <v xml:space="preserve">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1,000 women and youth (50%), 500 marginalized groups (25%), 500 other individuals (25%). Indicator type: Capacity Sharing; Unit: Number of workshop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v>
      </c>
      <c r="D41" s="11" t="str">
        <v>Number of people trained (capacity sharing for development)</v>
      </c>
      <c r="E41" s="11" t="str">
        <v>Country: Colombia, Guatemala</v>
      </c>
      <c r="F41" s="11">
        <v>2</v>
      </c>
      <c r="G41" s="11">
        <v>20000</v>
      </c>
      <c r="I41" s="11" t="str">
        <v>Strong regional commitment from CGIAR centers and PLACA; availability of co-funding for events; and continued demand for structured South–South learning and scaling science capacity building in the LAC region.</v>
      </c>
    </row>
    <row r="42" ht="50" customHeight="1" xml:space="preserve">
      <c r="A42" s="11" t="str">
        <v>AOW05</v>
      </c>
      <c r="C42" s="11" t="str" xml:space="preserve">
        <v xml:space="preserve">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1,500 women and youth (50%), 500 marginalized groups (25%), 500 other individuals (25%). Indicator type: Knowledge product; Unit: Number of publications.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v>
      </c>
      <c r="D42" s="11" t="str">
        <v>Number of knowledge products</v>
      </c>
      <c r="E42" s="11" t="str">
        <v>Country: Guatemala, Colombia</v>
      </c>
      <c r="F42" s="11">
        <v>3</v>
      </c>
      <c r="G42" s="11">
        <v>20000</v>
      </c>
      <c r="I42" s="11" t="str">
        <v>Sustained partner engagement in Colombia and Guatemala; alignment with AoW 2 Flagship teams; and availability of technical and editorial support to ensure timely production and publication of outputs.</v>
      </c>
    </row>
    <row r="43" ht="50" customHeight="1" xml:space="preserve">
      <c r="A43" s="11" t="str">
        <v>AOW05</v>
      </c>
      <c r="C43" s="11" t="str" xml:space="preserve">
        <v xml:space="preserve">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500 women and youth (50%), 200 marginalized groups (20%), 300 other individuals (30%).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v>
      </c>
      <c r="D43" s="11" t="str">
        <v>Number of knowledge products</v>
      </c>
      <c r="E43" s="11" t="str">
        <v>Country: Colombia, Guatemala</v>
      </c>
      <c r="F43" s="11">
        <v>1</v>
      </c>
      <c r="G43" s="11">
        <v>20000</v>
      </c>
      <c r="I43" s="11" t="str">
        <v>Sustained support from the CGIAR Learning for Impact Platform team; collaboration from regional partners and AoW 2 Flagships for content integration; and alignment with CGIAR's broader communication and digital learning architecture.</v>
      </c>
    </row>
    <row r="44" ht="50" customHeight="1" xml:space="preserve">
      <c r="A44" s="11" t="str">
        <v>AOW05</v>
      </c>
      <c r="C44" s="11" t="str" xml:space="preserve">
        <v xml:space="preserve">A5P8.1: PoD name: Dynamic Learning Strategy and Learning Fund for AoW2 Flagships. Lead Center: Alliance of Bioversity and CIAT. PoD KPI: 3 – Three Dynamic Learning workshops completed by the end of 2026, with customized learning plans operationalized across AoW 2 solution tracks. Suggested Disaggregation: 1,200 women and youth (40%), 300 marginalized groups (10%), 1,500 other individuals (50%).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v>
      </c>
      <c r="D44" s="11" t="str">
        <v>Number of people trained (capacity sharing for development)</v>
      </c>
      <c r="E44" s="11" t="str">
        <v>Global</v>
      </c>
      <c r="F44" s="11">
        <v>3</v>
      </c>
      <c r="G44" s="11">
        <v>0</v>
      </c>
    </row>
    <row r="45" ht="50" customHeight="1" xml:space="preserve">
      <c r="A45" s="11" t="str">
        <v>AOW05</v>
      </c>
      <c r="C45" s="11" t="str" xml:space="preserve">
        <v xml:space="preserve">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600 women and youth (40%), 150 marginalized groups (10%), 750 other individuals (50%).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v>
      </c>
      <c r="D45" s="11" t="str">
        <v>Number of knowledge products</v>
      </c>
      <c r="E45" s="11" t="str">
        <v>Global</v>
      </c>
      <c r="F45" s="11">
        <v>1</v>
      </c>
      <c r="G45" s="11">
        <v>0</v>
      </c>
    </row>
    <row r="46" ht="50" customHeight="1" xml:space="preserve">
      <c r="A46" s="11" t="str">
        <v>AOW05</v>
      </c>
      <c r="C46" s="11" t="str" xml:space="preserve">
        <v xml:space="preserve">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500 women and youth (40%), 200 marginalized groups (10%), 1,300 other individuals (50%).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v>
      </c>
      <c r="D46" s="11" t="str">
        <v>Number of innovations (innovation development)</v>
      </c>
      <c r="E46" s="11" t="str">
        <v>Global</v>
      </c>
      <c r="F46" s="11">
        <v>1</v>
      </c>
      <c r="G46" s="11">
        <v>0</v>
      </c>
    </row>
    <row r="47" ht="50" customHeight="1" xml:space="preserve">
      <c r="A47" s="11" t="str">
        <v>AOW05</v>
      </c>
      <c r="C47" s="11" t="str" xml:space="preserve">
        <v xml:space="preserve">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A pilot connection with the RAMP Acceleration Program will expand learning linkages and enable identification of potential solutions through systematic monitoring and analytics.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and the RAMP Acceleration Program. MELIA: Monitoring, evaluation, and learning plans will be developed in early 2026 in cooperation with the S4I PMU and/or AoW‑5, and where needed will include baseline assessments and indicator tracking and reporting in line with Program and CGIAR guidelines.</v>
      </c>
      <c r="D47" s="11" t="str">
        <v>Number of knowledge products</v>
      </c>
      <c r="E47" s="11" t="str">
        <v>Country: Colombia</v>
      </c>
      <c r="F47" s="11">
        <v>5</v>
      </c>
      <c r="G47" s="11">
        <v>95992</v>
      </c>
      <c r="I47" s="11" t="str">
        <v>Number of Workshops; Number of Reports</v>
      </c>
    </row>
    <row r="48" ht="25" customHeight="1">
      <c r="B48" s="15" t="str">
        <v>HLO budget subtotal</v>
      </c>
      <c r="H48" s="15">
        <f>SUM(H39:H47)</f>
      </c>
    </row>
  </sheetData>
  <mergeCells count="31">
    <mergeCell ref="A1:A2"/>
    <mergeCell ref="B1:B2"/>
    <mergeCell ref="C1:G1"/>
    <mergeCell ref="H1:H2"/>
    <mergeCell ref="I1:I2"/>
    <mergeCell ref="B5:B8"/>
    <mergeCell ref="H5:H8"/>
    <mergeCell ref="B9:G9"/>
    <mergeCell ref="A3:A9"/>
    <mergeCell ref="B10:B15"/>
    <mergeCell ref="H10:H15"/>
    <mergeCell ref="B16:B20"/>
    <mergeCell ref="H16:H20"/>
    <mergeCell ref="B21:B25"/>
    <mergeCell ref="H21:H25"/>
    <mergeCell ref="B26:G26"/>
    <mergeCell ref="A10:A26"/>
    <mergeCell ref="B27:B28"/>
    <mergeCell ref="H27:H28"/>
    <mergeCell ref="B29:B32"/>
    <mergeCell ref="H29:H32"/>
    <mergeCell ref="B33:G33"/>
    <mergeCell ref="A27:A33"/>
    <mergeCell ref="B34:B36"/>
    <mergeCell ref="H34:H36"/>
    <mergeCell ref="B38:G38"/>
    <mergeCell ref="A34:A38"/>
    <mergeCell ref="B39:B47"/>
    <mergeCell ref="H39:H47"/>
    <mergeCell ref="B48:G48"/>
    <mergeCell ref="A39:A48"/>
  </mergeCells>
  <ignoredErrors>
    <ignoredError numberStoredAsText="1" sqref="A1:I48"/>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xml:space="preserve">
      <c r="A2" s="12" t="str">
        <v>AOW01</v>
      </c>
      <c r="B2" s="11" t="str">
        <v>Unknown Center</v>
      </c>
      <c r="C2" s="11" t="str">
        <v>HLO 1.1.2: Feedback and adaptive research and scaling prioritization, HLO 1.1.3: Enhance strategies and coordination, HLO 1.1.1: Demand signaling</v>
      </c>
      <c r="D2" s="11" t="str">
        <v>Colombia,Colombia,Ethiopia,Guatemala,Guatemala,Kenya,Malawi,Zambia</v>
      </c>
      <c r="E2" s="11">
        <v>10000</v>
      </c>
      <c r="F2" s="11" t="str" xml:space="preserve">
        <v xml:space="preserve">Placeholder budget for unown centre from activity AKIS-DS: Agrifood knowledge and innovation systems for demand-driven scaling
</v>
      </c>
    </row>
    <row r="3" ht="25" customHeight="1">
      <c r="B3" s="14" t="str">
        <v>Contracted partners subtotal</v>
      </c>
      <c r="E3" s="14">
        <f>SUM(E2:E2)</f>
      </c>
    </row>
    <row r="4" ht="70" customHeight="1">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Colombia,Colombia,Ethiopia,Guatemala,Guatemala,Kenya,Malawi,Zambia</v>
      </c>
      <c r="E4" s="11">
        <v>156000</v>
      </c>
      <c r="F4" s="11" t="str">
        <v xml:space="preserve">Plcaeholder budget for potential partners!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Colombia,Colombia,Ethiopia,Guatemala,Guatemala,Kenya,Malawi,Zambia</v>
      </c>
      <c r="E6" s="11">
        <v>0</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Colombia,Colombia,Ethiopia,Guatemala,Guatemala,Kenya,Malawi,Zambia</v>
      </c>
      <c r="E8" s="11">
        <v>0</v>
      </c>
    </row>
    <row r="9" ht="25" customHeight="1">
      <c r="B9" s="14" t="str">
        <v>Contracted partners subtotal</v>
      </c>
      <c r="E9" s="14">
        <f>SUM(E8:E8)</f>
      </c>
    </row>
    <row r="10" ht="70" customHeight="1">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Colombia,Colombia,Ethiopia,Guatemala,Guatemala,Kenya,Malawi,Zambia</v>
      </c>
      <c r="E10" s="11">
        <v>0</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0"/>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Accelerating the commercialization of climate resilient and nutrient dense bean varieties in Kenya and Malawi package of deliverables in Area of Work 2.</v>
      </c>
      <c r="B2" s="19" t="str">
        <v>AOW02</v>
      </c>
      <c r="C2" s="18" t="str">
        <v>HLO 2.2.3: Nutrition-smart crop and livestock systems and inclusive food markets, with increased jobs, improved livelihoods, and enhanced access for women and youth to diverse, safe, and affordable diets.</v>
      </c>
      <c r="D2" s="19">
        <v>0</v>
      </c>
      <c r="E2" s="19" t="str">
        <f>=SUM(D2:D2)</f>
        <v>0</v>
      </c>
    </row>
    <row r="3" ht="30" customHeight="1">
      <c r="A3" s="18" t="str">
        <v>This MELIA study will support dynamic learning and adaptive evaluation of the progress towards targeted deliverables and inform improvements in implementation from learning in the Scaling Climate-Smart Agro-Advisories through the Shamba Shape Up Content Generation Platform package of deliverables in Area of Work 2.</v>
      </c>
      <c r="B3" s="19" t="str">
        <v>AOW02</v>
      </c>
      <c r="C3" s="18" t="str">
        <v>HLO 2.2.1: Access climate services and smart water management tools that improve adaptation decisions and resource efficiency.</v>
      </c>
      <c r="D3" s="19">
        <v>0</v>
      </c>
      <c r="E3" s="19" t="str">
        <f>=SUM(D3:D3)</f>
        <v>0</v>
      </c>
    </row>
    <row r="4" ht="30" customHeight="1">
      <c r="A4" s="18" t="str">
        <v>This MELIA study will support dynamic learning and adaptive evaluation of the progress towards targeted deliverables and inform improvements in implementation from learning in the Scaling climate-smart water and soil solution bundles through participatory and inclusive innovations in Guatemala and Colombia.  package of deliverables in Area of Work 2.</v>
      </c>
      <c r="B4" s="19" t="str">
        <v>AOW02</v>
      </c>
      <c r="C4" s="18" t="str">
        <v>HLO 2.2.1: Access climate services and smart water management tools that improve adaptation decisions and resource efficiency.</v>
      </c>
      <c r="D4" s="19">
        <v>0</v>
      </c>
      <c r="E4" s="19" t="str">
        <f>=SUM(D4:D4)</f>
        <v>0</v>
      </c>
    </row>
    <row r="5" ht="30" customHeight="1">
      <c r="A5" s="18" t="str">
        <v>This MELIA study will support dynamic learning and adaptive evaluation of the progress towards targeted deliverables and inform improvements in implementation from learning in the Scaling Integrated Digital Climate Advisory Services for 6 million Farmers through PPP in Kenya package of deliverables in Area of Work 2.</v>
      </c>
      <c r="B5" s="19" t="str">
        <v>AOW02</v>
      </c>
      <c r="C5" s="18" t="str">
        <v>HLO 2.2.1: Access climate services and smart water management tools that improve adaptation decisions and resource efficiency.</v>
      </c>
      <c r="D5" s="19">
        <v>0</v>
      </c>
      <c r="E5" s="19" t="str">
        <f>=SUM(D5:D5)</f>
        <v>0</v>
      </c>
    </row>
    <row r="6" ht="30" customHeight="1" xml:space="preserve">
      <c r="A6" s="18" t="str" xml:space="preserve">
        <v xml:space="preserve">"This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v>
      </c>
      <c r="B6" s="19" t="str">
        <v>AOW05</v>
      </c>
      <c r="C6" s="18" t="str">
        <v xml:space="preserve">HLO 5.5.1: Enhancing scaling science for societal impact </v>
      </c>
      <c r="D6" s="19">
        <v>0</v>
      </c>
      <c r="E6" s="19" t="str">
        <f>=SUM(D6:D6)</f>
        <v>0</v>
      </c>
    </row>
    <row r="7" ht="30" customHeight="1" xml:space="preserve">
      <c r="A7" s="18" t="str" xml:space="preserve">
        <v xml:space="preserve">"Dynamic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v>
      </c>
      <c r="B7" s="19" t="str">
        <v>AOW05</v>
      </c>
      <c r="C7" s="18" t="str">
        <v xml:space="preserve">HLO 5.5.1: Enhancing scaling science for societal impact </v>
      </c>
      <c r="D7" s="19">
        <v>22000</v>
      </c>
      <c r="E7" s="19" t="str">
        <f>=SUM(D7:D7)</f>
        <v>0</v>
      </c>
      <c r="F7" s="19" t="str">
        <v>Assumptions: active engagement from AoW 2 Flagship leads; sustained support from program management; and alignment with CGIAR's broader learning and scaling frameworks to ensure institutional adoption.</v>
      </c>
    </row>
    <row r="8" ht="30" customHeight="1" xml:space="preserve">
      <c r="A8" s="18" t="str" xml:space="preserve">
        <v xml:space="preserve">"Dynamic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v>
      </c>
      <c r="B8" s="19" t="str">
        <v>AOW05</v>
      </c>
      <c r="C8" s="18" t="str">
        <v xml:space="preserve">HLO 5.5.1: Enhancing scaling science for societal impact </v>
      </c>
      <c r="D8" s="19">
        <v>22000</v>
      </c>
      <c r="E8" s="19" t="str">
        <f>=SUM(D8:D8)</f>
        <v>0</v>
      </c>
      <c r="F8" s="19" t="str">
        <v>Assumptions: active engagement from AoW 2 Flagship leads; sustained support from program management; and alignment with CGIAR's broader learning and scaling frameworks to ensure institutional adoption.</v>
      </c>
    </row>
    <row r="9" ht="30" customHeight="1" xml:space="preserve">
      <c r="A9" s="18" t="str" xml:space="preserve">
        <v xml:space="preserve">"Within this capability, we will develop and implement a Monitoring, Evaluation, Learning, and Impact Assessment (MELIA) system to ensure evidence generation, learning, and adaptive management across all Flagships and Scaling Solution Tracks globally.
Progress for each track will combine qualitative methodologies, such as Outcome Impact Case Reports (OICRs)—which document achievements within CGIAR’s sphere of influence through quantitative evidence, narrative synthesis, and verifiable references—together with quantitative digital monitoring via a Monitoring Decision-Support Tool (DST) that harmonizes scaling data across AoW2 Flagships.
A pilot connection will be established with the RAMP Acceleration Program, enabling the identification of potential solutions for this program through systematic tracking and analysis."</v>
      </c>
      <c r="B9" s="19" t="str">
        <v>AOW05</v>
      </c>
      <c r="C9" s="18" t="str">
        <v xml:space="preserve">HLO 5.5.1: Enhancing scaling science for societal impact </v>
      </c>
      <c r="D9" s="19">
        <v>0</v>
      </c>
      <c r="E9" s="19" t="str">
        <f>=SUM(D9:D9)</f>
        <v>0</v>
      </c>
    </row>
    <row r="10" ht="30" customHeight="1">
      <c r="A10" s="3" t="str">
        <v>MELIA Studies Budget subtotal</v>
      </c>
      <c r="E10" s="3">
        <f>SUM(E2:E9)</f>
      </c>
    </row>
  </sheetData>
  <mergeCells count="1">
    <mergeCell ref="A10:D10"/>
  </mergeCells>
  <ignoredErrors>
    <ignoredError numberStoredAsText="1" sqref="A1:F10"/>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110000</v>
      </c>
      <c r="C2" s="20">
        <v>10000</v>
      </c>
      <c r="D2" s="20">
        <v>156000</v>
      </c>
      <c r="E2" s="20">
        <v>0</v>
      </c>
      <c r="F2" s="20">
        <v>0</v>
      </c>
      <c r="G2" s="20">
        <v>0</v>
      </c>
      <c r="H2" s="20" t="str">
        <f>=SUM(B2:G2)</f>
        <v>0</v>
      </c>
    </row>
    <row r="3" ht="20" customHeight="1">
      <c r="A3" s="20" t="str">
        <v>Operations (supplies, consultants, travels, workshops, other)</v>
      </c>
      <c r="B3" s="20">
        <v>285000</v>
      </c>
      <c r="C3" s="20">
        <v>40000</v>
      </c>
      <c r="D3" s="20">
        <v>337455</v>
      </c>
      <c r="E3" s="20">
        <v>103713</v>
      </c>
      <c r="F3" s="20">
        <v>75000</v>
      </c>
      <c r="G3" s="20">
        <v>74978</v>
      </c>
      <c r="H3" s="20" t="str">
        <f>=SUM(B3:G3)</f>
        <v>0</v>
      </c>
    </row>
    <row r="4" ht="20" customHeight="1">
      <c r="A4" s="20" t="str">
        <v>Staffing, Chargebacks and Indirect</v>
      </c>
      <c r="B4" s="20">
        <v>130321</v>
      </c>
      <c r="C4" s="20">
        <v>190000</v>
      </c>
      <c r="D4" s="20">
        <v>993348</v>
      </c>
      <c r="E4" s="20">
        <v>203795</v>
      </c>
      <c r="F4" s="20">
        <v>128802</v>
      </c>
      <c r="G4" s="20">
        <v>213014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