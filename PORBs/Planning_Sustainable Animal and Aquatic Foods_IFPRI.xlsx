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Productivity+</v>
      </c>
      <c r="B5" s="2">
        <v>0</v>
      </c>
      <c r="C5" s="5">
        <v>0</v>
      </c>
      <c r="D5" s="2">
        <v>0</v>
      </c>
      <c r="E5" s="5">
        <v>0</v>
      </c>
      <c r="F5" s="2">
        <v>0</v>
      </c>
      <c r="G5" s="5">
        <v>0</v>
      </c>
      <c r="H5" s="2">
        <v>0</v>
      </c>
      <c r="I5" s="5">
        <v>0</v>
      </c>
      <c r="J5" s="5">
        <v>0</v>
      </c>
      <c r="K5" s="5">
        <v>0</v>
      </c>
      <c r="L5" s="5">
        <v>0</v>
      </c>
      <c r="M5" s="5">
        <v>0</v>
      </c>
    </row>
    <row r="6" ht="20" customHeight="1">
      <c r="A6" s="2" t="str">
        <v>AOW02: Climate and the Environment</v>
      </c>
      <c r="B6" s="2">
        <v>0</v>
      </c>
      <c r="C6" s="5">
        <v>0</v>
      </c>
      <c r="D6" s="2">
        <v>0</v>
      </c>
      <c r="E6" s="5">
        <v>0</v>
      </c>
      <c r="F6" s="2">
        <v>0</v>
      </c>
      <c r="G6" s="5">
        <v>0</v>
      </c>
      <c r="H6" s="2">
        <v>0</v>
      </c>
      <c r="I6" s="5">
        <v>0</v>
      </c>
      <c r="J6" s="5">
        <v>0</v>
      </c>
      <c r="K6" s="5">
        <v>0</v>
      </c>
      <c r="L6" s="5">
        <v>0</v>
      </c>
      <c r="M6" s="5">
        <v>0</v>
      </c>
    </row>
    <row r="7" ht="20" customHeight="1">
      <c r="A7" s="2" t="str">
        <v>AOW03: One Health</v>
      </c>
      <c r="B7" s="2">
        <v>0</v>
      </c>
      <c r="C7" s="5">
        <v>0</v>
      </c>
      <c r="D7" s="2">
        <v>7</v>
      </c>
      <c r="E7" s="5">
        <v>324204</v>
      </c>
      <c r="F7" s="2">
        <v>0</v>
      </c>
      <c r="G7" s="5">
        <v>0</v>
      </c>
      <c r="H7" s="2">
        <v>0</v>
      </c>
      <c r="I7" s="5">
        <v>0</v>
      </c>
      <c r="J7" s="5">
        <v>0</v>
      </c>
      <c r="K7" s="5">
        <v>0</v>
      </c>
      <c r="L7" s="5">
        <v>324204</v>
      </c>
      <c r="M7" s="5">
        <v>0</v>
      </c>
    </row>
    <row r="8" ht="20" customHeight="1">
      <c r="A8" s="2" t="str">
        <v>AOW04: Market Systems, Policy Solutions and Scaling</v>
      </c>
      <c r="B8" s="2">
        <v>0</v>
      </c>
      <c r="C8" s="5">
        <v>0</v>
      </c>
      <c r="D8" s="2">
        <v>0</v>
      </c>
      <c r="E8" s="5">
        <v>0</v>
      </c>
      <c r="F8" s="2">
        <v>0</v>
      </c>
      <c r="G8" s="5">
        <v>0</v>
      </c>
      <c r="H8" s="2">
        <v>0</v>
      </c>
      <c r="I8" s="5">
        <v>0</v>
      </c>
      <c r="J8" s="5">
        <v>0</v>
      </c>
      <c r="K8" s="5">
        <v>0</v>
      </c>
      <c r="L8" s="5">
        <v>0</v>
      </c>
      <c r="M8" s="5">
        <v>0</v>
      </c>
    </row>
    <row r="9" ht="20" customHeight="1">
      <c r="A9" s="2" t="str">
        <v>AOW05: Gender, Youth and Social Inclusion</v>
      </c>
      <c r="B9" s="2">
        <v>0</v>
      </c>
      <c r="C9" s="5">
        <v>0</v>
      </c>
      <c r="D9" s="2">
        <v>0</v>
      </c>
      <c r="E9" s="5">
        <v>0</v>
      </c>
      <c r="F9" s="2">
        <v>0</v>
      </c>
      <c r="G9" s="5">
        <v>0</v>
      </c>
      <c r="H9" s="2">
        <v>0</v>
      </c>
      <c r="I9" s="5">
        <v>0</v>
      </c>
      <c r="J9" s="5">
        <v>0</v>
      </c>
      <c r="K9" s="5">
        <v>0</v>
      </c>
      <c r="L9" s="5">
        <v>0</v>
      </c>
      <c r="M9" s="5">
        <v>0</v>
      </c>
    </row>
    <row r="10" ht="20" customHeight="1">
      <c r="A10" s="2" t="str">
        <v>AOW06: Data and Digital Solutions</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AOW Leads</v>
      </c>
      <c r="C2" s="11" t="str">
        <v>Six (6) AOW Leads averaging 21.67% FTE</v>
      </c>
      <c r="D2" s="11">
        <v>0</v>
      </c>
    </row>
    <row r="3" ht="45" customHeight="1">
      <c r="A3" s="11" t="str">
        <v>AOW00</v>
      </c>
      <c r="B3" s="11" t="str">
        <v>Program Meetings and Workshops</v>
      </c>
      <c r="C3" s="11" t="str">
        <v>In-person progress, review, or planning meetings for program leadership, including the annual pause and reflect event</v>
      </c>
      <c r="D3" s="11">
        <v>0</v>
      </c>
    </row>
    <row r="4" ht="45" customHeight="1">
      <c r="A4" s="11" t="str">
        <v>AOW00</v>
      </c>
      <c r="B4" s="11" t="str">
        <v>Program Director Discretionary</v>
      </c>
      <c r="C4" s="11" t="str">
        <v>As directed by the SO; funds for consultants, meetings, travel, workshops, supplies, and other admin support needed by the Program Director in 2026 to address emerging opportunities and gaps or strategic program level issues</v>
      </c>
      <c r="D4" s="11">
        <v>0</v>
      </c>
    </row>
    <row r="5" ht="45" customHeight="1">
      <c r="A5" s="11" t="str">
        <v>AOW00</v>
      </c>
      <c r="B5" s="11" t="str">
        <v>Program Director Operations Costs</v>
      </c>
      <c r="C5" s="11" t="str">
        <v>As instructed by the SO; Travel, consultants, supplies, admin support, meetings or workshops required by the Director to perform their role</v>
      </c>
      <c r="D5" s="11">
        <v>0</v>
      </c>
    </row>
    <row r="6" ht="45" customHeight="1">
      <c r="A6" s="11" t="str">
        <v>AOW00</v>
      </c>
      <c r="B6" s="11" t="str">
        <v>Other PMU Operations</v>
      </c>
      <c r="C6" s="11" t="str">
        <v>Travel, office supplies, and other charge-backs for PMU team</v>
      </c>
      <c r="D6" s="11">
        <v>0</v>
      </c>
    </row>
    <row r="7" ht="45" customHeight="1">
      <c r="A7" s="11" t="str">
        <v>AOW00</v>
      </c>
      <c r="B7" s="11" t="str">
        <v>SO Central Finance Funds</v>
      </c>
      <c r="C7" s="11" t="str">
        <v>As required by the SO</v>
      </c>
      <c r="D7" s="11">
        <v>0</v>
      </c>
    </row>
    <row r="8" ht="45" customHeight="1">
      <c r="A8" s="11" t="str">
        <v>AOW00</v>
      </c>
      <c r="B8" s="11" t="str">
        <v>Program MELIA Funds</v>
      </c>
      <c r="C8" s="11" t="str">
        <v>Program funds for implementation of the MELIA plan</v>
      </c>
      <c r="D8" s="11">
        <v>0</v>
      </c>
    </row>
    <row r="9" ht="45" customHeight="1">
      <c r="A9" s="11" t="str">
        <v>AOW00</v>
      </c>
      <c r="B9" s="11" t="str">
        <v>Program Communications Operations</v>
      </c>
      <c r="C9" s="11" t="str">
        <v>Program communications funds to implement CKM strategy</v>
      </c>
      <c r="D9" s="11">
        <v>0</v>
      </c>
    </row>
    <row r="10" ht="45" customHeight="1">
      <c r="A10" s="11" t="str">
        <v>AOW00</v>
      </c>
      <c r="B10" s="11" t="str">
        <v>PMU Team</v>
      </c>
      <c r="C10" s="11" t="str">
        <v>Staff fees for Program Coordinator (50%), Program MELIA Focal Point (20%) and Program CKM Lead (50%) and any other administrative roles/needs</v>
      </c>
      <c r="D10" s="11">
        <v>0</v>
      </c>
    </row>
    <row r="11" ht="45" customHeight="1">
      <c r="A11" s="11" t="str">
        <v>AOW00</v>
      </c>
      <c r="B11" s="11" t="str">
        <v>Program Director Staff Costs</v>
      </c>
      <c r="C11" s="11" t="str">
        <v>100% FTE Program Director and associated cost recovery</v>
      </c>
      <c r="D11" s="11">
        <v>0</v>
      </c>
    </row>
  </sheetData>
  <mergeCells count="1">
    <mergeCell ref="A2:A11"/>
  </mergeCells>
  <ignoredErrors>
    <ignoredError numberStoredAsText="1" sqref="A1:E11"/>
  </ignoredErrors>
</worksheet>
</file>

<file path=xl/worksheets/sheet3.xml><?xml version="1.0" encoding="utf-8"?>
<worksheet xmlns="http://schemas.openxmlformats.org/spreadsheetml/2006/main" xmlns:r="http://schemas.openxmlformats.org/officeDocument/2006/relationships">
  <dimension ref="A1:I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3.1 - Targeted innovations and incentives to reduce zoonotic diseases</v>
      </c>
      <c r="C3" s="11" t="str">
        <v xml:space="preserve">Vietnam One Health Lab: Evidence on distributional impact of curtailing demand for wildlife products </v>
      </c>
      <c r="D3" s="11" t="str">
        <v>Number of knowledge products</v>
      </c>
      <c r="E3" s="11" t="str">
        <v>Country: The Socialist Republic of Viet Nam</v>
      </c>
      <c r="F3" s="11">
        <v>1</v>
      </c>
      <c r="G3" s="11">
        <v>124204</v>
      </c>
      <c r="H3" s="11">
        <f>SUM(G3:G3)</f>
      </c>
      <c r="I3" s="11" t="str">
        <v>The best information available</v>
      </c>
    </row>
    <row r="4" ht="50" customHeight="1">
      <c r="A4" s="11" t="str">
        <v>AOW03</v>
      </c>
      <c r="B4" s="11" t="str">
        <v xml:space="preserve">HLO 3.2 - Target innovations and incentives to improve food safety in informal markets and better nutrition </v>
      </c>
      <c r="C4" s="11" t="str">
        <v>From abattoirs to consumers: Stakeholder mapping and process report</v>
      </c>
      <c r="D4" s="11" t="str">
        <v>Number of knowledge products</v>
      </c>
      <c r="E4" s="11" t="str">
        <v>Country: Kenya</v>
      </c>
      <c r="F4" s="11">
        <v>1</v>
      </c>
      <c r="G4" s="11">
        <v>10000</v>
      </c>
      <c r="H4" s="11">
        <f>SUM(G4:G9)</f>
      </c>
      <c r="I4" s="11" t="str">
        <v>The best information available</v>
      </c>
    </row>
    <row r="5" ht="50" customHeight="1">
      <c r="A5" s="11" t="str">
        <v>AOW03</v>
      </c>
      <c r="C5" s="11" t="str">
        <v>Vietnam One Health Lab: Evidence on stakeholder acceptability of decontamination</v>
      </c>
      <c r="D5" s="11" t="str">
        <v>Number of knowledge products</v>
      </c>
      <c r="E5" s="11" t="str">
        <v>Country: The Socialist Republic of Viet Nam</v>
      </c>
      <c r="F5" s="11">
        <v>1</v>
      </c>
      <c r="G5" s="11">
        <v>50000</v>
      </c>
      <c r="I5" s="11" t="str">
        <v>The best information available</v>
      </c>
    </row>
    <row r="6" ht="50" customHeight="1">
      <c r="A6" s="11" t="str">
        <v>AOW03</v>
      </c>
      <c r="C6" s="11" t="str">
        <v>From abattoirs to consumers: Stakeholder mapping and process report</v>
      </c>
      <c r="D6" s="11" t="str">
        <v>Number of knowledge products</v>
      </c>
      <c r="E6" s="11" t="str">
        <v>Country: Ethiopia</v>
      </c>
      <c r="F6" s="11">
        <v>1</v>
      </c>
      <c r="G6" s="11">
        <v>15000</v>
      </c>
      <c r="I6" s="11" t="str">
        <v>The best information available</v>
      </c>
    </row>
    <row r="7" ht="50" customHeight="1">
      <c r="A7" s="11" t="str">
        <v>AOW03</v>
      </c>
      <c r="C7" s="11" t="str">
        <v>From abattoirs to consumers:  Reports on stakeholder engagement and CGIAR-supported piloting related to the decontamination of meat</v>
      </c>
      <c r="D7" s="11" t="str">
        <v>Number of knowledge products</v>
      </c>
      <c r="E7" s="11" t="str">
        <v>Country: Ethiopia</v>
      </c>
      <c r="F7" s="11">
        <v>1</v>
      </c>
      <c r="G7" s="11">
        <v>25000</v>
      </c>
      <c r="I7" s="11" t="str">
        <v>The best information available</v>
      </c>
    </row>
    <row r="8" ht="50" customHeight="1">
      <c r="A8" s="11" t="str">
        <v>AOW03</v>
      </c>
      <c r="C8" s="11" t="str">
        <v>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v>
      </c>
      <c r="D8" s="11" t="str">
        <v>Number of knowledge products</v>
      </c>
      <c r="E8" s="11" t="str">
        <v>Country: Kenya</v>
      </c>
      <c r="F8" s="11">
        <v>1</v>
      </c>
      <c r="G8" s="11">
        <v>50000</v>
      </c>
      <c r="I8" s="11" t="str">
        <v>The best information available</v>
      </c>
    </row>
    <row r="9" ht="50" customHeight="1">
      <c r="A9" s="11" t="str">
        <v>AOW03</v>
      </c>
      <c r="C9" s="11" t="str">
        <v>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v>
      </c>
      <c r="D9" s="11" t="str">
        <v>Number of knowledge products</v>
      </c>
      <c r="E9" s="11" t="str">
        <v>Country: Kenya</v>
      </c>
      <c r="F9" s="11">
        <v>1</v>
      </c>
      <c r="G9" s="11">
        <v>50000</v>
      </c>
      <c r="I9" s="11" t="str">
        <v>The best information available</v>
      </c>
    </row>
    <row r="10" ht="25" customHeight="1">
      <c r="B10" s="14" t="str">
        <v>HLO budget subtotal</v>
      </c>
      <c r="H10" s="15">
        <f>SUM(H3:H9)</f>
      </c>
    </row>
  </sheetData>
  <mergeCells count="9">
    <mergeCell ref="A1:A2"/>
    <mergeCell ref="B1:B2"/>
    <mergeCell ref="C1:G1"/>
    <mergeCell ref="H1:H2"/>
    <mergeCell ref="I1:I2"/>
    <mergeCell ref="B4:B9"/>
    <mergeCell ref="H4:H9"/>
    <mergeCell ref="B10:G10"/>
    <mergeCell ref="A3:A10"/>
  </mergeCells>
  <ignoredErrors>
    <ignoredError numberStoredAsText="1" sqref="A1:I1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Meat decontamination efficacy trial</v>
      </c>
      <c r="B2" s="19" t="str">
        <v>AOW00</v>
      </c>
      <c r="C2" s="18" t="str">
        <v>PO3 - Communities within animal and aquatic food systems adopt innovations for increased social, economic and environmental resilience</v>
      </c>
      <c r="D2" s="19">
        <v>0</v>
      </c>
      <c r="E2" s="19" t="str">
        <f>=SUM(D2:D2)</f>
        <v>0</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0</v>
      </c>
      <c r="D2" s="20">
        <v>0</v>
      </c>
      <c r="E2" s="20">
        <v>82203</v>
      </c>
      <c r="F2" s="20">
        <v>0</v>
      </c>
      <c r="G2" s="20">
        <v>0</v>
      </c>
      <c r="H2" s="20">
        <v>0</v>
      </c>
      <c r="I2" s="20" t="str">
        <f>=SUM(B2:H2)</f>
        <v>0</v>
      </c>
    </row>
    <row r="3" ht="20" customHeight="1">
      <c r="A3" s="20" t="str">
        <v>Operations (supplies, consultants, travels, workshops, other)</v>
      </c>
      <c r="B3" s="20">
        <v>0</v>
      </c>
      <c r="C3" s="20">
        <v>0</v>
      </c>
      <c r="D3" s="20">
        <v>0</v>
      </c>
      <c r="E3" s="20">
        <v>8548</v>
      </c>
      <c r="F3" s="20">
        <v>0</v>
      </c>
      <c r="G3" s="20">
        <v>0</v>
      </c>
      <c r="H3" s="20">
        <v>0</v>
      </c>
      <c r="I3" s="20" t="str">
        <f>=SUM(B3:H3)</f>
        <v>0</v>
      </c>
    </row>
    <row r="4" ht="20" customHeight="1">
      <c r="A4" s="20" t="str">
        <v>Staffing, Chargebacks and Indirect</v>
      </c>
      <c r="B4" s="20">
        <v>0</v>
      </c>
      <c r="C4" s="20">
        <v>0</v>
      </c>
      <c r="D4" s="20">
        <v>0</v>
      </c>
      <c r="E4" s="20">
        <v>233453</v>
      </c>
      <c r="F4" s="20">
        <v>0</v>
      </c>
      <c r="G4" s="20">
        <v>0</v>
      </c>
      <c r="H4" s="20">
        <v>0</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