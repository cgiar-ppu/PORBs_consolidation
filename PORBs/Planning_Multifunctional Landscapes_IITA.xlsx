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Solutions and Innovations: Agroecology, Nature-positive, Regenerative and Nutrition-sensitive </v>
      </c>
      <c r="B5" s="2">
        <v>0</v>
      </c>
      <c r="C5" s="5">
        <v>0</v>
      </c>
      <c r="D5" s="2">
        <v>3</v>
      </c>
      <c r="E5" s="5">
        <v>81000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81000</v>
      </c>
      <c r="M5" s="5">
        <v>0</v>
      </c>
    </row>
    <row r="6" ht="20" customHeight="1">
      <c r="A6" s="2" t="str">
        <v>AOW02: Landscape Optimization and Inclusive Planning</v>
      </c>
      <c r="B6" s="2">
        <v>4</v>
      </c>
      <c r="C6" s="5">
        <v>95716</v>
      </c>
      <c r="D6" s="2">
        <v>1</v>
      </c>
      <c r="E6" s="5">
        <v>85905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181621</v>
      </c>
      <c r="M6" s="5">
        <v>0</v>
      </c>
    </row>
    <row r="7" ht="20" customHeight="1">
      <c r="A7" s="2" t="str">
        <v>AOW03: Business Models, Markets, and Sustainable Finance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Governance, Institutions, Policy, and Inclusion</v>
      </c>
      <c r="B8" s="2">
        <v>0</v>
      </c>
      <c r="C8" s="5">
        <v>0</v>
      </c>
      <c r="D8" s="2">
        <v>2</v>
      </c>
      <c r="E8" s="5">
        <v>86137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86137</v>
      </c>
      <c r="M8" s="5">
        <v>0</v>
      </c>
    </row>
    <row r="9" ht="20" customHeight="1">
      <c r="A9" s="2" t="str">
        <v>AOW05: Performance Assessments &amp; Evidence Generation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Other PMU Operations</v>
      </c>
      <c r="C2" s="11" t="str">
        <v>Travel and other operations budget for all PMU roles.</v>
      </c>
      <c r="D2" s="11">
        <v>0</v>
      </c>
    </row>
    <row r="3" ht="45" customHeight="1" xml:space="preserve">
      <c r="A3" s="11" t="str">
        <v>AOW00</v>
      </c>
      <c r="B3" s="11" t="str">
        <v>Area of Work (AoW) Leaders</v>
      </c>
      <c r="C3" s="11" t="str" xml:space="preserve">
        <v xml:space="preserve">Fixed amount of USD 80,000 per AoW lead, for five AoW leads (one per AoW).
</v>
      </c>
      <c r="D3" s="11">
        <v>0</v>
      </c>
    </row>
    <row r="4" ht="45" customHeight="1">
      <c r="A4" s="11" t="str">
        <v>AOW00</v>
      </c>
      <c r="B4" s="11" t="str">
        <v>Global Engagement Activities</v>
      </c>
      <c r="C4" s="11" t="str">
        <v>Staff and operations for global engagement activities.</v>
      </c>
      <c r="D4" s="11">
        <v>0</v>
      </c>
    </row>
    <row r="5" ht="45" customHeight="1">
      <c r="A5" s="11" t="str">
        <v>AOW00</v>
      </c>
      <c r="B5" s="11" t="str">
        <v>PMU Team</v>
      </c>
      <c r="C5" s="11" t="str">
        <v xml:space="preserve">Position costs for Coordination Focal Point, MELIA Focal Point, Finance Focal Point and Communications Focal Point. 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  <row r="7" ht="45" customHeight="1">
      <c r="A7" s="11" t="str">
        <v>AOW00</v>
      </c>
      <c r="B7" s="11" t="str">
        <v>Program Director and Associated Costs</v>
      </c>
      <c r="C7" s="11" t="str">
        <v>Standard cost defined by System Office for Director, administrative support, meetings and workshops, travel, smaller consultancies, and miscellaneous operating costs.</v>
      </c>
      <c r="D7" s="11">
        <v>0</v>
      </c>
    </row>
    <row r="8" ht="45" customHeight="1">
      <c r="A8" s="11" t="str">
        <v>AOW00</v>
      </c>
      <c r="B8" s="11" t="str">
        <v>Program Director Discretionary Fund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AOW01</v>
      </c>
      <c r="B3" s="11" t="str">
        <v>OP 1.1.1. – Bundles of farm-level solutions</v>
      </c>
      <c r="C3" s="11" t="str" xml:space="preserve">
        <v xml:space="preserve">Deliverable - Evidence-Based Guidelines for Enhancing Biological Regulation: Develop, validate, and disseminate practical guidelines for integrating biocontrol agents, biopesticides, intercropping, and refuge habitat patches to strengthen biological pest regulation within agroecological production systems.
Indicator: Number of guidelines for enhancing biological regulation developed and validated</v>
      </c>
      <c r="D3" s="11" t="str">
        <v>Number of knowledge products</v>
      </c>
      <c r="E3" s="11" t="str">
        <v>Country: Tanzania, United Republic, Kenya</v>
      </c>
      <c r="F3" s="11">
        <v>3</v>
      </c>
      <c r="G3" s="11">
        <v>81000</v>
      </c>
      <c r="H3" s="11">
        <f>SUM(G3:G3)</f>
      </c>
      <c r="I3" s="11" t="str">
        <v>.</v>
      </c>
    </row>
    <row r="4" ht="25" customHeight="1">
      <c r="B4" s="14" t="str">
        <v>HLO budget subtotal</v>
      </c>
      <c r="H4" s="15">
        <f>SUM(H3:H3)</f>
      </c>
    </row>
    <row r="5" ht="50" customHeight="1" xml:space="preserve">
      <c r="A5" s="13" t="str">
        <v>AOW02</v>
      </c>
      <c r="B5" s="11" t="str">
        <v>OP 2.1.1. – Hotspot mapping &amp; characterization</v>
      </c>
      <c r="C5" s="11" t="str" xml:space="preserve">
        <v xml:space="preserve">Deliverable - Geospatial maps indicating levels of land degradation hotspots
Indicator: Number of validated hotspot maps
</v>
      </c>
      <c r="D5" s="11" t="str">
        <v>Number of innovations (innovation development)</v>
      </c>
      <c r="E5" s="11" t="str">
        <v>Country: Ethiopia, Kenya</v>
      </c>
      <c r="F5" s="11">
        <v>3</v>
      </c>
      <c r="G5" s="11">
        <v>58891</v>
      </c>
      <c r="H5" s="11">
        <f>SUM(G5:G5)</f>
      </c>
      <c r="I5" s="11" t="str">
        <v>.</v>
      </c>
    </row>
    <row r="6" ht="50" customHeight="1" xml:space="preserve">
      <c r="A6" s="11" t="str">
        <v>AOW02</v>
      </c>
      <c r="B6" s="11" t="str">
        <v>OP 2.2.2. – Landscape visions &amp; co-developed plans</v>
      </c>
      <c r="C6" s="11" t="str" xml:space="preserve">
        <v xml:space="preserve">Deliverable - Landscape Vision to Action (LV2A) Innovation Development - Co-development of innovations supporting the Landscape V2A process. 
Indicator: Number of supporting innovations for multifunctional landscape Vision To Action developed</v>
      </c>
      <c r="D6" s="11" t="str">
        <v>Number of innovations (innovation development)</v>
      </c>
      <c r="E6" s="11" t="str">
        <v>Country: Peru, Kenya, Colombia, India, Tanzania, United Republic, Zimbabwe, Tunisia</v>
      </c>
      <c r="F6" s="11">
        <v>1</v>
      </c>
      <c r="G6" s="11">
        <v>36825</v>
      </c>
      <c r="H6" s="11">
        <f>SUM(G6:G6)</f>
      </c>
      <c r="I6" s="11" t="str">
        <v>.</v>
      </c>
    </row>
    <row r="7" ht="50" customHeight="1" xml:space="preserve">
      <c r="A7" s="11" t="str">
        <v>AOW02</v>
      </c>
      <c r="B7" s="11" t="str">
        <v>OP 2.2.3. – Integrated planning &amp; scenarios</v>
      </c>
      <c r="C7" s="11" t="str" xml:space="preserve">
        <v xml:space="preserve">Deliverable - Actionable Landscape Models for Decision Support in Two Landscapes: Develop and apply decision-oriented landscape models in two selected landscapes to evaluate trade-offs and synergies among land-use options (e.g., production, restoration, conservation, water use, carbon, and biodiversity outcomes), producing scenario outputs that directly inform stakeholder planning and priority-setting.
Indicator: Number of Decision-support modeling frameworks</v>
      </c>
      <c r="D7" s="11" t="str">
        <v>Number of knowledge products</v>
      </c>
      <c r="E7" s="11" t="str">
        <v>Global</v>
      </c>
      <c r="F7" s="11">
        <v>1</v>
      </c>
      <c r="G7" s="11">
        <v>85905</v>
      </c>
      <c r="H7" s="11">
        <f>SUM(G7:G7)</f>
      </c>
      <c r="I7" s="11" t="str">
        <v>.</v>
      </c>
    </row>
    <row r="8" ht="25" customHeight="1">
      <c r="B8" s="15" t="str">
        <v>HLO budget subtotal</v>
      </c>
      <c r="H8" s="15">
        <f>SUM(H5:H7)</f>
      </c>
    </row>
    <row r="9" ht="50" customHeight="1" xml:space="preserve">
      <c r="A9" s="13" t="str">
        <v>AOW04</v>
      </c>
      <c r="B9" s="11" t="str">
        <v>OP 4.1.1. Inclusive governance architectures</v>
      </c>
      <c r="C9" s="11" t="str" xml:space="preserve">
        <v xml:space="preserve">Deliverable: Policy and Institutional Coherence Roadmap: a government- and stakeholder-owned guide aligning sectoral policies, mandates, incentives, and data systems to deliver NBSAP results in multifunctional landscapes). 
Indicator: Number of roadmaps on policy and institutional coherence designed
</v>
      </c>
      <c r="D9" s="11" t="str">
        <v>Number of knowledge products</v>
      </c>
      <c r="E9" s="11" t="str">
        <v>Country: Kenya</v>
      </c>
      <c r="F9" s="11">
        <v>1</v>
      </c>
      <c r="G9" s="11">
        <v>45940</v>
      </c>
      <c r="H9" s="11">
        <f>SUM(G9:G10)</f>
      </c>
      <c r="I9" s="11" t="str">
        <v>.</v>
      </c>
    </row>
    <row r="10" ht="50" customHeight="1" xml:space="preserve">
      <c r="A10" s="11" t="str">
        <v>AOW04</v>
      </c>
      <c r="C10" s="11" t="str" xml:space="preserve">
        <v xml:space="preserve">Deliverable: Social Network Analysis of Biodiversity Governance:  a study revealing how actors are connected, their influence and communication pathways, and identifying inclusion and equity gaps affecting implementation).
Indicator: Number of reports on social networks in biodiversity governance
</v>
      </c>
      <c r="D10" s="11" t="str">
        <v>Number of knowledge products</v>
      </c>
      <c r="E10" s="11" t="str">
        <v>Country: Kenya</v>
      </c>
      <c r="F10" s="11">
        <v>1</v>
      </c>
      <c r="G10" s="11">
        <v>40197</v>
      </c>
      <c r="I10" s="11" t="str">
        <v>.</v>
      </c>
    </row>
    <row r="11" ht="25" customHeight="1">
      <c r="B11" s="15" t="str">
        <v>HLO budget subtotal</v>
      </c>
      <c r="H11" s="15">
        <f>SUM(H9:H10)</f>
      </c>
    </row>
  </sheetData>
  <mergeCells count="13">
    <mergeCell ref="A1:A2"/>
    <mergeCell ref="B1:B2"/>
    <mergeCell ref="C1:G1"/>
    <mergeCell ref="H1:H2"/>
    <mergeCell ref="I1:I2"/>
    <mergeCell ref="B4:G4"/>
    <mergeCell ref="A3:A4"/>
    <mergeCell ref="B8:G8"/>
    <mergeCell ref="A5:A8"/>
    <mergeCell ref="B9:B10"/>
    <mergeCell ref="H9:H10"/>
    <mergeCell ref="B11:G11"/>
    <mergeCell ref="A9:A11"/>
  </mergeCells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5000</v>
      </c>
      <c r="D2" s="18">
        <v>0</v>
      </c>
      <c r="E2" s="18">
        <v>0</v>
      </c>
      <c r="F2" s="18">
        <v>0</v>
      </c>
      <c r="G2" s="18">
        <v>0</v>
      </c>
      <c r="H2" s="18" t="str">
        <f>=SUM(B2:G2)</f>
        <v>0</v>
      </c>
    </row>
    <row r="3" ht="20" customHeight="1">
      <c r="A3" s="18" t="str">
        <v>Operations (supplies, consultants, travels, workshops, other)</v>
      </c>
      <c r="B3" s="18">
        <v>86468</v>
      </c>
      <c r="C3" s="18">
        <v>11435</v>
      </c>
      <c r="D3" s="18">
        <v>20329</v>
      </c>
      <c r="E3" s="18">
        <v>0</v>
      </c>
      <c r="F3" s="18">
        <v>3697</v>
      </c>
      <c r="G3" s="18">
        <v>0</v>
      </c>
      <c r="H3" s="18" t="str">
        <f>=SUM(B3:G3)</f>
        <v>0</v>
      </c>
    </row>
    <row r="4" ht="20" customHeight="1">
      <c r="A4" s="18" t="str">
        <v>Staffing, Chargebacks and Indirect</v>
      </c>
      <c r="B4" s="18">
        <v>277025</v>
      </c>
      <c r="C4" s="18">
        <v>64565</v>
      </c>
      <c r="D4" s="18">
        <v>161292</v>
      </c>
      <c r="E4" s="18">
        <v>0</v>
      </c>
      <c r="F4" s="18">
        <v>82440</v>
      </c>
      <c r="G4" s="18">
        <v>0</v>
      </c>
      <c r="H4" s="18" t="str">
        <f>=SUM(B4:G4)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