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Anapl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610000</v>
      </c>
      <c r="M4" s="5">
        <v>0</v>
      </c>
    </row>
    <row r="5" ht="20" customHeight="1">
      <c r="A5" s="2" t="str">
        <v>AOW01: Accelerating Solutions for Impact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Accelerating Change Through Evidence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53</v>
      </c>
      <c r="I6" s="5">
        <v>125000</v>
      </c>
      <c r="J6" s="5">
        <v>0</v>
      </c>
      <c r="K6" s="5">
        <v>0</v>
      </c>
      <c r="L6" s="5">
        <v>125000</v>
      </c>
      <c r="M6" s="5">
        <v>0</v>
      </c>
    </row>
    <row r="7" ht="20" customHeight="1">
      <c r="A7" s="2" t="str">
        <v>AOW03: Youth Thrive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Area of Work Leadership Costs</v>
      </c>
      <c r="D2" s="11">
        <v>310000</v>
      </c>
      <c r="E2" s="11" t="str">
        <v>1 FTE; it will go to one or more centres, and the mount will be adjusted to actual cost once the recruitment is finalised - flow of funds in the re-plan</v>
      </c>
    </row>
    <row r="3" ht="45" customHeight="1">
      <c r="A3" s="11" t="str">
        <v>AOW00</v>
      </c>
      <c r="B3" s="11" t="str">
        <v xml:space="preserve">PMU Team 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Director and associated costs</v>
      </c>
      <c r="D4" s="11">
        <v>0</v>
      </c>
    </row>
    <row r="5" ht="45" customHeight="1">
      <c r="A5" s="11" t="str">
        <v>AOW00</v>
      </c>
      <c r="B5" s="11" t="str">
        <v>Director's discretionary fund</v>
      </c>
      <c r="D5" s="11">
        <v>300000</v>
      </c>
      <c r="E5" s="11" t="str">
        <v>As per the System Office guidance. International Year of the Woman Farmer flagship report is budgeted here.</v>
      </c>
    </row>
    <row r="6" ht="45" customHeight="1">
      <c r="A6" s="11" t="str">
        <v>AOW00</v>
      </c>
      <c r="B6" s="11" t="str">
        <v>Shared finance support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AOW02</v>
      </c>
      <c r="B3" s="11" t="str">
        <v>2.3.3: Spaces to foster learning, knowledge exchange, and enabling environment for gender equality, youth and social inclusion research uptake</v>
      </c>
      <c r="C3" s="11" t="str">
        <v>Operational Resource Hubs enriched with at least 50 new resources for gender research and youth research in food, water and land systems</v>
      </c>
      <c r="D3" s="11" t="str">
        <v xml:space="preserve"> Number of operational resource hubs</v>
      </c>
      <c r="E3" s="11" t="str">
        <v>Global</v>
      </c>
      <c r="F3" s="11">
        <v>2</v>
      </c>
      <c r="G3" s="11">
        <v>20000</v>
      </c>
      <c r="H3" s="11">
        <f>SUM(G3:G4)</f>
      </c>
      <c r="I3" s="11" t="str">
        <v>Open access fees for journal articles and book chapters</v>
      </c>
    </row>
    <row r="4" ht="50" customHeight="1">
      <c r="A4" s="11" t="str">
        <v>AOW02</v>
      </c>
      <c r="C4" s="11" t="str">
        <v xml:space="preserve">Biennial gender science exchange </v>
      </c>
      <c r="D4" s="11" t="str">
        <v xml:space="preserve"> Number of engagement spaces created</v>
      </c>
      <c r="E4" s="11" t="str">
        <v>Global</v>
      </c>
      <c r="F4" s="11">
        <v>1</v>
      </c>
      <c r="G4" s="11">
        <v>50000</v>
      </c>
      <c r="I4" s="11" t="str">
        <v>This will go to a Centre once hosting Centre has been identified.</v>
      </c>
    </row>
    <row r="5" ht="50" customHeight="1">
      <c r="A5" s="11" t="str">
        <v>AOW02</v>
      </c>
      <c r="B5" s="11" t="str">
        <v>2.3.4: Strategies for making gender equality, youth and social inclusion research an institutional priority</v>
      </c>
      <c r="C5" s="11" t="str">
        <v>CGIAR communication on gender and youth</v>
      </c>
      <c r="D5" s="11" t="str">
        <v xml:space="preserve"> Number of published and disseminated communication products on CGIAR work in gender and youth published </v>
      </c>
      <c r="E5" s="11" t="str">
        <v>Global</v>
      </c>
      <c r="F5" s="11">
        <v>50</v>
      </c>
      <c r="G5" s="11">
        <v>55000</v>
      </c>
      <c r="H5" s="11">
        <f>SUM(G5:G5)</f>
      </c>
      <c r="I5" s="11" t="str">
        <v>Senior communication expert, part time FTE</v>
      </c>
    </row>
    <row r="6" ht="25" customHeight="1">
      <c r="B6" s="14" t="str">
        <v>HLO budget subtotal</v>
      </c>
      <c r="H6" s="15">
        <f>SUM(H3:H5)</f>
      </c>
    </row>
  </sheetData>
  <mergeCells count="9">
    <mergeCell ref="A1:A2"/>
    <mergeCell ref="B1:B2"/>
    <mergeCell ref="C1:G1"/>
    <mergeCell ref="H1:H2"/>
    <mergeCell ref="I1:I2"/>
    <mergeCell ref="B3:B4"/>
    <mergeCell ref="H3:H4"/>
    <mergeCell ref="B6:G6"/>
    <mergeCell ref="A3:A6"/>
  </mergeCells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0</v>
      </c>
      <c r="D2" s="18">
        <v>0</v>
      </c>
      <c r="E2" s="18">
        <v>0</v>
      </c>
      <c r="F2" s="18" t="str">
        <f>=SUM(B2:E2)</f>
        <v>0</v>
      </c>
    </row>
    <row r="3" ht="20" customHeight="1">
      <c r="A3" s="18" t="str">
        <v>Operations (supplies, consultants, travels, workshops, other)</v>
      </c>
      <c r="B3" s="18">
        <v>300000</v>
      </c>
      <c r="C3" s="18">
        <v>0</v>
      </c>
      <c r="D3" s="18">
        <v>70000</v>
      </c>
      <c r="E3" s="18">
        <v>0</v>
      </c>
      <c r="F3" s="18" t="str">
        <f>=SUM(B3:E3)</f>
        <v>0</v>
      </c>
    </row>
    <row r="4" ht="20" customHeight="1">
      <c r="A4" s="18" t="str">
        <v>Staffing, Chargebacks and Indirect</v>
      </c>
      <c r="B4" s="18">
        <v>310000</v>
      </c>
      <c r="C4" s="18">
        <v>0</v>
      </c>
      <c r="D4" s="18">
        <v>55000</v>
      </c>
      <c r="E4" s="18">
        <v>0</v>
      </c>
      <c r="F4" s="18" t="str">
        <f>=SUM(B4:E4)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Cross-Cutting</vt:lpstr>
      <vt:lpstr>HLO</vt:lpstr>
      <vt:lpstr>Partner</vt:lpstr>
      <vt:lpstr>W3-Bilateral projects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