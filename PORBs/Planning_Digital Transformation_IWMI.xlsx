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40000</v>
      </c>
      <c r="M4" s="5">
        <v>0</v>
      </c>
    </row>
    <row r="5" ht="20" customHeight="1">
      <c r="A5" s="2" t="str">
        <v>AOW01: Data Ecosystem</v>
      </c>
      <c r="B5" s="2">
        <v>10</v>
      </c>
      <c r="C5" s="5">
        <v>16000</v>
      </c>
      <c r="D5" s="2">
        <v>20</v>
      </c>
      <c r="E5" s="5">
        <v>34000</v>
      </c>
      <c r="F5" s="2">
        <v>0</v>
      </c>
      <c r="G5" s="5">
        <v>0</v>
      </c>
      <c r="H5" s="2">
        <v>0</v>
      </c>
      <c r="I5" s="5">
        <v>0</v>
      </c>
      <c r="J5" s="5">
        <v>0</v>
      </c>
      <c r="K5" s="5">
        <v>0</v>
      </c>
      <c r="L5" s="5">
        <v>50000</v>
      </c>
      <c r="M5" s="5">
        <v>0</v>
      </c>
    </row>
    <row r="6" ht="20" customHeight="1">
      <c r="A6" s="2" t="str">
        <v>AOW02: Action Lab</v>
      </c>
      <c r="B6" s="2">
        <v>1</v>
      </c>
      <c r="C6" s="5">
        <v>50000</v>
      </c>
      <c r="D6" s="2">
        <v>2</v>
      </c>
      <c r="E6" s="5">
        <v>240261</v>
      </c>
      <c r="F6" s="2">
        <v>0</v>
      </c>
      <c r="G6" s="5">
        <v>0</v>
      </c>
      <c r="H6" s="2">
        <v>0</v>
      </c>
      <c r="I6" s="5">
        <v>0</v>
      </c>
      <c r="J6" s="5">
        <v>0</v>
      </c>
      <c r="K6" s="5">
        <v>0</v>
      </c>
      <c r="L6" s="5">
        <v>290261</v>
      </c>
      <c r="M6" s="5">
        <v>1919446</v>
      </c>
    </row>
    <row r="7" ht="20" customHeight="1">
      <c r="A7" s="2" t="str">
        <v>AOW03: Digital Futures</v>
      </c>
      <c r="B7" s="2">
        <v>3</v>
      </c>
      <c r="C7" s="5">
        <v>92168</v>
      </c>
      <c r="D7" s="2">
        <v>2</v>
      </c>
      <c r="E7" s="5">
        <v>25999</v>
      </c>
      <c r="F7" s="2">
        <v>0</v>
      </c>
      <c r="G7" s="5">
        <v>0</v>
      </c>
      <c r="H7" s="2">
        <v>0</v>
      </c>
      <c r="I7" s="5">
        <v>0</v>
      </c>
      <c r="J7" s="5">
        <v>0</v>
      </c>
      <c r="K7" s="5">
        <v>0</v>
      </c>
      <c r="L7" s="5">
        <v>118167</v>
      </c>
      <c r="M7" s="5">
        <v>0</v>
      </c>
    </row>
    <row r="8" ht="20" customHeight="1">
      <c r="A8" s="2" t="str">
        <v>AOW04: Enabling Environment</v>
      </c>
      <c r="B8" s="2">
        <v>2</v>
      </c>
      <c r="C8" s="5">
        <v>25000</v>
      </c>
      <c r="D8" s="2">
        <v>1</v>
      </c>
      <c r="E8" s="5">
        <v>10000</v>
      </c>
      <c r="F8" s="2">
        <v>90</v>
      </c>
      <c r="G8" s="5">
        <v>89819</v>
      </c>
      <c r="H8" s="2">
        <v>0</v>
      </c>
      <c r="I8" s="5">
        <v>0</v>
      </c>
      <c r="J8" s="5">
        <v>0</v>
      </c>
      <c r="K8" s="5">
        <v>0</v>
      </c>
      <c r="L8" s="5">
        <v>124819</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40000</v>
      </c>
      <c r="E6" s="11" t="str">
        <v xml:space="preserve">Funds for Mariangel Garcia Andarcia as AoW3 Co-lead. </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HLO 1.1.2 Standards-compliant FAIR science data collection tools </v>
      </c>
      <c r="C3" s="11" t="str">
        <v>IWMI 2: Number of standardized metadata and data guidelines developed and published across key research domains.</v>
      </c>
      <c r="D3" s="11" t="str">
        <v>Number of knowledge products</v>
      </c>
      <c r="E3" s="11" t="str">
        <v>Country: South Africa, Pakistan, Sri Lanka</v>
      </c>
      <c r="F3" s="11">
        <v>10</v>
      </c>
      <c r="G3" s="11">
        <v>14000</v>
      </c>
      <c r="H3" s="11">
        <f>SUM(G3:G3)</f>
      </c>
      <c r="I3" s="11" t="str" xml:space="preserve">
        <v xml:space="preserve">"Fragmentation persists due to lack of alignment among centers.
High cost or complexity of upgrading tools and workflows.
Resistance to change or insufficient training leading to poor adoption."</v>
      </c>
    </row>
    <row r="4" ht="50" customHeight="1" xml:space="preserve">
      <c r="A4" s="11" t="str">
        <v>AOW01</v>
      </c>
      <c r="B4" s="11" t="str">
        <v xml:space="preserve">HLO 1.2.3 Standards-compliant  FAIR data corpus </v>
      </c>
      <c r="C4" s="11" t="str">
        <v>IWMI 3: Number of standardized metadata and data guidelines for water developed and published across key research domains.</v>
      </c>
      <c r="D4" s="11" t="str">
        <v>Number of innovations (innovation development)</v>
      </c>
      <c r="E4" s="11" t="str">
        <v>Country: Sri Lanka, South Africa, Pakistan</v>
      </c>
      <c r="F4" s="11">
        <v>10</v>
      </c>
      <c r="G4" s="11">
        <v>16000</v>
      </c>
      <c r="H4" s="11">
        <f>SUM(G4:G4)</f>
      </c>
      <c r="I4" s="11" t="str" xml:space="preserve">
        <v xml:space="preserve">"Fragmentation persists due to lack of alignment among centers.
High cost or complexity of upgrading tools and workflows.
Resistance to change or insufficient training leading to poor adoption."</v>
      </c>
    </row>
    <row r="5" ht="50" customHeight="1" xml:space="preserve">
      <c r="A5" s="11" t="str">
        <v>AOW01</v>
      </c>
      <c r="B5" s="11" t="str">
        <v xml:space="preserve">HLO 1.3.8 &amp; 1.4.8 Governance,  incentives for data &amp; digital  management culture change </v>
      </c>
      <c r="C5" s="11" t="str">
        <v>IWMI 1: Number of frameworks, methods, guidelines developed by the accelerator to catalyze adoption of responsible and inclusive digital and data innovations across FLW systems​.</v>
      </c>
      <c r="D5" s="11" t="str">
        <v>Number of knowledge products</v>
      </c>
      <c r="E5" s="11" t="str">
        <v>Country: Pakistan, Sri Lanka, South Africa</v>
      </c>
      <c r="F5" s="11">
        <v>10</v>
      </c>
      <c r="G5" s="11">
        <v>20000</v>
      </c>
      <c r="H5" s="11">
        <f>SUM(G5:G5)</f>
      </c>
      <c r="I5" s="11" t="str" xml:space="preserve">
        <v xml:space="preserve">"Delays in policy approval or inconsistent adoption across centers.
Regulatory changes or data privacy concerns impacting implementation.
Limited staff capacity for training and compliance monitoring."</v>
      </c>
    </row>
    <row r="6" ht="25" customHeight="1">
      <c r="B6" s="14" t="str">
        <v>HLO budget subtotal</v>
      </c>
      <c r="H6" s="15">
        <f>SUM(H3:H5)</f>
      </c>
    </row>
    <row r="7" ht="50" customHeight="1" xml:space="preserve">
      <c r="A7" s="13" t="str">
        <v>AOW02</v>
      </c>
      <c r="B7" s="11" t="str">
        <v>HLO 2.1.1: Research integrates AI analytics and digital technologies to enhance modeling and evidence generation.​</v>
      </c>
      <c r="C7" s="11" t="str">
        <v>IWMI 8: Number of operational platforms enabling access, search, and analytics of scientific datasets to enhance water productivity.</v>
      </c>
      <c r="D7" s="11" t="str">
        <v>Number of knowledge products</v>
      </c>
      <c r="E7" s="11" t="str">
        <v>Country: India, Sri Lanka, South Africa</v>
      </c>
      <c r="F7" s="11">
        <v>1</v>
      </c>
      <c r="G7" s="11">
        <v>100261</v>
      </c>
      <c r="H7" s="11">
        <f>SUM(G7:G7)</f>
      </c>
      <c r="I7" s="11" t="str" xml:space="preserve">
        <v xml:space="preserve">"Low partner engagement or incomplete data submissions.
Complexity in harmonizing diverse innovation datasets.
Risk of underutilization if adoption by stakeholders is slow."</v>
      </c>
    </row>
    <row r="8" ht="50" customHeight="1" xml:space="preserve">
      <c r="A8" s="11" t="str">
        <v>AOW02</v>
      </c>
      <c r="B8" s="11" t="str">
        <v>HLO 2.1.2 Decision support systems integrate a digital twin approach to enable real-time data use.</v>
      </c>
      <c r="C8" s="11" t="str">
        <v>IWMI 6: Number of infrastructure setups deployed for data storage and processing in target domains to support multi-actor responses to floods.</v>
      </c>
      <c r="D8" s="11" t="str">
        <v>Number of innovations (innovation development)</v>
      </c>
      <c r="E8" s="11" t="str">
        <v>Country: South Africa, Ethiopia, Sri Lanka</v>
      </c>
      <c r="F8" s="11">
        <v>1</v>
      </c>
      <c r="G8" s="11">
        <v>50000</v>
      </c>
      <c r="H8" s="11">
        <f>SUM(G8:G9)</f>
      </c>
      <c r="I8" s="11" t="str" xml:space="preserve">
        <v xml:space="preserve">"Technical challenges in model development or data interoperability.
Delays in validation or scaling due to resource constraints.
High costs for hardware/software upgrades or unforeseen technical dependencies."</v>
      </c>
    </row>
    <row r="9" ht="50" customHeight="1" xml:space="preserve">
      <c r="A9" s="11" t="str">
        <v>AOW02</v>
      </c>
      <c r="C9" s="11" t="str">
        <v>IWMI 5: Number of knowledge products (e.g., SOPs, reports, scoping studies) produced to operationalize the digital innovation nodes.</v>
      </c>
      <c r="D9" s="11" t="str">
        <v>Number of knowledge products</v>
      </c>
      <c r="E9" s="11" t="str">
        <v>Country: Sri Lanka, Ethiopia, South Africa</v>
      </c>
      <c r="F9" s="11">
        <v>1</v>
      </c>
      <c r="G9" s="11">
        <v>140000</v>
      </c>
      <c r="I9" s="11" t="str" xml:space="preserve">
        <v xml:space="preserve">"Technical challenges in model development or data interoperability.
Delays in validation or scaling due to resource constraints.
High costs for hardware/software upgrades or unforeseen technical dependencies."</v>
      </c>
    </row>
    <row r="10" ht="25" customHeight="1">
      <c r="B10" s="15" t="str">
        <v>HLO budget subtotal</v>
      </c>
      <c r="H10" s="15">
        <f>SUM(H7:H9)</f>
      </c>
    </row>
    <row r="11" ht="50" customHeight="1" xml:space="preserve">
      <c r="A11" s="13" t="str">
        <v>AOW03</v>
      </c>
      <c r="B11" s="11" t="str">
        <v>HLO 3.1.1:  Probes of a wide range of AI and/or other novel digital solutions  to support system-level scenario analysis of digital frontier technology impacts for decision-makers.</v>
      </c>
      <c r="C11" s="11" t="str">
        <v>IWMI 11: Number of Probes developed on Accelerate Conversational AI(Water Co-pilot) with Digital Humans.</v>
      </c>
      <c r="D11" s="11" t="str">
        <v>Number of innovations (innovation development)</v>
      </c>
      <c r="E11" s="11" t="str">
        <v>Country: Sri Lanka</v>
      </c>
      <c r="F11" s="11">
        <v>1</v>
      </c>
      <c r="G11" s="11">
        <v>13015</v>
      </c>
      <c r="H11" s="11">
        <f>SUM(G11:G12)</f>
      </c>
      <c r="I11" s="11" t="str" xml:space="preserve">
        <v xml:space="preserve">"Rapid tech evolution may render probes obsolete before scaling.
Limited funding for follow-up pilots or prototypes.
Ethical or regulatory concerns delaying adoption of identified technologies."</v>
      </c>
    </row>
    <row r="12" ht="50" customHeight="1" xml:space="preserve">
      <c r="A12" s="11" t="str">
        <v>AOW03</v>
      </c>
      <c r="C12" s="11" t="str">
        <v>IWMI 10: Number of Probes developed on Immersive Digital Twin for River Basin Management.</v>
      </c>
      <c r="D12" s="11" t="str">
        <v>Number of innovations (innovation development)</v>
      </c>
      <c r="E12" s="11" t="str">
        <v>Country: Sri Lanka</v>
      </c>
      <c r="F12" s="11">
        <v>1</v>
      </c>
      <c r="G12" s="11">
        <v>13305</v>
      </c>
      <c r="I12" s="11" t="str" xml:space="preserve">
        <v xml:space="preserve">"Rapid tech evolution may render probes obsolete before scaling.
Limited funding for follow-up pilots or prototypes.
Ethical or regulatory concerns delaying adoption of identified technologies."</v>
      </c>
    </row>
    <row r="13" ht="50" customHeight="1" xml:space="preserve">
      <c r="A13" s="11" t="str">
        <v>AOW03</v>
      </c>
      <c r="B13" s="11" t="str">
        <v>HLO 3.2.2 &amp; 3.3.2: Future case scenarios identified for digital transformation in FWL systems in addressing context-specific challenges and opportunities.</v>
      </c>
      <c r="C13" s="11" t="str">
        <v>IWMI 9: Number of integrated platforms or systems enabling secure, FAIR, and AI-ready data access and analytics.</v>
      </c>
      <c r="D13" s="11" t="str">
        <v>Number of innovations (innovation development)</v>
      </c>
      <c r="E13" s="11" t="str">
        <v>Country: Sri Lanka</v>
      </c>
      <c r="F13" s="11">
        <v>1</v>
      </c>
      <c r="G13" s="11">
        <v>65848</v>
      </c>
      <c r="H13" s="11">
        <f>SUM(G13:G15)</f>
      </c>
      <c r="I13" s="11" t="str" xml:space="preserve">
        <v xml:space="preserve">"Technical challenges in interoperability and model accuracy.
Ethical concerns or compliance issues delaying deployment.
High costs for scaling and maintaining AI infrastructure."</v>
      </c>
    </row>
    <row r="14" ht="50" customHeight="1" xml:space="preserve">
      <c r="A14" s="11" t="str">
        <v>AOW03</v>
      </c>
      <c r="C14" s="11" t="str">
        <v>IWMI 12: Number of foresight briefs developed to identify strategic risks and opportunities, and contributes to a joint synthesis linking foresight insights to CGIAR’s portfolio and communication strategy.</v>
      </c>
      <c r="D14" s="11" t="str">
        <v>Number of knowledge products</v>
      </c>
      <c r="E14" s="11" t="str">
        <v>Country: Sri Lanka</v>
      </c>
      <c r="F14" s="11">
        <v>1</v>
      </c>
      <c r="G14" s="11">
        <v>13015</v>
      </c>
      <c r="I14" s="11" t="str" xml:space="preserve">
        <v xml:space="preserve">"Low participation or lack of consensus on future scenarios.
Difficulty translating foresight outputs into operational plans.
Budget constraints limiting dissemination and scaling of insights."</v>
      </c>
    </row>
    <row r="15" ht="50" customHeight="1" xml:space="preserve">
      <c r="A15" s="11" t="str">
        <v>AOW03</v>
      </c>
      <c r="C15" s="11" t="str">
        <v>IWMI 13: The number joint scenario synthesis reports  produced to inform institutional planning, foresight communication, and donor engagement.</v>
      </c>
      <c r="D15" s="11" t="str">
        <v>Number of knowledge products</v>
      </c>
      <c r="E15" s="11" t="str">
        <v>Country: Sri Lanka</v>
      </c>
      <c r="F15" s="11">
        <v>1</v>
      </c>
      <c r="G15" s="11">
        <v>12984</v>
      </c>
      <c r="I15" s="11" t="str" xml:space="preserve">
        <v xml:space="preserve">"Low participation or lack of consensus on future scenarios.
Difficulty translating foresight outputs into operational plans.
Budget constraints limiting dissemination and scaling of insights."</v>
      </c>
    </row>
    <row r="16" ht="25" customHeight="1">
      <c r="B16" s="15" t="str">
        <v>HLO budget subtotal</v>
      </c>
      <c r="H16" s="15">
        <f>SUM(H11:H15)</f>
      </c>
    </row>
    <row r="17" ht="50" customHeight="1" xml:space="preserve">
      <c r="A17" s="13" t="str">
        <v>AOW04</v>
      </c>
      <c r="B17" s="11" t="str">
        <v>HLO 4.1.1 Frameworks, methods, and guidelines to catalyze adoption of responsible and inclusive digital and data innovations across FLW systems</v>
      </c>
      <c r="C17" s="11" t="str">
        <v>IWMI 16: Number of knowledge products on digital innovation, partnerships, and business models for FLW system transformation.</v>
      </c>
      <c r="D17" s="11" t="str">
        <v>Number of knowledge products</v>
      </c>
      <c r="E17" s="11" t="str">
        <v>Country: Sri Lanka</v>
      </c>
      <c r="F17" s="11">
        <v>1</v>
      </c>
      <c r="G17" s="11">
        <v>10000</v>
      </c>
      <c r="H17" s="11">
        <f>SUM(G17:G17)</f>
      </c>
      <c r="I17" s="11" t="str" xml:space="preserve">
        <v xml:space="preserve">"Low participation or lack of continuity in COP activities.
Budget limitations affecting planned events and outputs.
Difficulty measuring impact and adoption of COP outputs."</v>
      </c>
    </row>
    <row r="18" ht="50" customHeight="1" xml:space="preserve">
      <c r="A18" s="11" t="str">
        <v>AOW04</v>
      </c>
      <c r="B18" s="11" t="str">
        <v>HLO 4.1.2 Robust, secure and flexible foundational digital infrastructure &amp; sustainable operating model across centers and hubs</v>
      </c>
      <c r="C18" s="11" t="str">
        <v>IWMI 17: Number of innovations, including tools and business models, developed through trainings or frameworks.</v>
      </c>
      <c r="D18" s="11" t="str">
        <v>Number of innovations (innovation development)</v>
      </c>
      <c r="E18" s="11" t="str">
        <v>Country: Sri Lanka</v>
      </c>
      <c r="F18" s="11">
        <v>1</v>
      </c>
      <c r="G18" s="11">
        <v>20000</v>
      </c>
      <c r="H18" s="11">
        <f>SUM(G18:G18)</f>
      </c>
      <c r="I18" s="11" t="str" xml:space="preserve">
        <v xml:space="preserve">"Budget overruns due to unforeseen hardware/software requirements.
Cybersecurity breaches or compliance failures.
Uneven adoption across centers leading to inefficiencies."</v>
      </c>
    </row>
    <row r="19" ht="50" customHeight="1" xml:space="preserve">
      <c r="A19" s="11" t="str">
        <v>AOW04</v>
      </c>
      <c r="B19" s="11" t="str">
        <v xml:space="preserve">HLO 4.2.5 Capacity building &amp; training packages on human-centric digital product design, development, sustainability, and business models. </v>
      </c>
      <c r="C19" s="11" t="str">
        <v>IWMI 14: Number of researchers capacitated on responsible AI solutions, share knowledge, and uphold AI Community of Practices.</v>
      </c>
      <c r="D19" s="11" t="str">
        <v>Number of people trained (capacity sharing for development)</v>
      </c>
      <c r="E19" s="11" t="str">
        <v>Country: Ethiopia, Ghana, South Africa, Sri Lanka</v>
      </c>
      <c r="F19" s="11">
        <v>90</v>
      </c>
      <c r="G19" s="11">
        <v>89819</v>
      </c>
      <c r="H19" s="11">
        <f>SUM(G19:G19)</f>
      </c>
      <c r="I19" s="11" t="str" xml:space="preserve">
        <v xml:space="preserve">"Uneven participation across centers leading to fragmented outcomes.
Limited funding for sustained capacity-building initiatives.
Risk of duplication if roles and responsibilities are unclear."</v>
      </c>
    </row>
    <row r="20" ht="50" customHeight="1" xml:space="preserve">
      <c r="A20" s="11" t="str">
        <v>AOW04</v>
      </c>
      <c r="B20" s="11" t="str">
        <v>HLO 4.2.6 AI-based Inclusive digital products/Innovations co-created in partnership with the digital innovation nodes​</v>
      </c>
      <c r="C20" s="11" t="str">
        <v>IWMI 15: The number of new digital products and innovations co-created with digital innovation nodes.</v>
      </c>
      <c r="D20" s="11" t="str">
        <v>Number of innovations (innovation development)</v>
      </c>
      <c r="E20" s="11" t="str">
        <v>Country: Sri Lanka</v>
      </c>
      <c r="F20" s="11">
        <v>1</v>
      </c>
      <c r="G20" s="11">
        <v>5000</v>
      </c>
      <c r="H20" s="11">
        <f>SUM(G20:G20)</f>
      </c>
      <c r="I20" s="11" t="str" xml:space="preserve">
        <v xml:space="preserve">"Low participation or lack of continuity in COP activities.
Budget limitations affecting planned events and outputs.
Difficulty measuring impact and adoption of COP outputs."</v>
      </c>
    </row>
    <row r="21" ht="25" customHeight="1">
      <c r="B21" s="15" t="str">
        <v>HLO budget subtotal</v>
      </c>
      <c r="H21" s="15">
        <f>SUM(H17:H20)</f>
      </c>
    </row>
  </sheetData>
  <mergeCells count="19">
    <mergeCell ref="A1:A2"/>
    <mergeCell ref="B1:B2"/>
    <mergeCell ref="C1:G1"/>
    <mergeCell ref="H1:H2"/>
    <mergeCell ref="I1:I2"/>
    <mergeCell ref="B6:G6"/>
    <mergeCell ref="A3:A6"/>
    <mergeCell ref="B8:B9"/>
    <mergeCell ref="H8:H9"/>
    <mergeCell ref="B10:G10"/>
    <mergeCell ref="A7:A10"/>
    <mergeCell ref="B11:B12"/>
    <mergeCell ref="H11:H12"/>
    <mergeCell ref="B13:B15"/>
    <mergeCell ref="H13:H15"/>
    <mergeCell ref="B16:G16"/>
    <mergeCell ref="A11:A16"/>
    <mergeCell ref="B21:G21"/>
    <mergeCell ref="A17:A21"/>
  </mergeCells>
  <ignoredErrors>
    <ignoredError numberStoredAsText="1" sqref="A1:I2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W-D-0523-DIWASA - Phase II</v>
      </c>
      <c r="B2" s="19" t="str">
        <v>AOW02</v>
      </c>
      <c r="C2" s="18" t="str">
        <v>HLO 2.1.2 Decision support systems integrate a digital twin approach to enable real-time data use.</v>
      </c>
      <c r="D2" s="19">
        <v>1919446</v>
      </c>
      <c r="E2" s="19" t="str">
        <f>=SUM(D2:D2)</f>
        <v>0</v>
      </c>
      <c r="F2" s="19" t="str">
        <v xml:space="preserve">Subject to active status in 2026 and availability of continued funding. </v>
      </c>
    </row>
    <row r="3" ht="30" customHeight="1">
      <c r="A3" s="18" t="str">
        <v>W-D-0392-NET: WaPOR Phase 2</v>
      </c>
      <c r="B3" s="19" t="str">
        <v>AOW02</v>
      </c>
      <c r="C3" s="18" t="str">
        <v xml:space="preserve">I-OC 2.2. Smallholder farmers, local innovators, women, and youth groups gain equitable access to user-centered, AI-enabled digital services that support learning, innovation, and inclusive participation. </v>
      </c>
      <c r="D3" s="19">
        <v>0</v>
      </c>
      <c r="E3" s="19" t="str">
        <f>=SUM(D3:D3)</f>
        <v>0</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20" t="str">
        <v>Collaborators non-CGIAR centers</v>
      </c>
      <c r="B2" s="20">
        <v>0</v>
      </c>
      <c r="C2" s="20">
        <v>0</v>
      </c>
      <c r="D2" s="20">
        <v>0</v>
      </c>
      <c r="E2" s="20">
        <v>0</v>
      </c>
      <c r="F2" s="20">
        <v>0</v>
      </c>
      <c r="G2" s="20" t="str">
        <f>=SUM(B2:F2)</f>
        <v>0</v>
      </c>
    </row>
    <row r="3" ht="20" customHeight="1">
      <c r="A3" s="20" t="str">
        <v>Operations (supplies, consultants, travels, workshops, other)</v>
      </c>
      <c r="B3" s="20">
        <v>0</v>
      </c>
      <c r="C3" s="20">
        <v>682</v>
      </c>
      <c r="D3" s="20">
        <v>63103</v>
      </c>
      <c r="E3" s="20">
        <v>17500</v>
      </c>
      <c r="F3" s="20">
        <v>32690</v>
      </c>
      <c r="G3" s="20" t="str">
        <f>=SUM(B3:F3)</f>
        <v>0</v>
      </c>
    </row>
    <row r="4" ht="20" customHeight="1">
      <c r="A4" s="20" t="str">
        <v>Staffing, Chargebacks and Indirect</v>
      </c>
      <c r="B4" s="20">
        <v>40000</v>
      </c>
      <c r="C4" s="20">
        <v>49318</v>
      </c>
      <c r="D4" s="20">
        <v>227158</v>
      </c>
      <c r="E4" s="20">
        <v>100667</v>
      </c>
      <c r="F4" s="20">
        <v>92129</v>
      </c>
      <c r="G4" s="20" t="str">
        <f>=SUM(B4:F4)</f>
        <v>0</v>
      </c>
    </row>
    <row r="5" ht="20" customHeight="1">
      <c r="A5" s="21" t="str">
        <v>Subtotal</v>
      </c>
      <c r="B5" s="22" t="str">
        <f>=SUM(B2:B4)</f>
        <v>0</v>
      </c>
      <c r="C5" s="23" t="str">
        <f>=SUM(C2:C4)</f>
        <v>0</v>
      </c>
      <c r="D5" s="23" t="str">
        <f>=SUM(D2:D4)</f>
        <v>0</v>
      </c>
      <c r="E5" s="23" t="str">
        <f>=SUM(E2:E4)</f>
        <v>0</v>
      </c>
      <c r="F5" s="23" t="str">
        <f>=SUM(F2:F4)</f>
        <v>0</v>
      </c>
      <c r="G5" s="23"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