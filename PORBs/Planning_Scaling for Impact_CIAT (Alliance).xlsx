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5"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5">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1">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wrapText="true"/>
    </xf>
    <xf numFmtId="0" fontId="11" fillId="11" borderId="10" xfId="0" applyFont="1" applyFill="1" applyBorder="1" applyAlignment="1">
      <alignment horizontal="center" vertical="center" wrapText="true"/>
    </xf>
    <xf numFmtId="0" fontId="0" fillId="0" borderId="11" xfId="0" applyBorder="1" applyAlignment="1">
      <alignment vertical="center" wrapText="true"/>
    </xf>
    <xf numFmtId="0" fontId="0" fillId="0" borderId="12" xfId="0" applyBorder="1" applyAlignment="1">
      <alignment horizontal="center" vertical="center" wrapText="true"/>
    </xf>
    <xf numFmtId="1" fontId="0" fillId="0" borderId="13" xfId="0" applyBorder="1" applyNumberFormat="1" applyAlignment="1">
      <alignment horizontal="center" vertical="center"/>
    </xf>
    <xf numFmtId="0" fontId="12" fillId="12" borderId="0" xfId="0" applyFont="1" applyFill="1" applyAlignment="1">
      <alignment horizontal="center" vertical="center"/>
    </xf>
    <xf numFmtId="1" fontId="13" fillId="13" borderId="14" xfId="0" applyFont="1" applyFill="1" applyBorder="1" applyNumberFormat="1" applyAlignment="1">
      <alignment horizontal="center" vertical="center"/>
    </xf>
    <xf numFmtId="1" fontId="14" fillId="14" borderId="15"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0</v>
      </c>
      <c r="E5" s="5">
        <v>0</v>
      </c>
      <c r="F5" s="2">
        <v>0</v>
      </c>
      <c r="G5" s="5">
        <v>0</v>
      </c>
      <c r="H5" s="2">
        <v>0</v>
      </c>
      <c r="I5" s="5">
        <v>0</v>
      </c>
      <c r="J5" s="5">
        <v>0</v>
      </c>
      <c r="K5" s="5">
        <v>0</v>
      </c>
      <c r="L5" s="5">
        <v>0</v>
      </c>
      <c r="M5" s="5">
        <v>0</v>
      </c>
    </row>
    <row r="6" ht="20" customHeight="1">
      <c r="A6" s="2" t="str">
        <v>AOW02: Grand Challenges and Scaling Flagships</v>
      </c>
      <c r="B6" s="2">
        <v>0</v>
      </c>
      <c r="C6" s="5">
        <v>0</v>
      </c>
      <c r="D6" s="2">
        <v>0</v>
      </c>
      <c r="E6" s="5">
        <v>0</v>
      </c>
      <c r="F6" s="2">
        <v>0</v>
      </c>
      <c r="G6" s="5">
        <v>0</v>
      </c>
      <c r="H6" s="2">
        <v>0</v>
      </c>
      <c r="I6" s="5">
        <v>0</v>
      </c>
      <c r="J6" s="5">
        <v>0</v>
      </c>
      <c r="K6" s="5">
        <v>0</v>
      </c>
      <c r="L6" s="5">
        <v>0</v>
      </c>
      <c r="M6" s="5">
        <v>442173</v>
      </c>
    </row>
    <row r="7" ht="20" customHeight="1">
      <c r="A7" s="2" t="str">
        <v>AOW03: Enabling Environment Lab</v>
      </c>
      <c r="B7" s="2">
        <v>0</v>
      </c>
      <c r="C7" s="5">
        <v>0</v>
      </c>
      <c r="D7" s="2">
        <v>0</v>
      </c>
      <c r="E7" s="5">
        <v>0</v>
      </c>
      <c r="F7" s="2">
        <v>0</v>
      </c>
      <c r="G7" s="5">
        <v>0</v>
      </c>
      <c r="H7" s="2">
        <v>0</v>
      </c>
      <c r="I7" s="5">
        <v>0</v>
      </c>
      <c r="J7" s="5">
        <v>0</v>
      </c>
      <c r="K7" s="5">
        <v>0</v>
      </c>
      <c r="L7" s="5">
        <v>0</v>
      </c>
      <c r="M7" s="5">
        <v>518003</v>
      </c>
    </row>
    <row r="8" ht="20" customHeight="1">
      <c r="A8" s="2" t="str">
        <v>AOW04: Achieving Impact by Unlocking Finance and Partnerships</v>
      </c>
      <c r="B8" s="2">
        <v>0</v>
      </c>
      <c r="C8" s="5">
        <v>0</v>
      </c>
      <c r="D8" s="2">
        <v>0</v>
      </c>
      <c r="E8" s="5">
        <v>0</v>
      </c>
      <c r="F8" s="2">
        <v>0</v>
      </c>
      <c r="G8" s="5">
        <v>0</v>
      </c>
      <c r="H8" s="2">
        <v>0</v>
      </c>
      <c r="I8" s="5">
        <v>0</v>
      </c>
      <c r="J8" s="5">
        <v>0</v>
      </c>
      <c r="K8" s="5">
        <v>0</v>
      </c>
      <c r="L8" s="5">
        <v>0</v>
      </c>
      <c r="M8" s="5">
        <v>5803369</v>
      </c>
    </row>
    <row r="9" ht="20" customHeight="1">
      <c r="A9" s="2" t="str">
        <v>AOW05: Learning for Impact</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sheetData>
  <mergeCells count="5">
    <mergeCell ref="A1:A2"/>
    <mergeCell ref="B1:B2"/>
    <mergeCell ref="C1:G1"/>
    <mergeCell ref="H1:H2"/>
    <mergeCell ref="I1:I2"/>
  </mergeCells>
  <ignoredErrors>
    <ignoredError numberStoredAsText="1" sqref="A1:I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9"/>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3" t="str">
        <v>Project title</v>
      </c>
      <c r="B1" s="14" t="str">
        <v>AOW</v>
      </c>
      <c r="C1" s="14" t="str">
        <v>High Level Outputs</v>
      </c>
      <c r="D1" s="14" t="str">
        <v>Budget (USD)</v>
      </c>
      <c r="E1" s="14" t="str">
        <v>Total budget (USD)</v>
      </c>
      <c r="F1" s="14" t="str">
        <v>Budget Assumptions</v>
      </c>
    </row>
    <row r="2" ht="30" customHeight="1">
      <c r="A2" s="15" t="str">
        <v>rA-Scientific advisory and technical assistance to the Technical Assistance Manager (IA Lead of O150)</v>
      </c>
      <c r="B2" s="16" t="str">
        <v>AOW04</v>
      </c>
      <c r="C2" s="15" t="str">
        <v xml:space="preserve">I-OC 4.1: IFIs, governments, and the private sector widely integrate CGIAR-partner innovations into their investments, catalyzing and supporting the scaling of innovations. </v>
      </c>
      <c r="D2" s="16">
        <v>1731635</v>
      </c>
      <c r="E2" s="16" t="str">
        <f>=SUM(D2:D2)</f>
        <v>0</v>
      </c>
      <c r="F2" s="16" t="str">
        <v>rA-Scientific advisory and technical assistance to the Technical Assistance Manager (IA Lead of O150):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xml:space="preserve">
      <c r="A3" s="15" t="str">
        <v>CANADA-MEDA-The Adaptation and Valorization of Entrepreneurship in Irrigated Agriculture _ AVENIR</v>
      </c>
      <c r="B3" s="16" t="str">
        <v>AOW02</v>
      </c>
      <c r="C3" s="15" t="str">
        <v>HLO 2.2.1: Access climate services and smart water management tools that improve adaptation decisions and resource efficiency.</v>
      </c>
      <c r="D3" s="16">
        <v>48679</v>
      </c>
      <c r="E3" s="16" t="str">
        <f>=SUM(D3:D3)</f>
        <v>0</v>
      </c>
      <c r="F3" s="16" t="str" xml:space="preserve">
        <v xml:space="preserve">CANADA-MEDA-The Adaptation and Valorization of Entrepreneurship in Irrigated Agriculture _ AVENIR: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4" ht="30" customHeight="1" xml:space="preserve">
      <c r="A4" s="15" t="str">
        <v>WB-IDA-Additional Financing to the Accelerating Impacts of CGIAR Climate Research for Africa (AICCRA)</v>
      </c>
      <c r="B4" s="16" t="str">
        <v>AOW02</v>
      </c>
      <c r="C4" s="15" t="str">
        <v>HLO 2.2.1: Access climate services and smart water management tools that improve adaptation decisions and resource efficiency.</v>
      </c>
      <c r="D4" s="16">
        <v>347161</v>
      </c>
      <c r="E4" s="16" t="str">
        <f>=SUM(D4:D4)</f>
        <v>0</v>
      </c>
      <c r="F4" s="16" t="str" xml:space="preserve">
        <v xml:space="preserve">WB-IDA-Additional Financing to the Accelerating Impacts of CGIAR Climate Research for Africa (AICCRA):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5" ht="30" customHeight="1" xml:space="preserve">
      <c r="A5" s="15" t="str">
        <v>BIUSA (BEF)-Screening, developing, and deploying anti-methanogenic feedstock into livestock systems in the Global South</v>
      </c>
      <c r="B5" s="16" t="str">
        <v>AOW02</v>
      </c>
      <c r="C5" s="15" t="str">
        <v>HLO 2.2.2: Inclusive and efficient innovation delivery systems that support biodiverse, sustainable production, generate new jobs, and expand access for women, youth, and small and medium enterprises.</v>
      </c>
      <c r="D5" s="16">
        <v>46333</v>
      </c>
      <c r="E5" s="16" t="str">
        <f>=SUM(D5:D5)</f>
        <v>0</v>
      </c>
      <c r="F5" s="16" t="str" xml:space="preserve">
        <v xml:space="preserve">BIUSA (BEF)-Screening, developing, and deploying anti-methanogenic feedstock into livestock systems in the Global South: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6" ht="30" customHeight="1" xml:space="preserve">
      <c r="A6" s="15" t="str">
        <v>USA-USAID-Amazon Biodiversity Fund Brazil Fundo de Investimento em Participações Multiestratégia</v>
      </c>
      <c r="B6" s="16" t="str">
        <v>AOW03</v>
      </c>
      <c r="C6" s="15" t="str">
        <v xml:space="preserve">HLO 3.3.1: Enabling environment diagnostics </v>
      </c>
      <c r="D6" s="16">
        <v>518003</v>
      </c>
      <c r="E6" s="16" t="str">
        <f>=SUM(D6:D6)</f>
        <v>0</v>
      </c>
      <c r="F6" s="16" t="str" xml:space="preserve">
        <v xml:space="preserve">USA-USAID-Amazon Biodiversity Fund Brazil Fundo de Investimento em Participações Multiestratégia: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7" ht="30" customHeight="1">
      <c r="A7" s="15" t="str">
        <v>Climate-smart initiatives for climate change adaptation and sustainability in prioritized agricultural production systems in Colombia (CSICAP)</v>
      </c>
      <c r="B7" s="16" t="str">
        <v>AOW04</v>
      </c>
      <c r="C7" s="15" t="str">
        <v>HLO 4.4.1: CGIAR Expertise and Solutions Embedded in Development Investments and Partnerships</v>
      </c>
      <c r="D7" s="16">
        <v>4071734</v>
      </c>
      <c r="E7" s="16" t="str">
        <f>=SUM(D7:D7)</f>
        <v>0</v>
      </c>
      <c r="F7" s="16" t="str">
        <v>Climate-smart initiatives for climate change adaptation and sustainability in prioritized agricultural production systems in Colombia (CSICAP):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8" ht="30" customHeight="1">
      <c r="A8" s="15" t="str">
        <v>ITALY-Italy Voluntary contribution 2024 - Sustainable cocoa value chains in West Africa (A1701)</v>
      </c>
      <c r="B8" s="16" t="str">
        <v>AOW05</v>
      </c>
      <c r="C8" s="15" t="str">
        <v xml:space="preserve">HLO 5.5.1: Enhancing scaling science for societal impact </v>
      </c>
      <c r="D8" s="16">
        <v>0</v>
      </c>
      <c r="E8" s="16" t="str">
        <f>=SUM(D8:D8)</f>
        <v>0</v>
      </c>
    </row>
    <row r="9" ht="30" customHeight="1">
      <c r="A9" s="3" t="str">
        <v>W3/Bilateral projects subtotal</v>
      </c>
      <c r="E9" s="3">
        <f>SUM(E2:E8)</f>
      </c>
    </row>
  </sheetData>
  <mergeCells count="1">
    <mergeCell ref="A9:D9"/>
  </mergeCells>
  <ignoredErrors>
    <ignoredError numberStoredAsText="1" sqref="A1:F9"/>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MELIA study</v>
      </c>
      <c r="B1" s="13" t="str">
        <v>AOW</v>
      </c>
      <c r="C1" s="13" t="str">
        <v>Supported outcomes</v>
      </c>
      <c r="D1" s="13" t="str">
        <v>AOW budget (USD)</v>
      </c>
      <c r="E1" s="13" t="str">
        <v>Total budget (USD)</v>
      </c>
      <c r="F1" s="13"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17" t="str">
        <v>Collaborators non-CGIAR centers</v>
      </c>
      <c r="B2" s="17">
        <v>0</v>
      </c>
      <c r="C2" s="17">
        <v>0</v>
      </c>
      <c r="D2" s="17">
        <v>0</v>
      </c>
      <c r="E2" s="17">
        <v>0</v>
      </c>
      <c r="F2" s="17">
        <v>0</v>
      </c>
      <c r="G2" s="17">
        <v>0</v>
      </c>
      <c r="H2" s="17" t="str">
        <f>=SUM(B2:G2)</f>
        <v>0</v>
      </c>
    </row>
    <row r="3" ht="20" customHeight="1">
      <c r="A3" s="17" t="str">
        <v>Operations (supplies, consultants, travels, workshops, other)</v>
      </c>
      <c r="B3" s="17">
        <v>0</v>
      </c>
      <c r="C3" s="17">
        <v>0</v>
      </c>
      <c r="D3" s="17">
        <v>0</v>
      </c>
      <c r="E3" s="17">
        <v>0</v>
      </c>
      <c r="F3" s="17">
        <v>0</v>
      </c>
      <c r="G3" s="17">
        <v>0</v>
      </c>
      <c r="H3" s="17" t="str">
        <f>=SUM(B3:G3)</f>
        <v>0</v>
      </c>
    </row>
    <row r="4" ht="20" customHeight="1">
      <c r="A4" s="17" t="str">
        <v>Staffing, Chargebacks and Indirect</v>
      </c>
      <c r="B4" s="17">
        <v>0</v>
      </c>
      <c r="C4" s="17">
        <v>0</v>
      </c>
      <c r="D4" s="17">
        <v>0</v>
      </c>
      <c r="E4" s="17">
        <v>0</v>
      </c>
      <c r="F4" s="17">
        <v>0</v>
      </c>
      <c r="G4" s="17">
        <v>0</v>
      </c>
      <c r="H4" s="17" t="str">
        <f>=SUM(B4:G4)</f>
        <v>0</v>
      </c>
    </row>
    <row r="5" ht="20" customHeight="1">
      <c r="A5" s="18" t="str">
        <v>Subtotal</v>
      </c>
      <c r="B5" s="19" t="str">
        <f>=SUM(B2:B4)</f>
        <v>0</v>
      </c>
      <c r="C5" s="20" t="str">
        <f>=SUM(C2:C4)</f>
        <v>0</v>
      </c>
      <c r="D5" s="20" t="str">
        <f>=SUM(D2:D4)</f>
        <v>0</v>
      </c>
      <c r="E5" s="20" t="str">
        <f>=SUM(E2:E4)</f>
        <v>0</v>
      </c>
      <c r="F5" s="20" t="str">
        <f>=SUM(F2:F4)</f>
        <v>0</v>
      </c>
      <c r="G5" s="20" t="str">
        <f>=SUM(G2:G4)</f>
        <v>0</v>
      </c>
      <c r="H5" s="20"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