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234000</v>
      </c>
      <c r="M4" s="5">
        <v>0</v>
      </c>
    </row>
    <row r="5" ht="20" customHeight="1">
      <c r="A5" s="2" t="str">
        <v xml:space="preserve">AOW01: Foresight and Prioritization </v>
      </c>
      <c r="B5" s="2">
        <v>3</v>
      </c>
      <c r="C5" s="5">
        <v>249543</v>
      </c>
      <c r="D5" s="2">
        <v>16</v>
      </c>
      <c r="E5" s="5">
        <v>637163</v>
      </c>
      <c r="F5" s="2">
        <v>12</v>
      </c>
      <c r="G5" s="5">
        <v>394264</v>
      </c>
      <c r="H5" s="2">
        <v>22</v>
      </c>
      <c r="I5" s="5">
        <v>422978</v>
      </c>
      <c r="J5" s="5">
        <v>0</v>
      </c>
      <c r="K5" s="5">
        <v>0</v>
      </c>
      <c r="L5" s="5">
        <v>1703948</v>
      </c>
      <c r="M5" s="5">
        <v>889835</v>
      </c>
    </row>
    <row r="6" ht="20" customHeight="1">
      <c r="A6" s="2" t="str">
        <v xml:space="preserve">AOW02: Market-led Food Systems Transformation </v>
      </c>
      <c r="B6" s="2">
        <v>0</v>
      </c>
      <c r="C6" s="5">
        <v>0</v>
      </c>
      <c r="D6" s="2">
        <v>0</v>
      </c>
      <c r="E6" s="5">
        <v>0</v>
      </c>
      <c r="F6" s="2">
        <v>5</v>
      </c>
      <c r="G6" s="5">
        <v>56186</v>
      </c>
      <c r="H6" s="2">
        <v>16</v>
      </c>
      <c r="I6" s="5">
        <v>593931</v>
      </c>
      <c r="J6" s="5">
        <v>0</v>
      </c>
      <c r="K6" s="5">
        <v>0</v>
      </c>
      <c r="L6" s="5">
        <v>650117</v>
      </c>
      <c r="M6" s="5">
        <v>2046328</v>
      </c>
    </row>
    <row r="7" ht="20" customHeight="1">
      <c r="A7" s="2" t="str">
        <v xml:space="preserve">AOW03: Governance and Political Economy </v>
      </c>
      <c r="B7" s="2">
        <v>2</v>
      </c>
      <c r="C7" s="5">
        <v>100000</v>
      </c>
      <c r="D7" s="2">
        <v>7</v>
      </c>
      <c r="E7" s="5">
        <v>136219</v>
      </c>
      <c r="F7" s="2">
        <v>2</v>
      </c>
      <c r="G7" s="5">
        <v>26250</v>
      </c>
      <c r="H7" s="2">
        <v>9</v>
      </c>
      <c r="I7" s="5">
        <v>142511</v>
      </c>
      <c r="J7" s="5">
        <v>0</v>
      </c>
      <c r="K7" s="5">
        <v>0</v>
      </c>
      <c r="L7" s="5">
        <v>404980</v>
      </c>
      <c r="M7" s="5">
        <v>2030290</v>
      </c>
    </row>
    <row r="8" ht="20" customHeight="1">
      <c r="A8" s="2" t="str">
        <v xml:space="preserve">AOW04: Water, Energy, Food, and Environment (WEFE) Nexus Policy </v>
      </c>
      <c r="B8" s="2">
        <v>3</v>
      </c>
      <c r="C8" s="5">
        <v>95646</v>
      </c>
      <c r="D8" s="2">
        <v>8</v>
      </c>
      <c r="E8" s="5">
        <v>110331</v>
      </c>
      <c r="F8" s="2">
        <v>2</v>
      </c>
      <c r="G8" s="5">
        <v>30861</v>
      </c>
      <c r="H8" s="2">
        <v>6</v>
      </c>
      <c r="I8" s="5">
        <v>76487</v>
      </c>
      <c r="J8" s="5">
        <v>0</v>
      </c>
      <c r="K8" s="5">
        <v>0</v>
      </c>
      <c r="L8" s="5">
        <v>313325</v>
      </c>
      <c r="M8" s="5">
        <v>0</v>
      </c>
    </row>
    <row r="9" ht="20" customHeight="1">
      <c r="A9" s="2" t="str">
        <v>AOW05: Country and Regional Strategy and Engagement</v>
      </c>
      <c r="B9" s="2">
        <v>0</v>
      </c>
      <c r="C9" s="5">
        <v>0</v>
      </c>
      <c r="D9" s="2">
        <v>18</v>
      </c>
      <c r="E9" s="5">
        <v>216352</v>
      </c>
      <c r="F9" s="2">
        <v>13</v>
      </c>
      <c r="G9" s="5">
        <v>216352</v>
      </c>
      <c r="H9" s="2">
        <v>71</v>
      </c>
      <c r="I9" s="5">
        <v>649056</v>
      </c>
      <c r="J9" s="5">
        <v>0</v>
      </c>
      <c r="K9" s="5">
        <v>0</v>
      </c>
      <c r="L9" s="5">
        <v>1081760</v>
      </c>
      <c r="M9" s="5">
        <v>4685118</v>
      </c>
    </row>
    <row r="10" ht="20" customHeight="1">
      <c r="A10" s="2" t="str">
        <v xml:space="preserve">AOW06: Global Poverty and Jobs Policy Knowledge Brokering Hub </v>
      </c>
      <c r="B10" s="2">
        <v>0</v>
      </c>
      <c r="C10" s="5">
        <v>0</v>
      </c>
      <c r="D10" s="2">
        <v>13</v>
      </c>
      <c r="E10" s="5">
        <v>233376</v>
      </c>
      <c r="F10" s="2">
        <v>0</v>
      </c>
      <c r="G10" s="5">
        <v>0</v>
      </c>
      <c r="H10" s="2">
        <v>15</v>
      </c>
      <c r="I10" s="5">
        <v>251533</v>
      </c>
      <c r="J10" s="5">
        <v>0</v>
      </c>
      <c r="K10" s="5">
        <v>0</v>
      </c>
      <c r="L10" s="5">
        <v>484909</v>
      </c>
      <c r="M10" s="5">
        <v>720040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234000</v>
      </c>
      <c r="E3" s="11" t="str">
        <v>Program coordinator and Melia (with coms support function). The MELIA person will work closely with AOW leads and staff on conducting MELIA studies. The MELIA studies are budgeted within AOW budgets</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0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 Agenda Setting</v>
      </c>
      <c r="C3" s="11" t="str">
        <v>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v>
      </c>
      <c r="D3" s="11" t="str">
        <v>Number of knowledge products</v>
      </c>
      <c r="E3" s="11" t="str">
        <v>Global</v>
      </c>
      <c r="F3" s="11">
        <v>1</v>
      </c>
      <c r="G3" s="11">
        <v>68224</v>
      </c>
      <c r="H3" s="11">
        <f>SUM(G3:G4)</f>
      </c>
      <c r="I3" s="11" t="str">
        <v>Partner and budget to be added in Q1 2026</v>
      </c>
    </row>
    <row r="4" ht="50" customHeight="1">
      <c r="A4" s="11" t="str">
        <v>AOW01</v>
      </c>
      <c r="C4" s="11" t="str">
        <v>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v>
      </c>
      <c r="D4" s="11" t="str">
        <v>Number of innovations (innovation development)</v>
      </c>
      <c r="E4" s="11" t="str">
        <v>Global</v>
      </c>
      <c r="F4" s="11">
        <v>1</v>
      </c>
      <c r="G4" s="11">
        <v>68224</v>
      </c>
      <c r="I4" s="11" t="str">
        <v>Partner and budget to be added in Q1 2026</v>
      </c>
    </row>
    <row r="5" ht="50" customHeight="1">
      <c r="A5" s="11" t="str">
        <v>AOW01</v>
      </c>
      <c r="B5" s="11" t="str">
        <v>1.2. Policy response</v>
      </c>
      <c r="C5" s="11" t="str">
        <v>Country model (RIAPA) development for prioritizing policies and investment, maintenance, documentation, and dissemination</v>
      </c>
      <c r="D5" s="11" t="str">
        <v>Number of innovations (innovation development)</v>
      </c>
      <c r="E5" s="11" t="str">
        <v>Country: Kenya, Malawi, Ethiopia</v>
      </c>
      <c r="F5" s="11">
        <v>2</v>
      </c>
      <c r="G5" s="11">
        <v>181319</v>
      </c>
      <c r="H5" s="11">
        <f>SUM(G5:G14)</f>
      </c>
      <c r="I5" s="11" t="str">
        <v>Partner and budget to be added in Q1 2026</v>
      </c>
    </row>
    <row r="6" ht="50" customHeight="1">
      <c r="A6" s="11" t="str">
        <v>AOW01</v>
      </c>
      <c r="C6" s="11" t="str">
        <v>Development prospects reports identifying national strategic goals, including development, social inclusion, and climate pathways and policy needs.</v>
      </c>
      <c r="D6" s="11" t="str">
        <v xml:space="preserve"> Policy informed</v>
      </c>
      <c r="E6" s="11" t="str">
        <v>Country: Kenya, Malawi</v>
      </c>
      <c r="F6" s="11">
        <v>2</v>
      </c>
      <c r="G6" s="11">
        <v>90659</v>
      </c>
      <c r="I6" s="11" t="str">
        <v>Partner and budget to be added in Q1 2026</v>
      </c>
    </row>
    <row r="7" ht="50" customHeight="1">
      <c r="A7" s="11" t="str">
        <v>AOW01</v>
      </c>
      <c r="C7" s="11" t="str">
        <v>Development prospects reports identifying national strategic goals, including development, social inclusion, and climate pathways and policy needs.</v>
      </c>
      <c r="D7" s="11" t="str">
        <v>Number of knowledge products</v>
      </c>
      <c r="E7" s="11" t="str">
        <v>Country: Kenya, Malawi</v>
      </c>
      <c r="F7" s="11">
        <v>2</v>
      </c>
      <c r="G7" s="11">
        <v>90658</v>
      </c>
      <c r="I7" s="11" t="str">
        <v>-Partner and budget to be added in Q1 2026</v>
      </c>
    </row>
    <row r="8" ht="50" customHeight="1">
      <c r="A8" s="11" t="str">
        <v>AOW01</v>
      </c>
      <c r="C8" s="11" t="str">
        <v>Policy evaluation and/or investment prioritization reports with national Ministries of Agriculture and Planning depending on country demand : policy recommendations developed from reports</v>
      </c>
      <c r="D8" s="11" t="str">
        <v xml:space="preserve"> Policy recommendations</v>
      </c>
      <c r="E8" s="11" t="str">
        <v>Country: Ethiopia, Malawi, Kenya</v>
      </c>
      <c r="F8" s="11">
        <v>4</v>
      </c>
      <c r="G8" s="11">
        <v>196329</v>
      </c>
      <c r="I8" s="11" t="str">
        <v>-Partner and budget to be added in Q1 2026</v>
      </c>
    </row>
    <row r="9" ht="50" customHeight="1">
      <c r="A9" s="11" t="str">
        <v>AOW01</v>
      </c>
      <c r="C9" s="11" t="str">
        <v>Policy evaluation and/or investment prioritization reports with national Ministries of Agriculture and Planning depending on country demand</v>
      </c>
      <c r="D9" s="11" t="str">
        <v>Number of knowledge products</v>
      </c>
      <c r="E9" s="11" t="str">
        <v>Country: Malawi, Ethiopia, Kenya</v>
      </c>
      <c r="F9" s="11">
        <v>4</v>
      </c>
      <c r="G9" s="11">
        <v>196329</v>
      </c>
      <c r="I9" s="11" t="str">
        <v>Partner and budget to be added in Q1 2026</v>
      </c>
    </row>
    <row r="10" ht="50" customHeight="1" xml:space="preserve">
      <c r="A10" s="11" t="str">
        <v>AOW01</v>
      </c>
      <c r="C10" s="11" t="str">
        <v>Economywide risk profile reports identifying key vulnerabilities for poverty and food security, thereby informing policy priorities</v>
      </c>
      <c r="D10" s="11" t="str">
        <v xml:space="preserve"> Policy recommendations</v>
      </c>
      <c r="E10" s="11" t="str">
        <v>Country: Malawi, Kenya, Ethiopia</v>
      </c>
      <c r="F10" s="11">
        <v>8</v>
      </c>
      <c r="G10" s="11">
        <v>67995</v>
      </c>
      <c r="I10" s="11" t="str" xml:space="preserve">
        <v xml:space="preserve">Partner and budget to be added in Q1 2026
</v>
      </c>
    </row>
    <row r="11" ht="50" customHeight="1">
      <c r="A11" s="11" t="str">
        <v>AOW01</v>
      </c>
      <c r="C11" s="11" t="str">
        <v>Economywide risk profile reports identifying key vulnerabilities for poverty and food security, thereby informing policy priorities</v>
      </c>
      <c r="D11" s="11" t="str">
        <v>Number of knowledge products</v>
      </c>
      <c r="E11" s="11" t="str">
        <v>Country: Malawi, Kenya, Ethiopia</v>
      </c>
      <c r="F11" s="11">
        <v>4</v>
      </c>
      <c r="G11" s="11">
        <v>67995</v>
      </c>
      <c r="I11" s="11" t="str">
        <v>Partner and budget to be added in Q1 2026</v>
      </c>
    </row>
    <row r="12" ht="50" customHeight="1">
      <c r="A12" s="11" t="str">
        <v>AOW01</v>
      </c>
      <c r="C12" s="11" t="str">
        <v>PPt slide-decks and blogs with IMPACT+ modeling system simulations capturing R&amp;D impacts and commodity market dynamics</v>
      </c>
      <c r="D12" s="11" t="str">
        <v>Number of knowledge products</v>
      </c>
      <c r="E12" s="11" t="str">
        <v>Country: Kenya, Bangladesh, Ethiopia</v>
      </c>
      <c r="F12" s="11">
        <v>1</v>
      </c>
      <c r="G12" s="11">
        <v>145962</v>
      </c>
      <c r="I12" s="11" t="str">
        <v>Partner and budget to be added in Q1 2026</v>
      </c>
    </row>
    <row r="13" ht="50" customHeight="1">
      <c r="A13" s="11" t="str">
        <v>AOW01</v>
      </c>
      <c r="C13" s="11" t="str">
        <v>Agrifood system diagnostic reports identifying drivers of transformation, and future priorities for inclusive growth: policy recommendations based on report</v>
      </c>
      <c r="D13" s="11" t="str">
        <v xml:space="preserve"> Policy recommendations</v>
      </c>
      <c r="E13" s="11" t="str">
        <v>Country: Kenya, Ethiopia, Malawi</v>
      </c>
      <c r="F13" s="11">
        <v>8</v>
      </c>
      <c r="G13" s="11">
        <v>67995</v>
      </c>
      <c r="I13" s="11" t="str">
        <v>-</v>
      </c>
    </row>
    <row r="14" ht="50" customHeight="1">
      <c r="A14" s="11" t="str">
        <v>AOW01</v>
      </c>
      <c r="C14" s="11" t="str">
        <v>Agrifood system diagnostic reports identifying drivers of transformation, and future priorities for inclusive growth</v>
      </c>
      <c r="D14" s="11" t="str">
        <v>Number of knowledge products</v>
      </c>
      <c r="E14" s="11" t="str">
        <v>Country: Kenya, Ethiopia, Malawi</v>
      </c>
      <c r="F14" s="11">
        <v>4</v>
      </c>
      <c r="G14" s="11">
        <v>67995</v>
      </c>
      <c r="I14" s="11" t="str">
        <v>Partner and budget to be added in Q1 2026</v>
      </c>
    </row>
    <row r="15" ht="50" customHeight="1" xml:space="preserve">
      <c r="A15" s="11" t="str">
        <v>AOW01</v>
      </c>
      <c r="B15" s="11" t="str">
        <v>1.3. Capacity Sharing Activities</v>
      </c>
      <c r="C15" s="11" t="str">
        <v>Regional modeling training workshops on RIAPA models for policy and investment prioritization</v>
      </c>
      <c r="D15" s="11" t="str">
        <v>Number of people trained (capacity sharing for development)</v>
      </c>
      <c r="E15" s="11" t="str">
        <v>Country: Kenya, Ethiopia, Bangladesh</v>
      </c>
      <c r="F15" s="11">
        <v>4</v>
      </c>
      <c r="G15" s="11">
        <v>60638</v>
      </c>
      <c r="H15" s="11">
        <f>SUM(G15:G17)</f>
      </c>
      <c r="I15" s="11" t="str" xml:space="preserve">
        <v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v>
      </c>
    </row>
    <row r="16" ht="50" customHeight="1" xml:space="preserve">
      <c r="A16" s="11" t="str">
        <v>AOW01</v>
      </c>
      <c r="C16" s="11" t="str">
        <v>Country modeling training and rapid response using RIAPA models for policy and investment prioritization</v>
      </c>
      <c r="D16" s="11" t="str">
        <v>Number of people trained (capacity sharing for development)</v>
      </c>
      <c r="E16" s="11" t="str">
        <v>Country: Malawi, Ethiopia, Kenya</v>
      </c>
      <c r="F16" s="11">
        <v>4</v>
      </c>
      <c r="G16" s="11">
        <v>197637</v>
      </c>
      <c r="I16" s="11" t="str" xml:space="preserve">
        <v xml:space="preserve">National Planning Commission (Malawi) - $15,000 (across all capacity sharing)
Ministry of Planning and Development (Ethiopia) - $15,000 (across all capacity sharing)
Kenya Institute for Public Policy Research and Analysis (Kenya) - $15,000 (across all capacity sharing)
</v>
      </c>
    </row>
    <row r="17" ht="50" customHeight="1" xml:space="preserve">
      <c r="A17" s="11" t="str">
        <v>AOW01</v>
      </c>
      <c r="C17" s="11" t="str">
        <v>Country modeling training and rapid response using RIAPA models for policy and investment prioritization</v>
      </c>
      <c r="D17" s="11" t="str">
        <v>Number of people trained (capacity sharing for development)</v>
      </c>
      <c r="E17" s="11" t="str">
        <v>Country: Kenya, Ethiopia, Malawi</v>
      </c>
      <c r="F17" s="11">
        <v>4</v>
      </c>
      <c r="G17" s="11">
        <v>135989</v>
      </c>
      <c r="I17" s="11" t="str" xml:space="preserve">
        <v xml:space="preserve">National Planning Commission (Malawi) - $15,000 (across all capacity sharing)
Ministry of Planning and Development (Ethiopia) - $15,000 (across all capacity sharing)
Kenya Institute for Public Policy Research and Analysis (Kenya) - $15,000 (across all capacity sharing)</v>
      </c>
    </row>
    <row r="18" ht="25" customHeight="1">
      <c r="B18" s="14" t="str">
        <v>HLO budget subtotal</v>
      </c>
      <c r="H18" s="15">
        <f>SUM(H3:H17)</f>
      </c>
    </row>
    <row r="19" ht="50" customHeight="1">
      <c r="A19" s="13" t="str">
        <v>AOW02</v>
      </c>
      <c r="B19" s="11" t="str">
        <v>2.1.Global Agenda Setting</v>
      </c>
      <c r="C19" s="11" t="str">
        <v>A Strategic Book on Global Agricultural Trade from a Global South Perspective; discussion paper on the impact of cross-border food trade restrictions (export and import bans) in the ECOWAS region: Policy recommendations based on the report</v>
      </c>
      <c r="D19" s="11" t="str">
        <v xml:space="preserve"> Policy recommendation</v>
      </c>
      <c r="E19" s="11" t="str">
        <v>Country: Senegal</v>
      </c>
      <c r="F19" s="11">
        <v>3</v>
      </c>
      <c r="G19" s="11">
        <v>119362</v>
      </c>
      <c r="H19" s="11">
        <f>SUM(G19:G19)</f>
      </c>
      <c r="I19" s="11" t="str">
        <v>Partner and budget to be added in Q1 2026</v>
      </c>
    </row>
    <row r="20" ht="50" customHeight="1">
      <c r="A20" s="11" t="str">
        <v>AOW02</v>
      </c>
      <c r="B20" s="11" t="str">
        <v>2.2.  Policy response</v>
      </c>
      <c r="C20" s="11" t="str">
        <v>Paper on the impact of the Agricultural Commercialization Cluster (ACC) program</v>
      </c>
      <c r="D20" s="11" t="str">
        <v xml:space="preserve"> Policy recommendation</v>
      </c>
      <c r="E20" s="11" t="str">
        <v>Country: United States of America, Ethiopia</v>
      </c>
      <c r="F20" s="11">
        <v>2</v>
      </c>
      <c r="G20" s="11">
        <v>95490</v>
      </c>
      <c r="H20" s="11">
        <f>SUM(G20:G24)</f>
      </c>
      <c r="I20" s="11" t="str">
        <v>Partner and budget to be added in Q1 2026</v>
      </c>
    </row>
    <row r="21" ht="50" customHeight="1">
      <c r="A21" s="11" t="str">
        <v>AOW02</v>
      </c>
      <c r="C21" s="11" t="str">
        <v>Malawi fertilizer subsidy innovation study: Policy recommendations developed</v>
      </c>
      <c r="D21" s="11" t="str">
        <v xml:space="preserve"> Policy recommendation</v>
      </c>
      <c r="E21" s="11" t="str">
        <v>Country: Malawi, Belgium</v>
      </c>
      <c r="F21" s="11">
        <v>2</v>
      </c>
      <c r="G21" s="11">
        <v>71617</v>
      </c>
      <c r="I21" s="11" t="str">
        <v>Partner and budget to be added in Q1 2026</v>
      </c>
    </row>
    <row r="22" ht="50" customHeight="1">
      <c r="A22" s="11" t="str">
        <v>AOW02</v>
      </c>
      <c r="C22" s="11" t="str">
        <v>Evidence-based diagnostic report for Ethiopia’s next five-year plan with policy recommendations and supporting evidence</v>
      </c>
      <c r="D22" s="11" t="str">
        <v xml:space="preserve"> Policy recommendation</v>
      </c>
      <c r="E22" s="11" t="str">
        <v>Country: United States of America, Ethiopia</v>
      </c>
      <c r="F22" s="11">
        <v>5</v>
      </c>
      <c r="G22" s="11">
        <v>140355</v>
      </c>
      <c r="I22" s="11" t="str">
        <v>Partner and budget to be added in Q1 2026</v>
      </c>
    </row>
    <row r="23" ht="50" customHeight="1">
      <c r="A23" s="11" t="str">
        <v>AOW02</v>
      </c>
      <c r="C23" s="11" t="str">
        <v>Analysis and recommendations on public procurement to support diversification out of rice: Policy recommendations based on the report</v>
      </c>
      <c r="D23" s="11" t="str">
        <v xml:space="preserve"> Policy recommendation</v>
      </c>
      <c r="E23" s="11" t="str">
        <v>Country: India</v>
      </c>
      <c r="F23" s="11">
        <v>2</v>
      </c>
      <c r="G23" s="11">
        <v>95490</v>
      </c>
      <c r="I23" s="11" t="str">
        <v>Partner and budget to be added in Q1 2026</v>
      </c>
    </row>
    <row r="24" ht="50" customHeight="1">
      <c r="A24" s="11" t="str">
        <v>AOW02</v>
      </c>
      <c r="C24" s="11" t="str">
        <v>Kenya fertilizer subsidy innovation study: Policy recommendations developed</v>
      </c>
      <c r="D24" s="11" t="str">
        <v xml:space="preserve"> Policy recommendation</v>
      </c>
      <c r="E24" s="11" t="str">
        <v>Country: United States of America, Kenya</v>
      </c>
      <c r="F24" s="11">
        <v>2</v>
      </c>
      <c r="G24" s="11">
        <v>71617</v>
      </c>
      <c r="I24" s="11" t="str">
        <v>Partner and budget to be added in Q1 2026</v>
      </c>
    </row>
    <row r="25" ht="50" customHeight="1">
      <c r="A25" s="11" t="str">
        <v>AOW02</v>
      </c>
      <c r="B25" s="11" t="str">
        <v>2.3. Capacity sharing activities</v>
      </c>
      <c r="C25" s="11" t="str">
        <v>Critical Capability - Tool- Tool development and capacity sharing with agricultural trade negotiators and policymakers. This will faciliate modelling and engagement on rice policy, subsidies and trade packages in AoW2 as well as any work on these topics in other AoWs.</v>
      </c>
      <c r="D25" s="11" t="str">
        <v>Number of people trained (capacity sharing for development)</v>
      </c>
      <c r="E25" s="11" t="str">
        <v>Country: United States of America, Senegal</v>
      </c>
      <c r="F25" s="11">
        <v>5</v>
      </c>
      <c r="G25" s="11">
        <v>56186</v>
      </c>
      <c r="H25" s="11">
        <f>SUM(G25:G25)</f>
      </c>
      <c r="I25" s="11" t="str">
        <v>Partner and budget to be added in Q1 2026</v>
      </c>
    </row>
    <row r="26" ht="25" customHeight="1">
      <c r="B26" s="15" t="str">
        <v>HLO budget subtotal</v>
      </c>
      <c r="H26" s="15">
        <f>SUM(H19:H25)</f>
      </c>
    </row>
    <row r="27" ht="50" customHeight="1" xml:space="preserve">
      <c r="A27" s="13" t="str">
        <v>AOW03</v>
      </c>
      <c r="B27" s="11" t="str">
        <v>3.1. Agenda Setting</v>
      </c>
      <c r="C27" s="11" t="str">
        <v xml:space="preserve">Critical capability - Policy engagement - Analytical report and mapping of global food system governance initiatives by multilateral and regional bodies that identifies why some have been sustainable and others have faltered </v>
      </c>
      <c r="D27" s="11" t="str">
        <v xml:space="preserve"> Policy recommendations</v>
      </c>
      <c r="E27" s="11" t="str">
        <v>Global</v>
      </c>
      <c r="F27" s="11">
        <v>2</v>
      </c>
      <c r="G27" s="11">
        <v>21106</v>
      </c>
      <c r="H27" s="11">
        <f>SUM(G27:G30)</f>
      </c>
      <c r="I27" s="11" t="str" xml:space="preserve">
        <v xml:space="preserve">UNDP Food &amp; Power Initiative
University of Sydney
University of Waterloo 
Budget to be added in Q1 2026</v>
      </c>
    </row>
    <row r="28" ht="50" customHeight="1" xml:space="preserve">
      <c r="A28" s="11" t="str">
        <v>AOW03</v>
      </c>
      <c r="C28" s="11" t="str">
        <v xml:space="preserve">Critical Capability - Policy Engagement - Analytical report and mapping of global food system governance initiatives by multilateral and regional bodies that identifies why some have been sustainable and others have faltered </v>
      </c>
      <c r="D28" s="11" t="str">
        <v>Number of knowledge products</v>
      </c>
      <c r="E28" s="11" t="str">
        <v>Global</v>
      </c>
      <c r="F28" s="11">
        <v>1</v>
      </c>
      <c r="G28" s="11">
        <v>19732</v>
      </c>
      <c r="I28" s="11" t="str" xml:space="preserve">
        <v xml:space="preserve">UNDP Food &amp; Power Initiative
University of Sydney
University of Waterloo 
Budget to be added in Q1 2026</v>
      </c>
    </row>
    <row r="29" ht="50" customHeight="1" xml:space="preserve">
      <c r="A29" s="11" t="str">
        <v>AOW03</v>
      </c>
      <c r="C29" s="11" t="str">
        <v>Critical Capability - Policy Engagement - Special journal issue on Rebuilding Global Food Systems Governance under a crisis of Multilateralism : Policy recommendations developed</v>
      </c>
      <c r="D29" s="11" t="str">
        <v xml:space="preserve"> Policy Recommendations</v>
      </c>
      <c r="E29" s="11" t="str">
        <v>Global</v>
      </c>
      <c r="F29" s="11">
        <v>2</v>
      </c>
      <c r="G29" s="11">
        <v>7655</v>
      </c>
      <c r="I29" s="11" t="str" xml:space="preserve">
        <v xml:space="preserve">UNDP Food &amp; Power Initiative
University of Sydney
University of Waterloo 
Budget to be added in Q1 2026</v>
      </c>
    </row>
    <row r="30" ht="50" customHeight="1" xml:space="preserve">
      <c r="A30" s="11" t="str">
        <v>AOW03</v>
      </c>
      <c r="C30" s="11" t="str">
        <v xml:space="preserve">Critical Capability -  Policy Engagement - Special journal issue on Rebuilding Global Food Systems Governance under a crisis of Multilateralism </v>
      </c>
      <c r="D30" s="11" t="str">
        <v>Number of knowledge products</v>
      </c>
      <c r="E30" s="11" t="str">
        <v>Global</v>
      </c>
      <c r="F30" s="11">
        <v>1</v>
      </c>
      <c r="G30" s="11">
        <v>7655</v>
      </c>
      <c r="I30" s="11" t="str" xml:space="preserve">
        <v xml:space="preserve">UNDP Food &amp; Power Initiative
University of Sydney
University of Waterloo 
Budget to be added in Q1 2026</v>
      </c>
    </row>
    <row r="31" ht="50" customHeight="1" xml:space="preserve">
      <c r="A31" s="11" t="str">
        <v>AOW03</v>
      </c>
      <c r="B31" s="11" t="str">
        <v>3.2. Policy response</v>
      </c>
      <c r="C31" s="11" t="str">
        <v>Political Economy of Rural Investment (PERI) methodological development brief with country applications</v>
      </c>
      <c r="D31" s="11" t="str">
        <v xml:space="preserve"> No. of policy recommendations developed</v>
      </c>
      <c r="E31" s="11" t="str">
        <v>Country: Malawi, Kenya</v>
      </c>
      <c r="F31" s="11">
        <v>2</v>
      </c>
      <c r="G31" s="11">
        <v>25000</v>
      </c>
      <c r="H31" s="11">
        <f>SUM(G31:G36)</f>
      </c>
      <c r="I31" s="11" t="str" xml:space="preserve">
        <v xml:space="preserve">Kenya Institute for Public Policy Research and Analysis (Kenya)
National Planning Commission (Malawi)
Budget to be added in Q1 2026</v>
      </c>
    </row>
    <row r="32" ht="50" customHeight="1" xml:space="preserve">
      <c r="A32" s="11" t="str">
        <v>AOW03</v>
      </c>
      <c r="C32" s="11" t="str">
        <v>Political Economy of Rural Investment (PERI) methodological development brief with country applications</v>
      </c>
      <c r="D32" s="11" t="str">
        <v>Number of innovations (innovation development)</v>
      </c>
      <c r="E32" s="11" t="str">
        <v>Country: Malawi, Kenya</v>
      </c>
      <c r="F32" s="11">
        <v>1</v>
      </c>
      <c r="G32" s="11">
        <v>25000</v>
      </c>
      <c r="I32" s="11" t="str" xml:space="preserve">
        <v xml:space="preserve">Kenya Institute for Public Policy Research and Analysis (Kenya)
National Planning Commission (Malawi)
Budget to be added in Q1 2026</v>
      </c>
    </row>
    <row r="33" ht="50" customHeight="1">
      <c r="A33" s="11" t="str">
        <v>AOW03</v>
      </c>
      <c r="C33" s="11" t="str">
        <v>Annual political risk to agrifood system assessments</v>
      </c>
      <c r="D33" s="11" t="str">
        <v>Number of knowledge products</v>
      </c>
      <c r="E33" s="11" t="str">
        <v>Global</v>
      </c>
      <c r="F33" s="11">
        <v>2</v>
      </c>
      <c r="G33" s="11">
        <v>46332</v>
      </c>
      <c r="I33" s="11" t="str">
        <v>Partner and budget to be added in Q1 2026</v>
      </c>
    </row>
    <row r="34" ht="50" customHeight="1" xml:space="preserve">
      <c r="A34" s="11" t="str">
        <v>AOW03</v>
      </c>
      <c r="C34" s="11" t="str">
        <v>PAID application to country priority policy issues: Policy recommendations developed based on report</v>
      </c>
      <c r="D34" s="11" t="str">
        <v xml:space="preserve"> Number of policy recommendations developed</v>
      </c>
      <c r="E34" s="11" t="str">
        <v>Country: Kenya, Malawi</v>
      </c>
      <c r="F34" s="11">
        <v>2</v>
      </c>
      <c r="G34" s="11">
        <v>62500</v>
      </c>
      <c r="I34" s="11" t="str" xml:space="preserve">
        <v xml:space="preserve">Kenya Institute for Public Policy Research and Analysis (Kenya)
National Planning Commission (Malawi)
Budget to be added in Q1 2026</v>
      </c>
    </row>
    <row r="35" ht="50" customHeight="1" xml:space="preserve">
      <c r="A35" s="11" t="str">
        <v>AOW03</v>
      </c>
      <c r="C35" s="11" t="str">
        <v>PAID application to country priority policy issues: Country reports developed</v>
      </c>
      <c r="D35" s="11" t="str">
        <v>Number of knowledge products</v>
      </c>
      <c r="E35" s="11" t="str">
        <v>Country: Kenya, Malawi</v>
      </c>
      <c r="F35" s="11">
        <v>3</v>
      </c>
      <c r="G35" s="11">
        <v>62500</v>
      </c>
      <c r="I35" s="11" t="str" xml:space="preserve">
        <v xml:space="preserve">Kenya Institute for Public Policy Research and Analysis (Kenya)
National Planning Commission (Malawi)
Budget to be added in Q1 2026</v>
      </c>
    </row>
    <row r="36" ht="50" customHeight="1" xml:space="preserve">
      <c r="A36" s="11" t="str">
        <v>AOW03</v>
      </c>
      <c r="C36" s="11" t="str">
        <v>Policy Alignment and Implementation Diagnostic (PAID) Methodology development and report</v>
      </c>
      <c r="D36" s="11" t="str">
        <v>Number of innovations (innovation development)</v>
      </c>
      <c r="E36" s="11" t="str">
        <v>Country: Malawi, Kenya, Ethiopia</v>
      </c>
      <c r="F36" s="11">
        <v>1</v>
      </c>
      <c r="G36" s="11">
        <v>75000</v>
      </c>
      <c r="I36" s="11" t="str" xml:space="preserve">
        <v xml:space="preserve">Kenya Institute for Public Policy Research and Analysis (Kenya)
Policy Studies Institute (Ethiopia)
National Planning Commission (Malawi)
Budget to be added in Q1 2026</v>
      </c>
    </row>
    <row r="37" ht="50" customHeight="1">
      <c r="A37" s="11" t="str">
        <v>AOW03</v>
      </c>
      <c r="B37" s="11" t="str">
        <v>3.3. Capacity sharing activities</v>
      </c>
      <c r="C37" s="11" t="str">
        <v xml:space="preserve">PERI (Political Economy of Rural Investment ) country analytical reports and training </v>
      </c>
      <c r="D37" s="11" t="str">
        <v xml:space="preserve"> Policy demand, consultations &amp; dialogues</v>
      </c>
      <c r="E37" s="11" t="str">
        <v>Country: Malawi, Kenya</v>
      </c>
      <c r="F37" s="11">
        <v>1</v>
      </c>
      <c r="G37" s="11">
        <v>26250</v>
      </c>
      <c r="H37" s="11">
        <f>SUM(G37:G38)</f>
      </c>
      <c r="I37" s="11" t="str">
        <v>Partner and budget to be added in Q1 2026</v>
      </c>
    </row>
    <row r="38" ht="50" customHeight="1">
      <c r="A38" s="11" t="str">
        <v>AOW03</v>
      </c>
      <c r="C38" s="11" t="str">
        <v xml:space="preserve">PERI (Political Economy of Rural Investment ) country analytical reports and training </v>
      </c>
      <c r="D38" s="11" t="str">
        <v>Number of people trained (capacity sharing for development)</v>
      </c>
      <c r="E38" s="11" t="str">
        <v>Country: Kenya, Malawi</v>
      </c>
      <c r="F38" s="11">
        <v>2</v>
      </c>
      <c r="G38" s="11">
        <v>26250</v>
      </c>
      <c r="I38" s="11" t="str">
        <v>Partner and budget to be added in Q1 2026</v>
      </c>
    </row>
    <row r="39" ht="25" customHeight="1">
      <c r="B39" s="15" t="str">
        <v>HLO budget subtotal</v>
      </c>
      <c r="H39" s="15">
        <f>SUM(H27:H38)</f>
      </c>
    </row>
    <row r="40" ht="50" customHeight="1" xml:space="preserve">
      <c r="A40" s="13" t="str">
        <v>AOW04</v>
      </c>
      <c r="B40" s="11" t="str">
        <v>4.1. Agenda Setting</v>
      </c>
      <c r="C40"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40" s="11" t="str">
        <v xml:space="preserve"> Policy recommendations</v>
      </c>
      <c r="E40" s="11" t="str">
        <v>Country: Sri Lanka, Pakistan, Canada, United States of America</v>
      </c>
      <c r="F40" s="11">
        <v>2</v>
      </c>
      <c r="G40" s="11">
        <v>14041</v>
      </c>
      <c r="H40" s="11">
        <f>SUM(G40:G43)</f>
      </c>
      <c r="I40" s="11" t="str" xml:space="preserve">
        <v xml:space="preserve">African Union
FAO
UAE 
Gov of Saudi Arabia
Gov of Germany
Budget to be added in Q1 2026</v>
      </c>
    </row>
    <row r="41" ht="50" customHeight="1" xml:space="preserve">
      <c r="A41" s="11" t="str">
        <v>AOW04</v>
      </c>
      <c r="C41"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41" s="11" t="str">
        <v>Number of knowledge products</v>
      </c>
      <c r="E41" s="11" t="str">
        <v>Country: Canada, Pakistan, Sri Lanka, United States of America</v>
      </c>
      <c r="F41" s="11">
        <v>2</v>
      </c>
      <c r="G41" s="11">
        <v>14043</v>
      </c>
      <c r="I41" s="11" t="str" xml:space="preserve">
        <v xml:space="preserve">African Union
FAO
UAE 
Gov of Saudi Arabia
Gov of Germany
Budget to be added in Q1 2026</v>
      </c>
    </row>
    <row r="42" ht="50" customHeight="1" xml:space="preserve">
      <c r="A42" s="11" t="str">
        <v>AOW04</v>
      </c>
      <c r="C42" s="11" t="str">
        <v>Commission on Water for Food Futures: Water for food futures outlook</v>
      </c>
      <c r="D42" s="11" t="str">
        <v xml:space="preserve"> Policy recommendations developed</v>
      </c>
      <c r="E42" s="11" t="str">
        <v>Country: Canada, United States of America, Sri Lanka, Pakistan</v>
      </c>
      <c r="F42" s="11">
        <v>1</v>
      </c>
      <c r="G42" s="11">
        <v>23513</v>
      </c>
      <c r="I42" s="11" t="str" xml:space="preserve">
        <v xml:space="preserve">African Union
FAO
UAE 
Gov of Saudi Arabia
Gov of Germany
Budget to be added in Q1 2026</v>
      </c>
    </row>
    <row r="43" ht="50" customHeight="1" xml:space="preserve">
      <c r="A43" s="11" t="str">
        <v>AOW04</v>
      </c>
      <c r="C43"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43" s="11" t="str">
        <v xml:space="preserve"> Policy demand, consultations &amp; dialogues</v>
      </c>
      <c r="E43" s="11" t="str">
        <v>Country: Canada, Sri Lanka, Pakistan, United States of America</v>
      </c>
      <c r="F43" s="11">
        <v>2</v>
      </c>
      <c r="G43" s="11">
        <v>14042</v>
      </c>
      <c r="I43" s="11" t="str" xml:space="preserve">
        <v xml:space="preserve">African Union
FAO
UAE 
Gov of Saudi Arabia
Gov of Germany
Budget to be added in Q1 2026</v>
      </c>
    </row>
    <row r="44" ht="50" customHeight="1" xml:space="preserve">
      <c r="A44" s="11" t="str">
        <v>AOW04</v>
      </c>
      <c r="B44" s="11" t="str">
        <v>4.2. Policy response</v>
      </c>
      <c r="C44" s="11" t="str">
        <v xml:space="preserve">CGE-Water and Water Productivity Scenarios and Assessment </v>
      </c>
      <c r="D44" s="11" t="str">
        <v>Number of knowledge products</v>
      </c>
      <c r="E44" s="11" t="str">
        <v>Country: Pakistan</v>
      </c>
      <c r="F44" s="11">
        <v>1</v>
      </c>
      <c r="G44" s="11">
        <v>7470</v>
      </c>
      <c r="H44" s="11">
        <f>SUM(G44:G53)</f>
      </c>
      <c r="I44" s="11" t="str" xml:space="preserve">
        <v xml:space="preserve">Pakistan Institute of Development Economics
Budget to add in Q1 2026</v>
      </c>
    </row>
    <row r="45" ht="50" customHeight="1" xml:space="preserve">
      <c r="A45" s="11" t="str">
        <v>AOW04</v>
      </c>
      <c r="C45" s="11" t="str">
        <v>Integrated Hydrological model for assessing Tradeoff and synergy of WEFE policies in Ganges basin and Technical Report identifying groundwater hotspots and impact of various rice policies on future groundwater storage</v>
      </c>
      <c r="D45" s="11" t="str">
        <v>Number of knowledge products</v>
      </c>
      <c r="E45" s="11" t="str">
        <v>Country: India</v>
      </c>
      <c r="F45" s="11">
        <v>1</v>
      </c>
      <c r="G45" s="11">
        <v>24892</v>
      </c>
      <c r="I45" s="11" t="str" xml:space="preserve">
        <v xml:space="preserve">Central Groundwater Board
Budget add in Q1 2026</v>
      </c>
    </row>
    <row r="46" ht="50" customHeight="1" xml:space="preserve">
      <c r="A46" s="11" t="str">
        <v>AOW04</v>
      </c>
      <c r="C46" s="11" t="str">
        <v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v>
      </c>
      <c r="D46" s="11" t="str">
        <v xml:space="preserve"> Policy recommendations developed</v>
      </c>
      <c r="E46" s="11" t="str">
        <v>Country: India</v>
      </c>
      <c r="F46" s="11">
        <v>1</v>
      </c>
      <c r="G46" s="11">
        <v>24891</v>
      </c>
      <c r="I46" s="11" t="str" xml:space="preserve">
        <v xml:space="preserve">Central Groundwater Board
Budget add in Q1 2026</v>
      </c>
    </row>
    <row r="47" ht="50" customHeight="1" xml:space="preserve">
      <c r="A47" s="11" t="str">
        <v>AOW04</v>
      </c>
      <c r="C47" s="11" t="str">
        <v>Policy and management guidelines for conjunctive use of surface and groundwater across WEFE Nexus, based on groundwater comprehensive assessment in the Central Rift Valley sub-Basin area and engagement with the government</v>
      </c>
      <c r="D47" s="11" t="str">
        <v>Number of knowledge products</v>
      </c>
      <c r="E47" s="11" t="str">
        <v>Country: Ethiopia</v>
      </c>
      <c r="F47" s="11">
        <v>1</v>
      </c>
      <c r="G47" s="11">
        <v>14941</v>
      </c>
      <c r="I47" s="11" t="str" xml:space="preserve">
        <v xml:space="preserve">Ministry of Water and Energy
Budget add Q1 2026</v>
      </c>
    </row>
    <row r="48" ht="50" customHeight="1" xml:space="preserve">
      <c r="A48" s="11" t="str">
        <v>AOW04</v>
      </c>
      <c r="C48" s="11" t="str">
        <v>Scoping study for Irrigation water management and WEFE Nexus Operational Roadmap and Gender responsive business/finance models</v>
      </c>
      <c r="D48" s="11" t="str">
        <v>Number of knowledge products</v>
      </c>
      <c r="E48" s="11" t="str">
        <v>Country: Nigeria</v>
      </c>
      <c r="F48" s="11">
        <v>1</v>
      </c>
      <c r="G48" s="11">
        <v>19594</v>
      </c>
      <c r="I48" s="11" t="str" xml:space="preserve">
        <v xml:space="preserve">Federal Ministry of Agriculture and Food Security (FMAFS)
Federal Ministry of Water Resources and Sanitation
Budget to add Q1 2026</v>
      </c>
    </row>
    <row r="49" ht="50" customHeight="1" xml:space="preserve">
      <c r="A49" s="11" t="str">
        <v>AOW04</v>
      </c>
      <c r="C49" s="11" t="str">
        <v>Scoping study for Irrigation water management and WEFE Nexus Operational Roadmap and Gender responsive business/finance models_</v>
      </c>
      <c r="D49" s="11" t="str">
        <v>Number of knowledge products</v>
      </c>
      <c r="E49" s="11" t="str">
        <v>Country: Nigeria</v>
      </c>
      <c r="F49" s="11">
        <v>1</v>
      </c>
      <c r="G49" s="11">
        <v>19594</v>
      </c>
      <c r="I49" s="11" t="str" xml:space="preserve">
        <v xml:space="preserve">Federal Ministry of Agriculture and Food Security (FMAFS)
Federal Ministry of Water Resources and Sanitation
Budget to add Q1 2026</v>
      </c>
    </row>
    <row r="50" ht="50" customHeight="1" xml:space="preserve">
      <c r="A50" s="11" t="str">
        <v>AOW04</v>
      </c>
      <c r="C50" s="11" t="str">
        <v>Scoping study for Irrigation water management and WEFE Nexus Operational Roadmap and Gender responsive business/finance models</v>
      </c>
      <c r="D50" s="11" t="str">
        <v>Number of innovations (innovation development)</v>
      </c>
      <c r="E50" s="11" t="str">
        <v>Country: Nigeria</v>
      </c>
      <c r="F50" s="11">
        <v>1</v>
      </c>
      <c r="G50" s="11">
        <v>58783</v>
      </c>
      <c r="I50" s="11" t="str" xml:space="preserve">
        <v xml:space="preserve">Federal Ministry of Agriculture and Food Security (FMAFS)
Federal Ministry of Water Resources and Sanitation
Budget to add Q1 2026</v>
      </c>
    </row>
    <row r="51" ht="50" customHeight="1" xml:space="preserve">
      <c r="A51" s="11" t="str">
        <v>AOW04</v>
      </c>
      <c r="C51" s="11" t="str">
        <v>Policy Workshop on Irrigation Potential and Gender responsive business/finance models</v>
      </c>
      <c r="D51" s="11" t="str">
        <v>Number of knowledge products</v>
      </c>
      <c r="E51" s="11" t="str">
        <v>Country: Kenya</v>
      </c>
      <c r="F51" s="11">
        <v>1</v>
      </c>
      <c r="G51" s="11">
        <v>9797</v>
      </c>
      <c r="I51" s="11" t="str" xml:space="preserve">
        <v xml:space="preserve">Kenya Irrigation Department
Budget to add in Q1 2026</v>
      </c>
    </row>
    <row r="52" ht="50" customHeight="1" xml:space="preserve">
      <c r="A52" s="11" t="str">
        <v>AOW04</v>
      </c>
      <c r="C52" s="11" t="str">
        <v>Policy Workshop on Irrigation Potential and Gender responsive business/finance models</v>
      </c>
      <c r="D52" s="11" t="str">
        <v>Number of innovations (innovation development)</v>
      </c>
      <c r="E52" s="11" t="str">
        <v>Country: Kenya</v>
      </c>
      <c r="F52" s="11">
        <v>1</v>
      </c>
      <c r="G52" s="11">
        <v>29391</v>
      </c>
      <c r="I52" s="11" t="str" xml:space="preserve">
        <v xml:space="preserve">Kenya Irrigation Department
Budget to add in Q1 2026</v>
      </c>
    </row>
    <row r="53" ht="50" customHeight="1" xml:space="preserve">
      <c r="A53" s="11" t="str">
        <v>AOW04</v>
      </c>
      <c r="C53" s="11" t="str">
        <v>CGE-Water and Water Productivity Scenarios and Assessment</v>
      </c>
      <c r="D53" s="11" t="str">
        <v>Number of innovations (innovation development)</v>
      </c>
      <c r="E53" s="11" t="str">
        <v>Country: Pakistan</v>
      </c>
      <c r="F53" s="11">
        <v>1</v>
      </c>
      <c r="G53" s="11">
        <v>7472</v>
      </c>
      <c r="I53" s="11" t="str" xml:space="preserve">
        <v xml:space="preserve">Pakistan Institute of Development Economics
Budget to add in Q1 2026</v>
      </c>
    </row>
    <row r="54" ht="50" customHeight="1" xml:space="preserve">
      <c r="A54" s="11" t="str">
        <v>AOW04</v>
      </c>
      <c r="B54" s="11" t="str">
        <v>4.3. Capacity sharing activities</v>
      </c>
      <c r="C54" s="11" t="str">
        <v>Capacity Building of irrigation Department</v>
      </c>
      <c r="D54" s="11" t="str">
        <v>Number of people trained (capacity sharing for development)</v>
      </c>
      <c r="E54" s="11" t="str">
        <v>Country: Ethiopia</v>
      </c>
      <c r="F54" s="11">
        <v>1</v>
      </c>
      <c r="G54" s="11">
        <v>11267</v>
      </c>
      <c r="H54" s="11">
        <f>SUM(G54:G55)</f>
      </c>
      <c r="I54" s="11" t="str" xml:space="preserve">
        <v xml:space="preserve">Ministry of Water and Energy
Budget to add in Q1 2026</v>
      </c>
    </row>
    <row r="55" ht="50" customHeight="1" xml:space="preserve">
      <c r="A55" s="11" t="str">
        <v>AOW04</v>
      </c>
      <c r="C55" s="11" t="str">
        <v>Capacity sharing activities in India on policy modelling</v>
      </c>
      <c r="D55" s="11" t="str">
        <v>Number of people trained (capacity sharing for development)</v>
      </c>
      <c r="E55" s="11" t="str">
        <v>Country: India</v>
      </c>
      <c r="F55" s="11">
        <v>1</v>
      </c>
      <c r="G55" s="11">
        <v>19594</v>
      </c>
      <c r="I55" s="11" t="str" xml:space="preserve">
        <v xml:space="preserve">ICAR
Budget to add in Q1 2026</v>
      </c>
    </row>
    <row r="56" ht="25" customHeight="1">
      <c r="B56" s="15" t="str">
        <v>HLO budget subtotal</v>
      </c>
      <c r="H56" s="15">
        <f>SUM(H40:H55)</f>
      </c>
    </row>
    <row r="57" ht="50" customHeight="1">
      <c r="A57" s="13" t="str">
        <v>AOW05</v>
      </c>
      <c r="B57" s="11" t="str">
        <v>5.1. Agenda Setting</v>
      </c>
      <c r="C57" s="11" t="str">
        <v>Policy recommendations in response to demand from governement demand using rapid response mechanism</v>
      </c>
      <c r="D57" s="11" t="str">
        <v xml:space="preserve"> Policy recommendation</v>
      </c>
      <c r="E57" s="11" t="str">
        <v>Country: India</v>
      </c>
      <c r="F57" s="11">
        <v>6</v>
      </c>
      <c r="G57" s="11">
        <v>33176</v>
      </c>
      <c r="H57" s="11">
        <f>SUM(G57:G66)</f>
      </c>
      <c r="I57" s="11" t="str">
        <v>Budget and partner to be added in Q1 2026</v>
      </c>
    </row>
    <row r="58" ht="50" customHeight="1" xml:space="preserve">
      <c r="A58" s="11" t="str">
        <v>AOW05</v>
      </c>
      <c r="C58" s="11" t="str" xml:space="preserve">
        <v xml:space="preserve">Policy recommendations in response to demand from governement demand using rapid response mechanism 
</v>
      </c>
      <c r="D58" s="11" t="str">
        <v xml:space="preserve"> Policy recommendation</v>
      </c>
      <c r="E58" s="11" t="str">
        <v>Country: Ethiopia</v>
      </c>
      <c r="F58" s="11">
        <v>8</v>
      </c>
      <c r="G58" s="11">
        <v>50000</v>
      </c>
      <c r="I58" s="11" t="str">
        <v>Budget and partner to be added in Q1 2026</v>
      </c>
    </row>
    <row r="59" ht="50" customHeight="1" xml:space="preserve">
      <c r="A59" s="11" t="str">
        <v>AOW05</v>
      </c>
      <c r="C59" s="11" t="str">
        <v>Policy recommendations in response to demand from governement demand using rapid response mechanism</v>
      </c>
      <c r="D59" s="11" t="str">
        <v xml:space="preserve"> Policy recommendation</v>
      </c>
      <c r="E59" s="11" t="str">
        <v>Country: Kenya</v>
      </c>
      <c r="F59" s="11">
        <v>8</v>
      </c>
      <c r="G59" s="11">
        <v>50000</v>
      </c>
      <c r="I59" s="11" t="str" xml:space="preserve">
        <v xml:space="preserve">Kenya Institute for Public Policy Research and Analysis (Kenya) - $30,000 (Across all activities)
</v>
      </c>
    </row>
    <row r="60" ht="50" customHeight="1" xml:space="preserve">
      <c r="A60" s="11" t="str">
        <v>AOW05</v>
      </c>
      <c r="C60" s="11" t="str" xml:space="preserve">
        <v xml:space="preserve">Policy recommendations in response to demand from governement demand using rapid response mechanism
</v>
      </c>
      <c r="D60" s="11" t="str">
        <v xml:space="preserve"> Policy recommendation</v>
      </c>
      <c r="E60" s="11" t="str">
        <v>Country: Malawi</v>
      </c>
      <c r="F60" s="11">
        <v>8</v>
      </c>
      <c r="G60" s="11">
        <v>50000</v>
      </c>
      <c r="I60" s="11" t="str">
        <v>Budget and partner to be added in Q1 2026</v>
      </c>
    </row>
    <row r="61" ht="50" customHeight="1">
      <c r="A61" s="11" t="str">
        <v>AOW05</v>
      </c>
      <c r="C61" s="11" t="str">
        <v>Policy recommendations in response to demand from governement demand using rapid response mechanism</v>
      </c>
      <c r="D61" s="11" t="str">
        <v xml:space="preserve"> Policy recommendation</v>
      </c>
      <c r="E61" s="11" t="str">
        <v>Country: Nigeria</v>
      </c>
      <c r="F61" s="11">
        <v>6</v>
      </c>
      <c r="G61" s="11">
        <v>33176</v>
      </c>
      <c r="I61" s="11" t="str">
        <v>Budget and partner to be added in Q1 2026</v>
      </c>
    </row>
    <row r="62" ht="50" customHeight="1" xml:space="preserve">
      <c r="A62" s="11" t="str">
        <v>AOW05</v>
      </c>
      <c r="C62" s="11" t="str" xml:space="preserve">
        <v xml:space="preserve">Policy recommendations in response to demand from governement demand using rapid response mechanism
</v>
      </c>
      <c r="D62" s="11" t="str">
        <v>Number of knowledge products</v>
      </c>
      <c r="E62" s="11" t="str">
        <v>Country: India</v>
      </c>
      <c r="F62" s="11">
        <v>3</v>
      </c>
      <c r="G62" s="11">
        <v>33176</v>
      </c>
      <c r="I62" s="11" t="str">
        <v>Budget and partner to be added in Q1 2026</v>
      </c>
    </row>
    <row r="63" ht="50" customHeight="1">
      <c r="A63" s="11" t="str">
        <v>AOW05</v>
      </c>
      <c r="C63" s="11" t="str">
        <v>Policy recommendations in response to demand from governement demand using rapid response mechanism</v>
      </c>
      <c r="D63" s="11" t="str">
        <v>Number of knowledge products</v>
      </c>
      <c r="E63" s="11" t="str">
        <v>Country: Malawi</v>
      </c>
      <c r="F63" s="11">
        <v>4</v>
      </c>
      <c r="G63" s="11">
        <v>50000</v>
      </c>
      <c r="I63" s="11" t="str">
        <v>Budget and partner to be added in Q1 2026</v>
      </c>
    </row>
    <row r="64" ht="50" customHeight="1">
      <c r="A64" s="11" t="str">
        <v>AOW05</v>
      </c>
      <c r="C64" s="11" t="str">
        <v>Policy recommendations in response to demand from governement demand using rapid response mechanism</v>
      </c>
      <c r="D64" s="11" t="str">
        <v>Number of knowledge products</v>
      </c>
      <c r="E64" s="11" t="str">
        <v>Country: Nigeria</v>
      </c>
      <c r="F64" s="11">
        <v>3</v>
      </c>
      <c r="G64" s="11">
        <v>33176</v>
      </c>
      <c r="I64" s="11" t="str">
        <v>Budget and partner to be added in Q1 2026</v>
      </c>
    </row>
    <row r="65" ht="50" customHeight="1">
      <c r="A65" s="11" t="str">
        <v>AOW05</v>
      </c>
      <c r="C65" s="11" t="str">
        <v>Policy recommendations in response to demand from governement demand using rapid response mechanism</v>
      </c>
      <c r="D65" s="11" t="str">
        <v>Number of knowledge products</v>
      </c>
      <c r="E65" s="11" t="str">
        <v>Country: Ethiopia</v>
      </c>
      <c r="F65" s="11">
        <v>4</v>
      </c>
      <c r="G65" s="11">
        <v>50000</v>
      </c>
      <c r="I65" s="11" t="str">
        <v>Budget and partner to be added in Q1 2026</v>
      </c>
    </row>
    <row r="66" ht="50" customHeight="1" xml:space="preserve">
      <c r="A66" s="11" t="str">
        <v>AOW05</v>
      </c>
      <c r="C66" s="11" t="str" xml:space="preserve">
        <v xml:space="preserve">Policy recommendations in response to demand from governement demand using rapid response mechanism
</v>
      </c>
      <c r="D66" s="11" t="str">
        <v>Number of knowledge products</v>
      </c>
      <c r="E66" s="11" t="str">
        <v>Country: Kenya</v>
      </c>
      <c r="F66" s="11">
        <v>4</v>
      </c>
      <c r="G66" s="11">
        <v>50000</v>
      </c>
      <c r="I66" s="11" t="str" xml:space="preserve">
        <v xml:space="preserve">Kenya Institute for Public Policy Research and Analysis (Kenya) - $30,000 (Across all activities)
</v>
      </c>
    </row>
    <row r="67" ht="50" customHeight="1">
      <c r="A67" s="11" t="str">
        <v>AOW05</v>
      </c>
      <c r="B67" s="11" t="str">
        <v>5.2. Policy response</v>
      </c>
      <c r="C67" s="11" t="str">
        <v>Country policy dialogues/seminars organized to inform policy makers about research based findings from AOW5 and other AOWs.</v>
      </c>
      <c r="D67" s="11" t="str">
        <v xml:space="preserve"> Policy informed</v>
      </c>
      <c r="E67" s="11" t="str">
        <v>Country: India</v>
      </c>
      <c r="F67" s="11">
        <v>3</v>
      </c>
      <c r="G67" s="11">
        <v>33176</v>
      </c>
      <c r="H67" s="11">
        <f>SUM(G67:G76)</f>
      </c>
      <c r="I67" s="11" t="str">
        <v>Budget and partner to be added in Q1 2026</v>
      </c>
    </row>
    <row r="68" ht="50" customHeight="1">
      <c r="A68" s="11" t="str">
        <v>AOW05</v>
      </c>
      <c r="C68" s="11" t="str">
        <v>Country policy dialogues/seminars organized to inform policy makers about research based findings from AOW5 and other AOWs.</v>
      </c>
      <c r="D68" s="11" t="str">
        <v xml:space="preserve"> Policy informed</v>
      </c>
      <c r="E68" s="11" t="str">
        <v>Country: Ethiopia</v>
      </c>
      <c r="F68" s="11">
        <v>4</v>
      </c>
      <c r="G68" s="11">
        <v>50000</v>
      </c>
      <c r="I68" s="11" t="str">
        <v>Budget and partner to be added in Q1 2026</v>
      </c>
    </row>
    <row r="69" ht="50" customHeight="1" xml:space="preserve">
      <c r="A69" s="11" t="str">
        <v>AOW05</v>
      </c>
      <c r="C69" s="11" t="str">
        <v>Country policy dialogues/seminars organized to inform policy makers about research based findings from AOW5 and other AOWs.</v>
      </c>
      <c r="D69" s="11" t="str">
        <v xml:space="preserve"> Policy informed</v>
      </c>
      <c r="E69" s="11" t="str">
        <v>Country: Kenya</v>
      </c>
      <c r="F69" s="11">
        <v>4</v>
      </c>
      <c r="G69" s="11">
        <v>50000</v>
      </c>
      <c r="I69" s="11" t="str" xml:space="preserve">
        <v xml:space="preserve">Kenya Institute for Public Policy Research and Analysis (Kenya) - $30,000 (Across all activities)
</v>
      </c>
    </row>
    <row r="70" ht="50" customHeight="1">
      <c r="A70" s="11" t="str">
        <v>AOW05</v>
      </c>
      <c r="C70" s="11" t="str">
        <v>Country policy dialogues/seminars organized to inform policy makers about research based findings from AOW5 and other AOWs.</v>
      </c>
      <c r="D70" s="11" t="str">
        <v xml:space="preserve"> Policy informed</v>
      </c>
      <c r="E70" s="11" t="str">
        <v>Country: Malawi</v>
      </c>
      <c r="F70" s="11">
        <v>3</v>
      </c>
      <c r="G70" s="11">
        <v>50000</v>
      </c>
      <c r="I70" s="11" t="str">
        <v>Budget and partner to be added in Q1 2026</v>
      </c>
    </row>
    <row r="71" ht="50" customHeight="1" xml:space="preserve">
      <c r="A71" s="11" t="str">
        <v>AOW05</v>
      </c>
      <c r="C71" s="11" t="str" xml:space="preserve">
        <v xml:space="preserve">Country policy dialogues/seminars organized to inform policy makers about research based findings from AOW5 and other AOWs.
</v>
      </c>
      <c r="D71" s="11" t="str">
        <v xml:space="preserve"> Policy informed</v>
      </c>
      <c r="E71" s="11" t="str">
        <v>Country: Nigeria</v>
      </c>
      <c r="F71" s="11">
        <v>3</v>
      </c>
      <c r="G71" s="11">
        <v>33176</v>
      </c>
      <c r="I71" s="11" t="str">
        <v>Budget and partner to be added in Q1 2026</v>
      </c>
    </row>
    <row r="72" ht="50" customHeight="1" xml:space="preserve">
      <c r="A72" s="11" t="str">
        <v>AOW05</v>
      </c>
      <c r="C72" s="11" t="str" xml:space="preserve">
        <v xml:space="preserve">Country policy dialogues/seminars. First policy dialogue will serve as launch event
</v>
      </c>
      <c r="D72" s="11" t="str">
        <v xml:space="preserve"> Policy demand, consultations &amp; dialogues</v>
      </c>
      <c r="E72" s="11" t="str">
        <v>Country: India</v>
      </c>
      <c r="F72" s="11">
        <v>3</v>
      </c>
      <c r="G72" s="11">
        <v>33176</v>
      </c>
      <c r="I72" s="11" t="str">
        <v>Budget and partner to be added in Q1 2026</v>
      </c>
    </row>
    <row r="73" ht="50" customHeight="1" xml:space="preserve">
      <c r="A73" s="11" t="str">
        <v>AOW05</v>
      </c>
      <c r="C73" s="11" t="str">
        <v>Country policy dialogues/seminars. First policy dialogue will serve as launch event</v>
      </c>
      <c r="D73" s="11" t="str">
        <v xml:space="preserve"> Policy demand, consultations &amp; dialogues</v>
      </c>
      <c r="E73" s="11" t="str">
        <v>Country: Kenya</v>
      </c>
      <c r="F73" s="11">
        <v>4</v>
      </c>
      <c r="G73" s="11">
        <v>50000</v>
      </c>
      <c r="I73" s="11" t="str" xml:space="preserve">
        <v xml:space="preserve">Kenya Institute for Public Policy Research and Analysis (Kenya) - $30,000 (Across all activities)
</v>
      </c>
    </row>
    <row r="74" ht="50" customHeight="1">
      <c r="A74" s="11" t="str">
        <v>AOW05</v>
      </c>
      <c r="C74" s="11" t="str">
        <v>Country policy dialogues/seminars. First policy dialogue will serve as launch event</v>
      </c>
      <c r="D74" s="11" t="str">
        <v>Policy demand, consultations &amp; dialogues</v>
      </c>
      <c r="E74" s="11" t="str">
        <v>Country: Malawi</v>
      </c>
      <c r="F74" s="11">
        <v>4</v>
      </c>
      <c r="G74" s="11">
        <v>50000</v>
      </c>
      <c r="I74" s="11" t="str">
        <v>Budget and partner to be added in Q1 2026</v>
      </c>
    </row>
    <row r="75" ht="50" customHeight="1" xml:space="preserve">
      <c r="A75" s="11" t="str">
        <v>AOW05</v>
      </c>
      <c r="C75" s="11" t="str" xml:space="preserve">
        <v xml:space="preserve">Country policy dialogues/seminars. First policy dialogue will serve as launch event
</v>
      </c>
      <c r="D75" s="11" t="str">
        <v xml:space="preserve"> Policy demand, consultation &amp; dialogues</v>
      </c>
      <c r="E75" s="11" t="str">
        <v>Country: Ethiopia</v>
      </c>
      <c r="F75" s="11">
        <v>4</v>
      </c>
      <c r="G75" s="11">
        <v>50000</v>
      </c>
      <c r="I75" s="11" t="str">
        <v>Budget and partner to be added in Q1 2026</v>
      </c>
    </row>
    <row r="76" ht="50" customHeight="1">
      <c r="A76" s="11" t="str">
        <v>AOW05</v>
      </c>
      <c r="C76" s="11" t="str">
        <v>Country policy dialogues/seminars. First policy dialogue will serve as launch event</v>
      </c>
      <c r="D76" s="11" t="str">
        <v xml:space="preserve"> Policy demand, consultations and dialogues</v>
      </c>
      <c r="E76" s="11" t="str">
        <v>Country: Nigeria</v>
      </c>
      <c r="F76" s="11">
        <v>3</v>
      </c>
      <c r="G76" s="11">
        <v>33176</v>
      </c>
      <c r="I76" s="11" t="str">
        <v>Budget and partner to be added in Q1 2026</v>
      </c>
    </row>
    <row r="77" ht="50" customHeight="1">
      <c r="A77" s="11" t="str">
        <v>AOW05</v>
      </c>
      <c r="B77" s="11" t="str">
        <v>5.3. Capacity sharing activities</v>
      </c>
      <c r="C77" s="11" t="str">
        <v>Capacity sharing engagements in collaboration with other AOWs to enhance the institutional capacity of key partner government think tanks</v>
      </c>
      <c r="D77" s="11" t="str">
        <v>Number of people trained (capacity sharing for development)</v>
      </c>
      <c r="E77" s="11" t="str">
        <v>Country: India</v>
      </c>
      <c r="F77" s="11">
        <v>2</v>
      </c>
      <c r="G77" s="11">
        <v>33176</v>
      </c>
      <c r="H77" s="11">
        <f>SUM(G77:G81)</f>
      </c>
      <c r="I77" s="11" t="str">
        <v>Budget and partner to be added in Q1 2026</v>
      </c>
    </row>
    <row r="78" ht="50" customHeight="1">
      <c r="A78" s="11" t="str">
        <v>AOW05</v>
      </c>
      <c r="C78" s="11" t="str">
        <v>Capacity sharing engagements in collaboration with other AOWs to enhance the institutional capacity of key partner government think tanks</v>
      </c>
      <c r="D78" s="11" t="str">
        <v>Number of people trained (capacity sharing for development)</v>
      </c>
      <c r="E78" s="11" t="str">
        <v>Country: Ethiopia</v>
      </c>
      <c r="F78" s="11">
        <v>3</v>
      </c>
      <c r="G78" s="11">
        <v>50000</v>
      </c>
      <c r="I78" s="11" t="str">
        <v>Budget and partner to be added in Q1 2026</v>
      </c>
    </row>
    <row r="79" ht="50" customHeight="1" xml:space="preserve">
      <c r="A79" s="11" t="str">
        <v>AOW05</v>
      </c>
      <c r="C79" s="11" t="str">
        <v>Capacity sharing engagements in collaboration with other AOWs to enhance the institutional capacity of key partner government think tanks</v>
      </c>
      <c r="D79" s="11" t="str">
        <v>Number of people trained (capacity sharing for development)</v>
      </c>
      <c r="E79" s="11" t="str">
        <v>Country: Kenya</v>
      </c>
      <c r="F79" s="11">
        <v>3</v>
      </c>
      <c r="G79" s="11">
        <v>50000</v>
      </c>
      <c r="I79" s="11" t="str" xml:space="preserve">
        <v xml:space="preserve">Kenya Institute for Public Policy Research and Analysis (Kenya) - $30,000 (Across all activities)
</v>
      </c>
    </row>
    <row r="80" ht="50" customHeight="1">
      <c r="A80" s="11" t="str">
        <v>AOW05</v>
      </c>
      <c r="C80" s="11" t="str">
        <v>Capacity sharing engagements in collaboration with other AOWs to enhance the institutional capacity of key partner government think tanks</v>
      </c>
      <c r="D80" s="11" t="str">
        <v>Number of people trained (capacity sharing for development)</v>
      </c>
      <c r="E80" s="11" t="str">
        <v>Country: Nigeria</v>
      </c>
      <c r="F80" s="11">
        <v>2</v>
      </c>
      <c r="G80" s="11">
        <v>33176</v>
      </c>
      <c r="I80" s="11" t="str">
        <v>Budget and partner to be added in Q1 2026</v>
      </c>
    </row>
    <row r="81" ht="50" customHeight="1" xml:space="preserve">
      <c r="A81" s="11" t="str">
        <v>AOW05</v>
      </c>
      <c r="C81" s="11" t="str" xml:space="preserve">
        <v xml:space="preserve">Capacity sharing engagements in collaboration with other AOWs to enhance the institutional capacity of key partner government think tanks
</v>
      </c>
      <c r="D81" s="11" t="str">
        <v>Number of people trained (capacity sharing for development)</v>
      </c>
      <c r="E81" s="11" t="str">
        <v>Country: Malawi</v>
      </c>
      <c r="F81" s="11">
        <v>3</v>
      </c>
      <c r="G81" s="11">
        <v>50000</v>
      </c>
      <c r="I81" s="11" t="str">
        <v>Budget and partner to be added in Q1 2026</v>
      </c>
    </row>
    <row r="82" ht="25" customHeight="1">
      <c r="B82" s="15" t="str">
        <v>HLO budget subtotal</v>
      </c>
      <c r="H82" s="15">
        <f>SUM(H57:H81)</f>
      </c>
    </row>
    <row r="83" ht="50" customHeight="1" xml:space="preserve">
      <c r="A83" s="13" t="str">
        <v>AOW06</v>
      </c>
      <c r="B83" s="11" t="str">
        <v>6.1. Agenda Setting</v>
      </c>
      <c r="C83" s="11" t="str">
        <v>Report on Youth in agrifood systems in Kenya, opportunities and challenges</v>
      </c>
      <c r="D83" s="11" t="str">
        <v>Number of knowledge products</v>
      </c>
      <c r="E83" s="11" t="str">
        <v>Country: Kenya</v>
      </c>
      <c r="F83" s="11">
        <v>3</v>
      </c>
      <c r="G83" s="11">
        <v>87000</v>
      </c>
      <c r="H83" s="11">
        <f>SUM(G83:G84)</f>
      </c>
      <c r="I83" s="11" t="str" xml:space="preserve">
        <v xml:space="preserve">Kenya Institute for Public Policy Research and Analysis (Kenya) - $7,500
</v>
      </c>
    </row>
    <row r="84" ht="50" customHeight="1" xml:space="preserve">
      <c r="A84" s="11" t="str">
        <v>AOW06</v>
      </c>
      <c r="C84" s="11" t="str">
        <v>Learning from two decades of targeting social protection programs in LMICs. Output: Policy brief and a blog.</v>
      </c>
      <c r="D84" s="11" t="str">
        <v>Number of knowledge products</v>
      </c>
      <c r="E84" s="11" t="str">
        <v>Global</v>
      </c>
      <c r="F84" s="11">
        <v>2</v>
      </c>
      <c r="G84" s="11">
        <v>20109</v>
      </c>
      <c r="I84" s="11" t="str" xml:space="preserve">
        <v xml:space="preserve">Potential survey firm - $32,500
Policy Studies Institute (Ethiopia) - $15,000
</v>
      </c>
    </row>
    <row r="85" ht="50" customHeight="1">
      <c r="A85" s="11" t="str">
        <v>AOW06</v>
      </c>
      <c r="B85" s="11" t="str">
        <v>6.2. Policy response</v>
      </c>
      <c r="C85" s="11" t="str">
        <v>Asset transfers for facilitating poverty reduction. Output: policy brief and a blog</v>
      </c>
      <c r="D85" s="11" t="str">
        <v>Number of knowledge products</v>
      </c>
      <c r="E85" s="11" t="str">
        <v>Country: Kenya</v>
      </c>
      <c r="F85" s="11">
        <v>2</v>
      </c>
      <c r="G85" s="11">
        <v>27833</v>
      </c>
      <c r="H85" s="11">
        <f>SUM(G85:G101)</f>
      </c>
      <c r="I85" s="11" t="str">
        <v>Partner and budget to be added in Q1 2026</v>
      </c>
    </row>
    <row r="86" ht="50" customHeight="1">
      <c r="A86" s="11" t="str">
        <v>AOW06</v>
      </c>
      <c r="C86" s="11" t="str">
        <v xml:space="preserve">Improving the effectiveness of youth economic empowerment programs through targeting: Policy engagement to inform policy makers on options </v>
      </c>
      <c r="D86" s="11" t="str">
        <v xml:space="preserve"> Policy informed</v>
      </c>
      <c r="E86" s="11" t="str">
        <v>Country: Ethiopia</v>
      </c>
      <c r="F86" s="11">
        <v>1</v>
      </c>
      <c r="G86" s="11">
        <v>30167</v>
      </c>
      <c r="I86" s="11" t="str">
        <v>Partner and budget to be added in Q1 2026</v>
      </c>
    </row>
    <row r="87" ht="50" customHeight="1">
      <c r="A87" s="11" t="str">
        <v>AOW06</v>
      </c>
      <c r="C87" s="11" t="str">
        <v>Cash transfers versus training and graduation programs</v>
      </c>
      <c r="D87" s="11" t="str">
        <v xml:space="preserve"> Policy informed</v>
      </c>
      <c r="E87" s="11" t="str">
        <v>Country: Egypt</v>
      </c>
      <c r="F87" s="11">
        <v>1</v>
      </c>
      <c r="G87" s="11">
        <v>6933</v>
      </c>
      <c r="I87" s="11" t="str">
        <v>Partner and budget to be added in Q1 2026</v>
      </c>
    </row>
    <row r="88" ht="50" customHeight="1">
      <c r="A88" s="11" t="str">
        <v>AOW06</v>
      </c>
      <c r="C88" s="11" t="str">
        <v>Asset transfers for facilitating poverty reduction. Output of a policy brief and blog to inform policy</v>
      </c>
      <c r="D88" s="11" t="str">
        <v xml:space="preserve"> Policy informed</v>
      </c>
      <c r="E88" s="11" t="str">
        <v>Country: Kenya</v>
      </c>
      <c r="F88" s="11">
        <v>2</v>
      </c>
      <c r="G88" s="11">
        <v>27833</v>
      </c>
      <c r="I88" s="11" t="str">
        <v>Partner and budget to be added in Q1 2026</v>
      </c>
    </row>
    <row r="89" ht="50" customHeight="1">
      <c r="A89" s="11" t="str">
        <v>AOW06</v>
      </c>
      <c r="C89" s="11" t="str">
        <v>Asset transfers for facilitating poverty reduction. Policy recommendations based on policy brief and blog.</v>
      </c>
      <c r="D89" s="11" t="str">
        <v xml:space="preserve"> Policy recommendations</v>
      </c>
      <c r="E89" s="11" t="str">
        <v>Country: Kenya</v>
      </c>
      <c r="F89" s="11">
        <v>2</v>
      </c>
      <c r="G89" s="11">
        <v>27834</v>
      </c>
      <c r="I89" s="11" t="str">
        <v>Partner and budget to be added in Q1 2026</v>
      </c>
    </row>
    <row r="90" ht="50" customHeight="1">
      <c r="A90" s="11" t="str">
        <v>AOW06</v>
      </c>
      <c r="C90" s="11" t="str">
        <v>Recipient choice for the timing of cash transfers in Ghana: Policy brief and blog</v>
      </c>
      <c r="D90" s="11" t="str">
        <v>Number of knowledge products</v>
      </c>
      <c r="E90" s="11" t="str">
        <v>Country: Ghana</v>
      </c>
      <c r="F90" s="11">
        <v>1</v>
      </c>
      <c r="G90" s="11">
        <v>19000</v>
      </c>
      <c r="I90" s="11" t="str">
        <v>Partner and budget to be added in Q1 2026</v>
      </c>
    </row>
    <row r="91" ht="50" customHeight="1">
      <c r="A91" s="11" t="str">
        <v>AOW06</v>
      </c>
      <c r="C91" s="11" t="str">
        <v>Recipient choice for the timing of cash transfers in Ghana: Policy recommendation based on policy brief and blog.</v>
      </c>
      <c r="D91" s="11" t="str">
        <v xml:space="preserve"> Policy recommendation</v>
      </c>
      <c r="E91" s="11" t="str">
        <v>Country: Ghana</v>
      </c>
      <c r="F91" s="11">
        <v>1</v>
      </c>
      <c r="G91" s="11">
        <v>19000</v>
      </c>
      <c r="I91" s="11" t="str">
        <v>Partner and budget to be added in Q1 2026</v>
      </c>
    </row>
    <row r="92" ht="50" customHeight="1">
      <c r="A92" s="11" t="str">
        <v>AOW06</v>
      </c>
      <c r="C92" s="11" t="str">
        <v>Impact evaluation of flagship cash transfer program in Egypt</v>
      </c>
      <c r="D92" s="11" t="str">
        <v>Number of knowledge products</v>
      </c>
      <c r="E92" s="11" t="str">
        <v>Country: Egypt</v>
      </c>
      <c r="F92" s="11">
        <v>2</v>
      </c>
      <c r="G92" s="11">
        <v>32500</v>
      </c>
      <c r="I92" s="11" t="str">
        <v>Partner and budget to be added in Q1 2026</v>
      </c>
    </row>
    <row r="93" ht="50" customHeight="1">
      <c r="A93" s="11" t="str">
        <v>AOW06</v>
      </c>
      <c r="C93" s="11" t="str">
        <v>Impact evaluation of flagship cash transfer program in Egypt: Policy recommendations based on report</v>
      </c>
      <c r="D93" s="11" t="str">
        <v xml:space="preserve"> Policy recommendations</v>
      </c>
      <c r="E93" s="11" t="str">
        <v>Country: Egypt</v>
      </c>
      <c r="F93" s="11">
        <v>2</v>
      </c>
      <c r="G93" s="11">
        <v>32500</v>
      </c>
      <c r="I93" s="11" t="str">
        <v>Partner and budget to be added in Q1 2026</v>
      </c>
    </row>
    <row r="94" ht="50" customHeight="1">
      <c r="A94" s="11" t="str">
        <v>AOW06</v>
      </c>
      <c r="C94" s="11" t="str">
        <v>Large-scale poverty graduation programs to improve child nutrition: Policy briefs and blogs produced</v>
      </c>
      <c r="D94" s="11" t="str">
        <v>Number of knowledge products</v>
      </c>
      <c r="E94" s="11" t="str">
        <v>Country: Ethiopia</v>
      </c>
      <c r="F94" s="11">
        <v>1</v>
      </c>
      <c r="G94" s="11">
        <v>20000</v>
      </c>
      <c r="I94" s="11" t="str">
        <v>Partner and budget to be added in Q1 2026</v>
      </c>
    </row>
    <row r="95" ht="50" customHeight="1">
      <c r="A95" s="11" t="str">
        <v>AOW06</v>
      </c>
      <c r="C95" s="11" t="str">
        <v>Large-scale poverty graduation programs to improve child nutrition: Policy recommendations based on policy briefs and blogs.</v>
      </c>
      <c r="D95" s="11" t="str">
        <v xml:space="preserve"> Policy recommendations</v>
      </c>
      <c r="E95" s="11" t="str">
        <v>Country: Ethiopia</v>
      </c>
      <c r="F95" s="11">
        <v>1</v>
      </c>
      <c r="G95" s="11">
        <v>20000</v>
      </c>
      <c r="I95" s="11" t="str">
        <v>Partner and budget to be added in Q1 2026</v>
      </c>
    </row>
    <row r="96" ht="50" customHeight="1">
      <c r="A96" s="11" t="str">
        <v>AOW06</v>
      </c>
      <c r="C96" s="11" t="str">
        <v>Can scholarships for poor youth improve schooling and economic outcomes: Technical report produced</v>
      </c>
      <c r="D96" s="11" t="str">
        <v>Number of knowledge products</v>
      </c>
      <c r="E96" s="11" t="str">
        <v>Country: Ethiopia</v>
      </c>
      <c r="F96" s="11">
        <v>1</v>
      </c>
      <c r="G96" s="11">
        <v>20000</v>
      </c>
      <c r="I96" s="11" t="str">
        <v>Partner and budget to be added in Q1 2026</v>
      </c>
    </row>
    <row r="97" ht="50" customHeight="1">
      <c r="A97" s="11" t="str">
        <v>AOW06</v>
      </c>
      <c r="C97" s="11" t="str">
        <v>Can scholarships for poor youth improve schooling and economic outcomes: Policy recommendations based on technical report and blogs</v>
      </c>
      <c r="D97" s="11" t="str">
        <v xml:space="preserve"> Policy recommendations</v>
      </c>
      <c r="E97" s="11" t="str">
        <v>Country: Ethiopia</v>
      </c>
      <c r="F97" s="11">
        <v>1</v>
      </c>
      <c r="G97" s="11">
        <v>20000</v>
      </c>
      <c r="I97" s="11" t="str">
        <v>Partner and budget to be added in Q1 2026</v>
      </c>
    </row>
    <row r="98" ht="50" customHeight="1">
      <c r="A98" s="11" t="str">
        <v>AOW06</v>
      </c>
      <c r="C98" s="11" t="str">
        <v>Cash transfers versus training and graduation programs- Report</v>
      </c>
      <c r="D98" s="11" t="str">
        <v>Number of knowledge products</v>
      </c>
      <c r="E98" s="11" t="str">
        <v>Country: Egypt</v>
      </c>
      <c r="F98" s="11">
        <v>1</v>
      </c>
      <c r="G98" s="11">
        <v>6934</v>
      </c>
      <c r="I98" s="11" t="str">
        <v>Partner and budget to be added in Q1 2026</v>
      </c>
    </row>
    <row r="99" ht="50" customHeight="1">
      <c r="A99" s="11" t="str">
        <v>AOW06</v>
      </c>
      <c r="C99" s="11" t="str">
        <v>Cash transfers versus training and graduation programs: Policy recommendations based on report</v>
      </c>
      <c r="D99" s="11" t="str">
        <v xml:space="preserve"> Policy recommendations</v>
      </c>
      <c r="E99" s="11" t="str">
        <v>Country: Egypt</v>
      </c>
      <c r="F99" s="11">
        <v>1</v>
      </c>
      <c r="G99" s="11">
        <v>6933</v>
      </c>
      <c r="I99" s="11" t="str">
        <v>Partner and budget to be added in Q1 2026</v>
      </c>
    </row>
    <row r="100" ht="50" customHeight="1">
      <c r="A100" s="11" t="str">
        <v>AOW06</v>
      </c>
      <c r="C100" s="11" t="str">
        <v>Improving the effectiveness of youth economic empowerment programs through targeting,: Workshop conducted.</v>
      </c>
      <c r="D100" s="11" t="str">
        <v xml:space="preserve"> Policy demand, consultation and dialogues</v>
      </c>
      <c r="E100" s="11" t="str">
        <v>Country: Ethiopia</v>
      </c>
      <c r="F100" s="11">
        <v>1</v>
      </c>
      <c r="G100" s="11">
        <v>30166</v>
      </c>
      <c r="I100" s="11" t="str">
        <v>Partner and budget to be added in Q1 2026</v>
      </c>
    </row>
    <row r="101" ht="50" customHeight="1">
      <c r="A101" s="11" t="str">
        <v>AOW06</v>
      </c>
      <c r="C101" s="11" t="str">
        <v>Improving the effectiveness of youth economic empowerment programs through targeting: Policy recommendations published based on workshop.</v>
      </c>
      <c r="D101" s="11" t="str">
        <v xml:space="preserve"> Policy recommendations</v>
      </c>
      <c r="E101" s="11" t="str">
        <v>Country: Ethiopia</v>
      </c>
      <c r="F101" s="11">
        <v>2</v>
      </c>
      <c r="G101" s="11">
        <v>30167</v>
      </c>
      <c r="I101" s="11" t="str">
        <v>Partner and budget to be added in Q1 2026</v>
      </c>
    </row>
    <row r="102" ht="25" customHeight="1">
      <c r="B102" s="15" t="str">
        <v>HLO budget subtotal</v>
      </c>
      <c r="H102" s="15">
        <f>SUM(H83:H101)</f>
      </c>
    </row>
  </sheetData>
  <mergeCells count="47">
    <mergeCell ref="A1:A2"/>
    <mergeCell ref="B1:B2"/>
    <mergeCell ref="C1:G1"/>
    <mergeCell ref="H1:H2"/>
    <mergeCell ref="I1:I2"/>
    <mergeCell ref="B3:B4"/>
    <mergeCell ref="H3:H4"/>
    <mergeCell ref="B5:B14"/>
    <mergeCell ref="H5:H14"/>
    <mergeCell ref="B15:B17"/>
    <mergeCell ref="H15:H17"/>
    <mergeCell ref="B18:G18"/>
    <mergeCell ref="A3:A18"/>
    <mergeCell ref="B20:B24"/>
    <mergeCell ref="H20:H24"/>
    <mergeCell ref="B26:G26"/>
    <mergeCell ref="A19:A26"/>
    <mergeCell ref="B27:B30"/>
    <mergeCell ref="H27:H30"/>
    <mergeCell ref="B31:B36"/>
    <mergeCell ref="H31:H36"/>
    <mergeCell ref="B37:B38"/>
    <mergeCell ref="H37:H38"/>
    <mergeCell ref="B39:G39"/>
    <mergeCell ref="A27:A39"/>
    <mergeCell ref="B40:B43"/>
    <mergeCell ref="H40:H43"/>
    <mergeCell ref="B44:B53"/>
    <mergeCell ref="H44:H53"/>
    <mergeCell ref="B54:B55"/>
    <mergeCell ref="H54:H55"/>
    <mergeCell ref="B56:G56"/>
    <mergeCell ref="A40:A56"/>
    <mergeCell ref="B57:B66"/>
    <mergeCell ref="H57:H66"/>
    <mergeCell ref="B67:B76"/>
    <mergeCell ref="H67:H76"/>
    <mergeCell ref="B77:B81"/>
    <mergeCell ref="H77:H81"/>
    <mergeCell ref="B82:G82"/>
    <mergeCell ref="A57:A82"/>
    <mergeCell ref="B83:B84"/>
    <mergeCell ref="H83:H84"/>
    <mergeCell ref="B85:B101"/>
    <mergeCell ref="H85:H101"/>
    <mergeCell ref="B102:G102"/>
    <mergeCell ref="A83:A102"/>
  </mergeCells>
  <ignoredErrors>
    <ignoredError numberStoredAsText="1" sqref="A1:I10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22"/>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xml:space="preserve">
      <c r="A2" s="18" t="str">
        <v>N-302058-TAJIKISTAN EVAL AA-TEAA</v>
      </c>
      <c r="B2" s="19" t="str">
        <v>AOW06</v>
      </c>
      <c r="C2" s="18" t="str">
        <v>6.2. Policy response</v>
      </c>
      <c r="D2" s="19">
        <v>534685</v>
      </c>
      <c r="E2" s="19" t="str">
        <f>=SUM(D2:D2)</f>
        <v>0</v>
      </c>
      <c r="F2" s="19" t="str" xml:space="preserve">
        <v xml:space="preserve">2026 Budget for this Program
</v>
      </c>
    </row>
    <row r="3" ht="30" customHeight="1">
      <c r="A3" s="18" t="str">
        <v>N333010</v>
      </c>
      <c r="B3" s="19" t="str">
        <v>AOW06</v>
      </c>
      <c r="C3" s="18" t="str">
        <v>6.2. Policy response</v>
      </c>
      <c r="D3" s="19">
        <v>185355</v>
      </c>
      <c r="E3" s="19" t="str">
        <f>=SUM(D3:D3)</f>
        <v>0</v>
      </c>
      <c r="F3" s="19" t="str">
        <v>'</v>
      </c>
    </row>
    <row r="4" ht="30" customHeight="1" xml:space="preserve">
      <c r="A4" s="18" t="str">
        <v>N-302020-SUDAN STRATEGY SUPPORT PR</v>
      </c>
      <c r="B4" s="19" t="str">
        <v>AOW05</v>
      </c>
      <c r="C4" s="18" t="str">
        <v>5.1. Agenda Setting</v>
      </c>
      <c r="D4" s="19">
        <v>346278</v>
      </c>
      <c r="E4" s="19" t="str">
        <f>=SUM(D4:D4)</f>
        <v>0</v>
      </c>
      <c r="F4" s="19" t="str" xml:space="preserve">
        <v xml:space="preserve">2026 Budget for this Program
</v>
      </c>
    </row>
    <row r="5" ht="30" customHeight="1" xml:space="preserve">
      <c r="A5" s="18" t="str">
        <v>N-313004-ReSAKSS SOUTH ASIA- IAT</v>
      </c>
      <c r="B5" s="19" t="str">
        <v>AOW05</v>
      </c>
      <c r="C5" s="18" t="str">
        <v>5.3. Capacity sharing activities</v>
      </c>
      <c r="D5" s="19">
        <v>223687</v>
      </c>
      <c r="E5" s="19" t="str">
        <f>=SUM(D5:D5)</f>
        <v>0</v>
      </c>
      <c r="F5" s="19" t="str" xml:space="preserve">
        <v xml:space="preserve">2026 Budget for this Program
</v>
      </c>
    </row>
    <row r="6" ht="30" customHeight="1" xml:space="preserve">
      <c r="A6" s="18" t="str">
        <v>N-613034-FOOD SYSTEM-GANGETIC PLAIN</v>
      </c>
      <c r="B6" s="19" t="str">
        <v>AOW05</v>
      </c>
      <c r="C6" s="18" t="str">
        <v>5.3. Capacity sharing activities</v>
      </c>
      <c r="D6" s="19">
        <v>164487</v>
      </c>
      <c r="E6" s="19" t="str">
        <f>=SUM(D6:D6)</f>
        <v>0</v>
      </c>
      <c r="F6" s="19" t="str" xml:space="preserve">
        <v xml:space="preserve">2026 Budget for this Program
</v>
      </c>
    </row>
    <row r="7" ht="30" customHeight="1" xml:space="preserve">
      <c r="A7" s="18" t="str">
        <v>N-341001-FASTER</v>
      </c>
      <c r="B7" s="19" t="str">
        <v>AOW05</v>
      </c>
      <c r="C7" s="18" t="str">
        <v>5.3. Capacity sharing activities</v>
      </c>
      <c r="D7" s="19">
        <v>680389</v>
      </c>
      <c r="E7" s="19" t="str">
        <f>=SUM(D7:D7)</f>
        <v>0</v>
      </c>
      <c r="F7" s="19" t="str" xml:space="preserve">
        <v xml:space="preserve">2026 Budget for this Program
</v>
      </c>
    </row>
    <row r="8" ht="30" customHeight="1" xml:space="preserve">
      <c r="A8" s="18" t="str">
        <v>N-641003-PNG OFFICE CAP STRENGTHEN</v>
      </c>
      <c r="B8" s="19" t="str">
        <v>AOW05</v>
      </c>
      <c r="C8" s="18" t="str">
        <v>5.2. Policy response</v>
      </c>
      <c r="D8" s="19">
        <v>443749</v>
      </c>
      <c r="E8" s="19" t="str">
        <f>=SUM(D8:D8)</f>
        <v>0</v>
      </c>
      <c r="F8" s="19" t="str" xml:space="preserve">
        <v xml:space="preserve">2026 Budget for this Program
</v>
      </c>
    </row>
    <row r="9" ht="30" customHeight="1" xml:space="preserve">
      <c r="A9" s="18" t="str">
        <v>N-301059-CLIMATE CHG x AGRICULTURE</v>
      </c>
      <c r="B9" s="19" t="str">
        <v>AOW05</v>
      </c>
      <c r="C9" s="18" t="str">
        <v>5.2. Policy response</v>
      </c>
      <c r="D9" s="19">
        <v>529319</v>
      </c>
      <c r="E9" s="19" t="str">
        <f>=SUM(D9:D9)</f>
        <v>0</v>
      </c>
      <c r="F9" s="19" t="str" xml:space="preserve">
        <v xml:space="preserve">2026 Budget for this Program
</v>
      </c>
    </row>
    <row r="10" ht="30" customHeight="1">
      <c r="A10" s="18" t="str">
        <v>N-2023PXX6-FASTR</v>
      </c>
      <c r="B10" s="19" t="str">
        <v>AOW05</v>
      </c>
      <c r="C10" s="18" t="str">
        <v>5.2. Policy response</v>
      </c>
      <c r="D10" s="19">
        <v>266919</v>
      </c>
      <c r="E10" s="19" t="str">
        <f>=SUM(D10:D10)</f>
        <v>0</v>
      </c>
      <c r="F10" s="19" t="str">
        <v>'</v>
      </c>
    </row>
    <row r="11" ht="30" customHeight="1" xml:space="preserve">
      <c r="A11" s="18" t="str">
        <v>N-614039-Strengthening Nat'l Capability MCF</v>
      </c>
      <c r="B11" s="19" t="str">
        <v>AOW03</v>
      </c>
      <c r="C11" s="18" t="str">
        <v>3.2. Policy response</v>
      </c>
      <c r="D11" s="19">
        <v>2030290</v>
      </c>
      <c r="E11" s="19" t="str">
        <f>=SUM(D11:D11)</f>
        <v>0</v>
      </c>
      <c r="F11" s="19" t="str" xml:space="preserve">
        <v xml:space="preserve">2026 Budget for this Program
</v>
      </c>
    </row>
    <row r="12" ht="30" customHeight="1" xml:space="preserve">
      <c r="A12" s="18" t="str">
        <v>N-2023P013-IMPACT ASSESSMENT</v>
      </c>
      <c r="B12" s="19" t="str">
        <v>AOW02</v>
      </c>
      <c r="C12" s="18" t="str">
        <v>2.2.  Policy response</v>
      </c>
      <c r="D12" s="19">
        <v>224218</v>
      </c>
      <c r="E12" s="19" t="str">
        <f>=SUM(D12:D12)</f>
        <v>0</v>
      </c>
      <c r="F12" s="19" t="str" xml:space="preserve">
        <v xml:space="preserve">2026 Budget for this Program
</v>
      </c>
    </row>
    <row r="13" ht="30" customHeight="1" xml:space="preserve">
      <c r="A13" s="18" t="str">
        <v>N-600292-RCC IN AFRICA</v>
      </c>
      <c r="B13" s="19" t="str">
        <v>AOW02</v>
      </c>
      <c r="C13" s="18" t="str">
        <v>2.2.  Policy response</v>
      </c>
      <c r="D13" s="19">
        <v>484218</v>
      </c>
      <c r="E13" s="19" t="str">
        <f>=SUM(D13:D13)</f>
        <v>0</v>
      </c>
      <c r="F13" s="19" t="str" xml:space="preserve">
        <v xml:space="preserve">2026 Budget for this Program
</v>
      </c>
    </row>
    <row r="14" ht="30" customHeight="1">
      <c r="A14" s="18" t="str">
        <v>N-632001-EFF CASH TXFR ON COFFE PR</v>
      </c>
      <c r="B14" s="19" t="str">
        <v>AOW02</v>
      </c>
      <c r="C14" s="18" t="str">
        <v>2.2.  Policy response</v>
      </c>
      <c r="D14" s="19">
        <v>221948</v>
      </c>
      <c r="E14" s="19" t="str">
        <f>=SUM(D14:D14)</f>
        <v>0</v>
      </c>
      <c r="F14" s="19" t="str">
        <v>'</v>
      </c>
    </row>
    <row r="15" ht="30" customHeight="1" xml:space="preserve">
      <c r="A15" s="18" t="str">
        <v>N-633006-IICOF IN JIMMA ETH</v>
      </c>
      <c r="B15" s="19" t="str">
        <v>AOW02</v>
      </c>
      <c r="C15" s="18" t="str">
        <v>2.2.  Policy response</v>
      </c>
      <c r="D15" s="19">
        <v>75393</v>
      </c>
      <c r="E15" s="19" t="str">
        <f>=SUM(D15:D15)</f>
        <v>0</v>
      </c>
      <c r="F15" s="19" t="str" xml:space="preserve">
        <v xml:space="preserve">2026 Budget for this Program
</v>
      </c>
    </row>
    <row r="16" ht="30" customHeight="1" xml:space="preserve">
      <c r="A16" s="18" t="str">
        <v>N-2023P1-IFAD-ASEAN</v>
      </c>
      <c r="B16" s="19" t="str">
        <v>AOW02</v>
      </c>
      <c r="C16" s="18" t="str">
        <v>2.2.  Policy response</v>
      </c>
      <c r="D16" s="19">
        <v>191506</v>
      </c>
      <c r="E16" s="19" t="str">
        <f>=SUM(D16:D16)</f>
        <v>0</v>
      </c>
      <c r="F16" s="19" t="str" xml:space="preserve">
        <v xml:space="preserve">2026 Budget for this Program
</v>
      </c>
    </row>
    <row r="17" ht="30" customHeight="1">
      <c r="A17" s="18" t="str">
        <v>N-632006-PARES</v>
      </c>
      <c r="B17" s="19" t="str">
        <v>AOW02</v>
      </c>
      <c r="C17" s="18" t="str">
        <v>2.2.  Policy response</v>
      </c>
      <c r="D17" s="19">
        <v>202167</v>
      </c>
      <c r="E17" s="19" t="str">
        <f>=SUM(D17:D17)</f>
        <v>0</v>
      </c>
      <c r="F17" s="19" t="str">
        <v>'</v>
      </c>
    </row>
    <row r="18" ht="30" customHeight="1">
      <c r="A18" s="18" t="str">
        <v>N-601158-SPIR II</v>
      </c>
      <c r="B18" s="19" t="str">
        <v>AOW02</v>
      </c>
      <c r="C18" s="18" t="str">
        <v>2.2.  Policy response</v>
      </c>
      <c r="D18" s="19">
        <v>201213</v>
      </c>
      <c r="E18" s="19" t="str">
        <f>=SUM(D18:D18)</f>
        <v>0</v>
      </c>
      <c r="F18" s="19" t="str">
        <v>'</v>
      </c>
    </row>
    <row r="19" ht="30" customHeight="1" xml:space="preserve">
      <c r="A19" s="18" t="str">
        <v>N-642001-HIGH-RESOLUTION CROP STAT</v>
      </c>
      <c r="B19" s="19" t="str">
        <v>AOW01</v>
      </c>
      <c r="C19" s="18" t="str">
        <v>1.2. Policy response</v>
      </c>
      <c r="D19" s="19">
        <v>470258</v>
      </c>
      <c r="E19" s="19" t="str">
        <f>=SUM(D19:D19)</f>
        <v>0</v>
      </c>
      <c r="F19" s="19" t="str" xml:space="preserve">
        <v xml:space="preserve">2026 Budget for this Program
</v>
      </c>
    </row>
    <row r="20" ht="30" customHeight="1" xml:space="preserve">
      <c r="A20" s="18" t="str">
        <v>N-600273-MAPS TOOL</v>
      </c>
      <c r="B20" s="19" t="str">
        <v>AOW01</v>
      </c>
      <c r="C20" s="18" t="str">
        <v>1.2. Policy response</v>
      </c>
      <c r="D20" s="19">
        <v>188202</v>
      </c>
      <c r="E20" s="19" t="str">
        <f>=SUM(D20:D20)</f>
        <v>0</v>
      </c>
      <c r="F20" s="19" t="str" xml:space="preserve">
        <v xml:space="preserve">2026 Budget for this Program
</v>
      </c>
    </row>
    <row r="21" ht="30" customHeight="1" xml:space="preserve">
      <c r="A21" s="18" t="str">
        <v>N-303008-GUATEMALA FOOD SECURITY</v>
      </c>
      <c r="B21" s="19" t="str">
        <v>AOW01</v>
      </c>
      <c r="C21" s="18" t="str">
        <v>1.1 Agenda Setting</v>
      </c>
      <c r="D21" s="19">
        <v>231375</v>
      </c>
      <c r="E21" s="19" t="str">
        <f>=SUM(D21:D21)</f>
        <v>0</v>
      </c>
      <c r="F21" s="19" t="str" xml:space="preserve">
        <v xml:space="preserve">2026 Budget for this Program
</v>
      </c>
    </row>
    <row r="22" ht="30" customHeight="1">
      <c r="A22" s="3" t="str">
        <v>W3/Bilateral projects subtotal</v>
      </c>
      <c r="E22" s="3">
        <f>SUM(E2:E21)</f>
      </c>
    </row>
  </sheetData>
  <mergeCells count="1">
    <mergeCell ref="A22:D22"/>
  </mergeCells>
  <ignoredErrors>
    <ignoredError numberStoredAsText="1" sqref="A1:F22"/>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120457</v>
      </c>
      <c r="D2" s="20">
        <v>0</v>
      </c>
      <c r="E2" s="20">
        <v>0</v>
      </c>
      <c r="F2" s="20">
        <v>0</v>
      </c>
      <c r="G2" s="20">
        <v>30000</v>
      </c>
      <c r="H2" s="20">
        <v>55000</v>
      </c>
      <c r="I2" s="20" t="str">
        <f>=SUM(B2:H2)</f>
        <v>0</v>
      </c>
    </row>
    <row r="3" ht="20" customHeight="1">
      <c r="A3" s="20" t="str">
        <v>Operations (supplies, consultants, travels, workshops, other)</v>
      </c>
      <c r="B3" s="20">
        <v>0</v>
      </c>
      <c r="C3" s="20">
        <v>115358</v>
      </c>
      <c r="D3" s="20">
        <v>62411</v>
      </c>
      <c r="E3" s="20">
        <v>37178</v>
      </c>
      <c r="F3" s="20">
        <v>67437</v>
      </c>
      <c r="G3" s="20">
        <v>147783</v>
      </c>
      <c r="H3" s="20">
        <v>0</v>
      </c>
      <c r="I3" s="20" t="str">
        <f>=SUM(B3:H3)</f>
        <v>0</v>
      </c>
    </row>
    <row r="4" ht="20" customHeight="1">
      <c r="A4" s="20" t="str">
        <v>Staffing, Chargebacks and Indirect</v>
      </c>
      <c r="B4" s="20">
        <v>234000</v>
      </c>
      <c r="C4" s="20">
        <v>1468133</v>
      </c>
      <c r="D4" s="20">
        <v>587706</v>
      </c>
      <c r="E4" s="20">
        <v>367802</v>
      </c>
      <c r="F4" s="20">
        <v>245888</v>
      </c>
      <c r="G4" s="20">
        <v>903977</v>
      </c>
      <c r="H4" s="20">
        <v>429909</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