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Engage and Empower</v>
      </c>
      <c r="B5" s="2">
        <v>0</v>
      </c>
      <c r="C5" s="5">
        <v>0</v>
      </c>
      <c r="D5" s="2">
        <v>0</v>
      </c>
      <c r="E5" s="5">
        <v>0</v>
      </c>
      <c r="F5" s="2">
        <v>0</v>
      </c>
      <c r="G5" s="5">
        <v>0</v>
      </c>
      <c r="H5" s="2">
        <v>0</v>
      </c>
      <c r="I5" s="5">
        <v>0</v>
      </c>
      <c r="J5" s="5">
        <v>0</v>
      </c>
      <c r="K5" s="5">
        <v>0</v>
      </c>
      <c r="L5" s="5">
        <v>0</v>
      </c>
      <c r="M5" s="5">
        <v>0</v>
      </c>
    </row>
    <row r="6" ht="20" customHeight="1">
      <c r="A6" s="2" t="str">
        <v>AOW02: Grand Challenges and Scaling Flagships</v>
      </c>
      <c r="B6" s="2">
        <v>0</v>
      </c>
      <c r="C6" s="5">
        <v>0</v>
      </c>
      <c r="D6" s="2">
        <v>0</v>
      </c>
      <c r="E6" s="5">
        <v>0</v>
      </c>
      <c r="F6" s="2">
        <v>0</v>
      </c>
      <c r="G6" s="5">
        <v>0</v>
      </c>
      <c r="H6" s="2">
        <v>0</v>
      </c>
      <c r="I6" s="5">
        <v>0</v>
      </c>
      <c r="J6" s="5">
        <v>0</v>
      </c>
      <c r="K6" s="5">
        <v>0</v>
      </c>
      <c r="L6" s="5">
        <v>0</v>
      </c>
      <c r="M6" s="5">
        <v>138920</v>
      </c>
    </row>
    <row r="7" ht="20" customHeight="1">
      <c r="A7" s="2" t="str">
        <v>AOW03: Enabling Environment Lab</v>
      </c>
      <c r="B7" s="2">
        <v>0</v>
      </c>
      <c r="C7" s="5">
        <v>0</v>
      </c>
      <c r="D7" s="2">
        <v>0</v>
      </c>
      <c r="E7" s="5">
        <v>0</v>
      </c>
      <c r="F7" s="2">
        <v>0</v>
      </c>
      <c r="G7" s="5">
        <v>0</v>
      </c>
      <c r="H7" s="2">
        <v>0</v>
      </c>
      <c r="I7" s="5">
        <v>0</v>
      </c>
      <c r="J7" s="5">
        <v>0</v>
      </c>
      <c r="K7" s="5">
        <v>0</v>
      </c>
      <c r="L7" s="5">
        <v>0</v>
      </c>
      <c r="M7" s="5">
        <v>0</v>
      </c>
    </row>
    <row r="8" ht="20" customHeight="1">
      <c r="A8" s="2" t="str">
        <v>AOW04: Achieving Impact by Unlocking Finance and Partnerships</v>
      </c>
      <c r="B8" s="2">
        <v>0</v>
      </c>
      <c r="C8" s="5">
        <v>0</v>
      </c>
      <c r="D8" s="2">
        <v>0</v>
      </c>
      <c r="E8" s="5">
        <v>0</v>
      </c>
      <c r="F8" s="2">
        <v>0</v>
      </c>
      <c r="G8" s="5">
        <v>0</v>
      </c>
      <c r="H8" s="2">
        <v>0</v>
      </c>
      <c r="I8" s="5">
        <v>0</v>
      </c>
      <c r="J8" s="5">
        <v>0</v>
      </c>
      <c r="K8" s="5">
        <v>0</v>
      </c>
      <c r="L8" s="5">
        <v>0</v>
      </c>
      <c r="M8" s="5">
        <v>356258</v>
      </c>
    </row>
    <row r="9" ht="20" customHeight="1">
      <c r="A9" s="2" t="str">
        <v>AOW05: Learning for Impact</v>
      </c>
      <c r="B9" s="2">
        <v>0</v>
      </c>
      <c r="C9" s="5">
        <v>0</v>
      </c>
      <c r="D9" s="2">
        <v>152</v>
      </c>
      <c r="E9" s="5">
        <v>50838</v>
      </c>
      <c r="F9" s="2">
        <v>30</v>
      </c>
      <c r="G9" s="5">
        <v>43382</v>
      </c>
      <c r="H9" s="2">
        <v>0</v>
      </c>
      <c r="I9" s="5">
        <v>0</v>
      </c>
      <c r="J9" s="5">
        <v>10000</v>
      </c>
      <c r="K9" s="5">
        <v>0</v>
      </c>
      <c r="L9" s="5">
        <v>104220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AOW05</v>
      </c>
      <c r="B3" s="11" t="str">
        <v xml:space="preserve">HLO 5.5.1: Enhancing scaling science for societal impact </v>
      </c>
      <c r="C3" s="11" t="str" xml:space="preserve">
        <v xml:space="preserve">A5ICRISAT-CC-1.1: PoD name: Leveraging South–South Cooperation and Learning to Accelerate Scaling for Impact. Lead Center: ICRISAT. PoD KPI: 2 – Two global webinars on scaling practice and learning conducted by the end of 2026 with participation from external partners integrating scaling science into their innovation processes, governance frameworks, or scaling mechanisms. Suggested Disaggregation: As this KPI measures institutional participation rather than individuals, disaggregation does not apply. Indicator type: Knowledge product. Unit: Number of Webinar Reports.
PoD Description: This package strengthens CGIAR’s scaling capabilities by leveraging the ICRISAT Centre of Excellence for South–South Cooperation in Agriculture (ISSCA) to foster cross-regional learning, coordinate scaling partnerships, and support adaptation of CGIAR and NARS innovations across diverse agro-ecologies. Through ISSCA’s digital knowledge hub, curated evidence repository, and mechanisms for engagement, capacity building, and policy dialogue, the package will help partners assess innovation readiness, identify scaling bottlenecks, and adopt shared frameworks aligned with S4I. Multi-country webinars and experiential learning exchanges will facilitate dissemination of scaling insights, enhance institutional capacities, and promote harmonized standards. Collaboration with CGIAR Flagships will enable integration of scaling strategies into organizational plans of regional bodies such as AGRA, FARA, and AFAAS, while supporting investment planning that embeds practical scaling science. Overall, the package will provide a coordinated CGIAR-wide mechanism to contextualize, adapt, and deploy scalable innovations across priority countries through South–South partnerships, digital infrastructure, and evidence-based decision-making. Accountable Center leading this PoD: ICRISAT. Anticipated partners: NARES institutions; regional and development partners including AGRA, FARA, and AFAAS; private-sector actors; donors; and ISSCA-linked collaborators in Kenya and India. MELIA: Monitoring, evaluation, and learning plans will be developed in early 2026 in cooperation with the S4I PMU and/or AoW‑5, and where needed will include baseline assessments and indicator tracking and reporting in line with Program and CGIAR guidelines.</v>
      </c>
      <c r="D3" s="11" t="str">
        <v>Number of knowledge products</v>
      </c>
      <c r="E3" s="11" t="str">
        <v>Country: India, Kenya</v>
      </c>
      <c r="F3" s="11">
        <v>2</v>
      </c>
      <c r="G3" s="11">
        <v>10838</v>
      </c>
      <c r="H3" s="11">
        <f>SUM(G3:G5)</f>
      </c>
      <c r="I3" s="11" t="str" xml:space="preserve">
        <v xml:space="preserve">Assumptions (1) Support for partners' engagement; (2) Partners learn and uptake shared lessons, experience and principles
Allocation for Partner:  2K- NARES institutions, Regional and development partners, private sector, and Donors
r </v>
      </c>
    </row>
    <row r="4" ht="50" customHeight="1" xml:space="preserve">
      <c r="A4" s="11" t="str">
        <v>AOW05</v>
      </c>
      <c r="C4" s="11" t="str" xml:space="preserve">
        <v xml:space="preserve">CRITICAL CAPABILITY: A5ICRISAT-CC-1.2: PoD name: Leveraging South–South Cooperation and Learning to Accelerate Scaling for Impact. Lead Center: ICRISAT. PoD KPI: 150 – One hundred fifty CGIAR/NARS validated innovation packages uploaded with standardized metadata in interactive dashboards by the end of 2026. Suggested Disaggregation: As this KPI measures knowledge products rather than individuals, disaggregation does not apply. Indicator type: knowledge products . Unit: Number of Reports.
PoD Description: This package expands the role of the ICRISAT Centre of Excellence for South–South Cooperation in Agriculture (ISSCA) to strengthen CGIAR’s scaling capabilities by fostering cross-regional learning, enhancing evidence-based scaling decisions, and supporting innovation portfolio management across CGIAR and NARS partners. Through ISSCA’s digital knowledge hub, curated data services, and engagement platforms, the package will enable partners to assess innovation readiness, identify scaling bottlenecks, and access standardized evidence on validated CGIAR–NARS scalable solutions. Interactive dashboards will be developed to visualize scaling maturity, adoption potential, and country-level demand, supporting harmonized decision-making and adaptive management across regions. Multi-country learning exchanges and webinars will disseminate practical scaling lessons, promote shared standards, and strengthen institutional capacities for responsible, context-aware scaling. Collaboration with CGIAR Flagships under S4I will embed scaling strategies into the planning and operations of regional partners such as AGRA, FARA, and AFAAS, contributing to a CGIAR-wide mechanism for deploying scalable innovations across diverse agro-ecologies. Accountable Center leading this PoD: ICRISAT. Anticipated partners: CGIAR Centers; NARES institutions; regional and development partners in Kenya and India; and ISSCA-affiliated scaling networks. MELIA: Monitoring, evaluation, and learning plans will be developed in early 2026 in cooperation with the S4I PMU and/or AoW‑5, and where needed will include baseline assessments and indicator tracking and reporting in line with Program and CGIAR guidelines.</v>
      </c>
      <c r="D4" s="11" t="str">
        <v>Number of knowledge products</v>
      </c>
      <c r="E4" s="11" t="str">
        <v>Country: Kenya, India</v>
      </c>
      <c r="F4" s="11">
        <v>150</v>
      </c>
      <c r="G4" s="11">
        <v>40000</v>
      </c>
      <c r="I4" s="11" t="str" xml:space="preserve">
        <v xml:space="preserve">Assumptions: Data on innovations allow assessment of their scalability; partners enable to use the organized data for decision-making
Allocation for Partner: 3K- CGIAR Centers, NARES institutions,and  Regional and development partners 
</v>
      </c>
    </row>
    <row r="5" ht="50" customHeight="1" xml:space="preserve">
      <c r="A5" s="11" t="str">
        <v>AOW05</v>
      </c>
      <c r="C5" s="11" t="str" xml:space="preserve">
        <v xml:space="preserve">CRITICAL CAPABILITY: A5ICRISAT-CC-1.3: PoD name: Leveraging South–South Cooperation and Learning to Accelerate Scaling for Impact. Lead Center: ICRISAT. PoD KPI: 30 – Thirty external partners trained on scaling readiness, responsible scaling, pathways to scaling, and policy engagement for scaling by the end of 2026. Suggested Disaggregation: As this KPI counts institutions, not individuals, disaggregation does not apply. Indicator type: Capacity Sharing. Unit: Number of Partners.
PoD Description: This package expands the role of the ICRISAT Centre of Excellence for South–South Cooperation in Agriculture (ISSCA) to enhance institutional capacities for responsible, evidence-driven scaling across CGIAR, NARES, and regional partners. By strengthening South–South learning, ISSCA will support partners to integrate scaling science frameworks, metrics, and governance tools into their innovation processes. Through structured training modules on scaling readiness, responsible scaling, pathways to scaling, and policy engagement, the package will bolster the ability of partners to adapt innovations to diverse contexts and manage scaling pathways more effectively. ISSCA’s digital knowledge hub and engagement platforms will underpin these trainings, enabling partners to access curated evidence, participate in practical learning exchanges, and apply good practices in real-world decision-making. Collaboration with CGIAR Flagships under S4I will further support alignment with regional organizations such as AGRA, FARA, and AFAAS, strengthening cross-country scaling strategies and investment planning. Collectively, this package provides the capacity-strengthening infrastructure needed for external partners to embed scaling science in their institutional operations and innovation governance. Accountable Center leading this PoD: ICRISAT. Anticipated partners: CGIAR Centers; NARES institutions; regional and development partners; private sector actors; and ISSCA-linked South–South Cooperation networks in Kenya and India. MELIA: Monitoring, evaluation, and learning plans will be developed in early 2026 in cooperation with the S4I PMU and/or AoW‑5, and where needed will include baseline assessments and indicator tracking and reporting in line with Program and CGIAR guidelines.</v>
      </c>
      <c r="D5" s="11" t="str">
        <v>Number of people trained (capacity sharing for development)</v>
      </c>
      <c r="E5" s="11" t="str">
        <v>Country: Kenya, India</v>
      </c>
      <c r="F5" s="11">
        <v>30</v>
      </c>
      <c r="G5" s="11">
        <v>43382</v>
      </c>
      <c r="I5" s="11" t="str" xml:space="preserve">
        <v xml:space="preserve">Assumptions (1) Support for partners' participation; (2) Partners learn and uptake shared lessons, experience and principles
Allocation for Partner: 5K- CGIAR Centers, NARES institutions,  Regional and development partners, and private secto</v>
      </c>
    </row>
    <row r="6" ht="25" customHeight="1">
      <c r="B6" s="14" t="str">
        <v>HLO budget subtotal</v>
      </c>
      <c r="H6" s="15">
        <f>SUM(H3:H5)</f>
      </c>
    </row>
  </sheetData>
  <mergeCells count="9">
    <mergeCell ref="A1:A2"/>
    <mergeCell ref="B1:B2"/>
    <mergeCell ref="C1:G1"/>
    <mergeCell ref="H1:H2"/>
    <mergeCell ref="I1:I2"/>
    <mergeCell ref="B3:B5"/>
    <mergeCell ref="H3:H5"/>
    <mergeCell ref="B6:G6"/>
    <mergeCell ref="A3:A6"/>
  </mergeCells>
  <ignoredErrors>
    <ignoredError numberStoredAsText="1" sqref="A1:I6"/>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Unknown Center</v>
      </c>
      <c r="C2" s="11" t="str">
        <v>HLO 1.1.2: Feedback and adaptive research and scaling prioritization, HLO 1.1.3: Enhance strategies and coordination, HLO 1.1.1: Demand signaling</v>
      </c>
      <c r="D2" s="11" t="str">
        <v>India,Kenya</v>
      </c>
      <c r="E2" s="11">
        <v>0</v>
      </c>
    </row>
    <row r="3" ht="25" customHeight="1">
      <c r="B3" s="14" t="str">
        <v>Contracted partners subtotal</v>
      </c>
      <c r="E3" s="14">
        <f>SUM(E2:E2)</f>
      </c>
    </row>
    <row r="4" ht="70" customHeight="1">
      <c r="A4" s="12" t="str">
        <v>AOW02</v>
      </c>
      <c r="B4" s="11" t="str">
        <v>Unknown Center</v>
      </c>
      <c r="C4" s="11" t="str">
        <v>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v>
      </c>
      <c r="D4" s="11" t="str">
        <v>India,Kenya</v>
      </c>
      <c r="E4" s="11">
        <v>0</v>
      </c>
    </row>
    <row r="5" ht="25" customHeight="1">
      <c r="B5" s="14" t="str">
        <v>Contracted partners subtotal</v>
      </c>
      <c r="E5" s="14">
        <f>SUM(E4:E4)</f>
      </c>
    </row>
    <row r="6" ht="70" customHeight="1" xml:space="preserve">
      <c r="A6" s="12" t="str">
        <v>AOW03</v>
      </c>
      <c r="B6" s="11" t="str">
        <v>Unknown Center</v>
      </c>
      <c r="C6" s="11" t="str" xml:space="preserve">
        <v xml:space="preserve">HLO 3.3.1: Enabling environment diagnostics, HLO 3.3.2: Scaling support services for enabling 
environments and institutions, HLO 3.3.3: Science-policy partnership interfaces for responsible scaling</v>
      </c>
      <c r="D6" s="11" t="str">
        <v>India,Kenya</v>
      </c>
      <c r="E6" s="11">
        <v>0</v>
      </c>
    </row>
    <row r="7" ht="25" customHeight="1">
      <c r="B7" s="14" t="str">
        <v>Contracted partners subtotal</v>
      </c>
      <c r="E7" s="14">
        <f>SUM(E6:E6)</f>
      </c>
    </row>
    <row r="8" ht="70" customHeight="1">
      <c r="A8" s="12" t="str">
        <v>AOW04</v>
      </c>
      <c r="B8" s="11" t="str">
        <v>Unknown Center</v>
      </c>
      <c r="C8" s="11" t="str">
        <v>HLO 4.4.1: CGIAR Expertise and Solutions Embedded in Development Investments and Partnerships, HLO 4.4.2: Innovation portfolio management and scaling strategy support teams</v>
      </c>
      <c r="D8" s="11" t="str">
        <v>India,Kenya</v>
      </c>
      <c r="E8" s="11">
        <v>0</v>
      </c>
    </row>
    <row r="9" ht="25" customHeight="1">
      <c r="B9" s="14" t="str">
        <v>Contracted partners subtotal</v>
      </c>
      <c r="E9" s="14">
        <f>SUM(E8:E8)</f>
      </c>
    </row>
    <row r="10" ht="70" customHeight="1" xml:space="preserve">
      <c r="A10" s="12" t="str">
        <v>AOW05</v>
      </c>
      <c r="B10" s="11" t="str">
        <v>Unknown Center</v>
      </c>
      <c r="C10" s="11" t="str">
        <v>HLO 5.5.1: Enhancing scaling science for societal impact, HLO 5.5.2: Insights for CGIAR scaling success through impact assessments, HLO 5.5.3: Custom analytics for managing innovation portfolios and decision-making</v>
      </c>
      <c r="D10" s="11" t="str">
        <v>India,Kenya</v>
      </c>
      <c r="E10" s="11">
        <v>10000</v>
      </c>
      <c r="F10" s="11" t="str" xml:space="preserve">
        <v xml:space="preserve">It is a placeholder budget for :
2K- NARES institutions, Regional and development partners, private sector, and Donors
3K- CGIAR Centers, NARES institutions,and  Regional and development partners 
5K- CGIAR Centers, NARES institutions,  Regional and development partners, and private sector </v>
      </c>
    </row>
    <row r="11" ht="25" customHeight="1">
      <c r="B11" s="14" t="str">
        <v>Contracted partners subtotal</v>
      </c>
      <c r="E11" s="14">
        <f>SUM(E10:E10)</f>
      </c>
    </row>
  </sheetData>
  <mergeCells count="10">
    <mergeCell ref="B3:D3"/>
    <mergeCell ref="A2:A3"/>
    <mergeCell ref="B5:D5"/>
    <mergeCell ref="A4:A5"/>
    <mergeCell ref="B7:D7"/>
    <mergeCell ref="A6:A7"/>
    <mergeCell ref="B9:D9"/>
    <mergeCell ref="A8:A9"/>
    <mergeCell ref="B11:D11"/>
    <mergeCell ref="A10: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Scaling Commercialization of Drought Tolerant Crops (DTC) Technologies to Secure Dignified and Fulfilling Work for 120,000 Youth in Rural Kenya</v>
      </c>
      <c r="B2" s="19" t="str">
        <v>AOW02</v>
      </c>
      <c r="C2" s="18" t="str">
        <v>HLO 2.2.1: Access climate services and smart water management tools that improve adaptation decisions and resource efficiency.</v>
      </c>
      <c r="D2" s="19">
        <v>138920</v>
      </c>
      <c r="E2" s="19" t="str">
        <f>=SUM(D2:D2)</f>
        <v>0</v>
      </c>
      <c r="F2" s="19" t="str">
        <v>Scaling Commercialization of Drought Tolerant Crops (DTC) Technologies to Secure Dignified and Fulfilling Work for 120,000 Youth in Rural Kenya: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3" ht="30" customHeight="1">
      <c r="A3" s="18" t="str">
        <v>Landscape resource management for augmenting groundwater recharge and sustainable intensification of farming systems and building resilience for improved livelihoods of farmers in dryland of Maharashtra, India</v>
      </c>
      <c r="B3" s="19" t="str">
        <v>AOW03</v>
      </c>
      <c r="C3" s="18" t="str">
        <v xml:space="preserve">HLO 3.3.1: Enabling environment diagnostics </v>
      </c>
      <c r="D3" s="19">
        <v>0</v>
      </c>
      <c r="E3" s="19" t="str">
        <f>=SUM(D3:D3)</f>
        <v>0</v>
      </c>
    </row>
    <row r="4" ht="30" customHeight="1">
      <c r="A4" s="18" t="str">
        <v>Technologies for African Agricultural Transformation Phase II (TAAT II)</v>
      </c>
      <c r="B4" s="19" t="str">
        <v>AOW04</v>
      </c>
      <c r="C4" s="18" t="str">
        <v>HLO 4.4.1: CGIAR Expertise and Solutions Embedded in Development Investments and Partnerships</v>
      </c>
      <c r="D4" s="19">
        <v>356258</v>
      </c>
      <c r="E4" s="19" t="str">
        <f>=SUM(D4:D4)</f>
        <v>0</v>
      </c>
      <c r="F4" s="19" t="str">
        <v>Technologies for African Agricultural Transformation Phase II (TAAT II):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5" ht="30" customHeight="1">
      <c r="A5" s="3" t="str">
        <v>W3/Bilateral projects subtotal</v>
      </c>
      <c r="E5" s="3">
        <f>SUM(E2:E4)</f>
      </c>
    </row>
  </sheetData>
  <mergeCells count="1">
    <mergeCell ref="A5:D5"/>
  </mergeCells>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0</v>
      </c>
      <c r="F2" s="20">
        <v>0</v>
      </c>
      <c r="G2" s="20">
        <v>10000</v>
      </c>
      <c r="H2" s="20" t="str">
        <f>=SUM(B2:G2)</f>
        <v>0</v>
      </c>
    </row>
    <row r="3" ht="20" customHeight="1">
      <c r="A3" s="20" t="str">
        <v>Operations (supplies, consultants, travels, workshops, other)</v>
      </c>
      <c r="B3" s="20">
        <v>0</v>
      </c>
      <c r="C3" s="20">
        <v>0</v>
      </c>
      <c r="D3" s="20">
        <v>0</v>
      </c>
      <c r="E3" s="20">
        <v>0</v>
      </c>
      <c r="F3" s="20">
        <v>0</v>
      </c>
      <c r="G3" s="20">
        <v>20000</v>
      </c>
      <c r="H3" s="20" t="str">
        <f>=SUM(B3:G3)</f>
        <v>0</v>
      </c>
    </row>
    <row r="4" ht="20" customHeight="1">
      <c r="A4" s="20" t="str">
        <v>Staffing, Chargebacks and Indirect</v>
      </c>
      <c r="B4" s="20">
        <v>0</v>
      </c>
      <c r="C4" s="20">
        <v>0</v>
      </c>
      <c r="D4" s="20">
        <v>0</v>
      </c>
      <c r="E4" s="20">
        <v>0</v>
      </c>
      <c r="F4" s="20">
        <v>0</v>
      </c>
      <c r="G4" s="20">
        <v>74220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