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3</v>
      </c>
      <c r="E6" s="5">
        <v>67283</v>
      </c>
      <c r="F6" s="2">
        <v>50</v>
      </c>
      <c r="G6" s="5">
        <v>45000</v>
      </c>
      <c r="H6" s="2">
        <v>0</v>
      </c>
      <c r="I6" s="5">
        <v>0</v>
      </c>
      <c r="J6" s="5">
        <v>0</v>
      </c>
      <c r="K6" s="5">
        <v>0</v>
      </c>
      <c r="L6" s="5">
        <v>112283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2</v>
      </c>
      <c r="E7" s="5">
        <v>50000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50000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AOW02</v>
      </c>
      <c r="B3" s="11" t="str">
        <v>Suite of solutions focused on farm input dealers, food traders, processors, and/or retailers that promote food quality and safety, reduce food loss, improve efficiency, and/or facilitate intermediation developed and tested with technical support and country engagement</v>
      </c>
      <c r="C3" s="11" t="str">
        <v>Critical Capabilities: Training reports and training curricula on food quality and safety</v>
      </c>
      <c r="D3" s="11" t="str">
        <v>Number of knowledge products</v>
      </c>
      <c r="E3" s="11" t="str">
        <v>Country: Sri Lanka</v>
      </c>
      <c r="F3" s="11">
        <v>2</v>
      </c>
      <c r="G3" s="11">
        <v>33641.5</v>
      </c>
      <c r="H3" s="11">
        <f>SUM(G3:G5)</f>
      </c>
      <c r="I3" s="11" t="str">
        <v>Personnel costs based on standard organizational salary scales.</v>
      </c>
    </row>
    <row r="4" ht="50" customHeight="1">
      <c r="A4" s="11" t="str">
        <v>AOW02</v>
      </c>
      <c r="C4" s="11" t="str">
        <v>Critical Capabilities: Training materials and guidance on market research methods</v>
      </c>
      <c r="D4" s="11" t="str">
        <v>Number of knowledge products</v>
      </c>
      <c r="E4" s="11" t="str">
        <v>Country: Sri Lanka</v>
      </c>
      <c r="F4" s="11">
        <v>1</v>
      </c>
      <c r="G4" s="11">
        <v>33641.5</v>
      </c>
      <c r="I4" s="11" t="str">
        <v>Personnel costs based on standard organizational salary scales.</v>
      </c>
    </row>
    <row r="5" ht="50" customHeight="1">
      <c r="A5" s="11" t="str">
        <v>AOW02</v>
      </c>
      <c r="C5" s="11" t="str">
        <v>Critical Capabilities: Training and capacity building on safe sourcing, quality control, and market practices for peanut processors in Tanzania</v>
      </c>
      <c r="D5" s="11" t="str">
        <v>Number of people trained (capacity sharing for development)</v>
      </c>
      <c r="E5" s="11" t="str">
        <v>Country: Tanzania, United Republic</v>
      </c>
      <c r="F5" s="11">
        <v>50</v>
      </c>
      <c r="G5" s="11">
        <v>45000</v>
      </c>
      <c r="I5" s="11" t="str">
        <v>Personnel costs based on standard organizational salary scales.</v>
      </c>
    </row>
    <row r="6" ht="25" customHeight="1">
      <c r="B6" s="14" t="str">
        <v>HLO budget subtotal</v>
      </c>
      <c r="H6" s="15">
        <f>SUM(H3:H5)</f>
      </c>
    </row>
    <row r="7" ht="50" customHeight="1">
      <c r="A7" s="13" t="str">
        <v>AOW03</v>
      </c>
      <c r="B7" s="11" t="str">
        <v>Suite of end-to-end solutions for fruit and vegetable producers, traders, processors, and vendors/retailers that promote food quality and safety, reduce food loss, and increase profits co-developed, tested, and scaled</v>
      </c>
      <c r="C7" s="11" t="str">
        <v>Analyses and results on diets/nutrition, agricultural production, food environments, and gender equity and social inclusion issues from the end-to-end evaluation in Tanzania</v>
      </c>
      <c r="D7" s="11" t="str">
        <v>Number of knowledge products</v>
      </c>
      <c r="E7" s="11" t="str">
        <v>Country: Tanzania, United Republic</v>
      </c>
      <c r="F7" s="11">
        <v>2</v>
      </c>
      <c r="G7" s="11">
        <v>50000</v>
      </c>
      <c r="H7" s="11">
        <f>SUM(G7:G7)</f>
      </c>
      <c r="I7" s="11" t="str">
        <v>Personnel costs based on standard organizational salary scales.</v>
      </c>
    </row>
    <row r="8" ht="25" customHeight="1">
      <c r="B8" s="15" t="str">
        <v>HLO budget subtotal</v>
      </c>
      <c r="H8" s="15">
        <f>SUM(H7:H7)</f>
      </c>
    </row>
  </sheetData>
  <mergeCells count="11">
    <mergeCell ref="A1:A2"/>
    <mergeCell ref="B1:B2"/>
    <mergeCell ref="C1:G1"/>
    <mergeCell ref="H1:H2"/>
    <mergeCell ref="I1:I2"/>
    <mergeCell ref="B3:B5"/>
    <mergeCell ref="H3:H5"/>
    <mergeCell ref="B6:G6"/>
    <mergeCell ref="A3:A6"/>
    <mergeCell ref="B8:G8"/>
    <mergeCell ref="A7:A8"/>
  </mergeCells>
  <ignoredErrors>
    <ignoredError numberStoredAsText="1" sqref="A1:I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18000</v>
      </c>
      <c r="E2" s="18">
        <v>0</v>
      </c>
      <c r="F2" s="18">
        <v>0</v>
      </c>
      <c r="G2" s="18">
        <v>0</v>
      </c>
      <c r="H2" s="18">
        <v>0</v>
      </c>
      <c r="I2" s="18" t="str">
        <f>=SUM(B2:H2)</f>
        <v>0</v>
      </c>
    </row>
    <row r="3" ht="20" customHeight="1">
      <c r="A3" s="18" t="str">
        <v>Operations (supplies, consultants, travels, workshops, other)</v>
      </c>
      <c r="B3" s="18">
        <v>150000</v>
      </c>
      <c r="C3" s="18">
        <v>0</v>
      </c>
      <c r="D3" s="18">
        <v>18000</v>
      </c>
      <c r="E3" s="18">
        <v>11758</v>
      </c>
      <c r="F3" s="18">
        <v>0</v>
      </c>
      <c r="G3" s="18">
        <v>0</v>
      </c>
      <c r="H3" s="18">
        <v>0</v>
      </c>
      <c r="I3" s="18" t="str">
        <f>=SUM(B3:H3)</f>
        <v>0</v>
      </c>
    </row>
    <row r="4" ht="20" customHeight="1">
      <c r="A4" s="18" t="str">
        <v>Staffing, Chargebacks and Indirect</v>
      </c>
      <c r="B4" s="18">
        <v>110000</v>
      </c>
      <c r="C4" s="18">
        <v>0</v>
      </c>
      <c r="D4" s="18">
        <v>76283</v>
      </c>
      <c r="E4" s="18">
        <v>38242</v>
      </c>
      <c r="F4" s="18">
        <v>0</v>
      </c>
      <c r="G4" s="18">
        <v>0</v>
      </c>
      <c r="H4" s="18">
        <v>0</v>
      </c>
      <c r="I4" s="18" t="str">
        <f>=SUM(B4:H4)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  <c r="I5" s="21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