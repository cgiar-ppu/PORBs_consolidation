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Market Intelligence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Accelerated Breeding</v>
      </c>
      <c r="B6" s="2">
        <v>166</v>
      </c>
      <c r="C6" s="5">
        <v>470000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470000</v>
      </c>
      <c r="M6" s="5">
        <v>0</v>
      </c>
    </row>
    <row r="7" ht="20" customHeight="1">
      <c r="A7" s="2" t="str">
        <v>AOW03: Inclusive Delivery</v>
      </c>
      <c r="B7" s="2">
        <v>110</v>
      </c>
      <c r="C7" s="5">
        <v>125000</v>
      </c>
      <c r="D7" s="2">
        <v>0</v>
      </c>
      <c r="E7" s="5">
        <v>0</v>
      </c>
      <c r="F7" s="2">
        <v>500</v>
      </c>
      <c r="G7" s="5">
        <v>80000</v>
      </c>
      <c r="H7" s="2">
        <v>100</v>
      </c>
      <c r="I7" s="5">
        <v>75000</v>
      </c>
      <c r="J7" s="5">
        <v>0</v>
      </c>
      <c r="K7" s="5">
        <v>0</v>
      </c>
      <c r="L7" s="5">
        <v>280000</v>
      </c>
      <c r="M7" s="5">
        <v>0</v>
      </c>
    </row>
    <row r="8" ht="20" customHeight="1">
      <c r="A8" s="2" t="str">
        <v>AOW04: Breeding Resources</v>
      </c>
      <c r="B8" s="2">
        <v>4</v>
      </c>
      <c r="C8" s="5">
        <v>50000</v>
      </c>
      <c r="D8" s="2">
        <v>0</v>
      </c>
      <c r="E8" s="5">
        <v>0</v>
      </c>
      <c r="F8" s="2">
        <v>4</v>
      </c>
      <c r="G8" s="5">
        <v>50000</v>
      </c>
      <c r="H8" s="2">
        <v>8</v>
      </c>
      <c r="I8" s="5">
        <v>50000</v>
      </c>
      <c r="J8" s="5">
        <v>0</v>
      </c>
      <c r="K8" s="5">
        <v>0</v>
      </c>
      <c r="L8" s="5">
        <v>150000</v>
      </c>
      <c r="M8" s="5">
        <v>0</v>
      </c>
    </row>
    <row r="9" ht="20" customHeight="1">
      <c r="A9" s="2" t="str">
        <v>AOW05: Enable</v>
      </c>
      <c r="B9" s="2">
        <v>0</v>
      </c>
      <c r="C9" s="5">
        <v>0</v>
      </c>
      <c r="D9" s="2">
        <v>1</v>
      </c>
      <c r="E9" s="5">
        <v>19540</v>
      </c>
      <c r="F9" s="2">
        <v>10</v>
      </c>
      <c r="G9" s="5">
        <v>20000</v>
      </c>
      <c r="H9" s="2">
        <v>55</v>
      </c>
      <c r="I9" s="5">
        <v>105000</v>
      </c>
      <c r="J9" s="5">
        <v>0</v>
      </c>
      <c r="K9" s="5">
        <v>0</v>
      </c>
      <c r="L9" s="5">
        <v>144540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NARES leadership team meeting</v>
      </c>
      <c r="C2" s="11" t="str">
        <v>For High level NARES meeting under ENABLE (150k)</v>
      </c>
      <c r="D2" s="11">
        <v>0</v>
      </c>
    </row>
    <row r="3" ht="45" customHeight="1">
      <c r="A3" s="11" t="str">
        <v>AOW00</v>
      </c>
      <c r="B3" s="11" t="str">
        <v>DIscretionary funds</v>
      </c>
      <c r="C3" s="11" t="str">
        <v xml:space="preserve">To be allocated </v>
      </c>
      <c r="D3" s="11">
        <v>0</v>
      </c>
    </row>
    <row r="4" ht="45" customHeight="1">
      <c r="A4" s="11" t="str">
        <v>AOW00</v>
      </c>
      <c r="B4" s="11" t="str">
        <v>To be allocated to research</v>
      </c>
      <c r="C4" s="11" t="str">
        <v>PODs pending</v>
      </c>
      <c r="D4" s="11">
        <v>0</v>
      </c>
    </row>
    <row r="5" ht="45" customHeight="1">
      <c r="A5" s="11" t="str">
        <v>AOW00</v>
      </c>
      <c r="B5" s="11" t="str">
        <v>Director Salary and costs</v>
      </c>
      <c r="C5" s="11" t="str">
        <v>510k for the Director's salary + relevant costs, as outlined by instructions</v>
      </c>
      <c r="D5" s="11">
        <v>0</v>
      </c>
    </row>
    <row r="6" ht="45" customHeight="1">
      <c r="A6" s="11" t="str">
        <v>AOW00</v>
      </c>
      <c r="B6" s="11" t="str">
        <v>Finance Focal point</v>
      </c>
      <c r="C6" s="11" t="str">
        <v>Mandated by Finance for 36.5k</v>
      </c>
      <c r="D6" s="11">
        <v>0</v>
      </c>
    </row>
    <row r="7" ht="45" customHeight="1" xml:space="preserve">
      <c r="A7" s="11" t="str">
        <v>AOW00</v>
      </c>
      <c r="B7" s="11" t="str">
        <v xml:space="preserve">Travel costs </v>
      </c>
      <c r="C7" s="11" t="str" xml:space="preserve">
        <v xml:space="preserve">Budget for two meetings of 75k costs each
</v>
      </c>
      <c r="D7" s="11">
        <v>0</v>
      </c>
    </row>
    <row r="8" ht="45" customHeight="1">
      <c r="A8" s="11" t="str">
        <v>AOW00</v>
      </c>
      <c r="B8" s="11" t="str">
        <v>AoW lead total salary costs at up to 50% of time</v>
      </c>
      <c r="C8" s="11" t="str">
        <v>For four AoW leads at 50% and two at 25%</v>
      </c>
      <c r="D8" s="11">
        <v>0</v>
      </c>
    </row>
    <row r="9" ht="45" customHeight="1">
      <c r="A9" s="11" t="str">
        <v>AOW00</v>
      </c>
      <c r="B9" s="11" t="str">
        <v>PMU costs (Program Coordinator; Communications Focal Point;  MELIA Focal Point)</v>
      </c>
      <c r="C9" s="11" t="str">
        <v>All at 50% FTE</v>
      </c>
      <c r="D9" s="11">
        <v>0</v>
      </c>
    </row>
    <row r="10" ht="45" customHeight="1">
      <c r="A10" s="11" t="str">
        <v>AOW00</v>
      </c>
      <c r="B10" s="11" t="str">
        <v>Consultants</v>
      </c>
      <c r="C10" s="11" t="str">
        <v>Primary consultants for B4T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AOW02</v>
      </c>
      <c r="B3" s="11" t="str">
        <v>HLO9.AOW2.IO2 Create products</v>
      </c>
      <c r="C3" s="11" t="str" xml:space="preserve">
        <v xml:space="preserve">Breeding networks collaborate on the development of targeted products. ---- ICRISAT -groundnut - Number of varieties released to partners for scaling
</v>
      </c>
      <c r="D3" s="11" t="str">
        <v>Number of innovations (innovation development)</v>
      </c>
      <c r="E3" s="11" t="str">
        <v>Country: India, Malawi, Mali</v>
      </c>
      <c r="F3" s="11">
        <v>4</v>
      </c>
      <c r="G3" s="11">
        <v>90000</v>
      </c>
      <c r="H3" s="11">
        <f>SUM(G3:G8)</f>
      </c>
      <c r="I3" s="11" t="str" xml:space="preserve">
        <v xml:space="preserve">Package ID: ICRISAT_Breeding for Tomorrow_03
AOW: AOW02 Accelerated Breeding
Responsible: Janila P
Target: 4 varieties released to partners for scaling
Locations of Work: India; Mali; Malawi</v>
      </c>
    </row>
    <row r="4" ht="50" customHeight="1" xml:space="preserve">
      <c r="A4" s="11" t="str">
        <v>AOW02</v>
      </c>
      <c r="C4" s="11" t="str" xml:space="preserve">
        <v xml:space="preserve">Breeding networks collaborate on the development of targeted products. ---- ICRISAT CHICKPEA - Number of varieties released to partners for scaling
</v>
      </c>
      <c r="D4" s="11" t="str">
        <v>Number of innovations (innovation development)</v>
      </c>
      <c r="E4" s="11" t="str">
        <v>Country: Ethiopia, India</v>
      </c>
      <c r="F4" s="11">
        <v>3</v>
      </c>
      <c r="G4" s="11">
        <v>70000</v>
      </c>
      <c r="I4" s="11" t="str" xml:space="preserve">
        <v xml:space="preserve">Package ID: ICRISAT_Breeding for Tomorrow_03
AOW: AOW02 Accelerated Breeding
Responsible: Rakesh Srivastava
Target: 4 varieties released to partners for scaling
Locations:  Ethiopia, India
</v>
      </c>
    </row>
    <row r="5" ht="50" customHeight="1" xml:space="preserve">
      <c r="A5" s="11" t="str">
        <v>AOW02</v>
      </c>
      <c r="C5" s="11" t="str" xml:space="preserve">
        <v xml:space="preserve">Breeding networks collaborate on the development of targeted products. ---- ICRISAT PIGEONPEA - Number of varieties released to partners for scaling
</v>
      </c>
      <c r="D5" s="11" t="str">
        <v>Number of innovations (innovation development)</v>
      </c>
      <c r="E5" s="11" t="str">
        <v>Country: Kenya, India</v>
      </c>
      <c r="F5" s="11">
        <v>5</v>
      </c>
      <c r="G5" s="11">
        <v>60000</v>
      </c>
      <c r="I5" s="11" t="str" xml:space="preserve">
        <v xml:space="preserve">Package ID: ICRISAT_Breeding for Tomorrow_03
AOW: AOW02 Accelerated Breeding
Responsible: Prakash Gangashetty
Target: 5 varieties released to partners for scaling
Locations:  Kenya, India
</v>
      </c>
    </row>
    <row r="6" ht="50" customHeight="1" xml:space="preserve">
      <c r="A6" s="11" t="str">
        <v>AOW02</v>
      </c>
      <c r="C6" s="11" t="str" xml:space="preserve">
        <v xml:space="preserve">Breeding networks collaborate on the development of targeted products. ---- ICRISAT FINGERMILLET - Number of varieties released to partners for scaling	
</v>
      </c>
      <c r="D6" s="11" t="str">
        <v>Number of innovations (innovation development)</v>
      </c>
      <c r="E6" s="11" t="str">
        <v>Country: India, Kenya</v>
      </c>
      <c r="F6" s="11">
        <v>4</v>
      </c>
      <c r="G6" s="11">
        <v>70000</v>
      </c>
      <c r="I6" s="11" t="str" xml:space="preserve">
        <v xml:space="preserve">Package ID: ICRISAT_Breeding for Tomorrow_03
AOW: AOW02 Accelerated Breeding
Responsible: Henry O
Target: 4 varieties released to partners for scaling
Locations:  India, Kenya
</v>
      </c>
    </row>
    <row r="7" ht="50" customHeight="1" xml:space="preserve">
      <c r="A7" s="11" t="str">
        <v>AOW02</v>
      </c>
      <c r="C7" s="11" t="str" xml:space="preserve">
        <v xml:space="preserve">Breeding networks collaborate on the development of targeted products. ---- ICRISAT - SORGHUM ---------- Number of elite breeding lines released to partners
</v>
      </c>
      <c r="D7" s="11" t="str">
        <v>Number of innovations (innovation development)</v>
      </c>
      <c r="E7" s="11" t="str">
        <v>Country: Zimbabwe, India, Mali</v>
      </c>
      <c r="F7" s="11">
        <v>50</v>
      </c>
      <c r="G7" s="11">
        <v>90000</v>
      </c>
      <c r="I7" s="11" t="str" xml:space="preserve">
        <v xml:space="preserve">Package ID: ICRISAT_Breeding for Tomorrow_03
AOW: AOW02 Accelerated Breeding
Responsible: Mac Jumbo Bright
Target: 50 Number of elite breeding lines released to partners
Locations:  Zimbabwe, India, Mali
Program develops hybrid parental lines (and not d</v>
      </c>
    </row>
    <row r="8" ht="50" customHeight="1" xml:space="preserve">
      <c r="A8" s="11" t="str">
        <v>AOW02</v>
      </c>
      <c r="C8" s="11" t="str">
        <v>Breeding networks collaborate on the development of targeted products. ---- ICRISAT -PEARL MILLET - Number of elite breeding lines released to partners</v>
      </c>
      <c r="D8" s="11" t="str">
        <v>Number of innovations (innovation development)</v>
      </c>
      <c r="E8" s="11" t="str">
        <v>Country: Mali, India, Kenya</v>
      </c>
      <c r="F8" s="11">
        <v>100</v>
      </c>
      <c r="G8" s="11">
        <v>90000</v>
      </c>
      <c r="I8" s="11" t="str" xml:space="preserve">
        <v xml:space="preserve">Package ID: ICRISAT_Breeding for Tomorrow_03
AOW: AOW02 Accelerated Breeding
Responsible: SK Gupta
Target: 100 Number of elite breeding lines released to partners
Locations:  Mali, India, Kenya
Program develops hybrid parental lines (and not direct prod</v>
      </c>
    </row>
    <row r="9" ht="25" customHeight="1">
      <c r="B9" s="14" t="str">
        <v>HLO budget subtotal</v>
      </c>
      <c r="H9" s="15">
        <f>SUM(H3:H8)</f>
      </c>
    </row>
    <row r="10" ht="50" customHeight="1" xml:space="preserve">
      <c r="A10" s="13" t="str">
        <v>AOW03</v>
      </c>
      <c r="B10" s="11" t="str">
        <v>HLO11.AOW3.IO4 Position for demand</v>
      </c>
      <c r="C10" s="11" t="str">
        <v xml:space="preserve">Strategies to position quality seed and increase scaling partner demand for new varieties, encouraging variety replacement and Product Lifecycle Management. ----- ICRISAT - Pigeonpea; Sorghum, Pearl Millet ---- Number of new products per segments validated or introduced	</v>
      </c>
      <c r="D10" s="11" t="str">
        <v>Number of innovations (innovation development)</v>
      </c>
      <c r="E10" s="11" t="str">
        <v>Country: Uganda, India, Malawi, Tanzania, United Republic, Bangladesh, Pakistan, Mali, Kenya, Zimbabwe, Nigeria</v>
      </c>
      <c r="F10" s="11">
        <v>110</v>
      </c>
      <c r="G10" s="11">
        <v>125000</v>
      </c>
      <c r="H10" s="11">
        <f>SUM(G10:G10)</f>
      </c>
      <c r="I10" s="11" t="str" xml:space="preserve">
        <v xml:space="preserve">Package ID: ICRISAT_Breeding for Tomorrow_12
AOW: AOW03 Accelerated Breeding
Responsible: Manzoor Dar
Target: 110 Number of new products per segments validated or introduced
Locations:  Uganda, India, Malawi, Tanzania, United Republic, Bangladesh, Pakista</v>
      </c>
    </row>
    <row r="11" ht="50" customHeight="1" xml:space="preserve">
      <c r="A11" s="11" t="str">
        <v>AOW03</v>
      </c>
      <c r="B11" s="11" t="str">
        <v>HLO13.AOW3.IO5 Power seed scaling</v>
      </c>
      <c r="C11" s="11" t="str" xml:space="preserve">
        <v xml:space="preserve">Number of individuals from research or scaling partner organizations who attended CGIAR trainings (gender-disaggregated)	-----ICRISAT (DRYLAND CROPS)-----------	Number of individuals trained (gender-disaggregated)
</v>
      </c>
      <c r="D11" s="11" t="str">
        <v>Number of people trained (capacity sharing for development)</v>
      </c>
      <c r="E11" s="11" t="str">
        <v>Country: India, Tanzania, United Republic, Kenya, Uganda, Mali, Nigeria, Malawi, Pakistan, Bangladesh</v>
      </c>
      <c r="F11" s="11">
        <v>500</v>
      </c>
      <c r="G11" s="11">
        <v>80000</v>
      </c>
      <c r="H11" s="11">
        <f>SUM(G11:G11)</f>
      </c>
      <c r="I11" s="11" t="str" xml:space="preserve">
        <v xml:space="preserve">Package ID: ICRISAT_Breeding for Tomorrow_12
AOW: AOW03 Accelerated Breeding
Responsible: Manzoor Dar
Target: 500 Number of individuals trained (gender-disaggregated)
Locations:  India, Tanzania, United Republic, Kenya, Uganda, Mali, Nigeria, Malawi, Paki</v>
      </c>
    </row>
    <row r="12" ht="50" customHeight="1" xml:space="preserve">
      <c r="A12" s="11" t="str">
        <v>AOW03</v>
      </c>
      <c r="B12" s="11" t="str">
        <v>HLO14.AOW3.IO5 TRACK adoption</v>
      </c>
      <c r="C12" s="11" t="str" xml:space="preserve">
        <v xml:space="preserve">Methods and tools to track variety adoption and turnover at scale ------------------ ICRISAT ( Pigeonpea; Sorghum, Pearl Millet) -------------------------Number of stakeholder feedback sessions conducted	
</v>
      </c>
      <c r="D12" s="11" t="str">
        <v xml:space="preserve"> No. of stakeholder feedback sessions conducted	</v>
      </c>
      <c r="E12" s="11" t="str">
        <v>Country: Tanzania, United Republic, Mali, Uganda, Malawi, Zimbabwe, Bangladesh, Pakistan, Nigeria, India, Kenya</v>
      </c>
      <c r="F12" s="11">
        <v>100</v>
      </c>
      <c r="G12" s="11">
        <v>75000</v>
      </c>
      <c r="H12" s="11">
        <f>SUM(G12:G12)</f>
      </c>
      <c r="I12" s="11" t="str" xml:space="preserve">
        <v xml:space="preserve">Package ID: ICRISAT_Breeding for Tomorrow_12
AOW: AOW03 Accelerated Breeding
Responsible: Manzoor Dar
Target: 100 No. of stakeholder feedback sessions conducted
Locations:  Tanzania, United Republic, Mali, Uganda, Malawi, Zimbabwe, Bangladesh, Pakistan, N</v>
      </c>
    </row>
    <row r="13" ht="25" customHeight="1">
      <c r="B13" s="15" t="str">
        <v>HLO budget subtotal</v>
      </c>
      <c r="H13" s="15">
        <f>SUM(H10:H12)</f>
      </c>
    </row>
    <row r="14" ht="50" customHeight="1" xml:space="preserve">
      <c r="A14" s="13" t="str">
        <v>AOW04</v>
      </c>
      <c r="B14" s="11" t="str">
        <v>HLO15.AOW4.IO2 Hub &amp; spoke scaling</v>
      </c>
      <c r="C14" s="11" t="str" xml:space="preserve">
        <v xml:space="preserve">Interoperable tools and services are scaled to match the varied capacities of partners across the breeding network. High-capacity partners are supported to act as central hubs, providing in breeding network support to less resourced partners. ----- ICRISAT (CROP AGNOSTIC) ----------------Number of institutional users in Service Portal	
</v>
      </c>
      <c r="D14" s="11" t="str">
        <v xml:space="preserve"> Number of institutional users in Service Portal	</v>
      </c>
      <c r="E14" s="11" t="str">
        <v>Global</v>
      </c>
      <c r="F14" s="11">
        <v>4</v>
      </c>
      <c r="G14" s="11">
        <v>20000</v>
      </c>
      <c r="H14" s="11">
        <f>SUM(G14:G15)</f>
      </c>
      <c r="I14" s="11" t="str" xml:space="preserve">
        <v xml:space="preserve">Package ID: ICRISAT_Breeding for Tomorrow_15
AOW: AOW04 Breeding Resources
Responsible: Damaris Odeny	
Target: 4 Number of institutional users in Service Portal
Locations:  Global
</v>
      </c>
    </row>
    <row r="15" ht="50" customHeight="1" xml:space="preserve">
      <c r="A15" s="11" t="str">
        <v>AOW04</v>
      </c>
      <c r="C15" s="11" t="str">
        <v xml:space="preserve">Interoperable tools and services are scaled to match the varied capacities of partners across the breeding network. High-capacity partners are supported to act as central hubs, providing in breeding network support to less resourced partners.---------------------ICRISAT  (Dryland legumes and millets, rice, wheat, maize and other crops submitted for services)--------------Number of High-capacity partners acting as central hub, providing breeding network support services to less resourced partners	</v>
      </c>
      <c r="D15" s="11" t="str">
        <v>Number of people trained (capacity sharing for development)</v>
      </c>
      <c r="E15" s="11" t="str">
        <v>Country: Kenya, India</v>
      </c>
      <c r="F15" s="11">
        <v>4</v>
      </c>
      <c r="G15" s="11">
        <v>50000</v>
      </c>
      <c r="I15" s="11" t="str" xml:space="preserve">
        <v xml:space="preserve">Package ID: ICRISAT_Breeding for Tomorrow_15
AOW: AOW04 Breeding Resources
Responsible: Damaris Odeny	
Target: 4 Number of High-capacity partners acting as central hub, providing breeding network support services to less resourced partners
Locations:  Glo</v>
      </c>
    </row>
    <row r="16" ht="50" customHeight="1" xml:space="preserve">
      <c r="A16" s="11" t="str">
        <v>AOW04</v>
      </c>
      <c r="B16" s="11" t="str">
        <v>HLO16.AOW4.IO3 Shared services</v>
      </c>
      <c r="C16" s="11" t="str">
        <v>A portfolio of connected tools and services that collectively meet current and emerging needs for modernized breeding is made available to breeding networks ---- ICRISAT - (CROP AGNOSTIC) ---- 1 mid-density marker panel and 1 low density panel for dryland crops</v>
      </c>
      <c r="D16" s="11" t="str">
        <v>Number of innovations (innovation development)</v>
      </c>
      <c r="E16" s="11" t="str">
        <v>Country: Kenya, India</v>
      </c>
      <c r="F16" s="11">
        <v>4</v>
      </c>
      <c r="G16" s="11">
        <v>50000</v>
      </c>
      <c r="H16" s="11">
        <f>SUM(G16:G16)</f>
      </c>
      <c r="I16" s="11" t="str" xml:space="preserve">
        <v xml:space="preserve">Package ID: ICRISAT_Breeding for Tomorrow_15
AOW: AOW04 Breeding Resources
Responsible: Damaris Odeny	
Target: 4 Number of tools and services offered
Locations:  India, Kenya
</v>
      </c>
    </row>
    <row r="17" ht="50" customHeight="1" xml:space="preserve">
      <c r="A17" s="11" t="str">
        <v>AOW04</v>
      </c>
      <c r="B17" s="11" t="str">
        <v>HLO17.AOW4.IO3 FAIR principles</v>
      </c>
      <c r="C17" s="11" t="str" xml:space="preserve">
        <v xml:space="preserve">All breeding programs are supported to maximize alignment with FAIR principles ---- ICRISAT - CROP AGNOSTIC - Number of Centers that make EBS data API accessible	
</v>
      </c>
      <c r="D17" s="11" t="str">
        <v xml:space="preserve"> Number of Centers that make EBS data API accessible	</v>
      </c>
      <c r="E17" s="11" t="str">
        <v>Country: Kenya, Mali, India</v>
      </c>
      <c r="F17" s="11">
        <v>4</v>
      </c>
      <c r="G17" s="11">
        <v>30000</v>
      </c>
      <c r="H17" s="11">
        <f>SUM(G17:G17)</f>
      </c>
      <c r="I17" s="11" t="str" xml:space="preserve">
        <v xml:space="preserve">Package ID: ICRISAT_Breeding for Tomorrow_15
AOW: AOW04 Breeding Resources
Responsible: Damaris Odeny	
Target: 4 Number of Centers that make EBS data API accessible
Locations:  Kenya, Mali, India
</v>
      </c>
    </row>
    <row r="18" ht="25" customHeight="1">
      <c r="B18" s="15" t="str">
        <v>HLO budget subtotal</v>
      </c>
      <c r="H18" s="15">
        <f>SUM(H14:H17)</f>
      </c>
    </row>
    <row r="19" ht="50" customHeight="1" xml:space="preserve">
      <c r="A19" s="13" t="str">
        <v>AOW05</v>
      </c>
      <c r="B19" s="11" t="str">
        <v>HLO18.AOW5.IO2 Partnered networks</v>
      </c>
      <c r="C19" s="11" t="str" xml:space="preserve">
        <v xml:space="preserve">Strategic planning of crop x region breeding networks that enables collaboration on common challenges and opportunities----ICRISAT -Pearl millet, finger millet, sorghum, chickpea, pigeonpea, groundnut (Participator Vareital Selection (PVS))--------- Number of Crops with Level 1 &amp; Level 2 partner countries characterized	
</v>
      </c>
      <c r="D19" s="11" t="str">
        <v xml:space="preserve"> Number of Crops with Level 1 &amp; Level 2 partner countries characterized	</v>
      </c>
      <c r="E19" s="11" t="str">
        <v>Country: India</v>
      </c>
      <c r="F19" s="11">
        <v>10</v>
      </c>
      <c r="G19" s="11">
        <v>30000</v>
      </c>
      <c r="H19" s="11">
        <f>SUM(G19:G21)</f>
      </c>
      <c r="I19" s="11" t="str" xml:space="preserve">
        <v xml:space="preserve">Package ID: ICRISAT_Breeding for Tomorrow_16
AOW: AOW05 Enable
Responsible: SK Gupta; Bright Jumbo	
Target: 10 Number of Crops with Level 1 &amp; Level 2 partner countries characterized
Locations:  Global
</v>
      </c>
    </row>
    <row r="20" ht="50" customHeight="1" xml:space="preserve">
      <c r="A20" s="11" t="str">
        <v>AOW05</v>
      </c>
      <c r="C20" s="11" t="str" xml:space="preserve">
        <v xml:space="preserve">Strategic planning of crop x region breeding networks that enables collaboration on common challenges and opportunities----ICRISAT -Pearl millet, finger millet, sorghum, chickpea, pigeonpea, groundnut (Product Advancement Meetings under ASIABENET)--------- Number of Crops with Level 1 &amp; Level 2 partner countries characterized	
</v>
      </c>
      <c r="D20" s="11" t="str">
        <v xml:space="preserve"> Number of Crops with Level 1 &amp; Level 2 partner countries characterized	</v>
      </c>
      <c r="E20" s="11" t="str">
        <v>Country: India</v>
      </c>
      <c r="F20" s="11">
        <v>25</v>
      </c>
      <c r="G20" s="11">
        <v>25000</v>
      </c>
      <c r="I20" s="11" t="str" xml:space="preserve">
        <v xml:space="preserve">Package ID: ICRISAT_Breeding for Tomorrow_16
AOW: AOW05 Enable
Responsible: SK Gupta; Bright Jumbo	
Target: 25 Number of Crops with Level 1 &amp; Level 2 partner countries characterized
Locations:  Global
</v>
      </c>
    </row>
    <row r="21" ht="50" customHeight="1" xml:space="preserve">
      <c r="A21" s="11" t="str">
        <v>AOW05</v>
      </c>
      <c r="C21" s="11" t="str" xml:space="preserve">
        <v xml:space="preserve">Strategic planning of crop x region breeding networks that enables collaboration on common challenges and opportunities----ICRISAT -Pearl millet, finger millet, sorghum, chickpea, pigeonpea, groundnut (Establish ASIABENET: Establish ASIABENET and conduct Annual METs are conducted for... )--------- Number of Crops with Level 1 &amp; Level 2 partner countries characterized
</v>
      </c>
      <c r="D21" s="11" t="str">
        <v xml:space="preserve"> Number of Crops with Level 1 &amp; Level 2 partner countries characterized</v>
      </c>
      <c r="E21" s="11" t="str">
        <v>Country: Myanmar, Lao People's Democratic Republic, The Socialist Republic of Viet Nam, India, Bangladesh</v>
      </c>
      <c r="F21" s="11">
        <v>20</v>
      </c>
      <c r="G21" s="11">
        <v>50000</v>
      </c>
      <c r="I21" s="11" t="str" xml:space="preserve">
        <v xml:space="preserve">Package ID: ICRISAT_Breeding for Tomorrow_16
AOW: AOW05 Enable
Responsible: SK Gupta; Bright Jumbo	
Target: 20 Number of Crops with Level 1 &amp; Level 2 partner countries characterized
Locations:  Global
</v>
      </c>
    </row>
    <row r="22" ht="50" customHeight="1" xml:space="preserve">
      <c r="A22" s="11" t="str">
        <v>AOW05</v>
      </c>
      <c r="B22" s="11" t="str">
        <v>HLO20.AOW5.IO3 Assess performance</v>
      </c>
      <c r="C22" s="11" t="str" xml:space="preserve">
        <v xml:space="preserve">Number of AoWs, with MELIA performance reports completed, addressing identified data gaps. ---- ICRISAT (Provide capacity to partners to enhance knowledge. ) -----Availability of MELIA Report on AoWs (performance data)	
</v>
      </c>
      <c r="D22" s="11" t="str">
        <v>Number of people trained (capacity sharing for development)</v>
      </c>
      <c r="E22" s="11" t="str">
        <v>Country: India</v>
      </c>
      <c r="F22" s="11">
        <v>10</v>
      </c>
      <c r="G22" s="11">
        <v>20000</v>
      </c>
      <c r="H22" s="11">
        <f>SUM(G22:G23)</f>
      </c>
      <c r="I22" s="11" t="str" xml:space="preserve">
        <v xml:space="preserve">Package ID: ICRISAT_Breeding for Tomorrow_16
AOW: AOW05 Enable
Responsible: S Nedumaran
Target: 1 Provide capacity to partners to enhance knowledge
Locations:  India
</v>
      </c>
    </row>
    <row r="23" ht="50" customHeight="1" xml:space="preserve">
      <c r="A23" s="11" t="str">
        <v>AOW05</v>
      </c>
      <c r="C23" s="11" t="str" xml:space="preserve">
        <v xml:space="preserve">Number of AoWs with completed MELIA performance reports that address identified data gaps, including information on adoption levels, area of adoption, and market share of the technology. — ICRISAT (generate information on adoption) — Availability of MELIA reports on AoWs (performance data).
</v>
      </c>
      <c r="D23" s="11" t="str">
        <v>Number of knowledge products</v>
      </c>
      <c r="E23" s="11" t="str">
        <v>Country: India</v>
      </c>
      <c r="F23" s="11">
        <v>1</v>
      </c>
      <c r="G23" s="11">
        <v>19540</v>
      </c>
      <c r="I23" s="11" t="str" xml:space="preserve">
        <v xml:space="preserve">Package ID: ICRISAT_Breeding for Tomorrow_16
AOW: AOW05 Enable
Responsible: S Nedumaran 	
Target: 1 generate information on adoption
Locations:  India
</v>
      </c>
    </row>
    <row r="24" ht="25" customHeight="1">
      <c r="B24" s="15" t="str">
        <v>HLO budget subtotal</v>
      </c>
      <c r="H24" s="15">
        <f>SUM(H19:H23)</f>
      </c>
    </row>
  </sheetData>
  <mergeCells count="21">
    <mergeCell ref="A1:A2"/>
    <mergeCell ref="B1:B2"/>
    <mergeCell ref="C1:G1"/>
    <mergeCell ref="H1:H2"/>
    <mergeCell ref="I1:I2"/>
    <mergeCell ref="B3:B8"/>
    <mergeCell ref="H3:H8"/>
    <mergeCell ref="B9:G9"/>
    <mergeCell ref="A3:A9"/>
    <mergeCell ref="B13:G13"/>
    <mergeCell ref="A10:A13"/>
    <mergeCell ref="B14:B15"/>
    <mergeCell ref="H14:H15"/>
    <mergeCell ref="B18:G18"/>
    <mergeCell ref="A14:A18"/>
    <mergeCell ref="B19:B21"/>
    <mergeCell ref="H19:H21"/>
    <mergeCell ref="B22:B23"/>
    <mergeCell ref="H22:H23"/>
    <mergeCell ref="B24:G24"/>
    <mergeCell ref="A19:A24"/>
  </mergeCells>
  <ignoredErrors>
    <ignoredError numberStoredAsText="1" sqref="A1:I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Enhancing groundnut productivity through increased quality seed access in Odisha</v>
      </c>
      <c r="B2" s="19" t="str">
        <v>AOW00</v>
      </c>
      <c r="C2" s="18" t="str">
        <v xml:space="preserve">IOC5 Equitable access to improved varieties </v>
      </c>
      <c r="D2" s="19">
        <v>0</v>
      </c>
      <c r="E2" s="19" t="str">
        <f>=SUM(D2:D3)</f>
        <v>0</v>
      </c>
    </row>
    <row r="3" ht="30" customHeight="1">
      <c r="A3" s="18" t="str">
        <v>Enhancing groundnut productivity through increased quality seed access in Odisha</v>
      </c>
      <c r="B3" s="19" t="str">
        <v>AOW03</v>
      </c>
      <c r="C3" s="18" t="str">
        <v>HLO11.AOW3.IO4 Position for demand</v>
      </c>
      <c r="D3" s="19">
        <v>0</v>
      </c>
    </row>
    <row r="4" ht="30" customHeight="1">
      <c r="A4" s="18" t="str">
        <v>Developing and introducing high-yielding climate-resilient pigeon pea cultivars for intensification and diversification of cropping systems and to satisfy the nutritional requirement of small holder farmers of Odisha</v>
      </c>
      <c r="B4" s="19" t="str">
        <v>AOW00</v>
      </c>
      <c r="C4" s="18" t="str">
        <v xml:space="preserve">IOC5 Equitable access to improved varieties </v>
      </c>
      <c r="D4" s="19">
        <v>0</v>
      </c>
      <c r="E4" s="19" t="str">
        <f>=SUM(D4:D6)</f>
        <v>0</v>
      </c>
    </row>
    <row r="5" ht="30" customHeight="1">
      <c r="A5" s="18" t="str">
        <v>Developing and introducing high-yielding climate-resilient pigeon pea cultivars for intensification and diversification of cropping systems and to satisfy the nutritional requirement of small holder farmers of Odisha</v>
      </c>
      <c r="B5" s="19" t="str">
        <v>AOW02</v>
      </c>
      <c r="C5" s="18" t="str">
        <v>HLO6.AOW2.IO1 Refocus to markets</v>
      </c>
      <c r="D5" s="19">
        <v>0</v>
      </c>
    </row>
    <row r="6" ht="30" customHeight="1">
      <c r="A6" s="18" t="str">
        <v>Developing and introducing high-yielding climate-resilient pigeon pea cultivars for intensification and diversification of cropping systems and to satisfy the nutritional requirement of small holder farmers of Odisha</v>
      </c>
      <c r="B6" s="19" t="str">
        <v>AOW03</v>
      </c>
      <c r="C6" s="18" t="str">
        <v>HLO11.AOW3.IO4 Position for demand</v>
      </c>
      <c r="D6" s="19">
        <v>0</v>
      </c>
    </row>
    <row r="7" ht="30" customHeight="1" xml:space="preserve">
      <c r="A7" s="18" t="str">
        <v>MILLETS in upland regions of Odisha for crop diversification, climate resilience and enhanced Food and Nutritional Security</v>
      </c>
      <c r="B7" s="19" t="str">
        <v>AOW00</v>
      </c>
      <c r="C7" s="18" t="str" xml:space="preserve">
        <v xml:space="preserve">IOC1 Prioritization of products 
</v>
      </c>
      <c r="D7" s="19">
        <v>0</v>
      </c>
      <c r="E7" s="19" t="str">
        <f>=SUM(D7:D8)</f>
        <v>0</v>
      </c>
    </row>
    <row r="8" ht="30" customHeight="1">
      <c r="A8" s="18" t="str">
        <v>MILLETS in upland regions of Odisha for crop diversification, climate resilience and enhanced Food and Nutritional Security</v>
      </c>
      <c r="B8" s="19" t="str">
        <v>AOW02</v>
      </c>
      <c r="C8" s="18" t="str">
        <v>HLO6.AOW2.IO1 Refocus to markets</v>
      </c>
      <c r="D8" s="19">
        <v>0</v>
      </c>
    </row>
    <row r="9" ht="30" customHeight="1">
      <c r="A9" s="18" t="str">
        <v>Bihar Centre Of Excellence For Millets Value Chain (BCoEMVC)</v>
      </c>
      <c r="B9" s="19" t="str">
        <v>AOW00</v>
      </c>
      <c r="C9" s="18" t="str">
        <v xml:space="preserve">IOC2 - Active collaboration to develop products </v>
      </c>
      <c r="D9" s="19">
        <v>0</v>
      </c>
      <c r="E9" s="19" t="str">
        <f>=SUM(D9:D10)</f>
        <v>0</v>
      </c>
    </row>
    <row r="10" ht="30" customHeight="1">
      <c r="A10" s="18" t="str">
        <v>Bihar Centre Of Excellence For Millets Value Chain (BCoEMVC)</v>
      </c>
      <c r="B10" s="19" t="str">
        <v>AOW02</v>
      </c>
      <c r="C10" s="18" t="str">
        <v>HLO9.AOW2.IO2 Create products</v>
      </c>
      <c r="D10" s="19">
        <v>0</v>
      </c>
    </row>
    <row r="11" ht="30" customHeight="1">
      <c r="A11" s="18" t="str">
        <v>Increasing Pulses Productivity and Incomes through Science-led Interventions in rice fallows of Odisha</v>
      </c>
      <c r="B11" s="19" t="str">
        <v>AOW00</v>
      </c>
      <c r="C11" s="18" t="str">
        <v xml:space="preserve">IOC2 - Active collaboration to develop products </v>
      </c>
      <c r="D11" s="19">
        <v>0</v>
      </c>
      <c r="E11" s="19" t="str">
        <f>=SUM(D11:D11)</f>
        <v>0</v>
      </c>
    </row>
    <row r="12" ht="30" customHeight="1">
      <c r="A12" s="3" t="str">
        <v>W3/Bilateral projects subtotal</v>
      </c>
      <c r="E12" s="3">
        <f>SUM(E2:E11)</f>
      </c>
    </row>
  </sheetData>
  <mergeCells count="9">
    <mergeCell ref="A2:A3"/>
    <mergeCell ref="A4:A6"/>
    <mergeCell ref="A7:A8"/>
    <mergeCell ref="A9:A10"/>
    <mergeCell ref="E2:E3"/>
    <mergeCell ref="E4:E6"/>
    <mergeCell ref="E7:E8"/>
    <mergeCell ref="E9:E10"/>
    <mergeCell ref="A12:D12"/>
  </mergeCells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ICRISAT (generate information on adoption) — Availability of MELIA reports on AoWs (performance data).</v>
      </c>
      <c r="B2" s="19" t="str">
        <v>AOW00</v>
      </c>
      <c r="C2" s="18" t="str">
        <v xml:space="preserve">IOC5 Equitable access to improved varieties </v>
      </c>
      <c r="D2" s="19">
        <v>0</v>
      </c>
      <c r="E2" s="19" t="str">
        <f>=SUM(D2:D3)</f>
        <v>0</v>
      </c>
    </row>
    <row r="3" ht="30" customHeight="1">
      <c r="A3" s="18" t="str">
        <v>ICRISAT (generate information on adoption) — Availability of MELIA reports on AoWs (performance data).</v>
      </c>
      <c r="B3" s="19" t="str">
        <v>AOW05</v>
      </c>
      <c r="C3" s="18" t="str">
        <v>HLO20.AOW5.IO3 Assess performance</v>
      </c>
      <c r="D3" s="19">
        <v>0</v>
      </c>
    </row>
    <row r="4" ht="30" customHeight="1">
      <c r="A4" s="3" t="str">
        <v>MELIA Studies Budget subtotal</v>
      </c>
      <c r="E4" s="3">
        <f>SUM(E2:E3)</f>
      </c>
    </row>
  </sheetData>
  <mergeCells count="3">
    <mergeCell ref="A2:A3"/>
    <mergeCell ref="E2:E3"/>
    <mergeCell ref="A4:D4"/>
  </mergeCells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30000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200000</v>
      </c>
      <c r="E3" s="20">
        <v>90000</v>
      </c>
      <c r="F3" s="20">
        <v>50000</v>
      </c>
      <c r="G3" s="20">
        <v>70908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270000</v>
      </c>
      <c r="E4" s="20">
        <v>160000</v>
      </c>
      <c r="F4" s="20">
        <v>100000</v>
      </c>
      <c r="G4" s="20">
        <v>73632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