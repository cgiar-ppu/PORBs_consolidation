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Productivity+</v>
      </c>
      <c r="B5" s="2">
        <v>7</v>
      </c>
      <c r="C5" s="5">
        <v>165000</v>
      </c>
      <c r="D5" s="2">
        <v>19</v>
      </c>
      <c r="E5" s="5">
        <v>252006</v>
      </c>
      <c r="F5" s="2">
        <v>0</v>
      </c>
      <c r="G5" s="5">
        <v>0</v>
      </c>
      <c r="H5" s="2">
        <v>1</v>
      </c>
      <c r="I5" s="5">
        <v>20000</v>
      </c>
      <c r="J5" s="5">
        <v>0</v>
      </c>
      <c r="K5" s="5">
        <v>0</v>
      </c>
      <c r="L5" s="5">
        <v>437006</v>
      </c>
      <c r="M5" s="5">
        <v>0</v>
      </c>
    </row>
    <row r="6" ht="20" customHeight="1">
      <c r="A6" s="2" t="str">
        <v>AOW02: Climate and the Environment</v>
      </c>
      <c r="B6" s="2">
        <v>2</v>
      </c>
      <c r="C6" s="5">
        <v>25000</v>
      </c>
      <c r="D6" s="2">
        <v>7</v>
      </c>
      <c r="E6" s="5">
        <v>184875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209875</v>
      </c>
      <c r="M6" s="5">
        <v>694995</v>
      </c>
    </row>
    <row r="7" ht="20" customHeight="1">
      <c r="A7" s="2" t="str">
        <v>AOW03: One Health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Market Systems, Policy Solutions and Scaling</v>
      </c>
      <c r="B8" s="2">
        <v>5</v>
      </c>
      <c r="C8" s="5">
        <v>85000</v>
      </c>
      <c r="D8" s="2">
        <v>9</v>
      </c>
      <c r="E8" s="5">
        <v>200933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285933</v>
      </c>
      <c r="M8" s="5">
        <v>0</v>
      </c>
    </row>
    <row r="9" ht="20" customHeight="1">
      <c r="A9" s="2" t="str">
        <v>AOW05: Gender, Youth and Social Inclusion</v>
      </c>
      <c r="B9" s="2">
        <v>1</v>
      </c>
      <c r="C9" s="5">
        <v>10000</v>
      </c>
      <c r="D9" s="2">
        <v>5</v>
      </c>
      <c r="E9" s="5">
        <v>139134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149134</v>
      </c>
      <c r="M9" s="5">
        <v>0</v>
      </c>
    </row>
    <row r="10" ht="20" customHeight="1">
      <c r="A10" s="2" t="str">
        <v>AOW06: Data and Digital Solutions</v>
      </c>
      <c r="B10" s="2">
        <v>0</v>
      </c>
      <c r="C10" s="5">
        <v>0</v>
      </c>
      <c r="D10" s="2">
        <v>0</v>
      </c>
      <c r="E10" s="5">
        <v>0</v>
      </c>
      <c r="F10" s="2">
        <v>0</v>
      </c>
      <c r="G10" s="5">
        <v>0</v>
      </c>
      <c r="H10" s="2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AOW Leads</v>
      </c>
      <c r="C2" s="11" t="str">
        <v>Six (6) AOW Leads averaging 21.67% FTE</v>
      </c>
      <c r="D2" s="11">
        <v>0</v>
      </c>
    </row>
    <row r="3" ht="45" customHeight="1">
      <c r="A3" s="11" t="str">
        <v>AOW00</v>
      </c>
      <c r="B3" s="11" t="str">
        <v>Program Meetings and Workshops</v>
      </c>
      <c r="C3" s="11" t="str">
        <v>In-person progress, review, or planning meetings for program leadership, including the annual pause and reflect event</v>
      </c>
      <c r="D3" s="11">
        <v>0</v>
      </c>
    </row>
    <row r="4" ht="45" customHeight="1">
      <c r="A4" s="11" t="str">
        <v>AOW00</v>
      </c>
      <c r="B4" s="11" t="str">
        <v>Program Director Discretionary</v>
      </c>
      <c r="C4" s="11" t="str">
        <v>As directed by the SO; funds for consultants, meetings, travel, workshops, supplies, and other admin support needed by the Program Director in 2026 to address emerging opportunities and gaps or strategic program level issues</v>
      </c>
      <c r="D4" s="11">
        <v>0</v>
      </c>
    </row>
    <row r="5" ht="45" customHeight="1">
      <c r="A5" s="11" t="str">
        <v>AOW00</v>
      </c>
      <c r="B5" s="11" t="str">
        <v>Program Director Operations Costs</v>
      </c>
      <c r="C5" s="11" t="str">
        <v>As instructed by the SO; Travel, consultants, supplies, admin support, meetings or workshops required by the Director to perform their role</v>
      </c>
      <c r="D5" s="11">
        <v>0</v>
      </c>
    </row>
    <row r="6" ht="45" customHeight="1">
      <c r="A6" s="11" t="str">
        <v>AOW00</v>
      </c>
      <c r="B6" s="11" t="str">
        <v>Other PMU Operations</v>
      </c>
      <c r="C6" s="11" t="str">
        <v>Travel, office supplies, and other charge-backs for PMU team</v>
      </c>
      <c r="D6" s="11">
        <v>0</v>
      </c>
    </row>
    <row r="7" ht="45" customHeight="1">
      <c r="A7" s="11" t="str">
        <v>AOW00</v>
      </c>
      <c r="B7" s="11" t="str">
        <v>SO Central Finance Funds</v>
      </c>
      <c r="C7" s="11" t="str">
        <v>As required by the SO</v>
      </c>
      <c r="D7" s="11">
        <v>0</v>
      </c>
    </row>
    <row r="8" ht="45" customHeight="1">
      <c r="A8" s="11" t="str">
        <v>AOW00</v>
      </c>
      <c r="B8" s="11" t="str">
        <v>Program MELIA Funds</v>
      </c>
      <c r="C8" s="11" t="str">
        <v>Program funds for implementation of the MELIA plan</v>
      </c>
      <c r="D8" s="11">
        <v>0</v>
      </c>
    </row>
    <row r="9" ht="45" customHeight="1">
      <c r="A9" s="11" t="str">
        <v>AOW00</v>
      </c>
      <c r="B9" s="11" t="str">
        <v>Program Communications Operations</v>
      </c>
      <c r="C9" s="11" t="str">
        <v>Program communications funds to implement CKM strategy</v>
      </c>
      <c r="D9" s="11">
        <v>0</v>
      </c>
    </row>
    <row r="10" ht="45" customHeight="1">
      <c r="A10" s="11" t="str">
        <v>AOW00</v>
      </c>
      <c r="B10" s="11" t="str">
        <v>PMU Team</v>
      </c>
      <c r="C10" s="11" t="str">
        <v>Staff fees for Program Coordinator (50%), Program MELIA Focal Point (20%) and Program CKM Lead (50%) and any other administrative roles/needs</v>
      </c>
      <c r="D10" s="11">
        <v>0</v>
      </c>
    </row>
    <row r="11" ht="45" customHeight="1">
      <c r="A11" s="11" t="str">
        <v>AOW00</v>
      </c>
      <c r="B11" s="11" t="str">
        <v>Program Director Staff Costs</v>
      </c>
      <c r="C11" s="11" t="str">
        <v>100% FTE Program Director and associated cost recovery</v>
      </c>
      <c r="D11" s="11">
        <v>0</v>
      </c>
    </row>
  </sheetData>
  <mergeCells count="1">
    <mergeCell ref="A2:A11"/>
  </mergeCells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HLO 1.2 - Cost-efficient animal and aquatic species feed and forage innovations and inclusive delivery models</v>
      </c>
      <c r="C3" s="11" t="str">
        <v xml:space="preserve">Dairy Cattle - Kenya: Generation of scientific knowledge products on the selection and promotion of improved forages for local conditions in Kenyan dairy systems. </v>
      </c>
      <c r="D3" s="11" t="str">
        <v>Number of knowledge products</v>
      </c>
      <c r="E3" s="11" t="str">
        <v>Country: Kenya</v>
      </c>
      <c r="F3" s="11">
        <v>6</v>
      </c>
      <c r="G3" s="11">
        <v>80000</v>
      </c>
      <c r="H3" s="11">
        <f>SUM(G3:G10)</f>
      </c>
      <c r="I3" s="11" t="str">
        <v>Staff charges, operations and US $16,000 for partner agreements</v>
      </c>
    </row>
    <row r="4" ht="50" customHeight="1" xml:space="preserve">
      <c r="A4" s="11" t="str">
        <v>AOW01</v>
      </c>
      <c r="C4" s="11" t="str">
        <v>Dairy Cattle - Kenya: Contribution to the forage seed policy development process in Kenya through an engagement meeting with the Kenya Plant Health Inspectorate Service (KEPHIS)</v>
      </c>
      <c r="D4" s="11" t="str">
        <v xml:space="preserve"> Number of engagements</v>
      </c>
      <c r="E4" s="11" t="str">
        <v>Country: Kenya</v>
      </c>
      <c r="F4" s="11">
        <v>1</v>
      </c>
      <c r="G4" s="11">
        <v>20000</v>
      </c>
      <c r="I4" s="11" t="str" xml:space="preserve">
        <v xml:space="preserve">Staff charges, operations and US $4,000 for partner agreements
</v>
      </c>
    </row>
    <row r="5" ht="50" customHeight="1">
      <c r="A5" s="11" t="str">
        <v>AOW01</v>
      </c>
      <c r="C5" s="11" t="str">
        <v>Dual-purpose Cattle - Colombia: Development of improved forage innovations, such as forage fact sheet bundles and sets of new promising forages, for Colombian dual-purpose cattle contexts</v>
      </c>
      <c r="D5" s="11" t="str">
        <v>Number of innovations (innovation development)</v>
      </c>
      <c r="E5" s="11" t="str">
        <v>Country: Colombia</v>
      </c>
      <c r="F5" s="11">
        <v>2</v>
      </c>
      <c r="G5" s="11">
        <v>40000</v>
      </c>
      <c r="I5" s="11" t="str">
        <v>Staff charges, operations and US $8,000 for partner agreements</v>
      </c>
    </row>
    <row r="6" ht="50" customHeight="1">
      <c r="A6" s="11" t="str">
        <v>AOW01</v>
      </c>
      <c r="C6" s="11" t="str">
        <v>Dual-purpose Cattle - Colombia: Development of knowledge products on tested improved forages that guide future research and enhance adoption in Colombian dual-purpose cattle systems</v>
      </c>
      <c r="D6" s="11" t="str">
        <v>Number of knowledge products</v>
      </c>
      <c r="E6" s="11" t="str">
        <v>Country: Colombia</v>
      </c>
      <c r="F6" s="11">
        <v>8</v>
      </c>
      <c r="G6" s="11">
        <v>60000</v>
      </c>
      <c r="I6" s="11" t="str">
        <v>Staff charges, operations and US $12,000 for partner agreements</v>
      </c>
    </row>
    <row r="7" ht="50" customHeight="1" xml:space="preserve">
      <c r="A7" s="11" t="str">
        <v>AOW01</v>
      </c>
      <c r="C7" s="11" t="str">
        <v>Small Ruminants - Mali: Scientific knowledge products generated on improved forage options for small ruminant systems in Mali</v>
      </c>
      <c r="D7" s="11" t="str">
        <v>Number of knowledge products</v>
      </c>
      <c r="E7" s="11" t="str">
        <v>Country: Mali</v>
      </c>
      <c r="F7" s="11">
        <v>2</v>
      </c>
      <c r="G7" s="11">
        <v>35000</v>
      </c>
      <c r="I7" s="11" t="str" xml:space="preserve">
        <v xml:space="preserve">Staff charges, operations and US $7,000 for partner agreements
</v>
      </c>
    </row>
    <row r="8" ht="50" customHeight="1" xml:space="preserve">
      <c r="A8" s="11" t="str">
        <v>AOW01</v>
      </c>
      <c r="C8" s="11" t="str">
        <v xml:space="preserve">Small Ruminants - Mali: Inclusive feed and forage innovations and seed systems to increase small ruminant productivity, resilience and income, reduce emissions, and include institutional models for adoption. </v>
      </c>
      <c r="D8" s="11" t="str">
        <v>Number of innovations (innovation development)</v>
      </c>
      <c r="E8" s="11" t="str">
        <v>Country: Mali</v>
      </c>
      <c r="F8" s="11">
        <v>1</v>
      </c>
      <c r="G8" s="11">
        <v>15000</v>
      </c>
      <c r="I8" s="11" t="str" xml:space="preserve">
        <v xml:space="preserve">Staff charges, operations and US $3,000 for partner agreements
</v>
      </c>
    </row>
    <row r="9" ht="50" customHeight="1">
      <c r="A9" s="11" t="str">
        <v>AOW01</v>
      </c>
      <c r="C9" s="11" t="str">
        <v>Beef Cattle and Pigs - Vietnam: Optimized feeding strategies including improved forages, and associated SBCC tools on best practices for beef cattle and pigs</v>
      </c>
      <c r="D9" s="11" t="str">
        <v>Number of innovations (innovation development)</v>
      </c>
      <c r="E9" s="11" t="str">
        <v>Country: The Socialist Republic of Viet Nam</v>
      </c>
      <c r="F9" s="11">
        <v>1</v>
      </c>
      <c r="G9" s="11">
        <v>70000</v>
      </c>
      <c r="I9" s="11" t="str">
        <v>Staff charges, operations and US $14,000 for partner agreements</v>
      </c>
    </row>
    <row r="10" ht="50" customHeight="1">
      <c r="A10" s="11" t="str">
        <v>AOW01</v>
      </c>
      <c r="C10" s="11" t="str">
        <v>Beef Cattle and Pigs - Vietnam: Optimized feeding strategies, including use of improved forages, for beef cattle: report</v>
      </c>
      <c r="D10" s="11" t="str">
        <v>Number of knowledge products</v>
      </c>
      <c r="E10" s="11" t="str">
        <v>Country: The Socialist Republic of Viet Nam</v>
      </c>
      <c r="F10" s="11">
        <v>1</v>
      </c>
      <c r="G10" s="11">
        <v>30000</v>
      </c>
      <c r="I10" s="11" t="str">
        <v>Staff charges, operations and US $6,000 for partner agreements</v>
      </c>
    </row>
    <row r="11" ht="50" customHeight="1">
      <c r="A11" s="11" t="str">
        <v>AOW01</v>
      </c>
      <c r="B11" s="11" t="str">
        <v>HLO 1.5  - Inclusive approaches, tools and capacity sharing to support animal and aquatic food producers to adopt combinations of innovations</v>
      </c>
      <c r="C11" s="11" t="str">
        <v>GLOBAL: Global package on the development of global tools, methods, and analyses that support forage adoption: Forage selection and management and for the exploration of economic–environmental–equity trade-offs of SAAF interventions.</v>
      </c>
      <c r="D11" s="11" t="str">
        <v>Number of knowledge products</v>
      </c>
      <c r="E11" s="11" t="str">
        <v>Global</v>
      </c>
      <c r="F11" s="11">
        <v>2</v>
      </c>
      <c r="G11" s="11">
        <v>47006</v>
      </c>
      <c r="H11" s="11">
        <f>SUM(G11:G12)</f>
      </c>
      <c r="I11" s="11" t="str">
        <v>Staff charges, operations and US $9,401 for partner agreements</v>
      </c>
    </row>
    <row r="12" ht="50" customHeight="1">
      <c r="A12" s="11" t="str">
        <v>AOW01</v>
      </c>
      <c r="C12" s="11" t="str">
        <v>GLOBAL: Global package on the development of global tools, methods, and analyses that support forage adoption: Forage selection and management and for the exploration of economic–environmental–equity trade-offs of SAAF interventions.</v>
      </c>
      <c r="D12" s="11" t="str">
        <v>Number of innovations (innovation development)</v>
      </c>
      <c r="E12" s="11" t="str">
        <v>Global</v>
      </c>
      <c r="F12" s="11">
        <v>3</v>
      </c>
      <c r="G12" s="11">
        <v>40000</v>
      </c>
      <c r="I12" s="11" t="str">
        <v>Staff charges, operations and US $8,000 for partner agreements</v>
      </c>
    </row>
    <row r="13" ht="25" customHeight="1">
      <c r="B13" s="14" t="str">
        <v>HLO budget subtotal</v>
      </c>
      <c r="H13" s="15">
        <f>SUM(H3:H12)</f>
      </c>
    </row>
    <row r="14" ht="50" customHeight="1">
      <c r="A14" s="13" t="str">
        <v>AOW02</v>
      </c>
      <c r="B14" s="11" t="str">
        <v xml:space="preserve">HLO 2.1 - Evidence of the benefits and impacts on climate and the environment </v>
      </c>
      <c r="C14" s="11" t="str">
        <v>Dairy Cattle - Kenya: Trade-off analysis: Assessment of economic–environmental–equity trade-offs of interventions in the dairy VC.</v>
      </c>
      <c r="D14" s="11" t="str">
        <v>Number of knowledge products</v>
      </c>
      <c r="E14" s="11" t="str">
        <v>Country: Kenya</v>
      </c>
      <c r="F14" s="11">
        <v>2</v>
      </c>
      <c r="G14" s="11">
        <v>63458</v>
      </c>
      <c r="H14" s="11">
        <f>SUM(G14:G16)</f>
      </c>
      <c r="I14" s="11" t="str">
        <v>N/A</v>
      </c>
    </row>
    <row r="15" ht="50" customHeight="1">
      <c r="A15" s="11" t="str">
        <v>AOW02</v>
      </c>
      <c r="C15" s="11" t="str">
        <v xml:space="preserve">Dual-purpose Cattle - Colombia: Development of climate-smart pasture, forage, and silvopastoral systems across Colombia, integrating MRV tools, greenhouse gas accounting, soil-carbon baselines, and private-sector carbon investment models to enhance productivity, reduce emissions, and align with national and global climate targets. </v>
      </c>
      <c r="D15" s="11" t="str">
        <v>Number of knowledge products</v>
      </c>
      <c r="E15" s="11" t="str">
        <v>Country: Colombia</v>
      </c>
      <c r="F15" s="11">
        <v>2</v>
      </c>
      <c r="G15" s="11">
        <v>80000</v>
      </c>
      <c r="I15" s="11" t="str">
        <v>N/A</v>
      </c>
    </row>
    <row r="16" ht="50" customHeight="1">
      <c r="A16" s="11" t="str">
        <v>AOW02</v>
      </c>
      <c r="C16" s="11" t="str">
        <v xml:space="preserve">Beef Cattle and Pigs - Vietnam: Environmental assessment to quantify emission reductions and productivity–environment co-benefits from livestock innovation practices, generating evidence to inform low-emission livestock strategies aligned with Vietnam’s NDC targets. </v>
      </c>
      <c r="D16" s="11" t="str">
        <v>Number of knowledge products</v>
      </c>
      <c r="E16" s="11" t="str">
        <v>Country: The Socialist Republic of Viet Nam</v>
      </c>
      <c r="F16" s="11">
        <v>1</v>
      </c>
      <c r="G16" s="11">
        <v>27000</v>
      </c>
      <c r="I16" s="11" t="str">
        <v>N/A</v>
      </c>
    </row>
    <row r="17" ht="50" customHeight="1">
      <c r="A17" s="11" t="str">
        <v>AOW02</v>
      </c>
      <c r="B17" s="11" t="str">
        <v xml:space="preserve">HLO 2.4 - Cost-efficient resilience and emission monitoring tools designed for animal and aquatic food systems </v>
      </c>
      <c r="C17" s="11" t="str">
        <v>GLOBAL: Global package on the development of global tools, methods, and analyses that support forage adoption: MRV tools and other innovations for assessing environmental impacts in forage-based livestock farming; economic-environmental evaluation; global and regional environmental analyses of livestock systems.</v>
      </c>
      <c r="D17" s="11" t="str">
        <v>Number of knowledge products</v>
      </c>
      <c r="E17" s="11" t="str">
        <v>Global</v>
      </c>
      <c r="F17" s="11">
        <v>2</v>
      </c>
      <c r="G17" s="11">
        <v>14417</v>
      </c>
      <c r="H17" s="11">
        <f>SUM(G17:G18)</f>
      </c>
      <c r="I17" s="11" t="str">
        <v>N/A</v>
      </c>
    </row>
    <row r="18" ht="50" customHeight="1">
      <c r="A18" s="11" t="str">
        <v>AOW02</v>
      </c>
      <c r="C18" s="11" t="str">
        <v>GLOBAL: Development of innovations on forage environment interactions, including a database on the capacity of forages to reduce enteric methane production and emissions as well as a methodology for developing carbon projects using forages as an entry point.</v>
      </c>
      <c r="D18" s="11" t="str">
        <v>Number of innovations (innovation development)</v>
      </c>
      <c r="E18" s="11" t="str">
        <v>Global</v>
      </c>
      <c r="F18" s="11">
        <v>2</v>
      </c>
      <c r="G18" s="11">
        <v>25000</v>
      </c>
      <c r="I18" s="11" t="str">
        <v>N/A</v>
      </c>
    </row>
    <row r="19" ht="25" customHeight="1">
      <c r="B19" s="15" t="str">
        <v>HLO budget subtotal</v>
      </c>
      <c r="H19" s="15">
        <f>SUM(H14:H18)</f>
      </c>
    </row>
    <row r="20" ht="50" customHeight="1">
      <c r="A20" s="13" t="str">
        <v>AOW04</v>
      </c>
      <c r="B20" s="11" t="str">
        <v>HLO 4.2 - Decision-support tools for efficient animal and aquatic food system</v>
      </c>
      <c r="C20" s="11" t="str">
        <v>GLOBAL: Global package on the development of global tools, methods, and analyses that support forage adoption: Tools for economic analysis, methodologies for innovation uptake tracking, global analyses of forage-based livestock systems, and investment models for forage-based livestock systems</v>
      </c>
      <c r="D20" s="11" t="str">
        <v>Number of knowledge products</v>
      </c>
      <c r="E20" s="11" t="str">
        <v>Global</v>
      </c>
      <c r="F20" s="11">
        <v>3</v>
      </c>
      <c r="G20" s="11">
        <v>15933</v>
      </c>
      <c r="H20" s="11">
        <f>SUM(G20:G21)</f>
      </c>
      <c r="I20" s="11" t="str">
        <v>Staff charges, operations and US $3,187 for partner agreements</v>
      </c>
    </row>
    <row r="21" ht="50" customHeight="1">
      <c r="A21" s="11" t="str">
        <v>AOW04</v>
      </c>
      <c r="C21" s="11" t="str">
        <v>GLOBAL: Methodology for tracking global CIAT forage hybrid adoption and impacts developed and impacts of CIAT forage hybrid adoption estimated based on new methodology.</v>
      </c>
      <c r="D21" s="11" t="str">
        <v>Number of innovations (innovation development)</v>
      </c>
      <c r="E21" s="11" t="str">
        <v>Global</v>
      </c>
      <c r="F21" s="11">
        <v>3</v>
      </c>
      <c r="G21" s="11">
        <v>30000</v>
      </c>
      <c r="I21" s="11" t="str">
        <v>Staff charges, operations and US $6,000 for partner agreements</v>
      </c>
    </row>
    <row r="22" ht="50" customHeight="1">
      <c r="A22" s="11" t="str">
        <v>AOW04</v>
      </c>
      <c r="B22" s="11" t="str">
        <v xml:space="preserve">HLO 4.4 - Policy analysis and engagement processes for improved governance and effectiveness </v>
      </c>
      <c r="C22" s="11" t="str">
        <v>Dairy Cattle - Kenya: Generate scientific evidence products that inform national and local policy on forages in Kenya and helps create an enabling environment for forage adoption and scaling among dairy producers in Kenya.</v>
      </c>
      <c r="D22" s="11" t="str">
        <v>Number of knowledge products</v>
      </c>
      <c r="E22" s="11" t="str">
        <v>Country: Kenya</v>
      </c>
      <c r="F22" s="11">
        <v>2</v>
      </c>
      <c r="G22" s="11">
        <v>50000</v>
      </c>
      <c r="H22" s="11">
        <f>SUM(G22:G26)</f>
      </c>
      <c r="I22" s="11" t="str">
        <v>Staff charges, operations and US $10,000 for partner agreements</v>
      </c>
    </row>
    <row r="23" ht="50" customHeight="1">
      <c r="A23" s="11" t="str">
        <v>AOW04</v>
      </c>
      <c r="C23" s="11" t="str">
        <v>Dual-purpose Cattle - Colombia: Generate scientific evidence products that inform national and local policy on forages in Colombia and helps create an enabling environment for forage adoption and scaling among dual-purpose cattle producers in Colombia.</v>
      </c>
      <c r="D23" s="11" t="str">
        <v>Number of knowledge products</v>
      </c>
      <c r="E23" s="11" t="str">
        <v>Country: Colombia</v>
      </c>
      <c r="F23" s="11">
        <v>3</v>
      </c>
      <c r="G23" s="11">
        <v>75000</v>
      </c>
      <c r="I23" s="11" t="str">
        <v>Staff charges, operations and US $15,000 for partner agreements</v>
      </c>
    </row>
    <row r="24" ht="50" customHeight="1">
      <c r="A24" s="11" t="str">
        <v>AOW04</v>
      </c>
      <c r="C24" s="11" t="str">
        <v xml:space="preserve">Dual-purpose Cattle - Colombia: Development of an investment case in silvo-pastoral systems that helps create an enabling environment for adoption and scaling among dual-purpose cattle producers in Colombia. </v>
      </c>
      <c r="D24" s="11" t="str">
        <v>Number of innovations (innovation development)</v>
      </c>
      <c r="E24" s="11" t="str">
        <v>Country: Colombia</v>
      </c>
      <c r="F24" s="11">
        <v>1</v>
      </c>
      <c r="G24" s="11">
        <v>25000</v>
      </c>
      <c r="I24" s="11" t="str">
        <v>Staff charges, operations and US $5,000 for partner agreements</v>
      </c>
    </row>
    <row r="25" ht="50" customHeight="1">
      <c r="A25" s="11" t="str">
        <v>AOW04</v>
      </c>
      <c r="C25" s="11" t="str">
        <v>Beef Cattle and Pigs - Vietnam: Institutional and policy analysis and engagement processes for improved forage uptake in Vietnam, including seed systems.</v>
      </c>
      <c r="D25" s="11" t="str">
        <v>Number of knowledge products</v>
      </c>
      <c r="E25" s="11" t="str">
        <v>Country: The Socialist Republic of Viet Nam</v>
      </c>
      <c r="F25" s="11">
        <v>1</v>
      </c>
      <c r="G25" s="11">
        <v>60000</v>
      </c>
      <c r="I25" s="11" t="str">
        <v>Staff charges, operations and US $12,000 for partner agreements</v>
      </c>
    </row>
    <row r="26" ht="50" customHeight="1">
      <c r="A26" s="11" t="str">
        <v>AOW04</v>
      </c>
      <c r="C26" s="11" t="str">
        <v>Beef Cattle and Pigs - Vietnam:Document experiences and lessons learned with farmer groups for scaling feed and forage technologies and other sustainable livestock practices in Vietnam.</v>
      </c>
      <c r="D26" s="11" t="str">
        <v>Number of innovations (innovation development)</v>
      </c>
      <c r="E26" s="11" t="str">
        <v>Country: The Socialist Republic of Viet Nam</v>
      </c>
      <c r="F26" s="11">
        <v>1</v>
      </c>
      <c r="G26" s="11">
        <v>30000</v>
      </c>
      <c r="I26" s="11" t="str">
        <v>Staff charges, operations and US $6,000 for partner agreements</v>
      </c>
    </row>
    <row r="27" ht="25" customHeight="1">
      <c r="B27" s="15" t="str">
        <v>HLO budget subtotal</v>
      </c>
      <c r="H27" s="15">
        <f>SUM(H20:H26)</f>
      </c>
    </row>
    <row r="28" ht="50" customHeight="1">
      <c r="A28" s="13" t="str">
        <v>AOW05</v>
      </c>
      <c r="B28" s="11" t="str">
        <v>HLO 5.1 - Tools and datasets on gender and youth norms and dynamics</v>
      </c>
      <c r="C28" s="11" t="str">
        <v>GLOBAL: Global package on the development of global tools, methods, and analyses that support forage adoption: Tools and approaches for inclusive governance of natural resources, i.e., forages developed.</v>
      </c>
      <c r="D28" s="11" t="str">
        <v>Number of knowledge products</v>
      </c>
      <c r="E28" s="11" t="str">
        <v>Global</v>
      </c>
      <c r="F28" s="11">
        <v>1</v>
      </c>
      <c r="G28" s="11">
        <v>10000</v>
      </c>
      <c r="H28" s="11">
        <f>SUM(G28:G30)</f>
      </c>
      <c r="I28" s="11" t="str">
        <v>Staff charges, operations and US $2,000 for partner agreements</v>
      </c>
    </row>
    <row r="29" ht="50" customHeight="1">
      <c r="A29" s="11" t="str">
        <v>AOW05</v>
      </c>
      <c r="C29" s="11" t="str">
        <v>GLOBAL: Development of a methodology on inclusive implementation of sustainable cattle technologies and practices in smallholder systems with deforestation contexts in Latin America</v>
      </c>
      <c r="D29" s="11" t="str">
        <v>Number of innovations (innovation development)</v>
      </c>
      <c r="E29" s="11" t="str">
        <v>Global</v>
      </c>
      <c r="F29" s="11">
        <v>1</v>
      </c>
      <c r="G29" s="11">
        <v>10000</v>
      </c>
      <c r="I29" s="11" t="str">
        <v>Staff charges, operations and US $2,000 for partner agreements</v>
      </c>
    </row>
    <row r="30" ht="50" customHeight="1">
      <c r="A30" s="11" t="str">
        <v>AOW05</v>
      </c>
      <c r="C30" s="11" t="str">
        <v>Dual-purpose Cattle - Colombia: Generate scientific evidence products that improve the enabling environment for adoption of climate-smart forages by Indigenous and conflict-affected households in Colombia</v>
      </c>
      <c r="D30" s="11" t="str">
        <v>Number of knowledge products</v>
      </c>
      <c r="E30" s="11" t="str">
        <v>Country: Colombia</v>
      </c>
      <c r="F30" s="11">
        <v>3</v>
      </c>
      <c r="G30" s="11">
        <v>75000</v>
      </c>
      <c r="I30" s="11" t="str">
        <v>Staff charges, operations and US $15,000 for partner agreements</v>
      </c>
    </row>
    <row r="31" ht="50" customHeight="1">
      <c r="A31" s="11" t="str">
        <v>AOW05</v>
      </c>
      <c r="B31" s="11" t="str">
        <v>HLO 5.2 - Tested interventions for women &amp; youth empowerment and  for equitable norms  and policies</v>
      </c>
      <c r="C31" s="11" t="str">
        <v>Beef Cattle and Pigs - Vietnam:  Generate scientific evidence about factors supporting the adoption of improved forages by ethnic minorities, women, and youth in rural Vietnam.</v>
      </c>
      <c r="D31" s="11" t="str">
        <v>Number of knowledge products</v>
      </c>
      <c r="E31" s="11" t="str">
        <v>Country: The Socialist Republic of Viet Nam</v>
      </c>
      <c r="F31" s="11">
        <v>1</v>
      </c>
      <c r="G31" s="11">
        <v>54134</v>
      </c>
      <c r="H31" s="11">
        <f>SUM(G31:G31)</f>
      </c>
      <c r="I31" s="11" t="str">
        <v>Staff charges, operations and US $10,827 for partner agreements</v>
      </c>
    </row>
    <row r="32" ht="25" customHeight="1">
      <c r="B32" s="15" t="str">
        <v>HLO budget subtotal</v>
      </c>
      <c r="H32" s="15">
        <f>SUM(H28:H31)</f>
      </c>
    </row>
  </sheetData>
  <mergeCells count="27">
    <mergeCell ref="A1:A2"/>
    <mergeCell ref="B1:B2"/>
    <mergeCell ref="C1:G1"/>
    <mergeCell ref="H1:H2"/>
    <mergeCell ref="I1:I2"/>
    <mergeCell ref="B3:B10"/>
    <mergeCell ref="H3:H10"/>
    <mergeCell ref="B11:B12"/>
    <mergeCell ref="H11:H12"/>
    <mergeCell ref="B13:G13"/>
    <mergeCell ref="A3:A13"/>
    <mergeCell ref="B14:B16"/>
    <mergeCell ref="H14:H16"/>
    <mergeCell ref="B17:B18"/>
    <mergeCell ref="H17:H18"/>
    <mergeCell ref="B19:G19"/>
    <mergeCell ref="A14:A19"/>
    <mergeCell ref="B20:B21"/>
    <mergeCell ref="H20:H21"/>
    <mergeCell ref="B22:B26"/>
    <mergeCell ref="H22:H26"/>
    <mergeCell ref="B27:G27"/>
    <mergeCell ref="A20:A27"/>
    <mergeCell ref="B28:B30"/>
    <mergeCell ref="H28:H30"/>
    <mergeCell ref="B32:G32"/>
    <mergeCell ref="A28:A32"/>
  </mergeCells>
  <ignoredErrors>
    <ignoredError numberStoredAsText="1" sqref="A1:I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BIUSA (BEF)-Screening, developing, and deploying anti-methanogenic feedstock into livestock systems in the Global South</v>
      </c>
      <c r="B2" s="19" t="str">
        <v>AOW00</v>
      </c>
      <c r="C2" s="18" t="str">
        <v>PO3 - Communities within animal and aquatic food systems adopt innovations for increased social, economic and environmental resilience</v>
      </c>
      <c r="D2" s="19">
        <v>0</v>
      </c>
      <c r="E2" s="19" t="str">
        <f>=SUM(D2:D3)</f>
        <v>0</v>
      </c>
    </row>
    <row r="3" ht="30" customHeight="1">
      <c r="A3" s="18" t="str">
        <v>BIUSA (BEF)-Screening, developing, and deploying anti-methanogenic feedstock into livestock systems in the Global South</v>
      </c>
      <c r="B3" s="19" t="str">
        <v>AOW02</v>
      </c>
      <c r="C3" s="18" t="str">
        <v xml:space="preserve">HLO 2.1 - Evidence of the benefits and impacts on climate and the environment </v>
      </c>
      <c r="D3" s="19">
        <v>694995</v>
      </c>
      <c r="F3" s="19" t="str">
        <v>based on 2026 Budget in Bilateral / W3 Dashboard</v>
      </c>
    </row>
    <row r="4" ht="30" customHeight="1">
      <c r="A4" s="3" t="str">
        <v>W3/Bilateral projects subtotal</v>
      </c>
      <c r="E4" s="3">
        <f>SUM(E2:E3)</f>
      </c>
    </row>
  </sheetData>
  <mergeCells count="3">
    <mergeCell ref="A2:A3"/>
    <mergeCell ref="E2:E3"/>
    <mergeCell ref="A4:D4"/>
  </mergeCells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 ht="30" customHeight="1">
      <c r="A2" s="18" t="str">
        <v>Urochloa hybrid adoption study in Latin America</v>
      </c>
      <c r="B2" s="19" t="str">
        <v>AOW04</v>
      </c>
      <c r="C2" s="18" t="str">
        <v xml:space="preserve">I-OC4.4 - Scaling partners increase capacity on scaling pathways for contextualized animal and aquatic food systems innovation packages </v>
      </c>
      <c r="D2" s="19">
        <v>0</v>
      </c>
      <c r="E2" s="19" t="str">
        <f>=SUM(D2:D2)</f>
        <v>0</v>
      </c>
    </row>
    <row r="3" ht="30" customHeight="1">
      <c r="A3" s="3" t="str">
        <v>MELIA Studies Budget subtotal</v>
      </c>
      <c r="E3" s="3">
        <f>SUM(E2:E2)</f>
      </c>
    </row>
  </sheetData>
  <mergeCells count="1">
    <mergeCell ref="A3:D3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87401</v>
      </c>
      <c r="D2" s="20">
        <v>41975</v>
      </c>
      <c r="E2" s="20">
        <v>0</v>
      </c>
      <c r="F2" s="20">
        <v>57186</v>
      </c>
      <c r="G2" s="20">
        <v>29827</v>
      </c>
      <c r="H2" s="20">
        <v>0</v>
      </c>
      <c r="I2" s="20" t="str">
        <f>=SUM(B2:H2)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43701</v>
      </c>
      <c r="D3" s="20">
        <v>20988</v>
      </c>
      <c r="E3" s="20">
        <v>0</v>
      </c>
      <c r="F3" s="20">
        <v>28594</v>
      </c>
      <c r="G3" s="20">
        <v>14913</v>
      </c>
      <c r="H3" s="20">
        <v>0</v>
      </c>
      <c r="I3" s="20" t="str">
        <f>=SUM(B3:H3)</f>
        <v>0</v>
      </c>
    </row>
    <row r="4" ht="20" customHeight="1">
      <c r="A4" s="20" t="str">
        <v>Staffing, Chargebacks and Indirect</v>
      </c>
      <c r="B4" s="20">
        <v>0</v>
      </c>
      <c r="C4" s="20">
        <v>305904</v>
      </c>
      <c r="D4" s="20">
        <v>146912</v>
      </c>
      <c r="E4" s="20">
        <v>0</v>
      </c>
      <c r="F4" s="20">
        <v>200153</v>
      </c>
      <c r="G4" s="20">
        <v>104394</v>
      </c>
      <c r="H4" s="20">
        <v>0</v>
      </c>
      <c r="I4" s="20" t="str">
        <f>=SUM(B4:H4)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  <c r="I5" s="23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