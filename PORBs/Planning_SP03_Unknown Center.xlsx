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5"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5">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4">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wrapText="true"/>
    </xf>
    <xf numFmtId="0" fontId="11" fillId="11" borderId="10" xfId="0" applyFont="1" applyFill="1" applyBorder="1" applyAlignment="1">
      <alignment horizontal="center" vertical="center" wrapText="true"/>
    </xf>
    <xf numFmtId="1" fontId="0" fillId="0" borderId="11" xfId="0" applyBorder="1" applyNumberFormat="1" applyAlignment="1">
      <alignment horizontal="center" vertical="center"/>
    </xf>
    <xf numFmtId="0" fontId="12" fillId="12" borderId="0" xfId="0" applyFont="1" applyFill="1" applyAlignment="1">
      <alignment horizontal="center" vertical="center"/>
    </xf>
    <xf numFmtId="1" fontId="13" fillId="13" borderId="12" xfId="0" applyFont="1" applyFill="1" applyBorder="1" applyNumberFormat="1" applyAlignment="1">
      <alignment horizontal="center" vertical="center"/>
    </xf>
    <xf numFmtId="1" fontId="14" fillId="14" borderId="13"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721880</v>
      </c>
      <c r="M4" s="5">
        <v>0</v>
      </c>
    </row>
    <row r="5" ht="20" customHeight="1">
      <c r="A5" s="2" t="str">
        <v>AOW01: Productivity+</v>
      </c>
      <c r="B5" s="2">
        <v>0</v>
      </c>
      <c r="C5" s="5">
        <v>0</v>
      </c>
      <c r="D5" s="2">
        <v>0</v>
      </c>
      <c r="E5" s="5">
        <v>0</v>
      </c>
      <c r="F5" s="2">
        <v>0</v>
      </c>
      <c r="G5" s="5">
        <v>0</v>
      </c>
      <c r="H5" s="2">
        <v>0</v>
      </c>
      <c r="I5" s="5">
        <v>0</v>
      </c>
      <c r="J5" s="5">
        <v>0</v>
      </c>
      <c r="K5" s="5">
        <v>0</v>
      </c>
      <c r="L5" s="5">
        <v>0</v>
      </c>
      <c r="M5" s="5">
        <v>0</v>
      </c>
    </row>
    <row r="6" ht="20" customHeight="1">
      <c r="A6" s="2" t="str">
        <v>AOW02: Climate and the Environment</v>
      </c>
      <c r="B6" s="2">
        <v>0</v>
      </c>
      <c r="C6" s="5">
        <v>0</v>
      </c>
      <c r="D6" s="2">
        <v>0</v>
      </c>
      <c r="E6" s="5">
        <v>0</v>
      </c>
      <c r="F6" s="2">
        <v>0</v>
      </c>
      <c r="G6" s="5">
        <v>0</v>
      </c>
      <c r="H6" s="2">
        <v>0</v>
      </c>
      <c r="I6" s="5">
        <v>0</v>
      </c>
      <c r="J6" s="5">
        <v>0</v>
      </c>
      <c r="K6" s="5">
        <v>0</v>
      </c>
      <c r="L6" s="5">
        <v>0</v>
      </c>
      <c r="M6" s="5">
        <v>0</v>
      </c>
    </row>
    <row r="7" ht="20" customHeight="1">
      <c r="A7" s="2" t="str">
        <v>AOW03: One Health</v>
      </c>
      <c r="B7" s="2">
        <v>0</v>
      </c>
      <c r="C7" s="5">
        <v>0</v>
      </c>
      <c r="D7" s="2">
        <v>0</v>
      </c>
      <c r="E7" s="5">
        <v>0</v>
      </c>
      <c r="F7" s="2">
        <v>0</v>
      </c>
      <c r="G7" s="5">
        <v>0</v>
      </c>
      <c r="H7" s="2">
        <v>0</v>
      </c>
      <c r="I7" s="5">
        <v>0</v>
      </c>
      <c r="J7" s="5">
        <v>0</v>
      </c>
      <c r="K7" s="5">
        <v>0</v>
      </c>
      <c r="L7" s="5">
        <v>0</v>
      </c>
      <c r="M7" s="5">
        <v>0</v>
      </c>
    </row>
    <row r="8" ht="20" customHeight="1">
      <c r="A8" s="2" t="str">
        <v>AOW04: Market Systems, Policy Solutions and Scaling</v>
      </c>
      <c r="B8" s="2">
        <v>0</v>
      </c>
      <c r="C8" s="5">
        <v>0</v>
      </c>
      <c r="D8" s="2">
        <v>0</v>
      </c>
      <c r="E8" s="5">
        <v>0</v>
      </c>
      <c r="F8" s="2">
        <v>0</v>
      </c>
      <c r="G8" s="5">
        <v>0</v>
      </c>
      <c r="H8" s="2">
        <v>0</v>
      </c>
      <c r="I8" s="5">
        <v>0</v>
      </c>
      <c r="J8" s="5">
        <v>0</v>
      </c>
      <c r="K8" s="5">
        <v>0</v>
      </c>
      <c r="L8" s="5">
        <v>0</v>
      </c>
      <c r="M8" s="5">
        <v>0</v>
      </c>
    </row>
    <row r="9" ht="20" customHeight="1">
      <c r="A9" s="2" t="str">
        <v>AOW05: Gender, Youth and Social Inclusion</v>
      </c>
      <c r="B9" s="2">
        <v>0</v>
      </c>
      <c r="C9" s="5">
        <v>0</v>
      </c>
      <c r="D9" s="2">
        <v>0</v>
      </c>
      <c r="E9" s="5">
        <v>0</v>
      </c>
      <c r="F9" s="2">
        <v>0</v>
      </c>
      <c r="G9" s="5">
        <v>0</v>
      </c>
      <c r="H9" s="2">
        <v>0</v>
      </c>
      <c r="I9" s="5">
        <v>0</v>
      </c>
      <c r="J9" s="5">
        <v>0</v>
      </c>
      <c r="K9" s="5">
        <v>0</v>
      </c>
      <c r="L9" s="5">
        <v>0</v>
      </c>
      <c r="M9" s="5">
        <v>0</v>
      </c>
    </row>
    <row r="10" ht="20" customHeight="1">
      <c r="A10" s="2" t="str">
        <v>AOW06: Data and Digital Solutions</v>
      </c>
      <c r="B10" s="2">
        <v>0</v>
      </c>
      <c r="C10" s="5">
        <v>0</v>
      </c>
      <c r="D10" s="2">
        <v>0</v>
      </c>
      <c r="E10" s="5">
        <v>0</v>
      </c>
      <c r="F10" s="2">
        <v>0</v>
      </c>
      <c r="G10" s="5">
        <v>0</v>
      </c>
      <c r="H10" s="2">
        <v>0</v>
      </c>
      <c r="I10" s="5">
        <v>0</v>
      </c>
      <c r="J10" s="5">
        <v>0</v>
      </c>
      <c r="K10" s="5">
        <v>0</v>
      </c>
      <c r="L10" s="5">
        <v>0</v>
      </c>
      <c r="M10" s="5">
        <v>0</v>
      </c>
    </row>
    <row r="11" ht="25" customHeight="1">
      <c r="A11" s="6" t="str">
        <v>Total</v>
      </c>
      <c r="B11" s="7">
        <f>SUM(B4:B10)</f>
      </c>
      <c r="C11" s="7">
        <f>SUM(C4:C10)</f>
      </c>
      <c r="D11" s="7">
        <f>SUM(D4:D10)</f>
      </c>
      <c r="E11" s="7">
        <f>SUM(E4:E10)</f>
      </c>
      <c r="F11" s="7">
        <f>SUM(F4:F10)</f>
      </c>
      <c r="G11" s="7">
        <f>SUM(G4:G10)</f>
      </c>
      <c r="H11" s="7">
        <f>SUM(H4:H10)</f>
      </c>
      <c r="I11" s="7">
        <f>SUM(I4:I10)</f>
      </c>
      <c r="J11" s="7">
        <f>SUM(J4:J10)</f>
      </c>
      <c r="K11" s="7">
        <f>SUM(K4:K10)</f>
      </c>
      <c r="L11" s="7">
        <f>SUM(L4:L10)</f>
      </c>
      <c r="M11" s="7">
        <f>SUM(M4:M10)</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1"/>
  </ignoredErrors>
</worksheet>
</file>

<file path=xl/worksheets/sheet2.xml><?xml version="1.0" encoding="utf-8"?>
<worksheet xmlns="http://schemas.openxmlformats.org/spreadsheetml/2006/main" xmlns:r="http://schemas.openxmlformats.org/officeDocument/2006/relationships">
  <dimension ref="A1:E11"/>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xml:space="preserve">
      <c r="A2" s="10" t="str">
        <v>AOW00</v>
      </c>
      <c r="B2" s="11" t="str">
        <v>AOW Leads</v>
      </c>
      <c r="C2" s="11" t="str">
        <v>Six (6) AOW Leads averaging 21.67% FTE</v>
      </c>
      <c r="D2" s="11">
        <v>397723</v>
      </c>
      <c r="E2" s="11" t="str" xml:space="preserve">
        <v xml:space="preserve">AoW1 Leader - 40% LoE
AoW2 Leader - 20% LoE
AoW3 Leader - 20% LoE
AoW4 Leader - 20% LoE
AoW5 Leader - 20% LoE
AoW6 Leader - 10% LoE</v>
      </c>
    </row>
    <row r="3" ht="45" customHeight="1">
      <c r="A3" s="11" t="str">
        <v>AOW00</v>
      </c>
      <c r="B3" s="11" t="str">
        <v>Program Meetings and Workshops</v>
      </c>
      <c r="C3" s="11" t="str">
        <v>In-person progress, review, or planning meetings for program leadership, including the annual pause and reflect event</v>
      </c>
      <c r="D3" s="11">
        <v>9800</v>
      </c>
      <c r="E3" s="11" t="str">
        <v>In-person progress, review, or planning meetings for program leadership, including the annual pause and reflect event; held in SO budget at SAAF Director's request</v>
      </c>
    </row>
    <row r="4" ht="45" customHeight="1" xml:space="preserve">
      <c r="A4" s="11" t="str">
        <v>AOW00</v>
      </c>
      <c r="B4" s="11" t="str">
        <v>Program Director Discretionary</v>
      </c>
      <c r="C4" s="11" t="str">
        <v>As directed by the SO; funds for consultants, meetings, travel, workshops, supplies, and other admin support needed by the Program Director in 2026 to address emerging opportunities and gaps or strategic program level issues</v>
      </c>
      <c r="D4" s="11">
        <v>279800</v>
      </c>
      <c r="E4" s="11" t="str" xml:space="preserve">
        <v xml:space="preserve">As directed by the SO; funds for consultants, meetings, travel, workshops, supplies, and other admin support needed by the Program Director in 2026 to address emerging opportunities and gaps or strategic program level issues.
Reduce by USD20,200 for Program Finance support from WorldFish</v>
      </c>
    </row>
    <row r="5" ht="45" customHeight="1">
      <c r="A5" s="11" t="str">
        <v>AOW00</v>
      </c>
      <c r="B5" s="11" t="str">
        <v>Program Director Operations Costs</v>
      </c>
      <c r="C5" s="11" t="str">
        <v>As instructed by the SO; Travel, consultants, supplies, admin support, meetings or workshops required by the Director to perform their role</v>
      </c>
      <c r="D5" s="11">
        <v>0</v>
      </c>
    </row>
    <row r="6" ht="45" customHeight="1">
      <c r="A6" s="11" t="str">
        <v>AOW00</v>
      </c>
      <c r="B6" s="11" t="str">
        <v>Other PMU Operations</v>
      </c>
      <c r="C6" s="11" t="str">
        <v>Travel, office supplies, and other charge-backs for PMU team</v>
      </c>
      <c r="D6" s="11">
        <v>0</v>
      </c>
    </row>
    <row r="7" ht="45" customHeight="1">
      <c r="A7" s="11" t="str">
        <v>AOW00</v>
      </c>
      <c r="B7" s="11" t="str">
        <v>SO Central Finance Funds</v>
      </c>
      <c r="C7" s="11" t="str">
        <v>As required by the SO</v>
      </c>
      <c r="D7" s="11">
        <v>0</v>
      </c>
    </row>
    <row r="8" ht="45" customHeight="1">
      <c r="A8" s="11" t="str">
        <v>AOW00</v>
      </c>
      <c r="B8" s="11" t="str">
        <v>Program MELIA Funds</v>
      </c>
      <c r="C8" s="11" t="str">
        <v>Program funds for implementation of the MELIA plan</v>
      </c>
      <c r="D8" s="11">
        <v>17279</v>
      </c>
      <c r="E8" s="11" t="str">
        <v>Program funds for implementation of the MELIA plan held in SO budget at SAAF Director request</v>
      </c>
    </row>
    <row r="9" ht="45" customHeight="1">
      <c r="A9" s="11" t="str">
        <v>AOW00</v>
      </c>
      <c r="B9" s="11" t="str">
        <v>Program Communications Operations</v>
      </c>
      <c r="C9" s="11" t="str">
        <v>Program communications funds to implement CKM strategy</v>
      </c>
      <c r="D9" s="11">
        <v>17278</v>
      </c>
      <c r="E9" s="11" t="str">
        <v>Program communications funds to implement CKM strategy, held in SO Budget at SAAF Director request until final CKM Lead is named</v>
      </c>
    </row>
    <row r="10" ht="45" customHeight="1">
      <c r="A10" s="11" t="str">
        <v>AOW00</v>
      </c>
      <c r="B10" s="11" t="str">
        <v>PMU Team</v>
      </c>
      <c r="C10" s="11" t="str">
        <v>Staff fees for Program Coordinator (50%), Program MELIA Focal Point (20%) and Program CKM Lead (50%) and any other administrative roles/needs</v>
      </c>
      <c r="D10" s="11">
        <v>0</v>
      </c>
    </row>
    <row r="11" ht="45" customHeight="1">
      <c r="A11" s="11" t="str">
        <v>AOW00</v>
      </c>
      <c r="B11" s="11" t="str">
        <v>Program Director Staff Costs</v>
      </c>
      <c r="C11" s="11" t="str">
        <v>100% FTE Program Director and associated cost recovery</v>
      </c>
      <c r="D11" s="11">
        <v>0</v>
      </c>
    </row>
  </sheetData>
  <mergeCells count="1">
    <mergeCell ref="A2:A11"/>
  </mergeCells>
  <ignoredErrors>
    <ignoredError numberStoredAsText="1" sqref="A1:E11"/>
  </ignoredErrors>
</worksheet>
</file>

<file path=xl/worksheets/sheet3.xml><?xml version="1.0" encoding="utf-8"?>
<worksheet xmlns="http://schemas.openxmlformats.org/spreadsheetml/2006/main" xmlns:r="http://schemas.openxmlformats.org/officeDocument/2006/relationships">
  <dimension ref="A1:I2"/>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sheetData>
  <mergeCells count="5">
    <mergeCell ref="A1:A2"/>
    <mergeCell ref="B1:B2"/>
    <mergeCell ref="C1:G1"/>
    <mergeCell ref="H1:H2"/>
    <mergeCell ref="I1:I2"/>
  </mergeCells>
  <ignoredErrors>
    <ignoredError numberStoredAsText="1" sqref="A1:I2"/>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Project title</v>
      </c>
      <c r="B1" s="14" t="str">
        <v>AOW</v>
      </c>
      <c r="C1" s="14" t="str">
        <v>High Level Outputs</v>
      </c>
      <c r="D1" s="14" t="str">
        <v>Budget (USD)</v>
      </c>
      <c r="E1" s="14" t="str">
        <v>Total budget (USD)</v>
      </c>
      <c r="F1" s="14"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3" t="str">
        <v>MELIA study</v>
      </c>
      <c r="B1" s="13" t="str">
        <v>AOW</v>
      </c>
      <c r="C1" s="13" t="str">
        <v>Supported outcomes</v>
      </c>
      <c r="D1" s="13" t="str">
        <v>AOW budget (USD)</v>
      </c>
      <c r="E1" s="13" t="str">
        <v>Total budget (USD)</v>
      </c>
      <c r="F1" s="13"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15" t="str">
        <v>Collaborators non-CGIAR centers</v>
      </c>
      <c r="B2" s="15">
        <v>0</v>
      </c>
      <c r="C2" s="15">
        <v>0</v>
      </c>
      <c r="D2" s="15">
        <v>0</v>
      </c>
      <c r="E2" s="15">
        <v>0</v>
      </c>
      <c r="F2" s="15">
        <v>0</v>
      </c>
      <c r="G2" s="15">
        <v>0</v>
      </c>
      <c r="H2" s="15">
        <v>0</v>
      </c>
      <c r="I2" s="15" t="str">
        <f>=SUM(B2:H2)</f>
        <v>0</v>
      </c>
    </row>
    <row r="3" ht="20" customHeight="1">
      <c r="A3" s="15" t="str">
        <v>Operations (supplies, consultants, travels, workshops, other)</v>
      </c>
      <c r="B3" s="15">
        <v>324157</v>
      </c>
      <c r="C3" s="15">
        <v>0</v>
      </c>
      <c r="D3" s="15">
        <v>0</v>
      </c>
      <c r="E3" s="15">
        <v>0</v>
      </c>
      <c r="F3" s="15">
        <v>0</v>
      </c>
      <c r="G3" s="15">
        <v>0</v>
      </c>
      <c r="H3" s="15">
        <v>0</v>
      </c>
      <c r="I3" s="15" t="str">
        <f>=SUM(B3:H3)</f>
        <v>0</v>
      </c>
    </row>
    <row r="4" ht="20" customHeight="1">
      <c r="A4" s="15" t="str">
        <v>Staffing, Chargebacks and Indirect</v>
      </c>
      <c r="B4" s="15">
        <v>397723</v>
      </c>
      <c r="C4" s="15">
        <v>0</v>
      </c>
      <c r="D4" s="15">
        <v>0</v>
      </c>
      <c r="E4" s="15">
        <v>0</v>
      </c>
      <c r="F4" s="15">
        <v>0</v>
      </c>
      <c r="G4" s="15">
        <v>0</v>
      </c>
      <c r="H4" s="15">
        <v>0</v>
      </c>
      <c r="I4" s="15" t="str">
        <f>=SUM(B4:H4)</f>
        <v>0</v>
      </c>
    </row>
    <row r="5" ht="20" customHeight="1">
      <c r="A5" s="16" t="str">
        <v>Subtotal</v>
      </c>
      <c r="B5" s="17" t="str">
        <f>=SUM(B2:B4)</f>
        <v>0</v>
      </c>
      <c r="C5" s="18" t="str">
        <f>=SUM(C2:C4)</f>
        <v>0</v>
      </c>
      <c r="D5" s="18" t="str">
        <f>=SUM(D2:D4)</f>
        <v>0</v>
      </c>
      <c r="E5" s="18" t="str">
        <f>=SUM(E2:E4)</f>
        <v>0</v>
      </c>
      <c r="F5" s="18" t="str">
        <f>=SUM(F2:F4)</f>
        <v>0</v>
      </c>
      <c r="G5" s="18" t="str">
        <f>=SUM(G2:G4)</f>
        <v>0</v>
      </c>
      <c r="H5" s="18" t="str">
        <f>=SUM(H2:H4)</f>
        <v>0</v>
      </c>
      <c r="I5" s="18" t="str">
        <f>=SUM(I2:I4)</f>
        <v>0</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