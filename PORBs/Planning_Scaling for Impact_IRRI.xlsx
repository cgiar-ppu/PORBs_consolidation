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92796</v>
      </c>
    </row>
    <row r="5" ht="20" customHeight="1">
      <c r="A5" s="2" t="str">
        <v>AOW01: Engage and Empower</v>
      </c>
      <c r="B5" s="2">
        <v>0</v>
      </c>
      <c r="C5" s="5">
        <v>0</v>
      </c>
      <c r="D5" s="2">
        <v>0</v>
      </c>
      <c r="E5" s="5">
        <v>0</v>
      </c>
      <c r="F5" s="2">
        <v>1</v>
      </c>
      <c r="G5" s="5">
        <v>100000</v>
      </c>
      <c r="H5" s="2">
        <v>0</v>
      </c>
      <c r="I5" s="5">
        <v>0</v>
      </c>
      <c r="J5" s="5">
        <v>0</v>
      </c>
      <c r="K5" s="5">
        <v>0</v>
      </c>
      <c r="L5" s="5">
        <v>100000</v>
      </c>
      <c r="M5" s="5">
        <v>412049</v>
      </c>
    </row>
    <row r="6" ht="20" customHeight="1">
      <c r="A6" s="2" t="str">
        <v>AOW02: Grand Challenges and Scaling Flagships</v>
      </c>
      <c r="B6" s="2">
        <v>0</v>
      </c>
      <c r="C6" s="5">
        <v>0</v>
      </c>
      <c r="D6" s="2">
        <v>0</v>
      </c>
      <c r="E6" s="5">
        <v>0</v>
      </c>
      <c r="F6" s="2">
        <v>0</v>
      </c>
      <c r="G6" s="5">
        <v>0</v>
      </c>
      <c r="H6" s="2">
        <v>0</v>
      </c>
      <c r="I6" s="5">
        <v>555572</v>
      </c>
      <c r="J6" s="5">
        <v>30000</v>
      </c>
      <c r="K6" s="5">
        <v>0</v>
      </c>
      <c r="L6" s="5">
        <v>585572</v>
      </c>
      <c r="M6" s="5">
        <v>1225182</v>
      </c>
    </row>
    <row r="7" ht="20" customHeight="1">
      <c r="A7" s="2" t="str">
        <v>AOW03: Enabling Environment Lab</v>
      </c>
      <c r="B7" s="2">
        <v>0</v>
      </c>
      <c r="C7" s="5">
        <v>0</v>
      </c>
      <c r="D7" s="2">
        <v>0</v>
      </c>
      <c r="E7" s="5">
        <v>0</v>
      </c>
      <c r="F7" s="2">
        <v>9</v>
      </c>
      <c r="G7" s="5">
        <v>63500</v>
      </c>
      <c r="H7" s="2">
        <v>401000025</v>
      </c>
      <c r="I7" s="5">
        <v>210000</v>
      </c>
      <c r="J7" s="5">
        <v>131500</v>
      </c>
      <c r="K7" s="5">
        <v>0</v>
      </c>
      <c r="L7" s="5">
        <v>405000</v>
      </c>
      <c r="M7" s="5">
        <v>469260</v>
      </c>
    </row>
    <row r="8" ht="20" customHeight="1">
      <c r="A8" s="2" t="str">
        <v>AOW04: Achieving Impact by Unlocking Finance and Partnerships</v>
      </c>
      <c r="B8" s="2">
        <v>0</v>
      </c>
      <c r="C8" s="5">
        <v>0</v>
      </c>
      <c r="D8" s="2">
        <v>30</v>
      </c>
      <c r="E8" s="5">
        <v>100000</v>
      </c>
      <c r="F8" s="2">
        <v>30</v>
      </c>
      <c r="G8" s="5">
        <v>147271</v>
      </c>
      <c r="H8" s="2">
        <v>1</v>
      </c>
      <c r="I8" s="5">
        <v>122717</v>
      </c>
      <c r="J8" s="5">
        <v>0</v>
      </c>
      <c r="K8" s="5">
        <v>0</v>
      </c>
      <c r="L8" s="5">
        <v>369988</v>
      </c>
      <c r="M8" s="5">
        <v>1021164</v>
      </c>
    </row>
    <row r="9" ht="20" customHeight="1">
      <c r="A9" s="2" t="str">
        <v>AOW05: Learning for Impact</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2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 xml:space="preserve">HLO 1.1.1: Demand signaling </v>
      </c>
      <c r="C3" s="11" t="str" xml:space="preserve">
        <v xml:space="preserve">A1P5.2: PoD name: CGIAR-Demand Intelligence Dashboard (CGIAR-DID). Lead Center: IRRI. PoD KPI: 1 – One global, interoperable CGIAR-DID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focused on a single global tool). Indicator type: Capacity Sharing. Unit: Number of tools.
PoD Description: This package scales the CGIAR Demand Intelligence Dashboard from proof-of-concept to a globally interoperable platform that integrates demand intelligence with key CGIAR data systems such as GloMIP, CG Space, and PRMS. By harmonizing metadata, APIs, and visualization interfaces, the work will enable portfolio-wide monitoring and analysis of stakeholder demand, automatically mapping demand signals to GloMIP’s market intelligence and providing real-time analytics for adaptive research and scaling decisions. In 2026 this deliverable focuses on delivering a fully functional CGIAR-DID platform that links market and demand data across Bangladesh, Nigeria, Ethiopia, Egypt, and Colombia, providing CGIAR programs with a unified, data-driven basis for research prioritization, resource allocation, and strategic coordination across regions. Accountable Center leading this PoD: IWMI. Anticipated partners: IITA; Alliance of Bioversity and CIAT; national data and statistics agencies in Bangladesh, Nigeria, Ethiopia, Egypt, and Colombia; CGIAR digital and market intelligence teams associated with GloMIP and related platforms. MELIA: Monitoring, evaluation, and learning plans will be developed in early 2026 in cooperation with the S4I PMU and/or AoW‑5, and where needed will include baseline assessments and indicator tracking and reporting in line with Program and CGIAR guidelines.</v>
      </c>
      <c r="D3" s="11" t="str">
        <v>Number of people trained (capacity sharing for development)</v>
      </c>
      <c r="E3" s="11" t="str">
        <v>Global</v>
      </c>
      <c r="F3" s="11">
        <v>1</v>
      </c>
      <c r="G3" s="11">
        <v>100000</v>
      </c>
      <c r="H3" s="11">
        <f>SUM(G3:G3)</f>
      </c>
      <c r="I3" s="11" t="str">
        <v>Assumptions: Continued access to data repositories, sustained support from digital transformation teams, and demand for integrated analytics across programs.</v>
      </c>
    </row>
    <row r="4" ht="25" customHeight="1">
      <c r="B4" s="14" t="str">
        <v>HLO budget subtotal</v>
      </c>
      <c r="H4" s="15">
        <f>SUM(H3:H3)</f>
      </c>
    </row>
    <row r="5" ht="50" customHeight="1" xml:space="preserve">
      <c r="A5" s="13" t="str">
        <v>AOW02</v>
      </c>
      <c r="B5" s="11" t="str">
        <v>HLO 2.2.1: Access climate services and smart water management tools that improve adaptation decisions and resource efficiency.</v>
      </c>
      <c r="C5" s="11" t="str" xml:space="preserve">
        <v xml:space="preserve">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v>
      </c>
      <c r="D5" s="11" t="str">
        <v xml:space="preserve">Number of individuals </v>
      </c>
      <c r="E5" s="11" t="str">
        <v>Country: Bangladesh</v>
      </c>
      <c r="F5" s="11">
        <v>1000000</v>
      </c>
      <c r="G5" s="11">
        <v>53234</v>
      </c>
      <c r="H5" s="11">
        <f>SUM(G5:G5)</f>
      </c>
      <c r="I5" s="11" t="str" xml:space="preserve">
        <v xml:space="preserve">Assumption: Stable government commitment and strong public-private partnerships sustain Agvisely's institutionalization and user growth.
</v>
      </c>
    </row>
    <row r="6" ht="50" customHeight="1" xml:space="preserve">
      <c r="A6" s="11" t="str">
        <v>AOW02</v>
      </c>
      <c r="B6" s="11" t="str">
        <v>HLO 2.2.2: Inclusive and efficient innovation delivery systems that support biodiverse, sustainable production, generate new jobs, and expand access for women, youth, and small and medium enterprises.</v>
      </c>
      <c r="C6" s="11" t="str" xml:space="preserve">
        <v xml:space="preserve">A2P7.2: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PoD KPI: 1,000,000 – One million hectares under CGIAR-influenced climate-smart and biodiversity-friendly innovation packages by end of 2026, demonstrating measurable improvements in productivity, efficiency, and emission reduction under Vietnam's One-Million-Ha Low-Emission Rice Program. Indicator type: Other Output  Unit: Number of hectares
PoD Description: This package advances Vietnam’s national One-Million-Hectare low-emission rice program by scaling Precision Nutrient Management (PNM) across the Mekong Delta. It integrates site-specific nutrient management, mechanized direct seeding with deep fertilizer placement, novel fertilizers, bio-inoculants, rice-straw recycling, and digital advisory tools to boost productivity, lower input costs, and reduce greenhouse gas emissions by around 10%. The program emphasizes inclusive scaling through women- and youth-led business models and service delivery systems, contributing to sustainable, climate-smart rice production by 2026 and beyond. Responsible Center: IRRI  Partners: MARD, DCP, provincial departments, cooperatives, and private agribusinesses  Partner modality: In-kind technical assistance and co-financing with public and private sector institutions. MELIA: Monitoring, evaluation, and learning plans will be developed in early 2026 in cooperation with the S4I PMU and/or AoW‑5, and where needed will include baseline assessments and indicator tracking and reporting in line with Program and CGIAR guidelines.</v>
      </c>
      <c r="D6" s="11" t="str">
        <v xml:space="preserve"> Other Output</v>
      </c>
      <c r="E6" s="11" t="str">
        <v>Country: The Socialist Republic of Viet Nam</v>
      </c>
      <c r="F6" s="11">
        <v>1000000</v>
      </c>
      <c r="G6" s="11">
        <v>133085</v>
      </c>
      <c r="H6" s="11">
        <f>SUM(G6:G11)</f>
      </c>
      <c r="I6" s="11" t="str">
        <v>Assumption: Continued government prioritization of low-emission rice and strong private-sector engagement through 2026.</v>
      </c>
    </row>
    <row r="7" ht="50" customHeight="1" xml:space="preserve">
      <c r="A7" s="11" t="str">
        <v>AOW02</v>
      </c>
      <c r="C7" s="11" t="str" xml:space="preserve">
        <v xml:space="preserve">A2P7.1: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Co-Lead: CIP,  PoD KPI: 1,000,000 – One million farmers applying CGIAR-linked Precision Nutrient Management innovations by the end of 2026 across Vietnam. Suggested Disaggregation: 400,000 women (40%), 200,000 youth (20%), 20,000 marginalized groups (2%), 380,000 other farmers (38%). Indicator type: Other Output. Unit: Number of individuals.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greenhouse gas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MELIA: Monitoring, evaluation, and learning plans will be developed in early 2026 in cooperation with the S4I PMU and/or AoW‑5, and where needed will include baseline assessments and indicator tracking and reporting in line with Program and CGIAR guidelines.</v>
      </c>
      <c r="D7" s="11" t="str">
        <v xml:space="preserve"> Other Output</v>
      </c>
      <c r="E7" s="11" t="str">
        <v>Country: The Socialist Republic of Viet Nam</v>
      </c>
      <c r="F7" s="11">
        <v>1000000</v>
      </c>
      <c r="G7" s="11">
        <v>133085</v>
      </c>
      <c r="I7" s="11" t="str">
        <v>Assumption: Continued political and institutional commitment to the One-Million-Ha program and its low-emission goals through 2026.</v>
      </c>
    </row>
    <row r="8" ht="50" customHeight="1" xml:space="preserve">
      <c r="A8" s="11" t="str">
        <v>AOW02</v>
      </c>
      <c r="C8" s="11" t="str" xml:space="preserve">
        <v xml:space="preserve">A2P15.1: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10,000 hectares under climate-smart mechanized rice–wheat systems (DSR and ZT wheat) established by end-2026 in Eastern India through IRRI–CIMMYT collaboration. Indicator type: Other Output Unit: Number of hectares.
PoD Description: This PoD scales climate-smart mechanized dry direct-seeded rice (DSR) and zero-tillage (ZT) wheat systems to improve productivity, profitability, and resilience across the eastern Indo-Gangetic Plains. Through IRRI–CIMMYT collaboration and partnerships with private firms (Bayer, IOCL, Corteva) and public programs (UP-AGREES), it promotes adoption of DSR and ZT wheat through mechanization hubs, Custom Hiring Centers (CHCs), and Public–Private Service Platforms (PSPs). By 2026, 10,000 hectares will be under mechanized DSR and ZT wheat systems in Eastern India. Responsible Center: IRRI Partner: CIMMYT Partner modality: In-kind technical support, shared training, and aligned implementation through bilateral projects; no direct fund transfer.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8" s="11" t="str">
        <v xml:space="preserve">Number of hectares </v>
      </c>
      <c r="E8" s="11" t="str">
        <v>Country: India</v>
      </c>
      <c r="F8" s="11">
        <v>10000</v>
      </c>
      <c r="G8" s="11">
        <v>66542</v>
      </c>
      <c r="I8" s="11" t="str">
        <v>Assumption: Continued policy commitment and co-financing from the Government of India and private partners to expand mechanized, low-emission rice–wheat systems.</v>
      </c>
    </row>
    <row r="9" ht="50" customHeight="1" xml:space="preserve">
      <c r="A9" s="11" t="str">
        <v>AOW02</v>
      </c>
      <c r="C9" s="11" t="str" xml:space="preserve">
        <v xml:space="preserve">A2P15.2: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1,330 jobs created or improved by end-2026 through mechanization, seed, and service delivery networks for rice–wheat systems in Eastern India. These include youth and women operators, entrepreneurs, and CHC staff benefiting from IRRI–CIMMYT collaboration. Indicator type: Other Output Unit: Number of jobs.
PoD Description: This PoD supports rural job creation through the establishment of mechanization service platforms, women-led seedling enterprises, and youth-operated CHCs across 21 districts of Eastern India. It builds technical and business capacities for youth and women operators, creating sustainable rural employment and entrepreneurship opportunities. By 2026, 1,330 jobs will be created or improved through mechanization, seed, and service delivery networks in rice–wheat systems. Responsible Center: IRRI Partner: CIMMYT Partner modality: In-kind collaboration on training and technology scaling; no direct fund transfers. MELIA: Monitoring, evaluation, and learning plans will be developed in early 2026 in cooperation with the S4I PMU and/or AoW‑5, and where needed will include baseline assessments and indicator tracking and reporting in line with Program and CGIAR guidelines.</v>
      </c>
      <c r="D9" s="11" t="str">
        <v>Number of Jobs</v>
      </c>
      <c r="E9" s="11" t="str">
        <v>Country: India</v>
      </c>
      <c r="F9" s="11">
        <v>1330</v>
      </c>
      <c r="G9" s="11">
        <v>56542</v>
      </c>
      <c r="I9" s="11" t="str" xml:space="preserve">
        <v xml:space="preserve">Assumption: Continued commitment from state governments, World Bank project partners, and private sector to promote mechanization-led climate-smart agriculture.
Budget allocation to Partner:  10K 
Bayer, Savannah Seeds, Corteva, IOCL and SEAL
</v>
      </c>
    </row>
    <row r="10" ht="50" customHeight="1" xml:space="preserve">
      <c r="A10" s="11" t="str">
        <v>AOW02</v>
      </c>
      <c r="C10" s="11" t="str" xml:space="preserve">
        <v xml:space="preserve">A2P15.3: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3,333 individuals (≥40% women, ≥30% youth) trained and applying CGIAR-linked climate-smart mechanization, crop residue management, and seed entrepreneurship practices by end-2026 in Eastern India. Indicator type: Other Output Unit: Number of individuals.
PoD Description: This PoD trains and supports farmers, machinery operators, and entrepreneurs in adopting DSR, ZT wheat, crop residue management, and seed entrepreneurship practices. Implemented with CIMMYT and public–private partners, it enables inclusive participation of women and youth in mechanized, low-emission agriculture. By 2026, 3,333 individuals will be trained and actively applying CGIAR-linked climate-smart mechanization innovations. Responsible Center: IRRI Partner: CIMMYT Partner modality: In-kind technical collaboration through training and demonstration;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10" s="11" t="str">
        <v>Number of individuals</v>
      </c>
      <c r="E10" s="11" t="str">
        <v>Country: India</v>
      </c>
      <c r="F10" s="11">
        <v>3333</v>
      </c>
      <c r="G10" s="11">
        <v>56542</v>
      </c>
      <c r="I10" s="11" t="str" xml:space="preserve">
        <v xml:space="preserve">Assumption: Continued state government commitment, partner co-financing, and private-sector engagement for scaling climate-smart mechanization.
Budget allocation to Partner:  10K 
Bayer, Savannah Seeds, Corteva, IOCL and SEAL</v>
      </c>
    </row>
    <row r="11" ht="50" customHeight="1" xml:space="preserve">
      <c r="A11" s="11" t="str">
        <v>AOW02</v>
      </c>
      <c r="C11" s="11" t="str" xml:space="preserve">
        <v xml:space="preserve">A2P15.4: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1,350 jobs created or improved through the scaling of climate-smart mechanization and seed entrepreneurship models in Eastern India by end-2026. These include CHC staff, youth machine operators, and women entrepreneurs supported by IRRI–CIMMYT collaboration. Indicator type: Other Output Unit: Number of jobs.
PoD Description: This PoD builds on IRRI–CIMMYT collaboration to enhance employment in mechanization, repair, and seed value chains through PPPs, training programs, and entrepreneurship initiatives. By linking farmers and service providers with CHCs and PSPs, it strengthens local agribusiness ecosystems and rural livelihoods. By 2026, 1,350 jobs will be created or improved under mechanization and seed entrepreneurship models. Responsible Center: IRRI Partner: CIMMYT Partner modality: In-kind technical collaboration through shared implementation, training, and monitoring;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11" s="11" t="str">
        <v>Number of Jobs</v>
      </c>
      <c r="E11" s="11" t="str">
        <v>Country: India</v>
      </c>
      <c r="F11" s="11">
        <v>1350</v>
      </c>
      <c r="G11" s="11">
        <v>56542</v>
      </c>
      <c r="I11" s="11" t="str" xml:space="preserve">
        <v xml:space="preserve">Assumption: Sustained government and private-sector commitment to mechanization-based climate-smart agriculture and continued co-financing for service expansion.
Budget allocation to Partner:  10K 
Bayer, Savannah Seeds, Corteva, IOCL and SEAL</v>
      </c>
    </row>
    <row r="12" ht="25" customHeight="1">
      <c r="B12" s="15" t="str">
        <v>HLO budget subtotal</v>
      </c>
      <c r="H12" s="15">
        <f>SUM(H5:H11)</f>
      </c>
    </row>
    <row r="13" ht="50" customHeight="1" xml:space="preserve">
      <c r="A13" s="13" t="str">
        <v>AOW03</v>
      </c>
      <c r="B13" s="11" t="str">
        <v xml:space="preserve">HLO 3.3.1: Enabling environment diagnostics </v>
      </c>
      <c r="C13" s="11" t="str" xml:space="preserve">
        <v xml:space="preserve">A3P11.1: PoD name: The EE Playbook — Frameworks, Methods, and Tools for Scaling. Lead Center: IRRI. PoD KPI: 7 – Seven CGIAR programs, accelerators, bilateral projects, or partner organizations applying and institutionalizing the EE Playbook frameworks and diagnostic tools for enabling environment analysis and adaptive learning on scaling constraints and opportunities by the end of 2026. Suggested Disaggregation: Not applicable – KPI measures programs and projects rather than individuals. Indicator type: Capacity Sharing. Unit: Number of CGIAR Program/projects.
PoD Description: This package positions AoW3 as an enabling environment lab for AoW2 Flagships and a generator of global public goods by systematizing frameworks, methods, and tools that diagnose and improve enabling-environment conditions for scaling innovation bundles. Building on standardized diagnostics, adaptive learning from success and failure cases, policy–practice dialogues, and region-specific analytical lenses, the EE Playbook will provide CGIAR Programs, Accelerators, and bilateral projects with practical guidance for identifying policy, market, and institutional constraints, and for designing inclusive, sustainable, and responsible scaling pathways. Between 2025 and 2027, tools and guidance will be built, piloted, and disseminated through AoW2 Flagships and partner systems; from 2028 to 2030, adoption will be consolidated and feedback loops embedded to support adaptive management, investment mobilization, and portfolio-wide research and scaling prioritization.  Accountable Center leading this PoD: IRRI. Anticipated partners: IWMI; CGIAR AoW2 Flagships and hubs; CGIAR programs and accelerators; bilateral projects and partner organizations globally that adopt and apply the EE Playbook. MELIA: Monitoring, evaluation, and learning plans will be developed in early 2026 in cooperation with the S4I PMU and/or AoW‑5, and where needed will include baseline assessments and indicator tracking and reporting in line with Program and CGIAR guidelines.</v>
      </c>
      <c r="D13" s="11" t="str">
        <v>Number of people trained (capacity sharing for development)</v>
      </c>
      <c r="E13" s="11" t="str">
        <v>Global</v>
      </c>
      <c r="F13" s="11">
        <v>7</v>
      </c>
      <c r="G13" s="11">
        <v>30000</v>
      </c>
      <c r="H13" s="11">
        <f>SUM(G13:G18)</f>
      </c>
      <c r="I13" s="11" t="str">
        <v>Assumption: CGIAR Programs and Flagships continue to demand actionable, evidence-based tools for enabling environment analysis and decision support.</v>
      </c>
    </row>
    <row r="14" ht="50" customHeight="1" xml:space="preserve">
      <c r="A14" s="11" t="str">
        <v>AOW03</v>
      </c>
      <c r="C14" s="11" t="str" xml:space="preserve">
        <v xml:space="preserve">A3P8.2: PoD name: Leveraging market and finance mechanisms to scale climate impact. Lead Center: IRRI. PoD KPI: 5 – Five cumulative enabling environment pathways established across Bangladesh, India, Vietnam, Cambodia, and the Philippines by the end of 2026 to operationalize inclusive, equitable, and climate-smart carbon market engagement mechanisms for agricultural mitigation and adaptation. Suggested Disaggregation: Not applicable – KPI measures institutional pathways rather than individuals. Indicator type: Other outputs. Unit: Number of Strategies. 
PoD Description: This package will enhance the enabling environment for Grand Challenge 1 under Flagship 1.2 by developing and testing equitable carbon-market convening mechanisms that scale water-saving and other climate-smart technologies in agriculture. Through diagnostics and stakeholder consultations in Bangladesh, India, Vietnam, Cambodia, and the Philippines, the work will establish pathways that link suppliers of climate-certified agricultural products with buyers, define standards for climate-certified goods, and structure procurement commitments that stimulate demand. It will also build the technical and negotiation capacity of agriculture-focused COP negotiators and provide methodological guidance on carbon markets, enabling robust quantification, reporting, and verification of mitigation outcomes. By 2026, CGIAR will have a documented convening framework that shares costs, risks, and claims across carbon-market actors, de-risks investments for small-scale farmers, and mobilizes market-based finance for scalable, climate-smart agricultural solutions. Accountable Center leading this PoD: IRRI. Anticipated partners: World Bank; Asian Development Bank (ADB); World Economic Forum; and relevant national ministries and climate-investment stakeholders in Bangladesh, India, Vietnam, Cambodia, and the Philippines. MELIA: Monitoring, evaluation, and learning plans will be developed in early 2026 in cooperation with the S4I PMU and/or AoW‑5, and where needed will include baseline assessments and indicator tracking and reporting in line with Program and CGIAR guidelines.</v>
      </c>
      <c r="D14" s="11" t="str">
        <v xml:space="preserve"> Other outputs-Number of Strategies</v>
      </c>
      <c r="E14" s="11" t="str">
        <v>Global</v>
      </c>
      <c r="F14" s="11">
        <v>5</v>
      </c>
      <c r="G14" s="11">
        <v>30000</v>
      </c>
      <c r="I14" s="11" t="str" xml:space="preserve">
        <v xml:space="preserve">Assumption: Participating institutions maintain commitment to transparency and equitable benefit-sharing mechanisms.
Budget allocation to Partner -30K 
World Bank, ADB, World Economic Forum
</v>
      </c>
    </row>
    <row r="15" ht="50" customHeight="1" xml:space="preserve">
      <c r="A15" s="11" t="str">
        <v>AOW03</v>
      </c>
      <c r="C15" s="11" t="str" xml:space="preserve">
        <v xml:space="preserve">A3P10.2: PoD name: Scaling cost-effective, user-centric MRV systems to track environmental, climate, and social change. Lead Center: IRRI. PoD KPI: 20 – Twenty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 Suggested Disaggregation: Not applicable – KPI measures organizations rather than individuals. Indicator type: Other Output. Unit: Number of organizations.
PoD Description: This package will strengthen the enabling environment for AoW2 Flagships 1.1 (Digital Climate Services) and 1.2 (Climate-Resilient Water Systems) by providing targeted technical assistance to design and operate transparent, user-centric MRV systems for rice production in Bangladesh and the Philippines, within a broader regional effort across Southeast and South Asia. Working with national institutions, the package will co-create context-appropriate MRV approaches through participatory methods, align project designs with international carbon trading standards, and build analytical and operational capacity via training, cross-country capacity-sharing, and multi-actor collaboration along the rice value chain. By 2026, key institutions in Bangladesh and the Philippines will have strengthened preparedness and capability to develop and implement MRV systems that support evidence-based GHG inventories, verifiable emission reductions, and climate finance access, thereby enabling the scaling of climate-smart irrigation, nutrient, and residue management practices aligned with 2030 goals.  Accountable Center leading this PoD: IRRI. Anticipated partners: Ministry of Agriculture, Forestry and Fisheries (Cambodia); Philippine Rice Research Institute. MELIA: Monitoring, evaluation, and learning plans will be developed in early 2026 in cooperation with the S4I PMU and/or AoW‑5, and where needed will include baseline assessments and indicator tracking and reporting in line with Program and CGIAR guidelines.</v>
      </c>
      <c r="D15" s="11" t="str">
        <v>Number of organizations</v>
      </c>
      <c r="E15" s="11" t="str">
        <v>Country: Philippines, Bangladesh</v>
      </c>
      <c r="F15" s="11">
        <v>20</v>
      </c>
      <c r="G15" s="11">
        <v>75000</v>
      </c>
      <c r="I15" s="11" t="str" xml:space="preserve">
        <v xml:space="preserve">Assumption: Continued national commitment in Bangladesh and the Philippines to develop and sustain transparent, science-based MRV systems.
Budget Allocation to Partner: 15K 
"Ministry of Agriculture, Forestry and Fisheries (Cambodia)
Philippine Rice Research Institute"</v>
      </c>
    </row>
    <row r="16" ht="50" customHeight="1" xml:space="preserve">
      <c r="A16" s="11" t="str">
        <v>AOW03</v>
      </c>
      <c r="C16" s="11" t="str" xml:space="preserve">
        <v xml:space="preserve">A3P10.1: PoD name: Scaling cost-effective, user-centric MRV systems to track environmental, climate, and social change. Lead Center: IRRI. PoD KPI: 1,000,000 – One million cumulative hectares of rice land in Vietnam under improved management by the end of 2026, monitored and verified through the operational, government-endorsed MRV system linked to the AoW2 Scaling Solution Track on climate-resilient rice systems. Suggested Disaggregation: Not applicable – KPI measures land area (hectares) under improved management rather than individuals. Indicator type: Other Output. Unit: Number of hectares.
PoD Description: This package will strengthen the enabling environment for Digital Climate Services and Climate-Resilient Water Systems in Vietnam by co-developing and institutionalizing an interoperable national MRV system based on IRRI’s RiceMoRe–FarMoRe tools. Through participatory design with government taskforces and alignment with international standards, the work will generate robust, verifiable data on low-emission rice practices—innovative irrigation, nutrient, and residue management—linked to Vietnam’s NDC targets and the One Million Hectares program. By 2026, the MRV system will be endorsed by government, operated regularly by a designated taskforce, and used to track and incentivize improved rice management at scale, thereby enhancing national GHG inventories, enabling access to climate finance and carbon markets, and supporting the AoW2 Vietnam Scaling Solution Track for climate-resilient rice systems.  Accountable Center leading this PoD: IRRI. Anticipated partners: IWMI; Ministry of Agriculture and Environment (Vietnam); national MRV taskforces and the One Million Hectares program. MELIA: Monitoring, evaluation, and learning plans will be developed in early 2026 in cooperation with the S4I PMU and/or AoW‑5, and where needed will include baseline assessments and indicator tracking and reporting in line with Program and CGIAR guidelines.</v>
      </c>
      <c r="D16" s="11" t="str">
        <v xml:space="preserve"> Other Output</v>
      </c>
      <c r="E16" s="11" t="str">
        <v>Country: The Socialist Republic of Viet Nam</v>
      </c>
      <c r="F16" s="11">
        <v>1000000</v>
      </c>
      <c r="G16" s="11">
        <v>80000</v>
      </c>
      <c r="I16" s="11" t="str" xml:space="preserve">
        <v xml:space="preserve">Assumption: Government commitment to NDC-aligned MRV implementation remains strong, with continued support from IRRI and national agencies.
Budget allocation to Partner: 20K- Ministry of Agriculture and Environment (Vietnam)
</v>
      </c>
    </row>
    <row r="17" ht="50" customHeight="1" xml:space="preserve">
      <c r="A17" s="11" t="str">
        <v>AOW03</v>
      </c>
      <c r="C17" s="11" t="str" xml:space="preserve">
        <v xml:space="preserve">A3P8.3: PoD name: Leveraging market mechanisms and finance to scale climate impact. Lead Center: IRRI. PoD KPI: 2 – Two national or market frameworks established or improved by the end of 2026 across Bangladesh, India, Vietnam, Cambodia, and the Philippines to support carbon market access and financing for water-saving technologies and low-emission agricultural practices. Suggested Disaggregation: Not applicable – KPI measures policy and market frameworks rather than individuals. Indicator type: Capacity Sharing. Unit: Number of Policies.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to help them engage in carbon markets, set standards for climate-certified products, and structure procurement commitments that create sustained demand for low-emission agricultural goods. The work includes linking suppliers of climate-certified products with buyers, offering technical support on carbon market methodologies and MRV requirements, and building the negotiation and analytical capacity of agriculture-focused COP negotiators so they can secure climate finance and better integrate agriculture into national and global climate policies. CGIAR will also develop a convening framework that shares costs, risks, and claims across carbon-market actors to ensure equitable, inclusive projects that benefit small-scale farmers and de-risk investments. Accountable Center leading this PoD: IRRI. Anticipated partners: World Economic Forum; relevant ministries and climate-finance institutions in Bangladesh, India, Vietnam, the Philippines, and Cambodia. MELIA: Monitoring, evaluation, and learning plans will be developed in early 2026 in cooperation with the S4I PMU and/or AoW‑5, and where needed will include baseline assessments and indicator tracking and reporting in line with Program and CGIAR guidelines.</v>
      </c>
      <c r="D17" s="11" t="str">
        <v>Number of people trained (capacity sharing for development)</v>
      </c>
      <c r="E17" s="11" t="str">
        <v>Global</v>
      </c>
      <c r="F17" s="11">
        <v>2</v>
      </c>
      <c r="G17" s="11">
        <v>33500</v>
      </c>
      <c r="I17" s="11" t="str" xml:space="preserve">
        <v xml:space="preserve">Assumption: Strong government and private sector commitment to integrating agriculture into national climate finance and carbon trading systems.
Budget allocation to Partner US$:  41,500 
</v>
      </c>
    </row>
    <row r="18" ht="50" customHeight="1" xml:space="preserve">
      <c r="A18" s="11" t="str">
        <v>AOW03</v>
      </c>
      <c r="C18" s="11" t="str" xml:space="preserve">
        <v xml:space="preserve">A3P8.1: PoD name: Leveraging market and finance mechanisms to scale climate impact. Lead Center: IRRI. PoD KPI: 400,000,000 – Four hundred million U.S. dollars in cumulative climate finance and carbon-linked investments leveraged by 2026 across Bangladesh, India, Vietnam, the Philippines, and Cambodia through enabling-environment reforms and technical assistance that support scaling of agricultural mitigation technologies. Suggested Disaggregation: Not applicable – KPI measures investment volume (USD) rather than individuals. Indicator type: Capacity Sharing. Unit: Amount of investment in million USD.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and national actors to engage in carbon markets, define market standards for climate-certified products, and structure procurement commitments that create sustained demand for low-emission agricultural goods. The work includes linking suppliers of climate-certified products with buyers, offering expertise on carbon market methodologies and MRV requirements, and building the technical, political, and institutional skills of agriculture-focused COP negotiators so they can secure climate finance and embed agriculture more effectively in global climate policy. By 2026, the package will have operationalized a CGIAR convening framework that shares costs, risks, and claims across carbon-market actors, de-risks investments, and mobilizes large-scale climate and carbon-linked finance for mitigation and adaptation projects benefiting small-scale farmers in Bangladesh, India, Vietnam, the Philippines, and Cambodia. Accountable Center leading this PoD: IRRI. Anticipated partners: Ministries of Agriculture in Bangladesh, India, Vietnam, the Philippines, and Cambodia, alongside other national climate and finance institutions engaged in climate-market development. MELIA: Monitoring, evaluation, and learning plans will be developed in early 2026 in cooperation with the S4I PMU and/or AoW‑5, and where needed will include baseline assessments and indicator tracking and reporting in line with Program and CGIAR guidelines.</v>
      </c>
      <c r="D18" s="11" t="str">
        <v xml:space="preserve"> Amount of Investment in million USD</v>
      </c>
      <c r="E18" s="11" t="str">
        <v>Country: Cambodia, Bangladesh, Philippines, India, The Socialist Republic of Viet Nam</v>
      </c>
      <c r="F18" s="11">
        <v>400000000</v>
      </c>
      <c r="G18" s="11">
        <v>25000</v>
      </c>
      <c r="I18" s="11" t="str" xml:space="preserve">
        <v xml:space="preserve">Assumption: Continued government and private sector interest in climate markets for agriculture and stable carbon finance demand.
Budget allocation to Partner : 25K </v>
      </c>
    </row>
    <row r="19" ht="25" customHeight="1">
      <c r="B19" s="15" t="str">
        <v>HLO budget subtotal</v>
      </c>
      <c r="H19" s="15">
        <f>SUM(H13:H18)</f>
      </c>
    </row>
    <row r="20" ht="50" customHeight="1" xml:space="preserve">
      <c r="A20" s="13" t="str">
        <v>AOW04</v>
      </c>
      <c r="B20" s="11" t="str">
        <v>HLO 4.4.1: CGIAR Expertise and Solutions Embedded in Development Investments and Partnerships</v>
      </c>
      <c r="C20" s="11" t="str" xml:space="preserve">
        <v xml:space="preserve">A4P2.1: PoD name: ADB Clearinghouse linkages Lead Center: IRRI, PoD KPI: 30 – Thirty formalized collaboration agreements and embedded innovations within ADB-supported agricultural investments, linking the ADB and Global Clearinghouses to streamline science-to-investment pathways by the end of 2026. Suggested Disaggregation: 12 agreements benefiting women and youth (40%), 3 agreements targeting marginalized groups (10%), and 15 agreements for others (50%). Indicator type: Capacity Sharing Unit: Number of agreements
PoD Description: This package delivers support for stronger alignment between the ADB and Global Clearinghouses, integrating scale-ready innovations and linking them with IPSR tools, databases, and analytics to inform investment design. It enables a cross-center CGIAR team to work with IRRI and the Asian Development Bank, engaging with programs and planning for investments up to 2026. The work targets priority countries including India, Bangladesh, and the Philippines, focusing on resilient, high-yield, and low-emission farming practices, sustainable water use, and inclusive value chains. Accountable Center leading this PoD: IRRI Anticipated partners: Asian Development Bank. MELIA: Monitoring, evaluation, and learning plans will be developed in early 2026 in cooperation with the S4I PMU and/or AoW‑5, and where needed will include baseline assessments and indicator tracking and reporting in line with Program and CGIAR guidelines.</v>
      </c>
      <c r="D20" s="11" t="str">
        <v>Number of people trained (capacity sharing for development)</v>
      </c>
      <c r="E20" s="11" t="str">
        <v>Country: India, Philippines, Bangladesh</v>
      </c>
      <c r="F20" s="11">
        <v>30</v>
      </c>
      <c r="G20" s="11">
        <v>147271</v>
      </c>
      <c r="H20" s="11">
        <f>SUM(G20:G21)</f>
      </c>
      <c r="I20" s="11" t="str">
        <v>ADB remains committed to embedding CGIAR innovations in loan and grant programs; IRRI maintains leadership and operational capacity for Clearinghouse coordination; and cross-Center collaboration functions effectively to align with AoW 4's investment-integ</v>
      </c>
    </row>
    <row r="21" ht="50" customHeight="1" xml:space="preserve">
      <c r="A21" s="11" t="str">
        <v>AOW04</v>
      </c>
      <c r="C21" s="11" t="str" xml:space="preserve">
        <v xml:space="preserve">CRITICAL CAPABILITY: A4IRRI-CC-1.2: PoD name: ADB Clearinghouse Linkages. Lead Center: IRRI. PoD KPI: 1 – At least one major ADB program where CGIAR innovations are formally shared and considered within investment design processes by the end of 2026 across Bangladesh, India, the Philippines, and other ADB-priority geographies. Suggested Disaggregation: Not applicable, as the KPI measures programs rather than individuals. Indicator type: Other Output. Unit: Number of programs.
PoD Description: This package strengthens the alignment between the ADB–CGIAR Clearinghouse Facility and the Global Clearinghouse to ensure that CGIAR’s scale-ready innovations are systematically shared and considered within major ADB investment programs. As the Facility expands beyond rice to additional crops—including wheat, pulses, maize, and high-value commodities—this package enables coordinated engagement between IRRI and participating CGIAR Centers to integrate innovations into ADB program design. By linking scale-ready solutions with IPSR tools, databases, and investment-fit analytics, the package will enhance the consistency and quality of innovation profiling, drawing on relevant lessons from the TAAT Clearinghouse to improve readiness assessment and science-to-investment integration. A cross-Center support team will contribute technical assistance for ADB pipeline development, with IRRI managing sub-grants to facilitate collaboration, cataloguing, and joint analysis. Through these efforts, CGIAR innovations will be more effectively embedded within ADB-supported agricultural portfolios across Asia, supporting the Scaling for Impact Program’s objectives of unlocking finance and strengthening development partnerships. Accountable Center leading this PoD: IRRI. Anticipated partners: Contributing CGIAR Centers;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v>
      </c>
      <c r="D21" s="11" t="str">
        <v xml:space="preserve"> Number of Program</v>
      </c>
      <c r="E21" s="11" t="str">
        <v>Global</v>
      </c>
      <c r="F21" s="11">
        <v>1</v>
      </c>
      <c r="G21" s="11">
        <v>122717</v>
      </c>
      <c r="I21" s="11" t="str">
        <v>ADB remains committed to embedding CGIAR innovations in loan and grant programs; IRRI maintains leadership and operational capacity for Clearinghouse coordination; and cross-Center collaboration functions effectively to align with AoW 4's investment-integ</v>
      </c>
    </row>
    <row r="22" ht="50" customHeight="1" xml:space="preserve">
      <c r="A22" s="11" t="str">
        <v>AOW04</v>
      </c>
      <c r="B22" s="11" t="str">
        <v>HLO 4.4.2: Innovation portfolio management and scaling strategy support teams</v>
      </c>
      <c r="C22" s="11" t="str" xml:space="preserve">
        <v xml:space="preserve">A4IRRI-CC-1.1: PoD name: ADB Clearinghouse Linkages. Lead Center: IRRI. PoD KPI: 30 – Thirty reports that CGIAR and partner innovations integrated into the ADB Clearinghouse catalog and embedded within ADB-supported agricultural investment operations by the end of 2026 across Bangladesh, India, the Philippines, and additional ADB priority geographies. Suggested Disaggregation: Not applicable, as the KPI measures innovation entries rather than individuals. Indicator type: Knowledge Product. Unit: Number of reports. 
PoD Description: This package strengthens alignment between the ADB–CGIAR Clearinghouse Facility and the Global Clearinghouse to accelerate the integration of scale-ready CGIAR innovations into ADB-supported agricultural investment programs. Building on the Facility’s initial focus on rice and priority countries such as Bangladesh, India, and the Philippines, the package supports expansion into additional crops including wheat, pulses, maize, and high-value commodities. A cross-Center team will collaborate with IRRI to link ADB investment design processes with CGIAR’s IPSR tools, databases, and scaling analytics, ensuring that innovations are profiled consistently and aligned with investment-fit requirements. Drawing lessons from the TAAT Clearinghouse in Africa, the package will enhance catalog design, metadata harmonization, bottleneck analysis, and readiness scoring to strengthen pipeline preparation for ADB loan and grant operations. IRRI will coordinate contributions across CGIAR Centers and manage sub-grants to facilitate technical profiling and systematic inclusion of innovations within ADB program portfolios. Through these actions, the package advances AoW 4 objectives by embedding CGIAR expertise and scaling solutions within development investments, enabling evidence-based investment design and expanding uptake of climate-resilient, low-emission, and inclusive agricultural innovations across Asia. Accountable Center leading this PoD: IRRI. Anticipated partners: CGIAR Centers contributing scale-ready innovations;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v>
      </c>
      <c r="D22" s="11" t="str">
        <v>Number of knowledge products</v>
      </c>
      <c r="E22" s="11" t="str">
        <v>Regional: Asia</v>
      </c>
      <c r="F22" s="11">
        <v>30</v>
      </c>
      <c r="G22" s="11">
        <v>100000</v>
      </c>
      <c r="H22" s="11">
        <f>SUM(G22:G22)</f>
      </c>
      <c r="I22" s="11" t="str">
        <v>ADB remains committed to embedding CGIAR innovations in loan and grant programs; IRRI maintains leadership and operational capacity for Clearinghouse coordination; and cross-Center collaboration functions effectively to align with AoW 4's investment-integ</v>
      </c>
    </row>
    <row r="23" ht="25" customHeight="1">
      <c r="B23" s="15" t="str">
        <v>HLO budget subtotal</v>
      </c>
      <c r="H23" s="15">
        <f>SUM(H20:H22)</f>
      </c>
    </row>
  </sheetData>
  <mergeCells count="19">
    <mergeCell ref="A1:A2"/>
    <mergeCell ref="B1:B2"/>
    <mergeCell ref="C1:G1"/>
    <mergeCell ref="H1:H2"/>
    <mergeCell ref="I1:I2"/>
    <mergeCell ref="B4:G4"/>
    <mergeCell ref="A3:A4"/>
    <mergeCell ref="B6:B11"/>
    <mergeCell ref="H6:H11"/>
    <mergeCell ref="B12:G12"/>
    <mergeCell ref="A5:A12"/>
    <mergeCell ref="B13:B18"/>
    <mergeCell ref="H13:H18"/>
    <mergeCell ref="B19:G19"/>
    <mergeCell ref="A13:A19"/>
    <mergeCell ref="B20:B21"/>
    <mergeCell ref="H20:H21"/>
    <mergeCell ref="B23:G23"/>
    <mergeCell ref="A20:A23"/>
  </mergeCells>
  <ignoredErrors>
    <ignoredError numberStoredAsText="1" sqref="A1:I23"/>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xml:space="preserve">
      <c r="A2" s="12" t="str">
        <v>AOW03</v>
      </c>
      <c r="B2" s="11" t="str">
        <v>Ministry of Agriculture and Rural Development (Vietnam)</v>
      </c>
      <c r="C2" s="11" t="str">
        <v>HLO 3.3.1: Enabling environment diagnostics, HLO 3.3.3: Science-policy partnership interfaces for responsible scaling</v>
      </c>
      <c r="D2" s="11" t="str">
        <v>The Socialist Republic of Viet Nam</v>
      </c>
      <c r="E2" s="11">
        <v>20000</v>
      </c>
      <c r="F2" s="11" t="str" xml:space="preserve">
        <v xml:space="preserve">Ministry of Agriculture and Environment (Vietnam)
</v>
      </c>
    </row>
    <row r="3" ht="70" customHeight="1">
      <c r="A3" s="11" t="str">
        <v>AOW03</v>
      </c>
      <c r="B3" s="11" t="str">
        <v>Ministry of Agriculture, Forestry and Fisheries (Cambodia)</v>
      </c>
      <c r="C3" s="11" t="str">
        <v>HLO 3.3.1: Enabling environment diagnostics, HLO 3.3.3: Science-policy partnership interfaces for responsible scaling</v>
      </c>
      <c r="D3" s="11" t="str">
        <v>Cambodia</v>
      </c>
      <c r="E3" s="11">
        <v>15000</v>
      </c>
      <c r="F3" s="11" t="str">
        <v>Ministry of Agriculture, Forestry and Fisheries (Cambodia)</v>
      </c>
    </row>
    <row r="4" ht="25" customHeight="1">
      <c r="B4" s="14" t="str">
        <v>Contracted partners subtotal</v>
      </c>
      <c r="E4" s="14">
        <f>SUM(E2:E3)</f>
      </c>
    </row>
    <row r="5" ht="70" customHeight="1">
      <c r="A5" s="12" t="str">
        <v>AOW04</v>
      </c>
      <c r="B5" s="11" t="str">
        <v>Ministry of Agriculture and Rural Development (Vietnam)</v>
      </c>
      <c r="C5" s="11" t="str">
        <v>HLO 4.4.1: CGIAR Expertise and Solutions Embedded in Development Investments and Partnerships</v>
      </c>
      <c r="D5" s="11" t="str">
        <v>The Socialist Republic of Viet Nam</v>
      </c>
      <c r="E5" s="11">
        <v>0</v>
      </c>
    </row>
    <row r="6" ht="25" customHeight="1">
      <c r="B6" s="14" t="str">
        <v>Contracted partners subtotal</v>
      </c>
      <c r="E6" s="14">
        <f>SUM(E5:E5)</f>
      </c>
    </row>
  </sheetData>
  <mergeCells count="4">
    <mergeCell ref="B4:D4"/>
    <mergeCell ref="A2:A4"/>
    <mergeCell ref="B6:D6"/>
    <mergeCell ref="A5: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F1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R-A-2021-28-KOICA-UPLB Project</v>
      </c>
      <c r="B2" s="19" t="str">
        <v>AOW01</v>
      </c>
      <c r="C2" s="18" t="str">
        <v>HLO 1.1.2: Feedback and adaptive research and scaling prioritization</v>
      </c>
      <c r="D2" s="19">
        <v>264210</v>
      </c>
      <c r="E2" s="19" t="str">
        <f>=SUM(D2:D2)</f>
        <v>0</v>
      </c>
      <c r="F2" s="19" t="str">
        <v>R-A-2021-28-KOICA-UPLB Project: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c r="A3" s="18" t="str">
        <v>R-A-2022-52-Direct Seeding Indo Gangetic</v>
      </c>
      <c r="B3" s="19" t="str">
        <v>AOW02</v>
      </c>
      <c r="C3" s="18" t="str">
        <v>HLO 2.2.1: Access climate services and smart water management tools that improve adaptation decisions and resource efficiency.</v>
      </c>
      <c r="D3" s="19">
        <v>147839</v>
      </c>
      <c r="E3" s="19" t="str">
        <f>=SUM(D3:D4)</f>
        <v>0</v>
      </c>
      <c r="F3" s="19" t="str">
        <v>R-A-2022-52-Direct Seeding Indo Gangetic: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4" ht="30" customHeight="1">
      <c r="A4" s="18" t="str">
        <v>R-A-2022-52-Direct Seeding Indo Gangetic</v>
      </c>
      <c r="B4" s="19" t="str">
        <v>AOW01</v>
      </c>
      <c r="C4" s="18" t="str">
        <v xml:space="preserve">HLO 1.1.1: Demand signaling </v>
      </c>
      <c r="D4" s="19">
        <v>147839</v>
      </c>
      <c r="F4" s="19" t="str">
        <v>R-A-2022-52-Direct Seeding Indo Gangetic</v>
      </c>
    </row>
    <row r="5" ht="30" customHeight="1">
      <c r="A5" s="18" t="str">
        <v>R-A-2023-77 Rice Productivity MZ</v>
      </c>
      <c r="B5" s="19" t="str">
        <v>AOW02</v>
      </c>
      <c r="C5" s="18" t="str">
        <v>HLO 2.2.1: Access climate services and smart water management tools that improve adaptation decisions and resource efficiency.</v>
      </c>
      <c r="D5" s="19">
        <v>117164</v>
      </c>
      <c r="E5" s="19" t="str">
        <f>=SUM(D5:D5)</f>
        <v>0</v>
      </c>
      <c r="F5" s="19" t="str">
        <v>R-A-2023-77 Rice Productivity MZ: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6" ht="30" customHeight="1">
      <c r="A6" s="18" t="str">
        <v>R-A-2023-83-OneRicePH</v>
      </c>
      <c r="B6" s="19" t="str">
        <v>AOW02</v>
      </c>
      <c r="C6" s="18" t="str">
        <v>HLO 2.2.2: Inclusive and efficient innovation delivery systems that support biodiverse, sustainable production, generate new jobs, and expand access for women, youth, and small and medium enterprises.</v>
      </c>
      <c r="D6" s="19">
        <v>28413</v>
      </c>
      <c r="E6" s="19" t="str">
        <f>=SUM(D6:D6)</f>
        <v>0</v>
      </c>
      <c r="F6" s="19" t="str">
        <v>R-A-2023-83-OneRicePH: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7" ht="30" customHeight="1">
      <c r="A7" s="18" t="str">
        <v>R-A-2024-19-ISARC Phase III</v>
      </c>
      <c r="B7" s="19" t="str">
        <v>AOW02</v>
      </c>
      <c r="C7" s="18" t="str">
        <v>HLO 2.2.2: Inclusive and efficient innovation delivery systems that support biodiverse, sustainable production, generate new jobs, and expand access for women, youth, and small and medium enterprises.</v>
      </c>
      <c r="D7" s="19">
        <v>574970</v>
      </c>
      <c r="E7" s="19" t="str">
        <f>=SUM(D7:D7)</f>
        <v>0</v>
      </c>
      <c r="F7" s="19" t="str">
        <v>R-A-2024-19-ISARC Phase III: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8" ht="30" customHeight="1">
      <c r="A8" s="18" t="str">
        <v>R-A-2023-56</v>
      </c>
      <c r="B8" s="19" t="str">
        <v>AOW02</v>
      </c>
      <c r="C8" s="18" t="str">
        <v>HLO 2.2.3: Nutrition-smart crop and livestock systems and inclusive food markets, with increased jobs, improved livelihoods, and enhanced access for women and youth to diverse, safe, and affordable diets.</v>
      </c>
      <c r="D8" s="19">
        <v>104996</v>
      </c>
      <c r="E8" s="19" t="str">
        <f>=SUM(D8:D8)</f>
        <v>0</v>
      </c>
      <c r="F8" s="19" t="str">
        <v>R-A-2023-56: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9" ht="30" customHeight="1">
      <c r="A9" s="18" t="str">
        <v>R-A-2023-11-Specialty Rice</v>
      </c>
      <c r="B9" s="19" t="str">
        <v>AOW02</v>
      </c>
      <c r="C9" s="18" t="str">
        <v>HLO 2.2.3: Nutrition-smart crop and livestock systems and inclusive food markets, with increased jobs, improved livelihoods, and enhanced access for women and youth to diverse, safe, and affordable diets.</v>
      </c>
      <c r="D9" s="19">
        <v>159004</v>
      </c>
      <c r="E9" s="19" t="str">
        <f>=SUM(D9:D9)</f>
        <v>0</v>
      </c>
      <c r="F9" s="19" t="str">
        <v>R-A-2023-11-Specialty Rice: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10" ht="30" customHeight="1" xml:space="preserve">
      <c r="A10" s="18" t="str">
        <v>R-A-2019-188-GCF Thailand</v>
      </c>
      <c r="B10" s="19" t="str">
        <v>AOW03</v>
      </c>
      <c r="C10" s="18" t="str" xml:space="preserve">
        <v xml:space="preserve">HLO 3.3.2: Scaling support services for enabling 
environments and institutions </v>
      </c>
      <c r="D10" s="19">
        <v>287967</v>
      </c>
      <c r="E10" s="19" t="str">
        <f>=SUM(D10:D10)</f>
        <v>0</v>
      </c>
      <c r="F10" s="19" t="str" xml:space="preserve">
        <v xml:space="preserve">R-A-2019-188-GCF Thailand: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11" ht="30" customHeight="1">
      <c r="A11" s="18" t="str">
        <v>R-A-2024-18</v>
      </c>
      <c r="B11" s="19" t="str">
        <v>AOW03</v>
      </c>
      <c r="C11" s="18" t="str">
        <v xml:space="preserve">HLO 3.3.3: Science-policy partnership interfaces for responsible scaling </v>
      </c>
      <c r="D11" s="19">
        <v>181293</v>
      </c>
      <c r="E11" s="19" t="str">
        <f>=SUM(D11:D11)</f>
        <v>0</v>
      </c>
      <c r="F11" s="19" t="str">
        <v>R-A-2024-18: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12" ht="30" customHeight="1">
      <c r="A12" s="18" t="str">
        <v>R-A-2024-123 Asia Clearinghouse</v>
      </c>
      <c r="B12" s="19" t="str">
        <v>AOW04</v>
      </c>
      <c r="C12" s="18" t="str">
        <v>HLO 4.4.1: CGIAR Expertise and Solutions Embedded in Development Investments and Partnerships</v>
      </c>
      <c r="D12" s="19">
        <v>1021164</v>
      </c>
      <c r="E12" s="19" t="str">
        <f>=SUM(D12:D12)</f>
        <v>0</v>
      </c>
      <c r="F12" s="19" t="str">
        <v>R-A-2024-123 Asia Clearinghouse: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13" ht="30" customHeight="1">
      <c r="A13" s="18" t="str">
        <v>R-A-2023-24-ASEAN-CGIAR Innovate for Food Regional Program</v>
      </c>
      <c r="B13" s="19" t="str">
        <v>AOW02</v>
      </c>
      <c r="C13" s="18" t="str">
        <v>I-OC 2.3: Nutrition-smart crop and livestock systems, alongside inclusive food markets, deliver increased employment, improved livelihoods, and greater access for women and youth to diverse, safe, and affordable diets.</v>
      </c>
      <c r="D13" s="19">
        <v>92796</v>
      </c>
      <c r="E13" s="19" t="str">
        <f>=SUM(D13:D13)</f>
        <v>0</v>
      </c>
      <c r="F13" s="19" t="str">
        <v>R-A-2023-24-ASEAN-CGIAR Innovate for Food Regional Program: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14" ht="30" customHeight="1">
      <c r="A14" s="3" t="str">
        <v>W3/Bilateral projects subtotal</v>
      </c>
      <c r="E14" s="3">
        <f>SUM(E2:E13)</f>
      </c>
    </row>
  </sheetData>
  <mergeCells count="3">
    <mergeCell ref="A3:A4"/>
    <mergeCell ref="E3:E4"/>
    <mergeCell ref="A14:D14"/>
  </mergeCells>
  <ignoredErrors>
    <ignoredError numberStoredAsText="1" sqref="A1:F14"/>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Precision nutrient management at scale: Supporting Vietnam’s One-Million-Ha high-quality and low-emission rice program package of deliverables in Area of Work 2.</v>
      </c>
      <c r="B2" s="19" t="str">
        <v>AOW02</v>
      </c>
      <c r="C2" s="18" t="str">
        <v>HLO 2.2.2: Inclusive and efficient innovation delivery systems that support biodiverse, sustainable production, generate new jobs, and expand access for women, youth, and small and medium enterprises.</v>
      </c>
      <c r="D2" s="19">
        <v>0</v>
      </c>
      <c r="E2" s="19" t="str">
        <f>=SUM(D2:D2)</f>
        <v>0</v>
      </c>
    </row>
    <row r="3" ht="30" customHeight="1">
      <c r="A3" s="18" t="str">
        <v>This MELIA study will support dynamic learning and adaptive evaluation of the progress towards targeted deliverables and inform improvements in implementation from learning in the Scaling Climate-Smart Mechanized Innovations to Optimize Rice–Wheat Systems for Higher Productivity, Profitability, and Resilience in Eastern India package of deliverables in Area of Work 2.</v>
      </c>
      <c r="B3" s="19" t="str">
        <v>AOW02</v>
      </c>
      <c r="C3" s="18" t="str">
        <v>HLO 2.2.2: Inclusive and efficient innovation delivery systems that support biodiverse, sustainable production, generate new jobs, and expand access for women, youth, and small and medium enterprises.</v>
      </c>
      <c r="D3" s="19">
        <v>0</v>
      </c>
      <c r="E3" s="19" t="str">
        <f>=SUM(D3:D3)</f>
        <v>0</v>
      </c>
    </row>
    <row r="4" ht="30" customHeight="1">
      <c r="A4" s="3" t="str">
        <v>MELIA Studies Budget subtotal</v>
      </c>
      <c r="E4" s="3">
        <f>SUM(E2:E3)</f>
      </c>
    </row>
  </sheetData>
  <mergeCells count="1">
    <mergeCell ref="A4:D4"/>
  </mergeCells>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30000</v>
      </c>
      <c r="E2" s="20">
        <v>131500</v>
      </c>
      <c r="F2" s="20">
        <v>0</v>
      </c>
      <c r="G2" s="20">
        <v>0</v>
      </c>
      <c r="H2" s="20" t="str">
        <f>=SUM(B2:G2)</f>
        <v>0</v>
      </c>
    </row>
    <row r="3" ht="20" customHeight="1">
      <c r="A3" s="20" t="str">
        <v>Operations (supplies, consultants, travels, workshops, other)</v>
      </c>
      <c r="B3" s="20">
        <v>0</v>
      </c>
      <c r="C3" s="20">
        <v>43116</v>
      </c>
      <c r="D3" s="20">
        <v>233288</v>
      </c>
      <c r="E3" s="20">
        <v>52000</v>
      </c>
      <c r="F3" s="20">
        <v>194194</v>
      </c>
      <c r="G3" s="20">
        <v>0</v>
      </c>
      <c r="H3" s="20" t="str">
        <f>=SUM(B3:G3)</f>
        <v>0</v>
      </c>
    </row>
    <row r="4" ht="20" customHeight="1">
      <c r="A4" s="20" t="str">
        <v>Staffing, Chargebacks and Indirect</v>
      </c>
      <c r="B4" s="20">
        <v>0</v>
      </c>
      <c r="C4" s="20">
        <v>56884</v>
      </c>
      <c r="D4" s="20">
        <v>322284</v>
      </c>
      <c r="E4" s="20">
        <v>221500</v>
      </c>
      <c r="F4" s="20">
        <v>175794</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