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 xml:space="preserve">AOW01: Prioritization and Coordination of Climate Action </v>
      </c>
      <c r="B5" s="2">
        <v>0</v>
      </c>
      <c r="C5" s="5">
        <v>0</v>
      </c>
      <c r="D5" s="2">
        <v>14</v>
      </c>
      <c r="E5" s="5">
        <v>124418</v>
      </c>
      <c r="F5" s="2">
        <v>0</v>
      </c>
      <c r="G5" s="5">
        <v>0</v>
      </c>
      <c r="H5" s="2">
        <v>0</v>
      </c>
      <c r="I5" s="5">
        <v>0</v>
      </c>
      <c r="J5" s="5">
        <v>0</v>
      </c>
      <c r="K5" s="5">
        <v>0</v>
      </c>
      <c r="L5" s="5">
        <v>124418</v>
      </c>
      <c r="M5" s="5">
        <v>0</v>
      </c>
    </row>
    <row r="6" ht="20" customHeight="1">
      <c r="A6" s="2" t="str">
        <v xml:space="preserve">AOW02: Digital Advisories and Climate Risk Management  </v>
      </c>
      <c r="B6" s="2">
        <v>0</v>
      </c>
      <c r="C6" s="5">
        <v>0</v>
      </c>
      <c r="D6" s="2">
        <v>0</v>
      </c>
      <c r="E6" s="5">
        <v>0</v>
      </c>
      <c r="F6" s="2">
        <v>0</v>
      </c>
      <c r="G6" s="5">
        <v>0</v>
      </c>
      <c r="H6" s="2">
        <v>0</v>
      </c>
      <c r="I6" s="5">
        <v>0</v>
      </c>
      <c r="J6" s="5">
        <v>0</v>
      </c>
      <c r="K6" s="5">
        <v>0</v>
      </c>
      <c r="L6" s="5">
        <v>0</v>
      </c>
      <c r="M6" s="5">
        <v>0</v>
      </c>
    </row>
    <row r="7" ht="20" customHeight="1">
      <c r="A7" s="2" t="str">
        <v xml:space="preserve">AOW03: Locally-led Adaptation  </v>
      </c>
      <c r="B7" s="2">
        <v>6</v>
      </c>
      <c r="C7" s="5">
        <v>84706</v>
      </c>
      <c r="D7" s="2">
        <v>4</v>
      </c>
      <c r="E7" s="5">
        <v>130000</v>
      </c>
      <c r="F7" s="2">
        <v>0</v>
      </c>
      <c r="G7" s="5">
        <v>0</v>
      </c>
      <c r="H7" s="2">
        <v>0</v>
      </c>
      <c r="I7" s="5">
        <v>0</v>
      </c>
      <c r="J7" s="5">
        <v>50000</v>
      </c>
      <c r="K7" s="5">
        <v>0</v>
      </c>
      <c r="L7" s="5">
        <v>264706</v>
      </c>
      <c r="M7" s="5">
        <v>0</v>
      </c>
    </row>
    <row r="8" ht="20" customHeight="1">
      <c r="A8" s="2" t="str">
        <v xml:space="preserve">AOW04: Low-emission Transitions  </v>
      </c>
      <c r="B8" s="2">
        <v>2</v>
      </c>
      <c r="C8" s="5">
        <v>160000</v>
      </c>
      <c r="D8" s="2">
        <v>0</v>
      </c>
      <c r="E8" s="5">
        <v>141084</v>
      </c>
      <c r="F8" s="2">
        <v>0</v>
      </c>
      <c r="G8" s="5">
        <v>0</v>
      </c>
      <c r="H8" s="2">
        <v>0</v>
      </c>
      <c r="I8" s="5">
        <v>0</v>
      </c>
      <c r="J8" s="5">
        <v>40000</v>
      </c>
      <c r="K8" s="5">
        <v>0</v>
      </c>
      <c r="L8" s="5">
        <v>341084</v>
      </c>
      <c r="M8" s="5">
        <v>0</v>
      </c>
    </row>
    <row r="9" ht="20" customHeight="1">
      <c r="A9" s="2" t="str">
        <v xml:space="preserve">AOW05: Finance and Policy for Scaling Solutions </v>
      </c>
      <c r="B9" s="2">
        <v>9</v>
      </c>
      <c r="C9" s="5">
        <v>250000</v>
      </c>
      <c r="D9" s="2">
        <v>2</v>
      </c>
      <c r="E9" s="5">
        <v>50000</v>
      </c>
      <c r="F9" s="2">
        <v>0</v>
      </c>
      <c r="G9" s="5">
        <v>0</v>
      </c>
      <c r="H9" s="2">
        <v>15</v>
      </c>
      <c r="I9" s="5">
        <v>300000</v>
      </c>
      <c r="J9" s="5">
        <v>50000</v>
      </c>
      <c r="K9" s="5">
        <v>100000</v>
      </c>
      <c r="L9" s="5">
        <v>750000</v>
      </c>
      <c r="M9" s="5">
        <v>1882715</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xml:space="preserve">
      <c r="A2" s="10" t="str">
        <v>AOW00</v>
      </c>
      <c r="B2" s="11" t="str" xml:space="preserve">
        <v xml:space="preserve">Innovation Fund
</v>
      </c>
      <c r="C2" s="11" t="str" xml:space="preserve">
        <v xml:space="preserve">Costs for Climate Action Innovation Fund
</v>
      </c>
      <c r="D2" s="11">
        <v>0</v>
      </c>
    </row>
    <row r="3" ht="45" customHeight="1">
      <c r="A3" s="11" t="str">
        <v>AOW00</v>
      </c>
      <c r="B3" s="11" t="str">
        <v>Portfolio-level Financing Support</v>
      </c>
      <c r="C3" s="11" t="str">
        <v>Funding for Portfolio-level Finance support</v>
      </c>
      <c r="D3" s="11">
        <v>0</v>
      </c>
    </row>
    <row r="4" ht="45" customHeight="1" xml:space="preserve">
      <c r="A4" s="11" t="str">
        <v>AOW00</v>
      </c>
      <c r="B4" s="11" t="str" xml:space="preserve">
        <v xml:space="preserve">Program Director and Associated Costs 
</v>
      </c>
      <c r="C4" s="11" t="str" xml:space="preserve">
        <v xml:space="preserve">Global HR, Travel, Meetings, workshops, consultants, and other Miscellaneous Costs for the Program Director
</v>
      </c>
      <c r="D4" s="11">
        <v>0</v>
      </c>
    </row>
    <row r="5" ht="45" customHeight="1" xml:space="preserve">
      <c r="A5" s="11" t="str">
        <v>AOW00</v>
      </c>
      <c r="B5" s="11" t="str" xml:space="preserve">
        <v xml:space="preserve">AoW Leadership and PMU Costs
</v>
      </c>
      <c r="C5" s="11" t="str" xml:space="preserve">
        <v xml:space="preserve">Global HR, Travel, Meetings, workshops, and other Miscellaneous Costs for the AoW Leads and PMU staff
</v>
      </c>
      <c r="D5" s="11">
        <v>0</v>
      </c>
    </row>
    <row r="6" ht="45" customHeight="1" xml:space="preserve">
      <c r="A6" s="11" t="str">
        <v>AOW00</v>
      </c>
      <c r="B6" s="11" t="str" xml:space="preserve">
        <v xml:space="preserve">Consolidating CGIAR's climate offer
</v>
      </c>
      <c r="C6" s="11" t="str">
        <v>Funding for Climate Hub packages of deliverables to be allocated to relevant Centers on defining the evidence-base for CGIAR's climate activities. These funds will be allocated to AoW1 in Q1 2026.</v>
      </c>
      <c r="D6" s="11">
        <v>0</v>
      </c>
    </row>
    <row r="7" ht="45" customHeight="1" xml:space="preserve">
      <c r="A7" s="11" t="str">
        <v>AOW00</v>
      </c>
      <c r="B7" s="11" t="str" xml:space="preserve">
        <v xml:space="preserve">Program Director Discretionary Fund 
</v>
      </c>
      <c r="C7" s="11" t="str" xml:space="preserve">
        <v xml:space="preserve">Funds accessible to the Director for emerging opportunities, gaps, and other strategic interventions.
</v>
      </c>
      <c r="D7" s="11">
        <v>0</v>
      </c>
    </row>
    <row r="8" ht="45" customHeight="1" xml:space="preserve">
      <c r="A8" s="11" t="str">
        <v>AOW00</v>
      </c>
      <c r="B8" s="11" t="str" xml:space="preserve">
        <v xml:space="preserve">Gender Focal Point and targeted research
</v>
      </c>
      <c r="C8" s="11" t="str" xml:space="preserve">
        <v xml:space="preserve">Costs for Gender Focal Point and targeted Gender research activities.
</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19"/>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1.1.1. &amp; 1.2.1 &amp; 1.3.1 Global and regional partnerships</v>
      </c>
      <c r="C3" s="11" t="str">
        <v>Number of advocacy/communication materials shared</v>
      </c>
      <c r="D3" s="11" t="str">
        <v>Number of knowledge products</v>
      </c>
      <c r="E3" s="11" t="str">
        <v>Global</v>
      </c>
      <c r="F3" s="11">
        <v>3</v>
      </c>
      <c r="G3" s="11">
        <v>50000</v>
      </c>
      <c r="H3" s="11">
        <f>SUM(G3:G4)</f>
      </c>
      <c r="I3" s="11" t="str">
        <v>CA7_IFPRI: Summary of new science on agriculture informing UNFCCC negotiators; participation in IPCC meetings; development of outreach materials, including blogs and policy briefs.</v>
      </c>
    </row>
    <row r="4" ht="50" customHeight="1">
      <c r="A4" s="11" t="str">
        <v>AOW01</v>
      </c>
      <c r="C4" s="11" t="str">
        <v>Number of new/expanded partnership agreements, MoUs/MOAs, communities of practice, status as observor organisatons in climate change spaces,  among CG and regional partners established</v>
      </c>
      <c r="D4" s="11" t="str">
        <v xml:space="preserve"> Number of partnerships</v>
      </c>
      <c r="E4" s="11" t="str">
        <v>Global</v>
      </c>
      <c r="F4" s="11">
        <v>0</v>
      </c>
      <c r="G4" s="11">
        <v>0</v>
      </c>
    </row>
    <row r="5" ht="50" customHeight="1">
      <c r="A5" s="11" t="str">
        <v>AOW01</v>
      </c>
      <c r="B5" s="11" t="str">
        <v>1.1.3 &amp; 1.3.2 Harmonized data, simulations, insights and decision support tools</v>
      </c>
      <c r="C5" s="11" t="str">
        <v>Number of datasets included/compiled in a common/shared platform</v>
      </c>
      <c r="D5" s="11" t="str">
        <v>Number of knowledge products</v>
      </c>
      <c r="E5" s="11" t="str">
        <v>Global</v>
      </c>
      <c r="F5" s="11">
        <v>10</v>
      </c>
      <c r="G5" s="11">
        <v>49418</v>
      </c>
      <c r="H5" s="11">
        <f>SUM(G5:G5)</f>
      </c>
      <c r="I5" s="11" t="str">
        <v>CA42_IFPRI: SPAM+ Integration – Coordinate datasets within the Climate Data Hub, ensuring alignment with Hub metadata standards and QA/QC protocols.</v>
      </c>
    </row>
    <row r="6" ht="50" customHeight="1">
      <c r="A6" s="11" t="str">
        <v>AOW01</v>
      </c>
      <c r="B6" s="11" t="str">
        <v>1.1.4. Synthesis products, advocacy and communication materials</v>
      </c>
      <c r="C6" s="11" t="str">
        <v>Number of synthesis products</v>
      </c>
      <c r="D6" s="11" t="str">
        <v>Number of knowledge products</v>
      </c>
      <c r="E6" s="11" t="str">
        <v>Global</v>
      </c>
      <c r="F6" s="11">
        <v>1</v>
      </c>
      <c r="G6" s="11">
        <v>25000</v>
      </c>
      <c r="H6" s="11">
        <f>SUM(G6:G6)</f>
      </c>
      <c r="I6" s="11" t="str">
        <v>CA108_IFPRI: IFPRI to commission 1 evidence synthesis together with CIMMYT.</v>
      </c>
    </row>
    <row r="7" ht="25" customHeight="1">
      <c r="B7" s="14" t="str">
        <v>HLO budget subtotal</v>
      </c>
      <c r="H7" s="15">
        <f>SUM(H3:H6)</f>
      </c>
    </row>
    <row r="8" ht="50" customHeight="1">
      <c r="A8" s="13" t="str">
        <v>AOW03</v>
      </c>
      <c r="B8" s="11" t="str">
        <v>3.1.1. Institutional innovations and technical practices</v>
      </c>
      <c r="C8" s="11" t="str">
        <v>Number of institutional innovations/technical practices co-created</v>
      </c>
      <c r="D8" s="11" t="str">
        <v>Number of innovations (innovation development)</v>
      </c>
      <c r="E8" s="11" t="str">
        <v>Country: Tanzania, United Republic, Brazil, Niger, Mali, Ethiopia, Nigeria, India, Kenya, Bangladesh</v>
      </c>
      <c r="F8" s="11">
        <v>6</v>
      </c>
      <c r="G8" s="11">
        <v>84706</v>
      </c>
      <c r="H8" s="11">
        <f>SUM(G8:G8)</f>
      </c>
      <c r="I8" s="11" t="str">
        <v xml:space="preserve">CA84_IFPRI: (a) Identification of socio-technical innovation bundles supporting locally led climate action through a country-determined process which typically involves inclusive innovation case submission and independent evaluation and selection, along </v>
      </c>
    </row>
    <row r="9" ht="50" customHeight="1">
      <c r="A9" s="11" t="str">
        <v>AOW03</v>
      </c>
      <c r="B9" s="11" t="str">
        <v>3.1.3 &amp; 3.2.1 Guidelines on scaling  and implementing climate solutions and processes</v>
      </c>
      <c r="C9" s="11" t="str">
        <v>Number of guidelines on scaling and implementing climate solutions procuded and communicated</v>
      </c>
      <c r="D9" s="11" t="str">
        <v>Number of knowledge products</v>
      </c>
      <c r="E9" s="11" t="str">
        <v>Country: China, Brazil, Nigeria, Kenya, Tanzania, United Republic, India</v>
      </c>
      <c r="F9" s="11">
        <v>4</v>
      </c>
      <c r="G9" s="11">
        <v>130000</v>
      </c>
      <c r="H9" s="11">
        <f>SUM(G9:G9)</f>
      </c>
      <c r="I9" s="11" t="str">
        <v>3.3.1.Number of guidelines on scaling and implementing climate solutions procuded and communicated</v>
      </c>
    </row>
    <row r="10" ht="25" customHeight="1">
      <c r="B10" s="15" t="str">
        <v>HLO budget subtotal</v>
      </c>
      <c r="H10" s="15">
        <f>SUM(H8:H9)</f>
      </c>
    </row>
    <row r="11" ht="50" customHeight="1">
      <c r="A11" s="13" t="str">
        <v>AOW04</v>
      </c>
      <c r="B11" s="11" t="str">
        <v>4.1.3 &amp; 4.2.3 &amp; 4.3.2 Evidence and partnerships to inform low-emission food systems</v>
      </c>
      <c r="C11" s="11" t="str">
        <v>Number of low-emission food strategies co-developed with partners</v>
      </c>
      <c r="D11" s="11" t="str">
        <v>Number of innovations (innovation development)</v>
      </c>
      <c r="E11" s="11" t="str">
        <v>Country: Brazil, India, Pakistan, China</v>
      </c>
      <c r="F11" s="11">
        <v>2</v>
      </c>
      <c r="G11" s="11">
        <v>160000</v>
      </c>
      <c r="H11" s="11">
        <f>SUM(G11:G11)</f>
      </c>
      <c r="I11" s="11" t="str">
        <v>CA75_IFPRI: Platform development, exchange on methodologies for low-carbon and zero deforestation technologies and policies, involving government, research agencies, and private sector actors. Global/Brazil/China modeling of soybean/beef commodity outlook</v>
      </c>
    </row>
    <row r="12" ht="50" customHeight="1">
      <c r="A12" s="11" t="str">
        <v>AOW04</v>
      </c>
      <c r="B12" s="11" t="str">
        <v>4.5.1 Recommendations to increase women’s and youth’s agency for mitigation</v>
      </c>
      <c r="C12" s="11" t="str">
        <v xml:space="preserve">Number of recommendations for increasing agency/influence of women and youth in climate mitigation produced and communicated </v>
      </c>
      <c r="D12" s="11" t="str">
        <v>Number of knowledge products</v>
      </c>
      <c r="E12" s="11" t="str">
        <v>Country: Nigeria, Uganda, Ethiopia</v>
      </c>
      <c r="F12" s="11">
        <v>3</v>
      </c>
      <c r="G12" s="11">
        <v>141084</v>
      </c>
      <c r="H12" s="11">
        <f>SUM(G12:G12)</f>
      </c>
      <c r="I12" s="11" t="str">
        <v>CA85_IFPRI: GHG emission reduction analysis from adoption of solar powered systems in 3 countries working with government partners; Cost-Benefit Analyses for Different Systems; development of solar scaling strategies in 3 countries; 3 sets of business and</v>
      </c>
    </row>
    <row r="13" ht="25" customHeight="1">
      <c r="B13" s="15" t="str">
        <v>HLO budget subtotal</v>
      </c>
      <c r="H13" s="15">
        <f>SUM(H11:H12)</f>
      </c>
    </row>
    <row r="14" ht="50" customHeight="1">
      <c r="A14" s="13" t="str">
        <v>AOW05</v>
      </c>
      <c r="B14" s="11" t="str">
        <v xml:space="preserve">5.2.2 &amp; 5.3.1 Analytical tools and frameworks on climate finance </v>
      </c>
      <c r="C14" s="11" t="str">
        <v>Number of partners/actors engaged in co-development and scaling of climate finance tools</v>
      </c>
      <c r="D14" s="11" t="str">
        <v xml:space="preserve"> Number of partners/actors engaged</v>
      </c>
      <c r="E14" s="11" t="str">
        <v>Country: Kenya, India, Guatemala, Pakistan, Ghana, Ethiopia</v>
      </c>
      <c r="F14" s="11">
        <v>13</v>
      </c>
      <c r="G14" s="11">
        <v>300000</v>
      </c>
      <c r="H14" s="11">
        <f>SUM(G14:G15)</f>
      </c>
      <c r="I14" s="11" t="str">
        <v>CA73_IFPRI	Implementation in partnership with KAIP(Kenya Ag Insurance Program) and Zambia's SAFF (Sustainable Agricultural Finance Facility). Supporting partners to scale up and evaluate the impact of insurance-backed credit/RCC for women. Additionally, w</v>
      </c>
    </row>
    <row r="15" ht="50" customHeight="1">
      <c r="A15" s="11" t="str">
        <v>AOW05</v>
      </c>
      <c r="C15" s="11" t="str">
        <v>Number of tools/framework on climate finance developed and disseminated</v>
      </c>
      <c r="D15" s="11" t="str">
        <v>Number of innovations (innovation development)</v>
      </c>
      <c r="E15" s="11" t="str">
        <v>Country: Zambia, Ghana, India, Ethiopia, Colombia, Senegal, Guatemala, Kenya, Pakistan</v>
      </c>
      <c r="F15" s="11">
        <v>6</v>
      </c>
      <c r="G15" s="11">
        <v>100000</v>
      </c>
      <c r="I15" s="11" t="str">
        <v>CA73_IFPRI: Risk-contingent credit product co-design in Kenya and Zambia</v>
      </c>
    </row>
    <row r="16" ht="50" customHeight="1" xml:space="preserve">
      <c r="A16" s="11" t="str">
        <v>AOW05</v>
      </c>
      <c r="B16" s="11" t="str">
        <v>5.2.3. &amp; 5.3.2 Private sector climate finance models</v>
      </c>
      <c r="C16" s="11" t="str">
        <v>Number of evidence/synthesis products/reports and communication materials on private sector climate finance models</v>
      </c>
      <c r="D16" s="11" t="str">
        <v>Number of knowledge products</v>
      </c>
      <c r="E16" s="11" t="str">
        <v>Country: India, Kenya</v>
      </c>
      <c r="F16" s="11">
        <v>2</v>
      </c>
      <c r="G16" s="11">
        <v>50000</v>
      </c>
      <c r="H16" s="11">
        <f>SUM(G16:G18)</f>
      </c>
      <c r="I16" s="11" t="str" xml:space="preserve">
        <v xml:space="preserve">Allocated 100k to MELIA studies. CA81_IFPRI 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v>
      </c>
    </row>
    <row r="17" ht="50" customHeight="1">
      <c r="A17" s="11" t="str">
        <v>AOW05</v>
      </c>
      <c r="C17" s="11" t="str">
        <v>Number of climate finance model elements developed</v>
      </c>
      <c r="D17" s="11" t="str">
        <v>Number of innovations (innovation development)</v>
      </c>
      <c r="E17" s="11" t="str">
        <v>Country: India, Kenya</v>
      </c>
      <c r="F17" s="11">
        <v>3</v>
      </c>
      <c r="G17" s="11">
        <v>150000</v>
      </c>
      <c r="I17" s="11" t="str">
        <v>CA81_IFPRI: Develop cost assessment and implementation protocol for one climate finance/carbon credit project each in India and Kenya, assess climate finance/carbon credit project registration costs, model potential carbon credits generation, cost-benefit</v>
      </c>
    </row>
    <row r="18" ht="50" customHeight="1">
      <c r="A18" s="11" t="str">
        <v>AOW05</v>
      </c>
      <c r="C18" s="11" t="str">
        <v>Number of private sector actors/institutions engaged in co-development of climate finance models</v>
      </c>
      <c r="D18" s="11" t="str">
        <v>Number of partners/actors engaged</v>
      </c>
      <c r="E18" s="11" t="str">
        <v>Country: India, Kenya</v>
      </c>
      <c r="F18" s="11">
        <v>2</v>
      </c>
      <c r="G18" s="11">
        <v>0</v>
      </c>
    </row>
    <row r="19" ht="25" customHeight="1">
      <c r="B19" s="15" t="str">
        <v>HLO budget subtotal</v>
      </c>
      <c r="H19" s="15">
        <f>SUM(H14:H18)</f>
      </c>
    </row>
  </sheetData>
  <mergeCells count="19">
    <mergeCell ref="A1:A2"/>
    <mergeCell ref="B1:B2"/>
    <mergeCell ref="C1:G1"/>
    <mergeCell ref="H1:H2"/>
    <mergeCell ref="I1:I2"/>
    <mergeCell ref="B3:B4"/>
    <mergeCell ref="H3:H4"/>
    <mergeCell ref="B7:G7"/>
    <mergeCell ref="A3:A7"/>
    <mergeCell ref="B10:G10"/>
    <mergeCell ref="A8:A10"/>
    <mergeCell ref="B13:G13"/>
    <mergeCell ref="A11:A13"/>
    <mergeCell ref="B14:B15"/>
    <mergeCell ref="H14:H15"/>
    <mergeCell ref="B16:B18"/>
    <mergeCell ref="H16:H18"/>
    <mergeCell ref="B19:G19"/>
    <mergeCell ref="A14:A19"/>
  </mergeCells>
  <ignoredErrors>
    <ignoredError numberStoredAsText="1" sqref="A1:I19"/>
  </ignoredErrors>
</worksheet>
</file>

<file path=xl/worksheets/sheet4.xml><?xml version="1.0" encoding="utf-8"?>
<worksheet xmlns="http://schemas.openxmlformats.org/spreadsheetml/2006/main" xmlns:r="http://schemas.openxmlformats.org/officeDocument/2006/relationships">
  <dimension ref="A1:F1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AOW03</v>
      </c>
      <c r="B2" s="11" t="str">
        <v>GROOTS Kenya</v>
      </c>
      <c r="C2" s="11" t="str">
        <v>3.1.1. Institutional innovations and technical practices, 3.1.3 &amp; 3.2.1 Guidelines on scaling  and implementing climate solutions and processes, 3.2.2 Framework and methods for addressing negative outcomes of adaptation, 3.1.4 &amp; 3.2.3 Recommendations on policies  and institutions for addressing the root causes of inequality</v>
      </c>
      <c r="D2" s="11" t="str">
        <v>Kenya</v>
      </c>
      <c r="E2" s="11">
        <v>0</v>
      </c>
    </row>
    <row r="3" ht="70" customHeight="1">
      <c r="A3" s="11" t="str">
        <v>AOW03</v>
      </c>
      <c r="B3" s="11" t="str">
        <v>Foundation for Ecological Security</v>
      </c>
      <c r="C3" s="11" t="str">
        <v>3.1.1. Institutional innovations and technical practices, 3.1.3 &amp; 3.2.1 Guidelines on scaling  and implementing climate solutions and processes, 3.1.5 &amp; 3.2.4 Systematic engagement for developing capacity for locally-led adaptation and mitigation</v>
      </c>
      <c r="D3" s="11" t="str">
        <v>India</v>
      </c>
      <c r="E3" s="11">
        <v>25000</v>
      </c>
      <c r="F3" s="11" t="str">
        <v>None</v>
      </c>
    </row>
    <row r="4" ht="70" customHeight="1">
      <c r="A4" s="11" t="str">
        <v>AOW03</v>
      </c>
      <c r="B4" s="11" t="str">
        <v>Environmental Care Foundation</v>
      </c>
      <c r="C4" s="11" t="str">
        <v>3.1.5 &amp; 3.2.4 Systematic engagement for developing capacity for locally-led adaptation and mitigation</v>
      </c>
      <c r="D4" s="11" t="str">
        <v>Nigeria</v>
      </c>
      <c r="E4" s="11">
        <v>5000</v>
      </c>
      <c r="F4" s="11" t="str">
        <v>None</v>
      </c>
    </row>
    <row r="5" ht="70" customHeight="1">
      <c r="A5" s="11" t="str">
        <v>AOW03</v>
      </c>
      <c r="B5" s="11" t="str">
        <v>Instituto Comida do Amanhã</v>
      </c>
      <c r="C5" s="11" t="str">
        <v>3.1.5 &amp; 3.2.4 Systematic engagement for developing capacity for locally-led adaptation and mitigation</v>
      </c>
      <c r="D5" s="11" t="str">
        <v>Brazil</v>
      </c>
      <c r="E5" s="11">
        <v>20000</v>
      </c>
      <c r="F5" s="11" t="str">
        <v>None</v>
      </c>
    </row>
    <row r="6" ht="25" customHeight="1">
      <c r="B6" s="14" t="str">
        <v>Contracted partners subtotal</v>
      </c>
      <c r="E6" s="14">
        <f>SUM(E2:E5)</f>
      </c>
    </row>
    <row r="7" ht="70" customHeight="1">
      <c r="A7" s="12" t="str">
        <v>AOW04</v>
      </c>
      <c r="B7" s="11" t="str">
        <v>China Academy of Agricultural Sciences</v>
      </c>
      <c r="C7" s="11" t="str">
        <v>4.1.3 &amp; 4.2.3 &amp; 4.3.2 Evidence and partnerships to inform low-emission food systems</v>
      </c>
      <c r="D7" s="11" t="str">
        <v>China</v>
      </c>
      <c r="E7" s="11">
        <v>40000</v>
      </c>
      <c r="F7" s="11" t="str">
        <v>None</v>
      </c>
    </row>
    <row r="8" ht="25" customHeight="1">
      <c r="B8" s="14" t="str">
        <v>Contracted partners subtotal</v>
      </c>
      <c r="E8" s="14">
        <f>SUM(E7:E7)</f>
      </c>
    </row>
    <row r="9" ht="70" customHeight="1">
      <c r="A9" s="12" t="str">
        <v>AOW05</v>
      </c>
      <c r="B9" s="11" t="str">
        <v>GROOTS Kenya</v>
      </c>
      <c r="C9" s="11" t="str">
        <v>5.2.5 &amp; 5.3.4 Carbon market frameworks, 5.2.3. &amp; 5.3.2 Private sector climate finance models, 5.2.2 &amp; 5.3.1 Analytical tools and frameworks on climate finance</v>
      </c>
      <c r="D9" s="11" t="str">
        <v>Kenya</v>
      </c>
      <c r="E9" s="11">
        <v>25000</v>
      </c>
      <c r="F9" s="11" t="str">
        <v>None</v>
      </c>
    </row>
    <row r="10" ht="70" customHeight="1">
      <c r="A10" s="11" t="str">
        <v>AOW05</v>
      </c>
      <c r="B10" s="11" t="str">
        <v>Self Employed Women's Association</v>
      </c>
      <c r="C10" s="11" t="str">
        <v>5.2.3. &amp; 5.3.2 Private sector climate finance models</v>
      </c>
      <c r="D10" s="11" t="str">
        <v>India</v>
      </c>
      <c r="E10" s="11">
        <v>25000</v>
      </c>
      <c r="F10" s="11" t="str">
        <v>None</v>
      </c>
    </row>
    <row r="11" ht="25" customHeight="1">
      <c r="B11" s="14" t="str">
        <v>Contracted partners subtotal</v>
      </c>
      <c r="E11" s="14">
        <f>SUM(E9:E10)</f>
      </c>
    </row>
  </sheetData>
  <mergeCells count="6">
    <mergeCell ref="B6:D6"/>
    <mergeCell ref="A2:A6"/>
    <mergeCell ref="B8:D8"/>
    <mergeCell ref="A7:A8"/>
    <mergeCell ref="B11:D11"/>
    <mergeCell ref="A9:A11"/>
  </mergeCells>
  <ignoredErrors>
    <ignoredError numberStoredAsText="1" sqref="A1:F11"/>
  </ignoredErrors>
</worksheet>
</file>

<file path=xl/worksheets/sheet5.xml><?xml version="1.0" encoding="utf-8"?>
<worksheet xmlns="http://schemas.openxmlformats.org/spreadsheetml/2006/main" xmlns:r="http://schemas.openxmlformats.org/officeDocument/2006/relationships">
  <dimension ref="A1:F10"/>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N-601158-SPIR II</v>
      </c>
      <c r="B2" s="19" t="str">
        <v>AOW00</v>
      </c>
      <c r="C2" s="18" t="str">
        <v>New finance for just climate action and transitions</v>
      </c>
      <c r="D2" s="19">
        <v>0</v>
      </c>
      <c r="E2" s="19" t="str">
        <f>=SUM(D2:D4)</f>
        <v>0</v>
      </c>
    </row>
    <row r="3" ht="30" customHeight="1">
      <c r="A3" s="18" t="str">
        <v>N-601158-SPIR II</v>
      </c>
      <c r="B3" s="19" t="str">
        <v>AOW05</v>
      </c>
      <c r="C3" s="18" t="str">
        <v>5.2. Enhanced capacity for designing, implementing and tracking climate policies, projects and financing</v>
      </c>
      <c r="D3" s="19">
        <v>201213</v>
      </c>
      <c r="F3" s="19" t="str">
        <v>None</v>
      </c>
    </row>
    <row r="4" ht="30" customHeight="1">
      <c r="A4" s="18" t="str">
        <v>N-601158-SPIR II</v>
      </c>
      <c r="B4" s="19" t="str">
        <v>AOW01</v>
      </c>
      <c r="C4" s="18" t="str">
        <v>1.1.1. &amp; 1.2.1 &amp; 1.3.1 Global and regional partnerships</v>
      </c>
      <c r="D4" s="19">
        <v>0</v>
      </c>
    </row>
    <row r="5" ht="30" customHeight="1">
      <c r="A5" s="18" t="str">
        <v>N-343001-GCAN INITIATIVE</v>
      </c>
      <c r="B5" s="19" t="str">
        <v>AOW00</v>
      </c>
      <c r="C5" s="18" t="str">
        <v>New finance for just climate action and transitions</v>
      </c>
      <c r="D5" s="19">
        <v>0</v>
      </c>
      <c r="E5" s="19" t="str">
        <f>=SUM(D5:D7)</f>
        <v>0</v>
      </c>
    </row>
    <row r="6" ht="30" customHeight="1">
      <c r="A6" s="18" t="str">
        <v>N-343001-GCAN INITIATIVE</v>
      </c>
      <c r="B6" s="19" t="str">
        <v>AOW05</v>
      </c>
      <c r="C6" s="18" t="str">
        <v>5.2. Enhanced capacity for designing, implementing and tracking climate policies, projects and financing</v>
      </c>
      <c r="D6" s="19">
        <v>1321123</v>
      </c>
      <c r="F6" s="19" t="str">
        <v>None</v>
      </c>
    </row>
    <row r="7" ht="30" customHeight="1">
      <c r="A7" s="18" t="str">
        <v>N-343001-GCAN INITIATIVE</v>
      </c>
      <c r="B7" s="19" t="str">
        <v>AOW01</v>
      </c>
      <c r="C7" s="18" t="str">
        <v>1.1.1. &amp; 1.2.1 &amp; 1.3.1 Global and regional partnerships</v>
      </c>
      <c r="D7" s="19">
        <v>0</v>
      </c>
    </row>
    <row r="8" ht="30" customHeight="1">
      <c r="A8" s="18" t="str">
        <v>N-300053-FTF CLIMATE GENDER NUTRI.</v>
      </c>
      <c r="B8" s="19" t="str">
        <v>AOW05</v>
      </c>
      <c r="C8" s="18" t="str">
        <v>5.2.5 &amp; 5.3.4 Carbon market frameworks</v>
      </c>
      <c r="D8" s="19">
        <v>360379</v>
      </c>
      <c r="E8" s="19" t="str">
        <f>=SUM(D8:D9)</f>
        <v>0</v>
      </c>
      <c r="F8" s="19" t="str">
        <v>None</v>
      </c>
    </row>
    <row r="9" ht="30" customHeight="1">
      <c r="A9" s="18" t="str">
        <v>N-300053-FTF CLIMATE GENDER NUTRI.</v>
      </c>
      <c r="B9" s="19" t="str">
        <v>AOW02</v>
      </c>
      <c r="C9" s="18" t="str">
        <v>2.2.2 &amp; 2.3.1 &amp; 2.4.1 Multi-hazard early warning and anticipatory action instruments</v>
      </c>
      <c r="D9" s="19">
        <v>0</v>
      </c>
    </row>
    <row r="10" ht="30" customHeight="1">
      <c r="A10" s="3" t="str">
        <v>W3/Bilateral projects subtotal</v>
      </c>
      <c r="E10" s="3">
        <f>SUM(E2:E9)</f>
      </c>
    </row>
  </sheetData>
  <mergeCells count="7">
    <mergeCell ref="A2:A4"/>
    <mergeCell ref="A5:A7"/>
    <mergeCell ref="A8:A9"/>
    <mergeCell ref="E2:E4"/>
    <mergeCell ref="E5:E7"/>
    <mergeCell ref="E8:E9"/>
    <mergeCell ref="A10:D10"/>
  </mergeCells>
  <ignoredErrors>
    <ignoredError numberStoredAsText="1" sqref="A1:F10"/>
  </ignoredErrors>
</worksheet>
</file>

<file path=xl/worksheets/sheet6.xml><?xml version="1.0" encoding="utf-8"?>
<worksheet xmlns="http://schemas.openxmlformats.org/spreadsheetml/2006/main" xmlns:r="http://schemas.openxmlformats.org/officeDocument/2006/relationships">
  <dimension ref="A1:F4"/>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(Baseline study)</v>
      </c>
      <c r="B2" s="19" t="str">
        <v>AOW00</v>
      </c>
      <c r="C2" s="18" t="str">
        <v>New finance for just climate action and transitions</v>
      </c>
      <c r="D2" s="19">
        <v>0</v>
      </c>
      <c r="E2" s="19" t="str">
        <f>=SUM(D2:D3)</f>
        <v>0</v>
      </c>
    </row>
    <row r="3" ht="30" customHeight="1">
      <c r="A3" s="18" t="str">
        <v>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(Baseline study)</v>
      </c>
      <c r="B3" s="19" t="str">
        <v>AOW05</v>
      </c>
      <c r="C3" s="18" t="str">
        <v>5.2. Enhanced capacity for designing, implementing and tracking climate policies, projects and financing</v>
      </c>
      <c r="D3" s="19">
        <v>100000</v>
      </c>
      <c r="F3" s="19" t="str">
        <v>none</v>
      </c>
    </row>
    <row r="4" ht="30" customHeight="1">
      <c r="A4" s="3" t="str">
        <v>MELIA Studies Budget subtotal</v>
      </c>
      <c r="E4" s="3">
        <f>SUM(E2:E3)</f>
      </c>
    </row>
  </sheetData>
  <mergeCells count="3">
    <mergeCell ref="A2:A3"/>
    <mergeCell ref="E2:E3"/>
    <mergeCell ref="A4:D4"/>
  </mergeCells>
  <ignoredErrors>
    <ignoredError numberStoredAsText="1" sqref="A1:F4"/>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0</v>
      </c>
      <c r="D2" s="20">
        <v>0</v>
      </c>
      <c r="E2" s="20">
        <v>50000</v>
      </c>
      <c r="F2" s="20">
        <v>40000</v>
      </c>
      <c r="G2" s="20">
        <v>50000</v>
      </c>
      <c r="H2" s="20" t="str">
        <f>=SUM(B2:G2)</f>
        <v>0</v>
      </c>
    </row>
    <row r="3" ht="20" customHeight="1">
      <c r="A3" s="20" t="str">
        <v>Operations (supplies, consultants, travels, workshops, other)</v>
      </c>
      <c r="B3" s="20">
        <v>0</v>
      </c>
      <c r="C3" s="20">
        <v>14020</v>
      </c>
      <c r="D3" s="20">
        <v>0</v>
      </c>
      <c r="E3" s="20">
        <v>13009</v>
      </c>
      <c r="F3" s="20">
        <v>110544</v>
      </c>
      <c r="G3" s="20">
        <v>228216</v>
      </c>
      <c r="H3" s="20" t="str">
        <f>=SUM(B3:G3)</f>
        <v>0</v>
      </c>
    </row>
    <row r="4" ht="20" customHeight="1">
      <c r="A4" s="20" t="str">
        <v>Staffing, Chargebacks and Indirect</v>
      </c>
      <c r="B4" s="20">
        <v>158394</v>
      </c>
      <c r="C4" s="20">
        <v>110398</v>
      </c>
      <c r="D4" s="20">
        <v>0</v>
      </c>
      <c r="E4" s="20">
        <v>201697</v>
      </c>
      <c r="F4" s="20">
        <v>190540</v>
      </c>
      <c r="G4" s="20">
        <v>471784</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