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0</v>
      </c>
      <c r="I6" s="5">
        <v>0</v>
      </c>
      <c r="J6" s="5">
        <v>0</v>
      </c>
      <c r="K6" s="5">
        <v>0</v>
      </c>
      <c r="L6" s="5">
        <v>0</v>
      </c>
      <c r="M6" s="5">
        <v>138920</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356258</v>
      </c>
    </row>
    <row r="9" ht="20" customHeight="1">
      <c r="A9" s="2" t="str">
        <v>AOW05: Learning for Impact</v>
      </c>
      <c r="B9" s="2">
        <v>0</v>
      </c>
      <c r="C9" s="5">
        <v>0</v>
      </c>
      <c r="D9" s="2">
        <v>304</v>
      </c>
      <c r="E9" s="5">
        <v>50838</v>
      </c>
      <c r="F9" s="2">
        <v>60</v>
      </c>
      <c r="G9" s="5">
        <v>43382</v>
      </c>
      <c r="H9" s="2">
        <v>0</v>
      </c>
      <c r="I9" s="5">
        <v>0</v>
      </c>
      <c r="J9" s="5">
        <v>10000</v>
      </c>
      <c r="K9" s="5">
        <v>0</v>
      </c>
      <c r="L9" s="5">
        <v>104220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row r="8" ht="45" customHeight="1">
      <c r="A8" s="11" t="str">
        <v>AOW00</v>
      </c>
      <c r="B8" s="11" t="str">
        <v>Scaling for Impact Pause and Reflect, Adaptive Management and Replanning processes</v>
      </c>
      <c r="C8"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8" s="11">
        <v>0</v>
      </c>
    </row>
    <row r="9" ht="45" customHeight="1">
      <c r="A9" s="11" t="str">
        <v>AOW00</v>
      </c>
      <c r="B9" s="11" t="str">
        <v xml:space="preserve">Program Communication Activities </v>
      </c>
      <c r="C9"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9" s="11">
        <v>0</v>
      </c>
    </row>
    <row r="10" ht="45" customHeight="1" xml:space="preserve">
      <c r="A10" s="11" t="str">
        <v>AOW00</v>
      </c>
      <c r="B10" s="11" t="str">
        <v>Area of Work Leadership and Coordination Support</v>
      </c>
      <c r="C10"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10" s="11">
        <v>0</v>
      </c>
    </row>
    <row r="11" ht="45" customHeight="1">
      <c r="A11" s="11" t="str">
        <v>AOW00</v>
      </c>
      <c r="B11" s="11" t="str">
        <v>Program Leadership and Core Operations Support</v>
      </c>
      <c r="C11"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11" s="11">
        <v>0</v>
      </c>
    </row>
    <row r="12" ht="45" customHeight="1">
      <c r="A12" s="11" t="str">
        <v>AOW00</v>
      </c>
      <c r="B12" s="11" t="str">
        <v>Director's Strategic Opportunity and Partnership Support Fund</v>
      </c>
      <c r="C12"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12" s="11">
        <v>0</v>
      </c>
    </row>
    <row r="13" ht="45" customHeight="1" xml:space="preserve">
      <c r="A13" s="11" t="str">
        <v>AOW00</v>
      </c>
      <c r="B13" s="11" t="str">
        <v>Program Management Unit Coordination and Oversight Support</v>
      </c>
      <c r="C13"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13" s="11">
        <v>0</v>
      </c>
    </row>
  </sheetData>
  <mergeCells count="1">
    <mergeCell ref="A2:A13"/>
  </mergeCells>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AOW05</v>
      </c>
      <c r="B3" s="11" t="str">
        <v xml:space="preserve">HLO 5.5.1: Enhancing scaling science for societal impact </v>
      </c>
      <c r="C3" s="11" t="str" xml:space="preserve">
        <v xml:space="preserve">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knowledge products</v>
      </c>
      <c r="E3" s="11" t="str">
        <v>Country: India, Kenya</v>
      </c>
      <c r="F3" s="11">
        <v>2</v>
      </c>
      <c r="G3" s="11">
        <v>10838</v>
      </c>
      <c r="H3" s="11">
        <f>SUM(G3:G5)</f>
      </c>
      <c r="I3" s="11" t="str" xml:space="preserve">
        <v xml:space="preserve">Assumptions (1) Support for partners' engagement; (2) Partners learn and uptake shared lessons, experience and principles
Allocation for Partner:  2K- NARES institutions, Regional and development partners, private sector, and Donors
r </v>
      </c>
    </row>
    <row r="4" ht="50" customHeight="1" xml:space="preserve">
      <c r="A4" s="11" t="str">
        <v>AOW05</v>
      </c>
      <c r="C4" s="11" t="str" xml:space="preserve">
        <v xml:space="preserve">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v>
      </c>
      <c r="D4" s="11" t="str">
        <v>Number of knowledge products</v>
      </c>
      <c r="E4" s="11" t="str">
        <v>Country: Kenya, India</v>
      </c>
      <c r="F4" s="11">
        <v>150</v>
      </c>
      <c r="G4" s="11">
        <v>40000</v>
      </c>
      <c r="I4" s="11" t="str" xml:space="preserve">
        <v xml:space="preserve">Assumptions: Data on innovations allow assessment of their scalability; partners enable to use the organized data for decision-making
Allocation for Partner: 3K- CGIAR Centers, NARES institutions,and  Regional and development partners 
</v>
      </c>
    </row>
    <row r="5" ht="50" customHeight="1" xml:space="preserve">
      <c r="A5" s="11" t="str">
        <v>AOW05</v>
      </c>
      <c r="C5" s="11" t="str" xml:space="preserve">
        <v xml:space="preserve">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v>
      </c>
      <c r="D5" s="11" t="str">
        <v>Number of people trained (capacity sharing for development)</v>
      </c>
      <c r="E5" s="11" t="str">
        <v>Country: Kenya, India</v>
      </c>
      <c r="F5" s="11">
        <v>30</v>
      </c>
      <c r="G5" s="11">
        <v>43382</v>
      </c>
      <c r="I5" s="11" t="str" xml:space="preserve">
        <v xml:space="preserve">Assumptions (1) Support for partners' participation; (2) Partners learn and uptake shared lessons, experience and principles
Allocation for Partner: 5K- CGIAR Centers, NARES institutions,  Regional and development partners, and private secto</v>
      </c>
    </row>
    <row r="6" ht="25" customHeight="1">
      <c r="B6" s="14" t="str">
        <v>HLO budget subtotal</v>
      </c>
      <c r="H6" s="15">
        <f>SUM(H3:H5)</f>
      </c>
    </row>
  </sheetData>
  <mergeCells count="9">
    <mergeCell ref="A1:A2"/>
    <mergeCell ref="B1:B2"/>
    <mergeCell ref="C1:G1"/>
    <mergeCell ref="H1:H2"/>
    <mergeCell ref="I1:I2"/>
    <mergeCell ref="B3:B5"/>
    <mergeCell ref="H3:H5"/>
    <mergeCell ref="B6:G6"/>
    <mergeCell ref="A3:A6"/>
  </mergeCells>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India,Kenya</v>
      </c>
      <c r="E2" s="11">
        <v>0</v>
      </c>
    </row>
    <row r="3" ht="25" customHeight="1">
      <c r="B3" s="14" t="str">
        <v>Contracted partners subtotal</v>
      </c>
      <c r="E3" s="14">
        <f>SUM(E2:E2)</f>
      </c>
    </row>
    <row r="4" ht="70" customHeight="1">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India,Kenya</v>
      </c>
      <c r="E4" s="11">
        <v>0</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India,Kenya</v>
      </c>
      <c r="E6" s="11">
        <v>0</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India,Kenya</v>
      </c>
      <c r="E8" s="11">
        <v>0</v>
      </c>
    </row>
    <row r="9" ht="25" customHeight="1">
      <c r="B9" s="14" t="str">
        <v>Contracted partners subtotal</v>
      </c>
      <c r="E9" s="14">
        <f>SUM(E8:E8)</f>
      </c>
    </row>
    <row r="10" ht="70" customHeight="1" xml:space="preserve">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India,Kenya</v>
      </c>
      <c r="E10" s="11">
        <v>10000</v>
      </c>
      <c r="F10" s="11" t="str" xml:space="preserve">
        <v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Scaling Commercialization of Drought Tolerant Crops (DTC) Technologies to Secure Dignified and Fulfilling Work for 120,000 Youth in Rural Kenya</v>
      </c>
      <c r="B2" s="19" t="str">
        <v>AOW02</v>
      </c>
      <c r="C2" s="18" t="str">
        <v>HLO 2.2.1: Access climate services and smart water management tools that improve adaptation decisions and resource efficiency.</v>
      </c>
      <c r="D2" s="19">
        <v>138920</v>
      </c>
      <c r="E2" s="19" t="str">
        <f>=SUM(D2:D2)</f>
        <v>0</v>
      </c>
      <c r="F2" s="19" t="str">
        <v>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Landscape resource management for augmenting groundwater recharge and sustainable intensification of farming systems and building resilience for improved livelihoods of farmers in dryland of Maharashtra, India</v>
      </c>
      <c r="B3" s="19" t="str">
        <v>AOW03</v>
      </c>
      <c r="C3" s="18" t="str">
        <v xml:space="preserve">HLO 3.3.1: Enabling environment diagnostics </v>
      </c>
      <c r="D3" s="19">
        <v>0</v>
      </c>
      <c r="E3" s="19" t="str">
        <f>=SUM(D3:D3)</f>
        <v>0</v>
      </c>
    </row>
    <row r="4" ht="30" customHeight="1">
      <c r="A4" s="18" t="str">
        <v>Technologies for African Agricultural Transformation Phase II (TAAT II)</v>
      </c>
      <c r="B4" s="19" t="str">
        <v>AOW04</v>
      </c>
      <c r="C4" s="18" t="str">
        <v>HLO 4.4.1: CGIAR Expertise and Solutions Embedded in Development Investments and Partnerships</v>
      </c>
      <c r="D4" s="19">
        <v>356258</v>
      </c>
      <c r="E4" s="19" t="str">
        <f>=SUM(D4:D4)</f>
        <v>0</v>
      </c>
      <c r="F4" s="19" t="str">
        <v>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10000</v>
      </c>
      <c r="H2" s="20" t="str">
        <f>=SUM(B2:G2)</f>
        <v>0</v>
      </c>
    </row>
    <row r="3" ht="20" customHeight="1">
      <c r="A3" s="20" t="str">
        <v>Operations (supplies, consultants, travels, workshops, other)</v>
      </c>
      <c r="B3" s="20">
        <v>0</v>
      </c>
      <c r="C3" s="20">
        <v>0</v>
      </c>
      <c r="D3" s="20">
        <v>0</v>
      </c>
      <c r="E3" s="20">
        <v>0</v>
      </c>
      <c r="F3" s="20">
        <v>0</v>
      </c>
      <c r="G3" s="20">
        <v>20000</v>
      </c>
      <c r="H3" s="20" t="str">
        <f>=SUM(B3:G3)</f>
        <v>0</v>
      </c>
    </row>
    <row r="4" ht="20" customHeight="1">
      <c r="A4" s="20" t="str">
        <v>Staffing, Chargebacks and Indirect</v>
      </c>
      <c r="B4" s="20">
        <v>0</v>
      </c>
      <c r="C4" s="20">
        <v>0</v>
      </c>
      <c r="D4" s="20">
        <v>0</v>
      </c>
      <c r="E4" s="20">
        <v>0</v>
      </c>
      <c r="F4" s="20">
        <v>0</v>
      </c>
      <c r="G4" s="20">
        <v>74220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