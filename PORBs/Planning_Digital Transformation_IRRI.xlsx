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40000</v>
      </c>
      <c r="M4" s="5">
        <v>0</v>
      </c>
    </row>
    <row r="5" ht="20" customHeight="1">
      <c r="A5" s="2" t="str">
        <v>AOW01: Data Ecosystem</v>
      </c>
      <c r="B5" s="2">
        <v>2</v>
      </c>
      <c r="C5" s="5">
        <v>32986</v>
      </c>
      <c r="D5" s="2">
        <v>2</v>
      </c>
      <c r="E5" s="5">
        <v>10000</v>
      </c>
      <c r="F5" s="2">
        <v>300</v>
      </c>
      <c r="G5" s="5">
        <v>30000</v>
      </c>
      <c r="H5" s="2">
        <v>0</v>
      </c>
      <c r="I5" s="5">
        <v>0</v>
      </c>
      <c r="J5" s="5">
        <v>0</v>
      </c>
      <c r="K5" s="5">
        <v>0</v>
      </c>
      <c r="L5" s="5">
        <v>72986</v>
      </c>
      <c r="M5" s="5">
        <v>0</v>
      </c>
    </row>
    <row r="6" ht="20" customHeight="1">
      <c r="A6" s="2" t="str">
        <v>AOW02: Action Lab</v>
      </c>
      <c r="B6" s="2">
        <v>33</v>
      </c>
      <c r="C6" s="5">
        <v>192455</v>
      </c>
      <c r="D6" s="2">
        <v>5</v>
      </c>
      <c r="E6" s="5">
        <v>175000</v>
      </c>
      <c r="F6" s="2">
        <v>0</v>
      </c>
      <c r="G6" s="5">
        <v>0</v>
      </c>
      <c r="H6" s="2">
        <v>1</v>
      </c>
      <c r="I6" s="5">
        <v>0</v>
      </c>
      <c r="J6" s="5">
        <v>0</v>
      </c>
      <c r="K6" s="5">
        <v>0</v>
      </c>
      <c r="L6" s="5">
        <v>367455</v>
      </c>
      <c r="M6" s="5">
        <v>383314</v>
      </c>
    </row>
    <row r="7" ht="20" customHeight="1">
      <c r="A7" s="2" t="str">
        <v>AOW03: Digital Futures</v>
      </c>
      <c r="B7" s="2">
        <v>1</v>
      </c>
      <c r="C7" s="5">
        <v>20000</v>
      </c>
      <c r="D7" s="2">
        <v>2</v>
      </c>
      <c r="E7" s="5">
        <v>50000</v>
      </c>
      <c r="F7" s="2">
        <v>0</v>
      </c>
      <c r="G7" s="5">
        <v>0</v>
      </c>
      <c r="H7" s="2">
        <v>0</v>
      </c>
      <c r="I7" s="5">
        <v>0</v>
      </c>
      <c r="J7" s="5">
        <v>0</v>
      </c>
      <c r="K7" s="5">
        <v>0</v>
      </c>
      <c r="L7" s="5">
        <v>70000</v>
      </c>
      <c r="M7" s="5">
        <v>0</v>
      </c>
    </row>
    <row r="8" ht="20" customHeight="1">
      <c r="A8" s="2" t="str">
        <v>AOW04: Enabling Environment</v>
      </c>
      <c r="B8" s="2">
        <v>2</v>
      </c>
      <c r="C8" s="5">
        <v>50000</v>
      </c>
      <c r="D8" s="2">
        <v>3</v>
      </c>
      <c r="E8" s="5">
        <v>50000</v>
      </c>
      <c r="F8" s="2">
        <v>3</v>
      </c>
      <c r="G8" s="5">
        <v>50000</v>
      </c>
      <c r="H8" s="2">
        <v>0</v>
      </c>
      <c r="I8" s="5">
        <v>0</v>
      </c>
      <c r="J8" s="5">
        <v>0</v>
      </c>
      <c r="K8" s="5">
        <v>0</v>
      </c>
      <c r="L8" s="5">
        <v>150000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40000</v>
      </c>
      <c r="E6" s="11" t="str">
        <v xml:space="preserve">Funds for Shalini Gakhar as AoW2 Co-lead. </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1.1.1 Common metadata and science data standards </v>
      </c>
      <c r="C3" s="11" t="str">
        <v>IRRI 3: Number of people capacitated (trained) in FAIR Data practice and use of the platform</v>
      </c>
      <c r="D3" s="11" t="str">
        <v>Number of people trained (capacity sharing for development)</v>
      </c>
      <c r="E3" s="11" t="str">
        <v>Country: Philippines</v>
      </c>
      <c r="F3" s="11">
        <v>100</v>
      </c>
      <c r="G3" s="11">
        <v>15000</v>
      </c>
      <c r="H3" s="11">
        <f>SUM(G3:G5)</f>
      </c>
      <c r="I3" s="11" t="str" xml:space="preserve">
        <v xml:space="preserve">"Assumptions: clear metadata standards, continuous model improvement. 
Risk: overdependence on automation."</v>
      </c>
    </row>
    <row r="4" ht="50" customHeight="1" xml:space="preserve">
      <c r="A4" s="11" t="str">
        <v>AOW01</v>
      </c>
      <c r="C4" s="11" t="str">
        <v>IRRI 2: Number of SOPs, documentations, and briefs developed to support use and uptake</v>
      </c>
      <c r="D4" s="11" t="str">
        <v>Number of knowledge products</v>
      </c>
      <c r="E4" s="11" t="str">
        <v>Country: Philippines</v>
      </c>
      <c r="F4" s="11">
        <v>2</v>
      </c>
      <c r="G4" s="11">
        <v>10000</v>
      </c>
      <c r="I4" s="11" t="str" xml:space="preserve">
        <v xml:space="preserve">"Assumptions: system integration readiness, adequate technical infrastructure
Risk: algorithmic errors or bias, security and privacy concerns"</v>
      </c>
    </row>
    <row r="5" ht="50" customHeight="1" xml:space="preserve">
      <c r="A5" s="11" t="str">
        <v>AOW01</v>
      </c>
      <c r="C5" s="11" t="str">
        <v>IRRI 1: Number of operational platforms for metadata developed &amp; deployed to support partners in harmonizing datasets and accelerating collaborative research.</v>
      </c>
      <c r="D5" s="11" t="str">
        <v>Number of innovations (innovation development)</v>
      </c>
      <c r="E5" s="11" t="str">
        <v>Country: Philippines</v>
      </c>
      <c r="F5" s="11">
        <v>1</v>
      </c>
      <c r="G5" s="11">
        <v>25000</v>
      </c>
      <c r="I5" s="11" t="str" xml:space="preserve">
        <v xml:space="preserve">Assumptions: Availability of quality input data, user adoption and engagement, continuous model improvement. 
Risk: Data quality variability, integration limitations, user resistance to change</v>
      </c>
    </row>
    <row r="6" ht="50" customHeight="1" xml:space="preserve">
      <c r="A6" s="11" t="str">
        <v>AOW01</v>
      </c>
      <c r="B6" s="11" t="str">
        <v xml:space="preserve">HLO 1.3.7 &amp; 1.4.7 Guidance &amp; tools to generate, use &amp; govern FAIR data, AI </v>
      </c>
      <c r="C6" s="11" t="str">
        <v>IRRI 5: Number of individuals capacitated (trained) on interoperability on the agronomic data FAIR principles and interoperability</v>
      </c>
      <c r="D6" s="11" t="str">
        <v>Number of people trained (capacity sharing for development)</v>
      </c>
      <c r="E6" s="11" t="str">
        <v>Country: Philippines</v>
      </c>
      <c r="F6" s="11">
        <v>200</v>
      </c>
      <c r="G6" s="11">
        <v>15000</v>
      </c>
      <c r="H6" s="11">
        <f>SUM(G6:G7)</f>
      </c>
      <c r="I6" s="11" t="str" xml:space="preserve">
        <v xml:space="preserve">"Assumptions: Stakeholder availability for training, adequate baseline digital skills, access to necessary training tools and platforms, relevance of training materials to stakeholder needs, organizational support for capacity building. 
Risks: Low traini</v>
      </c>
    </row>
    <row r="7" ht="50" customHeight="1" xml:space="preserve">
      <c r="A7" s="11" t="str">
        <v>AOW01</v>
      </c>
      <c r="C7" s="11" t="str">
        <v>IRRI 4: Number of proof of concept on multisites experimental studies developed for the EBS platform</v>
      </c>
      <c r="D7" s="11" t="str">
        <v>Number of innovations (innovation development)</v>
      </c>
      <c r="E7" s="11" t="str">
        <v>Country: Philippines</v>
      </c>
      <c r="F7" s="11">
        <v>1</v>
      </c>
      <c r="G7" s="11">
        <v>7986</v>
      </c>
      <c r="I7" s="11" t="str" xml:space="preserve">
        <v xml:space="preserve">"Assumptions: Availability of high-quality multisite data, readiness of EBS infrastructure, stakeholder willingness to share data, clearly defined FAIR standards, sufficient technical expertise, stable system integration environment.
Risk: Data inconsiste</v>
      </c>
    </row>
    <row r="8" ht="25" customHeight="1">
      <c r="B8" s="14" t="str">
        <v>HLO budget subtotal</v>
      </c>
      <c r="H8" s="15">
        <f>SUM(H3:H7)</f>
      </c>
    </row>
    <row r="9" ht="50" customHeight="1" xml:space="preserve">
      <c r="A9" s="13" t="str">
        <v>AOW02</v>
      </c>
      <c r="B9" s="11" t="str">
        <v>HLO 2.1.1: Research integrates AI analytics and digital technologies to enhance modeling and evidence generation.​</v>
      </c>
      <c r="C9" s="11" t="str">
        <v>IRRI 14: Number of AI-based integrated frameworks developed to design behavioural experiments.</v>
      </c>
      <c r="D9" s="11" t="str">
        <v>Number of knowledge products</v>
      </c>
      <c r="E9" s="11" t="str">
        <v>Country: India</v>
      </c>
      <c r="F9" s="11">
        <v>2</v>
      </c>
      <c r="G9" s="11">
        <v>100000</v>
      </c>
      <c r="H9" s="11">
        <f>SUM(G9:G10)</f>
      </c>
      <c r="I9" s="11" t="str" xml:space="preserve">
        <v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v>
      </c>
    </row>
    <row r="10" ht="50" customHeight="1" xml:space="preserve">
      <c r="A10" s="11" t="str">
        <v>AOW02</v>
      </c>
      <c r="C10" s="11" t="str">
        <v>IRRI 12: Number of models tested based on integrated research outputs with AI-powered analytics  to strengthen evidence-based decision-making.</v>
      </c>
      <c r="D10" s="11" t="str">
        <v>Number of innovations (innovation development)</v>
      </c>
      <c r="E10" s="11" t="str">
        <v>Global</v>
      </c>
      <c r="F10" s="11">
        <v>2</v>
      </c>
      <c r="G10" s="11">
        <v>32107</v>
      </c>
      <c r="I10" s="11" t="str" xml:space="preserve">
        <v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v>
      </c>
    </row>
    <row r="11" ht="50" customHeight="1" xml:space="preserve">
      <c r="A11" s="11" t="str">
        <v>AOW02</v>
      </c>
      <c r="B11" s="11" t="str">
        <v>HLO 2.1.2 Decision support systems integrate a digital twin approach to enable real-time data use.</v>
      </c>
      <c r="C11" s="11" t="str">
        <v>IRRI 17: Number of AI-powered nutrient Management tool piloted to support farmers for rice production.</v>
      </c>
      <c r="D11" s="11" t="str">
        <v xml:space="preserve"> Number of tools piloted</v>
      </c>
      <c r="E11" s="11" t="str">
        <v>Country: The Socialist Republic of Viet Nam</v>
      </c>
      <c r="F11" s="11">
        <v>1</v>
      </c>
      <c r="G11" s="11">
        <v>30000</v>
      </c>
      <c r="H11" s="11">
        <f>SUM(G11:G13)</f>
      </c>
      <c r="I11" s="11" t="str" xml:space="preserve">
        <v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v>
      </c>
    </row>
    <row r="12" ht="50" customHeight="1" xml:space="preserve">
      <c r="A12" s="11" t="str">
        <v>AOW02</v>
      </c>
      <c r="C12" s="11" t="str">
        <v>IRRI 16: Number of operational prototypes for AI-powered advisory.</v>
      </c>
      <c r="D12" s="11" t="str">
        <v>Number of innovations (innovation development)</v>
      </c>
      <c r="E12" s="11" t="str">
        <v>Country: The Socialist Republic of Viet Nam</v>
      </c>
      <c r="F12" s="11">
        <v>1</v>
      </c>
      <c r="G12" s="11">
        <v>35000</v>
      </c>
      <c r="I12" s="11" t="str" xml:space="preserve">
        <v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v>
      </c>
    </row>
    <row r="13" ht="50" customHeight="1" xml:space="preserve">
      <c r="A13" s="11" t="str">
        <v>AOW02</v>
      </c>
      <c r="C13" s="11" t="str">
        <v>IRRI 15: Number of databases developed to curate data for rice value chain in Vietnam.</v>
      </c>
      <c r="D13" s="11" t="str">
        <v>Number of knowledge products</v>
      </c>
      <c r="E13" s="11" t="str">
        <v>Country: The Socialist Republic of Viet Nam</v>
      </c>
      <c r="F13" s="11">
        <v>1</v>
      </c>
      <c r="G13" s="11">
        <v>5000</v>
      </c>
      <c r="I13" s="11" t="str" xml:space="preserve">
        <v xml:space="preserve">"Assumptions: Availability of high-quality soil, farmer, and SSNM trial data, successful integration of diverse datasets, partners provide timely data access, standardized data formats exist, field data from One-Million-Ha pilots remain reliable.
Risks: D</v>
      </c>
    </row>
    <row r="14" ht="50" customHeight="1" xml:space="preserve">
      <c r="A14" s="11" t="str">
        <v>AOW02</v>
      </c>
      <c r="B14" s="11" t="str">
        <v>HLO 2.1.4 Genebanks integrate AI-powered tools to improve germplasm management and access.</v>
      </c>
      <c r="C14" s="11" t="str">
        <v>IRRI 6: Number of genebanks deploying AI-powered tools to automate germplasm management and access.</v>
      </c>
      <c r="D14" s="11" t="str">
        <v>Number of innovations (innovation development)</v>
      </c>
      <c r="E14" s="11" t="str">
        <v>Country: Philippines, Egypt, India</v>
      </c>
      <c r="F14" s="11">
        <v>30</v>
      </c>
      <c r="G14" s="11">
        <v>95348</v>
      </c>
      <c r="H14" s="11">
        <f>SUM(G14:G14)</f>
      </c>
      <c r="I14" s="11" t="str" xml:space="preserve">
        <v xml:space="preserve">Assumptions: Availability of high-quality genomic, phenotypic, and environmental data across centers, successful integration of genome–phenome datasets, reliable access to legacy trial data, consistent data standards among IRRI, ICARDA, and ICRISAT, adequate computational infrastructure for AI pipelines, strong collaboration across centers and regions, stakeholder willingness to adopt AI-driven tools, stable funding and technical support from the Digital Transformation Accelerator.
Risks: Data gaps or inconsistencies across genebanks, difficulties integrating heterogeneous genomic and phenotypic datasets, limited quality or completeness of legacy trial data, algorithmic errors leading to misleading trait predictions, insufficient capacity to validate AI-identified donors in field conditions, variable adoption of AI tools by breeding programs, technical constraints in scaling models across crops and environments, delayed cross-center coordination, challenges in maintaining data security and governance. 
Assumes $40k budget allocation to partners Google and Amazon. </v>
      </c>
    </row>
    <row r="15" ht="50" customHeight="1" xml:space="preserve">
      <c r="A15" s="11" t="str">
        <v>AOW02</v>
      </c>
      <c r="B15" s="11" t="str">
        <v>HLO 2.2.7 Digital innovations use human-centered design and citizen science to enhance gender responsiveness and social inclusiveness.</v>
      </c>
      <c r="C15" s="11" t="str">
        <v>IRRI 13: Number of knowledge products as advisory services to be integrated with agriculture-focused AI language models.</v>
      </c>
      <c r="D15" s="11" t="str">
        <v>Number of knowledge products</v>
      </c>
      <c r="E15" s="11" t="str">
        <v>Global</v>
      </c>
      <c r="F15" s="11">
        <v>2</v>
      </c>
      <c r="G15" s="11">
        <v>70000</v>
      </c>
      <c r="H15" s="11">
        <f>SUM(G15:G15)</f>
      </c>
      <c r="I15" s="11" t="str" xml:space="preserve">
        <v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v>
      </c>
    </row>
    <row r="16" ht="25" customHeight="1">
      <c r="B16" s="15" t="str">
        <v>HLO budget subtotal</v>
      </c>
      <c r="H16" s="15">
        <f>SUM(H9:H15)</f>
      </c>
    </row>
    <row r="17" ht="50" customHeight="1">
      <c r="A17" s="13" t="str">
        <v>AOW03</v>
      </c>
      <c r="B17" s="11" t="str">
        <v>HLO 3.1.1:  Probes of a wide range of AI and/or other novel digital solutions  to support system-level scenario analysis of digital frontier technology impacts for decision-makers.</v>
      </c>
      <c r="C17" s="11" t="str">
        <v>IRRI 7: Number of AI and digital solution probes supporting system-level scenario analysis for decision-makers. (Beta version for testing)</v>
      </c>
      <c r="D17" s="11" t="str">
        <v>Number of innovations (innovation development)</v>
      </c>
      <c r="E17" s="11" t="str">
        <v>Country: Philippines</v>
      </c>
      <c r="F17" s="11">
        <v>1</v>
      </c>
      <c r="G17" s="11">
        <v>20000</v>
      </c>
      <c r="H17" s="11">
        <f>SUM(G17:G17)</f>
      </c>
      <c r="I17" s="11" t="str">
        <v>"Assumptions: adequate baseline acoustic data for model training, stable insect behavioral responses to attractants and LEDs, effective aggregation of insects near the device, machine learning models generalize well from controlled to real storage environ</v>
      </c>
    </row>
    <row r="18" ht="50" customHeight="1" xml:space="preserve">
      <c r="A18" s="11" t="str">
        <v>AOW03</v>
      </c>
      <c r="B18" s="11" t="str">
        <v>HLO 3.2.2 &amp; 3.3.2: Future case scenarios identified for digital transformation in FWL systems in addressing context-specific challenges and opportunities.</v>
      </c>
      <c r="C18" s="11" t="str">
        <v>IRRI 8: Number of evidence-based knowledge products on youth engagement in digital foresight produced and disseminated; (publication and scoping review)</v>
      </c>
      <c r="D18" s="11" t="str">
        <v>Number of knowledge products</v>
      </c>
      <c r="E18" s="11" t="str">
        <v>Global</v>
      </c>
      <c r="F18" s="11">
        <v>2</v>
      </c>
      <c r="G18" s="11">
        <v>50000</v>
      </c>
      <c r="H18" s="11">
        <f>SUM(G18:G18)</f>
      </c>
      <c r="I18" s="11" t="str" xml:space="preserve">
        <v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v>
      </c>
    </row>
    <row r="19" ht="25" customHeight="1">
      <c r="B19" s="15" t="str">
        <v>HLO budget subtotal</v>
      </c>
      <c r="H19" s="15">
        <f>SUM(H17:H18)</f>
      </c>
    </row>
    <row r="20" ht="50" customHeight="1" xml:space="preserve">
      <c r="A20" s="13" t="str">
        <v>AOW04</v>
      </c>
      <c r="B20" s="11" t="str">
        <v>HLO 4.1.1 Frameworks, methods, and guidelines to catalyze adoption of responsible and inclusive digital and data innovations across FLW systems</v>
      </c>
      <c r="C20" s="11" t="str">
        <v>IRRI 11: Number of module toolkits developed and piloted.</v>
      </c>
      <c r="D20" s="11" t="str">
        <v>Number of innovations (innovation development)</v>
      </c>
      <c r="E20" s="11" t="str">
        <v>Country: Philippines, India</v>
      </c>
      <c r="F20" s="11">
        <v>2</v>
      </c>
      <c r="G20" s="11">
        <v>50000</v>
      </c>
      <c r="H20" s="11">
        <f>SUM(G20:G22)</f>
      </c>
      <c r="I20" s="11" t="str" xml:space="preserve">
        <v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v>
      </c>
    </row>
    <row r="21" ht="50" customHeight="1" xml:space="preserve">
      <c r="A21" s="11" t="str">
        <v>AOW04</v>
      </c>
      <c r="C21" s="11" t="str">
        <v>IRRI 10: Number of writeshops and workshops with key stakeholders  on gender and digital inclusion established, gender responsive benchmarking of AI modules</v>
      </c>
      <c r="D21" s="11" t="str">
        <v>Number of people trained (capacity sharing for development)</v>
      </c>
      <c r="E21" s="11" t="str">
        <v>Global</v>
      </c>
      <c r="F21" s="11">
        <v>3</v>
      </c>
      <c r="G21" s="11">
        <v>50000</v>
      </c>
      <c r="I21" s="11" t="str" xml:space="preserve">
        <v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v>
      </c>
    </row>
    <row r="22" ht="50" customHeight="1" xml:space="preserve">
      <c r="A22" s="11" t="str">
        <v>AOW04</v>
      </c>
      <c r="C22" s="11" t="str">
        <v>IRRI 9: Number of  knowledge products (SOPs, reports, and scoping studies) to operationalize the digital innovation nodes.</v>
      </c>
      <c r="D22" s="11" t="str">
        <v>Number of knowledge products</v>
      </c>
      <c r="E22" s="11" t="str">
        <v>Global</v>
      </c>
      <c r="F22" s="11">
        <v>3</v>
      </c>
      <c r="G22" s="11">
        <v>50000</v>
      </c>
      <c r="I22" s="11" t="str" xml:space="preserve">
        <v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v>
      </c>
    </row>
    <row r="23" ht="25" customHeight="1">
      <c r="B23" s="15" t="str">
        <v>HLO budget subtotal</v>
      </c>
      <c r="H23" s="15">
        <f>SUM(H20:H22)</f>
      </c>
    </row>
  </sheetData>
  <mergeCells count="23">
    <mergeCell ref="A1:A2"/>
    <mergeCell ref="B1:B2"/>
    <mergeCell ref="C1:G1"/>
    <mergeCell ref="H1:H2"/>
    <mergeCell ref="I1:I2"/>
    <mergeCell ref="B3:B5"/>
    <mergeCell ref="H3:H5"/>
    <mergeCell ref="B6:B7"/>
    <mergeCell ref="H6:H7"/>
    <mergeCell ref="B8:G8"/>
    <mergeCell ref="A3:A8"/>
    <mergeCell ref="B9:B10"/>
    <mergeCell ref="H9:H10"/>
    <mergeCell ref="B11:B13"/>
    <mergeCell ref="H11:H13"/>
    <mergeCell ref="B16:G16"/>
    <mergeCell ref="A9:A16"/>
    <mergeCell ref="B19:G19"/>
    <mergeCell ref="A17:A19"/>
    <mergeCell ref="B20:B22"/>
    <mergeCell ref="H20:H22"/>
    <mergeCell ref="B23:G23"/>
    <mergeCell ref="A20:A23"/>
  </mergeCells>
  <ignoredErrors>
    <ignoredError numberStoredAsText="1" sqref="A1:I2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R-A-2023-19-EBS Phase 3</v>
      </c>
      <c r="B2" s="19" t="str">
        <v>AOW01</v>
      </c>
      <c r="C2" s="18" t="str">
        <v xml:space="preserve">HLO 1.1.1 Common metadata and science data standards </v>
      </c>
      <c r="D2" s="19">
        <v>0</v>
      </c>
      <c r="E2" s="19" t="str">
        <f>=SUM(D2:D2)</f>
        <v>0</v>
      </c>
    </row>
    <row r="3" ht="30" customHeight="1">
      <c r="A3" s="18" t="str">
        <v>R-A-2024-19-ISARC Phase III</v>
      </c>
      <c r="B3" s="19" t="str">
        <v>AOW02</v>
      </c>
      <c r="C3" s="18" t="str">
        <v xml:space="preserve">I-OC 2.2. Smallholder farmers, local innovators, women, and youth groups gain equitable access to user-centered, AI-enabled digital services that support learning, innovation, and inclusive participation. </v>
      </c>
      <c r="D3" s="19">
        <v>383314</v>
      </c>
      <c r="E3" s="19" t="str">
        <f>=SUM(D3:D3)</f>
        <v>0</v>
      </c>
      <c r="F3" s="19" t="str">
        <v xml:space="preserve">Subject to Active status in 2026 and availability of continued funding. </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0</v>
      </c>
      <c r="C2" s="20">
        <v>0</v>
      </c>
      <c r="D2" s="20">
        <v>150000</v>
      </c>
      <c r="E2" s="20">
        <v>10000</v>
      </c>
      <c r="F2" s="20">
        <v>50000</v>
      </c>
      <c r="G2" s="20" t="str">
        <f>=SUM(B2:F2)</f>
        <v>0</v>
      </c>
    </row>
    <row r="3" ht="20" customHeight="1">
      <c r="A3" s="20" t="str">
        <v>Operations (supplies, consultants, travels, workshops, other)</v>
      </c>
      <c r="B3" s="20">
        <v>0</v>
      </c>
      <c r="C3" s="20">
        <v>34000</v>
      </c>
      <c r="D3" s="20">
        <v>110000</v>
      </c>
      <c r="E3" s="20">
        <v>28000</v>
      </c>
      <c r="F3" s="20">
        <v>40000</v>
      </c>
      <c r="G3" s="20" t="str">
        <f>=SUM(B3:F3)</f>
        <v>0</v>
      </c>
    </row>
    <row r="4" ht="20" customHeight="1">
      <c r="A4" s="20" t="str">
        <v>Staffing, Chargebacks and Indirect</v>
      </c>
      <c r="B4" s="20">
        <v>40000</v>
      </c>
      <c r="C4" s="20">
        <v>38986</v>
      </c>
      <c r="D4" s="20">
        <v>107455</v>
      </c>
      <c r="E4" s="20">
        <v>32000</v>
      </c>
      <c r="F4" s="20">
        <v>60000</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