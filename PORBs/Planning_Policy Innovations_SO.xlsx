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5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1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 wrapText="true"/>
    </xf>
    <xf numFmtId="0" fontId="11" fillId="11" borderId="10" xfId="0" applyFont="1" applyFill="1" applyBorder="1" applyAlignment="1">
      <alignment horizontal="center" vertical="center" wrapText="true"/>
    </xf>
    <xf numFmtId="1" fontId="0" fillId="0" borderId="11" xfId="0" applyBorder="1" applyNumberFormat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1" fontId="13" fillId="13" borderId="12" xfId="0" applyFont="1" applyFill="1" applyBorder="1" applyNumberFormat="1" applyAlignment="1">
      <alignment horizontal="center" vertical="center"/>
    </xf>
    <xf numFmtId="1" fontId="14" fillId="14" borderId="13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530200</v>
      </c>
      <c r="M4" s="5">
        <v>0</v>
      </c>
    </row>
    <row r="5" ht="20" customHeight="1">
      <c r="A5" s="2" t="str">
        <v xml:space="preserve">AOW01: Foresight and Prioritization </v>
      </c>
      <c r="B5" s="2">
        <v>0</v>
      </c>
      <c r="C5" s="5">
        <v>0</v>
      </c>
      <c r="D5" s="2">
        <v>0</v>
      </c>
      <c r="E5" s="5">
        <v>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ht="20" customHeight="1">
      <c r="A6" s="2" t="str">
        <v xml:space="preserve">AOW02: Market-led Food Systems Transformation 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ht="20" customHeight="1">
      <c r="A7" s="2" t="str">
        <v xml:space="preserve">AOW03: Governance and Political Economy 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0" customHeight="1">
      <c r="A8" s="2" t="str">
        <v xml:space="preserve">AOW04: Water, Energy, Food, and Environment (WEFE) Nexus Policy </v>
      </c>
      <c r="B8" s="2">
        <v>0</v>
      </c>
      <c r="C8" s="5">
        <v>0</v>
      </c>
      <c r="D8" s="2">
        <v>0</v>
      </c>
      <c r="E8" s="5">
        <v>0</v>
      </c>
      <c r="F8" s="2">
        <v>0</v>
      </c>
      <c r="G8" s="5">
        <v>0</v>
      </c>
      <c r="H8" s="2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ht="20" customHeight="1">
      <c r="A9" s="2" t="str">
        <v>AOW05: Country and Regional Strategy and Engagement</v>
      </c>
      <c r="B9" s="2">
        <v>0</v>
      </c>
      <c r="C9" s="5">
        <v>0</v>
      </c>
      <c r="D9" s="2">
        <v>0</v>
      </c>
      <c r="E9" s="5">
        <v>0</v>
      </c>
      <c r="F9" s="2">
        <v>0</v>
      </c>
      <c r="G9" s="5">
        <v>0</v>
      </c>
      <c r="H9" s="2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ht="20" customHeight="1">
      <c r="A10" s="2" t="str">
        <v xml:space="preserve">AOW06: Global Poverty and Jobs Policy Knowledge Brokering Hub </v>
      </c>
      <c r="B10" s="2">
        <v>0</v>
      </c>
      <c r="C10" s="5">
        <v>0</v>
      </c>
      <c r="D10" s="2">
        <v>0</v>
      </c>
      <c r="E10" s="5">
        <v>0</v>
      </c>
      <c r="F10" s="2">
        <v>0</v>
      </c>
      <c r="G10" s="5">
        <v>0</v>
      </c>
      <c r="H10" s="2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ht="25" customHeight="1">
      <c r="A11" s="6" t="str">
        <v>Total</v>
      </c>
      <c r="B11" s="7">
        <f>SUM(B4:B10)</f>
      </c>
      <c r="C11" s="7">
        <f>SUM(C4:C10)</f>
      </c>
      <c r="D11" s="7">
        <f>SUM(D4:D10)</f>
      </c>
      <c r="E11" s="7">
        <f>SUM(E4:E10)</f>
      </c>
      <c r="F11" s="7">
        <f>SUM(F4:F10)</f>
      </c>
      <c r="G11" s="7">
        <f>SUM(G4:G10)</f>
      </c>
      <c r="H11" s="7">
        <f>SUM(H4:H10)</f>
      </c>
      <c r="I11" s="7">
        <f>SUM(I4:I10)</f>
      </c>
      <c r="J11" s="7">
        <f>SUM(J4:J10)</f>
      </c>
      <c r="K11" s="7">
        <f>SUM(K4:K10)</f>
      </c>
      <c r="L11" s="7">
        <f>SUM(L4:L10)</f>
      </c>
      <c r="M11" s="7">
        <f>SUM(M4:M10)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Director costs</v>
      </c>
      <c r="C2" s="11" t="str">
        <v/>
      </c>
      <c r="D2" s="11">
        <v>510000</v>
      </c>
      <c r="E2" s="11" t="str">
        <v>-</v>
      </c>
    </row>
    <row r="3" ht="45" customHeight="1">
      <c r="A3" s="11" t="str">
        <v>AOW00</v>
      </c>
      <c r="B3" s="11" t="str">
        <v>PMU</v>
      </c>
      <c r="C3" s="11" t="str">
        <v/>
      </c>
      <c r="D3" s="11">
        <v>0</v>
      </c>
    </row>
    <row r="4" ht="45" customHeight="1">
      <c r="A4" s="11" t="str">
        <v>AOW00</v>
      </c>
      <c r="B4" s="11" t="str">
        <v>Discretionary funds</v>
      </c>
      <c r="D4" s="11">
        <v>0</v>
      </c>
    </row>
    <row r="5" ht="45" customHeight="1">
      <c r="A5" s="11" t="str">
        <v>AOW00</v>
      </c>
      <c r="B5" s="11" t="str">
        <v>AoW Leads</v>
      </c>
      <c r="D5" s="11">
        <v>0</v>
      </c>
    </row>
    <row r="6" ht="45" customHeight="1">
      <c r="A6" s="11" t="str">
        <v>AOW00</v>
      </c>
      <c r="B6" s="11" t="str">
        <v>SO Finance Shared</v>
      </c>
      <c r="C6" s="11" t="str">
        <v>Centralized Finance</v>
      </c>
      <c r="D6" s="11">
        <v>20200</v>
      </c>
      <c r="E6" s="11" t="str">
        <v>Shared Finance</v>
      </c>
    </row>
  </sheetData>
  <mergeCells count="1">
    <mergeCell ref="A2:A6"/>
  </mergeCells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</sheetData>
  <mergeCells count="5">
    <mergeCell ref="A1:A2"/>
    <mergeCell ref="B1:B2"/>
    <mergeCell ref="C1:G1"/>
    <mergeCell ref="H1:H2"/>
    <mergeCell ref="I1:I2"/>
  </mergeCells>
  <ignoredErrors>
    <ignoredError numberStoredAsText="1" sqref="A1:I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3" t="str">
        <v>Project title</v>
      </c>
      <c r="B1" s="14" t="str">
        <v>AOW</v>
      </c>
      <c r="C1" s="14" t="str">
        <v>High Level Outputs</v>
      </c>
      <c r="D1" s="14" t="str">
        <v>Budget (USD)</v>
      </c>
      <c r="E1" s="14" t="str">
        <v>Total budget (USD)</v>
      </c>
      <c r="F1" s="14" t="str">
        <v>Budget Assumptions</v>
      </c>
    </row>
    <row r="2">
      <c r="E2" s="3">
        <f>SUM(E2:E1)</f>
      </c>
    </row>
    <row r="3">
      <c r="A3" s="2" t="str">
        <v>W3/Bilateral projects subtotal</v>
      </c>
    </row>
  </sheetData>
  <mergeCells count="1">
    <mergeCell ref="A2:D2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3" t="str">
        <v>MELIA study</v>
      </c>
      <c r="B1" s="13" t="str">
        <v>AOW</v>
      </c>
      <c r="C1" s="13" t="str">
        <v>Supported outcomes</v>
      </c>
      <c r="D1" s="13" t="str">
        <v>AOW budget (USD)</v>
      </c>
      <c r="E1" s="13" t="str">
        <v>Total budget (USD)</v>
      </c>
      <c r="F1" s="13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AOW06</v>
      </c>
      <c r="I1" s="3" t="str">
        <v>Total budget (USD)</v>
      </c>
    </row>
    <row r="2" ht="20" customHeight="1">
      <c r="A2" s="15" t="str">
        <v>Collaborators non-CGIAR centers</v>
      </c>
      <c r="B2" s="15">
        <v>30000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H2" s="15">
        <v>0</v>
      </c>
      <c r="I2" s="15" t="str">
        <f>=SUM(B2:H2)</f>
        <v>0</v>
      </c>
    </row>
    <row r="3" ht="20" customHeight="1">
      <c r="A3" s="15" t="str">
        <v>Operations (supplies, consultants, travels, workshops, other)</v>
      </c>
      <c r="B3" s="15">
        <v>183775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H3" s="15">
        <v>0</v>
      </c>
      <c r="I3" s="15" t="str">
        <f>=SUM(B3:H3)</f>
        <v>0</v>
      </c>
    </row>
    <row r="4" ht="20" customHeight="1">
      <c r="A4" s="15" t="str">
        <v>Staffing, Chargebacks and Indirect</v>
      </c>
      <c r="B4" s="15">
        <v>316425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 t="str">
        <f>=SUM(B4:H4)</f>
        <v>0</v>
      </c>
    </row>
    <row r="5" ht="20" customHeight="1">
      <c r="A5" s="16" t="str">
        <v>Subtotal</v>
      </c>
      <c r="B5" s="17" t="str">
        <f>=SUM(B2:B4)</f>
        <v>0</v>
      </c>
      <c r="C5" s="18" t="str">
        <f>=SUM(C2:C4)</f>
        <v>0</v>
      </c>
      <c r="D5" s="18" t="str">
        <f>=SUM(D2:D4)</f>
        <v>0</v>
      </c>
      <c r="E5" s="18" t="str">
        <f>=SUM(E2:E4)</f>
        <v>0</v>
      </c>
      <c r="F5" s="18" t="str">
        <f>=SUM(F2:F4)</f>
        <v>0</v>
      </c>
      <c r="G5" s="18" t="str">
        <f>=SUM(G2:G4)</f>
        <v>0</v>
      </c>
      <c r="H5" s="18" t="str">
        <f>=SUM(H2:H4)</f>
        <v>0</v>
      </c>
      <c r="I5" s="18" t="str">
        <f>=SUM(I2:I4)</f>
        <v>0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