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494432</v>
      </c>
    </row>
    <row r="5" ht="20" customHeight="1">
      <c r="A5" s="2" t="str">
        <v>AOW01: Consumers and Food Environments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Market Systems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1418094</v>
      </c>
    </row>
    <row r="7" ht="20" customHeight="1">
      <c r="A7" s="2" t="str">
        <v>AOW03: End-to-end Solutions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Biofortified and Health-enhancing Staples</v>
      </c>
      <c r="B8" s="2">
        <v>2</v>
      </c>
      <c r="C8" s="5">
        <v>127899</v>
      </c>
      <c r="D8" s="2">
        <v>9</v>
      </c>
      <c r="E8" s="5">
        <v>458331</v>
      </c>
      <c r="F8" s="2">
        <v>0</v>
      </c>
      <c r="G8" s="5">
        <v>0</v>
      </c>
      <c r="H8" s="2">
        <v>0</v>
      </c>
      <c r="I8" s="5">
        <v>0</v>
      </c>
      <c r="J8" s="5">
        <v>3</v>
      </c>
      <c r="K8" s="5">
        <v>0</v>
      </c>
      <c r="L8" s="5">
        <v>586233</v>
      </c>
      <c r="M8" s="5">
        <v>259867</v>
      </c>
    </row>
    <row r="9" ht="20" customHeight="1">
      <c r="A9" s="2" t="str">
        <v>AOW05: Multisectoral systems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0" customHeight="1">
      <c r="A10" s="2" t="str">
        <v>AOW06: Transformative leadership</v>
      </c>
      <c r="B10" s="2">
        <v>0</v>
      </c>
      <c r="C10" s="5">
        <v>0</v>
      </c>
      <c r="D10" s="2">
        <v>0</v>
      </c>
      <c r="E10" s="5">
        <v>0</v>
      </c>
      <c r="F10" s="2">
        <v>0</v>
      </c>
      <c r="G10" s="5">
        <v>0</v>
      </c>
      <c r="H10" s="2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ht="25" customHeight="1">
      <c r="A11" s="6" t="str">
        <v>Total</v>
      </c>
      <c r="B11" s="7">
        <f>SUM(B4:B10)</f>
      </c>
      <c r="C11" s="7">
        <f>SUM(C4:C10)</f>
      </c>
      <c r="D11" s="7">
        <f>SUM(D4:D10)</f>
      </c>
      <c r="E11" s="7">
        <f>SUM(E4:E10)</f>
      </c>
      <c r="F11" s="7">
        <f>SUM(F4:F10)</f>
      </c>
      <c r="G11" s="7">
        <f>SUM(G4:G10)</f>
      </c>
      <c r="H11" s="7">
        <f>SUM(H4:H10)</f>
      </c>
      <c r="I11" s="7">
        <f>SUM(I4:I10)</f>
      </c>
      <c r="J11" s="7">
        <f>SUM(J4:J10)</f>
      </c>
      <c r="K11" s="7">
        <f>SUM(K4:K10)</f>
      </c>
      <c r="L11" s="7">
        <f>SUM(L4:L10)</f>
      </c>
      <c r="M11" s="7">
        <f>SUM(M4:M10)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SO Finance Support</v>
      </c>
      <c r="D2" s="11">
        <v>0</v>
      </c>
    </row>
    <row r="3" ht="45" customHeight="1">
      <c r="A3" s="11" t="str">
        <v>AOW00</v>
      </c>
      <c r="B3" s="11" t="str">
        <v>Discretionary funds</v>
      </c>
      <c r="D3" s="11">
        <v>0</v>
      </c>
    </row>
    <row r="4" ht="45" customHeight="1">
      <c r="A4" s="11" t="str">
        <v>AOW00</v>
      </c>
      <c r="B4" s="11" t="str">
        <v>AoW Leads</v>
      </c>
      <c r="D4" s="11">
        <v>0</v>
      </c>
    </row>
    <row r="5" ht="45" customHeight="1">
      <c r="A5" s="11" t="str">
        <v>AOW00</v>
      </c>
      <c r="B5" s="11" t="str">
        <v>Director costs</v>
      </c>
      <c r="D5" s="11">
        <v>0</v>
      </c>
    </row>
    <row r="6" ht="45" customHeight="1">
      <c r="A6" s="11" t="str">
        <v>AOW00</v>
      </c>
      <c r="B6" s="11" t="str">
        <v>PMU (Coordinator, MELIA + Communication)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AOW04</v>
      </c>
      <c r="B3" s="11" t="str">
        <v>Framework for embedding nutrition into breeding pipelines and processes.</v>
      </c>
      <c r="C3" s="11" t="str">
        <v>Catalogue on biofortified crops and products</v>
      </c>
      <c r="D3" s="11" t="str">
        <v>Number of knowledge products</v>
      </c>
      <c r="E3" s="11" t="str">
        <v>Country: Nigeria, Tanzania, United Republic, Kenya</v>
      </c>
      <c r="F3" s="11">
        <v>1</v>
      </c>
      <c r="G3" s="11">
        <v>50000</v>
      </c>
      <c r="H3" s="11">
        <f>SUM(G3:G7)</f>
      </c>
      <c r="I3" s="11" t="str">
        <v>Estimated costs for time of interdisciplinary teams of researchers and local partners, data collection costs</v>
      </c>
    </row>
    <row r="4" ht="50" customHeight="1">
      <c r="A4" s="11" t="str">
        <v>AOW04</v>
      </c>
      <c r="C4" s="11" t="str">
        <v>Critical Capabilities: Atlas on biofortified crops and products</v>
      </c>
      <c r="D4" s="11" t="str">
        <v>Number of innovations (innovation development)</v>
      </c>
      <c r="E4" s="11" t="str">
        <v>Country: Tanzania, United Republic, Kenya, Nigeria</v>
      </c>
      <c r="F4" s="11">
        <v>1</v>
      </c>
      <c r="G4" s="11">
        <v>111233</v>
      </c>
      <c r="I4" s="11" t="str">
        <v>Estimated costs for time of interdisciplinary teams of researchers and local partners, data collection costs</v>
      </c>
    </row>
    <row r="5" ht="50" customHeight="1">
      <c r="A5" s="11" t="str">
        <v>AOW04</v>
      </c>
      <c r="C5" s="11" t="str">
        <v>Validated national recommendations linking policy, regulatory, and technical pathways for embedding biofortified crops into breeding pipelines</v>
      </c>
      <c r="D5" s="11" t="str">
        <v>Number of knowledge products</v>
      </c>
      <c r="E5" s="11" t="str">
        <v>Country: Nigeria, Kenya, Tanzania, United Republic, Ethiopia</v>
      </c>
      <c r="F5" s="11">
        <v>1</v>
      </c>
      <c r="G5" s="11">
        <v>25000</v>
      </c>
      <c r="I5" s="11" t="str">
        <v>Estimated costs for time of interdisciplinary teams of researchers and local partners, data collection costs. This KPI is delivered in partnership with AKADEMIYA360 and The Grass Company.</v>
      </c>
    </row>
    <row r="6" ht="50" customHeight="1">
      <c r="A6" s="11" t="str">
        <v>AOW04</v>
      </c>
      <c r="C6" s="11" t="str">
        <v>Pilot product profiles integrating nutrition traits</v>
      </c>
      <c r="D6" s="11" t="str">
        <v>Number of knowledge products</v>
      </c>
      <c r="E6" s="11" t="str">
        <v>Country: Nigeria, Tanzania, United Republic, Kenya, Ethiopia</v>
      </c>
      <c r="F6" s="11">
        <v>1</v>
      </c>
      <c r="G6" s="11">
        <v>25000</v>
      </c>
      <c r="I6" s="11" t="str">
        <v>Estimated costs for time of interdisciplinary teams of researchers and local partners, data collection costs</v>
      </c>
    </row>
    <row r="7" ht="50" customHeight="1">
      <c r="A7" s="11" t="str">
        <v>AOW04</v>
      </c>
      <c r="C7" s="11" t="str">
        <v>Nutrition-sensitive breeding guidelines and policy briefs aligned to NAIPs</v>
      </c>
      <c r="D7" s="11" t="str">
        <v>Number of knowledge products</v>
      </c>
      <c r="E7" s="11" t="str">
        <v>Country: Nigeria, Tanzania, United Republic, Kenya, Ethiopia</v>
      </c>
      <c r="F7" s="11">
        <v>1</v>
      </c>
      <c r="G7" s="11">
        <v>25000</v>
      </c>
      <c r="I7" s="11" t="str">
        <v>Estimated costs for time of interdisciplinary teams of researchers and local partners, data collection costs</v>
      </c>
    </row>
    <row r="8" ht="50" customHeight="1">
      <c r="A8" s="11" t="str">
        <v>AOW04</v>
      </c>
      <c r="B8" s="11" t="str">
        <v xml:space="preserve"> Policy options and engagement that address constraints to sustainable healthy diets (AoW4)</v>
      </c>
      <c r="C8" s="11" t="str">
        <v>Validated national recommendations linking policy, regulatory, and technical pathways for embedding biofortified crops into breeding pipelines</v>
      </c>
      <c r="D8" s="11" t="str">
        <v>Number of knowledge products</v>
      </c>
      <c r="E8" s="11" t="str">
        <v>Country: Nigeria, Kenya, Tanzania, United Republic, Ethiopia</v>
      </c>
      <c r="F8" s="11">
        <v>1</v>
      </c>
      <c r="G8" s="11">
        <v>24998</v>
      </c>
      <c r="H8" s="11">
        <f>SUM(G8:G10)</f>
      </c>
      <c r="I8" s="11" t="str">
        <v>Estimated costs for time of interdisciplinary teams of researchers and local partners, data collection costs. This KPI is delivered in partnership with AKADEMIYA360 and The Grass Company.</v>
      </c>
    </row>
    <row r="9" ht="50" customHeight="1">
      <c r="A9" s="11" t="str">
        <v>AOW04</v>
      </c>
      <c r="C9" s="11" t="str">
        <v>Pilot product profiles integrating nutrition traits</v>
      </c>
      <c r="D9" s="11" t="str">
        <v>Number of knowledge products</v>
      </c>
      <c r="E9" s="11" t="str">
        <v>Country: Nigeria, Tanzania, United Republic, Kenya, Ethiopia</v>
      </c>
      <c r="F9" s="11">
        <v>1</v>
      </c>
      <c r="G9" s="11">
        <v>25000</v>
      </c>
      <c r="I9" s="11" t="str">
        <v>Estimated costs for time of interdisciplinary teams of researchers and local partners, data collection costs</v>
      </c>
    </row>
    <row r="10" ht="50" customHeight="1">
      <c r="A10" s="11" t="str">
        <v>AOW04</v>
      </c>
      <c r="C10" s="11" t="str">
        <v>Nutrition-sensitive breeding guidelines and policy briefs aligned to NAIPs</v>
      </c>
      <c r="D10" s="11" t="str">
        <v>Number of knowledge products</v>
      </c>
      <c r="E10" s="11" t="str">
        <v>Country: Nigeria, Tanzania, United Republic, Kenya, Ethiopia</v>
      </c>
      <c r="F10" s="11">
        <v>1</v>
      </c>
      <c r="G10" s="11">
        <v>25000</v>
      </c>
      <c r="I10" s="11" t="str">
        <v>Estimated costs for time of interdisciplinary teams of researchers and local partners, data collection costs</v>
      </c>
    </row>
    <row r="11" ht="50" customHeight="1">
      <c r="A11" s="11" t="str">
        <v>AOW04</v>
      </c>
      <c r="B11" s="11" t="str">
        <v>Suite of solutions for producers and processors that address constraints to sustainable healthy diets co-developed, tested, and scaled with technical support and country engagement</v>
      </c>
      <c r="C11" s="11" t="str">
        <v>Technical reports related to validation workshops for solutions targeting producers and processors</v>
      </c>
      <c r="D11" s="11" t="str">
        <v>Number of knowledge products</v>
      </c>
      <c r="E11" s="11" t="str">
        <v>Country: Nigeria, Tanzania, United Republic, Kenya, Ethiopia</v>
      </c>
      <c r="F11" s="11">
        <v>1</v>
      </c>
      <c r="G11" s="11">
        <v>50000</v>
      </c>
      <c r="H11" s="11">
        <f>SUM(G11:G12)</f>
      </c>
      <c r="I11" s="11" t="str">
        <v>Estimated costs for time of interdisciplinary teams of researchers and local partners, data collection costs</v>
      </c>
    </row>
    <row r="12" ht="50" customHeight="1">
      <c r="A12" s="11" t="str">
        <v>AOW04</v>
      </c>
      <c r="C12" s="11" t="str">
        <v xml:space="preserve">Training manual for processors and retailers </v>
      </c>
      <c r="D12" s="11" t="str">
        <v>Number of knowledge products</v>
      </c>
      <c r="E12" s="11" t="str">
        <v>Country: Nigeria, Tanzania, United Republic, Kenya, Ethiopia</v>
      </c>
      <c r="F12" s="11">
        <v>1</v>
      </c>
      <c r="G12" s="11">
        <v>50000</v>
      </c>
      <c r="I12" s="11" t="str">
        <v>Estimated costs for time of interdisciplinary teams of researchers and local partners, data collection costs</v>
      </c>
    </row>
    <row r="13" ht="50" customHeight="1">
      <c r="A13" s="11" t="str">
        <v>AOW04</v>
      </c>
      <c r="B13" s="11" t="str">
        <v>Suite of solutions to support consumers awareness, preference, affordability and utilization of biofortified and health-enhancing crops in their diets</v>
      </c>
      <c r="C13" s="11" t="str">
        <v>Policy brief on best practices for the responsible use of consumer nudges</v>
      </c>
      <c r="D13" s="11" t="str">
        <v>Number of knowledge products</v>
      </c>
      <c r="E13" s="11" t="str">
        <v>Country: Kenya, Tanzania, United Republic, Nigeria</v>
      </c>
      <c r="F13" s="11">
        <v>1</v>
      </c>
      <c r="G13" s="11">
        <v>16666</v>
      </c>
      <c r="H13" s="11">
        <f>SUM(G13:G16)</f>
      </c>
      <c r="I13" s="11" t="str">
        <v>Estimated costs for time of interdisciplinary teams of researchers and local partners, data collection costs</v>
      </c>
    </row>
    <row r="14" ht="50" customHeight="1">
      <c r="A14" s="11" t="str">
        <v>AOW04</v>
      </c>
      <c r="C14" s="11" t="str">
        <v>Behavior Change Communication Toolkit to support consumers awareness, preference, affordability and utilization of biofortified food</v>
      </c>
      <c r="D14" s="11" t="str">
        <v>Number of innovations (innovation development)</v>
      </c>
      <c r="E14" s="11" t="str">
        <v>Country: Nigeria, Tanzania, United Republic, Kenya</v>
      </c>
      <c r="F14" s="11">
        <v>1</v>
      </c>
      <c r="G14" s="11">
        <v>16666</v>
      </c>
      <c r="I14" s="11" t="str">
        <v>Estimated costs for time of interdisciplinary teams of researchers and local partners, data collection costs. This KPI is delivered in partnership with Sokoine University of Agriculture (SUA).</v>
      </c>
    </row>
    <row r="15" ht="50" customHeight="1">
      <c r="A15" s="11" t="str">
        <v>AOW04</v>
      </c>
      <c r="C15" s="11" t="str">
        <v>Techinical report</v>
      </c>
      <c r="D15" s="11" t="str">
        <v>Number of knowledge products</v>
      </c>
      <c r="E15" s="11" t="str">
        <v>Country: Nigeria, Kenya, Tanzania, United Republic</v>
      </c>
      <c r="F15" s="11">
        <v>1</v>
      </c>
      <c r="G15" s="11">
        <v>16667</v>
      </c>
      <c r="I15" s="11" t="str">
        <v>Estimated costs for time of interdisciplinary teams of researchers and local partners, data collection costs</v>
      </c>
    </row>
    <row r="16" ht="50" customHeight="1">
      <c r="A16" s="11" t="str">
        <v>AOW04</v>
      </c>
      <c r="C16" s="11" t="str">
        <v>Evaluation plan on solutions supporting consumers awareness, preference, affordability and utilization of biofortified food</v>
      </c>
      <c r="D16" s="11" t="str">
        <v>Number of knowledge products</v>
      </c>
      <c r="E16" s="11" t="str">
        <v>Country: Ethiopia, Nigeria, Kenya</v>
      </c>
      <c r="F16" s="11">
        <v>1</v>
      </c>
      <c r="G16" s="11">
        <v>125000</v>
      </c>
      <c r="I16" s="11" t="str">
        <v xml:space="preserve">Estimated costs for time of interdisciplinary teams of researchers and local partners, data collection costs. </v>
      </c>
    </row>
    <row r="17" ht="25" customHeight="1">
      <c r="B17" s="14" t="str">
        <v>HLO budget subtotal</v>
      </c>
      <c r="H17" s="15">
        <f>SUM(H3:H16)</f>
      </c>
    </row>
  </sheetData>
  <mergeCells count="15">
    <mergeCell ref="A1:A2"/>
    <mergeCell ref="B1:B2"/>
    <mergeCell ref="C1:G1"/>
    <mergeCell ref="H1:H2"/>
    <mergeCell ref="I1:I2"/>
    <mergeCell ref="B3:B7"/>
    <mergeCell ref="H3:H7"/>
    <mergeCell ref="B8:B10"/>
    <mergeCell ref="H8:H10"/>
    <mergeCell ref="B11:B12"/>
    <mergeCell ref="H11:H12"/>
    <mergeCell ref="B13:B16"/>
    <mergeCell ref="H13:H16"/>
    <mergeCell ref="B17:G17"/>
    <mergeCell ref="A3:A17"/>
  </mergeCells>
  <ignoredErrors>
    <ignoredError numberStoredAsText="1" sqref="A1:I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  <row r="2" ht="70" customHeight="1">
      <c r="A2" s="12" t="str">
        <v>AOW03</v>
      </c>
      <c r="B2" s="11" t="str">
        <v>Sokoine University of Agriculture</v>
      </c>
      <c r="C2" s="11" t="str">
        <v>Suite of end-to-end solutions for fruit and vegetable producers, traders, processors, and vendors/retailers that promote food quality and safety, reduce food loss, and increase profits co-developed, tested, and scaled</v>
      </c>
      <c r="D2" s="11" t="str">
        <v>Tanzania, United Republic</v>
      </c>
      <c r="E2" s="11">
        <v>0</v>
      </c>
    </row>
    <row r="3" ht="25" customHeight="1">
      <c r="B3" s="14" t="str">
        <v>Contracted partners subtotal</v>
      </c>
      <c r="E3" s="14">
        <f>SUM(E2:E2)</f>
      </c>
    </row>
    <row r="4" ht="70" customHeight="1">
      <c r="A4" s="12" t="str">
        <v>AOW04</v>
      </c>
      <c r="B4" s="11" t="str">
        <v>Sokoine University of Agriculture</v>
      </c>
      <c r="C4" s="11" t="str">
        <v>Suite of solutions for traders and vendors that address constraints to sustainable healthy diets co-developed, tested, and scaled with technical support and country engagement, Suite of solutions to support consumers awareness, preference, affordability and utilization of biofortified and health-enhancing crops in their diets</v>
      </c>
      <c r="D4" s="11" t="str">
        <v>Tanzania, United Republic</v>
      </c>
      <c r="E4" s="11">
        <v>1</v>
      </c>
      <c r="F4" s="11" t="str">
        <v>The estimated budget to this partner is $20,000 for work on solutions for traders and vendors that address constraints to sustainable healthy diets. Costs will be captured in the partner tab during the replan in Q2 2026.</v>
      </c>
    </row>
    <row r="5" ht="70" customHeight="1">
      <c r="A5" s="11" t="str">
        <v>AOW04</v>
      </c>
      <c r="B5" s="11" t="str">
        <v>The Grass Company</v>
      </c>
      <c r="C5" s="11" t="str">
        <v>Policy options and engagement that address constraints to sustainable healthy diets (AoW4)</v>
      </c>
      <c r="D5" s="11" t="str">
        <v>Kenya</v>
      </c>
      <c r="E5" s="11">
        <v>1</v>
      </c>
      <c r="F5" s="11" t="str">
        <v>The estimated budget to this partner is $20,000 for work on policy options and engagement that address constraints to sustainable healthy diets. Costs will be captured in the partner tab during the replan in Q2 2026.</v>
      </c>
    </row>
    <row r="6" ht="70" customHeight="1">
      <c r="A6" s="11" t="str">
        <v>AOW04</v>
      </c>
      <c r="B6" s="11" t="str">
        <v>AKADEMIYA360</v>
      </c>
      <c r="C6" s="11" t="str">
        <v>Framework for embedding nutrition into breeding pipelines and processes.</v>
      </c>
      <c r="D6" s="11" t="str">
        <v>Ethiopia,Kenya,Nigeria,Tanzania, United Republic</v>
      </c>
      <c r="E6" s="11">
        <v>1</v>
      </c>
      <c r="F6" s="11" t="str">
        <v>The estimated budget to this partner is $70,000 for work on solutions for producers and processors that address constraints to sustainable healthy diets. Costs will be captured in the partner tab during the replan in Q2 2026.</v>
      </c>
    </row>
    <row r="7" ht="25" customHeight="1">
      <c r="B7" s="14" t="str">
        <v>Contracted partners subtotal</v>
      </c>
      <c r="E7" s="14">
        <f>SUM(E4:E6)</f>
      </c>
    </row>
  </sheetData>
  <mergeCells count="4">
    <mergeCell ref="B3:D3"/>
    <mergeCell ref="A2:A3"/>
    <mergeCell ref="B7:D7"/>
    <mergeCell ref="A4:A7"/>
  </mergeCells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T-PJ-003835-EU/IITA - FOOD SAFETY FOR AFRICA - ADDRESSING FO</v>
      </c>
      <c r="B2" s="19" t="str">
        <v>AOW02</v>
      </c>
      <c r="C2" s="18" t="str">
        <v>Suite of solutions focused on farm input dealers, food traders, processors, and/or retailers that promote food quality and safety, reduce food loss, improve efficiency, and/or facilitate intermediation developed and tested with technical support and country engagement</v>
      </c>
      <c r="D2" s="19">
        <v>552980</v>
      </c>
      <c r="E2" s="19" t="str">
        <f>=SUM(D2:D2)</f>
        <v>0</v>
      </c>
      <c r="F2" s="19" t="str">
        <v>Budget subject to agreement of both parties on scope of work, deliverables to be delivered at a given period, estimation of costs, and manner of payment.</v>
      </c>
    </row>
    <row r="3" ht="30" customHeight="1">
      <c r="A3" s="18" t="str">
        <v>T-PJ-003948: Fair Food and Trade Systems for Africa through Food Convergence Innovation</v>
      </c>
      <c r="B3" s="19" t="str">
        <v>AOW02</v>
      </c>
      <c r="C3" s="18" t="str">
        <v>Suite of solutions focused on farm input dealers, food traders, processors, and/or retailers that promote food quality and safety, reduce food loss, improve efficiency, and/or facilitate intermediation developed and tested with technical support and country engagement</v>
      </c>
      <c r="D3" s="19">
        <v>633211</v>
      </c>
      <c r="E3" s="19" t="str">
        <f>=SUM(D3:D3)</f>
        <v>0</v>
      </c>
      <c r="F3" s="19" t="str">
        <v>Budget subject to agreement of both parties on scope of work, deliverables to be delivered at a given period, estimation of costs, and manner of payment.</v>
      </c>
    </row>
    <row r="4" ht="30" customHeight="1">
      <c r="A4" s="18" t="str">
        <v>T-PJ-003517: Chicken, Fish and Pigs Feed and Organic Fertilizer Value Chain Development Using BSF-Based Urban Biowaste Processing in Ghana, Mali, Niger and the Democratic Republic of Congo</v>
      </c>
      <c r="B4" s="19" t="str">
        <v>AOW02</v>
      </c>
      <c r="C4" s="18" t="str">
        <v>Suite of solutions focused on farm input dealers, food traders, processors, and/or retailers that promote food quality and safety, reduce food loss, improve efficiency, and/or facilitate intermediation developed and tested with technical support and country engagement</v>
      </c>
      <c r="D4" s="19">
        <v>231903</v>
      </c>
      <c r="E4" s="19" t="str">
        <f>=SUM(D4:D4)</f>
        <v>0</v>
      </c>
      <c r="F4" s="19" t="str">
        <v>Budget subject to agreement of both parties on scope of work, deliverables to be delivered at a given period, estimation of costs, and manner of payment.</v>
      </c>
    </row>
    <row r="5" ht="30" customHeight="1">
      <c r="A5" s="18" t="str">
        <v>PJ-003953: APPUI A LA TRANSFORMATION ET A LA RESILIENCE DES SYSTEMES ALIMENTAIRES DE MADAGASCAR A TRAVERS LA RECHERCHE POUR LE DEVELOPPEMENT</v>
      </c>
      <c r="B5" s="19" t="str">
        <v>AOW04</v>
      </c>
      <c r="C5" s="18" t="str">
        <v>Suite of solutions for producers and processors that address constraints to sustainable healthy diets co-developed, tested, and scaled with technical support and country engagement</v>
      </c>
      <c r="D5" s="19">
        <v>82721</v>
      </c>
      <c r="E5" s="19" t="str">
        <f>=SUM(D5:D5)</f>
        <v>0</v>
      </c>
      <c r="F5" s="19" t="str">
        <v>Budget subject to agreement of both parties on scope of work, deliverables to be delivered at a given period, estimation of costs, and manner of payment.</v>
      </c>
    </row>
    <row r="6" ht="30" customHeight="1">
      <c r="A6" s="18" t="str">
        <v>PJ-003978: Cassava Source Sink (CASS) Phase III</v>
      </c>
      <c r="B6" s="19" t="str">
        <v>AOW04</v>
      </c>
      <c r="C6" s="18" t="str">
        <v>Framework for embedding nutrition into breeding pipelines and processes.</v>
      </c>
      <c r="D6" s="19">
        <v>56972</v>
      </c>
      <c r="E6" s="19" t="str">
        <f>=SUM(D6:D6)</f>
        <v>0</v>
      </c>
      <c r="F6" s="19" t="str">
        <v>Budget subject to agreement of both parties on scope of work, deliverables to be delivered at a given period, estimation of costs, and manner of payment.</v>
      </c>
    </row>
    <row r="7" ht="30" customHeight="1">
      <c r="A7" s="18" t="str">
        <v>T-PJ-003911-CGIAR Genetic Innovations Public-Private Partnership Platform</v>
      </c>
      <c r="B7" s="19" t="str">
        <v>AOW04</v>
      </c>
      <c r="C7" s="18" t="str">
        <v>Framework for embedding nutrition into breeding pipelines and processes.</v>
      </c>
      <c r="D7" s="19">
        <v>120174</v>
      </c>
      <c r="E7" s="19" t="str">
        <f>=SUM(D7:D7)</f>
        <v>0</v>
      </c>
      <c r="F7" s="19" t="str">
        <v>Budget subject to agreement of both parties on scope of work, deliverables to be delivered at a given period, estimation of costs, and manner of payment.</v>
      </c>
    </row>
    <row r="8" ht="30" customHeight="1">
      <c r="A8" s="18" t="str">
        <v>PJ-003938: Food Systems Resilience Program interventions in Feed Salone</v>
      </c>
      <c r="B8" s="19" t="str">
        <v>AOW00</v>
      </c>
      <c r="C8" s="18" t="str">
        <v>Consumers demand and consume sustainable healthy diets</v>
      </c>
      <c r="D8" s="19">
        <v>494432</v>
      </c>
      <c r="E8" s="19" t="str">
        <f>=SUM(D8:D8)</f>
        <v>0</v>
      </c>
    </row>
    <row r="9" ht="30" customHeight="1">
      <c r="A9" s="3" t="str">
        <v>W3/Bilateral projects subtotal</v>
      </c>
      <c r="E9" s="3">
        <f>SUM(E2:E8)</f>
      </c>
    </row>
  </sheetData>
  <mergeCells count="1">
    <mergeCell ref="A9:D9"/>
  </mergeCells>
  <ignoredErrors>
    <ignoredError numberStoredAsText="1" sqref="A1:F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0</v>
      </c>
      <c r="E2" s="20">
        <v>0</v>
      </c>
      <c r="F2" s="20">
        <v>111805</v>
      </c>
      <c r="G2" s="20">
        <v>0</v>
      </c>
      <c r="H2" s="20">
        <v>0</v>
      </c>
      <c r="I2" s="20" t="str">
        <f>=SUM(B2:H2)</f>
        <v>0</v>
      </c>
    </row>
    <row r="3" ht="20" customHeight="1">
      <c r="A3" s="20" t="str">
        <v>Operations (supplies, consultants, travels, workshops, other)</v>
      </c>
      <c r="B3" s="20">
        <v>86468</v>
      </c>
      <c r="C3" s="20">
        <v>0</v>
      </c>
      <c r="D3" s="20">
        <v>0</v>
      </c>
      <c r="E3" s="20">
        <v>0</v>
      </c>
      <c r="F3" s="20">
        <v>106248</v>
      </c>
      <c r="G3" s="20">
        <v>0</v>
      </c>
      <c r="H3" s="20">
        <v>0</v>
      </c>
      <c r="I3" s="20" t="str">
        <f>=SUM(B3:H3)</f>
        <v>0</v>
      </c>
    </row>
    <row r="4" ht="20" customHeight="1">
      <c r="A4" s="20" t="str">
        <v>Staffing, Chargebacks and Indirect</v>
      </c>
      <c r="B4" s="20">
        <v>277025</v>
      </c>
      <c r="C4" s="20">
        <v>0</v>
      </c>
      <c r="D4" s="20">
        <v>0</v>
      </c>
      <c r="E4" s="20">
        <v>0</v>
      </c>
      <c r="F4" s="20">
        <v>368180</v>
      </c>
      <c r="G4" s="20">
        <v>0</v>
      </c>
      <c r="H4" s="20">
        <v>0</v>
      </c>
      <c r="I4" s="20" t="str">
        <f>=SUM(B4:H4)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  <c r="I5" s="23" t="str">
        <f>=SUM(I2:I4)</f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