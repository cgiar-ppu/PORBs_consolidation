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Productivity+</v>
      </c>
      <c r="B5" s="2">
        <v>0</v>
      </c>
      <c r="C5" s="5">
        <v>0</v>
      </c>
      <c r="D5" s="2">
        <v>1</v>
      </c>
      <c r="E5" s="5">
        <v>23363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23363</v>
      </c>
      <c r="M5" s="5">
        <v>0</v>
      </c>
    </row>
    <row r="6" ht="20" customHeight="1">
      <c r="A6" s="2" t="str">
        <v>AOW02: Climate and the Environment</v>
      </c>
      <c r="B6" s="2">
        <v>0</v>
      </c>
      <c r="C6" s="5">
        <v>0</v>
      </c>
      <c r="D6" s="2">
        <v>1</v>
      </c>
      <c r="E6" s="5">
        <v>10584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10584</v>
      </c>
      <c r="M6" s="5">
        <v>0</v>
      </c>
    </row>
    <row r="7" ht="20" customHeight="1">
      <c r="A7" s="2" t="str">
        <v>AOW03: One Health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Market Systems, Policy Solutions and Scaling</v>
      </c>
      <c r="B8" s="2">
        <v>0</v>
      </c>
      <c r="C8" s="5">
        <v>0</v>
      </c>
      <c r="D8" s="2">
        <v>1</v>
      </c>
      <c r="E8" s="5">
        <v>12334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12334</v>
      </c>
      <c r="M8" s="5">
        <v>0</v>
      </c>
    </row>
    <row r="9" ht="20" customHeight="1">
      <c r="A9" s="2" t="str">
        <v>AOW05: Gender, Youth and Social Inclusion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Data and Digital Solutions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Leads</v>
      </c>
      <c r="C2" s="11" t="str">
        <v>Six (6) AOW Leads averaging 21.67% FTE</v>
      </c>
      <c r="D2" s="11">
        <v>0</v>
      </c>
    </row>
    <row r="3" ht="45" customHeight="1">
      <c r="A3" s="11" t="str">
        <v>AOW00</v>
      </c>
      <c r="B3" s="11" t="str">
        <v>Program Meetings and Workshops</v>
      </c>
      <c r="C3" s="11" t="str">
        <v>In-person progress, review, or planning meetings for program leadership, including the annual pause and reflect event</v>
      </c>
      <c r="D3" s="11">
        <v>0</v>
      </c>
    </row>
    <row r="4" ht="45" customHeight="1">
      <c r="A4" s="11" t="str">
        <v>AOW00</v>
      </c>
      <c r="B4" s="11" t="str">
        <v>Program Director Discretionary</v>
      </c>
      <c r="C4" s="11" t="str">
        <v>As directed by the SO; funds for consultants, meetings, travel, workshops, supplies, and other admin support needed by the Program Director in 2026 to address emerging opportunities and gaps or strategic program level issues</v>
      </c>
      <c r="D4" s="11">
        <v>0</v>
      </c>
    </row>
    <row r="5" ht="45" customHeight="1">
      <c r="A5" s="11" t="str">
        <v>AOW00</v>
      </c>
      <c r="B5" s="11" t="str">
        <v>Program Director Operations Costs</v>
      </c>
      <c r="C5" s="11" t="str">
        <v>As instructed by the SO; Travel, consultants, supplies, admin support, meetings or workshops required by the Director to perform their role</v>
      </c>
      <c r="D5" s="11">
        <v>0</v>
      </c>
    </row>
    <row r="6" ht="45" customHeight="1">
      <c r="A6" s="11" t="str">
        <v>AOW00</v>
      </c>
      <c r="B6" s="11" t="str">
        <v>Other PMU Operations</v>
      </c>
      <c r="C6" s="11" t="str">
        <v>Travel, office supplies, and other charge-backs for PMU team</v>
      </c>
      <c r="D6" s="11">
        <v>0</v>
      </c>
    </row>
    <row r="7" ht="45" customHeight="1">
      <c r="A7" s="11" t="str">
        <v>AOW00</v>
      </c>
      <c r="B7" s="11" t="str">
        <v>SO Central Finance Funds</v>
      </c>
      <c r="C7" s="11" t="str">
        <v>As required by the SO</v>
      </c>
      <c r="D7" s="11">
        <v>0</v>
      </c>
    </row>
    <row r="8" ht="45" customHeight="1">
      <c r="A8" s="11" t="str">
        <v>AOW00</v>
      </c>
      <c r="B8" s="11" t="str">
        <v>Program MELIA Funds</v>
      </c>
      <c r="C8" s="11" t="str">
        <v>Program funds for implementation of the MELIA plan</v>
      </c>
      <c r="D8" s="11">
        <v>0</v>
      </c>
    </row>
    <row r="9" ht="45" customHeight="1">
      <c r="A9" s="11" t="str">
        <v>AOW00</v>
      </c>
      <c r="B9" s="11" t="str">
        <v>Program Communications Operations</v>
      </c>
      <c r="C9" s="11" t="str">
        <v>Program communications funds to implement CKM strategy</v>
      </c>
      <c r="D9" s="11">
        <v>0</v>
      </c>
    </row>
    <row r="10" ht="45" customHeight="1">
      <c r="A10" s="11" t="str">
        <v>AOW00</v>
      </c>
      <c r="B10" s="11" t="str">
        <v>PMU Team</v>
      </c>
      <c r="C10" s="11" t="str">
        <v>Staff fees for Program Coordinator (50%), Program MELIA Focal Point (20%) and Program CKM Lead (50%) and any other administrative roles/needs</v>
      </c>
      <c r="D10" s="11">
        <v>0</v>
      </c>
    </row>
    <row r="11" ht="45" customHeight="1">
      <c r="A11" s="11" t="str">
        <v>AOW00</v>
      </c>
      <c r="B11" s="11" t="str">
        <v>Program Director Staff Costs</v>
      </c>
      <c r="C11" s="11" t="str">
        <v>100% FTE Program Director and associated cost recovery</v>
      </c>
      <c r="D11" s="11">
        <v>0</v>
      </c>
    </row>
  </sheetData>
  <mergeCells count="1">
    <mergeCell ref="A2:A11"/>
  </mergeCells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 1.5  - Inclusive approaches, tools and capacity sharing to support animal and aquatic food producers to adopt combinations of innovations</v>
      </c>
      <c r="C3" s="11" t="str">
        <v>GLOBAL: Global package on the development of global tools, methods, and analyses that support forage adoption: Forage selection and management and for the exploration of economic–environmental–equity trade-offs of SAAF interventions.</v>
      </c>
      <c r="D3" s="11" t="str">
        <v>Number of knowledge products</v>
      </c>
      <c r="E3" s="11" t="str">
        <v>Global</v>
      </c>
      <c r="F3" s="11">
        <v>1</v>
      </c>
      <c r="G3" s="11">
        <v>23363</v>
      </c>
      <c r="H3" s="11">
        <f>SUM(G3:G3)</f>
      </c>
      <c r="I3" s="11" t="str">
        <v>staff, operations and US $4,673 for partner operations</v>
      </c>
    </row>
    <row r="4" ht="25" customHeight="1">
      <c r="B4" s="14" t="str">
        <v>HLO budget subtotal</v>
      </c>
      <c r="H4" s="15">
        <f>SUM(H3:H3)</f>
      </c>
    </row>
    <row r="5" ht="50" customHeight="1">
      <c r="A5" s="13" t="str">
        <v>AOW02</v>
      </c>
      <c r="B5" s="11" t="str">
        <v xml:space="preserve">HLO 2.4 - Cost-efficient resilience and emission monitoring tools designed for animal and aquatic food systems </v>
      </c>
      <c r="C5" s="11" t="str">
        <v>GLOBAL: Global package on the development of global tools, methods, and analyses that support forage adoption: MRV tools and other innovations for assessing environmental impacts in forage-based livestock farming; economic-environmental evaluation; global and regional environmental analyses of livestock systems.</v>
      </c>
      <c r="D5" s="11" t="str">
        <v>Number of knowledge products</v>
      </c>
      <c r="E5" s="11" t="str">
        <v>Global</v>
      </c>
      <c r="F5" s="11">
        <v>1</v>
      </c>
      <c r="G5" s="11">
        <v>10584</v>
      </c>
      <c r="H5" s="11">
        <f>SUM(G5:G5)</f>
      </c>
      <c r="I5" s="11" t="str">
        <v>Staff charges, operations, and US $2,117 for partner activities</v>
      </c>
    </row>
    <row r="6" ht="25" customHeight="1">
      <c r="B6" s="15" t="str">
        <v>HLO budget subtotal</v>
      </c>
      <c r="H6" s="15">
        <f>SUM(H5:H5)</f>
      </c>
    </row>
    <row r="7" ht="50" customHeight="1">
      <c r="A7" s="13" t="str">
        <v>AOW04</v>
      </c>
      <c r="B7" s="11" t="str">
        <v>HLO 4.2 - Decision-support tools for efficient animal and aquatic food system</v>
      </c>
      <c r="C7" s="11" t="str">
        <v>GLOBAL: Global package on the development of global tools, methods, and analyses that support forage adoption: Tools for economic analysis, methodologies for innovation uptake tracking, global analyses of forage-based livestock systems, and investment models for forage-based livestock systems</v>
      </c>
      <c r="D7" s="11" t="str">
        <v>Number of knowledge products</v>
      </c>
      <c r="E7" s="11" t="str">
        <v>Global</v>
      </c>
      <c r="F7" s="11">
        <v>1</v>
      </c>
      <c r="G7" s="11">
        <v>12334</v>
      </c>
      <c r="H7" s="11">
        <f>SUM(G7:G7)</f>
      </c>
      <c r="I7" s="11" t="str">
        <v>Staff charges, Operations and US $2,467 for partners</v>
      </c>
    </row>
    <row r="8" ht="25" customHeight="1">
      <c r="B8" s="15" t="str">
        <v>HLO budget subtotal</v>
      </c>
      <c r="H8" s="15">
        <f>SUM(H7:H7)</f>
      </c>
    </row>
  </sheetData>
  <mergeCells count="11">
    <mergeCell ref="A1:A2"/>
    <mergeCell ref="B1:B2"/>
    <mergeCell ref="C1:G1"/>
    <mergeCell ref="H1:H2"/>
    <mergeCell ref="I1:I2"/>
    <mergeCell ref="B4:G4"/>
    <mergeCell ref="A3:A4"/>
    <mergeCell ref="B6:G6"/>
    <mergeCell ref="A5:A6"/>
    <mergeCell ref="B8:G8"/>
    <mergeCell ref="A7:A8"/>
  </mergeCells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110000</v>
      </c>
      <c r="C2" s="18">
        <v>4673</v>
      </c>
      <c r="D2" s="18">
        <v>2117</v>
      </c>
      <c r="E2" s="18">
        <v>0</v>
      </c>
      <c r="F2" s="18">
        <v>2467</v>
      </c>
      <c r="G2" s="18">
        <v>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285000</v>
      </c>
      <c r="C3" s="18">
        <v>2336</v>
      </c>
      <c r="D3" s="18">
        <v>1058</v>
      </c>
      <c r="E3" s="18">
        <v>0</v>
      </c>
      <c r="F3" s="18">
        <v>1233</v>
      </c>
      <c r="G3" s="18">
        <v>0</v>
      </c>
      <c r="H3" s="18">
        <v>0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40000</v>
      </c>
      <c r="C4" s="18">
        <v>16354</v>
      </c>
      <c r="D4" s="18">
        <v>7409</v>
      </c>
      <c r="E4" s="18">
        <v>0</v>
      </c>
      <c r="F4" s="18">
        <v>8634</v>
      </c>
      <c r="G4" s="18">
        <v>0</v>
      </c>
      <c r="H4" s="18">
        <v>0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