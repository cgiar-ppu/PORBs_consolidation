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0</v>
      </c>
      <c r="C5" s="5">
        <v>0</v>
      </c>
      <c r="D5" s="2">
        <v>0</v>
      </c>
      <c r="E5" s="5">
        <v>0</v>
      </c>
      <c r="F5" s="2">
        <v>0</v>
      </c>
      <c r="G5" s="5">
        <v>0</v>
      </c>
      <c r="H5" s="2">
        <v>0</v>
      </c>
      <c r="I5" s="5">
        <v>0</v>
      </c>
      <c r="J5" s="5">
        <v>0</v>
      </c>
      <c r="K5" s="5">
        <v>0</v>
      </c>
      <c r="L5" s="5">
        <v>0</v>
      </c>
      <c r="M5" s="5">
        <v>0</v>
      </c>
    </row>
    <row r="6" ht="20" customHeight="1">
      <c r="A6" s="2" t="str">
        <v xml:space="preserve">AOW02: Digital Advisories and Climate Risk Management  </v>
      </c>
      <c r="B6" s="2">
        <v>1</v>
      </c>
      <c r="C6" s="5">
        <v>39863</v>
      </c>
      <c r="D6" s="2">
        <v>1</v>
      </c>
      <c r="E6" s="5">
        <v>0</v>
      </c>
      <c r="F6" s="2">
        <v>0</v>
      </c>
      <c r="G6" s="5">
        <v>0</v>
      </c>
      <c r="H6" s="2">
        <v>5</v>
      </c>
      <c r="I6" s="5">
        <v>19863</v>
      </c>
      <c r="J6" s="5">
        <v>20274</v>
      </c>
      <c r="K6" s="5">
        <v>40000</v>
      </c>
      <c r="L6" s="5">
        <v>120000</v>
      </c>
      <c r="M6" s="5">
        <v>0</v>
      </c>
    </row>
    <row r="7" ht="20" customHeight="1">
      <c r="A7" s="2" t="str">
        <v xml:space="preserve">AOW03: Locally-led Adaptation  </v>
      </c>
      <c r="B7" s="2">
        <v>0</v>
      </c>
      <c r="C7" s="5">
        <v>0</v>
      </c>
      <c r="D7" s="2">
        <v>0</v>
      </c>
      <c r="E7" s="5">
        <v>0</v>
      </c>
      <c r="F7" s="2">
        <v>0</v>
      </c>
      <c r="G7" s="5">
        <v>0</v>
      </c>
      <c r="H7" s="2">
        <v>0</v>
      </c>
      <c r="I7" s="5">
        <v>0</v>
      </c>
      <c r="J7" s="5">
        <v>0</v>
      </c>
      <c r="K7" s="5">
        <v>0</v>
      </c>
      <c r="L7" s="5">
        <v>0</v>
      </c>
      <c r="M7" s="5">
        <v>0</v>
      </c>
    </row>
    <row r="8" ht="20" customHeight="1">
      <c r="A8" s="2" t="str">
        <v xml:space="preserve">AOW04: Low-emission Transitions  </v>
      </c>
      <c r="B8" s="2">
        <v>6</v>
      </c>
      <c r="C8" s="5">
        <v>68785</v>
      </c>
      <c r="D8" s="2">
        <v>1</v>
      </c>
      <c r="E8" s="5">
        <v>33000</v>
      </c>
      <c r="F8" s="2">
        <v>0</v>
      </c>
      <c r="G8" s="5">
        <v>0</v>
      </c>
      <c r="H8" s="2">
        <v>0</v>
      </c>
      <c r="I8" s="5">
        <v>0</v>
      </c>
      <c r="J8" s="5">
        <v>21000</v>
      </c>
      <c r="K8" s="5">
        <v>0</v>
      </c>
      <c r="L8" s="5">
        <v>122785</v>
      </c>
      <c r="M8" s="5">
        <v>208346</v>
      </c>
    </row>
    <row r="9" ht="20" customHeight="1">
      <c r="A9" s="2" t="str">
        <v xml:space="preserve">AOW05: Finance and Policy for Scaling Solutions </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AOW02</v>
      </c>
      <c r="B3" s="11" t="str">
        <v>2.1.1 &amp; 2.2.1 Climate information products and services</v>
      </c>
      <c r="C3" s="11" t="str">
        <v>Number of recommendations/modules/synthesis products</v>
      </c>
      <c r="D3" s="11" t="str">
        <v>Number of knowledge products</v>
      </c>
      <c r="E3" s="11" t="str">
        <v>Country: The Socialist Republic of Viet Nam, Kenya, Mali, Colombia, India, Zambia, Philippines, Nigeria, Bangladesh, Ethiopia</v>
      </c>
      <c r="F3" s="11">
        <v>1</v>
      </c>
      <c r="G3" s="11">
        <v>0</v>
      </c>
      <c r="H3" s="11">
        <f>SUM(G3:G4)</f>
      </c>
    </row>
    <row r="4" ht="50" customHeight="1">
      <c r="A4" s="11" t="str">
        <v>AOW02</v>
      </c>
      <c r="C4" s="11" t="str">
        <v>Number of human-centered climate information products/services improved, co-designed, or co-developed</v>
      </c>
      <c r="D4" s="11" t="str">
        <v>Number of innovations (innovation development)</v>
      </c>
      <c r="E4" s="11" t="str">
        <v>Country: Senegal, Mali, Ethiopia, India, Bangladesh, Nigeria, Zambia, Philippines, Kenya, The Socialist Republic of Viet Nam</v>
      </c>
      <c r="F4" s="11">
        <v>1</v>
      </c>
      <c r="G4" s="11">
        <v>39863</v>
      </c>
      <c r="I4" s="11" t="str">
        <v>CA129_ICARDA: iKrishi upgrade: solutions will be developed to provide targeted, field-level agrometeorological and agronomic advisories using a hybrid approach that combines IMD-based guidance (e.g. AgroDSS) , GenAI solutions, and local expert insights. T</v>
      </c>
    </row>
    <row r="5" ht="50" customHeight="1">
      <c r="A5" s="11" t="str">
        <v>AOW02</v>
      </c>
      <c r="B5" s="11" t="str">
        <v>2.4.1. Innovative and inclusive partnerships</v>
      </c>
      <c r="C5" s="11" t="str">
        <v>Number of new and inclusive partnerships formed for ICRM delivery</v>
      </c>
      <c r="D5" s="11" t="str">
        <v xml:space="preserve"> Number of partnerships</v>
      </c>
      <c r="E5" s="11" t="str">
        <v>Country: Ethiopia, India, The Socialist Republic of Viet Nam, Kenya</v>
      </c>
      <c r="F5" s="11">
        <v>5</v>
      </c>
      <c r="G5" s="11">
        <v>19863</v>
      </c>
      <c r="H5" s="11">
        <f>SUM(G5:G5)</f>
      </c>
      <c r="I5" s="11" t="str">
        <v xml:space="preserve">CA129_ICARDA: Partnership development and participatory codesigning: through multistakeholder dialogues this activitiy identifies agroclimatic priorities and needs, fostering stakeholder ownership in DCAS. Partnerships and business model development with </v>
      </c>
    </row>
    <row r="6" ht="25" customHeight="1">
      <c r="B6" s="14" t="str">
        <v>HLO budget subtotal</v>
      </c>
      <c r="H6" s="15">
        <f>SUM(H3:H5)</f>
      </c>
    </row>
    <row r="7" ht="50" customHeight="1" xml:space="preserve">
      <c r="A7" s="13" t="str">
        <v>AOW04</v>
      </c>
      <c r="B7" s="11" t="str">
        <v>4.1.1 &amp; 4.2.1 Evidence and partnerships to inform low-emission development</v>
      </c>
      <c r="C7" s="11" t="str">
        <v>Number of low-emission strategies across production systems co-developed with partners</v>
      </c>
      <c r="D7" s="11" t="str">
        <v>Number of innovations (innovation development)</v>
      </c>
      <c r="E7" s="11" t="str">
        <v>Country: Ghana, Philippines, Tanzania, United Republic, Egypt, India, Colombia</v>
      </c>
      <c r="F7" s="11">
        <v>1</v>
      </c>
      <c r="G7" s="11">
        <v>43000</v>
      </c>
      <c r="H7" s="11">
        <f>SUM(G7:G8)</f>
      </c>
      <c r="I7" s="11" t="str" xml:space="preserve">
        <v xml:space="preserve">CA130_ICARDA: " Integrated Low-Emission Desert Agriculture Protocol
A standardized technical protocol establishing best practices for implementing carbon-sequestering agricultural systems in arid ecosystems, including methodologies for soil enhancement, r</v>
      </c>
    </row>
    <row r="8" ht="50" customHeight="1">
      <c r="A8" s="11" t="str">
        <v>AOW04</v>
      </c>
      <c r="C8" s="11" t="str">
        <v>Number of guidelines/evidence/synthesis reports for scaling and implementing low emission strategies</v>
      </c>
      <c r="D8" s="11" t="str">
        <v>Number of knowledge products</v>
      </c>
      <c r="E8" s="11" t="str">
        <v>Country: Egypt, Colombia, Ghana, Tanzania, United Republic, India</v>
      </c>
      <c r="F8" s="11">
        <v>1</v>
      </c>
      <c r="G8" s="11">
        <v>33000</v>
      </c>
      <c r="I8" s="11" t="str">
        <v>CA130_ICARDA:Comprehensive Monitoring and Socioeconomic Impact Synthesis Study. An evidence-based synthesis integrating field measurements, remote sensing, household surveys, and focus groups to quantify carbon sequestration, emission reductions, and soci</v>
      </c>
    </row>
    <row r="9" ht="50" customHeight="1" xml:space="preserve">
      <c r="A9" s="11" t="str">
        <v>AOW04</v>
      </c>
      <c r="B9" s="11" t="str">
        <v>4.2.4 &amp; 4.3.3 &amp; 4.4.1 Tools and approaches for monitoring, reporting and verification (MRV)</v>
      </c>
      <c r="C9" s="11" t="str">
        <v>Number of MRV tools/approaches for low-emission farming developed</v>
      </c>
      <c r="D9" s="11" t="str">
        <v>Number of innovations (innovation development)</v>
      </c>
      <c r="E9" s="11" t="str">
        <v>Country: Colombia, Ghana, India, Zambia, Egypt, Nigeria, Kenya</v>
      </c>
      <c r="F9" s="11">
        <v>5</v>
      </c>
      <c r="G9" s="11">
        <v>25785</v>
      </c>
      <c r="H9" s="11">
        <f>SUM(G9:G9)</f>
      </c>
      <c r="I9" s="11" t="str" xml:space="preserve">
        <v xml:space="preserve">CA130_ICARDA- "Multi-Stakeholder Carbon Market Roadmap for Arid Regions
A strategic roadmap developed through stakeholder engagement outlining phased implementation of equitable carbon credit systems, including policy recommendations, locally-adapted cert</v>
      </c>
    </row>
    <row r="10" ht="25" customHeight="1">
      <c r="B10" s="15" t="str">
        <v>HLO budget subtotal</v>
      </c>
      <c r="H10" s="15">
        <f>SUM(H7:H9)</f>
      </c>
    </row>
  </sheetData>
  <mergeCells count="13">
    <mergeCell ref="A1:A2"/>
    <mergeCell ref="B1:B2"/>
    <mergeCell ref="C1:G1"/>
    <mergeCell ref="H1:H2"/>
    <mergeCell ref="I1:I2"/>
    <mergeCell ref="B3:B4"/>
    <mergeCell ref="H3:H4"/>
    <mergeCell ref="B6:G6"/>
    <mergeCell ref="A3:A6"/>
    <mergeCell ref="B7:B8"/>
    <mergeCell ref="H7:H8"/>
    <mergeCell ref="B10:G10"/>
    <mergeCell ref="A7:A10"/>
  </mergeCells>
  <ignoredErrors>
    <ignoredError numberStoredAsText="1" sqref="A1:I10"/>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Indian Meteorological Department</v>
      </c>
      <c r="C2" s="11" t="str">
        <v>2.1.1 &amp; 2.2.1 Climate information products and services, 2.2.2 &amp; 2.3.1 &amp; 2.4.1 Multi-hazard early warning and anticipatory action instruments, 2.4.1. Innovative and inclusive partnerships</v>
      </c>
      <c r="D2" s="11" t="str">
        <v>India</v>
      </c>
      <c r="E2" s="11">
        <v>5000</v>
      </c>
      <c r="F2" s="11" t="str">
        <v>none</v>
      </c>
    </row>
    <row r="3" ht="70" customHeight="1">
      <c r="A3" s="11" t="str">
        <v>AOW02</v>
      </c>
      <c r="B3" s="11" t="str">
        <v>Indian Council of Agricultural Research</v>
      </c>
      <c r="C3" s="11" t="str">
        <v>2.1.1 &amp; 2.2.1 Climate information products and services, 2.4.1. Innovative and inclusive partnerships</v>
      </c>
      <c r="D3" s="11" t="str">
        <v>India</v>
      </c>
      <c r="E3" s="11">
        <v>15274</v>
      </c>
      <c r="F3" s="11" t="str">
        <v>none</v>
      </c>
    </row>
    <row r="4" ht="25" customHeight="1">
      <c r="B4" s="14" t="str">
        <v>Contracted partners subtotal</v>
      </c>
      <c r="E4" s="14">
        <f>SUM(E2:E3)</f>
      </c>
    </row>
    <row r="5" ht="70" customHeight="1">
      <c r="A5" s="12" t="str">
        <v>AOW04</v>
      </c>
      <c r="B5" s="11" t="str">
        <v>Agricultural Research Center (Egypt)</v>
      </c>
      <c r="C5" s="11" t="str">
        <v>4.2.4 &amp; 4.3.3 &amp; 4.4.1 Tools and approaches for monitoring, reporting and verification (MRV), 4.1.1 &amp; 4.2.1 Evidence and partnerships to inform low-emission development</v>
      </c>
      <c r="D5" s="11" t="str">
        <v>Egypt</v>
      </c>
      <c r="E5" s="11">
        <v>5000</v>
      </c>
      <c r="F5" s="11" t="str">
        <v>none</v>
      </c>
    </row>
    <row r="6" ht="70" customHeight="1">
      <c r="A6" s="11" t="str">
        <v>AOW04</v>
      </c>
      <c r="B6" s="11" t="str">
        <v>Desert Research Center</v>
      </c>
      <c r="C6" s="11" t="str">
        <v>4.2.4 &amp; 4.3.3 &amp; 4.4.1 Tools and approaches for monitoring, reporting and verification (MRV), 4.1.1 &amp; 4.2.1 Evidence and partnerships to inform low-emission development</v>
      </c>
      <c r="D6" s="11" t="str">
        <v>Egypt</v>
      </c>
      <c r="E6" s="11">
        <v>5000</v>
      </c>
      <c r="F6" s="11" t="str">
        <v>None</v>
      </c>
    </row>
    <row r="7" ht="70" customHeight="1">
      <c r="A7" s="11" t="str">
        <v>AOW04</v>
      </c>
      <c r="B7" s="11" t="str">
        <v>SEKEM</v>
      </c>
      <c r="C7" s="11" t="str">
        <v>4.2.4 &amp; 4.3.3 &amp; 4.4.1 Tools and approaches for monitoring, reporting and verification (MRV), 4.1.1 &amp; 4.2.1 Evidence and partnerships to inform low-emission development</v>
      </c>
      <c r="D7" s="11" t="str">
        <v>Egypt</v>
      </c>
      <c r="E7" s="11">
        <v>11000</v>
      </c>
      <c r="F7" s="11" t="str">
        <v>None</v>
      </c>
    </row>
    <row r="8" ht="70" customHeight="1">
      <c r="A8" s="11" t="str">
        <v>AOW04</v>
      </c>
      <c r="B8" s="11" t="str">
        <v>Indian Council of Agricultural Research</v>
      </c>
      <c r="C8" s="11" t="str">
        <v>4.2.4 &amp; 4.3.3 &amp; 4.4.1 Tools and approaches for monitoring, reporting and verification (MRV), 4.1.3 &amp; 4.2.3 &amp; 4.3.2 Evidence and partnerships to inform low-emission food systems</v>
      </c>
      <c r="D8" s="11" t="str">
        <v>India</v>
      </c>
      <c r="E8" s="11">
        <v>0</v>
      </c>
    </row>
    <row r="9" ht="25" customHeight="1">
      <c r="B9" s="14" t="str">
        <v>Contracted partners subtotal</v>
      </c>
      <c r="E9" s="14">
        <f>SUM(E5:E8)</f>
      </c>
    </row>
  </sheetData>
  <mergeCells count="4">
    <mergeCell ref="B4:D4"/>
    <mergeCell ref="A2:A4"/>
    <mergeCell ref="B9:D9"/>
    <mergeCell ref="A5:A9"/>
  </mergeCells>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D-200086-Ultra-Low Energy Drip Irrigation for MENA Countries</v>
      </c>
      <c r="B2" s="19" t="str">
        <v>AOW04</v>
      </c>
      <c r="C2" s="18" t="str">
        <v>4.2.4 &amp; 4.3.3 &amp; 4.4.1 Tools and approaches for monitoring, reporting and verification (MRV)</v>
      </c>
      <c r="D2" s="19">
        <v>208346</v>
      </c>
      <c r="E2" s="19" t="str">
        <f>=SUM(D2:D3)</f>
        <v>0</v>
      </c>
      <c r="F2" s="19" t="str">
        <v>Assumes this project is 100% mapped to AoW4</v>
      </c>
    </row>
    <row r="3" ht="30" customHeight="1">
      <c r="A3" s="18" t="str">
        <v>D-200086-Ultra-Low Energy Drip Irrigation for MENA Countries</v>
      </c>
      <c r="B3" s="19" t="str">
        <v>AOW00</v>
      </c>
      <c r="C3" s="18" t="str">
        <v>New finance for just climate action and transitions</v>
      </c>
      <c r="D3" s="19">
        <v>0</v>
      </c>
    </row>
    <row r="4" ht="30" customHeight="1">
      <c r="A4" s="3" t="str">
        <v>W3/Bilateral projects subtotal</v>
      </c>
      <c r="E4" s="3">
        <f>SUM(E2:E3)</f>
      </c>
    </row>
  </sheetData>
  <mergeCells count="3">
    <mergeCell ref="A2:A3"/>
    <mergeCell ref="E2:E3"/>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v>
      </c>
      <c r="B2" s="19" t="str">
        <v>AOW00</v>
      </c>
      <c r="C2" s="18" t="str">
        <v xml:space="preserve">Use of climate adaptation or low-emissions solutions </v>
      </c>
      <c r="D2" s="19">
        <v>0</v>
      </c>
      <c r="E2" s="19" t="str">
        <f>=SUM(D2:D3)</f>
        <v>0</v>
      </c>
    </row>
    <row r="3" ht="30" customHeight="1">
      <c r="A3" s="18" t="str">
        <v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v>
      </c>
      <c r="B3" s="19" t="str">
        <v>AOW02</v>
      </c>
      <c r="C3" s="18" t="str">
        <v>2.1 Organizations leverage and use participatory research approaches</v>
      </c>
      <c r="D3" s="19">
        <v>40000</v>
      </c>
      <c r="F3" s="19" t="str">
        <v>None</v>
      </c>
    </row>
    <row r="4" ht="30" customHeight="1">
      <c r="A4" s="3" t="str">
        <v>MELIA Studies Budget subtotal</v>
      </c>
      <c r="E4" s="3">
        <f>SUM(E2:E3)</f>
      </c>
    </row>
  </sheetData>
  <mergeCells count="3">
    <mergeCell ref="A2:A3"/>
    <mergeCell ref="E2:E3"/>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70000</v>
      </c>
      <c r="C2" s="20">
        <v>0</v>
      </c>
      <c r="D2" s="20">
        <v>20274</v>
      </c>
      <c r="E2" s="20">
        <v>0</v>
      </c>
      <c r="F2" s="20">
        <v>21000</v>
      </c>
      <c r="G2" s="20">
        <v>0</v>
      </c>
      <c r="H2" s="20" t="str">
        <f>=SUM(B2:G2)</f>
        <v>0</v>
      </c>
    </row>
    <row r="3" ht="20" customHeight="1">
      <c r="A3" s="20" t="str">
        <v>Operations (supplies, consultants, travels, workshops, other)</v>
      </c>
      <c r="B3" s="20">
        <v>39055</v>
      </c>
      <c r="C3" s="20">
        <v>0</v>
      </c>
      <c r="D3" s="20">
        <v>63478</v>
      </c>
      <c r="E3" s="20">
        <v>0</v>
      </c>
      <c r="F3" s="20">
        <v>64987</v>
      </c>
      <c r="G3" s="20">
        <v>0</v>
      </c>
      <c r="H3" s="20" t="str">
        <f>=SUM(B3:G3)</f>
        <v>0</v>
      </c>
    </row>
    <row r="4" ht="20" customHeight="1">
      <c r="A4" s="20" t="str">
        <v>Staffing, Chargebacks and Indirect</v>
      </c>
      <c r="B4" s="20">
        <v>96606</v>
      </c>
      <c r="C4" s="20">
        <v>0</v>
      </c>
      <c r="D4" s="20">
        <v>36248</v>
      </c>
      <c r="E4" s="20">
        <v>0</v>
      </c>
      <c r="F4" s="20">
        <v>36798</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