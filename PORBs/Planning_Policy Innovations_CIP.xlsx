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Foresight and Prioritization 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 xml:space="preserve">AOW02: Market-led Food Systems Transformation 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 xml:space="preserve">AOW03: Governance and Political Economy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 xml:space="preserve">AOW04: Water, Energy, Food, and Environment (WEFE) Nexus Policy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Country and Regional Strategy and Engagement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 xml:space="preserve">AOW06: Global Poverty and Jobs Policy Knowledge Brokering Hub </v>
      </c>
      <c r="B10" s="2">
        <v>0</v>
      </c>
      <c r="C10" s="5">
        <v>0</v>
      </c>
      <c r="D10" s="2">
        <v>4</v>
      </c>
      <c r="E10" s="5">
        <v>174568</v>
      </c>
      <c r="F10" s="2">
        <v>0</v>
      </c>
      <c r="G10" s="5">
        <v>0</v>
      </c>
      <c r="H10" s="2">
        <v>10</v>
      </c>
      <c r="I10" s="5">
        <v>19396</v>
      </c>
      <c r="J10" s="5">
        <v>0</v>
      </c>
      <c r="K10" s="5">
        <v>0</v>
      </c>
      <c r="L10" s="5">
        <v>193964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Director costs</v>
      </c>
      <c r="C2" s="11" t="str">
        <v/>
      </c>
      <c r="D2" s="11">
        <v>0</v>
      </c>
    </row>
    <row r="3" ht="45" customHeight="1">
      <c r="A3" s="11" t="str">
        <v>AOW00</v>
      </c>
      <c r="B3" s="11" t="str">
        <v>PMU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Discretionary funds</v>
      </c>
      <c r="D4" s="11">
        <v>0</v>
      </c>
    </row>
    <row r="5" ht="45" customHeight="1">
      <c r="A5" s="11" t="str">
        <v>AOW00</v>
      </c>
      <c r="B5" s="11" t="str">
        <v>AoW Leads</v>
      </c>
      <c r="D5" s="11">
        <v>0</v>
      </c>
    </row>
    <row r="6" ht="45" customHeight="1">
      <c r="A6" s="11" t="str">
        <v>AOW00</v>
      </c>
      <c r="B6" s="11" t="str">
        <v>SO Finance Shared</v>
      </c>
      <c r="C6" s="11" t="str">
        <v>Centralized Finance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AOW06</v>
      </c>
      <c r="B3" s="11" t="str">
        <v>6.2. Policy response</v>
      </c>
      <c r="C3" s="11" t="str">
        <v>Synthesized insights linking evidence to actionable policy recommendations to inform policy makers about youth policy</v>
      </c>
      <c r="D3" s="11" t="str">
        <v xml:space="preserve"> Policy informed</v>
      </c>
      <c r="E3" s="11" t="str">
        <v>Country: Kenya</v>
      </c>
      <c r="F3" s="11">
        <v>3</v>
      </c>
      <c r="G3" s="11">
        <v>6465</v>
      </c>
      <c r="H3" s="11">
        <f>SUM(G3:G7)</f>
      </c>
      <c r="I3" s="11" t="str" xml:space="preserve">
        <v xml:space="preserve">Partner: KIPPRA
Budget: $1,000</v>
      </c>
    </row>
    <row r="4" ht="50" customHeight="1" xml:space="preserve">
      <c r="A4" s="11" t="str">
        <v>AOW06</v>
      </c>
      <c r="C4" s="11" t="str">
        <v>Youth Employment Pathways in Kenya’s Urban Root, Tuber, and Banana (RTB) Food Systems: technical report</v>
      </c>
      <c r="D4" s="11" t="str">
        <v>Number of knowledge products</v>
      </c>
      <c r="E4" s="11" t="str">
        <v>Country: Kenya</v>
      </c>
      <c r="F4" s="11">
        <v>2</v>
      </c>
      <c r="G4" s="11">
        <v>135774</v>
      </c>
      <c r="I4" s="11" t="str" xml:space="preserve">
        <v xml:space="preserve">Partner: KALRO
Budget: $2,000</v>
      </c>
    </row>
    <row r="5" ht="50" customHeight="1">
      <c r="A5" s="11" t="str">
        <v>AOW06</v>
      </c>
      <c r="C5" s="11" t="str">
        <v xml:space="preserve">RTB Youth Landscape Survey dataset </v>
      </c>
      <c r="D5" s="11" t="str">
        <v>Number of knowledge products</v>
      </c>
      <c r="E5" s="11" t="str">
        <v>Country: Kenya</v>
      </c>
      <c r="F5" s="11">
        <v>2</v>
      </c>
      <c r="G5" s="11">
        <v>38794</v>
      </c>
      <c r="I5" s="11" t="str">
        <v>Parner to be added in Q1 2026</v>
      </c>
    </row>
    <row r="6" ht="50" customHeight="1" xml:space="preserve">
      <c r="A6" s="11" t="str">
        <v>AOW06</v>
      </c>
      <c r="C6" s="11" t="str">
        <v>Synthesized insights linking evidence to actionable policy recommendations on youth policies</v>
      </c>
      <c r="D6" s="11" t="str">
        <v xml:space="preserve"> Policy demand, consultations &amp; dialogues</v>
      </c>
      <c r="E6" s="11" t="str">
        <v>Country: Kenya</v>
      </c>
      <c r="F6" s="11">
        <v>1</v>
      </c>
      <c r="G6" s="11">
        <v>6465</v>
      </c>
      <c r="I6" s="11" t="str" xml:space="preserve">
        <v xml:space="preserve">Partner: KIPPRA
Budget: $1,000</v>
      </c>
    </row>
    <row r="7" ht="50" customHeight="1" xml:space="preserve">
      <c r="A7" s="11" t="str">
        <v>AOW06</v>
      </c>
      <c r="C7" s="11" t="str">
        <v>Synthesized insights linking evidence to actionable policy recommendations on youth policies</v>
      </c>
      <c r="D7" s="11" t="str">
        <v xml:space="preserve"> Policy recommendations</v>
      </c>
      <c r="E7" s="11" t="str">
        <v>Country: Kenya</v>
      </c>
      <c r="F7" s="11">
        <v>6</v>
      </c>
      <c r="G7" s="11">
        <v>6466</v>
      </c>
      <c r="I7" s="11" t="str" xml:space="preserve">
        <v xml:space="preserve">Partner: KIPPRA
Budget: $1,000</v>
      </c>
    </row>
    <row r="8" ht="25" customHeight="1">
      <c r="B8" s="14" t="str">
        <v>HLO budget subtotal</v>
      </c>
      <c r="H8" s="15">
        <f>SUM(H3:H7)</f>
      </c>
    </row>
  </sheetData>
  <mergeCells count="9">
    <mergeCell ref="A1:A2"/>
    <mergeCell ref="B1:B2"/>
    <mergeCell ref="C1:G1"/>
    <mergeCell ref="H1:H2"/>
    <mergeCell ref="I1:I2"/>
    <mergeCell ref="B3:B7"/>
    <mergeCell ref="H3:H7"/>
    <mergeCell ref="B8:G8"/>
    <mergeCell ref="A3:A8"/>
  </mergeCells>
  <ignoredErrors>
    <ignoredError numberStoredAsText="1" sqref="A1:I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1585-IITA  Accelerated Innovation Delivery Initiative</v>
      </c>
      <c r="B2" s="19" t="str">
        <v>AOW06</v>
      </c>
      <c r="C2" s="18" t="str">
        <v>6.2. Policy response</v>
      </c>
      <c r="D2" s="19">
        <v>0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5000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8578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180386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