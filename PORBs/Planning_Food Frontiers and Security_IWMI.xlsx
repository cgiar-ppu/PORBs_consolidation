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Summary" sheetId="1" r:id="rId1"/>
    <sheet name="Cross-Cutting" sheetId="2" r:id="rId2"/>
    <sheet name="HLO" sheetId="3" r:id="rId3"/>
    <sheet name="Partner" sheetId="4" r:id="rId4"/>
    <sheet name="W3-Bilateral projects" sheetId="5" r:id="rId5"/>
    <sheet name="MELIA" sheetId="6" r:id="rId6"/>
    <sheet name="Anaplan" sheetId="7" r:id="rId7"/>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mc="http://schemas.openxmlformats.org/markup-compatibility/2006" xmlns:x14ac="http://schemas.microsoft.com/office/spreadsheetml/2009/9/ac" xmlns="http://schemas.openxmlformats.org/spreadsheetml/2006/main" mc:Ignorable="x14ac">
  <numFmts count="0"/>
  <fonts count="18" x14ac:knownFonts="1">
    <font>
      <sz val="11"/>
      <name val="Calibri"/>
    </font>
    <font>
      <sz val="11"/>
      <name val="Calibri"/>
    </font>
    <font>
      <sz val="11"/>
      <name val="Calibri"/>
      <b/>
      <color rgb="FFFFFF"/>
    </font>
    <font>
      <sz val="11"/>
      <name val="Calibri"/>
      <b/>
      <color rgb="FFFFFF"/>
    </font>
    <font>
      <sz val="11"/>
      <name val="Calibri"/>
      <b/>
      <color rgb="FFFFFF"/>
    </font>
    <font>
      <sz val="11"/>
      <name val="Calibri"/>
      <b/>
      <color rgb="FFFFFF"/>
    </font>
    <font>
      <sz val="11"/>
      <name val="Calibri"/>
      <b/>
      <color rgb="FFFFFF"/>
    </font>
    <font>
      <sz val="11"/>
      <name val="Calibri"/>
      <b/>
      <color rgb="FFFFFF"/>
    </font>
    <font>
      <sz val="11"/>
      <name val="Calibri"/>
      <b/>
      <color rgb="FFFFFF"/>
    </font>
    <font>
      <sz val="11"/>
      <name val="Calibri"/>
      <b/>
      <color rgb="FFFFFF"/>
    </font>
    <font>
      <sz val="11"/>
      <name val="Calibri"/>
      <b/>
      <color rgb="FFFFFF"/>
    </font>
    <font>
      <sz val="11"/>
      <name val="Calibri"/>
      <b/>
      <color rgb="000000"/>
    </font>
    <font>
      <sz val="11"/>
      <name val="Calibri"/>
      <b/>
      <color rgb="000000"/>
    </font>
    <font>
      <sz val="11"/>
      <name val="Calibri"/>
      <b/>
      <color rgb="FFFFFF"/>
    </font>
    <font>
      <sz val="11"/>
      <name val="Calibri"/>
      <b/>
      <color rgb="FFFFFF"/>
    </font>
    <font>
      <sz val="11"/>
      <name val="Calibri"/>
      <b/>
      <color rgb="FFFFFF"/>
    </font>
    <font>
      <sz val="11"/>
      <name val="Calibri"/>
      <b/>
      <color rgb="FFFFFF"/>
    </font>
    <font>
      <sz val="11"/>
      <name val="Calibri"/>
      <b/>
      <color rgb="FFFFFF"/>
    </font>
  </fonts>
  <fills count="18">
    <fill>
      <patternFill patternType="none">
        <bgColor/>
      </patternFill>
    </fill>
    <fill>
      <patternFill patternType="gray125">
        <bgColor/>
      </patternFill>
    </fill>
    <fill>
      <patternFill patternType="solid">
        <fgColor rgb="FF2B3C53"/>
        <bgColor/>
      </patternFill>
    </fill>
    <fill>
      <patternFill patternType="solid">
        <fgColor rgb="FF2B3C53"/>
        <bgColor/>
      </patternFill>
    </fill>
    <fill>
      <patternFill patternType="solid">
        <fgColor rgb="FF2B3C53"/>
        <bgColor/>
      </patternFill>
    </fill>
    <fill>
      <patternFill patternType="solid">
        <fgColor rgb="FF2B3C53"/>
        <bgColor/>
      </patternFill>
    </fill>
    <fill>
      <patternFill patternType="solid">
        <fgColor rgb="FF2B3C53"/>
        <bgColor/>
      </patternFill>
    </fill>
    <fill>
      <patternFill patternType="solid">
        <fgColor rgb="FF2B3C53"/>
        <bgColor/>
      </patternFill>
    </fill>
    <fill>
      <patternFill patternType="solid">
        <fgColor rgb="FF2B3C53"/>
        <bgColor/>
      </patternFill>
    </fill>
    <fill>
      <patternFill patternType="solid">
        <fgColor rgb="FF2B3C53"/>
        <bgColor/>
      </patternFill>
    </fill>
    <fill>
      <patternFill patternType="solid">
        <fgColor rgb="FF2B3C53"/>
        <bgColor/>
      </patternFill>
    </fill>
    <fill>
      <patternFill patternType="solid">
        <fgColor rgb="FFE6E6E6"/>
        <bgColor/>
      </patternFill>
    </fill>
    <fill>
      <patternFill patternType="solid">
        <fgColor rgb="FFE6E6E6"/>
        <bgColor/>
      </patternFill>
    </fill>
    <fill>
      <patternFill patternType="solid">
        <fgColor rgb="FF2B3C53"/>
        <bgColor/>
      </patternFill>
    </fill>
    <fill>
      <patternFill patternType="solid">
        <fgColor rgb="FF2B3C53"/>
        <bgColor/>
      </patternFill>
    </fill>
    <fill>
      <patternFill patternType="solid">
        <fgColor rgb="FF2B3C53"/>
        <bgColor/>
      </patternFill>
    </fill>
    <fill>
      <patternFill patternType="solid">
        <fgColor rgb="FF2B3C53"/>
        <bgColor/>
      </patternFill>
    </fill>
    <fill>
      <patternFill patternType="solid">
        <fgColor rgb="FF2B3C53"/>
        <bgColor/>
      </patternFill>
    </fill>
  </fills>
  <borders count="19">
    <border>
      <left/>
      <right/>
      <top/>
      <bottom/>
      <diagonal/>
    </border>
    <border>
      <left/>
      <right/>
      <top/>
      <bottom/>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medium"/>
      <bottom style="thin"/>
      <diagonal/>
    </border>
    <border>
      <left style="thin"/>
      <right style="thin"/>
      <top style="medium"/>
      <bottom style="thin"/>
      <diagonal/>
    </border>
  </borders>
  <cellStyleXfs>
    <xf numFmtId="0" fontId="0" fillId="0" borderId="0"/>
  </cellStyleXfs>
  <cellXfs count="24">
    <xf numFmtId="0" fontId="0" fillId="0" borderId="0" xfId="0"/>
    <xf numFmtId="0" fontId="1" fillId="1" borderId="1" xfId="0" applyFont="1" applyFill="1" applyBorder="1"/>
    <xf numFmtId="0" fontId="0" fillId="0" borderId="0" xfId="0"/>
    <xf numFmtId="0" fontId="2" fillId="2" borderId="2" xfId="0" applyFont="1" applyFill="1" applyBorder="1" applyAlignment="1">
      <alignment horizontal="center" vertical="center"/>
    </xf>
    <xf numFmtId="0" fontId="3" fillId="3" borderId="3" xfId="0" applyFont="1" applyFill="1" applyBorder="1" applyAlignment="1">
      <alignment horizontal="center" vertical="center"/>
    </xf>
    <xf numFmtId="0" fontId="0" fillId="0" borderId="0" xfId="0" applyAlignment="1">
      <alignment horizontal="center" vertical="center"/>
    </xf>
    <xf numFmtId="0" fontId="4" fillId="4" borderId="0" xfId="0" applyFont="1" applyFill="1" applyAlignment="1">
      <alignment horizontal="center" vertical="center"/>
    </xf>
    <xf numFmtId="0" fontId="5" fillId="5" borderId="0" xfId="0" applyFont="1" applyFill="1" applyAlignment="1">
      <alignment horizontal="center" vertical="center"/>
    </xf>
    <xf numFmtId="0" fontId="6" fillId="6" borderId="4" xfId="0" applyFont="1" applyFill="1" applyBorder="1" applyAlignment="1">
      <alignment horizontal="center" vertical="center" wrapText="true"/>
    </xf>
    <xf numFmtId="0" fontId="7" fillId="7" borderId="5" xfId="0" applyFont="1" applyFill="1" applyBorder="1" applyAlignment="1">
      <alignment horizontal="center" vertical="center" wrapText="true"/>
    </xf>
    <xf numFmtId="0" fontId="8" fillId="8" borderId="6" xfId="0" applyFont="1" applyFill="1" applyBorder="1" applyAlignment="1">
      <alignment horizontal="center" vertical="center" wrapText="true"/>
    </xf>
    <xf numFmtId="0" fontId="0" fillId="0" borderId="7" xfId="0" applyBorder="1" applyAlignment="1">
      <alignment horizontal="center" vertical="center" wrapText="true"/>
    </xf>
    <xf numFmtId="0" fontId="9" fillId="9" borderId="8" xfId="0" applyFont="1" applyFill="1" applyBorder="1" applyAlignment="1">
      <alignment horizontal="center" vertical="center"/>
    </xf>
    <xf numFmtId="0" fontId="10" fillId="10" borderId="9" xfId="0" applyFont="1" applyFill="1" applyBorder="1" applyAlignment="1">
      <alignment horizontal="center" vertical="center"/>
    </xf>
    <xf numFmtId="0" fontId="11" fillId="11" borderId="10" xfId="0" applyFont="1" applyFill="1" applyBorder="1" applyAlignment="1">
      <alignment horizontal="center" vertical="center" wrapText="true"/>
    </xf>
    <xf numFmtId="0" fontId="12" fillId="12" borderId="11" xfId="0" applyFont="1" applyFill="1" applyBorder="1" applyAlignment="1">
      <alignment horizontal="center" vertical="center" wrapText="true"/>
    </xf>
    <xf numFmtId="0" fontId="13" fillId="13" borderId="12" xfId="0" applyFont="1" applyFill="1" applyBorder="1" applyAlignment="1">
      <alignment horizontal="center" vertical="center" wrapText="true"/>
    </xf>
    <xf numFmtId="0" fontId="14" fillId="14" borderId="13" xfId="0" applyFont="1" applyFill="1" applyBorder="1" applyAlignment="1">
      <alignment horizontal="center" vertical="center" wrapText="true"/>
    </xf>
    <xf numFmtId="0" fontId="0" fillId="0" borderId="14" xfId="0" applyBorder="1" applyAlignment="1">
      <alignment vertical="center" wrapText="true"/>
    </xf>
    <xf numFmtId="0" fontId="0" fillId="0" borderId="15" xfId="0" applyBorder="1" applyAlignment="1">
      <alignment horizontal="center" vertical="center" wrapText="true"/>
    </xf>
    <xf numFmtId="1" fontId="0" fillId="0" borderId="16" xfId="0" applyBorder="1" applyNumberFormat="1" applyAlignment="1">
      <alignment horizontal="center" vertical="center"/>
    </xf>
    <xf numFmtId="0" fontId="15" fillId="15" borderId="0" xfId="0" applyFont="1" applyFill="1" applyAlignment="1">
      <alignment horizontal="center" vertical="center"/>
    </xf>
    <xf numFmtId="1" fontId="16" fillId="16" borderId="17" xfId="0" applyFont="1" applyFill="1" applyBorder="1" applyNumberFormat="1" applyAlignment="1">
      <alignment horizontal="center" vertical="center"/>
    </xf>
    <xf numFmtId="1" fontId="17" fillId="17" borderId="18" xfId="0" applyFont="1" applyFill="1" applyBorder="1" applyNumberFormat="1" applyAlignment="1">
      <alignment horizontal="center" vertical="center"/>
    </xf>
  </cellXfs>
  <cellStyles>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theme" Target="theme/theme1.xml"/><Relationship Id="rId9" Type="http://schemas.openxmlformats.org/officeDocument/2006/relationships/styles" Target="styles.xml"/><Relationship Id="rId10"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M9"/>
  <sheetViews>
    <sheetView workbookViewId="0"/>
  </sheetViews>
  <cols>
    <col min="1" max="1" width="30.83203125" customWidth="1"/>
    <col min="2" max="2" width="12.83203125" customWidth="1"/>
    <col min="3" max="3" width="15.83203125" customWidth="1"/>
    <col min="4" max="4" width="12.83203125" customWidth="1"/>
    <col min="5" max="5" width="15.83203125" customWidth="1"/>
    <col min="6" max="6" width="12.83203125" customWidth="1"/>
    <col min="7" max="7" width="15.83203125" customWidth="1"/>
    <col min="8" max="8" width="12.83203125" customWidth="1"/>
    <col min="9" max="9" width="15.83203125" customWidth="1"/>
    <col min="10" max="10" width="25.83203125" customWidth="1"/>
    <col min="11" max="11" width="25.83203125" customWidth="1"/>
    <col min="12" max="12" width="35.83203125" customWidth="1"/>
    <col min="13" max="13" width="30.83203125" customWidth="1"/>
  </cols>
  <sheetData>
    <row r="1" ht="15" customHeight="1">
      <c r="A1" s="3" t="str">
        <v>Area of Work</v>
      </c>
      <c r="B1" s="4" t="str">
        <v>Pooled Funding</v>
      </c>
      <c r="M1" s="4" t="str">
        <v>W3/ Bilateral Project (USD)</v>
      </c>
    </row>
    <row r="2" ht="15" customHeight="1">
      <c r="B2" s="4" t="str">
        <v>Innovation Development</v>
      </c>
      <c r="D2" s="4" t="str">
        <v>Knowledge product</v>
      </c>
      <c r="F2" s="4" t="str">
        <v>Capacity Sharing</v>
      </c>
      <c r="H2" s="4" t="str">
        <v>Others outputs</v>
      </c>
      <c r="J2" s="4" t="str">
        <v>Partner budget</v>
      </c>
      <c r="K2" s="4" t="str">
        <v>MELIA Studies budget</v>
      </c>
      <c r="L2" s="4" t="str">
        <v>Total Pooled Funding budget (USD)</v>
      </c>
    </row>
    <row r="3" ht="15" customHeight="1">
      <c r="B3" s="4" t="str">
        <v>Target</v>
      </c>
      <c r="C3" s="4" t="str">
        <v>Budget</v>
      </c>
      <c r="D3" s="4" t="str">
        <v>Target</v>
      </c>
      <c r="E3" s="4" t="str">
        <v>Budget</v>
      </c>
      <c r="F3" s="4" t="str">
        <v>Target</v>
      </c>
      <c r="G3" s="4" t="str">
        <v>Budget</v>
      </c>
      <c r="H3" s="4" t="str">
        <v>Target</v>
      </c>
      <c r="I3" s="4" t="str">
        <v>Budget</v>
      </c>
    </row>
    <row r="4" ht="20" customHeight="1">
      <c r="A4" s="2" t="str">
        <v>AOW00: Cross-Cutting and Management</v>
      </c>
      <c r="B4" s="2">
        <v>0</v>
      </c>
      <c r="C4" s="5">
        <v>0</v>
      </c>
      <c r="D4" s="2">
        <v>0</v>
      </c>
      <c r="E4" s="5">
        <v>0</v>
      </c>
      <c r="F4" s="2">
        <v>0</v>
      </c>
      <c r="G4" s="5">
        <v>0</v>
      </c>
      <c r="H4" s="2">
        <v>0</v>
      </c>
      <c r="I4" s="5">
        <v>0</v>
      </c>
      <c r="J4" s="5">
        <v>0</v>
      </c>
      <c r="K4" s="5">
        <v>0</v>
      </c>
      <c r="L4" s="5">
        <v>0</v>
      </c>
      <c r="M4" s="5">
        <v>0</v>
      </c>
    </row>
    <row r="5" ht="20" customHeight="1">
      <c r="A5" s="2" t="str">
        <v>AOW01: Future Food Systems Lab</v>
      </c>
      <c r="B5" s="2">
        <v>0</v>
      </c>
      <c r="C5" s="5">
        <v>0</v>
      </c>
      <c r="D5" s="2">
        <v>2</v>
      </c>
      <c r="E5" s="5">
        <v>119674</v>
      </c>
      <c r="F5" s="2">
        <v>100</v>
      </c>
      <c r="G5" s="5">
        <v>20000</v>
      </c>
      <c r="H5" s="2">
        <v>0</v>
      </c>
      <c r="I5" s="5">
        <v>0</v>
      </c>
      <c r="J5" s="5">
        <v>0</v>
      </c>
      <c r="K5" s="5">
        <v>0</v>
      </c>
      <c r="L5" s="5">
        <v>139674</v>
      </c>
      <c r="M5" s="5">
        <v>0</v>
      </c>
    </row>
    <row r="6" ht="20" customHeight="1">
      <c r="A6" s="2" t="str">
        <v>AOW02: Fragile and Conflict-affected Food Systems</v>
      </c>
      <c r="B6" s="2">
        <v>0</v>
      </c>
      <c r="C6" s="5">
        <v>0</v>
      </c>
      <c r="D6" s="2">
        <v>7</v>
      </c>
      <c r="E6" s="5">
        <v>423191</v>
      </c>
      <c r="F6" s="2">
        <v>600</v>
      </c>
      <c r="G6" s="5">
        <v>133030</v>
      </c>
      <c r="H6" s="2">
        <v>6</v>
      </c>
      <c r="I6" s="5">
        <v>125673</v>
      </c>
      <c r="J6" s="5">
        <v>280000</v>
      </c>
      <c r="K6" s="5">
        <v>0</v>
      </c>
      <c r="L6" s="5">
        <v>961894</v>
      </c>
      <c r="M6" s="5">
        <v>741774</v>
      </c>
    </row>
    <row r="7" ht="20" customHeight="1">
      <c r="A7" s="2" t="str">
        <v>AOW03: Urban Food Systems</v>
      </c>
      <c r="B7" s="2">
        <v>0</v>
      </c>
      <c r="C7" s="5">
        <v>0</v>
      </c>
      <c r="D7" s="2">
        <v>0</v>
      </c>
      <c r="E7" s="5">
        <v>0</v>
      </c>
      <c r="F7" s="2">
        <v>0</v>
      </c>
      <c r="G7" s="5">
        <v>0</v>
      </c>
      <c r="H7" s="2">
        <v>0</v>
      </c>
      <c r="I7" s="5">
        <v>0</v>
      </c>
      <c r="J7" s="5">
        <v>0</v>
      </c>
      <c r="K7" s="5">
        <v>0</v>
      </c>
      <c r="L7" s="5">
        <v>0</v>
      </c>
      <c r="M7" s="5">
        <v>0</v>
      </c>
    </row>
    <row r="8" ht="20" customHeight="1">
      <c r="A8" s="2" t="str">
        <v>AOW04: Island Food Systems</v>
      </c>
      <c r="B8" s="2">
        <v>6</v>
      </c>
      <c r="C8" s="5">
        <v>132990</v>
      </c>
      <c r="D8" s="2">
        <v>2</v>
      </c>
      <c r="E8" s="5">
        <v>101530</v>
      </c>
      <c r="F8" s="2">
        <v>0</v>
      </c>
      <c r="G8" s="5">
        <v>0</v>
      </c>
      <c r="H8" s="2">
        <v>0</v>
      </c>
      <c r="I8" s="5">
        <v>0</v>
      </c>
      <c r="J8" s="5">
        <v>0</v>
      </c>
      <c r="K8" s="5">
        <v>0</v>
      </c>
      <c r="L8" s="5">
        <v>234520</v>
      </c>
      <c r="M8" s="5">
        <v>0</v>
      </c>
    </row>
    <row r="9" ht="25" customHeight="1">
      <c r="A9" s="6" t="str">
        <v>Total</v>
      </c>
      <c r="B9" s="7">
        <f>SUM(B4:B8)</f>
      </c>
      <c r="C9" s="7">
        <f>SUM(C4:C8)</f>
      </c>
      <c r="D9" s="7">
        <f>SUM(D4:D8)</f>
      </c>
      <c r="E9" s="7">
        <f>SUM(E4:E8)</f>
      </c>
      <c r="F9" s="7">
        <f>SUM(F4:F8)</f>
      </c>
      <c r="G9" s="7">
        <f>SUM(G4:G8)</f>
      </c>
      <c r="H9" s="7">
        <f>SUM(H4:H8)</f>
      </c>
      <c r="I9" s="7">
        <f>SUM(I4:I8)</f>
      </c>
      <c r="J9" s="7">
        <f>SUM(J4:J8)</f>
      </c>
      <c r="K9" s="7">
        <f>SUM(K4:K8)</f>
      </c>
      <c r="L9" s="7">
        <f>SUM(L4:L8)</f>
      </c>
      <c r="M9" s="7">
        <f>SUM(M4:M8)</f>
      </c>
    </row>
  </sheetData>
  <mergeCells count="10">
    <mergeCell ref="A1:A3"/>
    <mergeCell ref="B1:L1"/>
    <mergeCell ref="M1:M3"/>
    <mergeCell ref="B2:C2"/>
    <mergeCell ref="D2:E2"/>
    <mergeCell ref="F2:G2"/>
    <mergeCell ref="H2:I2"/>
    <mergeCell ref="J2:J3"/>
    <mergeCell ref="K2:K3"/>
    <mergeCell ref="L2:L3"/>
  </mergeCells>
  <ignoredErrors>
    <ignoredError numberStoredAsText="1" sqref="A1:M9"/>
  </ignoredErrors>
</worksheet>
</file>

<file path=xl/worksheets/sheet2.xml><?xml version="1.0" encoding="utf-8"?>
<worksheet xmlns="http://schemas.openxmlformats.org/spreadsheetml/2006/main" xmlns:r="http://schemas.openxmlformats.org/officeDocument/2006/relationships">
  <dimension ref="A1:E9"/>
  <sheetViews>
    <sheetView workbookViewId="0"/>
  </sheetViews>
  <cols>
    <col min="1" max="1" width="10.83203125" customWidth="1"/>
    <col min="2" max="2" width="40.83203125" customWidth="1"/>
    <col min="3" max="3" width="25.83203125" customWidth="1"/>
  </cols>
  <sheetData>
    <row r="1" ht="60" customHeight="1">
      <c r="A1" s="8" t="str">
        <v>AOW</v>
      </c>
      <c r="B1" s="9" t="str">
        <v>Cross-Cutting</v>
      </c>
      <c r="C1" s="9" t="str">
        <v>Description</v>
      </c>
      <c r="D1" s="9" t="str">
        <v>Pooled Funded (USD)</v>
      </c>
      <c r="E1" s="9" t="str">
        <v>Budget Assumptions</v>
      </c>
    </row>
    <row r="2" ht="45" customHeight="1">
      <c r="A2" s="10" t="str">
        <v>AOW00</v>
      </c>
      <c r="B2" s="11" t="str">
        <v>Program Director Discretionary Fund</v>
      </c>
      <c r="C2" s="11" t="str">
        <v>Flexible funding available to the Program Director to respond to emerging priorities, fill gaps, and address strategic program-level matters</v>
      </c>
      <c r="D2" s="11">
        <v>0</v>
      </c>
    </row>
    <row r="3" ht="45" customHeight="1">
      <c r="A3" s="11" t="str">
        <v>AOW00</v>
      </c>
      <c r="B3" s="11" t="str">
        <v>Program Level Communication</v>
      </c>
      <c r="C3" s="11" t="str">
        <v>Delivery of the program level 2026 Communications Strategy</v>
      </c>
      <c r="D3" s="11">
        <v>0</v>
      </c>
    </row>
    <row r="4" ht="45" customHeight="1">
      <c r="A4" s="11" t="str">
        <v>AOW00</v>
      </c>
      <c r="B4" s="11" t="str">
        <v>PMU Team</v>
      </c>
      <c r="C4" s="11" t="str">
        <v>FTE support for the Program Coordinator, MELIA Focal Point, Communications Focal point, including centralized assistance for Finance.</v>
      </c>
      <c r="D4" s="11">
        <v>0</v>
      </c>
    </row>
    <row r="5" ht="45" customHeight="1">
      <c r="A5" s="11" t="str">
        <v>AOW00</v>
      </c>
      <c r="B5" s="11" t="str">
        <v xml:space="preserve">Program Director and Associated costs </v>
      </c>
      <c r="C5" s="11" t="str">
        <v>Program Director FTE, administrative support, meeting and workshop coordination, travel, short-term consultancies, and various operational expenses</v>
      </c>
      <c r="D5" s="11">
        <v>0</v>
      </c>
    </row>
    <row r="6" ht="45" customHeight="1">
      <c r="A6" s="11" t="str">
        <v>AOW00</v>
      </c>
      <c r="B6" s="11" t="str">
        <v>Area of Work (AoW) Leaders</v>
      </c>
      <c r="C6" s="11" t="str">
        <v>Four AoW Lead FTEs</v>
      </c>
      <c r="D6" s="11">
        <v>0</v>
      </c>
    </row>
    <row r="7" ht="45" customHeight="1">
      <c r="A7" s="11" t="str">
        <v>AOW00</v>
      </c>
      <c r="B7" s="11" t="str">
        <v>Program Leadership Meetings</v>
      </c>
      <c r="C7" s="11" t="str">
        <v>In-person leadership sessions for planning, oversight, and progress review, including an annual pause and reflect meeting.</v>
      </c>
      <c r="D7" s="11">
        <v>0</v>
      </c>
    </row>
    <row r="8" ht="45" customHeight="1">
      <c r="A8" s="11" t="str">
        <v>AOW00</v>
      </c>
      <c r="B8" s="11" t="str">
        <v>Program Level MELIA Activities</v>
      </c>
      <c r="C8" s="11" t="str">
        <v>Execution of 2026 MELIA activities based on the Program MELIA Plan</v>
      </c>
      <c r="D8" s="11">
        <v>0</v>
      </c>
    </row>
    <row r="9" ht="45" customHeight="1">
      <c r="A9" s="11" t="str">
        <v>AOW00</v>
      </c>
      <c r="B9" s="11" t="str">
        <v>Centralized Finance Support</v>
      </c>
      <c r="C9" s="11" t="str">
        <v xml:space="preserve">SO- Shared finance support arrangement </v>
      </c>
      <c r="D9" s="11">
        <v>0</v>
      </c>
    </row>
  </sheetData>
  <mergeCells count="1">
    <mergeCell ref="A2:A9"/>
  </mergeCells>
  <ignoredErrors>
    <ignoredError numberStoredAsText="1" sqref="A1:E9"/>
  </ignoredErrors>
</worksheet>
</file>

<file path=xl/worksheets/sheet3.xml><?xml version="1.0" encoding="utf-8"?>
<worksheet xmlns="http://schemas.openxmlformats.org/spreadsheetml/2006/main" xmlns:r="http://schemas.openxmlformats.org/officeDocument/2006/relationships">
  <dimension ref="A1:I16"/>
  <sheetViews>
    <sheetView workbookViewId="0"/>
  </sheetViews>
  <cols>
    <col min="1" max="1" width="8.83203125" customWidth="1"/>
    <col min="2" max="2" width="40.83203125" customWidth="1"/>
    <col min="3" max="3" width="30.83203125" customWidth="1"/>
    <col min="4" max="4" width="30.83203125" customWidth="1"/>
    <col min="5" max="5" width="30.83203125" customWidth="1"/>
    <col min="6" max="6" width="10.83203125" customWidth="1"/>
    <col min="7" max="7" width="15.83203125" customWidth="1"/>
    <col min="8" max="8" width="20.83203125" customWidth="1"/>
    <col min="9" max="9" width="30.83203125" customWidth="1"/>
  </cols>
  <sheetData>
    <row r="1" ht="30" customHeight="1">
      <c r="A1" s="12" t="str">
        <v>AOW</v>
      </c>
      <c r="B1" s="8" t="str">
        <v>High Level Output</v>
      </c>
      <c r="C1" s="8" t="str">
        <v>Key Performance Indicators</v>
      </c>
      <c r="H1" s="8" t="str">
        <v>Total Budget (USD)</v>
      </c>
      <c r="I1" s="8" t="str">
        <v>Budget Assumptions</v>
      </c>
    </row>
    <row r="2" ht="30" customHeight="1">
      <c r="C2" s="8" t="str">
        <v>Description</v>
      </c>
      <c r="D2" s="8" t="str">
        <v>Type</v>
      </c>
      <c r="E2" s="8" t="str">
        <v>Geographic Location</v>
      </c>
      <c r="F2" s="8" t="str">
        <v>Target</v>
      </c>
      <c r="G2" s="8" t="str">
        <v>Budget (USD)</v>
      </c>
    </row>
    <row r="3" ht="50" customHeight="1">
      <c r="A3" s="13" t="str">
        <v>AOW01</v>
      </c>
      <c r="B3" s="11" t="str">
        <v>1.2.2 Evidence Synthesis and Adaptive Learning</v>
      </c>
      <c r="C3" s="11" t="str">
        <v>Critical Capability_IWMI: Analytical Toolkit and CIRCLAB (Circularity Innovation Lab) Roadmap for integrating CBE solutions into adaptation and investment strategies across food, land, and water systems in frontier food systems.</v>
      </c>
      <c r="D3" s="11" t="str">
        <v>Number of knowledge products</v>
      </c>
      <c r="E3" s="11" t="str">
        <v>Country: Jamaica, Pakistan, Jordan, Bangladesh, Kenya, Philippines, Mali, Ghana, Solomon Islands, The Republic of the Sudan, Timor-Leste, Ethiopia, Peru, Somalia, Yemen, Mozambique, Papua New Guinea, Nigeria, Burkina Faso</v>
      </c>
      <c r="F3" s="11">
        <v>2</v>
      </c>
      <c r="G3" s="11">
        <v>119674</v>
      </c>
      <c r="H3" s="11">
        <f>SUM(G3:G4)</f>
      </c>
      <c r="I3" s="11" t="str">
        <v xml:space="preserve">Budget assumes use of existing municipal and secondary data, supplemented by proxy indicators where needed. It includes funds for stakeholder engagement aligned with national priorities to ensure cooperation. Contingency covers uncertainties from limited </v>
      </c>
    </row>
    <row r="4" ht="50" customHeight="1">
      <c r="A4" s="11" t="str">
        <v>AOW01</v>
      </c>
      <c r="C4" s="11" t="str">
        <v>Design and implement a recurring FLEX series, featuring interactive webinars, panel discussions, and peer-learning sessions focused on frontier food systems challenges and solutions. Each session will bring together researchers, policymakers, private sector actors, and innovators for joint learning and futures thinking.</v>
      </c>
      <c r="D4" s="11" t="str">
        <v>Number of people trained (capacity sharing for development)</v>
      </c>
      <c r="E4" s="11" t="str">
        <v>Country: Papua New Guinea, Yemen, The Republic of the Sudan, Jamaica, Jordan, Mozambique, Timor-Leste, Burkina Faso, Ghana, Kenya, Philippines, Bangladesh, Ethiopia, Solomon Islands, Peru, Nigeria, Somalia, Mali, Pakistan</v>
      </c>
      <c r="F4" s="11">
        <v>100</v>
      </c>
      <c r="G4" s="11">
        <v>20000</v>
      </c>
      <c r="I4" s="11" t="str">
        <v>The FLEX series assumes strong stakeholder engagement, reliable digital infrastructure, and relevant content that attracts policymakers, private sector actors, and innovators. Risks include low participation due to competing priorities, connectivity chall</v>
      </c>
    </row>
    <row r="5" ht="25" customHeight="1">
      <c r="B5" s="14" t="str">
        <v>HLO budget subtotal</v>
      </c>
      <c r="H5" s="15">
        <f>SUM(H3:H4)</f>
      </c>
    </row>
    <row r="6" ht="50" customHeight="1">
      <c r="A6" s="13" t="str">
        <v>AOW02</v>
      </c>
      <c r="B6" s="11" t="str">
        <v>2.1.1 Prevent</v>
      </c>
      <c r="C6" s="11" t="str">
        <v>Deliver capacity-building modules and decision-support tools equipping local institutions and humanitarian-development actors to apply conflict-sensitive, market-systems, and anticipatory-action approaches for sustainable outcomes. Tested with partners, these tools enhance coordination, adaptive governance, and peace-responsive management of shared water and land resources.</v>
      </c>
      <c r="D6" s="11" t="str">
        <v>Number of knowledge products</v>
      </c>
      <c r="E6" s="11" t="str">
        <v>Country: Jordan, Pakistan, Mali, Bangladesh, Nigeria, Burkina Faso, Kenya, The Republic of the Sudan, Mozambique, Philippines</v>
      </c>
      <c r="F6" s="11">
        <v>3</v>
      </c>
      <c r="G6" s="11">
        <v>77021</v>
      </c>
      <c r="H6" s="11">
        <f>SUM(G6:G6)</f>
      </c>
      <c r="I6" s="11" t="str">
        <v>Humanitarian, development, and government partners remain willing to engage in co-design and testing of capacity-building modules and decision-support tools; institutions have sufficient staff time and technical capacity to participate, and local users ar</v>
      </c>
    </row>
    <row r="7" ht="50" customHeight="1">
      <c r="A7" s="11" t="str">
        <v>AOW02</v>
      </c>
      <c r="B7" s="11" t="str">
        <v>2.2.2 Respond</v>
      </c>
      <c r="C7" s="11" t="str">
        <v>Test and refine practical guidance and training materials that enable humanitarian and development partners to integrate women’s leadership, social cohesion, and scaling pathways into NbS activities. Applied with selected partners, they identify adaptable approaches for engaging host and displaced women and advancing inclusive livelihood recovery in fragile settings.</v>
      </c>
      <c r="D7" s="11" t="str">
        <v>Number of knowledge products</v>
      </c>
      <c r="E7" s="11" t="str">
        <v>Country: Mali, Mozambique, Burkina Faso, Jordan, Kenya, Nigeria, Philippines, Bangladesh, Pakistan</v>
      </c>
      <c r="F7" s="11">
        <v>1</v>
      </c>
      <c r="G7" s="11">
        <v>99365</v>
      </c>
      <c r="H7" s="11">
        <f>SUM(G7:G7)</f>
      </c>
      <c r="I7" s="11" t="str">
        <v>Women’s and community interest to participate is maintained, and local norms allow safe engagement without backlash; delivery partners are successfully identified, vetted, and approved in a timely manner, remain committed, and have facilitator availabilit</v>
      </c>
    </row>
    <row r="8" ht="50" customHeight="1" xml:space="preserve">
      <c r="A8" s="11" t="str">
        <v>AOW02</v>
      </c>
      <c r="B8" s="11" t="str">
        <v>2.3.3 Recover</v>
      </c>
      <c r="C8" s="11" t="str">
        <v>Knowledge, policy and scaling pathway for circular livelihood models and conflict-sensitivity guidance note in refugee hosting landscapes</v>
      </c>
      <c r="D8" s="11" t="str">
        <v>Number of knowledge products</v>
      </c>
      <c r="E8" s="11" t="str">
        <v>Country: Ethiopia, Burkina Faso, Kenya, The Republic of the Sudan</v>
      </c>
      <c r="F8" s="11">
        <v>2</v>
      </c>
      <c r="G8" s="11">
        <v>43192</v>
      </c>
      <c r="H8" s="11">
        <f>SUM(G8:G12)</f>
      </c>
      <c r="I8" s="11" t="str" xml:space="preserve">
        <v xml:space="preserve">Political situation and upscaling partners remain supportive
</v>
      </c>
    </row>
    <row r="9" ht="50" customHeight="1">
      <c r="A9" s="11" t="str">
        <v>AOW02</v>
      </c>
      <c r="C9" s="11" t="str">
        <v>Co-design inclusive and sustainable circular livelihood models that enhance social cohesion</v>
      </c>
      <c r="D9" s="11" t="str">
        <v xml:space="preserve"> Number of business models co-designed</v>
      </c>
      <c r="E9" s="11" t="str">
        <v>Country: The Republic of the Sudan, Burkina Faso, Ethiopia, Kenya</v>
      </c>
      <c r="F9" s="11">
        <v>6</v>
      </c>
      <c r="G9" s="11">
        <v>125673</v>
      </c>
      <c r="I9" s="11" t="str">
        <v>Permission to access refugee and host community settlements maintained; target groups' (such as refugee and host community; women and youth) interest in Nature+ and circular bioeconomy models maintained</v>
      </c>
    </row>
    <row r="10" ht="50" customHeight="1">
      <c r="A10" s="11" t="str">
        <v>AOW02</v>
      </c>
      <c r="C10" s="11" t="str">
        <v>Demand driven capacity strengthening of refugees, host communities and humanitarian actors in conflict-sensitive circular bioeconomy solutions that enhance social cohesion</v>
      </c>
      <c r="D10" s="11" t="str">
        <v>Number of people trained (capacity sharing for development)</v>
      </c>
      <c r="E10" s="11" t="str">
        <v>Country: The Republic of the Sudan, Kenya, Ethiopia, Burkina Faso</v>
      </c>
      <c r="F10" s="11">
        <v>600</v>
      </c>
      <c r="G10" s="11">
        <v>133030</v>
      </c>
      <c r="I10" s="11" t="str">
        <v>Demand from national refugee authorities, refugees and host communities and other key stakeholders mainatained; Permission to access refugee and host community settlments possible</v>
      </c>
    </row>
    <row r="11" ht="50" customHeight="1">
      <c r="A11" s="11" t="str">
        <v>AOW02</v>
      </c>
      <c r="C11" s="11" t="str">
        <v>Generate policy guidance and investment cases that align humanitarian and development planning by integrating RNBWS into national adaptation, DRR, and peacebuilding frameworks. The outputs strengthen coordination between ministries and partners, ensuring that evidence from fragile contexts informs sustainable, locally led climate-resilience strategies and financing priorities.</v>
      </c>
      <c r="D11" s="11" t="str">
        <v>Number of knowledge products</v>
      </c>
      <c r="E11" s="11" t="str">
        <v>Country: Pakistan, The Republic of the Sudan, Kenya, Mali, Jordan, Philippines, Mozambique, Burkina Faso, Bangladesh, Nigeria</v>
      </c>
      <c r="F11" s="11">
        <v>1</v>
      </c>
      <c r="G11" s="11">
        <v>93822</v>
      </c>
      <c r="I11" s="11" t="str">
        <v xml:space="preserve">Policy counterparts and coordination platforms such as NDC, NAP, and DRR committees remain active and receptive to evidence; political support and leadership continuity are sufficient to review and endorse guidance, and champions are identified; delivery </v>
      </c>
    </row>
    <row r="12" ht="50" customHeight="1">
      <c r="A12" s="11" t="str">
        <v>AOW02</v>
      </c>
      <c r="C12" s="11" t="str">
        <v>Produce guidance models and a Peace-Responsive RNBWS Toolkit to help partners strengthen NbS initiatives across humanitarian and development programs in fragile contexts. These resources provide step-by-step methods, templates, and metrics for integrating community engagement, gender equity, conflict sensitivity, and resilience goals into project design, implementation, and monitoring.</v>
      </c>
      <c r="D12" s="11" t="str">
        <v>Number of knowledge products</v>
      </c>
      <c r="E12" s="11" t="str">
        <v>Country: Bangladesh, Nigeria, The Republic of the Sudan, Mali, Jordan, Mozambique, Philippines, Burkina Faso, Kenya, Pakistan</v>
      </c>
      <c r="F12" s="11">
        <v>2</v>
      </c>
      <c r="G12" s="11">
        <v>109791</v>
      </c>
      <c r="I12" s="11" t="str">
        <v>Demand from humanitarian and development partners to adopt RNBWS remains strong; focal agencies allocate staff time for co-design and piloting; permissions to access target communities and collect data are maintained, and respondents are available and wil</v>
      </c>
    </row>
    <row r="13" ht="25" customHeight="1">
      <c r="B13" s="15" t="str">
        <v>HLO budget subtotal</v>
      </c>
      <c r="H13" s="15">
        <f>SUM(H6:H12)</f>
      </c>
    </row>
    <row r="14" ht="50" customHeight="1">
      <c r="A14" s="13" t="str">
        <v>AOW04</v>
      </c>
      <c r="B14" s="11" t="str">
        <v>4.1.1 SUSTAINABILITY</v>
      </c>
      <c r="C14" s="11" t="str">
        <v xml:space="preserve"> Co-design context-specific, gender-responsive circular economy innovations with island communities and partners through living-lab workshops. Combine scientific and local knowledge to prepare prototyping, piloting and identifing scaling pathways.</v>
      </c>
      <c r="D14" s="11" t="str">
        <v>Number of innovations (innovation development)</v>
      </c>
      <c r="E14" s="11" t="str">
        <v>Country: Solomon Islands, Timor-Leste</v>
      </c>
      <c r="F14" s="11">
        <v>6</v>
      </c>
      <c r="G14" s="11">
        <v>132990</v>
      </c>
      <c r="H14" s="11">
        <f>SUM(G14:G15)</f>
      </c>
      <c r="I14" s="11" t="str">
        <v>This package build upon IWMI's 20 years of experience in circular bioeconomy including safe recovery of waste and watewater for food production. Islands, being ecologically and economically fragile and heavily dependent on imported food, energy, and ferti</v>
      </c>
    </row>
    <row r="15" ht="50" customHeight="1">
      <c r="A15" s="11" t="str">
        <v>AOW04</v>
      </c>
      <c r="C15" s="11" t="str">
        <v xml:space="preserve">Conduct participatory assessments of waste, nutrient, and wastewater flows in island food systems to identify resource-recovery opportunities and pollution risks. Engage communities and stakeholders to generate evidence for designing safe, inclusive circular economy interventions that strengthen food, water, and environmental resilience. </v>
      </c>
      <c r="D15" s="11" t="str">
        <v>Number of knowledge products</v>
      </c>
      <c r="E15" s="11" t="str">
        <v>Country: Solomon Islands, Timor-Leste</v>
      </c>
      <c r="F15" s="11">
        <v>2</v>
      </c>
      <c r="G15" s="11">
        <v>101530</v>
      </c>
      <c r="I15" s="11" t="str">
        <v>This package build upon IWMI's 20 years of experience in circular bioeconomy including safe recovery of waste and watewater for food production. Islands, being ecologically and economically fragile and heavily dependent on imported food, energy, and ferti</v>
      </c>
    </row>
    <row r="16" ht="25" customHeight="1">
      <c r="B16" s="15" t="str">
        <v>HLO budget subtotal</v>
      </c>
      <c r="H16" s="15">
        <f>SUM(H14:H15)</f>
      </c>
    </row>
  </sheetData>
  <mergeCells count="17">
    <mergeCell ref="A1:A2"/>
    <mergeCell ref="B1:B2"/>
    <mergeCell ref="C1:G1"/>
    <mergeCell ref="H1:H2"/>
    <mergeCell ref="I1:I2"/>
    <mergeCell ref="B3:B4"/>
    <mergeCell ref="H3:H4"/>
    <mergeCell ref="B5:G5"/>
    <mergeCell ref="A3:A5"/>
    <mergeCell ref="B8:B12"/>
    <mergeCell ref="H8:H12"/>
    <mergeCell ref="B13:G13"/>
    <mergeCell ref="A6:A13"/>
    <mergeCell ref="B14:B15"/>
    <mergeCell ref="H14:H15"/>
    <mergeCell ref="B16:G16"/>
    <mergeCell ref="A14:A16"/>
  </mergeCells>
  <ignoredErrors>
    <ignoredError numberStoredAsText="1" sqref="A1:I16"/>
  </ignoredErrors>
</worksheet>
</file>

<file path=xl/worksheets/sheet4.xml><?xml version="1.0" encoding="utf-8"?>
<worksheet xmlns="http://schemas.openxmlformats.org/spreadsheetml/2006/main" xmlns:r="http://schemas.openxmlformats.org/officeDocument/2006/relationships">
  <dimension ref="A1:F8"/>
  <sheetViews>
    <sheetView workbookViewId="0"/>
  </sheetViews>
  <cols>
    <col min="1" max="1" width="8.83203125" customWidth="1"/>
    <col min="2" max="2" width="40.83203125" customWidth="1"/>
    <col min="3" max="3" width="60.83203125" customWidth="1"/>
    <col min="4" max="4" width="30.83203125" customWidth="1"/>
    <col min="5" max="5" width="15.83203125" customWidth="1"/>
  </cols>
  <sheetData>
    <row r="1" ht="30" customHeight="1">
      <c r="A1" s="8" t="str">
        <v>AOW</v>
      </c>
      <c r="B1" s="8" t="str">
        <v>Partner</v>
      </c>
      <c r="C1" s="8" t="str">
        <v>High level outputs</v>
      </c>
      <c r="D1" s="8" t="str">
        <v>Geographic location</v>
      </c>
      <c r="E1" s="8" t="str">
        <v>Total Budget (USD)</v>
      </c>
      <c r="F1" s="8" t="str">
        <v>Budeget Assumptions</v>
      </c>
    </row>
    <row r="2" ht="70" customHeight="1">
      <c r="A2" s="12" t="str">
        <v>AOW02</v>
      </c>
      <c r="B2" s="11" t="str">
        <v>Infrastructure Development Company Limited</v>
      </c>
      <c r="C2" s="11" t="str">
        <v>2.1.1 Prevent</v>
      </c>
      <c r="D2" s="11" t="str">
        <v>Bangladesh</v>
      </c>
      <c r="E2" s="11">
        <v>40000</v>
      </c>
      <c r="F2" s="11" t="str">
        <v>Humanitarian, development, and government partners remain willing to engage in co-design and testing of capacity-building modules and decision-support tools; institutions have sufficient staff time and technical capacity to participate, and local users ar</v>
      </c>
    </row>
    <row r="3" ht="70" customHeight="1">
      <c r="A3" s="11" t="str">
        <v>AOW02</v>
      </c>
      <c r="B3" s="11" t="str">
        <v>26c Daraja</v>
      </c>
      <c r="C3" s="11" t="str">
        <v>2.1.1 Prevent</v>
      </c>
      <c r="D3" s="11" t="str">
        <v>The Republic of the Sudan</v>
      </c>
      <c r="E3" s="11">
        <v>40000</v>
      </c>
      <c r="F3" s="11" t="str">
        <v>Humanitarian, development, and government partners remain willing to engage in co-design and testing of capacity-building modules and decision-support tools; institutions have sufficient staff time and technical capacity to participate, and local users ar</v>
      </c>
    </row>
    <row r="4" ht="70" customHeight="1">
      <c r="A4" s="11" t="str">
        <v>AOW02</v>
      </c>
      <c r="B4" s="11" t="str">
        <v>University of Gadarif</v>
      </c>
      <c r="C4" s="11" t="str">
        <v>2.2.2 Respond</v>
      </c>
      <c r="D4" s="11" t="str">
        <v>The Republic of the Sudan</v>
      </c>
      <c r="E4" s="11">
        <v>40000</v>
      </c>
      <c r="F4" s="11" t="str">
        <v>This budget covers partner-led research, adaptation, capacity building, and dissemination to ensure the product delivers actionable insights for humanitarian and development actors.</v>
      </c>
    </row>
    <row r="5" ht="70" customHeight="1">
      <c r="A5" s="11" t="str">
        <v>AOW02</v>
      </c>
      <c r="B5" s="11" t="str">
        <v>BRAC University</v>
      </c>
      <c r="C5" s="11" t="str">
        <v>2.2.2 Respond</v>
      </c>
      <c r="D5" s="11" t="str">
        <v>Bangladesh</v>
      </c>
      <c r="E5" s="11">
        <v>40000</v>
      </c>
      <c r="F5" s="11" t="str">
        <v>This budget covers partner-led research, adaptation, capacity building, and dissemination to ensure the product delivers actionable insights for humanitarian and development actors.</v>
      </c>
    </row>
    <row r="6" ht="70" customHeight="1">
      <c r="A6" s="11" t="str">
        <v>AOW02</v>
      </c>
      <c r="B6" s="11" t="str">
        <v>Norwegian Church Aid</v>
      </c>
      <c r="C6" s="11" t="str">
        <v>2.3.3 Recover</v>
      </c>
      <c r="D6" s="11" t="str">
        <v>Ethiopia,Kenya</v>
      </c>
      <c r="E6" s="11">
        <v>40000</v>
      </c>
      <c r="F6" s="11" t="str">
        <v xml:space="preserve"> IWMI, in collaboration with partners will continue to co-designed and implemented circular livelihood solutions in four refugee settlements in Kenya and Uganda, benefiting over 3,600 refugees and host community members through home gardening, agroforestry, and sustainable fuel production. </v>
      </c>
    </row>
    <row r="7" ht="70" customHeight="1" xml:space="preserve">
      <c r="A7" s="11" t="str">
        <v>AOW02</v>
      </c>
      <c r="B7" s="11" t="str">
        <v>Center for International Forestry Research (CIFOR) and World Agroforestry (ICRAF)</v>
      </c>
      <c r="C7" s="11" t="str">
        <v>2.3.3 Recover</v>
      </c>
      <c r="D7" s="11" t="str">
        <v>Ethiopia,Kenya</v>
      </c>
      <c r="E7" s="11">
        <v>80000</v>
      </c>
      <c r="F7" s="11" t="str" xml:space="preserve">
        <v xml:space="preserve">IWMI, in collaboration with CIFOR-ICRAF, Danish Refugee Council, UN-Habitat, the Kenyan Department of Refugee Services, and the Office of the Prime Minister in Uganda, has co-designed and implemented circular livelihood solutions in four refugee settlements in Kenya and Uganda, benefiting over 3,600 refugees and host community members through home gardening, agroforestry, and sustainable fuel production. 
</v>
      </c>
    </row>
    <row r="8" ht="25" customHeight="1">
      <c r="B8" s="14" t="str">
        <v>Contracted partners subtotal</v>
      </c>
      <c r="E8" s="14">
        <f>SUM(E2:E7)</f>
      </c>
    </row>
  </sheetData>
  <mergeCells count="2">
    <mergeCell ref="B8:D8"/>
    <mergeCell ref="A2:A8"/>
  </mergeCells>
  <ignoredErrors>
    <ignoredError numberStoredAsText="1" sqref="A1:F8"/>
  </ignoredErrors>
</worksheet>
</file>

<file path=xl/worksheets/sheet5.xml><?xml version="1.0" encoding="utf-8"?>
<worksheet xmlns="http://schemas.openxmlformats.org/spreadsheetml/2006/main" xmlns:r="http://schemas.openxmlformats.org/officeDocument/2006/relationships">
  <dimension ref="A1:F3"/>
  <sheetViews>
    <sheetView workbookViewId="0"/>
  </sheetViews>
  <cols>
    <col min="1" max="1" width="41.6640625" customWidth="1"/>
    <col min="2" max="2" width="10.00390625" customWidth="1"/>
    <col min="3" max="3" width="58.33203125" customWidth="1"/>
    <col min="4" max="4" width="16.6640625" customWidth="1"/>
    <col min="5" max="5" width="20.00390625" customWidth="1"/>
  </cols>
  <sheetData>
    <row r="1" ht="75" customHeight="1">
      <c r="A1" s="16" t="str">
        <v>Project title</v>
      </c>
      <c r="B1" s="17" t="str">
        <v>AOW</v>
      </c>
      <c r="C1" s="17" t="str">
        <v>High Level Outputs</v>
      </c>
      <c r="D1" s="17" t="str">
        <v>Budget (USD)</v>
      </c>
      <c r="E1" s="17" t="str">
        <v>Total budget (USD)</v>
      </c>
      <c r="F1" s="17" t="str">
        <v>Budget Assumptions</v>
      </c>
    </row>
    <row r="2" ht="30" customHeight="1">
      <c r="A2" s="18" t="str">
        <v>W-P-XXX1-Jahez</v>
      </c>
      <c r="B2" s="19" t="str">
        <v>AOW02</v>
      </c>
      <c r="C2" s="18" t="str">
        <v>2.1.1 Prevent</v>
      </c>
      <c r="D2" s="19">
        <v>741774</v>
      </c>
      <c r="E2" s="19" t="str">
        <f>=SUM(D2:D2)</f>
        <v>0</v>
      </c>
      <c r="F2" s="19" t="str">
        <v>This project has the objective of building climate resilience in refugee-hosting communities and along the humanitarian-development spectrum, through scalable interventions that integrate localized impact-based weather and climate information systems with community-based disaster risk reduction (DRR) and nature-based solutions (NbS), leveraging climate finance and other funding mechanisms. The cornerstone of Jahez will be a set of innovative, practical pilot projects in refugee-hosting communities in Jordan that prove the concept, and demonstrate the effectiveness to build resilience through holistic integration of community-based DRR and NbS.</v>
      </c>
    </row>
    <row r="3" ht="30" customHeight="1">
      <c r="A3" s="3" t="str">
        <v>W3/Bilateral projects subtotal</v>
      </c>
      <c r="E3" s="3">
        <f>SUM(E2:E2)</f>
      </c>
    </row>
  </sheetData>
  <mergeCells count="1">
    <mergeCell ref="A3:D3"/>
  </mergeCells>
  <ignoredErrors>
    <ignoredError numberStoredAsText="1" sqref="A1:F3"/>
  </ignoredErrors>
</worksheet>
</file>

<file path=xl/worksheets/sheet6.xml><?xml version="1.0" encoding="utf-8"?>
<worksheet xmlns="http://schemas.openxmlformats.org/spreadsheetml/2006/main" xmlns:r="http://schemas.openxmlformats.org/officeDocument/2006/relationships">
  <dimension ref="A1:F3"/>
  <sheetViews>
    <sheetView workbookViewId="0"/>
  </sheetViews>
  <cols>
    <col min="1" max="1" width="41.6640625" customWidth="1"/>
    <col min="2" max="2" width="10.00390625" customWidth="1"/>
    <col min="3" max="3" width="58.33203125" customWidth="1"/>
    <col min="4" max="4" width="16.6640625" customWidth="1"/>
    <col min="5" max="5" width="20.00390625" customWidth="1"/>
  </cols>
  <sheetData>
    <row r="1" ht="30" customHeight="1">
      <c r="A1" s="16" t="str">
        <v>MELIA study</v>
      </c>
      <c r="B1" s="16" t="str">
        <v>AOW</v>
      </c>
      <c r="C1" s="16" t="str">
        <v>Supported outcomes</v>
      </c>
      <c r="D1" s="16" t="str">
        <v>AOW budget (USD)</v>
      </c>
      <c r="E1" s="16" t="str">
        <v>Total budget (USD)</v>
      </c>
      <c r="F1" s="16" t="str">
        <v>Budget Assumptions</v>
      </c>
    </row>
    <row r="2">
      <c r="E2" s="3">
        <f>SUM(E2:E1)</f>
      </c>
    </row>
    <row r="3">
      <c r="A3" s="2" t="str">
        <v>MELIA Studies Budget subtotal</v>
      </c>
    </row>
  </sheetData>
  <mergeCells count="1">
    <mergeCell ref="A2:D2"/>
  </mergeCells>
  <ignoredErrors>
    <ignoredError numberStoredAsText="1" sqref="A1:F3"/>
  </ignoredErrors>
</worksheet>
</file>

<file path=xl/worksheets/sheet7.xml><?xml version="1.0" encoding="utf-8"?>
<worksheet xmlns="http://schemas.openxmlformats.org/spreadsheetml/2006/main" xmlns:r="http://schemas.openxmlformats.org/officeDocument/2006/relationships">
  <dimension ref="A1:G5"/>
  <sheetViews>
    <sheetView workbookViewId="0"/>
  </sheetViews>
  <cols>
    <col min="1" max="1" width="25.83203125" customWidth="1"/>
    <col min="2" max="2" width="10.83203125" customWidth="1"/>
    <col min="3" max="3" width="10.83203125" customWidth="1"/>
    <col min="4" max="4" width="10.83203125" customWidth="1"/>
    <col min="5" max="5" width="10.83203125" customWidth="1"/>
    <col min="6" max="6" width="10.83203125" customWidth="1"/>
    <col min="7" max="7" width="20.83203125" customWidth="1"/>
  </cols>
  <sheetData>
    <row r="1" ht="25" customHeight="1">
      <c r="A1" s="3" t="str">
        <v>Main Accounts</v>
      </c>
      <c r="B1" s="3" t="str">
        <v>AOW00</v>
      </c>
      <c r="C1" s="3" t="str">
        <v>AOW01</v>
      </c>
      <c r="D1" s="3" t="str">
        <v>AOW02</v>
      </c>
      <c r="E1" s="3" t="str">
        <v>AOW03</v>
      </c>
      <c r="F1" s="3" t="str">
        <v>AOW04</v>
      </c>
      <c r="G1" s="3" t="str">
        <v>Total budget (USD)</v>
      </c>
    </row>
    <row r="2" ht="20" customHeight="1">
      <c r="A2" s="20" t="str">
        <v>Collaborators non-CGIAR centers</v>
      </c>
      <c r="B2" s="20">
        <v>0</v>
      </c>
      <c r="C2" s="20">
        <v>0</v>
      </c>
      <c r="D2" s="20">
        <v>280000</v>
      </c>
      <c r="E2" s="20">
        <v>0</v>
      </c>
      <c r="F2" s="20">
        <v>0</v>
      </c>
      <c r="G2" s="20" t="str">
        <f>=SUM(B2:F2)</f>
        <v>0</v>
      </c>
    </row>
    <row r="3" ht="20" customHeight="1">
      <c r="A3" s="20" t="str">
        <v>Operations (supplies, consultants, travels, workshops, other)</v>
      </c>
      <c r="B3" s="20">
        <v>0</v>
      </c>
      <c r="C3" s="20">
        <v>28300</v>
      </c>
      <c r="D3" s="20">
        <v>290765</v>
      </c>
      <c r="E3" s="20">
        <v>0</v>
      </c>
      <c r="F3" s="20">
        <v>70356</v>
      </c>
      <c r="G3" s="20" t="str">
        <f>=SUM(B3:F3)</f>
        <v>0</v>
      </c>
    </row>
    <row r="4" ht="20" customHeight="1">
      <c r="A4" s="20" t="str">
        <v>Staffing, Chargebacks and Indirect</v>
      </c>
      <c r="B4" s="20">
        <v>0</v>
      </c>
      <c r="C4" s="20">
        <v>111374</v>
      </c>
      <c r="D4" s="20">
        <v>391129</v>
      </c>
      <c r="E4" s="20">
        <v>0</v>
      </c>
      <c r="F4" s="20">
        <v>164164</v>
      </c>
      <c r="G4" s="20" t="str">
        <f>=SUM(B4:F4)</f>
        <v>0</v>
      </c>
    </row>
    <row r="5" ht="20" customHeight="1">
      <c r="A5" s="21" t="str">
        <v>Subtotal</v>
      </c>
      <c r="B5" s="22" t="str">
        <f>=SUM(B2:B4)</f>
        <v>0</v>
      </c>
      <c r="C5" s="23" t="str">
        <f>=SUM(C2:C4)</f>
        <v>0</v>
      </c>
      <c r="D5" s="23" t="str">
        <f>=SUM(D2:D4)</f>
        <v>0</v>
      </c>
      <c r="E5" s="23" t="str">
        <f>=SUM(E2:E4)</f>
        <v>0</v>
      </c>
      <c r="F5" s="23" t="str">
        <f>=SUM(F2:F4)</f>
        <v>0</v>
      </c>
      <c r="G5" s="23" t="str">
        <f>=SUM(G2:G4)</f>
        <v>0</v>
      </c>
    </row>
  </sheetData>
  <ignoredErrors>
    <ignoredError numberStoredAsText="1" sqref="A1:G5"/>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7</vt:i4>
      </vt:variant>
    </vt:vector>
  </HeadingPairs>
  <TitlesOfParts>
    <vt:vector size="7" baseType="lpstr">
      <vt:lpstr>Summary</vt:lpstr>
      <vt:lpstr>Cross-Cutting</vt:lpstr>
      <vt:lpstr>HLO</vt:lpstr>
      <vt:lpstr>Partner</vt:lpstr>
      <vt:lpstr>W3-Bilateral projects</vt:lpstr>
      <vt:lpstr>MELIA</vt:lpstr>
      <vt:lpstr>Anaplan</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