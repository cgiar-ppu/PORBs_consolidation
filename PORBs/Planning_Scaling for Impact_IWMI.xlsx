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7</v>
      </c>
      <c r="E5" s="5">
        <v>174122</v>
      </c>
      <c r="F5" s="2">
        <v>19</v>
      </c>
      <c r="G5" s="5">
        <v>515146</v>
      </c>
      <c r="H5" s="2">
        <v>4</v>
      </c>
      <c r="I5" s="5">
        <v>75500</v>
      </c>
      <c r="J5" s="5">
        <v>83378</v>
      </c>
      <c r="K5" s="5">
        <v>0</v>
      </c>
      <c r="L5" s="5">
        <v>848146</v>
      </c>
      <c r="M5" s="5">
        <v>0</v>
      </c>
    </row>
    <row r="6" ht="20" customHeight="1">
      <c r="A6" s="2" t="str">
        <v>AOW02: Grand Challenges and Scaling Flagships</v>
      </c>
      <c r="B6" s="2">
        <v>0</v>
      </c>
      <c r="C6" s="5">
        <v>0</v>
      </c>
      <c r="D6" s="2">
        <v>0</v>
      </c>
      <c r="E6" s="5">
        <v>0</v>
      </c>
      <c r="F6" s="2">
        <v>0</v>
      </c>
      <c r="G6" s="5">
        <v>0</v>
      </c>
      <c r="H6" s="2">
        <v>99880</v>
      </c>
      <c r="I6" s="5">
        <v>448349</v>
      </c>
      <c r="J6" s="5">
        <v>48500</v>
      </c>
      <c r="K6" s="5">
        <v>0</v>
      </c>
      <c r="L6" s="5">
        <v>496849</v>
      </c>
      <c r="M6" s="5">
        <v>413645</v>
      </c>
    </row>
    <row r="7" ht="20" customHeight="1">
      <c r="A7" s="2" t="str">
        <v>AOW03: Enabling Environment Lab</v>
      </c>
      <c r="B7" s="2">
        <v>200</v>
      </c>
      <c r="C7" s="5">
        <v>20000</v>
      </c>
      <c r="D7" s="2">
        <v>8</v>
      </c>
      <c r="E7" s="5">
        <v>280750</v>
      </c>
      <c r="F7" s="2">
        <v>10045</v>
      </c>
      <c r="G7" s="5">
        <v>355764</v>
      </c>
      <c r="H7" s="2">
        <v>2035001</v>
      </c>
      <c r="I7" s="5">
        <v>264517</v>
      </c>
      <c r="J7" s="5">
        <v>95862</v>
      </c>
      <c r="K7" s="5">
        <v>0</v>
      </c>
      <c r="L7" s="5">
        <v>1016893</v>
      </c>
      <c r="M7" s="5">
        <v>893249</v>
      </c>
    </row>
    <row r="8" ht="20" customHeight="1">
      <c r="A8" s="2" t="str">
        <v>AOW04: Achieving Impact by Unlocking Finance and Partnerships</v>
      </c>
      <c r="B8" s="2">
        <v>2</v>
      </c>
      <c r="C8" s="5">
        <v>66521</v>
      </c>
      <c r="D8" s="2">
        <v>3</v>
      </c>
      <c r="E8" s="5">
        <v>66521</v>
      </c>
      <c r="F8" s="2">
        <v>0</v>
      </c>
      <c r="G8" s="5">
        <v>0</v>
      </c>
      <c r="H8" s="2">
        <v>330000000</v>
      </c>
      <c r="I8" s="5">
        <v>55066</v>
      </c>
      <c r="J8" s="5">
        <v>40150</v>
      </c>
      <c r="K8" s="5">
        <v>0</v>
      </c>
      <c r="L8" s="5">
        <v>228258</v>
      </c>
      <c r="M8" s="5">
        <v>0</v>
      </c>
    </row>
    <row r="9" ht="20" customHeight="1">
      <c r="A9" s="2" t="str">
        <v>AOW05: Learning for Impact</v>
      </c>
      <c r="B9" s="2">
        <v>0</v>
      </c>
      <c r="C9" s="5">
        <v>0</v>
      </c>
      <c r="D9" s="2">
        <v>6</v>
      </c>
      <c r="E9" s="5">
        <v>15000</v>
      </c>
      <c r="F9" s="2">
        <v>490</v>
      </c>
      <c r="G9" s="5">
        <v>108000</v>
      </c>
      <c r="H9" s="2">
        <v>2000000</v>
      </c>
      <c r="I9" s="5">
        <v>25000</v>
      </c>
      <c r="J9" s="5">
        <v>3156</v>
      </c>
      <c r="K9" s="5">
        <v>24844</v>
      </c>
      <c r="L9" s="5">
        <v>176000</v>
      </c>
      <c r="M9" s="5">
        <v>3383110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5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A1P8.3: PoD name: CGIAR Demand Intelligence Dashboard. Lead Center: IWMI. oD KPI: 1 – One fully functional CGIAR Demand Intelligence Dashboard 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Capacity Sharing. Unit: Number of tools.
PoD Description: This package scales the CGIAR Demand Intelligence Dashboard (CGIAR-DID)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dashboard that is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PAccountable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people trained (capacity sharing for development)</v>
      </c>
      <c r="E3" s="11" t="str">
        <v>Global</v>
      </c>
      <c r="F3" s="11">
        <v>1</v>
      </c>
      <c r="G3" s="11">
        <v>203000</v>
      </c>
      <c r="H3" s="11">
        <f>SUM(G3:G10)</f>
      </c>
      <c r="I3" s="11" t="str" xml:space="preserve">
        <v xml:space="preserve">Assumptions: Continued commitment to digital transformation, access to integrated datasets (CG Space, GloMIP, PRMS), and participation of all partner Centers.
Budget allocation to the partner - US$ 47,000
</v>
      </c>
    </row>
    <row r="4" ht="50" customHeight="1" xml:space="preserve">
      <c r="A4" s="11" t="str">
        <v>AOW01</v>
      </c>
      <c r="C4" s="11" t="str" xml:space="preserve">
        <v xml:space="preserve">A1P8.2: PoD name: CGIAR Demand Intelligence Dashboard.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focused on CGIAR Programs rather than individuals). Indicator type: Capacity Sharing. Unit: Number of CGIAR Program/projects.
PoD Description: This package scales the CGIAR Demand Intelligence Dashboard (CGIAR-DID) from a proof-of-concept into a globally applied Demand Intelligence Impact Package that helps CGIAR Programs systematically align research and scaling portfolios with real-time stakeholder demand. In 2026, the work will develop and endorse a global Demand Intelligence Impact Strategy and Action Plan, deploy an Impact Management System with live monitoring and analytics, and roll out regional training and dissemination activities across Africa, Asia, and Latin America. Through these steps, the package will institutionalize the use of demand intelligence tools within CGIAR Programs, improve adaptive management, and reduce misaligned projects by enabling evidence-based decision-making on where and how to invest for impact. Accountable Center leading this PoD: IWMI. Anticipated partners: IRRI; IITA; Alliance of Bioversity and CIAT; CGIAR Digital Accelerator; DIWASA Project in Africa; UAE Presidential Court UN Water 2026 (TBD); IRRI bilateral partners; national stakeholders in Nigeria, Bangladesh, and Colombia. MELIA: Monitoring, evaluation, and learning plans will be developed in early 2026 in cooperation with the S4I PMU and/or AoW‑5, and where needed will include baseline assessments and indicator tracking and reporting in line with Program and CGIAR guidelines.</v>
      </c>
      <c r="D4" s="11" t="str">
        <v>Number of people trained (capacity sharing for development)</v>
      </c>
      <c r="E4" s="11" t="str">
        <v>Global</v>
      </c>
      <c r="F4" s="11">
        <v>3</v>
      </c>
      <c r="G4" s="11">
        <v>67054</v>
      </c>
      <c r="I4" s="11" t="str" xml:space="preserve">
        <v xml:space="preserve">Assumptions: Active participation of CGIAR Programs, continued support from the Digital Accelerator, and stable IT infrastructure for dashboard deployment.
</v>
      </c>
    </row>
    <row r="5" ht="50" customHeight="1" xml:space="preserve">
      <c r="A5" s="11" t="str">
        <v>AOW01</v>
      </c>
      <c r="C5" s="11" t="str" xml:space="preserve">
        <v xml:space="preserve">A1P8.1: PoD name: CGIAR Demand Intelligence Dashboard. Lead Center: IWMI. PoD KPI: 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Dashboard (CGIAR-DID) from proof-of-concept to a globally integrated decision-support platform that connects demand intelligence with core CGIAR data systems. In 2026, this deliverable will finalize API and schema specifications, develop and validate interoperability modules, and fully integrate CGIAR-DID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D5" s="11" t="str">
        <v>Number of people trained (capacity sharing for development)</v>
      </c>
      <c r="E5" s="11" t="str">
        <v>Global</v>
      </c>
      <c r="F5" s="11">
        <v>1</v>
      </c>
      <c r="G5" s="11">
        <v>151092</v>
      </c>
      <c r="I5" s="11" t="str" xml:space="preserve">
        <v xml:space="preserve">Assumptions: Continuous collaboration with GloMIP, CG Space, and PRMS teams; stable IT infrastructure; sustained demand for digital integration from Programs and Accelerators.
</v>
      </c>
    </row>
    <row r="6" ht="50" customHeight="1" xml:space="preserve">
      <c r="A6" s="11" t="str">
        <v>AOW01</v>
      </c>
      <c r="C6" s="11" t="str" xml:space="preserve">
        <v xml:space="preserve">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strategies/methods.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design and implement a harmonized AKIS diagnostic methodology that integrates quantitative and qualitative tools from existing AoW1 work to assess the structure, functions, capacities, and enabling environment of Nigeria’s agrifood knowledge and innovation system. The diagnostic will identify actor needs, coordination gaps, institutional bottlenecks, and opportunities to improve governance, policy coherence, and demand-driven innovation, creating a solid evidence base for adaptive management and targeted investment in scaling. Accountable Center leading this PoD: IWMI. Anticipated partners: Bangladesh Agricultural Research Council; national research and policy stakeholders in Nigeria, in collaboration with the Alliance of Bioversity and CIAT and CIMMYT.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knowledge products</v>
      </c>
      <c r="E6" s="11" t="str">
        <v>Country: Nigeria</v>
      </c>
      <c r="F6" s="11">
        <v>1</v>
      </c>
      <c r="G6" s="11">
        <v>60000</v>
      </c>
      <c r="I6" s="11" t="str" xml:space="preserve">
        <v xml:space="preserve">Assumptions: Stable collaboration with national partners and consistent data access.
</v>
      </c>
    </row>
    <row r="7" ht="50" customHeight="1" xml:space="preserve">
      <c r="A7" s="11" t="str">
        <v>AOW01</v>
      </c>
      <c r="C7" s="11" t="str" xml:space="preserve">
        <v xml:space="preserve">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enhancing alignment between CGIAR and national priorities through participatory planning and institutional learning. Suggested Disaggregation: Not applicable (workshop- and report-level KPI focused on a defined set of country processes and knowledge products). Indicator type: Knowledge product. Unit: Number of reports.
PoD Description: This package strengthens CGIAR’s demand signaling capacity by enhancing and standardizing a policy and institutional analysis methodology that links national priorities with scaling for impact. In 2026, the work focuses on Nigeria, where the refined methodology will underpin participatory workshops that validate policy analysis findings and co-design a country-specific “Demand for Scaling” agenda. These workshops will bring together government and partner stakeholders to review evidence on alignment, gaps, and opportunities between national agricultural priorities and CGIAR research areas, and to agree on actionable steps for adaptive, demand-driven research, investment, and scaling.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knowledge products</v>
      </c>
      <c r="E7" s="11" t="str">
        <v>Country: Nigeria</v>
      </c>
      <c r="F7" s="11">
        <v>2</v>
      </c>
      <c r="G7" s="11">
        <v>28622</v>
      </c>
      <c r="I7" s="11" t="str" xml:space="preserve">
        <v xml:space="preserve">Assumptions: Continued institutional collaboration, stable travel conditions, and stakeholder willingness to co-develop scaling priorities.
Budget allocated to Partner US$:-11,378
Federal Ministry of Agriculture and Rural Development (Nigeria)
</v>
      </c>
    </row>
    <row r="8" ht="50" customHeight="1" xml:space="preserve">
      <c r="A8" s="11" t="str">
        <v>AOW01</v>
      </c>
      <c r="C8" s="11" t="str" xml:space="preserve">
        <v xml:space="preserve">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focused on a single framework). Indicator type: Knowledge product. Unit: Number of methods.
PoD Description: This package strengthens CGIAR’s demand signaling capacity by developing and standardizing a policy and institutional analysis methodology that links national priorities with scaling for impact. In 2026, the work focuses on Nigeria, enhancing the existing policy inventory to deliver an integrated methodological framework and guide that embeds the demand signaling lens from a scaling perspective and incorporates qualitative and participatory tools. Applied in collaboration with national stakeholders, the framework will underpin comprehensive country analyses of alignment, gaps, and opportunities between Nigerian agricultural priorities and CGIAR research areas, and will inform participatory agenda-setting processes that co-design country-specific action points to address identified demand gaps.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D8" s="11" t="str">
        <v>Number of knowledge products</v>
      </c>
      <c r="E8" s="11" t="str">
        <v>Country: Nigeria</v>
      </c>
      <c r="F8" s="11">
        <v>1</v>
      </c>
      <c r="G8" s="11">
        <v>20000</v>
      </c>
      <c r="I8" s="11" t="str" xml:space="preserve">
        <v xml:space="preserve">Assumptions: Sustained political commitment to national agricultural planning; stable CGIAR engagement and country platform functionality.
</v>
      </c>
    </row>
    <row r="9" ht="50" customHeight="1" xml:space="preserve">
      <c r="A9" s="11" t="str">
        <v>AOW01</v>
      </c>
      <c r="C9" s="11" t="str" xml:space="preserve">
        <v xml:space="preserve">A1P7.2: PoD name: Agrifood knowledge and innovation systems for demand-driven scaling (AKIS-DS). Lead Center: IWMI. PoD Description: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validate a demand-driven roadmap that translates AKIS diagnostic insights into a shared national agenda for research, policy, and investment, aligning Nigerian agricultural priorities with CGIAR’s portfolio and strengthening coordination among government, research, and private actors for adaptive, inclusive scaling.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D9" s="11" t="str">
        <v xml:space="preserve"> Other Output-Number of strategies</v>
      </c>
      <c r="E9" s="11" t="str">
        <v>Country: Nigeria</v>
      </c>
      <c r="F9" s="11">
        <v>1</v>
      </c>
      <c r="G9" s="11">
        <v>25500</v>
      </c>
      <c r="I9" s="11" t="str" xml:space="preserve">
        <v xml:space="preserve"> Assumption: Key government and partner institutions maintain ownership and commitment to implement roadmap recommendations through 2026.
Budget allocated to Partner: 4.5K
Nigerian Institute of Social and Economic Research
</v>
      </c>
    </row>
    <row r="10" ht="50" customHeight="1" xml:space="preserve">
      <c r="A10" s="11" t="str">
        <v>AOW01</v>
      </c>
      <c r="C10" s="11" t="str" xml:space="preserve">
        <v xml:space="preserve">A1P7.3: PoD name: Agrifood knowledge and innovation systems for demand-driven scaling (AKIS-DS). Lead Center: PoD KPI: 2 – Two demand-driven scaling knowledge products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focused on a defined set of national knowledge products). Indicator type: Other Output. Unit: Number of strategies.
IWMI.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implement country-specific demand-driven scaling reports and communication strategies that translate AKIS diagnostic and roadmap insights into clear, actionable messages for policymakers, research institutes, and private actors. These products will consolidate lessons from multi-stakeholder processes, strengthen institutional learning and feedback loops, and support alignment of CGIAR research and investment decisions with Nigeria’s agrifood priorities, while also feeding into S4I Scaling Week and other program events to foster South–South collaboration.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 Other Output</v>
      </c>
      <c r="E10" s="11" t="str">
        <v>Country: Nigeria</v>
      </c>
      <c r="F10" s="11">
        <v>2</v>
      </c>
      <c r="G10" s="11">
        <v>20000</v>
      </c>
      <c r="I10" s="11" t="str" xml:space="preserve">
        <v xml:space="preserve">Assumptions: AKIS partners remain engaged, and program events (e.g., Scaling Week) proceed as planned.
</v>
      </c>
    </row>
    <row r="11" ht="50" customHeight="1" xml:space="preserve">
      <c r="A11" s="11" t="str">
        <v>AOW01</v>
      </c>
      <c r="B11" s="11" t="str">
        <v>HLO 1.1.2: Feedback and adaptive research and scaling prioritization</v>
      </c>
      <c r="C11" s="11" t="str" xml:space="preserve">
        <v xml:space="preserve">A1P12.2: PoD name: Adaptive Management – Success and Failure Story Series. Lead Center: IWMI. PoD KPI: 8 – Eight CGIAR Programs or Accelerators actively using and documenting adaptive management practices by the end of 2026, with results synthesized into an annual global learning brief and showcased through the P&amp;R Hub to inform portfolio-wide learning and planning. Suggested Disaggregation: Not applicable; the unit of measurement is number of programs, not individuals. Indicator type: Capacity Sharing. Unit: Number of programs.
PoD Description: This package develops, curates, and disseminates a series of adaptive management case stories across CGIAR Programs and Accelerators, documenting both successes and challenges in how evidence, learning loops, and feedback mechanisms are used to adjust strategies, resources, and scaling pathways. By capturing real-time experiences from initiatives in Bangladesh, Kenya, Nigeria, Ethiopia, India, Colombia, and Latin America, and synthesizing them into an annual global learning brief showcased through the Pause &amp; Reflect Hub, the work will strengthen a culture of transparency, shared learning, and evidence-informed decision-making across the CGIAR portfolio. Accountable Center leading this PoD: IWMI. Anticipated partners: CGIAR Programs and Accelerators in Bangladesh, Kenya, Nigeria, Ethiopia, India, Colombia, and Latin America; national partners engaged in monitoring, evaluation, learning, and impact assessment; and collaborating initiatives linked to the Gates-funded MELIA strategic outcomes project. MELIA: Monitoring, evaluation, and learning plans will be developed in early 2026 in cooperation with the S4I PMU and/or AoW‑5, and where needed will include baseline assessments and indicator tracking and reporting in line with Program and CGIAR guidelines.</v>
      </c>
      <c r="D11" s="11" t="str">
        <v>Number of people trained (capacity sharing for development)</v>
      </c>
      <c r="E11" s="11" t="str">
        <v>Global</v>
      </c>
      <c r="F11" s="11">
        <v>8</v>
      </c>
      <c r="G11" s="11">
        <v>50000</v>
      </c>
      <c r="H11" s="11">
        <f>SUM(G11:G12)</f>
      </c>
      <c r="I11" s="11" t="str">
        <v>Assumptions: Leadership and country teams endorse open learning, and adaptive management remains a portfolio priority. External Risk: Political sensitivities or donor approval requirements may constrain story publication. Mitigation: Use pre-clearance pro</v>
      </c>
    </row>
    <row r="12" ht="50" customHeight="1" xml:space="preserve">
      <c r="A12" s="11" t="str">
        <v>AOW01</v>
      </c>
      <c r="C12" s="11" t="str" xml:space="preserve">
        <v xml:space="preserve">A1P12.1: PoD name: Adaptive Management – Pause and Reflect (P&amp;R) Workshops. Lead Center: IWMI. PoD KPI: 6 – Six Pause and Reflect workshops implemented across Bangladesh, Nigeria, Ethiopia, Kenya, India, and Egypt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Egypt). Indicator type: Capacity Sharing, Unit of measurement: Number of CGIAR programs or accelerators
PoD Description: In 2026, this PoD will support the institutionalization of adaptive management across CGIAR by organizing structured Pause and Reflect (P&amp;R) workshops that enable Programs, Accelerators, and bilateral projects to systematically review evidence, identify bottlenecks, and recalibrate priorities in response to partner demand. Building on emerging practice in Bangladesh, Nigeria, and Ethiopia, the work will facilitate learning sessions in up to six 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v>
      </c>
      <c r="D12" s="11" t="str">
        <v>Number of people trained (capacity sharing for development)</v>
      </c>
      <c r="E12" s="11" t="str">
        <v>Global</v>
      </c>
      <c r="F12" s="11">
        <v>6</v>
      </c>
      <c r="G12" s="11">
        <v>44000</v>
      </c>
      <c r="I12" s="11" t="str" xml:space="preserve">
        <v xml:space="preserve">Assumptions: Centers and partners remain committed to integrating adaptive management principles and transparent learning culture.
Budget allocated to Partner: US$-16K
CGIAR PPU and PCU</v>
      </c>
    </row>
    <row r="13" ht="50" customHeight="1" xml:space="preserve">
      <c r="A13" s="11" t="str">
        <v>AOW01</v>
      </c>
      <c r="B13" s="11" t="str">
        <v>HLO 1.1.3: Enhance strategies and coordination</v>
      </c>
      <c r="C13" s="11" t="str" xml:space="preserve">
        <v xml:space="preserve">A1P19.2: PoD name: CGIAR Country Strategy and Coordination. Lead Center: IWMI. PoD KPI: 1- One CGIAR Annual Report finalized and launched in 2026, detailing the status of the implementation of the country portfolio and the Country Strategic Framework (CSF), synthesizing insights from adaptive management for accountability and alignment with country priorities, and validated for use in informing additional countries. Suggested Disaggregation: Not applicable for this strategy-level KPI (number of country strategic frameworks rather than individual beneficiaries).Indicator type: Other Output. Unit: Number of organizations. Location: Nepal. 
PoD Description: This package will strengthen CGIAR’s country-level coordination and strategic alignment by co-designing and implementing comprehensive CGIAR Country Strategic Frameworks (CSFs) and reinforcing country convening functions. Through participatory processes with governments, national research and innovation institutions, and other stakeholders, it will improve research prioritization, enhance cross-program collaboration, and support coordinated scaling and enabling-environment efforts. At least four priority countries with dense CGIAR portfolios will be targeted, with CGIAR Country Conveners acting as scaling enablers who foster partnerships, mobilize resources, and ensure adaptive responses to evolving national priorities.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across Bangladesh, Nigeria, Ethiopia, and Kenya. Accountable Center leading this PoD: IWMI. Anticipated partners: National agricultural research systems; line ministries and policy agencies; national research and innovation institutions; and other country-level partner organizations engaged through co-design, consultation, and facilitation processes in Bangladesh, Nigeria, Ethiopia, and Kenya. MELIA: Monitoring, evaluation, and learning plans will be developed in early 2026 in cooperation with the S4I PMU and/or AoW‑5, and where needed will include baseline assessments and indicator tracking and reporting in line with Program and CGIAR guidelines.</v>
      </c>
      <c r="D13" s="11" t="str">
        <v xml:space="preserve"> Number of organizations</v>
      </c>
      <c r="E13" s="11" t="str">
        <v>Country: Nepal, Nigeria</v>
      </c>
      <c r="F13" s="11">
        <v>1</v>
      </c>
      <c r="G13" s="11">
        <v>30000</v>
      </c>
      <c r="H13" s="11">
        <f>SUM(G13:G15)</f>
      </c>
      <c r="I13" s="11" t="str">
        <v>Assumptions: Countries selected have active CGIAR presence and established relationships with national partners.</v>
      </c>
    </row>
    <row r="14" ht="50" customHeight="1" xml:space="preserve">
      <c r="A14" s="11" t="str">
        <v>AOW01</v>
      </c>
      <c r="C14" s="11" t="str" xml:space="preserve">
        <v xml:space="preserve">A1P19.1: PoD name: CGIAR Country Strategy and Coordination. Lead Center: IWMI. PoD KPI: One CGIAR Country Strategic Framework for Nepal finalized and launched in 2026, co-developed with national partners and CGIAR Centers to facilitate cross-program collaboration, adaptive management, and portfolio alignment.. Suggested Disaggregation: Not applicable for this organization-level KPI (number of Country Convener functions rather than individual beneficiaries).  Indicator type: Knowledge Product. Unit: Number of strategies. Location: Nepal. 
PoD Description: One CGIAR Country Strategic Framework for Nepal finalized and launched in 2026, co-developed with national partners and CGIAR Centers to facilitate cross-program collaboration, adaptive management, and portfolio alignment.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Indicator type: Knowledge Product. Unit: Number of strategies. Location: Nepal. Responsible Centers: IWMI (lead) with IITA. Partner modality: Partners receiving W1/2 funds participate in a national coordination workshop for alignment and CSF co-development. Risks and assumptions: Coordination demands may exceed staff capacity; mitigation includes phased staffing and shared convening arrangements. Role overlap between Centers and Conveners may create inefficiencies; mitigation includes standardized terms of reference and embedding Convener roles within the CSF. External risks include political changes or funding delays; mitigation requires flexible planning cycles and continuous government engagement. Assumes strong country collaboration and alignment of Program teams with the CSF processMELIA: Monitoring, evaluation, and learning plans will be developed in early 2026 in cooperation with the S4I PMU and/or AoW‑5, and where needed will include baseline assessments and indicator tracking and reporting in line with Program and CGIAR guidelines.</v>
      </c>
      <c r="D14" s="11" t="str">
        <v>Number of knowledge products</v>
      </c>
      <c r="E14" s="11" t="str">
        <v>Country: Nepal, Nigeria</v>
      </c>
      <c r="F14" s="11">
        <v>1</v>
      </c>
      <c r="G14" s="11">
        <v>25500</v>
      </c>
      <c r="I14" s="11" t="str" xml:space="preserve">
        <v xml:space="preserve">Assumptions: Country offices and Program teams will align engagement plans with CC-led coordination mechanisms. 
4.5K US$ is allocated to Partners 
The entire national research and innovation insititutionsin the country
</v>
      </c>
    </row>
    <row r="15" ht="50" customHeight="1" xml:space="preserve">
      <c r="A15" s="11" t="str">
        <v>AOW01</v>
      </c>
      <c r="C15" s="11" t="str" xml:space="preserve">
        <v xml:space="preserve">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refining and applying a coherent policy and institutional analysis methodology that connects national priorities with scaling pathways. Building on the 2025 policy inventory and analysis, the 2026 work under this deliverable focuses on Nigeria, where the standardized framework will be used to assess alignment, gaps, and opportunities between national policies and CGIAR research and innovation priorities. Evidence and insights from this analysis will synthesize demand signals from public policies and national programs for research, investment, and scaling, and inform co-designed country action agendas with government and other stakeholders. By linking policy evidence with participatory demand articulation, the work contributes directly to AoW1 HLO 1.1 on demand signaling and to 2030 Outcome 1 on adaptive, demand-driven CGIAR research and scaling.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D15" s="11" t="str">
        <v>Number of knowledge products</v>
      </c>
      <c r="E15" s="11" t="str">
        <v>Country: Nigeria</v>
      </c>
      <c r="F15" s="11">
        <v>2</v>
      </c>
      <c r="G15" s="11">
        <v>40000</v>
      </c>
      <c r="I15" s="11" t="str">
        <v>Assumptions: Continued policy interest in agricultural innovation and scaling; active engagement of national ministries and CGIAR focal points.</v>
      </c>
    </row>
    <row r="16" ht="25" customHeight="1">
      <c r="B16" s="14" t="str">
        <v>HLO budget subtotal</v>
      </c>
      <c r="H16" s="15">
        <f>SUM(H3:H15)</f>
      </c>
    </row>
    <row r="17" ht="50" customHeight="1" xml:space="preserve">
      <c r="A17" s="13" t="str">
        <v>AOW02</v>
      </c>
      <c r="B17" s="11" t="str">
        <v>HLO 2.2.1: Access climate services and smart water management tools that improve adaptation decisions and resource efficiency.</v>
      </c>
      <c r="C17" s="11" t="str" xml:space="preserve">
        <v xml:space="preserve">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v>
      </c>
      <c r="D17" s="11" t="str">
        <v xml:space="preserve"> Other Output</v>
      </c>
      <c r="E17" s="11" t="str">
        <v>Country: India, Bangladesh, Nigeria, Kenya, Ethiopia</v>
      </c>
      <c r="F17" s="11">
        <v>150000</v>
      </c>
      <c r="G17" s="11">
        <v>222669</v>
      </c>
      <c r="H17" s="11">
        <f>SUM(G17:G18)</f>
      </c>
      <c r="I17" s="11" t="str" xml:space="preserve">
        <v xml:space="preserve">Assumption: Private sector interest and co-investment commitments remain stable, supported by verified business models and viable farmer demand.
Budget Allocated to Partner: US$ 43500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v>
      </c>
    </row>
    <row r="18" ht="50" customHeight="1" xml:space="preserve">
      <c r="A18" s="11" t="str">
        <v>AOW02</v>
      </c>
      <c r="C18" s="11" t="str" xml:space="preserve">
        <v xml:space="preserve">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v>
      </c>
      <c r="D18" s="11" t="str">
        <v xml:space="preserve"> Other Output</v>
      </c>
      <c r="E18" s="11" t="str">
        <v>Country: Guatemala, Colombia</v>
      </c>
      <c r="F18" s="11">
        <v>20000</v>
      </c>
      <c r="G18" s="11">
        <v>88722</v>
      </c>
      <c r="I18" s="11" t="str" xml:space="preserve">
        <v xml:space="preserve">Assumption: National policy support and donor alignment (e.g., GCF pipelines) remain stable to enable institutional embedding.
</v>
      </c>
    </row>
    <row r="19" ht="50" customHeight="1" xml:space="preserve">
      <c r="A19" s="11" t="str">
        <v>AOW02</v>
      </c>
      <c r="B19" s="11" t="str">
        <v>HLO 2.2.2: Inclusive and efficient innovation delivery systems that support biodiverse, sustainable production, generate new jobs, and expand access for women, youth, and small and medium enterprises.</v>
      </c>
      <c r="C19" s="11" t="str" xml:space="preserve">
        <v xml:space="preserve">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v>
      </c>
      <c r="D19" s="11" t="str">
        <v xml:space="preserve"> Other Output</v>
      </c>
      <c r="E19" s="11" t="str">
        <v>Country: Nepal</v>
      </c>
      <c r="F19" s="11">
        <v>65600</v>
      </c>
      <c r="G19" s="11">
        <v>44362</v>
      </c>
      <c r="H19" s="11">
        <f>SUM(G19:G24)</f>
      </c>
      <c r="I19" s="11" t="str" xml:space="preserve">
        <v xml:space="preserve">Assumption: Continued government and donor support for Terai-focused climate-resilient agriculture.
</v>
      </c>
    </row>
    <row r="20" ht="50" customHeight="1" xml:space="preserve">
      <c r="A20" s="11" t="str">
        <v>AOW02</v>
      </c>
      <c r="C20" s="11" t="str" xml:space="preserve">
        <v xml:space="preserve">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v>
      </c>
      <c r="D20" s="11" t="str">
        <v xml:space="preserve"> Other output</v>
      </c>
      <c r="E20" s="11" t="str">
        <v>Country: Nepal</v>
      </c>
      <c r="F20" s="11">
        <v>3780</v>
      </c>
      <c r="G20" s="11">
        <v>39362</v>
      </c>
      <c r="I20" s="11" t="str" xml:space="preserve">
        <v xml:space="preserve">Assumption: Continued government and donor support for climate-resilient agricultural transformation in the Terai.
Allocated budget to Partner: 5K
Federal and provincial Ministries of Agriculture, Livestock, Land Management, and Cooperatives, DWRI, CCDABC
</v>
      </c>
    </row>
    <row r="21" ht="50" customHeight="1" xml:space="preserve">
      <c r="A21" s="11" t="str">
        <v>AOW02</v>
      </c>
      <c r="C21" s="11" t="str" xml:space="preserve">
        <v xml:space="preserve">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v>
      </c>
      <c r="D21" s="11" t="str">
        <v>Number of jobs</v>
      </c>
      <c r="E21" s="11" t="str">
        <v>Country: Malawi, Zambia</v>
      </c>
      <c r="F21" s="11">
        <v>500</v>
      </c>
      <c r="G21" s="11">
        <v>14625</v>
      </c>
      <c r="I21" s="11" t="str" xml:space="preserve">
        <v xml:space="preserve">Assumption: Continued demand from governments and private sector for inclusive mechanization business models that create rural employment and improve productivity.
</v>
      </c>
    </row>
    <row r="22" ht="50" customHeight="1" xml:space="preserve">
      <c r="A22" s="11" t="str">
        <v>AOW02</v>
      </c>
      <c r="C22" s="11" t="str" xml:space="preserve">
        <v xml:space="preserve">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v>
      </c>
      <c r="D22" s="11" t="str">
        <v xml:space="preserve">Number of farmers </v>
      </c>
      <c r="E22" s="11" t="str">
        <v>Country: Malawi, Zambia</v>
      </c>
      <c r="F22" s="11">
        <v>15000</v>
      </c>
      <c r="G22" s="11">
        <v>13162</v>
      </c>
      <c r="I22" s="11" t="str" xml:space="preserve">
        <v xml:space="preserve">Assumes continued policy alignment and market interest in private-sector-led mechanization for smallholder systems.
</v>
      </c>
    </row>
    <row r="23" ht="50" customHeight="1" xml:space="preserve">
      <c r="A23" s="11" t="str">
        <v>AOW02</v>
      </c>
      <c r="C23" s="11" t="str" xml:space="preserve">
        <v xml:space="preserve">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v>
      </c>
      <c r="D23" s="11" t="str">
        <v>Amount in USD</v>
      </c>
      <c r="E23" s="11" t="str">
        <v>Country: Malawi, Zambia</v>
      </c>
      <c r="F23" s="11">
        <v>30000</v>
      </c>
      <c r="G23" s="11">
        <v>7312</v>
      </c>
      <c r="I23" s="11" t="str" xml:space="preserve">
        <v xml:space="preserve">Assumes consistent government and private-sector demand for mechanization finance to support youth and women entrepreneurs.
</v>
      </c>
    </row>
    <row r="24" ht="50" customHeight="1" xml:space="preserve">
      <c r="A24" s="11" t="str">
        <v>AOW02</v>
      </c>
      <c r="C24" s="11" t="str" xml:space="preserve">
        <v xml:space="preserve">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v>
      </c>
      <c r="D24" s="11" t="str">
        <v>Number of policy/market intervention</v>
      </c>
      <c r="E24" s="11" t="str">
        <v>Country: Malawi, Zambia</v>
      </c>
      <c r="F24" s="11">
        <v>1</v>
      </c>
      <c r="G24" s="11">
        <v>2925</v>
      </c>
      <c r="I24" s="11" t="str" xml:space="preserve">
        <v xml:space="preserve">Assumption: Continued government and donor commitment to mechanization as a lever for climate-smart agricultural transformation and youth employment.
</v>
      </c>
    </row>
    <row r="25" ht="50" customHeight="1" xml:space="preserve">
      <c r="A25" s="11" t="str">
        <v>AOW02</v>
      </c>
      <c r="B25" s="11" t="str">
        <v>HLO 2.2.3: Nutrition-smart crop and livestock systems and inclusive food markets, with increased jobs, improved livelihoods, and enhanced access for women and youth to diverse, safe, and affordable diets.</v>
      </c>
      <c r="C25" s="11" t="str" xml:space="preserve">
        <v xml:space="preserve">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v>
      </c>
      <c r="D25" s="11" t="str">
        <v>Number of hectares</v>
      </c>
      <c r="E25" s="11" t="str">
        <v>Country: Malawi, Zambia</v>
      </c>
      <c r="F25" s="11">
        <v>9000</v>
      </c>
      <c r="G25" s="11">
        <v>7898</v>
      </c>
      <c r="H25" s="11">
        <f>SUM(G25:G26)</f>
      </c>
      <c r="I25" s="11" t="str" xml:space="preserve">
        <v xml:space="preserve">Institutional fragmentation among finance, extension, and private actors could delay coordination; mitigation: formalize multi-stakeholder engagement through the Ministry of Agriculture's mechanization platform.
</v>
      </c>
    </row>
    <row r="26" ht="50" customHeight="1" xml:space="preserve">
      <c r="A26" s="11" t="str">
        <v>AOW02</v>
      </c>
      <c r="C26" s="11" t="str" xml:space="preserve">
        <v xml:space="preserve">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v>
      </c>
      <c r="D26" s="11" t="str">
        <v>Number of individuals</v>
      </c>
      <c r="E26" s="11" t="str">
        <v>Country: Malawi, Zambia</v>
      </c>
      <c r="F26" s="11">
        <v>10000</v>
      </c>
      <c r="G26" s="11">
        <v>7312</v>
      </c>
      <c r="I26" s="11" t="str" xml:space="preserve">
        <v xml:space="preserve">Extension networks and local service centers will reduce logistics barriers, while adaptive coordination through Zambia's mechanization platform ensures regulatory alignment and partner accountability.
2026 Target"
</v>
      </c>
    </row>
    <row r="27" ht="25" customHeight="1">
      <c r="B27" s="15" t="str">
        <v>HLO budget subtotal</v>
      </c>
      <c r="H27" s="15">
        <f>SUM(H17:H26)</f>
      </c>
    </row>
    <row r="28" ht="50" customHeight="1" xml:space="preserve">
      <c r="A28" s="13" t="str">
        <v>AOW03</v>
      </c>
      <c r="B28" s="11" t="str">
        <v xml:space="preserve">HLO 3.3.1: Enabling environment diagnostics </v>
      </c>
      <c r="C28" s="11" t="str" xml:space="preserve">
        <v xml:space="preserve">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v>
      </c>
      <c r="D28" s="11" t="str">
        <v>Number of innovations (innovation development)</v>
      </c>
      <c r="E28" s="11" t="str">
        <v>Country: Kenya</v>
      </c>
      <c r="F28" s="11">
        <v>200</v>
      </c>
      <c r="G28" s="11">
        <v>20000</v>
      </c>
      <c r="H28" s="11">
        <f>SUM(G28:G33)</f>
      </c>
      <c r="I28" s="11" t="str">
        <v xml:space="preserve">Assumptions: Government and SME intermediaries remain committed to evidence-based reforms and maintain engagement through policy dialogues. </v>
      </c>
    </row>
    <row r="29" ht="50" customHeight="1" xml:space="preserve">
      <c r="A29" s="11" t="str">
        <v>AOW03</v>
      </c>
      <c r="C29" s="11" t="str" xml:space="preserve">
        <v xml:space="preserve">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v>
      </c>
      <c r="D29" s="11" t="str">
        <v>Number of knowledge products</v>
      </c>
      <c r="E29" s="11" t="str">
        <v>Country: Nigeria</v>
      </c>
      <c r="F29" s="11">
        <v>1</v>
      </c>
      <c r="G29" s="11">
        <v>50000</v>
      </c>
      <c r="I29" s="11" t="str">
        <v>Assumptions: Continued commitment from the Government of Kenya and partners to implement irrigation tariff and subsidy reforms and maintain stakeholder engagement. Funding risk: Ongoing uncertainty in W1/W2 funding may affect consultation and disseminatio</v>
      </c>
    </row>
    <row r="30" ht="50" customHeight="1" xml:space="preserve">
      <c r="A30" s="11" t="str">
        <v>AOW03</v>
      </c>
      <c r="C30" s="11" t="str" xml:space="preserve">
        <v xml:space="preserve">A3P2.3: PoD name: Catalyzing Flagship 1.2 Scaling Through Enabling Environment Action. Lead Center: IWMI. PoD KPI: 1 – One comprehensive enabling-environment report and scaling toolkit integrating Ethiopia’s PPP framework and Kenya’s NISIP-aligned irrigation expansion pathway for AoW2 Flagship 1.2,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consolidate an irrigation expansion and bundled-innovation scaling framework aligned with the National Irrigation Services and Investment Plan (NISIP), including strengthened PPP mechanisms, institutional coordination, and support for public–private collaboration in irrigation services.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Irrigation and Lowlands and other irrigation authorities); State Department for Irrigation (Kenya) and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AoW‑5, and where needed will include baseline assessments and indicator tracking and reporting in line with Program and CGIAR guidelines.</v>
      </c>
      <c r="D30" s="11" t="str">
        <v>Number of knowledge products</v>
      </c>
      <c r="E30" s="11" t="str">
        <v>Country: Ethiopia</v>
      </c>
      <c r="F30" s="11">
        <v>1</v>
      </c>
      <c r="G30" s="11">
        <v>80750</v>
      </c>
      <c r="I30" s="11" t="str" xml:space="preserve">
        <v xml:space="preserve">Assumptions: Government and private partners maintain commitment to PPP frameworks and blended finance mechanisms through 2026.
Allocation for Partners : US$ - 19,250
</v>
      </c>
    </row>
    <row r="31" ht="50" customHeight="1" xml:space="preserve">
      <c r="A31" s="11" t="str">
        <v>AOW03</v>
      </c>
      <c r="C31" s="11" t="str" xml:space="preserve">
        <v xml:space="preserve">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v>
      </c>
      <c r="D31" s="11" t="str">
        <v>Number of knowledge products</v>
      </c>
      <c r="E31" s="11" t="str">
        <v>Country: Kenya</v>
      </c>
      <c r="F31" s="11">
        <v>1</v>
      </c>
      <c r="G31" s="11">
        <v>100000</v>
      </c>
      <c r="I31" s="11" t="str">
        <v>Assumptions: Government and private-sector partners remain committed to co-developing and piloting the scaling toolkit.</v>
      </c>
    </row>
    <row r="32" ht="50" customHeight="1" xml:space="preserve">
      <c r="A32" s="11" t="str">
        <v>AOW03</v>
      </c>
      <c r="C32" s="11" t="str" xml:space="preserve">
        <v xml:space="preserve">A3P2.1: PoD name: Catalyzing Flagship 1.2 Scaling Through Enabling Environment Action. Lead Center: IWMI. PoD KPI: 35,000—Thirty-five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Mid-2026 target value: Fifteen thousand individuals reached through capacity strengthening and early PPCP framework application, with proportional engagement of women, youth, marginalized groups, farmers, cooperatives, SMEs, and local government actors.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v>
      </c>
      <c r="D32" s="11" t="str">
        <v>Number of individuals</v>
      </c>
      <c r="E32" s="11" t="str">
        <v>Country: Ethiopia, Nepal</v>
      </c>
      <c r="F32" s="11">
        <v>35000</v>
      </c>
      <c r="G32" s="11">
        <v>50000</v>
      </c>
      <c r="I32" s="11" t="str">
        <v>Assumptions: Government and private-sector commitment to PPP co-investment remains strong; capacity building efforts reach targeted farmer and SME groups.</v>
      </c>
    </row>
    <row r="33" ht="50" customHeight="1" xml:space="preserve">
      <c r="A33" s="11" t="str">
        <v>AOW03</v>
      </c>
      <c r="C33" s="11" t="str" xml:space="preserve">
        <v xml:space="preserve">A3P11.3: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AoW‑5, and where needed will include baseline assessments and indicator tracking and reporting in line with Program and CGIAR guidelines.</v>
      </c>
      <c r="D33" s="11" t="str">
        <v>Number of knowledge products</v>
      </c>
      <c r="E33" s="11" t="str">
        <v>Global</v>
      </c>
      <c r="F33" s="11">
        <v>5</v>
      </c>
      <c r="G33" s="11">
        <v>50000</v>
      </c>
      <c r="I33" s="11" t="str">
        <v>Assumption: National and regional institutions remain engaged in providing data and using EE diagnostic insights for scaling strategies.</v>
      </c>
    </row>
    <row r="34" ht="50" customHeight="1" xml:space="preserve">
      <c r="A34" s="11" t="str">
        <v>AOW03</v>
      </c>
      <c r="B34" s="11" t="str" xml:space="preserve">
        <v xml:space="preserve">HLO 3.3.2: Scaling support services for enabling 
environments and institutions </v>
      </c>
      <c r="C34" s="11" t="str" xml:space="preserve">
        <v xml:space="preserve">A3P1.2: PoD name: Accelerating Agribusiness for Impact. Lead Center: IWMI. PoD KPI: 1,000,000 – One million United States dollars leveraged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Output. Unit: USD leveraged.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v>
      </c>
      <c r="D34" s="11" t="str">
        <v xml:space="preserve"> Other Output</v>
      </c>
      <c r="E34" s="11" t="str">
        <v>Country: Kenya</v>
      </c>
      <c r="F34" s="11">
        <v>1000000</v>
      </c>
      <c r="G34" s="11">
        <v>70000</v>
      </c>
      <c r="H34" s="11">
        <f>SUM(G34:G40)</f>
      </c>
      <c r="I34" s="11" t="str" xml:space="preserve">
        <v xml:space="preserve"> Assumptions: Government, financial institutions, and private partners maintain active participation in agribusiness investment dialogues. 
Budget allocated to "ImpactSF-30K
</v>
      </c>
    </row>
    <row r="35" ht="50" customHeight="1" xml:space="preserve">
      <c r="A35" s="11" t="str">
        <v>AOW03</v>
      </c>
      <c r="C35" s="11" t="str" xml:space="preserve">
        <v xml:space="preserve">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PoD Description: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v>
      </c>
      <c r="D35" s="11" t="str">
        <v xml:space="preserve"> </v>
      </c>
      <c r="E35" s="11" t="str">
        <v>Country: Kenya</v>
      </c>
      <c r="F35" s="11">
        <v>1</v>
      </c>
      <c r="G35" s="11">
        <v>120000</v>
      </c>
      <c r="I35" s="11" t="str">
        <v>Assumptions: Enabling-environment institutions remain committed to implementing reforms and integrating technical recommendations into trade and finance policy.</v>
      </c>
    </row>
    <row r="36" ht="50" customHeight="1" xml:space="preserve">
      <c r="A36" s="11" t="str">
        <v>AOW03</v>
      </c>
      <c r="C36" s="11" t="str" xml:space="preserve">
        <v xml:space="preserve">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KPI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v>
      </c>
      <c r="D36" s="11" t="str">
        <v>Number of people trained (capacity sharing for development)</v>
      </c>
      <c r="E36" s="11" t="str">
        <v>Country: Cambodia</v>
      </c>
      <c r="F36" s="11">
        <v>5</v>
      </c>
      <c r="G36" s="11">
        <v>36128</v>
      </c>
      <c r="I36" s="11" t="str" xml:space="preserve">
        <v xml:space="preserve">Assumptions: Government commitment to the WG model remains strong; local actors continue engagement; donor and development partners align with CGIAR technical support.
Budget allocated to partner - US$ 19,612
</v>
      </c>
    </row>
    <row r="37" ht="50" customHeight="1" xml:space="preserve">
      <c r="A37" s="11" t="str">
        <v>AOW03</v>
      </c>
      <c r="C37" s="11" t="str" xml:space="preserve">
        <v xml:space="preserve">A3P3.2: PoD name: Country Spotlight Cambodia: Scaling institutional solutions to optimize food systems in Cambodia. Lead Center: IWMI. PoD KPI: USD 1,000,000 – One million US dollars of investment leveraged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Amount of investment in million USD.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v>
      </c>
      <c r="D37" s="11" t="str">
        <v xml:space="preserve"> Other Output</v>
      </c>
      <c r="E37" s="11" t="str">
        <v>Country: Cambodia</v>
      </c>
      <c r="F37" s="11">
        <v>1000000</v>
      </c>
      <c r="G37" s="11">
        <v>24517</v>
      </c>
      <c r="I37" s="11" t="str">
        <v>Assumptions: The Government of Cambodia continues to prioritize ecosystem-based food systems governance and partners remain willing to co-invest.</v>
      </c>
    </row>
    <row r="38" ht="50" customHeight="1" xml:space="preserve">
      <c r="A38" s="11" t="str">
        <v>AOW03</v>
      </c>
      <c r="C38" s="11" t="str" xml:space="preserve">
        <v xml:space="preserve">A3P9.4: PoD name: Mainstreaming Inclusive and Responsible Scaling. Lead Center: IWMI. PoD KPI: 40 – Forty cumulative SMEs and cooperatives in target countries benefiting from improved business or regulatory environments that support gender- and youth-inclusive market participation by the end of 2026, as a result of inclusive business and investment acceleration support.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v>
      </c>
      <c r="D38" s="11" t="str">
        <v>Number of people trained (capacity sharing for development)</v>
      </c>
      <c r="E38" s="11" t="str">
        <v>Country: Zambia</v>
      </c>
      <c r="F38" s="11">
        <v>40</v>
      </c>
      <c r="G38" s="11">
        <v>100000</v>
      </c>
      <c r="I38" s="11" t="str">
        <v>Assumption: Partner institutions and SMEs remain committed to inclusive and gender-responsive business scaling practices.</v>
      </c>
    </row>
    <row r="39" ht="50" customHeight="1" xml:space="preserve">
      <c r="A39" s="11" t="str">
        <v>AOW03</v>
      </c>
      <c r="C39" s="11" t="str" xml:space="preserve">
        <v xml:space="preserve">A3P9.3: PoD name: Mainstreaming Inclusive and Responsible Scaling. Lead Center: IWMI. PoD KPI: 5,000 – Five thousand cumulative individuals in Ethiopia adopting and applying inclusive and responsible scaling practices by the end of 2026, contributing to institutional and community-level transformation in agrifood innovation systems. Suggested Disaggregation: At least 2,500 women (≥50%), at least 2,000 youth (≥40%), and up to 500 other individuals reached through inclusive scaling processes and capacity-strengthening activities. Indicator type: Capacity Sharing. Unit: Number of individuals. 
PoD Description: This package will mainstream inclusive and responsible scaling practices across AoW2 flagships and accelerators by working with partners in Ethiopia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Accountable Center leading this PoD: IWMI. Anticipated partners: MERAMO Consulting and national and local institutions in Ethiopia,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v>
      </c>
      <c r="D39" s="11" t="str">
        <v>Number of people trained (capacity sharing for development)</v>
      </c>
      <c r="E39" s="11" t="str">
        <v>Country: Ethiopia</v>
      </c>
      <c r="F39" s="11">
        <v>5000</v>
      </c>
      <c r="G39" s="11">
        <v>69636</v>
      </c>
      <c r="I39" s="11" t="str" xml:space="preserve">
        <v xml:space="preserve">Assumption: National and local partners remain engaged in advancing gender-equitable, youth-responsive, and responsible scaling approaches.
27K budget allocated to "Farm Africa &amp; MERAMO"
</v>
      </c>
    </row>
    <row r="40" ht="50" customHeight="1" xml:space="preserve">
      <c r="A40" s="11" t="str">
        <v>AOW03</v>
      </c>
      <c r="C40" s="11" t="str" xml:space="preserve">
        <v xml:space="preserve">A3P9.2: PoD name: Mainstreaming Inclusive and Responsible Scaling. Lead Center: IWMI.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Capacity Sharing. Unit: Number of innovations integrated.
PoD Description: The 2026 work under “Inclusive Pathways for Transformative Innovation” will mainstream equity, ethics, and responsibility in scaling practices across AoW2 flagships and accelerators by developing and applying a practical assessment checklist that embeds gender equality, youth inclusion, and social responsibility into innovation pathways. The package focuses on four interlinked themes: (i) articulating youth- and gender-led pathways and supporting gender-responsive budgeting so that policies and resources systematically prioritize GESI outcomes; (ii) strengthening capacities of accelerators and partners through Gender Action Plans, technical assistance, and gender-lens investment approaches that expand opportunities for women- and youth-led enterprises; (iii) institutionalizing responsible and inclusive scaling within AoW2 flagships via tailored roadmaps, tools, and training; and (iv) using participatory approaches such as theatre and the Gender Action Learning System (GALS) to foster community ownership, reduce unintended negative impacts, and amplify the voices of women, youth, and marginalized groups in innovation adoption. Accountable Center leading this PoD: IWMI. Anticipated partners: Farm Africa; Ministry of Finance (Bangladesh); Ministry of Women Affairs (Bangladesh); East West University (Bangladesh); and collaborators engaged through the National Gender Responsive Budget co-investment mechanism. MELIA: Monitoring, evaluation, and learning plans will be developed in early 2026 in cooperation with the S4I PMU and/or AoW‑5, and where needed will include baseline assessments and indicator tracking and reporting in line with Program and CGIAR guidelines.</v>
      </c>
      <c r="D40" s="11" t="str">
        <v>Number of people trained (capacity sharing for development)</v>
      </c>
      <c r="E40" s="11" t="str">
        <v>Country: Bangladesh</v>
      </c>
      <c r="F40" s="11">
        <v>2</v>
      </c>
      <c r="G40" s="11">
        <v>50000</v>
      </c>
      <c r="I40" s="11" t="str">
        <v>Assumption: Continued support from national partners and AoW2 Flagship leads to embed inclusivity and responsibility frameworks in scaling processes.</v>
      </c>
    </row>
    <row r="41" ht="50" customHeight="1" xml:space="preserve">
      <c r="A41" s="11" t="str">
        <v>AOW03</v>
      </c>
      <c r="B41" s="11" t="str">
        <v xml:space="preserve">HLO 3.3.3: Science-policy partnership interfaces for responsible scaling </v>
      </c>
      <c r="C41" s="11" t="str" xml:space="preserve">
        <v xml:space="preserve">A3P11.4: PoD name: The EE Playbook — Frameworks, Methods, and Tools for Scaling. Lead Center: IWMI. PoD KPI: 5,000 – Five thousand individuals across Colombia, Kenya, and Ethiopia trained or actively applying digitized EE Toolbox tools and readiness scorecards by the end of 2026 to strengthen institutional capacities for scaling innovation bundles. Suggested Disaggregation: 2,000 women and youth (40%), 500 marginalized groups (10%), and 2,500 other individuals (50%). Indicator type: Output. Unit: Number of individuals. 
PoD Description: This package positions the Enabling Environment (EE) Lab as a cross-cutting global public good supporting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IITA; Alliance of Bioversity and CIAT. MELIA: Monitoring, evaluation, and learning plans will be developed in early 2026 in cooperation with the S4I PMU and/or AoW‑5, and where needed will include baseline assessments and indicator tracking and reporting in line with Program and CGIAR guidelines.</v>
      </c>
      <c r="D41" s="11" t="str">
        <v>Number of people trained (capacity sharing for development)</v>
      </c>
      <c r="E41" s="11" t="str">
        <v>Country: Colombia, Kenya, Ethiopia</v>
      </c>
      <c r="F41" s="11">
        <v>5000</v>
      </c>
      <c r="G41" s="11">
        <v>100000</v>
      </c>
      <c r="H41" s="11">
        <f>SUM(G41:G41)</f>
      </c>
      <c r="I41" s="11" t="str">
        <v>Assumption: National and regional partners remain engaged in using EE diagnostics to inform scaling and investment planning processes.</v>
      </c>
    </row>
    <row r="42" ht="25" customHeight="1">
      <c r="B42" s="15" t="str">
        <v>HLO budget subtotal</v>
      </c>
      <c r="H42" s="15">
        <f>SUM(H28:H41)</f>
      </c>
    </row>
    <row r="43" ht="50" customHeight="1" xml:space="preserve">
      <c r="A43" s="13" t="str">
        <v>AOW04</v>
      </c>
      <c r="B43" s="11" t="str">
        <v>HLO 4.4.1: CGIAR Expertise and Solutions Embedded in Development Investments and Partnerships</v>
      </c>
      <c r="C43" s="11" t="str" xml:space="preserve">
        <v xml:space="preserve">A4P12.2: PoD name (Lead Center: IWMI): Water Tech Support to ImpactSF. PoD KPI: 320,000,000 – Cumulative investment value of USD 320 million influenced by the ImpactSF “Water and Climate Risk Module” by end-2026, embedding CGIAR water and climate analytics into financial products and investment decisions. Suggested Disaggregation: To be determined based on specific financial product integration and regional outreach. Indicator type: Other Output. Unit: USD leveraged for scaling through CGIAR influence, technical assistance, and/or advisory support.
PoD Description: Water Tech Support to ImpactSF is a crucial component of the ImpactSF initiative, focusing on embedding IWMI’s hydrological and climate datasets into the financial ecosystem. This collaboration integrates water and climate risk metrics—such as basin-level water stress indices, groundwater depletion, and drought probability forecasts—into the ImpactSF Finance Suite’s Analyzer platform. By doing so, IWMI’s data helps quantify water-related credit risk and informs climate-smart financial products designed to support agri-SMEs and value-chain actors. In 2026, the focus will be on integrating IWMI’s water and climate risk module into two partner banks, co-designing at least two climate-smart financial products targeting the agriculture sector across Ethiopia, Kenya, Nigeria, Nepal, India, Zambia, and Malawi. Accountable Center leading this PoD: IWMI. Anticipated partners: Solar Energy for Agricultural Resilience (SoLAR) Phase 2,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v>
      </c>
      <c r="D43" s="11" t="str">
        <v xml:space="preserve"> Other Output</v>
      </c>
      <c r="E43" s="11" t="str">
        <v>Country: India, Ethiopia, Zambia, Malawi, Nepal, Kenya, Nigeria</v>
      </c>
      <c r="F43" s="11">
        <v>320000000</v>
      </c>
      <c r="G43" s="11">
        <v>27608</v>
      </c>
      <c r="H43" s="11">
        <f>SUM(G43:G46)</f>
      </c>
      <c r="I43" s="11" t="str" xml:space="preserve">
        <v xml:space="preserve">Assumptions: financial partners maintain strong interest in climate-smart lending products; IWMI's data systems remain reliable and accessible for integration; CGIAR-wide coordination supports consistency of metrics and MRV standards; and supportive polic
Budget allocated to Partner - 5K</v>
      </c>
    </row>
    <row r="44" ht="50" customHeight="1" xml:space="preserve">
      <c r="A44" s="11" t="str">
        <v>AOW04</v>
      </c>
      <c r="C44" s="11" t="str" xml:space="preserve">
        <v xml:space="preserve">A4P12.3: PoD name (Lead Center: IWMI): Water Tech Support to ImpactSF. PoD KPI: 10,000,000 – USD 10 million cumulative investment value influenced by the framework by the end of 2026. Suggested Disaggregation: To be determined. Indicator type: Other Output. Unit: USD leveraged for scaling through CGIAR influence, technical assistance, and/or advisory support.
PoD Description: Water Tech Support to ImpactSF will develop a Nature-Positive Investment Framework, integrating IWMI’s hydrological and climate data into the ImpactSF Finance Suite’s “Analyzer.” This framework will embed water-related metrics into climate-smart financial products, directly influencing the integration of nature-based solutions (NbS) in funding mechanisms. Focused on water efficiency, biodiversity, and resilience outcomes, the framework will be co-developed with ImpactSF partners to guide at least one financial institution in Ethiopia, Kenya, Nigeria, Nepal, India, Zambia, and Malawi. It will provide a solid foundation for investors, DFIs, and banks to utilize these NbS metrics for designing investment products targeting sustainable, nature-positive agrifood systems. Accountable Center leading this PoD: IWMI. Anticipated partners: ImpactSF,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v>
      </c>
      <c r="D44" s="11" t="str">
        <v xml:space="preserve"> Other Output</v>
      </c>
      <c r="E44" s="11" t="str">
        <v>Country: Zambia, India, Kenya, Ethiopia, Malawi, Nigeria, Nepal</v>
      </c>
      <c r="F44" s="11">
        <v>10000000</v>
      </c>
      <c r="G44" s="11">
        <v>27458</v>
      </c>
      <c r="I44" s="11" t="str" xml:space="preserve">
        <v xml:space="preserve">Assumptions: ImpactSF partners remain committed to co-developing and applying nature-positive metrics; IWMI maintains technical leadership on MRV and data analytics; and the co-created investment framework aligns with the reporting and fiduciary requireme
Budget allocated to Partner - 5,150 US$</v>
      </c>
    </row>
    <row r="45" ht="50" customHeight="1" xml:space="preserve">
      <c r="A45" s="11" t="str">
        <v>AOW04</v>
      </c>
      <c r="C45" s="11" t="str" xml:space="preserve">
        <v xml:space="preserve">A4P7.4: PoD name: ISDB MENA AIM 4 SCALE Innovation Clearinghouse Lead Center: IWMI, PoD KPI: 2 – Two validated and co-developed innovation packages completed with IsDB and Egyptian partners, ready for integration into IsDB-financed agricultural investments to strengthen national scaling systems and guide evidence-based resource allocation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co-developed and validated innovation packages with return-on-investment and cost-effectiveness metrics for piloting in IsDB investments. The 36-month program up to 2026 targets Egypt, focusing on bridging the gap between research outcomes and implementation in government-led programs to enhance food security and climate resilience through validated innovation packages ready for integration into national scaling systems. Accountable Center leading this PoD: IWMI Anticipated partners: Islamic Development Bank. MELIA: Monitoring, evaluation, and learning plans will be developed in early 2026 in cooperation with the S4I PMU and/or AoW‑5, and where needed will include baseline assessments and indicator tracking and reporting in line with Program and CGIAR guidelines.</v>
      </c>
      <c r="D45" s="11" t="str">
        <v>Number of innovations (innovation development)</v>
      </c>
      <c r="E45" s="11" t="str">
        <v>Country: Egypt</v>
      </c>
      <c r="F45" s="11">
        <v>2</v>
      </c>
      <c r="G45" s="11">
        <v>66521</v>
      </c>
      <c r="I45" s="11" t="str" xml:space="preserve">
        <v xml:space="preserve">The Government of Egypt maintains commitment to integrate CGIAR innovations into IsDB-financed investments; IWMI, CIMMYT, and ICARDA collaborate effectively under the IsDB Clearinghouse framework; and necessary financing and technical support for innovati
Budget allocated to Partner - 15K</v>
      </c>
    </row>
    <row r="46" ht="50" customHeight="1" xml:space="preserve">
      <c r="A46" s="11" t="str">
        <v>AOW04</v>
      </c>
      <c r="C46" s="11" t="str" xml:space="preserve">
        <v xml:space="preserve">A4P7.5: PoD name: ISDB MENA AIM 4 SCALE Innovation Clearinghouse Lead Center: IWMI, PoD KPI: 3 – Three finalized country diagnostics and investment briefs (including Egypt) validated with IsDB and government partners, establishing entry points for CGIAR innovation integration and investment design by the end of 2026. Suggested Disaggregation: 1.2 strategies benefiting women and youth (40%), 0.3 strategies targeting marginalized groups (10%), and 1.5 strategies for others (50%). Indicator type: Knowledge product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to bridge the gap between research outcomes and implementation, forming the analytical foundation for embedding innovations into IsDB-financed agricultural investments and enhancing climate resilience. Accountable Center leading this PoD: IWMI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46" s="11" t="str">
        <v>Number of knowledge products</v>
      </c>
      <c r="E46" s="11" t="str">
        <v>Country: Egypt</v>
      </c>
      <c r="F46" s="11">
        <v>3</v>
      </c>
      <c r="G46" s="11">
        <v>66521</v>
      </c>
      <c r="I46" s="11" t="str" xml:space="preserve">
        <v xml:space="preserve">Sustained collaboration from IsDB and partner ministries for data sharing and review; adequate technical support from IWMI, CIMMYT, and ICARDA; and continued demand from IsDB to operationalize the CGIAR Clearinghouse model through validated diagnostics.
Budget allocated to Partner - 15K</v>
      </c>
    </row>
    <row r="47" ht="25" customHeight="1">
      <c r="B47" s="15" t="str">
        <v>HLO budget subtotal</v>
      </c>
      <c r="H47" s="15">
        <f>SUM(H43:H46)</f>
      </c>
    </row>
    <row r="48" ht="50" customHeight="1" xml:space="preserve">
      <c r="A48" s="13" t="str">
        <v>AOW05</v>
      </c>
      <c r="B48" s="11" t="str">
        <v xml:space="preserve">HLO 5.5.1: Enhancing scaling science for societal impact </v>
      </c>
      <c r="C48" s="11" t="str" xml:space="preserve">
        <v xml:space="preserve">A5P2.3: PoD name: Scaling Bridges: The South–South Learning Networks. Lead Center: IWMI. PoD KPI: 5 – Five finalized strategies integrating CGIAR innovation and scaling frameworks into TVET curricula by end-2026. Suggested Disaggregation: 3 TVET institutions (60%), 2 regional university or partner organizations (40%). Indicator type: Knowledge Product. Unit: Number of strategies/pathways.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48" s="11" t="str">
        <v>Number of knowledge products</v>
      </c>
      <c r="E48" s="11" t="str">
        <v>Global</v>
      </c>
      <c r="F48" s="11">
        <v>5</v>
      </c>
      <c r="G48" s="11">
        <v>15000</v>
      </c>
      <c r="H48" s="11">
        <f>SUM(G48:G54)</f>
      </c>
      <c r="I48" s="11" t="str">
        <v>Assumptions: sustained collaboration among AoW 2 and AoW 5 teams; institutional commitment from TVET colleges to adopt materials; and continued demand for field-ready innovation learning content.</v>
      </c>
    </row>
    <row r="49" ht="50" customHeight="1" xml:space="preserve">
      <c r="A49" s="11" t="str">
        <v>AOW05</v>
      </c>
      <c r="C49" s="11" t="str" xml:space="preserve">
        <v xml:space="preserve">A5P3.2: PoD name: Scaling Forward: CAPSHA for Change. Lead Center: IWMI. PoD KPI: 200 – Three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three regional hubs—Nairobi, Nepal, and Latin America. The program strengthens individual and institutional capacity to apply CGIAR scaling frameworks, innovation systems thinking, and adaptive MELIA. Participants include CGIAR staff and partners from research, policy, and private sectors. The initiative promotes gender balance and equitable participation, embedding scaling literacy within the CGIAR system. By 2026, 300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49" s="11" t="str">
        <v>Number of people trained (capacity sharing for development)</v>
      </c>
      <c r="E49" s="11" t="str">
        <v>Country: Ethiopia</v>
      </c>
      <c r="F49" s="11">
        <v>200</v>
      </c>
      <c r="G49" s="11">
        <v>18000</v>
      </c>
      <c r="I49" s="11" t="str">
        <v>Active participation of CGIAR programs and national partners; timely W1/2 funding disbursement; and strong collaboration across Hubs to ensure integrated delivery and monitoring of training outcomes.</v>
      </c>
    </row>
    <row r="50" ht="50" customHeight="1" xml:space="preserve">
      <c r="A50" s="11" t="str">
        <v>AOW05</v>
      </c>
      <c r="C50" s="11" t="str" xml:space="preserve">
        <v xml:space="preserve">A5P3.3: PoD name: Scaling Forward: CAPSHA for Change. Lead Center: IWMI. PoD KPI: 5 – Five CGIAR programs/accelerators institutionalizing scaling training and tools by end-2026. Suggested Disaggregation: 3 programs (60%) and 2 accelerators (40%). Indicator type: Capacity Sharing. Unit: Number of CGIAR programs/accelerators.
PoD Description: This PoD institutionalizes the CGIAR Scaling Training and Certification Framework within CGIAR’s Capacity Development and HR systems to embed scaling science and adaptive management as part of organizational practice. Building on 2025 pilots, it develops modules on portfolio management and scaling tools and delivers them through the Scaling Hub Network. The PoD ensures sustained learning, coherence, and integration of scaling competencies across CGIAR programs and accelerators. By 2026, 5 CGIAR programs or accelerators will have embedded scaling and adaptive management tools within HR and capacity systems. Accountable Center: IWMI. Partners: CIP and the CGIAR System Organization. Partner modality: In-kind collaboration with HR and learning units for curriculum integration and training;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50" s="11" t="str">
        <v>Number of people trained (capacity sharing for development)</v>
      </c>
      <c r="E50" s="11" t="str">
        <v>Country: India, Ethiopia, Nigeria, Kenya</v>
      </c>
      <c r="F50" s="11">
        <v>5</v>
      </c>
      <c r="G50" s="11">
        <v>18000</v>
      </c>
      <c r="I50" s="11" t="str">
        <v>Sustained institutional support from CGIAR HR and Capacity Development units; strong coordination through AoW 5 CoA 5.5; and continued engagement of Scaling Hub Network partners to ensure training relevance and quality.</v>
      </c>
    </row>
    <row r="51" ht="50" customHeight="1" xml:space="preserve">
      <c r="A51" s="11" t="str">
        <v>AOW05</v>
      </c>
      <c r="C51" s="11" t="str" xml:space="preserve">
        <v xml:space="preserve">A5P6.1: PoD name: Scaling Hub - South Asia. Lead Center: IWMI. PoD KPI: 2,000,000 – Two million U.S. dollars co-funding and scaling finance mobilized through Hub partnerships by the end of 2026, supporting innovation scaling in national agrifood systems across Bangladesh, India, Nepal, and Uzbekistan. Suggested Disaggregation: 800,000 women and youth (40%), 200,000 marginalized groups (10%), 1,000,000 other individuals (50%). Indicator type: Other Output; Unit: USD leveraged for scaling through CGIAR influence, technical assistance, and/or advisory support.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v>
      </c>
      <c r="D51" s="11" t="str">
        <v xml:space="preserve"> Other Output</v>
      </c>
      <c r="E51" s="11" t="str">
        <v>Country: Nepal, Bangladesh, India</v>
      </c>
      <c r="F51" s="11">
        <v>2000000</v>
      </c>
      <c r="G51" s="11">
        <v>25000</v>
      </c>
      <c r="I51" s="11" t="str">
        <v>Continued donor and government support for regional scaling efforts; effective coordination between CGIAR Centers operating in South and Central Asia; and alignment of Hub activities with ongoing national investment frameworks.</v>
      </c>
    </row>
    <row r="52" ht="50" customHeight="1" xml:space="preserve">
      <c r="A52" s="11" t="str">
        <v>AOW05</v>
      </c>
      <c r="C52" s="11" t="str" xml:space="preserve">
        <v xml:space="preserve">A5P6.3: PoD name: Scaling Hub - South Asia. Lead Center: IWMI. PoD KPI: 75 – Seventy-five national and regional partner organizations (ministries, universities, NGOs, and agri-startups) across Bangladesh, India, Nepal, and Uzbekistan applying scaling science frameworks and responsible scaling practices through the South Asia Hub by the end of 2026. Suggested Disaggregation: 30 women and youth (40%), 7 marginalized groups (10%), 38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v>
      </c>
      <c r="D52" s="11" t="str">
        <v>Number of people trained (capacity sharing for development)</v>
      </c>
      <c r="E52" s="11" t="str">
        <v>Country: Nepal, Bangladesh, India</v>
      </c>
      <c r="F52" s="11">
        <v>75</v>
      </c>
      <c r="G52" s="11">
        <v>24000</v>
      </c>
      <c r="I52" s="11" t="str">
        <v>Stable regional coordination through IWMI Nepal; strong institutional demand for scaling training; active participation from CGIAR Centers and partner organizations in Bangladesh, India, Nepal, and Uzbekistan.</v>
      </c>
    </row>
    <row r="53" ht="50" customHeight="1" xml:space="preserve">
      <c r="A53" s="11" t="str">
        <v>AOW05</v>
      </c>
      <c r="C53" s="11" t="str" xml:space="preserve">
        <v xml:space="preserve">A5P6.4: PoD name: Scaling Hub - South Asia. Lead Center: IWMI. PoD KPI: 200 – Two hundred individuals (120 men, 80 women) from Bangladesh, India, Nepal, and Uzbekistan engaged in four South–South learning events on adaptive MELIA,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v>
      </c>
      <c r="D53" s="11" t="str">
        <v>Number of people trained (capacity sharing for development)</v>
      </c>
      <c r="E53" s="11" t="str">
        <v>Country: Nepal, India, Bangladesh</v>
      </c>
      <c r="F53" s="11">
        <v>200</v>
      </c>
      <c r="G53" s="11">
        <v>24000</v>
      </c>
      <c r="I53" s="11" t="str">
        <v>Sustained collaboration among CGIAR Hubs; active participation from national partners; and donor support for regional knowledge exchange and adaptive management learning</v>
      </c>
    </row>
    <row r="54" ht="50" customHeight="1" xml:space="preserve">
      <c r="A54" s="11" t="str">
        <v>AOW05</v>
      </c>
      <c r="C54" s="11" t="str" xml:space="preserve">
        <v xml:space="preserve">A5P8.8: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v>
      </c>
      <c r="D54" s="11" t="str">
        <v>Number of knowledge products</v>
      </c>
      <c r="E54" s="11" t="str">
        <v>Global</v>
      </c>
      <c r="F54" s="11">
        <v>1</v>
      </c>
      <c r="G54" s="11">
        <v>0</v>
      </c>
    </row>
    <row r="55" ht="50" customHeight="1" xml:space="preserve">
      <c r="A55" s="11" t="str">
        <v>AOW05</v>
      </c>
      <c r="B55" s="11" t="str">
        <v>HLO 5.5.2: Insights for CGIAR scaling success through impact assessments</v>
      </c>
      <c r="C55" s="11" t="str" xml:space="preserve">
        <v xml:space="preserve">A5P6.2: PoD name: Scaling Hub - South Asia. Lead Center: IWMI. PoD KPI: 10 – Ten CGIAR and partner projects across Bangladesh, India, Nepal, and Uzbekistan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v>
      </c>
      <c r="D55" s="11" t="str">
        <v>Number of people trained (capacity sharing for development)</v>
      </c>
      <c r="E55" s="11" t="str">
        <v>Country: Nepal, Bangladesh, India</v>
      </c>
      <c r="F55" s="11">
        <v>10</v>
      </c>
      <c r="G55" s="11">
        <v>24000</v>
      </c>
      <c r="H55" s="11">
        <f>SUM(G55:G55)</f>
      </c>
      <c r="I55" s="11" t="str">
        <v>Continued funding and institutional support for the South Asia Hub; strong collaboration among Centers and national partners in Bangladesh, India, Nepal, and Uzbekistan; and demand for adaptive scaling tools to strengthen investment planning and delivery.</v>
      </c>
    </row>
    <row r="56" ht="25" customHeight="1">
      <c r="B56" s="15" t="str">
        <v>HLO budget subtotal</v>
      </c>
      <c r="H56" s="15">
        <f>SUM(H48:H55)</f>
      </c>
    </row>
  </sheetData>
  <mergeCells count="35">
    <mergeCell ref="A1:A2"/>
    <mergeCell ref="B1:B2"/>
    <mergeCell ref="C1:G1"/>
    <mergeCell ref="H1:H2"/>
    <mergeCell ref="I1:I2"/>
    <mergeCell ref="B3:B10"/>
    <mergeCell ref="H3:H10"/>
    <mergeCell ref="B11:B12"/>
    <mergeCell ref="H11:H12"/>
    <mergeCell ref="B13:B15"/>
    <mergeCell ref="H13:H15"/>
    <mergeCell ref="B16:G16"/>
    <mergeCell ref="A3:A16"/>
    <mergeCell ref="B17:B18"/>
    <mergeCell ref="H17:H18"/>
    <mergeCell ref="B19:B24"/>
    <mergeCell ref="H19:H24"/>
    <mergeCell ref="B25:B26"/>
    <mergeCell ref="H25:H26"/>
    <mergeCell ref="B27:G27"/>
    <mergeCell ref="A17:A27"/>
    <mergeCell ref="B28:B33"/>
    <mergeCell ref="H28:H33"/>
    <mergeCell ref="B34:B40"/>
    <mergeCell ref="H34:H40"/>
    <mergeCell ref="B42:G42"/>
    <mergeCell ref="A28:A42"/>
    <mergeCell ref="B43:B46"/>
    <mergeCell ref="H43:H46"/>
    <mergeCell ref="B47:G47"/>
    <mergeCell ref="A43:A47"/>
    <mergeCell ref="B48:B54"/>
    <mergeCell ref="H48:H54"/>
    <mergeCell ref="B56:G56"/>
    <mergeCell ref="A48:A56"/>
  </mergeCells>
  <ignoredErrors>
    <ignoredError numberStoredAsText="1" sqref="A1:I56"/>
  </ignoredErrors>
</worksheet>
</file>

<file path=xl/worksheets/sheet4.xml><?xml version="1.0" encoding="utf-8"?>
<worksheet xmlns="http://schemas.openxmlformats.org/spreadsheetml/2006/main" xmlns:r="http://schemas.openxmlformats.org/officeDocument/2006/relationships">
  <dimension ref="A1:F18"/>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xml:space="preserve">
      <c r="A2" s="12" t="str">
        <v>AOW01</v>
      </c>
      <c r="B2" s="11" t="str">
        <v>Unknown Center</v>
      </c>
      <c r="C2" s="11" t="str">
        <v>HLO 1.1.2: Feedback and adaptive research and scaling prioritization, HLO 1.1.3: Enhance strategies and coordination, HLO 1.1.1: Demand signaling</v>
      </c>
      <c r="D2" s="11" t="str">
        <v>Bangladesh,Colombia,Colombia,Egypt,Ghana,Ghana,India,Jordan,Kenya,Nepal,Nepal,Nigeria,Nigeria,Philippines,Philippines,South Africa,Sri Lanka,Sri Lanka,Zambia</v>
      </c>
      <c r="E2" s="11">
        <v>67500</v>
      </c>
      <c r="F2" s="11" t="str" xml:space="preserve">
        <v xml:space="preserve">47K for CGIAR Demand Intelligence Dashboard 
4.5K for CGIAR Country Strategy and Coordination- Nepal
16K for A1P12.1: PoD name: Adaptive Management – Pause and Reflect (P&amp;R) Workshops. Lead Center: IWMI.
</v>
      </c>
    </row>
    <row r="3" ht="70" customHeight="1" xml:space="preserve">
      <c r="A3" s="11" t="str">
        <v>AOW01</v>
      </c>
      <c r="B3" s="11" t="str">
        <v>Nigerian Institute of Social and Economic Research</v>
      </c>
      <c r="C3" s="11" t="str">
        <v>HLO 1.1.1: Demand signaling</v>
      </c>
      <c r="D3" s="11" t="str">
        <v>Nigeria</v>
      </c>
      <c r="E3" s="11">
        <v>4500</v>
      </c>
      <c r="F3" s="11" t="str" xml:space="preserve">
        <v xml:space="preserve">Agrifood knowledge and innovation systems for demand-driven scaling (AKIS-DS)
</v>
      </c>
    </row>
    <row r="4" ht="70" customHeight="1">
      <c r="A4" s="11" t="str">
        <v>AOW01</v>
      </c>
      <c r="B4" s="11" t="str">
        <v>Federal Ministry of Agriculture and Rural Development (Nigeria)</v>
      </c>
      <c r="C4" s="11" t="str">
        <v>HLO 1.1.1: Demand signaling</v>
      </c>
      <c r="D4" s="11" t="str">
        <v>Nigeria</v>
      </c>
      <c r="E4" s="11">
        <v>11378</v>
      </c>
      <c r="F4" s="11" t="str">
        <v>A1P6.2: PoD name: PAD: Policy alignment and demand signaling for scaling CGIAR innovations. Lead Center: IWMI.</v>
      </c>
    </row>
    <row r="5" ht="25" customHeight="1">
      <c r="B5" s="14" t="str">
        <v>Contracted partners subtotal</v>
      </c>
      <c r="E5" s="14">
        <f>SUM(E2:E4)</f>
      </c>
    </row>
    <row r="6" ht="70" customHeight="1" xml:space="preserve">
      <c r="A6" s="12" t="str">
        <v>AOW02</v>
      </c>
      <c r="B6" s="11" t="str">
        <v>Unknown Center</v>
      </c>
      <c r="C6"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6" s="11" t="str">
        <v>Bangladesh,Colombia,Colombia,Egypt,Ghana,Ghana,India,Jordan,Kenya,Nepal,Nepal,Nigeria,Nigeria,Philippines,Philippines,South Africa,Sri Lanka,Sri Lanka,Zambia</v>
      </c>
      <c r="E6" s="11">
        <v>48500</v>
      </c>
      <c r="F6" s="11" t="str" xml:space="preserve">
        <v xml:space="preserve">43.5K for  Scaling Private-sector-led Solar-Powered Irrigation Systems (SPIS) for Climate-Resilient Smallholder Farming in Sub-Saharan Africa.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5K for  Market led partnerships for resilient agri-food systems in Terai region of Nepal. Lead
</v>
      </c>
    </row>
    <row r="7" ht="70" customHeight="1">
      <c r="A7" s="11" t="str">
        <v>AOW02</v>
      </c>
      <c r="B7" s="11" t="str">
        <v>Federal Ministry of Agriculture and Rural Development (Nigeria)</v>
      </c>
      <c r="C7" s="11" t="str">
        <v>HLO 2.2.1: Access climate services and smart water management tools that improve adaptation decisions and resource efficiency.</v>
      </c>
      <c r="D7" s="11" t="str">
        <v>Nigeria</v>
      </c>
      <c r="E7" s="11">
        <v>0</v>
      </c>
    </row>
    <row r="8" ht="25" customHeight="1">
      <c r="B8" s="14" t="str">
        <v>Contracted partners subtotal</v>
      </c>
      <c r="E8" s="14">
        <f>SUM(E6:E7)</f>
      </c>
    </row>
    <row r="9" ht="70" customHeight="1" xml:space="preserve">
      <c r="A9" s="12" t="str">
        <v>AOW03</v>
      </c>
      <c r="B9" s="11" t="str">
        <v>Unknown Center</v>
      </c>
      <c r="C9" s="11" t="str" xml:space="preserve">
        <v xml:space="preserve">HLO 3.3.1: Enabling environment diagnostics, HLO 3.3.2: Scaling support services for enabling 
environments and institutions, HLO 3.3.3: Science-policy partnership interfaces for responsible scaling</v>
      </c>
      <c r="D9" s="11" t="str">
        <v>Bangladesh,Colombia,Colombia,Egypt,Ghana,Ghana,India,Jordan,Kenya,Nepal,Nepal,Nigeria,Nigeria,Philippines,Philippines,South Africa,Sri Lanka,Sri Lanka,Zambia</v>
      </c>
      <c r="E9" s="11">
        <v>49250</v>
      </c>
      <c r="F9" s="11" t="str" xml:space="preserve">
        <v xml:space="preserve">30k for "ImpactSF
19,250 for A3P2.3: PoD name: Catalyzing Flagship 1.2 Scaling Through Enabling Environment Action. Lead Center: IWMI. 
</v>
      </c>
    </row>
    <row r="10" ht="70" customHeight="1">
      <c r="A10" s="11" t="str">
        <v>AOW03</v>
      </c>
      <c r="B10" s="11" t="str">
        <v>Farm Africa</v>
      </c>
      <c r="C10" s="11" t="str">
        <v>HLO 3.3.1: Enabling environment diagnostics</v>
      </c>
      <c r="D10" s="11" t="str">
        <v>Ethiopia</v>
      </c>
      <c r="E10" s="11">
        <v>27000</v>
      </c>
      <c r="F10" s="11" t="str">
        <v>A3P9.3: PoD name: Mainstreaming Inclusive and Responsible Scaling. Lead Center: IWMI.</v>
      </c>
    </row>
    <row r="11" ht="70" customHeight="1" xml:space="preserve">
      <c r="A11" s="11" t="str">
        <v>AOW03</v>
      </c>
      <c r="B11" s="11" t="str">
        <v>Nigerian Institute of Social and Economic Research</v>
      </c>
      <c r="C11" s="11" t="str" xml:space="preserve">
        <v xml:space="preserve">HLO 3.3.2: Scaling support services for enabling 
environments and institutions</v>
      </c>
      <c r="D11" s="11" t="str">
        <v>Nigeria</v>
      </c>
      <c r="E11" s="11">
        <v>0</v>
      </c>
    </row>
    <row r="12" ht="70" customHeight="1" xml:space="preserve">
      <c r="A12" s="11" t="str">
        <v>AOW03</v>
      </c>
      <c r="B12" s="11" t="str">
        <v>Cambodia Development Resource Institute</v>
      </c>
      <c r="C12" s="11" t="str" xml:space="preserve">
        <v xml:space="preserve">HLO 3.3.2: Scaling support services for enabling 
environments and institutions, HLO 3.3.3: Science-policy partnership interfaces for responsible scaling</v>
      </c>
      <c r="D12" s="11" t="str">
        <v>Cambodia</v>
      </c>
      <c r="E12" s="11">
        <v>19612</v>
      </c>
      <c r="F12" s="11" t="str" xml:space="preserve">
        <v xml:space="preserve">Country Spotlight Cambodia: Scaling institutional solutions to optimize food systems in Cambodia
</v>
      </c>
    </row>
    <row r="13" ht="25" customHeight="1">
      <c r="B13" s="14" t="str">
        <v>Contracted partners subtotal</v>
      </c>
      <c r="E13" s="14">
        <f>SUM(E9:E12)</f>
      </c>
    </row>
    <row r="14" ht="70" customHeight="1" xml:space="preserve">
      <c r="A14" s="12" t="str">
        <v>AOW04</v>
      </c>
      <c r="B14" s="11" t="str">
        <v>Unknown Center</v>
      </c>
      <c r="C14" s="11" t="str">
        <v>HLO 4.4.1: CGIAR Expertise and Solutions Embedded in Development Investments and Partnerships, HLO 4.4.2: Innovation portfolio management and scaling strategy support teams</v>
      </c>
      <c r="D14" s="11" t="str">
        <v>Bangladesh,Colombia,Colombia,Egypt,Ghana,Ghana,India,Jordan,Kenya,Nepal,Nepal,Nigeria,Nigeria,Philippines,Philippines,South Africa,Sri Lanka,Sri Lanka,Zambia</v>
      </c>
      <c r="E14" s="11">
        <v>40150</v>
      </c>
      <c r="F14" s="11" t="str" xml:space="preserve">
        <v xml:space="preserve">30K for MENA learing house partners 
10,150 US$ Solar Energy for Agricultural Resilience (SoLAR) Phase 3
</v>
      </c>
    </row>
    <row r="15" ht="70" customHeight="1">
      <c r="A15" s="11" t="str">
        <v>AOW04</v>
      </c>
      <c r="B15" s="11" t="str">
        <v>Federal Ministry of Agriculture and Rural Development (Nigeria)</v>
      </c>
      <c r="C15" s="11" t="str">
        <v>HLO 4.4.1: CGIAR Expertise and Solutions Embedded in Development Investments and Partnerships</v>
      </c>
      <c r="D15" s="11" t="str">
        <v>Nigeria</v>
      </c>
      <c r="E15" s="11">
        <v>0</v>
      </c>
    </row>
    <row r="16" ht="25" customHeight="1">
      <c r="B16" s="14" t="str">
        <v>Contracted partners subtotal</v>
      </c>
      <c r="E16" s="14">
        <f>SUM(E14:E15)</f>
      </c>
    </row>
    <row r="17" ht="70" customHeight="1" xml:space="preserve">
      <c r="A17" s="12" t="str">
        <v>AOW05</v>
      </c>
      <c r="B17" s="11" t="str">
        <v>Unknown Center</v>
      </c>
      <c r="C17" s="11" t="str">
        <v>HLO 5.5.1: Enhancing scaling science for societal impact, HLO 5.5.2: Insights for CGIAR scaling success through impact assessments, HLO 5.5.3: Custom analytics for managing innovation portfolios and decision-making</v>
      </c>
      <c r="D17" s="11" t="str">
        <v>Bangladesh,Colombia,Colombia,Egypt,Ghana,Ghana,India,Jordan,Kenya,Nepal,Nepal,Nigeria,Nigeria,Philippines,Philippines,South Africa,Sri Lanka,Sri Lanka,Zambia</v>
      </c>
      <c r="E17" s="11">
        <v>3156</v>
      </c>
      <c r="F17" s="11" t="str" xml:space="preserve">
        <v xml:space="preserve">Budget US$ 3156 allocated to Independent scaling consultant
</v>
      </c>
    </row>
    <row r="18" ht="25" customHeight="1">
      <c r="B18" s="14" t="str">
        <v>Contracted partners subtotal</v>
      </c>
      <c r="E18" s="14">
        <f>SUM(E17:E17)</f>
      </c>
    </row>
  </sheetData>
  <mergeCells count="10">
    <mergeCell ref="B5:D5"/>
    <mergeCell ref="A2:A5"/>
    <mergeCell ref="B8:D8"/>
    <mergeCell ref="A6:A8"/>
    <mergeCell ref="B13:D13"/>
    <mergeCell ref="A9:A13"/>
    <mergeCell ref="B16:D16"/>
    <mergeCell ref="A14:A16"/>
    <mergeCell ref="B18:D18"/>
    <mergeCell ref="A17:A18"/>
  </mergeCells>
  <ignoredErrors>
    <ignoredError numberStoredAsText="1" sqref="A1:F18"/>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W-D-0525- Subsidy Soil Fertility Programme - West Africa</v>
      </c>
      <c r="B2" s="19" t="str">
        <v>AOW02</v>
      </c>
      <c r="C2" s="18" t="str">
        <v>HLO 2.2.2: Inclusive and efficient innovation delivery systems that support biodiverse, sustainable production, generate new jobs, and expand access for women, youth, and small and medium enterprises.</v>
      </c>
      <c r="D2" s="19">
        <v>413645</v>
      </c>
      <c r="E2" s="19" t="str">
        <f>=SUM(D2:D2)</f>
        <v>0</v>
      </c>
      <c r="F2" s="19" t="str">
        <v>W-D-0525- Subsidy Soil Fertility Programme - West Africa: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xml:space="preserve">
      <c r="A3" s="18" t="str">
        <v>P-1743 SoLAR Phase 2</v>
      </c>
      <c r="B3" s="19" t="str">
        <v>AOW03</v>
      </c>
      <c r="C3" s="18" t="str" xml:space="preserve">
        <v xml:space="preserve">HLO 3.3.2: Scaling support services for enabling 
environments and institutions </v>
      </c>
      <c r="D3" s="19">
        <v>893249</v>
      </c>
      <c r="E3" s="19" t="str">
        <f>=SUM(D3:D3)</f>
        <v>0</v>
      </c>
      <c r="F3" s="19" t="str">
        <v>P-1743 SoLAR Phase 2: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18" t="str">
        <v>W-D-0539 Water and Soil Accelerator</v>
      </c>
      <c r="B4" s="19" t="str">
        <v>AOW05</v>
      </c>
      <c r="C4" s="18" t="str">
        <v>HLO 5.5.2: Insights for CGIAR scaling success through impact assessments</v>
      </c>
      <c r="D4" s="19">
        <v>3383110</v>
      </c>
      <c r="E4" s="19" t="str">
        <f>=SUM(D4:D4)</f>
        <v>0</v>
      </c>
      <c r="F4" s="19" t="str">
        <v>W-D-0539 Water and Soil Accelerator: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5" ht="30" customHeight="1">
      <c r="A5" s="3" t="str">
        <v>W3/Bilateral projects subtotal</v>
      </c>
      <c r="E5" s="3">
        <f>SUM(E2:E4)</f>
      </c>
    </row>
  </sheetData>
  <mergeCells count="1">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Scaling Private-sector-led Solar-Powered Irrigation Systems (SPIS) for Climate-Resilient Smallholder Farming in Sub-Saharan Africa package of deliverables in Area of Work 2.</v>
      </c>
      <c r="B2" s="19" t="str">
        <v>AOW02</v>
      </c>
      <c r="C2" s="18" t="str">
        <v>HLO 2.2.1: Access climate services and smart water management tools that improve adaptation decisions and resource efficiency.</v>
      </c>
      <c r="D2" s="19">
        <v>0</v>
      </c>
      <c r="E2" s="19" t="str">
        <f>=SUM(D2:D2)</f>
        <v>0</v>
      </c>
    </row>
    <row r="3" ht="30" customHeight="1" xml:space="preserve">
      <c r="A3" s="18" t="str" xml:space="preserve">
        <v xml:space="preserve">"This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v>
      </c>
      <c r="B3" s="19" t="str">
        <v>AOW05</v>
      </c>
      <c r="C3" s="18" t="str">
        <v xml:space="preserve">HLO 5.5.1: Enhancing scaling science for societal impact </v>
      </c>
      <c r="D3" s="19">
        <v>0</v>
      </c>
      <c r="E3" s="19" t="str">
        <f>=SUM(D3:D3)</f>
        <v>0</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83378</v>
      </c>
      <c r="D2" s="20">
        <v>48500</v>
      </c>
      <c r="E2" s="20">
        <v>95862</v>
      </c>
      <c r="F2" s="20">
        <v>40150</v>
      </c>
      <c r="G2" s="20">
        <v>3156</v>
      </c>
      <c r="H2" s="20" t="str">
        <f>=SUM(B2:G2)</f>
        <v>0</v>
      </c>
    </row>
    <row r="3" ht="20" customHeight="1">
      <c r="A3" s="20" t="str">
        <v>Operations (supplies, consultants, travels, workshops, other)</v>
      </c>
      <c r="B3" s="20">
        <v>0</v>
      </c>
      <c r="C3" s="20">
        <v>187115</v>
      </c>
      <c r="D3" s="20">
        <v>128983</v>
      </c>
      <c r="E3" s="20">
        <v>215404</v>
      </c>
      <c r="F3" s="20">
        <v>38475</v>
      </c>
      <c r="G3" s="20">
        <v>34461</v>
      </c>
      <c r="H3" s="20" t="str">
        <f>=SUM(B3:G3)</f>
        <v>0</v>
      </c>
    </row>
    <row r="4" ht="20" customHeight="1">
      <c r="A4" s="20" t="str">
        <v>Staffing, Chargebacks and Indirect</v>
      </c>
      <c r="B4" s="20">
        <v>40000</v>
      </c>
      <c r="C4" s="20">
        <v>577653</v>
      </c>
      <c r="D4" s="20">
        <v>319366</v>
      </c>
      <c r="E4" s="20">
        <v>705627</v>
      </c>
      <c r="F4" s="20">
        <v>149633</v>
      </c>
      <c r="G4" s="20">
        <v>138383</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