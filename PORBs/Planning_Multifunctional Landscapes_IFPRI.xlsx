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Solutions and Innovations: Agroecology, Nature-positive, Regenerative and Nutrition-sensitive </v>
      </c>
      <c r="B5" s="2">
        <v>0</v>
      </c>
      <c r="C5" s="5">
        <v>0</v>
      </c>
      <c r="D5" s="2">
        <v>3</v>
      </c>
      <c r="E5" s="5">
        <v>106500</v>
      </c>
      <c r="F5" s="2">
        <v>0</v>
      </c>
      <c r="G5" s="5">
        <v>0</v>
      </c>
      <c r="H5" s="2">
        <v>0</v>
      </c>
      <c r="I5" s="5">
        <v>0</v>
      </c>
      <c r="J5" s="5">
        <v>0</v>
      </c>
      <c r="K5" s="5">
        <v>0</v>
      </c>
      <c r="L5" s="5">
        <v>106500</v>
      </c>
      <c r="M5" s="5">
        <v>0</v>
      </c>
    </row>
    <row r="6" ht="20" customHeight="1">
      <c r="A6" s="2" t="str">
        <v>AOW02: Landscape Optimization and Inclusive Planning</v>
      </c>
      <c r="B6" s="2">
        <v>0</v>
      </c>
      <c r="C6" s="5">
        <v>0</v>
      </c>
      <c r="D6" s="2">
        <v>9</v>
      </c>
      <c r="E6" s="5">
        <v>54099</v>
      </c>
      <c r="F6" s="2">
        <v>0</v>
      </c>
      <c r="G6" s="5">
        <v>0</v>
      </c>
      <c r="H6" s="2">
        <v>11</v>
      </c>
      <c r="I6" s="5">
        <v>64187</v>
      </c>
      <c r="J6" s="5">
        <v>0</v>
      </c>
      <c r="K6" s="5">
        <v>0</v>
      </c>
      <c r="L6" s="5">
        <v>118286</v>
      </c>
      <c r="M6" s="5">
        <v>0</v>
      </c>
    </row>
    <row r="7" ht="20" customHeight="1">
      <c r="A7" s="2" t="str">
        <v>AOW03: Business Models, Markets, and Sustainable Finance</v>
      </c>
      <c r="B7" s="2">
        <v>0</v>
      </c>
      <c r="C7" s="5">
        <v>0</v>
      </c>
      <c r="D7" s="2">
        <v>6</v>
      </c>
      <c r="E7" s="5">
        <v>104106</v>
      </c>
      <c r="F7" s="2">
        <v>0</v>
      </c>
      <c r="G7" s="5">
        <v>0</v>
      </c>
      <c r="H7" s="2">
        <v>0</v>
      </c>
      <c r="I7" s="5">
        <v>0</v>
      </c>
      <c r="J7" s="5">
        <v>0</v>
      </c>
      <c r="K7" s="5">
        <v>0</v>
      </c>
      <c r="L7" s="5">
        <v>104106</v>
      </c>
      <c r="M7" s="5">
        <v>0</v>
      </c>
    </row>
    <row r="8" ht="20" customHeight="1">
      <c r="A8" s="2" t="str">
        <v>AOW04: Governance, Institutions, Policy, and Inclusion</v>
      </c>
      <c r="B8" s="2">
        <v>0</v>
      </c>
      <c r="C8" s="5">
        <v>0</v>
      </c>
      <c r="D8" s="2">
        <v>37</v>
      </c>
      <c r="E8" s="5">
        <v>363106</v>
      </c>
      <c r="F8" s="2">
        <v>0</v>
      </c>
      <c r="G8" s="5">
        <v>0</v>
      </c>
      <c r="H8" s="2">
        <v>8</v>
      </c>
      <c r="I8" s="5">
        <v>55784</v>
      </c>
      <c r="J8" s="5">
        <v>0</v>
      </c>
      <c r="K8" s="5">
        <v>0</v>
      </c>
      <c r="L8" s="5">
        <v>418890</v>
      </c>
      <c r="M8" s="5">
        <v>0</v>
      </c>
    </row>
    <row r="9" ht="20" customHeight="1">
      <c r="A9" s="2" t="str">
        <v>AOW05: Performance Assessments &amp; Evidence Generation</v>
      </c>
      <c r="B9" s="2">
        <v>0</v>
      </c>
      <c r="C9" s="5">
        <v>0</v>
      </c>
      <c r="D9" s="2">
        <v>4</v>
      </c>
      <c r="E9" s="5">
        <v>30522</v>
      </c>
      <c r="F9" s="2">
        <v>0</v>
      </c>
      <c r="G9" s="5">
        <v>0</v>
      </c>
      <c r="H9" s="2">
        <v>0</v>
      </c>
      <c r="I9" s="5">
        <v>0</v>
      </c>
      <c r="J9" s="5">
        <v>0</v>
      </c>
      <c r="K9" s="5">
        <v>201832</v>
      </c>
      <c r="L9" s="5">
        <v>232354</v>
      </c>
      <c r="M9" s="5">
        <v>250229</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Other PMU Operations</v>
      </c>
      <c r="C2" s="11" t="str">
        <v>Travel and other operations budget for all PMU roles.</v>
      </c>
      <c r="D2" s="11">
        <v>0</v>
      </c>
    </row>
    <row r="3" ht="45" customHeight="1" xml:space="preserve">
      <c r="A3" s="11" t="str">
        <v>AOW00</v>
      </c>
      <c r="B3" s="11" t="str">
        <v>Area of Work (AoW) Leaders</v>
      </c>
      <c r="C3" s="11" t="str" xml:space="preserve">
        <v xml:space="preserve">Fixed amount of USD 80,000 per AoW lead, for five AoW leads (one per AoW).
</v>
      </c>
      <c r="D3" s="11">
        <v>0</v>
      </c>
    </row>
    <row r="4" ht="45" customHeight="1">
      <c r="A4" s="11" t="str">
        <v>AOW00</v>
      </c>
      <c r="B4" s="11" t="str">
        <v>Global Engagement Activities</v>
      </c>
      <c r="C4" s="11" t="str">
        <v>Staff and operations for global engagement activities.</v>
      </c>
      <c r="D4" s="11">
        <v>0</v>
      </c>
    </row>
    <row r="5" ht="45" customHeight="1">
      <c r="A5" s="11" t="str">
        <v>AOW00</v>
      </c>
      <c r="B5" s="11" t="str">
        <v>PMU Team</v>
      </c>
      <c r="C5" s="11" t="str">
        <v xml:space="preserve">Position costs for Coordination Focal Point, MELIA Focal Point, Finance Focal Point and Communications Focal Point. </v>
      </c>
      <c r="D5" s="11">
        <v>0</v>
      </c>
    </row>
    <row r="6" ht="45" customHeight="1">
      <c r="A6" s="11" t="str">
        <v>AOW00</v>
      </c>
      <c r="B6" s="11" t="str">
        <v>Shared Finance Support</v>
      </c>
      <c r="D6" s="11">
        <v>0</v>
      </c>
    </row>
    <row r="7" ht="45" customHeight="1">
      <c r="A7" s="11" t="str">
        <v>AOW00</v>
      </c>
      <c r="B7" s="11" t="str">
        <v>Program Director and Associated Costs</v>
      </c>
      <c r="C7" s="11" t="str">
        <v>Standard cost defined by System Office for Director, administrative support, meetings and workshops, travel, smaller consultancies, and miscellaneous operating costs.</v>
      </c>
      <c r="D7" s="11">
        <v>0</v>
      </c>
    </row>
    <row r="8" ht="45" customHeight="1">
      <c r="A8" s="11" t="str">
        <v>AOW00</v>
      </c>
      <c r="B8" s="11" t="str">
        <v>Program Director Discretionary Fund</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32"/>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OP 1.1.3. – Common pool resource bundles</v>
      </c>
      <c r="C3" s="11" t="str" xml:space="preserve">
        <v xml:space="preserve">Deliverable - Stakeholder Co-Design and Game Protocol Development: Conduct stakeholder engagement processes and co-develop country-specific game protocols (e.g., role-play, serious games, or decision-support simulations) to support collaborative planning and negotiation in Senegal, India, and Kenya
Indicator: Number of serious games protocols developed</v>
      </c>
      <c r="D3" s="11" t="str">
        <v>Number of knowledge products</v>
      </c>
      <c r="E3" s="11" t="str">
        <v>Country: Senegal, India, Kenya</v>
      </c>
      <c r="F3" s="11">
        <v>3</v>
      </c>
      <c r="G3" s="11">
        <v>106500</v>
      </c>
      <c r="H3" s="11">
        <f>SUM(G3:G3)</f>
      </c>
      <c r="I3" s="11" t="str">
        <v>.</v>
      </c>
    </row>
    <row r="4" ht="25" customHeight="1">
      <c r="B4" s="14" t="str">
        <v>HLO budget subtotal</v>
      </c>
      <c r="H4" s="15">
        <f>SUM(H3:H3)</f>
      </c>
    </row>
    <row r="5" ht="50" customHeight="1" xml:space="preserve">
      <c r="A5" s="13" t="str">
        <v>AOW02</v>
      </c>
      <c r="B5" s="11" t="str">
        <v>OP 2.2.2. – Landscape visions &amp; co-developed plans</v>
      </c>
      <c r="C5" s="11" t="str" xml:space="preserve">
        <v xml:space="preserve">Deliverable - Landscape Vision to Action (LV2A) Development and Policy Engagement: Develop the LV2A tool for application in MFL Living Landscapes. Produce a cross-country LV2A synthesis paper and policy brief, and convene a V2A-related policy dialogue. 
Indicator: Number of publications, reports or briefs on Landscape Vision to Action </v>
      </c>
      <c r="D5" s="11" t="str">
        <v>Number of knowledge products</v>
      </c>
      <c r="E5" s="11" t="str">
        <v>Country: Zimbabwe, Tanzania, United Republic, Kenya, India, Peru, Colombia, Senegal, Tunisia</v>
      </c>
      <c r="F5" s="11">
        <v>5</v>
      </c>
      <c r="G5" s="11">
        <v>18412</v>
      </c>
      <c r="H5" s="11">
        <f>SUM(G5:G6)</f>
      </c>
      <c r="I5" s="11" t="str">
        <v>.</v>
      </c>
    </row>
    <row r="6" ht="50" customHeight="1" xml:space="preserve">
      <c r="A6" s="11" t="str">
        <v>AOW02</v>
      </c>
      <c r="C6" s="11" t="str" xml:space="preserve">
        <v xml:space="preserve">Deliverable - Landscape Vision to Action (LV2A) Implementation – India: Facilitate multi-stakeholder visioning and priority-setting for the selected landscape in India, leading to a validated Landscape Vision and Action Framework that identifies shared goals, priority interventions, governance arrangements, and pathways for coordinated implementation.  Technical support will also be provided to Tanzania and Zimbabwe. 
Indicator: Number of Vision to Action multistakeholder processes undertaken</v>
      </c>
      <c r="D6" s="11" t="str">
        <v>Number of multistakeholder processes</v>
      </c>
      <c r="E6" s="11" t="str">
        <v>Country: India</v>
      </c>
      <c r="F6" s="11">
        <v>1</v>
      </c>
      <c r="G6" s="11">
        <v>36825</v>
      </c>
      <c r="I6" s="11" t="str">
        <v>.</v>
      </c>
    </row>
    <row r="7" ht="50" customHeight="1" xml:space="preserve">
      <c r="A7" s="11" t="str">
        <v>AOW02</v>
      </c>
      <c r="B7" s="11" t="str">
        <v>OP 2.2.3. – Integrated planning &amp; scenarios</v>
      </c>
      <c r="C7" s="11" t="str" xml:space="preserve">
        <v xml:space="preserve">Deliverable - Landscape Optimization and Land-Use Planning, India: Develop  integrated land-use optimization and planning process for the Mandla India Living Landscape with landscape stakeholders. 
Indicator: Number of stakeholder groups involved in multifunctional integrated landscape planning  in Mandla, India</v>
      </c>
      <c r="D7" s="11" t="str">
        <v xml:space="preserve"> Number of stakeholder groups involved in multifunctional integrated landscape planning  in Mandla, India</v>
      </c>
      <c r="E7" s="11" t="str">
        <v>Country: India</v>
      </c>
      <c r="F7" s="11">
        <v>10</v>
      </c>
      <c r="G7" s="11">
        <v>27362</v>
      </c>
      <c r="H7" s="11">
        <f>SUM(G7:G7)</f>
      </c>
      <c r="I7" s="11" t="str">
        <v>.</v>
      </c>
    </row>
    <row r="8" ht="50" customHeight="1" xml:space="preserve">
      <c r="A8" s="11" t="str">
        <v>AOW02</v>
      </c>
      <c r="B8" s="11" t="str">
        <v>OP 2.2.4. – Digital Twins for foresight</v>
      </c>
      <c r="C8" s="11" t="str" xml:space="preserve">
        <v xml:space="preserve">Deliverable - Digital Twin Needs and Readiness Assessment Across Five Landscapes: Conduct a structured needs and readiness assessment across five landscapes to identify priority decision challenges, data availability and gaps, required modeling capabilities (e.g., ex-ante scenario analysis and foresight), stakeholder workflows, and institutional capacities necessary for co-developing and operationalizing Landscape Digital Twins.
Indicator: Number of baseline reports and data integration blueprints for digital twins</v>
      </c>
      <c r="D8" s="11" t="str">
        <v>Number of knowledge products</v>
      </c>
      <c r="E8" s="11" t="str">
        <v>Country: Kenya</v>
      </c>
      <c r="F8" s="11">
        <v>2</v>
      </c>
      <c r="G8" s="11">
        <v>35687</v>
      </c>
      <c r="H8" s="11">
        <f>SUM(G8:G9)</f>
      </c>
      <c r="I8" s="11" t="str">
        <v>.</v>
      </c>
    </row>
    <row r="9" ht="50" customHeight="1">
      <c r="A9" s="11" t="str">
        <v>AOW02</v>
      </c>
      <c r="C9" s="11" t="str">
        <v>Number of data blocks and digital twins models to inform landscape planning and intervention design</v>
      </c>
      <c r="D9" s="11" t="str">
        <v>Number of knowledge products</v>
      </c>
      <c r="E9" s="11" t="str">
        <v>Global</v>
      </c>
      <c r="F9" s="11">
        <v>2</v>
      </c>
      <c r="G9" s="11">
        <v>0</v>
      </c>
    </row>
    <row r="10" ht="25" customHeight="1">
      <c r="B10" s="15" t="str">
        <v>HLO budget subtotal</v>
      </c>
      <c r="H10" s="15">
        <f>SUM(H5:H9)</f>
      </c>
    </row>
    <row r="11" ht="50" customHeight="1" xml:space="preserve">
      <c r="A11" s="13" t="str">
        <v>AOW03</v>
      </c>
      <c r="B11" s="11" t="str">
        <v>OP 3.3.3. Co-designed inclusive market and non-market mechanisms for optimizing ecosystem services</v>
      </c>
      <c r="C11" s="11" t="str" xml:space="preserve">
        <v xml:space="preserve">Deliverable - Market and Value Chain Analysis for Sustainable Non-Timber Forest Products (NTFPs), with Digital Tools for Ecosystem Service Valuation: Conduct market assessments and value chain analyses for two priority non-timber forest products (NTFPs) to identify opportunities for fair and sustainable commercialization. Document existing and emerging digital tools for ecosystem service valuation, including traceability, MRV, benefit-sharing, and biodiversity accounting platforms, to evaluate how these can strengthen transparency, enhance value capture, and improve sustainability incentives along NTFP value chains.
Indicator: Number of assessments of markets for non-timber forest produce </v>
      </c>
      <c r="D11" s="11" t="str">
        <v>Number of knowledge products</v>
      </c>
      <c r="E11" s="11" t="str">
        <v>Country: India</v>
      </c>
      <c r="F11" s="11">
        <v>6</v>
      </c>
      <c r="G11" s="11">
        <v>104106</v>
      </c>
      <c r="H11" s="11">
        <f>SUM(G11:G11)</f>
      </c>
      <c r="I11" s="11" t="str">
        <v>.</v>
      </c>
    </row>
    <row r="12" ht="25" customHeight="1">
      <c r="B12" s="15" t="str">
        <v>HLO budget subtotal</v>
      </c>
      <c r="H12" s="15">
        <f>SUM(H11:H11)</f>
      </c>
    </row>
    <row r="13" ht="50" customHeight="1" xml:space="preserve">
      <c r="A13" s="13" t="str">
        <v>AOW04</v>
      </c>
      <c r="B13" s="11" t="str">
        <v>OP 4.1.1. Inclusive governance architectures</v>
      </c>
      <c r="C13" s="11" t="str" xml:space="preserve">
        <v xml:space="preserve">Deliverable - Report on assessment of impact of CSR and carbon market investments on the restoration of common land and community commons governance in Madhya Pradesh/India; synthesis paper across all package cases; synthesis blog.
Indicator: Number of reports on impact of CSR and carbon market investment on restoration of common land
</v>
      </c>
      <c r="D13" s="11" t="str">
        <v>Number of knowledge products</v>
      </c>
      <c r="E13" s="11" t="str">
        <v>Country: India</v>
      </c>
      <c r="F13" s="11">
        <v>2</v>
      </c>
      <c r="G13" s="11">
        <v>29168</v>
      </c>
      <c r="H13" s="11">
        <f>SUM(G13:G15)</f>
      </c>
      <c r="I13" s="11" t="str">
        <v>.</v>
      </c>
    </row>
    <row r="14" ht="50" customHeight="1" xml:space="preserve">
      <c r="A14" s="11" t="str">
        <v>AOW04</v>
      </c>
      <c r="C14" s="11" t="str" xml:space="preserve">
        <v xml:space="preserve">Deliverable: Responsible Investment and Carbon Stewardship Framework for Community-Managed Common Lands (India) Co-designed guidelines for responsible CSR and carbon market investments in the restoration of common land and community commons governance in Madhya Pradesh/India
Indicator: Number of cases for co-designed guidelines for responsible CSR and carbon market investments for restoration of commons
</v>
      </c>
      <c r="D14" s="11" t="str">
        <v>Number of knowledge products</v>
      </c>
      <c r="E14" s="11" t="str">
        <v>Country: India</v>
      </c>
      <c r="F14" s="11">
        <v>3</v>
      </c>
      <c r="G14" s="11">
        <v>44168</v>
      </c>
      <c r="I14" s="11" t="str">
        <v>.</v>
      </c>
    </row>
    <row r="15" ht="50" customHeight="1" xml:space="preserve">
      <c r="A15" s="11" t="str">
        <v>AOW04</v>
      </c>
      <c r="C15" s="11" t="str" xml:space="preserve">
        <v xml:space="preserve">Deliverable:  Global framework on governance, policies and institutions for MFL: Methodological paper on multistakeholder process (MSP). Landscape governance assessments, including stakeholder power dynamics; Innovations identified for scaling.
Indicator: Number of  publications, reports or briefs on global frameworks on governance, policies and institutions
</v>
      </c>
      <c r="D15" s="11" t="str">
        <v>Number of knowledge products</v>
      </c>
      <c r="E15" s="11" t="str">
        <v>Global</v>
      </c>
      <c r="F15" s="11">
        <v>4</v>
      </c>
      <c r="G15" s="11">
        <v>64690</v>
      </c>
      <c r="I15" s="11" t="str">
        <v>.</v>
      </c>
    </row>
    <row r="16" ht="50" customHeight="1" xml:space="preserve">
      <c r="A16" s="11" t="str">
        <v>AOW04</v>
      </c>
      <c r="B16" s="11" t="str">
        <v>OP 4.1.2 GEYSI for co-creation and inclusive governance</v>
      </c>
      <c r="C16" s="11" t="str" xml:space="preserve">
        <v xml:space="preserve">Deliverable: Methodological toolbox for developing gender, youth and inclusion responsive approach: an empirically informed mixed methods paper and a systematic literature review
Indicator: Number of publications on GEYSI approaches in MFL
</v>
      </c>
      <c r="D16" s="11" t="str">
        <v>Number of knowledge products</v>
      </c>
      <c r="E16" s="11" t="str">
        <v>Global</v>
      </c>
      <c r="F16" s="11">
        <v>2</v>
      </c>
      <c r="G16" s="11">
        <v>43752</v>
      </c>
      <c r="H16" s="11">
        <f>SUM(G16:G16)</f>
      </c>
      <c r="I16" s="11" t="str">
        <v>.</v>
      </c>
    </row>
    <row r="17" ht="50" customHeight="1" xml:space="preserve">
      <c r="A17" s="11" t="str">
        <v>AOW04</v>
      </c>
      <c r="B17" s="11" t="str">
        <v>OP 4.2.1. Institutional, social and behavioral mechanisms</v>
      </c>
      <c r="C17" s="11" t="str" xml:space="preserve">
        <v xml:space="preserve">Deliverable: Conceptual manuscript that analyzes the governance of farm-based soil health measurements
Indicator: Number of publications, reports or briefs on governance of farm-based soil health measurements
</v>
      </c>
      <c r="D17" s="11" t="str">
        <v>Number of knowledge products</v>
      </c>
      <c r="E17" s="11" t="str">
        <v>Global</v>
      </c>
      <c r="F17" s="11">
        <v>2</v>
      </c>
      <c r="G17" s="11">
        <v>32814</v>
      </c>
      <c r="H17" s="11">
        <f>SUM(G17:G19)</f>
      </c>
      <c r="I17" s="11" t="str">
        <v>.</v>
      </c>
    </row>
    <row r="18" ht="50" customHeight="1" xml:space="preserve">
      <c r="A18" s="11" t="str">
        <v>AOW04</v>
      </c>
      <c r="C18" s="11" t="str" xml:space="preserve">
        <v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v>
      </c>
      <c r="D18" s="11" t="str">
        <v xml:space="preserve"> Number of engagement strategies</v>
      </c>
      <c r="E18" s="11" t="str">
        <v>Country: Peru, India, Tunisia, The Socialist Republic of Viet Nam</v>
      </c>
      <c r="F18" s="11">
        <v>4</v>
      </c>
      <c r="G18" s="11">
        <v>55784</v>
      </c>
      <c r="I18" s="11" t="str">
        <v>.</v>
      </c>
    </row>
    <row r="19" ht="50" customHeight="1">
      <c r="A19" s="11" t="str">
        <v>AOW04</v>
      </c>
      <c r="C19" s="11" t="str">
        <v>Number of institutional empowerment pathways, social incentives, and behavioral change mechanisms designed and documented for multifunctional landscapes contexts</v>
      </c>
      <c r="D19" s="11" t="str">
        <v>Number of knowledge products</v>
      </c>
      <c r="E19" s="11" t="str">
        <v>Country: Tanzania, United Republic, Peru, Zimbabwe, Colombia, Kenya, Tunisia, The Socialist Republic of Viet Nam, Cambodia, India, Senegal, Lao People's Democratic Republic</v>
      </c>
      <c r="F19" s="11">
        <v>4</v>
      </c>
      <c r="G19" s="11">
        <v>0</v>
      </c>
    </row>
    <row r="20" ht="50" customHeight="1" xml:space="preserve">
      <c r="A20" s="11" t="str">
        <v>AOW04</v>
      </c>
      <c r="B20" s="11" t="str">
        <v>OP 4.2.2. Demand driven capacity sharing for policy makers and landscape stakeholders</v>
      </c>
      <c r="C20" s="11" t="str" xml:space="preserve">
        <v xml:space="preserve">Deliverable: Assessment of capacity sharing needs of policy makers in MFL countries
Indicator: Number of assessments on capacity sharing needs of policy makers implemented
</v>
      </c>
      <c r="D20" s="11" t="str">
        <v>Number of knowledge products</v>
      </c>
      <c r="E20" s="11" t="str">
        <v>Global</v>
      </c>
      <c r="F20" s="11">
        <v>2</v>
      </c>
      <c r="G20" s="11">
        <v>21876</v>
      </c>
      <c r="H20" s="11">
        <f>SUM(G20:G21)</f>
      </c>
      <c r="I20" s="11" t="str">
        <v>.</v>
      </c>
    </row>
    <row r="21" ht="50" customHeight="1">
      <c r="A21" s="11" t="str">
        <v>AOW04</v>
      </c>
      <c r="C21" s="11" t="str">
        <v xml:space="preserve">Number of demand-driven capacity sharing activities on multifunctional landscapes governance, policies and institutional arrangements delivered </v>
      </c>
      <c r="D21" s="11" t="str">
        <v xml:space="preserve"> Number of capacity sharing events</v>
      </c>
      <c r="E21" s="11" t="str">
        <v>Country: Colombia, The Socialist Republic of Viet Nam, Lao People's Democratic Republic, India, Zimbabwe, Cambodia, Peru, Senegal, Kenya, Tanzania, United Republic, Tunisia</v>
      </c>
      <c r="F21" s="11">
        <v>4</v>
      </c>
      <c r="G21" s="11">
        <v>0</v>
      </c>
    </row>
    <row r="22" ht="50" customHeight="1" xml:space="preserve">
      <c r="A22" s="11" t="str">
        <v>AOW04</v>
      </c>
      <c r="B22" s="11" t="str">
        <v>OP 4.3.1. Multifunctional landscapes policy design and implementation</v>
      </c>
      <c r="C22" s="11" t="str" xml:space="preserve">
        <v xml:space="preserve">Deliverable: Edited volume proposal on the political economy of agroecology and multifunctional landscapes, including draft introduction and chapter drafts
Indicator: Number of publications, reports or briefs on the political economy of agroecology and MFL
</v>
      </c>
      <c r="D22" s="11" t="str">
        <v>Number of knowledge products</v>
      </c>
      <c r="E22" s="11" t="str">
        <v>Global</v>
      </c>
      <c r="F22" s="11">
        <v>2</v>
      </c>
      <c r="G22" s="11">
        <v>32814</v>
      </c>
      <c r="H22" s="11">
        <f>SUM(G22:G23)</f>
      </c>
      <c r="I22" s="11" t="str">
        <v>.</v>
      </c>
    </row>
    <row r="23" ht="50" customHeight="1">
      <c r="A23" s="11" t="str">
        <v>AOW04</v>
      </c>
      <c r="C23" s="11" t="str">
        <v>Number of frameworks, methodologies, and toolkits for multifunctional landscapes policy design, prioritization, and implementation developed</v>
      </c>
      <c r="D23" s="11" t="str">
        <v>Number of knowledge products</v>
      </c>
      <c r="E23" s="11" t="str">
        <v>Country: The Socialist Republic of Viet Nam, Tanzania, United Republic, Kenya, Zimbabwe, Cambodia, Lao People's Democratic Republic, India, Peru, Senegal, Tunisia, Colombia</v>
      </c>
      <c r="F23" s="11">
        <v>10</v>
      </c>
      <c r="G23" s="11">
        <v>0</v>
      </c>
    </row>
    <row r="24" ht="50" customHeight="1" xml:space="preserve">
      <c r="A24" s="11" t="str">
        <v>AOW04</v>
      </c>
      <c r="B24" s="11" t="str">
        <v>OP 4.3.2. Engagement frameworks and pilots</v>
      </c>
      <c r="C24" s="11" t="str" xml:space="preserve">
        <v xml:space="preserve">Deliverable: Policy briefs and guidance documents on co-created solutions for transboundary natural resource governance
Indicator: Number of policy briefs and guidelines on transboundary natural resource governance
</v>
      </c>
      <c r="D24" s="11" t="str">
        <v>Number of knowledge products</v>
      </c>
      <c r="E24" s="11" t="str">
        <v>Country: Lao People's Democratic Republic, India, Colombia, Cambodia, The Socialist Republic of Viet Nam</v>
      </c>
      <c r="F24" s="11">
        <v>3</v>
      </c>
      <c r="G24" s="11">
        <v>65628</v>
      </c>
      <c r="H24" s="11">
        <f>SUM(G24:G26)</f>
      </c>
      <c r="I24" s="11" t="str">
        <v>.</v>
      </c>
    </row>
    <row r="25" ht="50" customHeight="1" xml:space="preserve">
      <c r="A25" s="11" t="str">
        <v>AOW04</v>
      </c>
      <c r="C25" s="11" t="str" xml:space="preserve">
        <v xml:space="preserve">Deliverable: Engagement frameworks and science-policy dialogues 
Indicator: Number of engagement frameworks and science-policy dialogue designed
</v>
      </c>
      <c r="D25" s="11" t="str">
        <v>Number of knowledge products</v>
      </c>
      <c r="E25" s="11" t="str">
        <v>Global</v>
      </c>
      <c r="F25" s="11">
        <v>2</v>
      </c>
      <c r="G25" s="11">
        <v>21876</v>
      </c>
      <c r="I25" s="11" t="str">
        <v>.</v>
      </c>
    </row>
    <row r="26" ht="50" customHeight="1" xml:space="preserve">
      <c r="A26" s="11" t="str">
        <v>AOW04</v>
      </c>
      <c r="C26" s="11" t="str" xml:space="preserve">
        <v xml:space="preserve">Deliverable - Position paper or brief contributing to global event engagement for biodiversity/MFL governance and/or GEYSI
Indicator: Number of publications, reports or briefs on global event engagement</v>
      </c>
      <c r="D26" s="11" t="str">
        <v>Number of knowledge products</v>
      </c>
      <c r="E26" s="11" t="str">
        <v>Global</v>
      </c>
      <c r="F26" s="11">
        <v>1</v>
      </c>
      <c r="G26" s="11">
        <v>6320</v>
      </c>
      <c r="I26" s="11" t="str">
        <v>.</v>
      </c>
    </row>
    <row r="27" ht="25" customHeight="1">
      <c r="B27" s="15" t="str">
        <v>HLO budget subtotal</v>
      </c>
      <c r="H27" s="15">
        <f>SUM(H13:H26)</f>
      </c>
    </row>
    <row r="28" ht="50" customHeight="1" xml:space="preserve">
      <c r="A28" s="13" t="str">
        <v>AOW05</v>
      </c>
      <c r="B28" s="11" t="str">
        <v>OP 5.1.2 Landscape-specific assessment frameworks</v>
      </c>
      <c r="C28" s="11" t="str" xml:space="preserve">
        <v xml:space="preserve">Deliverable - MELIA STUDY Landscape appropriate impact assessment data collection for Kenya: farming households + system actors 
Indicator: Number of baseline/midline datasets to capture landscape interventions impacts</v>
      </c>
      <c r="D28" s="11" t="str">
        <v>Number of knowledge products</v>
      </c>
      <c r="E28" s="11" t="str">
        <v>Country: Kenya</v>
      </c>
      <c r="F28" s="11">
        <v>1</v>
      </c>
      <c r="G28" s="11">
        <v>0</v>
      </c>
      <c r="H28" s="11">
        <f>SUM(G28:G29)</f>
      </c>
    </row>
    <row r="29" ht="50" customHeight="1" xml:space="preserve">
      <c r="A29" s="11" t="str">
        <v>AOW05</v>
      </c>
      <c r="C29" s="11" t="str" xml:space="preserve">
        <v xml:space="preserve">Deliverable - MELIA STUDY Midline/endline data collection from randomized controlled trial (RCT) evaluating adoption and impacts of knowledge co-creation on adoption of agroecological practices	. Collecting, cleaning and making open-source replicable data available from landscape appropriate data collection: midline and endline data collection from randomized controlled trial (RCT) evaluating adoption and impacts of knowledge co-creation on adoption of agroecological practices across 1200+ households.  
Indicator:Number of datasets assessing the impact of AE knowledge co-creation and adoption</v>
      </c>
      <c r="D29" s="11" t="str">
        <v>Number of knowledge products</v>
      </c>
      <c r="E29" s="11" t="str">
        <v>Country: India</v>
      </c>
      <c r="F29" s="11">
        <v>1</v>
      </c>
      <c r="G29" s="11">
        <v>0</v>
      </c>
    </row>
    <row r="30" ht="50" customHeight="1" xml:space="preserve">
      <c r="A30" s="11" t="str">
        <v>AOW05</v>
      </c>
      <c r="B30" s="11" t="str">
        <v>OP 5.1.3. Cross-CGIAR assessment frameworks of impact indicators</v>
      </c>
      <c r="C30" s="11" t="str" xml:space="preserve">
        <v xml:space="preserve">Deliverable - Soil health assessment for Kenya. Deliverables: Maps of fertilizer and manure use by crop; Nutrient budget maps of cropland 
Indicator: Number of soil health assessments
</v>
      </c>
      <c r="D30" s="11" t="str">
        <v>Number of knowledge products</v>
      </c>
      <c r="E30" s="11" t="str">
        <v>Country: Kenya</v>
      </c>
      <c r="F30" s="11">
        <v>1</v>
      </c>
      <c r="G30" s="11">
        <v>12292</v>
      </c>
      <c r="H30" s="11">
        <f>SUM(G30:G31)</f>
      </c>
      <c r="I30" s="11" t="str">
        <v>.</v>
      </c>
    </row>
    <row r="31" ht="50" customHeight="1" xml:space="preserve">
      <c r="A31" s="11" t="str">
        <v>AOW05</v>
      </c>
      <c r="C31" s="11" t="str" xml:space="preserve">
        <v xml:space="preserve">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Integrated Assessment Frameworks for Water Accessibility, Use Efficiency, and Nutrient Management</v>
      </c>
      <c r="D31" s="11" t="str">
        <v>Number of knowledge products</v>
      </c>
      <c r="E31" s="11" t="str">
        <v>Global</v>
      </c>
      <c r="F31" s="11">
        <v>1</v>
      </c>
      <c r="G31" s="11">
        <v>18230</v>
      </c>
      <c r="I31" s="11" t="str">
        <v>.</v>
      </c>
    </row>
    <row r="32" ht="25" customHeight="1">
      <c r="B32" s="15" t="str">
        <v>HLO budget subtotal</v>
      </c>
      <c r="H32" s="15">
        <f>SUM(H28:H31)</f>
      </c>
    </row>
  </sheetData>
  <mergeCells count="33">
    <mergeCell ref="A1:A2"/>
    <mergeCell ref="B1:B2"/>
    <mergeCell ref="C1:G1"/>
    <mergeCell ref="H1:H2"/>
    <mergeCell ref="I1:I2"/>
    <mergeCell ref="B4:G4"/>
    <mergeCell ref="A3:A4"/>
    <mergeCell ref="B5:B6"/>
    <mergeCell ref="H5:H6"/>
    <mergeCell ref="B8:B9"/>
    <mergeCell ref="H8:H9"/>
    <mergeCell ref="B10:G10"/>
    <mergeCell ref="A5:A10"/>
    <mergeCell ref="B12:G12"/>
    <mergeCell ref="A11:A12"/>
    <mergeCell ref="B13:B15"/>
    <mergeCell ref="H13:H15"/>
    <mergeCell ref="B17:B19"/>
    <mergeCell ref="H17:H19"/>
    <mergeCell ref="B20:B21"/>
    <mergeCell ref="H20:H21"/>
    <mergeCell ref="B22:B23"/>
    <mergeCell ref="H22:H23"/>
    <mergeCell ref="B24:B26"/>
    <mergeCell ref="H24:H26"/>
    <mergeCell ref="B27:G27"/>
    <mergeCell ref="A13:A27"/>
    <mergeCell ref="B28:B29"/>
    <mergeCell ref="H28:H29"/>
    <mergeCell ref="B30:B31"/>
    <mergeCell ref="H30:H31"/>
    <mergeCell ref="B32:G32"/>
    <mergeCell ref="A28:A32"/>
  </mergeCells>
  <ignoredErrors>
    <ignoredError numberStoredAsText="1" sqref="A1:I32"/>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N-643015-CoIMPACT INDIA</v>
      </c>
      <c r="B2" s="19" t="str">
        <v>AOW00</v>
      </c>
      <c r="C2" s="18" t="str">
        <v>Environmental Health and Biodiversity</v>
      </c>
      <c r="D2" s="19">
        <v>0</v>
      </c>
      <c r="E2" s="19" t="str">
        <f>=SUM(D2:D3)</f>
        <v>0</v>
      </c>
    </row>
    <row r="3" ht="30" customHeight="1">
      <c r="A3" s="18" t="str">
        <v>N-643015-CoIMPACT INDIA</v>
      </c>
      <c r="B3" s="19" t="str">
        <v>AOW05</v>
      </c>
      <c r="C3" s="18" t="str">
        <v>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v>
      </c>
      <c r="D3" s="19">
        <v>250229</v>
      </c>
      <c r="F3" s="19" t="str">
        <v>.</v>
      </c>
    </row>
    <row r="4" ht="30" customHeight="1">
      <c r="A4" s="3" t="str">
        <v>W3/Bilateral projects subtotal</v>
      </c>
      <c r="E4" s="3">
        <f>SUM(E2:E3)</f>
      </c>
    </row>
  </sheetData>
  <mergeCells count="3">
    <mergeCell ref="A2:A3"/>
    <mergeCell ref="E2:E3"/>
    <mergeCell ref="A4:D4"/>
  </mergeCells>
  <ignoredErrors>
    <ignoredError numberStoredAsText="1" sqref="A1:F4"/>
  </ignoredErrors>
</worksheet>
</file>

<file path=xl/worksheets/sheet6.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Midline/endline data collection from randomized controlled trial (RCT) evaluating adoption and impacts of knowledge co-creation on adoption of agroecological practices</v>
      </c>
      <c r="B2" s="19" t="str">
        <v>AOW05</v>
      </c>
      <c r="C2" s="18" t="str">
        <v>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v>
      </c>
      <c r="D2" s="19">
        <v>88416</v>
      </c>
      <c r="E2" s="19" t="str">
        <f>=SUM(D2:D2)</f>
        <v>0</v>
      </c>
      <c r="F2" s="19" t="str">
        <v>.</v>
      </c>
    </row>
    <row r="3" ht="30" customHeight="1">
      <c r="A3" s="18" t="str">
        <v>Landscape appropriate impact assessment data collection for Kenya</v>
      </c>
      <c r="B3" s="19" t="str">
        <v>AOW05</v>
      </c>
      <c r="C3" s="18" t="str">
        <v>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v>
      </c>
      <c r="D3" s="19">
        <v>113416</v>
      </c>
      <c r="E3" s="19" t="str">
        <f>=SUM(D3:D3)</f>
        <v>0</v>
      </c>
      <c r="F3" s="19" t="str">
        <v>.</v>
      </c>
    </row>
    <row r="4" ht="30" customHeight="1">
      <c r="A4" s="3" t="str">
        <v>MELIA Studies Budget subtotal</v>
      </c>
      <c r="E4" s="3">
        <f>SUM(E2:E3)</f>
      </c>
    </row>
  </sheetData>
  <mergeCells count="1">
    <mergeCell ref="A4:D4"/>
  </mergeCells>
  <ignoredErrors>
    <ignoredError numberStoredAsText="1" sqref="A1:F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15000</v>
      </c>
      <c r="D2" s="20">
        <v>5000</v>
      </c>
      <c r="E2" s="20">
        <v>5000</v>
      </c>
      <c r="F2" s="20">
        <v>20000</v>
      </c>
      <c r="G2" s="20">
        <v>0</v>
      </c>
      <c r="H2" s="20" t="str">
        <f>=SUM(B2:G2)</f>
        <v>0</v>
      </c>
    </row>
    <row r="3" ht="20" customHeight="1">
      <c r="A3" s="20" t="str">
        <v>Operations (supplies, consultants, travels, workshops, other)</v>
      </c>
      <c r="B3" s="20">
        <v>0</v>
      </c>
      <c r="C3" s="20">
        <v>10077</v>
      </c>
      <c r="D3" s="20">
        <v>25030</v>
      </c>
      <c r="E3" s="20">
        <v>2034</v>
      </c>
      <c r="F3" s="20">
        <v>40880</v>
      </c>
      <c r="G3" s="20">
        <v>67500</v>
      </c>
      <c r="H3" s="20" t="str">
        <f>=SUM(B3:G3)</f>
        <v>0</v>
      </c>
    </row>
    <row r="4" ht="20" customHeight="1">
      <c r="A4" s="20" t="str">
        <v>Staffing, Chargebacks and Indirect</v>
      </c>
      <c r="B4" s="20">
        <v>0</v>
      </c>
      <c r="C4" s="20">
        <v>81423</v>
      </c>
      <c r="D4" s="20">
        <v>88256</v>
      </c>
      <c r="E4" s="20">
        <v>97072</v>
      </c>
      <c r="F4" s="20">
        <v>358010</v>
      </c>
      <c r="G4" s="20">
        <v>164854</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