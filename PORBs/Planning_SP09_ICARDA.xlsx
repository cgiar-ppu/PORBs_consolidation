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Engage and Empower</v>
      </c>
      <c r="B5" s="2">
        <v>0</v>
      </c>
      <c r="C5" s="5">
        <v>0</v>
      </c>
      <c r="D5" s="2">
        <v>0</v>
      </c>
      <c r="E5" s="5">
        <v>0</v>
      </c>
      <c r="F5" s="2">
        <v>0</v>
      </c>
      <c r="G5" s="5">
        <v>0</v>
      </c>
      <c r="H5" s="2">
        <v>0</v>
      </c>
      <c r="I5" s="5">
        <v>0</v>
      </c>
      <c r="J5" s="5">
        <v>0</v>
      </c>
      <c r="K5" s="5">
        <v>0</v>
      </c>
      <c r="L5" s="5">
        <v>0</v>
      </c>
      <c r="M5" s="5">
        <v>0</v>
      </c>
    </row>
    <row r="6" ht="20" customHeight="1">
      <c r="A6" s="2" t="str">
        <v>AOW02: Grand Challenges and Scaling Flagships</v>
      </c>
      <c r="B6" s="2">
        <v>0</v>
      </c>
      <c r="C6" s="5">
        <v>0</v>
      </c>
      <c r="D6" s="2">
        <v>0</v>
      </c>
      <c r="E6" s="5">
        <v>0</v>
      </c>
      <c r="F6" s="2">
        <v>0</v>
      </c>
      <c r="G6" s="5">
        <v>0</v>
      </c>
      <c r="H6" s="2">
        <v>1790000</v>
      </c>
      <c r="I6" s="5">
        <v>638809</v>
      </c>
      <c r="J6" s="5">
        <v>70975</v>
      </c>
      <c r="K6" s="5">
        <v>0</v>
      </c>
      <c r="L6" s="5">
        <v>709784</v>
      </c>
      <c r="M6" s="5">
        <v>68652</v>
      </c>
    </row>
    <row r="7" ht="20" customHeight="1">
      <c r="A7" s="2" t="str">
        <v>AOW03: Enabling Environment Lab</v>
      </c>
      <c r="B7" s="2">
        <v>0</v>
      </c>
      <c r="C7" s="5">
        <v>0</v>
      </c>
      <c r="D7" s="2">
        <v>3</v>
      </c>
      <c r="E7" s="5">
        <v>157500</v>
      </c>
      <c r="F7" s="2">
        <v>0</v>
      </c>
      <c r="G7" s="5">
        <v>0</v>
      </c>
      <c r="H7" s="2">
        <v>0</v>
      </c>
      <c r="I7" s="5">
        <v>0</v>
      </c>
      <c r="J7" s="5">
        <v>17500</v>
      </c>
      <c r="K7" s="5">
        <v>0</v>
      </c>
      <c r="L7" s="5">
        <v>175000</v>
      </c>
      <c r="M7" s="5">
        <v>0</v>
      </c>
    </row>
    <row r="8" ht="20" customHeight="1">
      <c r="A8" s="2" t="str">
        <v>AOW04: Achieving Impact by Unlocking Finance and Partnerships</v>
      </c>
      <c r="B8" s="2">
        <v>2</v>
      </c>
      <c r="C8" s="5">
        <v>61141</v>
      </c>
      <c r="D8" s="2">
        <v>0</v>
      </c>
      <c r="E8" s="5">
        <v>0</v>
      </c>
      <c r="F8" s="2">
        <v>0</v>
      </c>
      <c r="G8" s="5">
        <v>0</v>
      </c>
      <c r="H8" s="2">
        <v>820000064</v>
      </c>
      <c r="I8" s="5">
        <v>78260</v>
      </c>
      <c r="J8" s="5">
        <v>0</v>
      </c>
      <c r="K8" s="5">
        <v>0</v>
      </c>
      <c r="L8" s="5">
        <v>139401</v>
      </c>
      <c r="M8" s="5">
        <v>66176</v>
      </c>
    </row>
    <row r="9" ht="20" customHeight="1">
      <c r="A9" s="2" t="str">
        <v>AOW05: Learning for Impact</v>
      </c>
      <c r="B9" s="2">
        <v>0</v>
      </c>
      <c r="C9" s="5">
        <v>0</v>
      </c>
      <c r="D9" s="2">
        <v>0</v>
      </c>
      <c r="E9" s="5">
        <v>0</v>
      </c>
      <c r="F9" s="2">
        <v>0</v>
      </c>
      <c r="G9" s="5">
        <v>0</v>
      </c>
      <c r="H9" s="2">
        <v>0</v>
      </c>
      <c r="I9" s="5">
        <v>0</v>
      </c>
      <c r="J9" s="5">
        <v>0</v>
      </c>
      <c r="K9" s="5">
        <v>0</v>
      </c>
      <c r="L9" s="5">
        <v>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Scaling for Impact Pause and Reflect, Adaptive Management and Replanning processes</v>
      </c>
      <c r="C2"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2" s="11">
        <v>0</v>
      </c>
    </row>
    <row r="3" ht="45" customHeight="1">
      <c r="A3" s="11" t="str">
        <v>AOW00</v>
      </c>
      <c r="B3" s="11" t="str">
        <v xml:space="preserve">Program Communication Activities </v>
      </c>
      <c r="C3"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3" s="11">
        <v>0</v>
      </c>
    </row>
    <row r="4" ht="45" customHeight="1" xml:space="preserve">
      <c r="A4" s="11" t="str">
        <v>AOW00</v>
      </c>
      <c r="B4" s="11" t="str">
        <v>Area of Work Leadership and Coordination Support</v>
      </c>
      <c r="C4"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4" s="11">
        <v>0</v>
      </c>
    </row>
    <row r="5" ht="45" customHeight="1">
      <c r="A5" s="11" t="str">
        <v>AOW00</v>
      </c>
      <c r="B5" s="11" t="str">
        <v>Program Leadership and Core Operations Support</v>
      </c>
      <c r="C5"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5" s="11">
        <v>0</v>
      </c>
    </row>
    <row r="6" ht="45" customHeight="1">
      <c r="A6" s="11" t="str">
        <v>AOW00</v>
      </c>
      <c r="B6" s="11" t="str">
        <v>Director's Strategic Opportunity and Partnership Support Fund</v>
      </c>
      <c r="C6"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6" s="11">
        <v>0</v>
      </c>
    </row>
    <row r="7" ht="45" customHeight="1" xml:space="preserve">
      <c r="A7" s="11" t="str">
        <v>AOW00</v>
      </c>
      <c r="B7" s="11" t="str">
        <v>Program Management Unit Coordination and Oversight Support</v>
      </c>
      <c r="C7"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7" s="11">
        <v>0</v>
      </c>
    </row>
    <row r="8" ht="45" customHeight="1">
      <c r="A8" s="11" t="str">
        <v>AOW00</v>
      </c>
      <c r="B8" s="11" t="str">
        <v>Scaling for Impact Pause and Reflect, Adaptive Management and Replanning processes</v>
      </c>
      <c r="C8"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8" s="11">
        <v>0</v>
      </c>
    </row>
    <row r="9" ht="45" customHeight="1">
      <c r="A9" s="11" t="str">
        <v>AOW00</v>
      </c>
      <c r="B9" s="11" t="str">
        <v xml:space="preserve">Program Communication Activities </v>
      </c>
      <c r="C9"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9" s="11">
        <v>0</v>
      </c>
    </row>
    <row r="10" ht="45" customHeight="1" xml:space="preserve">
      <c r="A10" s="11" t="str">
        <v>AOW00</v>
      </c>
      <c r="B10" s="11" t="str">
        <v>Area of Work Leadership and Coordination Support</v>
      </c>
      <c r="C10"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10" s="11">
        <v>0</v>
      </c>
    </row>
    <row r="11" ht="45" customHeight="1">
      <c r="A11" s="11" t="str">
        <v>AOW00</v>
      </c>
      <c r="B11" s="11" t="str">
        <v>Program Leadership and Core Operations Support</v>
      </c>
      <c r="C11"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11" s="11">
        <v>0</v>
      </c>
    </row>
    <row r="12" ht="45" customHeight="1">
      <c r="A12" s="11" t="str">
        <v>AOW00</v>
      </c>
      <c r="B12" s="11" t="str">
        <v>Director's Strategic Opportunity and Partnership Support Fund</v>
      </c>
      <c r="C12"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12" s="11">
        <v>0</v>
      </c>
    </row>
    <row r="13" ht="45" customHeight="1" xml:space="preserve">
      <c r="A13" s="11" t="str">
        <v>AOW00</v>
      </c>
      <c r="B13" s="11" t="str">
        <v>Program Management Unit Coordination and Oversight Support</v>
      </c>
      <c r="C13"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13" s="11">
        <v>0</v>
      </c>
    </row>
  </sheetData>
  <mergeCells count="1">
    <mergeCell ref="A2:A13"/>
  </mergeCells>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I1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AOW02</v>
      </c>
      <c r="B3" s="11" t="str">
        <v>HLO 2.2.2: Inclusive and efficient innovation delivery systems that support biodiverse, sustainable production, generate new jobs, and expand access for women, youth, and small and medium enterprises.</v>
      </c>
      <c r="C3" s="11" t="str" xml:space="preserve">
        <v xml:space="preserve">A2P9.2: PoD name: Scaling Conservation Agriculture to One Million Hectares in Morocco: Building Climate Resilience and Employment for Rural Youth. Lead Center: ICARDA. PoD KPI: 250,000 – Two hundred fifty thousand hectares under CGIAR-influenced Conservation Agriculture by the end of 2026 across Morocco. Suggested Disaggregation: 100,000 hectares managed by women and youth (40%), 25,000 hectares by marginalized groups (10%), and 125,000 hectares by other producers (50%). Indicator type: Other Output. Unit: Number of hectares.
PoD Description: This Scaling Solution Track supports Morocco’s Generation Green strategy to expand Conservation Agriculture (CA) from 200,000 to one million hectares by 2030. The CA package integrates minimum tillage, residue management, legume rotation, precision input use, adapted seeds, and youth-led mechanization services to enhance productivity, soil health, and resilience. By 2026, the program will bring 250,000 hectares under CA through partnerships with national institutions, cooperatives, and private sector dealers, strengthening rural youth employment and advancing climate-smart and sustainable agricultural systems. Accountable Center leading this PoD: ICARDA. Anticipated partners: INRA; ONCA; MAPMDREF; Tourba; Al Moutmir; AMAC; cooperatives; seed companies including SONACOS and AMMS; machinery providers; Crédit Agricole; and rural development funds. MELIA: Monitoring, evaluation, and learning plans will be developed in early 2026 in cooperation with the S4I PMU and/or AoW‑5, and where needed will include baseline assessments and indicator tracking and reporting in line with Program and CGIAR guidelines.</v>
      </c>
      <c r="D3" s="11" t="str">
        <v xml:space="preserve"> Other Output</v>
      </c>
      <c r="E3" s="11" t="str">
        <v>Country: Morocco</v>
      </c>
      <c r="F3" s="11">
        <v>250000</v>
      </c>
      <c r="G3" s="11">
        <v>160446</v>
      </c>
      <c r="H3" s="11">
        <f>SUM(G3:G4)</f>
      </c>
      <c r="I3" s="11" t="str" xml:space="preserve">
        <v xml:space="preserve">Assumption: Government and donor commitment to Generation Green and CA expansion remain strong through 2026.
Budget allocation to partner : 17K
MAPMDREF, NRA, ONCA, Tourba, Al Moutmir, AMAC, cooperatives, seed companies (SONACOS, AMMS), machinery providers, Crédit Agricole, rural development funds.
</v>
      </c>
    </row>
    <row r="4" ht="50" customHeight="1" xml:space="preserve">
      <c r="A4" s="11" t="str">
        <v>AOW02</v>
      </c>
      <c r="C4" s="11" t="str" xml:space="preserve">
        <v xml:space="preserve">A2P9.1: PoD name: Scaling Conservation Agriculture to One Million Hectares in Morocco: Building Climate Resilience and Employment for Rural Youth. Lead Center: ICARDA. PoD KPI: 40,000 – Forty thousand farmers and youth entrepreneurs applying CGIAR-linked Conservation Agriculture innovations by the end of 2026 across Morocco. Suggested Disaggregation: 16,000 women and youth (40%), 4,000 marginalized groups (10%), and 20,000 other farmers (50%). Indicator type: Other Output. Unit: Number of individuals.
PoD Description: This Scaling Solution Track accelerates Morocco’s national Generation Green strategy to expand Conservation Agriculture (CA) from 200,000 to one million hectares by 2030. The package integrates minimum tillage, residue management, legume rotation, precision input use, adapted seeds, and youth-led no-till seeder services to enhance productivity, soil health, and climate resilience. By 2026, it will reach 40,000 farmers and youth entrepreneurs managing approximately 250,000 hectares under CA, contributing to higher yields, income gains, and reduced carbon emissions while supporting inclusive rural employment and sustainable natural resource management. Accountable Center leading this PoD: ICARDA. Anticipated partners: INRA; ONCA; MAPMDREF; Tourba; Al Moutmir; AMAC; cooperatives; seed companies including SONACOS and AMMS; machinery providers; Crédit Agricole; and rural development funds. MELIA: Monitoring, evaluation, and learning plans will be developed in early 2026 in cooperation with the S4I PMU and/or AoW‑5, and where needed will include baseline assessments and indicator tracking and reporting in line with Program and CGIAR guidelines.</v>
      </c>
      <c r="D4" s="11" t="str">
        <v xml:space="preserve"> Other Output</v>
      </c>
      <c r="E4" s="11" t="str">
        <v>Country: Morocco</v>
      </c>
      <c r="F4" s="11">
        <v>40000</v>
      </c>
      <c r="G4" s="11">
        <v>160446</v>
      </c>
      <c r="I4" s="11" t="str" xml:space="preserve">
        <v xml:space="preserve">Assumption: Strong government support for CA continues through 2026 under the Generation Green strategy.
Budget allocation to partner : 17K
MAPMDREF, NRA, ONCA, Tourba, Al Moutmir, AMAC, cooperatives, seed companies (SONACOS, AMMS), machinery providers, Crédit Agricole, rural development funds.</v>
      </c>
    </row>
    <row r="5" ht="50" customHeight="1" xml:space="preserve">
      <c r="A5" s="11" t="str">
        <v>AOW02</v>
      </c>
      <c r="B5" s="11" t="str">
        <v>HLO 2.2.3: Nutrition-smart crop and livestock systems and inclusive food markets, with increased jobs, improved livelihoods, and enhanced access for women and youth to diverse, safe, and affordable diets.</v>
      </c>
      <c r="C5" s="11" t="str" xml:space="preserve">
        <v xml:space="preserve">A2P18.1: PoD name: Barley Enriched Balady Bread for a Climate-Resilient Approach to Nutrition and Food Sufficiency in Egypt. Lead Center: ICARDA. PoD KPI: 1,500,000 – One million five hundred thousand consumers benefiting from barley flour integration in the Balady bread system by end-2026. Suggested Disaggregation: 750,000 women (50%), 450,000 youth (30%), 300,000 others (20%). Indicator type: Other Output. Unit: Number of consumers.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D5" s="11" t="str">
        <v xml:space="preserve"> Other Output</v>
      </c>
      <c r="E5" s="11" t="str">
        <v>Country: Egypt</v>
      </c>
      <c r="F5" s="11">
        <v>1500000</v>
      </c>
      <c r="G5" s="11">
        <v>317917</v>
      </c>
      <c r="H5" s="11">
        <f>SUM(G5:G5)</f>
      </c>
      <c r="I5" s="11" t="str" xml:space="preserve">
        <v xml:space="preserve">Assumption: Continued government commitment to reducing wheat imports and openness to barley integration in subsidy reform.
Allocation for partner: 36.9K
Egyptian Ministry of Supply and Internal Trade (MoSIT), the Agricultural Research Center (ARC), Food Technology Research Institute (FTRI), FAO
</v>
      </c>
    </row>
    <row r="6" ht="25" customHeight="1">
      <c r="B6" s="14" t="str">
        <v>HLO budget subtotal</v>
      </c>
      <c r="H6" s="15">
        <f>SUM(H3:H5)</f>
      </c>
    </row>
    <row r="7" ht="50" customHeight="1" xml:space="preserve">
      <c r="A7" s="13" t="str">
        <v>AOW03</v>
      </c>
      <c r="B7" s="11" t="str">
        <v xml:space="preserve">HLO 3.3.1: Enabling environment diagnostics </v>
      </c>
      <c r="C7" s="11" t="str" xml:space="preserve">
        <v xml:space="preserve">A3P4.2: PoD name: EE support to Flagship 2.1. Lead Center: ICARDA. PoD KPI: 2 – Two country-level reports (Ethiopia and Egypt) finalized and validated by the end of 2026, providing policy and institutional recommendations for improving PPP coordination and seed system efficiency to scale climate-resilient, nutrient-dense varieties. Suggested Disaggregation: Not applicable – KPI is a knowledge product measured as number of reports rather than individuals. Indicator type: Knowledge product. Unit: Number of reports.
PoD Description: This package provides enabling environment support to AoW2 Flagship 2.1 by assessing and strengthening seed value chains and Public–Private Partnership (PPP) frameworks for scaling seed and fertilizer/soil fertility management systems in wheat-based and mixed farming systems. Focusing initially on Ethiopia and Egypt, it will analyse the roles and performance of public and private seed actors, identify coordination and investment gaps, and generate evidence-based recommendations to improve collaboration, competitiveness, and innovation. By aligning policy, regulatory, and institutional arrangements with practical scaling pathways for climate-resilient, nutrient-dense varieties, the work will support more efficient seed systems, better-targeted investments, and enhanced farmer access to high-quality seed and soil fertility solutions that underpin productivity, resilience, and nutrition outcomes. Accountable Center leading this PoD: ICARDA. Anticipated partners: Ministry of Agriculture (Ethiopia); Ethiopian Seed Enterprise; major private seed companies in Ethiopia; Agricultural Research Center (ARC) in Egypt; Ministry of Agriculture and Land Reclamation (Egypt); national seed councils and seed sector associations in Ethiopia, Egypt, Morocco, and Pakistan. MELIA: Monitoring, evaluation, and learning plans will be developed in early 2026 in cooperation with the S4I PMU and/or AoW‑5, and where needed will include baseline assessments and indicator tracking and reporting in line with Program and CGIAR guidelines.</v>
      </c>
      <c r="D7" s="11" t="str">
        <v>Number of knowledge products</v>
      </c>
      <c r="E7" s="11" t="str">
        <v>Country: Morocco, Ethiopia, Egypt</v>
      </c>
      <c r="F7" s="11">
        <v>2</v>
      </c>
      <c r="G7" s="11">
        <v>67500</v>
      </c>
      <c r="H7" s="11">
        <f>SUM(G7:G8)</f>
      </c>
      <c r="I7" s="11" t="str" xml:space="preserve">
        <v xml:space="preserve">Assumption: Governments and seed sector stakeholders remain committed to evidence-based reforms improving coordination and investment efficiency.
Allocation to Partner =7.5K
the Agricultural Research Center (ARC), Ethiopian Institite of Agricultural Research</v>
      </c>
    </row>
    <row r="8" ht="50" customHeight="1" xml:space="preserve">
      <c r="A8" s="11" t="str">
        <v>AOW03</v>
      </c>
      <c r="C8" s="11" t="str" xml:space="preserve">
        <v xml:space="preserve">A3P4.1: PoD name: EE support to Flagship 2.1. Lead Center: ICARDA. PoD KPI: 1 – One validated regional policy output jointly endorsed by Ethiopia and Egypt by the end of 2026, providing harmonized recommendations to strengthen institutional and regulatory frameworks for scaling climate-resilient, nutrient-rich seed systems. Suggested Disaggregation: Not applicable – KPI is a knowledge product measured as number of publications rather than individuals. Indicator type: Knowledge product. Unit: Number of publications.
PoD Description: This package will provide enabling-environment support to AoW2 Flagship 2.1 on scaling seed and fertilizer/soil fertility management systems for resilient, diverse, and nutrition-smart farming. It will review and harmonize seed policy, regulatory, and institutional frameworks in Ethiopia and Egypt to remove bottlenecks in varietal release, seed production, marketing, and quality assurance, thereby accelerating dissemination of climate-resilient and nutrient-rich varieties. The work will also assess public–private roles along the seed value chain, identify opportunities to strengthen governance and collaboration, and link policy reform with scaling strategies for integrated water, soil, and good agricultural practice innovations in wheat-based and mixed farming systems. By aligning supportive policies with practical innovations, the package will improve seed-system performance, promote coordinated investment, and enhance farmers’ access to high-quality seeds and soil fertility solutions that boost productivity, resilience, and nutrition outcomes. Accountable Center leading this PoD: ICARDA. Anticipated partners: Ministries of Agriculture in Ethiopia and Egypt; national seed councils and seed regulatory authorities; private seed associations and related seed-system stakeholders in Ethiopia, Egypt, Morocco, and Pakistan. MELIA: Monitoring, evaluation, and learning plans will be developed in early 2026 in cooperation with the S4I PMU and/or AoW‑5, and where needed will include baseline assessments and indicator tracking and reporting in line with Program and CGIAR guidelines.</v>
      </c>
      <c r="D8" s="11" t="str">
        <v>Number of knowledge products</v>
      </c>
      <c r="E8" s="11" t="str">
        <v>Country: Egypt, Ethiopia</v>
      </c>
      <c r="F8" s="11">
        <v>1</v>
      </c>
      <c r="G8" s="11">
        <v>90000</v>
      </c>
      <c r="I8" s="11" t="str" xml:space="preserve">
        <v xml:space="preserve">Assumption: Ethiopia and Egypt remain committed to seed policy reform and regional knowledge exchange on scaling improved varieties.
Allocation to Partner 10K
the Agricultural Research Center (ARC), Ethiopian Institite of Agricultural Research</v>
      </c>
    </row>
    <row r="9" ht="25" customHeight="1">
      <c r="B9" s="15" t="str">
        <v>HLO budget subtotal</v>
      </c>
      <c r="H9" s="15">
        <f>SUM(H7:H8)</f>
      </c>
    </row>
    <row r="10" ht="50" customHeight="1" xml:space="preserve">
      <c r="A10" s="13" t="str">
        <v>AOW04</v>
      </c>
      <c r="B10" s="11" t="str">
        <v>HLO 4.4.1: CGIAR Expertise and Solutions Embedded in Development Investments and Partnerships</v>
      </c>
      <c r="C10" s="11" t="str" xml:space="preserve">
        <v xml:space="preserve">A4P4.1: PoD name: Global Coordinated Clearinghouse developed: New Frontier. Lead Center: ICARDA.  PoD KPI: 60 – Sixty cumulative partnerships formalized by the end of 2026 across global and regional Clearinghouses (Asia, MENA, Africa, and the Caribbean), connecting CGIAR Centers with IFIs, national governments, and development partners through structured co-investment, cataloguing, and technical assistance mechanisms under AoW 4 CoA 4.2. Suggested Disaggregation: Not applicable; KPI counts partnerships rather than numbers of individuals. Indicator type: Other output. Unit: Number of Partnerships.
PoD Description: This package develops a globally coordinated CGIAR Clearinghouse that connects ready-to-scale CGIAR innovations with investment pipelines of international financial institutions, governments, and other partners. By 2026, it will establish and support regional Clearinghouses with the Asian Development Bank and emerging platforms with the Islamic Development Bank and the Caribbean Development Bank, while laying the groundwork for a regional Clearinghouse for CGIAR innovations in MENA. Core functions include sourcing and vetting innovations aligned with PRMS, profiling them through CGIAR e-catalogues, integrating lessons from TAAT, and supporting CGIAR Centers to position their innovations in future IFI-financed investments. The work will form coordination mechanisms among CGIAR Centers and country partners, initiate pay-for-services arrangements with IFIs, and develop pathways for blended finance, contributing to 2030 outcomes by helping to leverage an estimated US$1.46 billion in investment across Africa, Asia, MENA, and Latin America. Accountable Center leading this PoD: ICARDA. Anticipated partners: Asian Development Bank; The World Bank; Islamic Development Bank; Caribbean Development Bank; African Development Bank Group; National Agriculture and Forestry Research Institute; Ministries of Agriculture and Rural Development in participating countries; Gates Foundation; and CGIAR Centers engaging in regional Clearinghouse coordination. MELIA: Monitoring, evaluation, and learning plans will be developed in early 2026 in cooperation with the S4I PMU and/or AoW‑5, and where needed will include baseline assessments and indicator tracking and reporting in line with Program and CGIAR guidelines.</v>
      </c>
      <c r="D10" s="11" t="str">
        <v xml:space="preserve"> Other Output</v>
      </c>
      <c r="E10" s="11" t="str">
        <v>Country: India, Colombia, Côte d'Ivoire, Ethiopia, Zambia, Bangladesh, Guatemala, Kenya, Philippines, Mexico, Nigeria</v>
      </c>
      <c r="F10" s="11">
        <v>60</v>
      </c>
      <c r="G10" s="11">
        <v>8152</v>
      </c>
      <c r="H10" s="11">
        <f>SUM(G10:G13)</f>
      </c>
      <c r="I10" s="11" t="str">
        <v>ADB, IsDB, and CDB endorse CGIAR's Clearinghouse framework as a core component of regional investment design; CGIAR Centers commit staff time and technical inputs for coordination; PRMS and e-catalogue integration remain systemwide priorities; and IFIs pr</v>
      </c>
    </row>
    <row r="11" ht="50" customHeight="1" xml:space="preserve">
      <c r="A11" s="11" t="str">
        <v>AOW04</v>
      </c>
      <c r="C11" s="11" t="str" xml:space="preserve">
        <v xml:space="preserve">A4P4.2: PoD name: Global Coordinated Clearinghouse developed: New Frontier. Lead Center: ICARDA. PoD KPI: 820,000,000 – Eight hundred twenty million U.S. dollars in cumulative investment influenced by the end of 2026 through globally coordinated Clearinghouses operational across Asia, MENA, Africa, and Latin America, embedding CGIAR innovations in IFI portfolios and strengthening institutional mechanisms for scaling science through finance under AoW 4 CoA 4.2. Suggested Disaggregation: Not applicable; KPI measures total investment value leveraged rather than numbers of individuals. Indicator type: Other output. Unit: USD leveraged for scaling through CGIAR influence, technical assistance, and/or advisory support.
PoD Description: This package develops a globally coordinated CGIAR Clearinghouse that connects ready-to-scale CGIAR innovations with investment pipelines of international financial institutions, governments, and development partners. By the end of 2026, it will support the Asian Development Bank’s regional Clearinghouse (hosted by IRRI) and lay the groundwork for emerging regional Clearinghouses with the Islamic Development Bank and the Caribbean Development Bank, while advancing a framework for a MENA regional Clearinghouse. Core functions include sourcing and vetting innovations aligned with PRMS, profiling them through CGIAR e-catalogues, supporting CGIAR Centers to integrate their innovations into future ADB and other IFI operations, forming cross-Center committees for technical assistance in ADB countries, and mobilizing blended finance to sustain regional and global Clearinghouse operations. Collectively, these efforts will help leverage substantial IFI and partner investments and embed CGIAR science in development finance across Asia, MENA, Africa, and Latin America. Accountable Center leading this PoD: ICARDA. Anticipated partners: Asian Development Bank; The World Bank; Islamic Development Bank; Caribbean Development Bank; African Development Bank Group; National Agriculture and Forestry Research Institute; Ministries of Agriculture and Rural Development in participating countries; Gates Foundation. MELIA: Monitoring, evaluation, and learning plans will be developed in early 2026 in cooperation with the S4I PMU and/or AoW‑5, and where needed will include baseline assessments and indicator tracking and reporting in line with Program and CGIAR guidelines.</v>
      </c>
      <c r="D11" s="11" t="str">
        <v xml:space="preserve"> Other Output</v>
      </c>
      <c r="E11" s="11" t="str">
        <v>Country: Colombia, Guatemala, Philippines, Ethiopia, Nigeria, Kenya, Bangladesh, India, Mexico, Côte d'Ivoire</v>
      </c>
      <c r="F11" s="11">
        <v>820000000</v>
      </c>
      <c r="G11" s="11">
        <v>8967</v>
      </c>
      <c r="I11" s="11" t="str">
        <v>High-level endorsement of the Clearinghouse mechanism by partner IFIs; sustained CGIAR commitment to co-develop blended-finance pathways; and ongoing collaboration between ICARDA, IITA, IRRI, and the Alliance to align Clearinghouse functions, avoiding dup</v>
      </c>
    </row>
    <row r="12" ht="50" customHeight="1" xml:space="preserve">
      <c r="A12" s="11" t="str">
        <v>AOW04</v>
      </c>
      <c r="C12" s="11" t="str" xml:space="preserve">
        <v xml:space="preserve">A4P7.1: PoD name: ISDB MENA AIM 4 SCALE Innovation Clearinghouse Lead Center: ICARDA, PoD KPI: 2 – Two validated country-specific innovation packages co-developed with IsDB and national stakeholders for Egypt and Morocco, integrating ROI, cost-effectiveness, and resilience metrics to inform science-based scaling within upcoming IsDB-financed agricultural investments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CGIAR's cost-effective agricultural innovations to large-scale development financing. It provides country diagnostics and co-develops bundled innovation packages with return-on-investment and cost-effectiveness metrics for piloting in IsDB investments. The 36-month program up to 2026 targets Egypt and Morocco, bridging the gap between research outcomes and implementation in government-led programs to enhance food security and climate resilience through validated innovation packages. Accountable Center leading this PoD: ICARDA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v>
      </c>
      <c r="D12" s="11" t="str">
        <v>Number of innovations (innovation development)</v>
      </c>
      <c r="E12" s="11" t="str">
        <v>Country: Morocco, Egypt</v>
      </c>
      <c r="F12" s="11">
        <v>2</v>
      </c>
      <c r="G12" s="11">
        <v>61141</v>
      </c>
      <c r="I12" s="11" t="str">
        <v>Sustained commitment from IsDB to embed CGIAR innovations within agricultural investment programs; strong engagement from ICARDA, IWMI, and CIMMYT technical teams; and sufficient financial and human resources allocated to deliver diagnostics and validatio</v>
      </c>
    </row>
    <row r="13" ht="50" customHeight="1" xml:space="preserve">
      <c r="A13" s="11" t="str">
        <v>AOW04</v>
      </c>
      <c r="C13" s="11" t="str" xml:space="preserve">
        <v xml:space="preserve">A4P7.6: PoD name: ISDB MENA AIM 4 SCALE Innovation Clearinghouse Lead Center: ICARDA, PoD KPI: 4 – Four validated and finalized diagnostics and investment briefs (including Egypt and Morocco) completed, establishing country-specific pathways for integrating CGIAR innovations into IsDB-financed agricultural investments to strengthen evidence-based design and resource mobilization by the end of 2026. Suggested Disaggregation: 1.6 strategies benefiting women and youth (40%), 0.4 strategies targeting marginalized groups (10%), and 2 strategies for others (50%). Indicator type: Other output Unit: Number of Strategies.
PoD Description: This package delivers country diagnostics and investment briefs to establish an Innovation Scaling Clearinghouse with the Islamic Development Bank (IsDB), systematically connecting CGIAR's agricultural innovations to large-scale development financing. It provides completed diagnostics and strategic investment briefs that identify entry points for integrating CGIAR innovations into IsDB programs. The work, with a 36-month horizon to 2026, targets Egypt and Morocco to bridge the gap between research outcomes and implementation, enhancing food security and climate resilience through evidence-based investment design. Accountable Center leading this PoD: ICARDA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v>
      </c>
      <c r="D13" s="11" t="str">
        <v xml:space="preserve"> Other Output</v>
      </c>
      <c r="E13" s="11" t="str">
        <v>Country: Egypt, Morocco</v>
      </c>
      <c r="F13" s="11">
        <v>4</v>
      </c>
      <c r="G13" s="11">
        <v>61141</v>
      </c>
      <c r="I13" s="11" t="str">
        <v>The IsDB and partner governments maintain commitment to integrating CGIAR innovations into agricultural investments; technical collaboration between ICARDA, IWMI, and CIMMYT continues effectively; and funding for validation and consultation processes rema</v>
      </c>
    </row>
    <row r="14" ht="25" customHeight="1">
      <c r="B14" s="15" t="str">
        <v>HLO budget subtotal</v>
      </c>
      <c r="H14" s="15">
        <f>SUM(H10:H13)</f>
      </c>
    </row>
  </sheetData>
  <mergeCells count="17">
    <mergeCell ref="A1:A2"/>
    <mergeCell ref="B1:B2"/>
    <mergeCell ref="C1:G1"/>
    <mergeCell ref="H1:H2"/>
    <mergeCell ref="I1:I2"/>
    <mergeCell ref="B3:B4"/>
    <mergeCell ref="H3:H4"/>
    <mergeCell ref="B6:G6"/>
    <mergeCell ref="A3:A6"/>
    <mergeCell ref="B7:B8"/>
    <mergeCell ref="H7:H8"/>
    <mergeCell ref="B9:G9"/>
    <mergeCell ref="A7:A9"/>
    <mergeCell ref="B10:B13"/>
    <mergeCell ref="H10:H13"/>
    <mergeCell ref="B14:G14"/>
    <mergeCell ref="A10:A14"/>
  </mergeCells>
  <ignoredErrors>
    <ignoredError numberStoredAsText="1" sqref="A1:I14"/>
  </ignoredErrors>
</worksheet>
</file>

<file path=xl/worksheets/sheet4.xml><?xml version="1.0" encoding="utf-8"?>
<worksheet xmlns="http://schemas.openxmlformats.org/spreadsheetml/2006/main" xmlns:r="http://schemas.openxmlformats.org/officeDocument/2006/relationships">
  <dimension ref="A1:F1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Unknown Center</v>
      </c>
      <c r="C2" s="11" t="str">
        <v>HLO 1.1.2: Feedback and adaptive research and scaling prioritization, HLO 1.1.3: Enhance strategies and coordination, HLO 1.1.1: Demand signaling</v>
      </c>
      <c r="D2" s="11" t="str">
        <v>Egypt,Ethiopia,Morocco,Pakistan</v>
      </c>
      <c r="E2" s="11">
        <v>0</v>
      </c>
    </row>
    <row r="3" ht="25" customHeight="1">
      <c r="B3" s="14" t="str">
        <v>Contracted partners subtotal</v>
      </c>
      <c r="E3" s="14">
        <f>SUM(E2:E2)</f>
      </c>
    </row>
    <row r="4" ht="70" customHeight="1" xml:space="preserve">
      <c r="A4" s="12" t="str">
        <v>AOW02</v>
      </c>
      <c r="B4" s="11" t="str">
        <v>Unknown Center</v>
      </c>
      <c r="C4" s="11" t="str">
        <v>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v>
      </c>
      <c r="D4" s="11" t="str">
        <v>Egypt,Ethiopia,Morocco,Pakistan</v>
      </c>
      <c r="E4" s="11">
        <v>70975</v>
      </c>
      <c r="F4" s="11" t="str" xml:space="preserve">
        <v xml:space="preserve">It is a placeholder budget for
34K-  MAPMDREF, NRA, ONCA, Tourba, Al Moutmir, AMAC, cooperatives, seed companies (SONACOS, AMMS), machinery providers, Crédit Agricole, rural development funds.
36.9K - Egyptian Ministry of Supply and Internal Trade (MoSIT), the Agricultural Research Center (ARC), Food Technology Research Institute (FTRI), FAO
</v>
      </c>
    </row>
    <row r="5" ht="25" customHeight="1">
      <c r="B5" s="14" t="str">
        <v>Contracted partners subtotal</v>
      </c>
      <c r="E5" s="14">
        <f>SUM(E4:E4)</f>
      </c>
    </row>
    <row r="6" ht="70" customHeight="1" xml:space="preserve">
      <c r="A6" s="12" t="str">
        <v>AOW03</v>
      </c>
      <c r="B6" s="11" t="str">
        <v>Unknown Center</v>
      </c>
      <c r="C6" s="11" t="str" xml:space="preserve">
        <v xml:space="preserve">HLO 3.3.1: Enabling environment diagnostics, HLO 3.3.2: Scaling support services for enabling 
environments and institutions, HLO 3.3.3: Science-policy partnership interfaces for responsible scaling</v>
      </c>
      <c r="D6" s="11" t="str">
        <v>Egypt,Ethiopia,Morocco,Pakistan</v>
      </c>
      <c r="E6" s="11">
        <v>17500</v>
      </c>
      <c r="F6" s="11" t="str" xml:space="preserve">
        <v xml:space="preserve">7.5K for 	A3P4.2: PoD name: EE support to Flagship 2.1. Lead Center: ICARDA. 
10K for A3P4.1: PoD name: EE support to Flagship 2.1. Lead Center: ICARDA.</v>
      </c>
    </row>
    <row r="7" ht="25" customHeight="1">
      <c r="B7" s="14" t="str">
        <v>Contracted partners subtotal</v>
      </c>
      <c r="E7" s="14">
        <f>SUM(E6:E6)</f>
      </c>
    </row>
    <row r="8" ht="70" customHeight="1">
      <c r="A8" s="12" t="str">
        <v>AOW04</v>
      </c>
      <c r="B8" s="11" t="str">
        <v>Unknown Center</v>
      </c>
      <c r="C8" s="11" t="str">
        <v>HLO 4.4.1: CGIAR Expertise and Solutions Embedded in Development Investments and Partnerships, HLO 4.4.2: Innovation portfolio management and scaling strategy support teams</v>
      </c>
      <c r="D8" s="11" t="str">
        <v>Egypt,Ethiopia,Morocco,Pakistan</v>
      </c>
      <c r="E8" s="11">
        <v>0</v>
      </c>
    </row>
    <row r="9" ht="25" customHeight="1">
      <c r="B9" s="14" t="str">
        <v>Contracted partners subtotal</v>
      </c>
      <c r="E9" s="14">
        <f>SUM(E8:E8)</f>
      </c>
    </row>
    <row r="10" ht="70" customHeight="1">
      <c r="A10" s="12" t="str">
        <v>AOW05</v>
      </c>
      <c r="B10" s="11" t="str">
        <v>Unknown Center</v>
      </c>
      <c r="C10" s="11" t="str">
        <v>HLO 5.5.1: Enhancing scaling science for societal impact, HLO 5.5.2: Insights for CGIAR scaling success through impact assessments, HLO 5.5.3: Custom analytics for managing innovation portfolios and decision-making</v>
      </c>
      <c r="D10" s="11" t="str">
        <v>Egypt,Ethiopia,Morocco,Pakistan</v>
      </c>
      <c r="E10" s="11">
        <v>0</v>
      </c>
    </row>
    <row r="11" ht="25" customHeight="1">
      <c r="B11" s="14" t="str">
        <v>Contracted partners subtotal</v>
      </c>
      <c r="E11" s="14">
        <f>SUM(E10:E10)</f>
      </c>
    </row>
  </sheetData>
  <mergeCells count="10">
    <mergeCell ref="B3:D3"/>
    <mergeCell ref="A2:A3"/>
    <mergeCell ref="B5:D5"/>
    <mergeCell ref="A4:A5"/>
    <mergeCell ref="B7:D7"/>
    <mergeCell ref="A6:A7"/>
    <mergeCell ref="B9:D9"/>
    <mergeCell ref="A8:A9"/>
    <mergeCell ref="B11:D11"/>
    <mergeCell ref="A10:A11"/>
  </mergeCells>
  <ignoredErrors>
    <ignoredError numberStoredAsText="1" sqref="A1:F11"/>
  </ignoredErrors>
</worksheet>
</file>

<file path=xl/worksheets/sheet5.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D-100867-PRIMA: Lost and found: Neglected and Underutilized Species (NUS) and water harvesting for building climate change resilience, soil fertility, dietary diversity, and women’s empowerment</v>
      </c>
      <c r="B2" s="19" t="str">
        <v>AOW02</v>
      </c>
      <c r="C2" s="18" t="str">
        <v>HLO 2.2.3: Nutrition-smart crop and livestock systems and inclusive food markets, with increased jobs, improved livelihoods, and enhanced access for women and youth to diverse, safe, and affordable diets.</v>
      </c>
      <c r="D2" s="19">
        <v>68652</v>
      </c>
      <c r="E2" s="19" t="str">
        <f>=SUM(D2:D2)</f>
        <v>0</v>
      </c>
      <c r="F2" s="19" t="str">
        <v>D-100867-PRIMA: Lost and found: Neglected and Underutilized Species (NUS) and water harvesting for building climate change resilience, soil fertility, dietary diversity, and women’s empowerment: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3" ht="30" customHeight="1">
      <c r="A3" s="18" t="str">
        <v>D-200358-Enhancing Food Security and Climate Resilience in Morocco and Tunisia</v>
      </c>
      <c r="B3" s="19" t="str">
        <v>AOW04</v>
      </c>
      <c r="C3" s="18" t="str">
        <v>HLO 4.4.1: CGIAR Expertise and Solutions Embedded in Development Investments and Partnerships</v>
      </c>
      <c r="D3" s="19">
        <v>66176</v>
      </c>
      <c r="E3" s="19" t="str">
        <f>=SUM(D3:D3)</f>
        <v>0</v>
      </c>
      <c r="F3" s="19" t="str">
        <v>D-200358-Enhancing Food Security and Climate Resilience in Morocco and Tunisia: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4" ht="30" customHeight="1">
      <c r="A4" s="3" t="str">
        <v>W3/Bilateral projects subtotal</v>
      </c>
      <c r="E4" s="3">
        <f>SUM(E2:E3)</f>
      </c>
    </row>
  </sheetData>
  <mergeCells count="1">
    <mergeCell ref="A4:D4"/>
  </mergeCells>
  <ignoredErrors>
    <ignoredError numberStoredAsText="1" sqref="A1:F4"/>
  </ignoredErrors>
</worksheet>
</file>

<file path=xl/worksheets/sheet6.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This MELIA study will support dynamic learning and adaptive evaluation of the progress towards targeted deliverables and inform improvements in implementation from learning in the Barley Enriched Balady Bread for a Climate-Resilient Approach to Nutrition and Food Sufficiency in Egypt package of deliverables in Area of Work 2.</v>
      </c>
      <c r="B2" s="19" t="str">
        <v>AOW02</v>
      </c>
      <c r="C2" s="18" t="str">
        <v>HLO 2.2.3: Nutrition-smart crop and livestock systems and inclusive food markets, with increased jobs, improved livelihoods, and enhanced access for women and youth to diverse, safe, and affordable diets.</v>
      </c>
      <c r="D2" s="19">
        <v>0</v>
      </c>
      <c r="E2" s="19" t="str">
        <f>=SUM(D2:D2)</f>
        <v>0</v>
      </c>
    </row>
    <row r="3" ht="30" customHeight="1">
      <c r="A3" s="18" t="str">
        <v>This MELIA study will support dynamic learning and adaptive evaluation of the progress towards targeted deliverables and inform improvements in implementation from learning in the Scaling Conservation Agriculture to One Million Hectares in Morocco: Building Climate Resilience and Employment for Rural Youth package of deliverables in Area of Work 2.</v>
      </c>
      <c r="B3" s="19" t="str">
        <v>AOW02</v>
      </c>
      <c r="C3" s="18" t="str">
        <v>HLO 2.2.2: Inclusive and efficient innovation delivery systems that support biodiverse, sustainable production, generate new jobs, and expand access for women, youth, and small and medium enterprises.</v>
      </c>
      <c r="D3" s="19">
        <v>0</v>
      </c>
      <c r="E3" s="19" t="str">
        <f>=SUM(D3:D3)</f>
        <v>0</v>
      </c>
    </row>
    <row r="4" ht="30" customHeight="1">
      <c r="A4" s="3" t="str">
        <v>MELIA Studies Budget subtotal</v>
      </c>
      <c r="E4" s="3">
        <f>SUM(E2:E3)</f>
      </c>
    </row>
  </sheetData>
  <mergeCells count="1">
    <mergeCell ref="A4:D4"/>
  </mergeCells>
  <ignoredErrors>
    <ignoredError numberStoredAsText="1" sqref="A1:F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70000</v>
      </c>
      <c r="C2" s="20">
        <v>0</v>
      </c>
      <c r="D2" s="20">
        <v>70975</v>
      </c>
      <c r="E2" s="20">
        <v>17500</v>
      </c>
      <c r="F2" s="20">
        <v>0</v>
      </c>
      <c r="G2" s="20">
        <v>0</v>
      </c>
      <c r="H2" s="20" t="str">
        <f>=SUM(B2:G2)</f>
        <v>0</v>
      </c>
    </row>
    <row r="3" ht="20" customHeight="1">
      <c r="A3" s="20" t="str">
        <v>Operations (supplies, consultants, travels, workshops, other)</v>
      </c>
      <c r="B3" s="20">
        <v>39055</v>
      </c>
      <c r="C3" s="20">
        <v>0</v>
      </c>
      <c r="D3" s="20">
        <v>191643</v>
      </c>
      <c r="E3" s="20">
        <v>47250</v>
      </c>
      <c r="F3" s="20">
        <v>41820</v>
      </c>
      <c r="G3" s="20">
        <v>0</v>
      </c>
      <c r="H3" s="20" t="str">
        <f>=SUM(B3:G3)</f>
        <v>0</v>
      </c>
    </row>
    <row r="4" ht="20" customHeight="1">
      <c r="A4" s="20" t="str">
        <v>Staffing, Chargebacks and Indirect</v>
      </c>
      <c r="B4" s="20">
        <v>96606</v>
      </c>
      <c r="C4" s="20">
        <v>0</v>
      </c>
      <c r="D4" s="20">
        <v>447166</v>
      </c>
      <c r="E4" s="20">
        <v>110250</v>
      </c>
      <c r="F4" s="20">
        <v>97581</v>
      </c>
      <c r="G4" s="20">
        <v>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