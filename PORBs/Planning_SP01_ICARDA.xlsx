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5484655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1</v>
      </c>
      <c r="E5" s="5">
        <v>36000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36000</v>
      </c>
      <c r="M5" s="5">
        <v>0</v>
      </c>
    </row>
    <row r="6" ht="20" customHeight="1">
      <c r="A6" s="2" t="str">
        <v>AOW02: Accelerated Breeding</v>
      </c>
      <c r="B6" s="2">
        <v>3</v>
      </c>
      <c r="C6" s="5">
        <v>415000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15000</v>
      </c>
      <c r="K6" s="5">
        <v>0</v>
      </c>
      <c r="L6" s="5">
        <v>430000</v>
      </c>
      <c r="M6" s="5">
        <v>0</v>
      </c>
    </row>
    <row r="7" ht="20" customHeight="1">
      <c r="A7" s="2" t="str">
        <v>AOW03: Inclusive Delivery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Breeding Resources</v>
      </c>
      <c r="B8" s="2">
        <v>0</v>
      </c>
      <c r="C8" s="5">
        <v>0</v>
      </c>
      <c r="D8" s="2">
        <v>0</v>
      </c>
      <c r="E8" s="5">
        <v>0</v>
      </c>
      <c r="F8" s="2">
        <v>200</v>
      </c>
      <c r="G8" s="5">
        <v>60000</v>
      </c>
      <c r="H8" s="2">
        <v>0</v>
      </c>
      <c r="I8" s="5">
        <v>0</v>
      </c>
      <c r="J8" s="5">
        <v>0</v>
      </c>
      <c r="K8" s="5">
        <v>0</v>
      </c>
      <c r="L8" s="5">
        <v>60000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2</v>
      </c>
      <c r="I9" s="5">
        <v>84724</v>
      </c>
      <c r="J9" s="5">
        <v>10000</v>
      </c>
      <c r="K9" s="5">
        <v>0</v>
      </c>
      <c r="L9" s="5">
        <v>94724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HLO4.AOW1.IO1 Foster motivations</v>
      </c>
      <c r="C3" s="11" t="str" xml:space="preserve">
        <v xml:space="preserve">Intelligence gathered on motivations (social, economic, behavioral) for change across the supply chain, consumers and smallholder farmers --------------------ICARDA - BARLEY (Barley EAF ICARDA TPP00143; TPP00144: Gender mainstreaming of barley traits)------------------- Number of reports that present findings on what incentivizes farmers, markets, and consumers to replace current varieties
</v>
      </c>
      <c r="D3" s="11" t="str">
        <v>Number of knowledge products</v>
      </c>
      <c r="E3" s="11" t="str">
        <v>Country: Ethiopia</v>
      </c>
      <c r="F3" s="11">
        <v>1</v>
      </c>
      <c r="G3" s="11">
        <v>36000</v>
      </c>
      <c r="H3" s="11">
        <f>SUM(G3:G3)</f>
      </c>
      <c r="I3" s="11" t="str">
        <v>POD budget freed by moving AoW04 and AoW05 activities to critical capabilities. This is priority gender work for us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AOW02</v>
      </c>
      <c r="B5" s="11" t="str">
        <v>HLO9.AOW2.IO2 Create products</v>
      </c>
      <c r="C5" s="11" t="str" xml:space="preserve">
        <v xml:space="preserve">Breeding networks collaborate on the development of targeted products.------------------------------ PARTIAL CRITICAL CAPABILITIES (20K) -ICARDA--- BREAD WHEAT; DURUM WHEAT (Wheat Spring EAF ICARDA TPP00157; TPP00157; Wheat Durum EAF ICARDA TPP00166: breeding.) ------------------------------Number of wheat varieties released in East Africa by partners for scaling
</v>
      </c>
      <c r="D5" s="11" t="str">
        <v>Number of innovations (innovation development)</v>
      </c>
      <c r="E5" s="11" t="str">
        <v>Country: Morocco, Lebanon, Ethiopia</v>
      </c>
      <c r="F5" s="11">
        <v>2</v>
      </c>
      <c r="G5" s="11">
        <v>310000</v>
      </c>
      <c r="H5" s="11">
        <f>SUM(G5:G6)</f>
      </c>
      <c r="I5" s="11" t="str">
        <v>Low scenario - addition of 20,000 Critical capabilities to help support the work of CIMMYT on the ground in Ethiopia</v>
      </c>
    </row>
    <row r="6" ht="50" customHeight="1">
      <c r="A6" s="11" t="str">
        <v>AOW02</v>
      </c>
      <c r="C6" s="11" t="str">
        <v>Breeding networks collaborate on the development of targeted products.------------------------------ ICARDA - BARLEY - (Barley EAF ICARDA TPP00143; TPP00144: breeding) ------------------------------Number of barley varieties released in East Africa by partners for scaling</v>
      </c>
      <c r="D6" s="11" t="str">
        <v>Number of innovations (innovation development)</v>
      </c>
      <c r="E6" s="11" t="str">
        <v>Country: Ethiopia, Kenya</v>
      </c>
      <c r="F6" s="11">
        <v>1</v>
      </c>
      <c r="G6" s="11">
        <v>105000</v>
      </c>
      <c r="I6" s="11" t="str">
        <v>POD added by moving AoW4-5 to Critical Cap</v>
      </c>
    </row>
    <row r="7" ht="25" customHeight="1">
      <c r="B7" s="15" t="str">
        <v>HLO budget subtotal</v>
      </c>
      <c r="H7" s="15">
        <f>SUM(H5:H6)</f>
      </c>
    </row>
    <row r="8" ht="50" customHeight="1">
      <c r="A8" s="13" t="str">
        <v>AOW04</v>
      </c>
      <c r="B8" s="11" t="str">
        <v>HLO16.AOW4.IO3 Shared services</v>
      </c>
      <c r="C8" s="11" t="str">
        <v xml:space="preserve">	A portfolio of connected tools and services that collectively meet current and emerging needs for modernized breeding is made available to breeding networks ----------------------- CRITICAL CAPABILITIES - ICARDA - BREAD WHEAT - DURUM WHEAT - (Biometric support for GG estimation and Bioflow) ---- Number of individuals from research or scaling partner organizations who attended trainings for the use of Bioflow</v>
      </c>
      <c r="D8" s="11" t="str">
        <v>Number of people trained (capacity sharing for development)</v>
      </c>
      <c r="E8" s="11" t="str">
        <v>Country: Egypt</v>
      </c>
      <c r="F8" s="11">
        <v>200</v>
      </c>
      <c r="G8" s="11">
        <v>60000</v>
      </c>
      <c r="H8" s="11">
        <f>SUM(G8:G8)</f>
      </c>
      <c r="I8" s="11" t="str">
        <v xml:space="preserve">Critical capabilities to support all CGIAR with Bioflow and EBS </v>
      </c>
    </row>
    <row r="9" ht="25" customHeight="1">
      <c r="B9" s="15" t="str">
        <v>HLO budget subtotal</v>
      </c>
      <c r="H9" s="15">
        <f>SUM(H8:H8)</f>
      </c>
    </row>
    <row r="10" ht="50" customHeight="1" xml:space="preserve">
      <c r="A10" s="13" t="str">
        <v>AOW05</v>
      </c>
      <c r="B10" s="11" t="str">
        <v>HLO18.AOW5.IO2 Partnered networks</v>
      </c>
      <c r="C10" s="11" t="str" xml:space="preserve">
        <v xml:space="preserve">Strategic planning of crop x region breeding networks that enables collaboration on common challenges and opportunities---- ICARDA - BREAD WHEAT; DURUM WHEAT (Coordination and planning within and across country networks - wheat) ------------------ Number of partner institutions in East Africa that have been characterized for their breeding work on wheat and barley
</v>
      </c>
      <c r="D10" s="11" t="str">
        <v>Number of partner institutions in East Africa that have been characterized for their breeding work on wheat and barley</v>
      </c>
      <c r="E10" s="11" t="str">
        <v>Country: Egypt, Morocco, Lebanon</v>
      </c>
      <c r="F10" s="11">
        <v>2</v>
      </c>
      <c r="G10" s="11">
        <v>84724</v>
      </c>
      <c r="H10" s="11">
        <f>SUM(G10:G10)</f>
      </c>
      <c r="I10" s="11" t="str">
        <v>Critical capabilities to also support CIMMYT work in Ethiopia</v>
      </c>
    </row>
    <row r="11" ht="25" customHeight="1">
      <c r="B11" s="15" t="str">
        <v>HLO budget subtotal</v>
      </c>
      <c r="H11" s="15">
        <f>SUM(H10:H10)</f>
      </c>
    </row>
  </sheetData>
  <mergeCells count="15">
    <mergeCell ref="A1:A2"/>
    <mergeCell ref="B1:B2"/>
    <mergeCell ref="C1:G1"/>
    <mergeCell ref="H1:H2"/>
    <mergeCell ref="I1:I2"/>
    <mergeCell ref="B4:G4"/>
    <mergeCell ref="A3:A4"/>
    <mergeCell ref="B5:B6"/>
    <mergeCell ref="H5:H6"/>
    <mergeCell ref="B7:G7"/>
    <mergeCell ref="A5:A7"/>
    <mergeCell ref="B9:G9"/>
    <mergeCell ref="A8:A9"/>
    <mergeCell ref="B11:G11"/>
    <mergeCell ref="A10:A11"/>
  </mergeCells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AOW02</v>
      </c>
      <c r="B2" s="11" t="str">
        <v>Ethiopian Institute of Agricultural Research</v>
      </c>
      <c r="C2" s="11" t="str">
        <v>HLO7.AOW2.IO2 Accelerating genetic gain, HLO9.AOW2.IO2 Create products</v>
      </c>
      <c r="D2" s="11" t="str">
        <v>Ethiopia,Ethiopia</v>
      </c>
      <c r="E2" s="11">
        <v>15000</v>
      </c>
      <c r="F2" s="11" t="str">
        <v>Low budget investment</v>
      </c>
    </row>
    <row r="3" ht="25" customHeight="1">
      <c r="B3" s="14" t="str">
        <v>Contracted partners subtotal</v>
      </c>
      <c r="E3" s="14">
        <f>SUM(E2:E2)</f>
      </c>
    </row>
    <row r="4" ht="70" customHeight="1">
      <c r="A4" s="12" t="str">
        <v>AOW03</v>
      </c>
      <c r="B4" s="11" t="str">
        <v>Ethiopian Institute of Agricultural Research</v>
      </c>
      <c r="C4" s="11" t="str">
        <v>HLO11.AOW3.IO4 Position for demand, HLO12.AOW3.IO5 Deploy seed</v>
      </c>
      <c r="D4" s="11" t="str">
        <v>Ethiopia,Ethiopia</v>
      </c>
      <c r="E4" s="11">
        <v>0</v>
      </c>
    </row>
    <row r="5" ht="25" customHeight="1">
      <c r="B5" s="14" t="str">
        <v>Contracted partners subtotal</v>
      </c>
      <c r="E5" s="14">
        <f>SUM(E4:E4)</f>
      </c>
    </row>
    <row r="6" ht="70" customHeight="1">
      <c r="A6" s="12" t="str">
        <v>AOW04</v>
      </c>
      <c r="B6" s="11" t="str">
        <v>Ethiopian Institute of Agricultural Research</v>
      </c>
      <c r="C6" s="11" t="str">
        <v>HLO15.AOW4.IO2 Hub &amp; spoke scaling, HLO16.AOW4.IO3 Shared services</v>
      </c>
      <c r="D6" s="11" t="str">
        <v>Ethiopia,Ethiopia</v>
      </c>
      <c r="E6" s="11">
        <v>0</v>
      </c>
    </row>
    <row r="7" ht="25" customHeight="1">
      <c r="B7" s="14" t="str">
        <v>Contracted partners subtotal</v>
      </c>
      <c r="E7" s="14">
        <f>SUM(E6:E6)</f>
      </c>
    </row>
    <row r="8" ht="70" customHeight="1">
      <c r="A8" s="12" t="str">
        <v>AOW05</v>
      </c>
      <c r="B8" s="11" t="str">
        <v>Ethiopian Institute of Agricultural Research</v>
      </c>
      <c r="C8" s="11" t="str">
        <v>HLO18.AOW5.IO2 Partnered networks, HLO19.AOW5.IO2 Share capacity</v>
      </c>
      <c r="D8" s="11" t="str">
        <v>Ethiopia,Ethiopia</v>
      </c>
      <c r="E8" s="11">
        <v>10000</v>
      </c>
      <c r="F8" s="11" t="str">
        <v>Low scenario - covered by critical capabilities as ICARDA will offer "on the ground" support to CIMMYT for wheat work in Ethiopia</v>
      </c>
    </row>
    <row r="9" ht="25" customHeight="1">
      <c r="B9" s="14" t="str">
        <v>Contracted partners subtotal</v>
      </c>
      <c r="E9" s="14">
        <f>SUM(E8:E8)</f>
      </c>
    </row>
  </sheetData>
  <mergeCells count="8">
    <mergeCell ref="B3:D3"/>
    <mergeCell ref="A2:A3"/>
    <mergeCell ref="B5:D5"/>
    <mergeCell ref="A4:A5"/>
    <mergeCell ref="B7:D7"/>
    <mergeCell ref="A6:A7"/>
    <mergeCell ref="B9:D9"/>
    <mergeCell ref="A8:A9"/>
  </mergeCells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D-200319-Accelerating genetic gain in wheat through hybrid breeding</v>
      </c>
      <c r="B2" s="19" t="str">
        <v>AOW00</v>
      </c>
      <c r="C2" s="18" t="str">
        <v xml:space="preserve">IOC5 Equitable access to improved varieties </v>
      </c>
      <c r="D2" s="19">
        <v>36735</v>
      </c>
      <c r="E2" s="19" t="str">
        <f>=SUM(D2:D3)</f>
        <v>0</v>
      </c>
    </row>
    <row r="3" ht="30" customHeight="1">
      <c r="A3" s="18" t="str">
        <v>D-200319-Accelerating genetic gain in wheat through hybrid breeding</v>
      </c>
      <c r="B3" s="19" t="str">
        <v>AOW03</v>
      </c>
      <c r="C3" s="18" t="str">
        <v>HLO11.AOW3.IO4 Position for demand</v>
      </c>
      <c r="D3" s="19">
        <v>0</v>
      </c>
    </row>
    <row r="4" ht="30" customHeight="1">
      <c r="A4" s="18" t="str">
        <v>D-200358-Enhancing Food Security and Climate Resilience in Morocco and Tunisia</v>
      </c>
      <c r="B4" s="19" t="str">
        <v>AOW00</v>
      </c>
      <c r="C4" s="18" t="str">
        <v xml:space="preserve">IOC5 Equitable access to improved varieties </v>
      </c>
      <c r="D4" s="19">
        <v>82493</v>
      </c>
      <c r="E4" s="19" t="str">
        <f>=SUM(D4:D7)</f>
        <v>0</v>
      </c>
    </row>
    <row r="5" ht="30" customHeight="1">
      <c r="A5" s="18" t="str">
        <v>D-200358-Enhancing Food Security and Climate Resilience in Morocco and Tunisia</v>
      </c>
      <c r="B5" s="19" t="str">
        <v>AOW05</v>
      </c>
      <c r="C5" s="18" t="str">
        <v>HLO20.AOW5.IO3 Assess performance</v>
      </c>
      <c r="D5" s="19">
        <v>0</v>
      </c>
    </row>
    <row r="6" ht="30" customHeight="1">
      <c r="A6" s="18" t="str">
        <v>D-200358-Enhancing Food Security and Climate Resilience in Morocco and Tunisia</v>
      </c>
      <c r="B6" s="19" t="str">
        <v>AOW02</v>
      </c>
      <c r="C6" s="18" t="str">
        <v>HLO9.AOW2.IO2 Create products</v>
      </c>
      <c r="D6" s="19">
        <v>0</v>
      </c>
    </row>
    <row r="7" ht="30" customHeight="1">
      <c r="A7" s="18" t="str">
        <v>D-200358-Enhancing Food Security and Climate Resilience in Morocco and Tunisia</v>
      </c>
      <c r="B7" s="19" t="str">
        <v>AOW03</v>
      </c>
      <c r="C7" s="18" t="str">
        <v>HLO11.AOW3.IO4 Position for demand</v>
      </c>
      <c r="D7" s="19">
        <v>0</v>
      </c>
    </row>
    <row r="8" ht="30" customHeight="1">
      <c r="A8" s="18" t="str">
        <v>D-200261-Egypt Bilateral Program 2020-2021 and 2021-2022</v>
      </c>
      <c r="B8" s="19" t="str">
        <v>AOW00</v>
      </c>
      <c r="C8" s="18" t="str">
        <v xml:space="preserve">IOC5 Equitable access to improved varieties </v>
      </c>
      <c r="D8" s="19">
        <v>193062</v>
      </c>
      <c r="E8" s="19" t="str">
        <f>=SUM(D8:D9)</f>
        <v>0</v>
      </c>
    </row>
    <row r="9" ht="30" customHeight="1">
      <c r="A9" s="18" t="str">
        <v>D-200261-Egypt Bilateral Program 2020-2021 and 2021-2022</v>
      </c>
      <c r="B9" s="19" t="str">
        <v>AOW02</v>
      </c>
      <c r="C9" s="18" t="str">
        <v>HLO6.AOW2.IO1 Refocus to markets</v>
      </c>
      <c r="D9" s="19">
        <v>0</v>
      </c>
    </row>
    <row r="10" ht="30" customHeight="1">
      <c r="A10" s="18" t="str">
        <v>D-200211-Intelligent Collections of Food Legumes Genetic Res</v>
      </c>
      <c r="B10" s="19" t="str">
        <v>AOW00</v>
      </c>
      <c r="C10" s="18" t="str">
        <v>IOC3 Cost-effective product development by Breeding Networks.</v>
      </c>
      <c r="D10" s="19">
        <v>273000</v>
      </c>
      <c r="E10" s="19" t="str">
        <f>=SUM(D10:D12)</f>
        <v>0</v>
      </c>
    </row>
    <row r="11" ht="30" customHeight="1">
      <c r="A11" s="18" t="str">
        <v>D-200211-Intelligent Collections of Food Legumes Genetic Res</v>
      </c>
      <c r="B11" s="19" t="str">
        <v>AOW05</v>
      </c>
      <c r="C11" s="18" t="str">
        <v>HLO18.AOW5.IO2 Partnered networks</v>
      </c>
      <c r="D11" s="19">
        <v>0</v>
      </c>
    </row>
    <row r="12" ht="30" customHeight="1">
      <c r="A12" s="18" t="str">
        <v>D-200211-Intelligent Collections of Food Legumes Genetic Res</v>
      </c>
      <c r="B12" s="19" t="str">
        <v>AOW02</v>
      </c>
      <c r="C12" s="18" t="str">
        <v>HLO8.AOW2.IO2 Discover genetic potential</v>
      </c>
      <c r="D12" s="19">
        <v>0</v>
      </c>
    </row>
    <row r="13" ht="30" customHeight="1">
      <c r="A13" s="18" t="str">
        <v>D-100838-GRDC Genetic Diversity</v>
      </c>
      <c r="B13" s="19" t="str">
        <v>AOW00</v>
      </c>
      <c r="C13" s="18" t="str">
        <v>IOC3 Cost-effective product development by Breeding Networks.</v>
      </c>
      <c r="D13" s="19">
        <v>293334</v>
      </c>
      <c r="E13" s="19" t="str">
        <f>=SUM(D13:D15)</f>
        <v>0</v>
      </c>
    </row>
    <row r="14" ht="30" customHeight="1">
      <c r="A14" s="18" t="str">
        <v>D-100838-GRDC Genetic Diversity</v>
      </c>
      <c r="B14" s="19" t="str">
        <v>AOW02</v>
      </c>
      <c r="C14" s="18" t="str">
        <v>HLO8.AOW2.IO2 Discover genetic potential</v>
      </c>
      <c r="D14" s="19">
        <v>0</v>
      </c>
    </row>
    <row r="15" ht="30" customHeight="1">
      <c r="A15" s="18" t="str">
        <v>D-100838-GRDC Genetic Diversity</v>
      </c>
      <c r="B15" s="19" t="str">
        <v>AOW04</v>
      </c>
      <c r="C15" s="18" t="str">
        <v>HLO16.AOW4.IO3 Shared services</v>
      </c>
      <c r="D15" s="19">
        <v>0</v>
      </c>
    </row>
    <row r="16" ht="30" customHeight="1">
      <c r="A16" s="18" t="str">
        <v>D-200271-Protecting Ethiopian Lentil Crops</v>
      </c>
      <c r="B16" s="19" t="str">
        <v>AOW00</v>
      </c>
      <c r="C16" s="18" t="str">
        <v>IOC4 Scaling partners increase uptake</v>
      </c>
      <c r="D16" s="19">
        <v>178592</v>
      </c>
      <c r="E16" s="19" t="str">
        <f>=SUM(D16:D18)</f>
        <v>0</v>
      </c>
    </row>
    <row r="17" ht="30" customHeight="1">
      <c r="A17" s="18" t="str">
        <v>D-200271-Protecting Ethiopian Lentil Crops</v>
      </c>
      <c r="B17" s="19" t="str">
        <v>AOW02</v>
      </c>
      <c r="C17" s="18" t="str">
        <v>HLO8.AOW2.IO2 Discover genetic potential</v>
      </c>
      <c r="D17" s="19">
        <v>0</v>
      </c>
    </row>
    <row r="18" ht="30" customHeight="1">
      <c r="A18" s="18" t="str">
        <v>D-200271-Protecting Ethiopian Lentil Crops</v>
      </c>
      <c r="B18" s="19" t="str">
        <v>AOW03</v>
      </c>
      <c r="C18" s="18" t="str">
        <v>HLO11.AOW3.IO4 Position for demand</v>
      </c>
      <c r="D18" s="19">
        <v>0</v>
      </c>
    </row>
    <row r="19" ht="30" customHeight="1">
      <c r="A19" s="18" t="str">
        <v>D-200359-Breeding European Legumes for Increased Sustainability</v>
      </c>
      <c r="B19" s="19" t="str">
        <v>AOW00</v>
      </c>
      <c r="C19" s="18" t="str">
        <v>IOC4 Scaling partners increase uptake</v>
      </c>
      <c r="D19" s="19">
        <v>201364</v>
      </c>
      <c r="E19" s="19" t="str">
        <f>=SUM(D19:D20)</f>
        <v>0</v>
      </c>
    </row>
    <row r="20" ht="30" customHeight="1">
      <c r="A20" s="18" t="str">
        <v>D-200359-Breeding European Legumes for Increased Sustainability</v>
      </c>
      <c r="B20" s="19" t="str">
        <v>AOW03</v>
      </c>
      <c r="C20" s="18" t="str">
        <v>HLO13.AOW3.IO5 Power seed scaling</v>
      </c>
      <c r="D20" s="19">
        <v>0</v>
      </c>
    </row>
    <row r="21" ht="30" customHeight="1" xml:space="preserve">
      <c r="A21" s="18" t="str">
        <v>D-200388-Back to the future, from landraces to high-yielding, heat an</v>
      </c>
      <c r="B21" s="19" t="str">
        <v>AOW00</v>
      </c>
      <c r="C21" s="18" t="str" xml:space="preserve">
        <v xml:space="preserve">IOC1 Prioritization of products 
</v>
      </c>
      <c r="D21" s="19">
        <v>156731</v>
      </c>
      <c r="E21" s="19" t="str">
        <f>=SUM(D21:D22)</f>
        <v>0</v>
      </c>
    </row>
    <row r="22" ht="30" customHeight="1">
      <c r="A22" s="18" t="str">
        <v>D-200388-Back to the future, from landraces to high-yielding, heat an</v>
      </c>
      <c r="B22" s="19" t="str">
        <v>AOW02</v>
      </c>
      <c r="C22" s="18" t="str">
        <v>HLO6.AOW2.IO1 Refocus to markets</v>
      </c>
      <c r="D22" s="19">
        <v>0</v>
      </c>
    </row>
    <row r="23" ht="30" customHeight="1">
      <c r="A23" s="18" t="str">
        <v>D-200314-BarleyMicroBreed: Strategies for breeding climate c</v>
      </c>
      <c r="B23" s="19" t="str">
        <v>AOW00</v>
      </c>
      <c r="C23" s="18" t="str">
        <v xml:space="preserve">IOC2 - Active collaboration to develop products </v>
      </c>
      <c r="D23" s="19">
        <v>552367</v>
      </c>
      <c r="E23" s="19" t="str">
        <f>=SUM(D23:D24)</f>
        <v>0</v>
      </c>
    </row>
    <row r="24" ht="30" customHeight="1">
      <c r="A24" s="18" t="str">
        <v>D-200314-BarleyMicroBreed: Strategies for breeding climate c</v>
      </c>
      <c r="B24" s="19" t="str">
        <v>AOW02</v>
      </c>
      <c r="C24" s="18" t="str">
        <v>HLO7.AOW2.IO2 Accelerating genetic gain</v>
      </c>
      <c r="D24" s="19">
        <v>0</v>
      </c>
    </row>
    <row r="25" ht="30" customHeight="1">
      <c r="A25" s="18" t="str">
        <v>D-200390-UK-CGIAR Collaboration: Leveraging genetic innovations for a</v>
      </c>
      <c r="B25" s="19" t="str">
        <v>AOW00</v>
      </c>
      <c r="C25" s="18" t="str">
        <v xml:space="preserve">IOC2 - Active collaboration to develop products </v>
      </c>
      <c r="D25" s="19">
        <v>1068647</v>
      </c>
      <c r="E25" s="19" t="str">
        <f>=SUM(D25:D26)</f>
        <v>0</v>
      </c>
    </row>
    <row r="26" ht="30" customHeight="1">
      <c r="A26" s="18" t="str">
        <v>D-200390-UK-CGIAR Collaboration: Leveraging genetic innovations for a</v>
      </c>
      <c r="B26" s="19" t="str">
        <v>AOW02</v>
      </c>
      <c r="C26" s="18" t="str">
        <v>HLO9.AOW2.IO2 Create products</v>
      </c>
      <c r="D26" s="19">
        <v>0</v>
      </c>
    </row>
    <row r="27" ht="30" customHeight="1">
      <c r="A27" s="18" t="str">
        <v>D-200323-Root2Resilience: Root phenotyping and genetic improvement</v>
      </c>
      <c r="B27" s="19" t="str">
        <v>AOW00</v>
      </c>
      <c r="C27" s="18" t="str">
        <v xml:space="preserve">IOC2 - Active collaboration to develop products </v>
      </c>
      <c r="D27" s="19">
        <v>103465</v>
      </c>
      <c r="E27" s="19" t="str">
        <f>=SUM(D27:D28)</f>
        <v>0</v>
      </c>
    </row>
    <row r="28" ht="30" customHeight="1">
      <c r="A28" s="18" t="str">
        <v>D-200323-Root2Resilience: Root phenotyping and genetic improvement</v>
      </c>
      <c r="B28" s="19" t="str">
        <v>AOW02</v>
      </c>
      <c r="C28" s="18" t="str">
        <v>HLO7.AOW2.IO2 Accelerating genetic gain</v>
      </c>
      <c r="D28" s="19">
        <v>0</v>
      </c>
    </row>
    <row r="29" ht="30" customHeight="1">
      <c r="A29" s="18" t="str">
        <v>D-200344-Lentil and Chickpea Development in teh Mediterranea</v>
      </c>
      <c r="B29" s="19" t="str">
        <v>AOW00</v>
      </c>
      <c r="C29" s="18" t="str">
        <v xml:space="preserve">IOC2 - Active collaboration to develop products </v>
      </c>
      <c r="D29" s="19">
        <v>11078</v>
      </c>
      <c r="E29" s="19" t="str">
        <f>=SUM(D29:D30)</f>
        <v>0</v>
      </c>
    </row>
    <row r="30" ht="30" customHeight="1">
      <c r="A30" s="18" t="str">
        <v>D-200344-Lentil and Chickpea Development in teh Mediterranea</v>
      </c>
      <c r="B30" s="19" t="str">
        <v>AOW02</v>
      </c>
      <c r="C30" s="18" t="str">
        <v>HLO7.AOW2.IO2 Accelerating genetic gain</v>
      </c>
      <c r="D30" s="19">
        <v>0</v>
      </c>
    </row>
    <row r="31" ht="30" customHeight="1">
      <c r="A31" s="18" t="str">
        <v>D-200355-Participation Agreement for Supply of Materials</v>
      </c>
      <c r="B31" s="19" t="str">
        <v>AOW00</v>
      </c>
      <c r="C31" s="18" t="str">
        <v xml:space="preserve">IOC2 - Active collaboration to develop products </v>
      </c>
      <c r="D31" s="19">
        <v>144967</v>
      </c>
      <c r="E31" s="19" t="str">
        <f>=SUM(D31:D32)</f>
        <v>0</v>
      </c>
    </row>
    <row r="32" ht="30" customHeight="1">
      <c r="A32" s="18" t="str">
        <v>D-200355-Participation Agreement for Supply of Materials</v>
      </c>
      <c r="B32" s="19" t="str">
        <v>AOW02</v>
      </c>
      <c r="C32" s="18" t="str">
        <v>HLO9.AOW2.IO2 Create products</v>
      </c>
      <c r="D32" s="19">
        <v>0</v>
      </c>
    </row>
    <row r="33" ht="30" customHeight="1">
      <c r="A33" s="18" t="str">
        <v>D-200347-India Collaborative Program 2022/2023 to 2026/2027</v>
      </c>
      <c r="B33" s="19" t="str">
        <v>AOW00</v>
      </c>
      <c r="C33" s="18" t="str">
        <v xml:space="preserve">IOC2 - Active collaboration to develop products </v>
      </c>
      <c r="D33" s="19">
        <v>2085961</v>
      </c>
      <c r="E33" s="19" t="str">
        <f>=SUM(D33:D33)</f>
        <v>0</v>
      </c>
    </row>
    <row r="34" ht="30" customHeight="1">
      <c r="A34" s="3" t="str">
        <v>W3/Bilateral projects subtotal</v>
      </c>
      <c r="E34" s="3">
        <f>SUM(E2:E33)</f>
      </c>
    </row>
  </sheetData>
  <mergeCells count="27">
    <mergeCell ref="A2:A3"/>
    <mergeCell ref="A4:A7"/>
    <mergeCell ref="A8:A9"/>
    <mergeCell ref="A10:A12"/>
    <mergeCell ref="A13:A15"/>
    <mergeCell ref="A16:A18"/>
    <mergeCell ref="A19:A20"/>
    <mergeCell ref="A21:A22"/>
    <mergeCell ref="A23:A24"/>
    <mergeCell ref="A25:A26"/>
    <mergeCell ref="A27:A28"/>
    <mergeCell ref="A29:A30"/>
    <mergeCell ref="A31:A32"/>
    <mergeCell ref="E2:E3"/>
    <mergeCell ref="E4:E7"/>
    <mergeCell ref="E8:E9"/>
    <mergeCell ref="E10:E12"/>
    <mergeCell ref="E13:E15"/>
    <mergeCell ref="E16:E18"/>
    <mergeCell ref="E19:E20"/>
    <mergeCell ref="E21:E22"/>
    <mergeCell ref="E23:E24"/>
    <mergeCell ref="E25:E26"/>
    <mergeCell ref="E27:E28"/>
    <mergeCell ref="E29:E30"/>
    <mergeCell ref="E31:E32"/>
    <mergeCell ref="A34:D34"/>
  </mergeCells>
  <ignoredErrors>
    <ignoredError numberStoredAsText="1" sqref="A1:F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70000</v>
      </c>
      <c r="C2" s="20">
        <v>0</v>
      </c>
      <c r="D2" s="20">
        <v>15000</v>
      </c>
      <c r="E2" s="20">
        <v>0</v>
      </c>
      <c r="F2" s="20">
        <v>0</v>
      </c>
      <c r="G2" s="20">
        <v>10000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39055</v>
      </c>
      <c r="C3" s="20">
        <v>18000</v>
      </c>
      <c r="D3" s="20">
        <v>90000</v>
      </c>
      <c r="E3" s="20">
        <v>0</v>
      </c>
      <c r="F3" s="20">
        <v>0</v>
      </c>
      <c r="G3" s="20">
        <v>16724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42320</v>
      </c>
      <c r="C4" s="20">
        <v>18000</v>
      </c>
      <c r="D4" s="20">
        <v>325000</v>
      </c>
      <c r="E4" s="20">
        <v>0</v>
      </c>
      <c r="F4" s="20">
        <v>60000</v>
      </c>
      <c r="G4" s="20">
        <v>68000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