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Anapl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384812</v>
      </c>
    </row>
    <row r="5" ht="20" customHeight="1">
      <c r="A5" s="2" t="str">
        <v>AOW01: Accelerating Solutions for Impact</v>
      </c>
      <c r="B5" s="2">
        <v>5</v>
      </c>
      <c r="C5" s="5">
        <v>296613</v>
      </c>
      <c r="D5" s="2">
        <v>2</v>
      </c>
      <c r="E5" s="5">
        <v>110537</v>
      </c>
      <c r="F5" s="2">
        <v>0</v>
      </c>
      <c r="G5" s="5">
        <v>0</v>
      </c>
      <c r="H5" s="2">
        <v>0</v>
      </c>
      <c r="I5" s="5">
        <v>0</v>
      </c>
      <c r="J5" s="5">
        <v>35000</v>
      </c>
      <c r="K5" s="5">
        <v>0</v>
      </c>
      <c r="L5" s="5">
        <v>442150</v>
      </c>
      <c r="M5" s="5">
        <v>0</v>
      </c>
    </row>
    <row r="6" ht="20" customHeight="1">
      <c r="A6" s="2" t="str">
        <v>AOW02: Accelerating Change Through Evidence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Youth Thrive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Area of Work Leadership Costs</v>
      </c>
      <c r="D2" s="11">
        <v>0</v>
      </c>
    </row>
    <row r="3" ht="45" customHeight="1">
      <c r="A3" s="11" t="str">
        <v>AOW00</v>
      </c>
      <c r="B3" s="11" t="str">
        <v xml:space="preserve">PMU Team 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Director and associated costs</v>
      </c>
      <c r="D4" s="11">
        <v>0</v>
      </c>
    </row>
    <row r="5" ht="45" customHeight="1">
      <c r="A5" s="11" t="str">
        <v>AOW00</v>
      </c>
      <c r="B5" s="11" t="str">
        <v>Director's discretionary fund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1.1.2: Interventions for addressing restrictive norms</v>
      </c>
      <c r="C3" s="11" t="str">
        <v xml:space="preserve">Profiles of the piloted GT interventions in Nigeria and Tanzania </v>
      </c>
      <c r="D3" s="11" t="str">
        <v>Number of innovations (innovation development)</v>
      </c>
      <c r="E3" s="11" t="str">
        <v>Country: Nigeria, Tanzania, United Republic</v>
      </c>
      <c r="F3" s="11">
        <v>5</v>
      </c>
      <c r="G3" s="11">
        <v>296613</v>
      </c>
      <c r="H3" s="11">
        <f>SUM(G3:G3)</f>
      </c>
      <c r="I3" s="11" t="str">
        <v>Additionally, 35,000 will be implemented through four partners</v>
      </c>
    </row>
    <row r="4" ht="50" customHeight="1">
      <c r="A4" s="11" t="str">
        <v>AOW01</v>
      </c>
      <c r="B4" s="11" t="str">
        <v>1.1.3: Gender-transformative solutions for women's economic empowerment</v>
      </c>
      <c r="C4" s="11" t="str">
        <v>Endline protocols and surveys for Nigeria and Tanzania: study tools</v>
      </c>
      <c r="D4" s="11" t="str">
        <v>Number of knowledge products</v>
      </c>
      <c r="E4" s="11" t="str">
        <v>Country: Tanzania, United Republic, Nigeria</v>
      </c>
      <c r="F4" s="11">
        <v>2</v>
      </c>
      <c r="G4" s="11">
        <v>110537</v>
      </c>
      <c r="H4" s="11">
        <f>SUM(G4:G4)</f>
      </c>
      <c r="I4" s="11" t="str">
        <v>N/A</v>
      </c>
    </row>
    <row r="5" ht="25" customHeight="1">
      <c r="B5" s="14" t="str">
        <v>HLO budget subtotal</v>
      </c>
      <c r="H5" s="15">
        <f>SUM(H3:H4)</f>
      </c>
    </row>
  </sheetData>
  <mergeCells count="7">
    <mergeCell ref="A1:A2"/>
    <mergeCell ref="B1:B2"/>
    <mergeCell ref="C1:G1"/>
    <mergeCell ref="H1:H2"/>
    <mergeCell ref="I1:I2"/>
    <mergeCell ref="B5:G5"/>
    <mergeCell ref="A3:A5"/>
  </mergeCells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AOW01</v>
      </c>
      <c r="B2" s="11" t="str">
        <v>HakiArdhi</v>
      </c>
      <c r="C2" s="11" t="str">
        <v>1.1.2: Interventions for addressing restrictive norms</v>
      </c>
      <c r="D2" s="11" t="str">
        <v>Tanzania, United Republic</v>
      </c>
      <c r="E2" s="11">
        <v>5000</v>
      </c>
      <c r="F2" s="11" t="str">
        <v>N/A</v>
      </c>
    </row>
    <row r="3" ht="70" customHeight="1">
      <c r="A3" s="11" t="str">
        <v>AOW01</v>
      </c>
      <c r="B3" s="11" t="str">
        <v>NYAKITONTO YOUTH FOR DEVELOPMENT TANZANIA</v>
      </c>
      <c r="C3" s="11" t="str">
        <v>1.1.2: Interventions for addressing restrictive norms</v>
      </c>
      <c r="D3" s="11" t="str">
        <v>Tanzania, United Republic</v>
      </c>
      <c r="E3" s="11">
        <v>10000</v>
      </c>
      <c r="F3" s="11" t="str">
        <v>N/A</v>
      </c>
    </row>
    <row r="4" ht="70" customHeight="1">
      <c r="A4" s="11" t="str">
        <v>AOW01</v>
      </c>
      <c r="B4" s="11" t="str">
        <v>KOLPING SOCIETY OF TANZANIA</v>
      </c>
      <c r="C4" s="11" t="str">
        <v>1.1.2: Interventions for addressing restrictive norms</v>
      </c>
      <c r="D4" s="11" t="str">
        <v>Tanzania, United Republic</v>
      </c>
      <c r="E4" s="11">
        <v>10000</v>
      </c>
      <c r="F4" s="11" t="str">
        <v>N/A</v>
      </c>
    </row>
    <row r="5" ht="70" customHeight="1">
      <c r="A5" s="11" t="str">
        <v>AOW01</v>
      </c>
      <c r="B5" s="11" t="str">
        <v>Justice Development and Peace Commission</v>
      </c>
      <c r="C5" s="11" t="str">
        <v>1.1.2: Interventions for addressing restrictive norms</v>
      </c>
      <c r="D5" s="11" t="str">
        <v>Nigeria</v>
      </c>
      <c r="E5" s="11">
        <v>10000</v>
      </c>
      <c r="F5" s="11" t="str">
        <v>N/A</v>
      </c>
    </row>
    <row r="6" ht="25" customHeight="1">
      <c r="B6" s="14" t="str">
        <v>Contracted partners subtotal</v>
      </c>
      <c r="E6" s="14">
        <f>SUM(E2:E5)</f>
      </c>
    </row>
  </sheetData>
  <mergeCells count="2">
    <mergeCell ref="B6:D6"/>
    <mergeCell ref="A2:A6"/>
  </mergeCells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T-PJ-003801-Cassava Value Chain Development to Support Food Security and the Bread Industry in DRC</v>
      </c>
      <c r="B2" s="19" t="str">
        <v>AOW00</v>
      </c>
      <c r="C2" s="18" t="str">
        <v>1.2 Evidence-based support for women and youth empowerment</v>
      </c>
      <c r="D2" s="19">
        <v>384812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35000</v>
      </c>
      <c r="D2" s="20">
        <v>0</v>
      </c>
      <c r="E2" s="20">
        <v>0</v>
      </c>
      <c r="F2" s="20" t="str">
        <f>=SUM(B2:E2)</f>
        <v>0</v>
      </c>
    </row>
    <row r="3" ht="20" customHeight="1">
      <c r="A3" s="20" t="str">
        <v>Operations (supplies, consultants, travels, workshops, other)</v>
      </c>
      <c r="B3" s="20">
        <v>86468</v>
      </c>
      <c r="C3" s="20">
        <v>21777</v>
      </c>
      <c r="D3" s="20">
        <v>0</v>
      </c>
      <c r="E3" s="20">
        <v>0</v>
      </c>
      <c r="F3" s="20" t="str">
        <f>=SUM(B3:E3)</f>
        <v>0</v>
      </c>
    </row>
    <row r="4" ht="20" customHeight="1">
      <c r="A4" s="20" t="str">
        <v>Staffing, Chargebacks and Indirect</v>
      </c>
      <c r="B4" s="20">
        <v>277025</v>
      </c>
      <c r="C4" s="20">
        <v>385373</v>
      </c>
      <c r="D4" s="20">
        <v>0</v>
      </c>
      <c r="E4" s="20">
        <v>0</v>
      </c>
      <c r="F4" s="20" t="str">
        <f>=SUM(B4:E4)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Cross-Cutting</vt:lpstr>
      <vt:lpstr>HLO</vt:lpstr>
      <vt:lpstr>Partner</vt:lpstr>
      <vt:lpstr>W3-Bilateral projects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