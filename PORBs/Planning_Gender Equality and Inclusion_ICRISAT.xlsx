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Anapl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138920</v>
      </c>
    </row>
    <row r="5" ht="20" customHeight="1">
      <c r="A5" s="2" t="str">
        <v>AOW01: Accelerating Solutions for Impact</v>
      </c>
      <c r="B5" s="2">
        <v>2</v>
      </c>
      <c r="C5" s="5">
        <v>50000</v>
      </c>
      <c r="D5" s="2">
        <v>1</v>
      </c>
      <c r="E5" s="5">
        <v>50000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100000</v>
      </c>
      <c r="M5" s="5">
        <v>0</v>
      </c>
    </row>
    <row r="6" ht="20" customHeight="1">
      <c r="A6" s="2" t="str">
        <v>AOW02: Accelerating Change Through Evidence</v>
      </c>
      <c r="B6" s="2">
        <v>0</v>
      </c>
      <c r="C6" s="5">
        <v>0</v>
      </c>
      <c r="D6" s="2">
        <v>3</v>
      </c>
      <c r="E6" s="5">
        <v>131250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131250</v>
      </c>
      <c r="M6" s="5">
        <v>0</v>
      </c>
    </row>
    <row r="7" ht="20" customHeight="1">
      <c r="A7" s="2" t="str">
        <v>AOW03: Youth Thrive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Area of Work Leadership Costs</v>
      </c>
      <c r="D2" s="11">
        <v>0</v>
      </c>
    </row>
    <row r="3" ht="45" customHeight="1">
      <c r="A3" s="11" t="str">
        <v>AOW00</v>
      </c>
      <c r="B3" s="11" t="str">
        <v xml:space="preserve">PMU Team 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Director and associated costs</v>
      </c>
      <c r="D4" s="11">
        <v>0</v>
      </c>
    </row>
    <row r="5" ht="45" customHeight="1">
      <c r="A5" s="11" t="str">
        <v>AOW00</v>
      </c>
      <c r="B5" s="11" t="str">
        <v>Director's discretionary fund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1.1.2: Interventions for addressing restrictive norms</v>
      </c>
      <c r="C3" s="11" t="str">
        <v>Gender responsive value chain, market and enterprise assessments: evidence to guide equitable value-chain interventions and policy strategies for inclusive enterprise development</v>
      </c>
      <c r="D3" s="11" t="str">
        <v>Number of knowledge products</v>
      </c>
      <c r="E3" s="11" t="str">
        <v>Country: India</v>
      </c>
      <c r="F3" s="11">
        <v>1</v>
      </c>
      <c r="G3" s="11">
        <v>50000</v>
      </c>
      <c r="H3" s="11">
        <f>SUM(G3:G4)</f>
      </c>
      <c r="I3" s="11" t="str">
        <v>N/A</v>
      </c>
    </row>
    <row r="4" ht="50" customHeight="1">
      <c r="A4" s="11" t="str">
        <v>AOW01</v>
      </c>
      <c r="C4" s="11" t="str">
        <v xml:space="preserve">Pilot models for inclusive nutrition-focused enterprises co-designed with women and youth </v>
      </c>
      <c r="D4" s="11" t="str">
        <v>Number of innovations (innovation development)</v>
      </c>
      <c r="E4" s="11" t="str">
        <v>Country: India</v>
      </c>
      <c r="F4" s="11">
        <v>2</v>
      </c>
      <c r="G4" s="11">
        <v>50000</v>
      </c>
      <c r="I4" s="11" t="str">
        <v>4,000 USD will go to a partner once identified.</v>
      </c>
    </row>
    <row r="5" ht="25" customHeight="1">
      <c r="B5" s="14" t="str">
        <v>HLO budget subtotal</v>
      </c>
      <c r="H5" s="15">
        <f>SUM(H3:H4)</f>
      </c>
    </row>
    <row r="6" ht="50" customHeight="1">
      <c r="A6" s="13" t="str">
        <v>AOW02</v>
      </c>
      <c r="B6" s="11" t="str">
        <v xml:space="preserve">2.3.1: Learning resources </v>
      </c>
      <c r="C6" s="11" t="str">
        <v>Contextualised GESI sensitization training package for farmers and communities on at least one priority theme (e.g. GBV, heat stress, empowerment, voice and leadership) developed, and finalized for use in India</v>
      </c>
      <c r="D6" s="11" t="str">
        <v>Number of knowledge products</v>
      </c>
      <c r="E6" s="11" t="str">
        <v>Country: India</v>
      </c>
      <c r="F6" s="11">
        <v>1</v>
      </c>
      <c r="G6" s="11">
        <v>38000</v>
      </c>
      <c r="H6" s="11">
        <f>SUM(G6:G8)</f>
      </c>
      <c r="I6" s="11" t="str">
        <v>6,000 USD will go to a partner, but partners not identified yet.</v>
      </c>
    </row>
    <row r="7" ht="50" customHeight="1">
      <c r="A7" s="11" t="str">
        <v>AOW02</v>
      </c>
      <c r="C7" s="11" t="str">
        <v>Published paper on impact of government programs on women's incomes and nutrition in India</v>
      </c>
      <c r="D7" s="11" t="str">
        <v>Number of knowledge products</v>
      </c>
      <c r="E7" s="11" t="str">
        <v>Country: India</v>
      </c>
      <c r="F7" s="11">
        <v>1</v>
      </c>
      <c r="G7" s="11">
        <v>45000</v>
      </c>
      <c r="I7" s="11" t="str">
        <v>N/A</v>
      </c>
    </row>
    <row r="8" ht="50" customHeight="1" xml:space="preserve">
      <c r="A8" s="11" t="str">
        <v>AOW02</v>
      </c>
      <c r="C8" s="11" t="str" xml:space="preserve">
        <v xml:space="preserve">Evidence synthesis on one key GESI indicator (e.g. women's employment and wages; impact of government programs on women's incomes and nutrition)
</v>
      </c>
      <c r="D8" s="11" t="str">
        <v>Number of knowledge products</v>
      </c>
      <c r="E8" s="11" t="str">
        <v>Country: India</v>
      </c>
      <c r="F8" s="11">
        <v>1</v>
      </c>
      <c r="G8" s="11">
        <v>48250</v>
      </c>
      <c r="I8" s="11" t="str">
        <v>N/A</v>
      </c>
    </row>
    <row r="9" ht="25" customHeight="1">
      <c r="B9" s="15" t="str">
        <v>HLO budget subtotal</v>
      </c>
      <c r="H9" s="15">
        <f>SUM(H6:H8)</f>
      </c>
    </row>
  </sheetData>
  <mergeCells count="13">
    <mergeCell ref="A1:A2"/>
    <mergeCell ref="B1:B2"/>
    <mergeCell ref="C1:G1"/>
    <mergeCell ref="H1:H2"/>
    <mergeCell ref="I1:I2"/>
    <mergeCell ref="B3:B4"/>
    <mergeCell ref="H3:H4"/>
    <mergeCell ref="B5:G5"/>
    <mergeCell ref="A3:A5"/>
    <mergeCell ref="B6:B8"/>
    <mergeCell ref="H6:H8"/>
    <mergeCell ref="B9:G9"/>
    <mergeCell ref="A6:A9"/>
  </mergeCells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Scaling Commercialization of Drought Tolerant Crops (DTC) Technologies to Secure Dignified and Fulfilling Work for 120,000 Youth in Rural Kenya</v>
      </c>
      <c r="B2" s="19" t="str">
        <v>AOW00</v>
      </c>
      <c r="C2" s="18" t="str">
        <v>4. Women, youth and socially excluded groups equitably benefit from innovations</v>
      </c>
      <c r="D2" s="19">
        <v>138920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4000</v>
      </c>
      <c r="D2" s="20">
        <v>6000</v>
      </c>
      <c r="E2" s="20">
        <v>0</v>
      </c>
      <c r="F2" s="20" t="str">
        <f>=SUM(B2:E2)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20000</v>
      </c>
      <c r="D3" s="20">
        <v>26250</v>
      </c>
      <c r="E3" s="20">
        <v>0</v>
      </c>
      <c r="F3" s="20" t="str">
        <f>=SUM(B3:E3)</f>
        <v>0</v>
      </c>
    </row>
    <row r="4" ht="20" customHeight="1">
      <c r="A4" s="20" t="str">
        <v>Staffing, Chargebacks and Indirect</v>
      </c>
      <c r="B4" s="20">
        <v>0</v>
      </c>
      <c r="C4" s="20">
        <v>76000</v>
      </c>
      <c r="D4" s="20">
        <v>99000</v>
      </c>
      <c r="E4" s="20">
        <v>0</v>
      </c>
      <c r="F4" s="20" t="str">
        <f>=SUM(B4:E4)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Cross-Cutting</vt:lpstr>
      <vt:lpstr>HLO</vt:lpstr>
      <vt:lpstr>Partner</vt:lpstr>
      <vt:lpstr>W3-Bilateral projects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