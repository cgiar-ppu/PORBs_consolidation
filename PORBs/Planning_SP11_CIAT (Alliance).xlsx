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CapSha Innovation Laboratory</v>
      </c>
      <c r="B5" s="2">
        <v>0</v>
      </c>
      <c r="C5" s="5">
        <v>0</v>
      </c>
      <c r="D5" s="2">
        <v>0</v>
      </c>
      <c r="E5" s="5">
        <v>0</v>
      </c>
      <c r="F5" s="2">
        <v>0</v>
      </c>
      <c r="G5" s="5">
        <v>0</v>
      </c>
      <c r="H5" s="2">
        <v>0</v>
      </c>
      <c r="I5" s="5">
        <v>0</v>
      </c>
      <c r="J5" s="5">
        <v>0</v>
      </c>
      <c r="K5" s="5">
        <v>0</v>
      </c>
      <c r="L5" s="5">
        <v>0</v>
      </c>
      <c r="M5" s="5">
        <v>0</v>
      </c>
    </row>
    <row r="6" ht="20" customHeight="1">
      <c r="A6" s="2" t="str">
        <v>AOW02: CapSha Marketplace</v>
      </c>
      <c r="B6" s="2">
        <v>0</v>
      </c>
      <c r="C6" s="5">
        <v>0</v>
      </c>
      <c r="D6" s="2">
        <v>0</v>
      </c>
      <c r="E6" s="5">
        <v>0</v>
      </c>
      <c r="F6" s="2">
        <v>0</v>
      </c>
      <c r="G6" s="5">
        <v>0</v>
      </c>
      <c r="H6" s="2">
        <v>0</v>
      </c>
      <c r="I6" s="5">
        <v>0</v>
      </c>
      <c r="J6" s="5">
        <v>0</v>
      </c>
      <c r="K6" s="5">
        <v>0</v>
      </c>
      <c r="L6" s="5">
        <v>0</v>
      </c>
      <c r="M6" s="5">
        <v>0</v>
      </c>
    </row>
    <row r="7" ht="20" customHeight="1">
      <c r="A7" s="2" t="str">
        <v>AOW03: CapSha South-South and Triangular Cooperation</v>
      </c>
      <c r="B7" s="2">
        <v>0</v>
      </c>
      <c r="C7" s="5">
        <v>0</v>
      </c>
      <c r="D7" s="2">
        <v>6</v>
      </c>
      <c r="E7" s="5">
        <v>0</v>
      </c>
      <c r="F7" s="2">
        <v>330</v>
      </c>
      <c r="G7" s="5">
        <v>0</v>
      </c>
      <c r="H7" s="2">
        <v>8</v>
      </c>
      <c r="I7" s="5">
        <v>0</v>
      </c>
      <c r="J7" s="5">
        <v>0</v>
      </c>
      <c r="K7" s="5">
        <v>0</v>
      </c>
      <c r="L7" s="5">
        <v>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Shared Finance Support</v>
      </c>
      <c r="D2" s="11">
        <v>0</v>
      </c>
    </row>
    <row r="3" ht="45" customHeight="1">
      <c r="A3" s="11" t="str">
        <v>AOW00</v>
      </c>
      <c r="B3" s="11" t="str">
        <v>PMU (shared with other Accelerators)</v>
      </c>
      <c r="C3" s="11" t="str">
        <v/>
      </c>
      <c r="D3" s="11">
        <v>0</v>
      </c>
    </row>
    <row r="4" ht="45" customHeight="1">
      <c r="A4" s="11" t="str">
        <v>AOW00</v>
      </c>
      <c r="B4" s="11" t="str">
        <v>Leads for AoW1-3</v>
      </c>
      <c r="D4" s="11">
        <v>0</v>
      </c>
    </row>
    <row r="5" ht="45" customHeight="1">
      <c r="A5" s="11" t="str">
        <v>AOW00</v>
      </c>
      <c r="B5" s="11" t="str">
        <v>Operational funds for the CapSha Lead</v>
      </c>
      <c r="D5" s="11">
        <v>0</v>
      </c>
    </row>
    <row r="6" ht="45" customHeight="1">
      <c r="A6" s="11" t="str">
        <v>AOW00</v>
      </c>
      <c r="B6" s="11" t="str">
        <v>CapSha Accelerator Lead</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1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HLO 1.1.1: CapSha research</v>
      </c>
      <c r="C3" s="11" t="str">
        <v>Innovative research and lessons learned papers on novel CapSha aproaches at the individual, organizational and system level are researched and published</v>
      </c>
      <c r="D3" s="11" t="str">
        <v>Number of knowledge products</v>
      </c>
      <c r="E3" s="11" t="str">
        <v>Global</v>
      </c>
      <c r="F3" s="11">
        <v>5</v>
      </c>
      <c r="G3" s="11">
        <v>0</v>
      </c>
      <c r="H3" s="11">
        <f>SUM(G3:G3)</f>
      </c>
    </row>
    <row r="4" ht="50" customHeight="1">
      <c r="A4" s="11" t="str">
        <v>AOW01</v>
      </c>
      <c r="B4" s="11" t="str">
        <v>HLO 1.1.2: CapSha pilots</v>
      </c>
      <c r="C4" s="11" t="str">
        <v>CapSha pilots have been planned, implemented and evaluated, generating insights that feed into the production of lessons learned papers (HLO1.1.1). CapSha pilots investigate and test innovatative approaches to capacity development</v>
      </c>
      <c r="D4" s="11" t="str">
        <v>Number of innovations (innovation development)</v>
      </c>
      <c r="E4" s="11" t="str">
        <v>Global</v>
      </c>
      <c r="F4" s="11">
        <v>3</v>
      </c>
      <c r="G4" s="11">
        <v>0</v>
      </c>
      <c r="H4" s="11">
        <f>SUM(G4:G4)</f>
      </c>
    </row>
    <row r="5" ht="50" customHeight="1">
      <c r="A5" s="11" t="str">
        <v>AOW01</v>
      </c>
      <c r="B5" s="11" t="str">
        <v>HLO 1.1.3: CapSha toolbox</v>
      </c>
      <c r="C5" s="11" t="str">
        <v>Information sessions held for professinals involved in planning, implementing and evaluating capacity development activities in their respective SP/As and Centers, leading to their increased understanding of capacity development good practices, available approaches and supporting resources</v>
      </c>
      <c r="D5" s="11" t="str">
        <v>Number of people trained (capacity sharing for development)</v>
      </c>
      <c r="E5" s="11" t="str">
        <v>Global</v>
      </c>
      <c r="F5" s="11">
        <v>120</v>
      </c>
      <c r="G5" s="11">
        <v>0</v>
      </c>
      <c r="H5" s="11">
        <f>SUM(G5:G6)</f>
      </c>
    </row>
    <row r="6" ht="50" customHeight="1">
      <c r="A6" s="11" t="str">
        <v>AOW01</v>
      </c>
      <c r="C6" s="11" t="str">
        <v>Good practice principles, manuals, guidelines and frameworks on CapSha are researched and published</v>
      </c>
      <c r="D6" s="11" t="str">
        <v>Number of knowledge products</v>
      </c>
      <c r="E6" s="11" t="str">
        <v>Global</v>
      </c>
      <c r="F6" s="11">
        <v>3</v>
      </c>
      <c r="G6" s="11">
        <v>0</v>
      </c>
    </row>
    <row r="7" ht="25" customHeight="1">
      <c r="B7" s="14" t="str">
        <v>HLO budget subtotal</v>
      </c>
      <c r="H7" s="15">
        <f>SUM(H3:H6)</f>
      </c>
    </row>
    <row r="8" ht="50" customHeight="1">
      <c r="A8" s="13" t="str">
        <v>AOW03</v>
      </c>
      <c r="B8" s="11" t="str">
        <v>HLO 3.1.1: Partnership engagement mechanisms</v>
      </c>
      <c r="C8" s="11" t="str">
        <v>SSTC activities between ICAR, Embrapa, CAAS, CGIAR Centers/SPs and African NARIS are aligned, including CapSha support to institutional strenghtening for continental and regional institutions involved in CAADP</v>
      </c>
      <c r="D8" s="11" t="str">
        <v>Number of innovations (innovation development)</v>
      </c>
      <c r="E8" s="11" t="str">
        <v>Regional: Africa</v>
      </c>
      <c r="F8" s="11">
        <v>5</v>
      </c>
      <c r="G8" s="11">
        <v>0</v>
      </c>
      <c r="H8" s="11">
        <f>SUM(G8:G11)</f>
      </c>
    </row>
    <row r="9" ht="50" customHeight="1">
      <c r="A9" s="11" t="str">
        <v>AOW03</v>
      </c>
      <c r="C9" s="11" t="str">
        <v>The next generation of scientists is supported by dedicated programs (including e.g., CGIAR Germany CapSha PhD/MSc Program, CGIAR UM6P CapSha Hub, NL-CGIAR Senior Expert Program, UK-CGIAR Centre Collaboration in Science and Innovation)</v>
      </c>
      <c r="D9" s="11" t="str">
        <v>Number of people trained (capacity sharing for development)</v>
      </c>
      <c r="E9" s="11" t="str">
        <v>Global</v>
      </c>
      <c r="F9" s="11">
        <v>100</v>
      </c>
      <c r="G9" s="11">
        <v>0</v>
      </c>
    </row>
    <row r="10" ht="50" customHeight="1">
      <c r="A10" s="11" t="str">
        <v>AOW03</v>
      </c>
      <c r="C10" s="11" t="str">
        <v>The CapSha CoP is successfully established, connecting and enabling learning among an increasing number of key professinals involved in planning, implementing and evaluating capacity development activities in their respective SP/As and Centers and, successively also in NARI/ES and relevant regional organisations. The CoP is actively managed and moderated by the CapSha team through membership management and organisation of dedicated meetings and online sessions</v>
      </c>
      <c r="D10" s="11" t="str">
        <v>Number of people trained (capacity sharing for development)</v>
      </c>
      <c r="E10" s="11" t="str">
        <v>Global</v>
      </c>
      <c r="F10" s="11">
        <v>30</v>
      </c>
      <c r="G10" s="11">
        <v>0</v>
      </c>
    </row>
    <row r="11" ht="50" customHeight="1">
      <c r="A11" s="11" t="str">
        <v>AOW03</v>
      </c>
      <c r="C11" s="11" t="str">
        <v>CapSha conferences and/or other forms of online and offline engagmenent are organised and held by the CapSha team, serving to build a core group of CapSha CoP members (see HLO 3.1.1) but also to inform a successively broader audience of professionals with interest in capacity development about the CapSha Accelerator and to enable them to make effective use of the services it offers</v>
      </c>
      <c r="D11" s="11" t="str">
        <v>Number of people trained (capacity sharing for development)</v>
      </c>
      <c r="E11" s="11" t="str">
        <v>Global</v>
      </c>
      <c r="F11" s="11">
        <v>100</v>
      </c>
      <c r="G11" s="11">
        <v>0</v>
      </c>
    </row>
    <row r="12" ht="50" customHeight="1">
      <c r="A12" s="11" t="str">
        <v>AOW03</v>
      </c>
      <c r="B12" s="11" t="str">
        <v>HLO 3.1.2: Demand mapped</v>
      </c>
      <c r="C12" s="11" t="str">
        <v>A digital diagnostic tool is developed and applied for assessing strengths, weaknesses and capacity development needs of selected NARIS</v>
      </c>
      <c r="D12" s="11" t="str">
        <v>Number of NARIs for which strengths, weaknesses and capacity needs are assessed with the digital diagnostic tool</v>
      </c>
      <c r="E12" s="11" t="str">
        <v>Global</v>
      </c>
      <c r="F12" s="11">
        <v>8</v>
      </c>
      <c r="G12" s="11">
        <v>0</v>
      </c>
      <c r="H12" s="11">
        <f>SUM(G12:G12)</f>
      </c>
    </row>
    <row r="13" ht="50" customHeight="1">
      <c r="A13" s="11" t="str">
        <v>AOW03</v>
      </c>
      <c r="B13" s="11" t="str">
        <v>HLO 3.1.3: SSTC cases analyzed</v>
      </c>
      <c r="C13" s="11" t="str">
        <v>Research on SSTC actors and on selected SSTC cases is conducted and published</v>
      </c>
      <c r="D13" s="11" t="str">
        <v>Number of knowledge products</v>
      </c>
      <c r="E13" s="11" t="str">
        <v>Global</v>
      </c>
      <c r="F13" s="11">
        <v>6</v>
      </c>
      <c r="G13" s="11">
        <v>0</v>
      </c>
      <c r="H13" s="11">
        <f>SUM(G13:G13)</f>
      </c>
    </row>
    <row r="14" ht="50" customHeight="1">
      <c r="A14" s="11" t="str">
        <v>AOW03</v>
      </c>
      <c r="B14" s="11" t="str">
        <v>HLO 3.1.4: CapSha SSTC engagmenents</v>
      </c>
      <c r="C14" s="11" t="str">
        <v>CapSha actively supports the planning, implementation and learning from key SSTC engagements, including SSTC initiatives with Brazil (Embrapa), China (CAAS) and India (ICAR), targeting African regional and national agricultural research organisations</v>
      </c>
      <c r="D14" s="11" t="str">
        <v>Number of people trained (capacity sharing for development)</v>
      </c>
      <c r="E14" s="11" t="str">
        <v>Country: Kenya, Ethiopia, Nigeria, China, Brazil, India</v>
      </c>
      <c r="F14" s="11">
        <v>200</v>
      </c>
      <c r="G14" s="11">
        <v>0</v>
      </c>
      <c r="H14" s="11">
        <f>SUM(G14:G14)</f>
      </c>
    </row>
    <row r="15" ht="25" customHeight="1">
      <c r="B15" s="15" t="str">
        <v>HLO budget subtotal</v>
      </c>
      <c r="H15" s="15">
        <f>SUM(H8:H14)</f>
      </c>
    </row>
  </sheetData>
  <mergeCells count="13">
    <mergeCell ref="A1:A2"/>
    <mergeCell ref="B1:B2"/>
    <mergeCell ref="C1:G1"/>
    <mergeCell ref="H1:H2"/>
    <mergeCell ref="I1:I2"/>
    <mergeCell ref="B5:B6"/>
    <mergeCell ref="H5:H6"/>
    <mergeCell ref="B7:G7"/>
    <mergeCell ref="A3:A7"/>
    <mergeCell ref="B8:B11"/>
    <mergeCell ref="H8:H11"/>
    <mergeCell ref="B15:G15"/>
    <mergeCell ref="A8:A15"/>
  </mergeCells>
  <ignoredErrors>
    <ignoredError numberStoredAsText="1" sqref="A1:I15"/>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1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Implementation monitoring and corrective action</v>
      </c>
      <c r="B2" s="19" t="str">
        <v>AOW03</v>
      </c>
      <c r="C2" s="18" t="str">
        <v>HLO 3.1.1: Partnership engagement mechanisms</v>
      </c>
      <c r="D2" s="19">
        <v>0</v>
      </c>
      <c r="E2" s="19" t="str">
        <f>=SUM(D2:D5)</f>
        <v>0</v>
      </c>
    </row>
    <row r="3" ht="30" customHeight="1">
      <c r="A3" s="18" t="str">
        <v>Implementation monitoring and corrective action</v>
      </c>
      <c r="B3" s="19" t="str">
        <v>AOW00</v>
      </c>
      <c r="C3" s="18" t="str">
        <v>CapSha mainstreamed</v>
      </c>
      <c r="D3" s="19">
        <v>0</v>
      </c>
    </row>
    <row r="4" ht="30" customHeight="1">
      <c r="A4" s="18" t="str">
        <v>Implementation monitoring and corrective action</v>
      </c>
      <c r="B4" s="19" t="str">
        <v>AOW01</v>
      </c>
      <c r="C4" s="18" t="str">
        <v>HLO 1.1.1: CapSha research</v>
      </c>
      <c r="D4" s="19">
        <v>0</v>
      </c>
    </row>
    <row r="5" ht="30" customHeight="1">
      <c r="A5" s="18" t="str">
        <v>Implementation monitoring and corrective action</v>
      </c>
      <c r="B5" s="19" t="str">
        <v>AOW02</v>
      </c>
      <c r="C5" s="18" t="str">
        <v>HLO 2.1.1: Supply mapped</v>
      </c>
      <c r="D5" s="19">
        <v>0</v>
      </c>
    </row>
    <row r="6" ht="30" customHeight="1">
      <c r="A6" s="18" t="str">
        <v>Stakeholder consultation and collaborative learning</v>
      </c>
      <c r="B6" s="19" t="str">
        <v>AOW03</v>
      </c>
      <c r="C6" s="18" t="str">
        <v>HLO 3.1.1: Partnership engagement mechanisms</v>
      </c>
      <c r="D6" s="19">
        <v>0</v>
      </c>
      <c r="E6" s="19" t="str">
        <f>=SUM(D6:D9)</f>
        <v>0</v>
      </c>
    </row>
    <row r="7" ht="30" customHeight="1">
      <c r="A7" s="18" t="str">
        <v>Stakeholder consultation and collaborative learning</v>
      </c>
      <c r="B7" s="19" t="str">
        <v>AOW00</v>
      </c>
      <c r="C7" s="18" t="str">
        <v>CapSha mainstreamed</v>
      </c>
      <c r="D7" s="19">
        <v>0</v>
      </c>
    </row>
    <row r="8" ht="30" customHeight="1">
      <c r="A8" s="18" t="str">
        <v>Stakeholder consultation and collaborative learning</v>
      </c>
      <c r="B8" s="19" t="str">
        <v>AOW01</v>
      </c>
      <c r="C8" s="18" t="str">
        <v>HLO 1.1.1: CapSha research</v>
      </c>
      <c r="D8" s="19">
        <v>0</v>
      </c>
    </row>
    <row r="9" ht="30" customHeight="1">
      <c r="A9" s="18" t="str">
        <v>Stakeholder consultation and collaborative learning</v>
      </c>
      <c r="B9" s="19" t="str">
        <v>AOW02</v>
      </c>
      <c r="C9" s="18" t="str">
        <v>HLO 2.1.1: Supply mapped</v>
      </c>
      <c r="D9" s="19">
        <v>0</v>
      </c>
    </row>
    <row r="10" ht="30" customHeight="1">
      <c r="A10" s="18" t="str">
        <v>Independent mid-term evaluation of the CapSha Accelerator</v>
      </c>
      <c r="B10" s="19" t="str">
        <v>AOW03</v>
      </c>
      <c r="C10" s="18" t="str">
        <v>IOC 0.1: CapSha CoP successful</v>
      </c>
      <c r="D10" s="19">
        <v>0</v>
      </c>
      <c r="E10" s="19" t="str">
        <f>=SUM(D10:D13)</f>
        <v>0</v>
      </c>
    </row>
    <row r="11" ht="30" customHeight="1">
      <c r="A11" s="18" t="str">
        <v>Independent mid-term evaluation of the CapSha Accelerator</v>
      </c>
      <c r="B11" s="19" t="str">
        <v>AOW00</v>
      </c>
      <c r="C11" s="18" t="str">
        <v>CapSha mainstreamed</v>
      </c>
      <c r="D11" s="19">
        <v>0</v>
      </c>
    </row>
    <row r="12" ht="30" customHeight="1">
      <c r="A12" s="18" t="str">
        <v>Independent mid-term evaluation of the CapSha Accelerator</v>
      </c>
      <c r="B12" s="19" t="str">
        <v>AOW01</v>
      </c>
      <c r="C12" s="18" t="str">
        <v>IOC 1.1: CapSha adopted</v>
      </c>
      <c r="D12" s="19">
        <v>0</v>
      </c>
    </row>
    <row r="13" ht="30" customHeight="1">
      <c r="A13" s="18" t="str">
        <v>Independent mid-term evaluation of the CapSha Accelerator</v>
      </c>
      <c r="B13" s="19" t="str">
        <v>AOW02</v>
      </c>
      <c r="C13" s="18" t="str">
        <v>IOC 2.1: CapSha Marketplace used</v>
      </c>
      <c r="D13" s="19">
        <v>0</v>
      </c>
    </row>
    <row r="14" ht="30" customHeight="1">
      <c r="A14" s="18" t="str">
        <v>Independent evaluation of the CapSha Accelerator</v>
      </c>
      <c r="B14" s="19" t="str">
        <v>AOW03</v>
      </c>
      <c r="C14" s="18" t="str">
        <v>IOC 0.1: CapSha CoP successful</v>
      </c>
      <c r="D14" s="19">
        <v>0</v>
      </c>
      <c r="E14" s="19" t="str">
        <f>=SUM(D14:D17)</f>
        <v>0</v>
      </c>
    </row>
    <row r="15" ht="30" customHeight="1">
      <c r="A15" s="18" t="str">
        <v>Independent evaluation of the CapSha Accelerator</v>
      </c>
      <c r="B15" s="19" t="str">
        <v>AOW00</v>
      </c>
      <c r="C15" s="18" t="str">
        <v>CapSha mainstreamed</v>
      </c>
      <c r="D15" s="19">
        <v>0</v>
      </c>
    </row>
    <row r="16" ht="30" customHeight="1">
      <c r="A16" s="18" t="str">
        <v>Independent evaluation of the CapSha Accelerator</v>
      </c>
      <c r="B16" s="19" t="str">
        <v>AOW01</v>
      </c>
      <c r="C16" s="18" t="str">
        <v>IOC 1.1: CapSha adopted</v>
      </c>
      <c r="D16" s="19">
        <v>0</v>
      </c>
    </row>
    <row r="17" ht="30" customHeight="1">
      <c r="A17" s="18" t="str">
        <v>Independent evaluation of the CapSha Accelerator</v>
      </c>
      <c r="B17" s="19" t="str">
        <v>AOW02</v>
      </c>
      <c r="C17" s="18" t="str">
        <v>IOC 2.1: CapSha Marketplace used</v>
      </c>
      <c r="D17" s="19">
        <v>0</v>
      </c>
    </row>
    <row r="18" ht="30" customHeight="1">
      <c r="A18" s="3" t="str">
        <v>MELIA Studies Budget subtotal</v>
      </c>
      <c r="E18" s="3">
        <f>SUM(E2:E17)</f>
      </c>
    </row>
  </sheetData>
  <mergeCells count="9">
    <mergeCell ref="A2:A5"/>
    <mergeCell ref="A6:A9"/>
    <mergeCell ref="A10:A13"/>
    <mergeCell ref="A14:A17"/>
    <mergeCell ref="E2:E5"/>
    <mergeCell ref="E6:E9"/>
    <mergeCell ref="E10:E13"/>
    <mergeCell ref="E14:E17"/>
    <mergeCell ref="A18:D18"/>
  </mergeCells>
  <ignoredErrors>
    <ignoredError numberStoredAsText="1" sqref="A1:F18"/>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20" t="str">
        <v>Collaborators non-CGIAR centers</v>
      </c>
      <c r="B2" s="20">
        <v>0</v>
      </c>
      <c r="C2" s="20">
        <v>0</v>
      </c>
      <c r="D2" s="20">
        <v>0</v>
      </c>
      <c r="E2" s="20">
        <v>0</v>
      </c>
      <c r="F2" s="20" t="str">
        <f>=SUM(B2:E2)</f>
        <v>0</v>
      </c>
    </row>
    <row r="3" ht="20" customHeight="1">
      <c r="A3" s="20" t="str">
        <v>Operations (supplies, consultants, travels, workshops, other)</v>
      </c>
      <c r="B3" s="20">
        <v>0</v>
      </c>
      <c r="C3" s="20">
        <v>0</v>
      </c>
      <c r="D3" s="20">
        <v>0</v>
      </c>
      <c r="E3" s="20">
        <v>0</v>
      </c>
      <c r="F3" s="20" t="str">
        <f>=SUM(B3:E3)</f>
        <v>0</v>
      </c>
    </row>
    <row r="4" ht="20" customHeight="1">
      <c r="A4" s="20" t="str">
        <v>Staffing, Chargebacks and Indirect</v>
      </c>
      <c r="B4" s="20">
        <v>0</v>
      </c>
      <c r="C4" s="20">
        <v>0</v>
      </c>
      <c r="D4" s="20">
        <v>0</v>
      </c>
      <c r="E4" s="20">
        <v>0</v>
      </c>
      <c r="F4" s="20" t="str">
        <f>=SUM(B4:E4)</f>
        <v>0</v>
      </c>
    </row>
    <row r="5" ht="20" customHeight="1">
      <c r="A5" s="21" t="str">
        <v>Subtotal</v>
      </c>
      <c r="B5" s="22" t="str">
        <f>=SUM(B2:B4)</f>
        <v>0</v>
      </c>
      <c r="C5" s="23" t="str">
        <f>=SUM(C2:C4)</f>
        <v>0</v>
      </c>
      <c r="D5" s="23" t="str">
        <f>=SUM(D2:D4)</f>
        <v>0</v>
      </c>
      <c r="E5" s="23" t="str">
        <f>=SUM(E2:E4)</f>
        <v>0</v>
      </c>
      <c r="F5" s="23"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