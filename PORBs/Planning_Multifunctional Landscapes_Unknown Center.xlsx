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4">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1" fontId="0" fillId="0" borderId="11" xfId="0" applyBorder="1" applyNumberFormat="1" applyAlignment="1">
      <alignment horizontal="center" vertical="center"/>
    </xf>
    <xf numFmtId="0" fontId="12" fillId="12" borderId="0" xfId="0" applyFont="1" applyFill="1" applyAlignment="1">
      <alignment horizontal="center" vertical="center"/>
    </xf>
    <xf numFmtId="1" fontId="13" fillId="13" borderId="12" xfId="0" applyFont="1" applyFill="1" applyBorder="1" applyNumberFormat="1" applyAlignment="1">
      <alignment horizontal="center" vertical="center"/>
    </xf>
    <xf numFmtId="1" fontId="14" fillId="14"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1342929</v>
      </c>
      <c r="M4" s="5">
        <v>0</v>
      </c>
    </row>
    <row r="5" ht="20" customHeight="1">
      <c r="A5" s="2" t="str">
        <v xml:space="preserve">AOW01: Solutions and Innovations: Agroecology, Nature-positive, Regenerative and Nutrition-sensitive </v>
      </c>
      <c r="B5" s="2">
        <v>0</v>
      </c>
      <c r="C5" s="5">
        <v>0</v>
      </c>
      <c r="D5" s="2">
        <v>0</v>
      </c>
      <c r="E5" s="5">
        <v>0</v>
      </c>
      <c r="F5" s="2">
        <v>0</v>
      </c>
      <c r="G5" s="5">
        <v>0</v>
      </c>
      <c r="H5" s="2">
        <v>0</v>
      </c>
      <c r="I5" s="5">
        <v>0</v>
      </c>
      <c r="J5" s="5">
        <v>0</v>
      </c>
      <c r="K5" s="5">
        <v>0</v>
      </c>
      <c r="L5" s="5">
        <v>0</v>
      </c>
      <c r="M5" s="5">
        <v>0</v>
      </c>
    </row>
    <row r="6" ht="20" customHeight="1">
      <c r="A6" s="2" t="str">
        <v>AOW02: Landscape Optimization and Inclusive Planning</v>
      </c>
      <c r="B6" s="2">
        <v>0</v>
      </c>
      <c r="C6" s="5">
        <v>0</v>
      </c>
      <c r="D6" s="2">
        <v>0</v>
      </c>
      <c r="E6" s="5">
        <v>0</v>
      </c>
      <c r="F6" s="2">
        <v>0</v>
      </c>
      <c r="G6" s="5">
        <v>0</v>
      </c>
      <c r="H6" s="2">
        <v>0</v>
      </c>
      <c r="I6" s="5">
        <v>0</v>
      </c>
      <c r="J6" s="5">
        <v>0</v>
      </c>
      <c r="K6" s="5">
        <v>0</v>
      </c>
      <c r="L6" s="5">
        <v>0</v>
      </c>
      <c r="M6" s="5">
        <v>0</v>
      </c>
    </row>
    <row r="7" ht="20" customHeight="1">
      <c r="A7" s="2" t="str">
        <v>AOW03: Business Models, Markets, and Sustainable Finance</v>
      </c>
      <c r="B7" s="2">
        <v>0</v>
      </c>
      <c r="C7" s="5">
        <v>0</v>
      </c>
      <c r="D7" s="2">
        <v>0</v>
      </c>
      <c r="E7" s="5">
        <v>0</v>
      </c>
      <c r="F7" s="2">
        <v>0</v>
      </c>
      <c r="G7" s="5">
        <v>0</v>
      </c>
      <c r="H7" s="2">
        <v>0</v>
      </c>
      <c r="I7" s="5">
        <v>0</v>
      </c>
      <c r="J7" s="5">
        <v>0</v>
      </c>
      <c r="K7" s="5">
        <v>0</v>
      </c>
      <c r="L7" s="5">
        <v>0</v>
      </c>
      <c r="M7" s="5">
        <v>0</v>
      </c>
    </row>
    <row r="8" ht="20" customHeight="1">
      <c r="A8" s="2" t="str">
        <v>AOW04: Governance, Institutions, Policy, and Inclusion</v>
      </c>
      <c r="B8" s="2">
        <v>0</v>
      </c>
      <c r="C8" s="5">
        <v>0</v>
      </c>
      <c r="D8" s="2">
        <v>0</v>
      </c>
      <c r="E8" s="5">
        <v>0</v>
      </c>
      <c r="F8" s="2">
        <v>0</v>
      </c>
      <c r="G8" s="5">
        <v>0</v>
      </c>
      <c r="H8" s="2">
        <v>0</v>
      </c>
      <c r="I8" s="5">
        <v>0</v>
      </c>
      <c r="J8" s="5">
        <v>0</v>
      </c>
      <c r="K8" s="5">
        <v>0</v>
      </c>
      <c r="L8" s="5">
        <v>0</v>
      </c>
      <c r="M8" s="5">
        <v>0</v>
      </c>
    </row>
    <row r="9" ht="20" customHeight="1">
      <c r="A9" s="2" t="str">
        <v>AOW05: Performance Assessments &amp; Evidence Generation</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Other PMU Operations</v>
      </c>
      <c r="C2" s="11" t="str">
        <v>Travel and other operations budget for all PMU roles.</v>
      </c>
      <c r="D2" s="11">
        <v>70000</v>
      </c>
      <c r="E2" s="11" t="str">
        <v>.</v>
      </c>
    </row>
    <row r="3" ht="45" customHeight="1" xml:space="preserve">
      <c r="A3" s="11" t="str">
        <v>AOW00</v>
      </c>
      <c r="B3" s="11" t="str">
        <v>Area of Work (AoW) Leaders</v>
      </c>
      <c r="C3" s="11" t="str" xml:space="preserve">
        <v xml:space="preserve">Fixed amount of USD 80,000 per AoW lead, for five AoW leads (one per AoW).
</v>
      </c>
      <c r="D3" s="11">
        <v>412000</v>
      </c>
      <c r="E3" s="11" t="str">
        <v>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v>
      </c>
    </row>
    <row r="4" ht="45" customHeight="1">
      <c r="A4" s="11" t="str">
        <v>AOW00</v>
      </c>
      <c r="B4" s="11" t="str">
        <v>Global Engagement Activities</v>
      </c>
      <c r="C4" s="11" t="str">
        <v>Staff and operations for global engagement activities.</v>
      </c>
      <c r="D4" s="11">
        <v>304475</v>
      </c>
      <c r="E4" s="11" t="str">
        <v xml:space="preserve">80% FTE for senior staff and budget for operations. </v>
      </c>
    </row>
    <row r="5" ht="45" customHeight="1">
      <c r="A5" s="11" t="str">
        <v>AOW00</v>
      </c>
      <c r="B5" s="11" t="str">
        <v>PMU Team</v>
      </c>
      <c r="C5" s="11" t="str">
        <v xml:space="preserve">Position costs for Coordination Focal Point, MELIA Focal Point, Finance Focal Point and Communications Focal Point. </v>
      </c>
      <c r="D5" s="11">
        <v>256454</v>
      </c>
      <c r="E5" s="11" t="str">
        <v xml:space="preserve">PMU roles appointments have not been confirmed; therefore, these remain allocated under Unknown Center. Estimated FTE: Coordination Focal Point is 70%, MELIA Focal Point 32%, Communications Focal Point 50%. </v>
      </c>
    </row>
    <row r="6" ht="45" customHeight="1">
      <c r="A6" s="11" t="str">
        <v>AOW00</v>
      </c>
      <c r="B6" s="11" t="str">
        <v>Shared Finance Support</v>
      </c>
      <c r="D6" s="11">
        <v>0</v>
      </c>
    </row>
    <row r="7" ht="45" customHeight="1">
      <c r="A7" s="11" t="str">
        <v>AOW00</v>
      </c>
      <c r="B7" s="11" t="str">
        <v>Program Director and Associated Costs</v>
      </c>
      <c r="C7" s="11" t="str">
        <v>Standard cost defined by System Office for Director, administrative support, meetings and workshops, travel, smaller consultancies, and miscellaneous operating costs.</v>
      </c>
      <c r="D7" s="11">
        <v>0</v>
      </c>
    </row>
    <row r="8" ht="45" customHeight="1">
      <c r="A8" s="11" t="str">
        <v>AOW00</v>
      </c>
      <c r="B8" s="11" t="str">
        <v>Program Director Discretionary Fund</v>
      </c>
      <c r="D8" s="11">
        <v>300000</v>
      </c>
      <c r="E8" s="11" t="str">
        <v>.</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Project title</v>
      </c>
      <c r="B1" s="14" t="str">
        <v>AOW</v>
      </c>
      <c r="C1" s="14" t="str">
        <v>High Level Outputs</v>
      </c>
      <c r="D1" s="14" t="str">
        <v>Budget (USD)</v>
      </c>
      <c r="E1" s="14" t="str">
        <v>Total budget (USD)</v>
      </c>
      <c r="F1" s="14"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15" t="str">
        <v>Collaborators non-CGIAR centers</v>
      </c>
      <c r="B2" s="15">
        <v>0</v>
      </c>
      <c r="C2" s="15">
        <v>0</v>
      </c>
      <c r="D2" s="15">
        <v>0</v>
      </c>
      <c r="E2" s="15">
        <v>0</v>
      </c>
      <c r="F2" s="15">
        <v>0</v>
      </c>
      <c r="G2" s="15">
        <v>0</v>
      </c>
      <c r="H2" s="15" t="str">
        <f>=SUM(B2:G2)</f>
        <v>0</v>
      </c>
    </row>
    <row r="3" ht="20" customHeight="1">
      <c r="A3" s="15" t="str">
        <v>Operations (supplies, consultants, travels, workshops, other)</v>
      </c>
      <c r="B3" s="15">
        <v>1342929</v>
      </c>
      <c r="C3" s="15">
        <v>0</v>
      </c>
      <c r="D3" s="15">
        <v>0</v>
      </c>
      <c r="E3" s="15">
        <v>0</v>
      </c>
      <c r="F3" s="15">
        <v>0</v>
      </c>
      <c r="G3" s="15">
        <v>0</v>
      </c>
      <c r="H3" s="15" t="str">
        <f>=SUM(B3:G3)</f>
        <v>0</v>
      </c>
    </row>
    <row r="4" ht="20" customHeight="1">
      <c r="A4" s="15" t="str">
        <v>Staffing, Chargebacks and Indirect</v>
      </c>
      <c r="B4" s="15">
        <v>397723</v>
      </c>
      <c r="C4" s="15">
        <v>0</v>
      </c>
      <c r="D4" s="15">
        <v>0</v>
      </c>
      <c r="E4" s="15">
        <v>0</v>
      </c>
      <c r="F4" s="15">
        <v>0</v>
      </c>
      <c r="G4" s="15">
        <v>0</v>
      </c>
      <c r="H4" s="15" t="str">
        <f>=SUM(B4:G4)</f>
        <v>0</v>
      </c>
    </row>
    <row r="5" ht="20" customHeight="1">
      <c r="A5" s="16" t="str">
        <v>Subtotal</v>
      </c>
      <c r="B5" s="17" t="str">
        <f>=SUM(B2:B4)</f>
        <v>0</v>
      </c>
      <c r="C5" s="18" t="str">
        <f>=SUM(C2:C4)</f>
        <v>0</v>
      </c>
      <c r="D5" s="18" t="str">
        <f>=SUM(D2:D4)</f>
        <v>0</v>
      </c>
      <c r="E5" s="18" t="str">
        <f>=SUM(E2:E4)</f>
        <v>0</v>
      </c>
      <c r="F5" s="18" t="str">
        <f>=SUM(F2:F4)</f>
        <v>0</v>
      </c>
      <c r="G5" s="18" t="str">
        <f>=SUM(G2:G4)</f>
        <v>0</v>
      </c>
      <c r="H5" s="18"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