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216267</v>
      </c>
      <c r="M4" s="5">
        <v>0</v>
      </c>
    </row>
    <row r="5" ht="20" customHeight="1">
      <c r="A5" s="2" t="str">
        <v>AOW01: Productivity+</v>
      </c>
      <c r="B5" s="2">
        <v>13</v>
      </c>
      <c r="C5" s="5">
        <v>987182</v>
      </c>
      <c r="D5" s="2">
        <v>12</v>
      </c>
      <c r="E5" s="5">
        <v>1050716</v>
      </c>
      <c r="F5" s="2">
        <v>115</v>
      </c>
      <c r="G5" s="5">
        <v>125000</v>
      </c>
      <c r="H5" s="2">
        <v>42</v>
      </c>
      <c r="I5" s="5">
        <v>556134</v>
      </c>
      <c r="J5" s="5">
        <v>274000</v>
      </c>
      <c r="K5" s="5">
        <v>0</v>
      </c>
      <c r="L5" s="5">
        <v>2993032</v>
      </c>
      <c r="M5" s="5">
        <v>6081806</v>
      </c>
    </row>
    <row r="6" ht="20" customHeight="1">
      <c r="A6" s="2" t="str">
        <v>AOW02: Climate and the Environment</v>
      </c>
      <c r="B6" s="2">
        <v>1</v>
      </c>
      <c r="C6" s="5">
        <v>85749</v>
      </c>
      <c r="D6" s="2">
        <v>3</v>
      </c>
      <c r="E6" s="5">
        <v>160000</v>
      </c>
      <c r="F6" s="2">
        <v>0</v>
      </c>
      <c r="G6" s="5">
        <v>0</v>
      </c>
      <c r="H6" s="2">
        <v>0</v>
      </c>
      <c r="I6" s="5">
        <v>0</v>
      </c>
      <c r="J6" s="5">
        <v>0</v>
      </c>
      <c r="K6" s="5">
        <v>0</v>
      </c>
      <c r="L6" s="5">
        <v>245749</v>
      </c>
      <c r="M6" s="5">
        <v>2612830</v>
      </c>
    </row>
    <row r="7" ht="20" customHeight="1">
      <c r="A7" s="2" t="str">
        <v>AOW03: One Health</v>
      </c>
      <c r="B7" s="2">
        <v>4</v>
      </c>
      <c r="C7" s="5">
        <v>499350</v>
      </c>
      <c r="D7" s="2">
        <v>8</v>
      </c>
      <c r="E7" s="5">
        <v>484140</v>
      </c>
      <c r="F7" s="2">
        <v>180</v>
      </c>
      <c r="G7" s="5">
        <v>53791</v>
      </c>
      <c r="H7" s="2">
        <v>5006</v>
      </c>
      <c r="I7" s="5">
        <v>337852</v>
      </c>
      <c r="J7" s="5">
        <v>0</v>
      </c>
      <c r="K7" s="5">
        <v>0</v>
      </c>
      <c r="L7" s="5">
        <v>1375133</v>
      </c>
      <c r="M7" s="5">
        <v>3514365</v>
      </c>
    </row>
    <row r="8" ht="20" customHeight="1">
      <c r="A8" s="2" t="str">
        <v>AOW04: Market Systems, Policy Solutions and Scaling</v>
      </c>
      <c r="B8" s="2">
        <v>2</v>
      </c>
      <c r="C8" s="5">
        <v>92000</v>
      </c>
      <c r="D8" s="2">
        <v>2</v>
      </c>
      <c r="E8" s="5">
        <v>290000</v>
      </c>
      <c r="F8" s="2">
        <v>0</v>
      </c>
      <c r="G8" s="5">
        <v>0</v>
      </c>
      <c r="H8" s="2">
        <v>3</v>
      </c>
      <c r="I8" s="5">
        <v>400925</v>
      </c>
      <c r="J8" s="5">
        <v>10000</v>
      </c>
      <c r="K8" s="5">
        <v>0</v>
      </c>
      <c r="L8" s="5">
        <v>792925</v>
      </c>
      <c r="M8" s="5">
        <v>621094</v>
      </c>
    </row>
    <row r="9" ht="20" customHeight="1">
      <c r="A9" s="2" t="str">
        <v>AOW05: Gender, Youth and Social Inclusion</v>
      </c>
      <c r="B9" s="2">
        <v>2</v>
      </c>
      <c r="C9" s="5">
        <v>160000</v>
      </c>
      <c r="D9" s="2">
        <v>3</v>
      </c>
      <c r="E9" s="5">
        <v>250836</v>
      </c>
      <c r="F9" s="2">
        <v>0</v>
      </c>
      <c r="G9" s="5">
        <v>0</v>
      </c>
      <c r="H9" s="2">
        <v>0</v>
      </c>
      <c r="I9" s="5">
        <v>0</v>
      </c>
      <c r="J9" s="5">
        <v>0</v>
      </c>
      <c r="K9" s="5">
        <v>0</v>
      </c>
      <c r="L9" s="5">
        <v>410836</v>
      </c>
      <c r="M9" s="5">
        <v>214629</v>
      </c>
    </row>
    <row r="10" ht="20" customHeight="1">
      <c r="A10" s="2" t="str">
        <v>AOW06: Data and Digital Solutions</v>
      </c>
      <c r="B10" s="2">
        <v>0</v>
      </c>
      <c r="C10" s="5">
        <v>0</v>
      </c>
      <c r="D10" s="2">
        <v>2</v>
      </c>
      <c r="E10" s="5">
        <v>77283</v>
      </c>
      <c r="F10" s="2">
        <v>0</v>
      </c>
      <c r="G10" s="5">
        <v>0</v>
      </c>
      <c r="H10" s="2">
        <v>0</v>
      </c>
      <c r="I10" s="5">
        <v>0</v>
      </c>
      <c r="J10" s="5">
        <v>0</v>
      </c>
      <c r="K10" s="5">
        <v>0</v>
      </c>
      <c r="L10" s="5">
        <v>77283</v>
      </c>
      <c r="M10" s="5">
        <v>505087</v>
      </c>
    </row>
    <row r="11" ht="25" customHeight="1">
      <c r="A11" s="6" t="str">
        <v>Total</v>
      </c>
      <c r="B11" s="7">
        <f>SUM(B4:B10)</f>
      </c>
      <c r="C11" s="7">
        <f>SUM(C4:C10)</f>
      </c>
      <c r="D11" s="7">
        <f>SUM(D4:D10)</f>
      </c>
      <c r="E11" s="7">
        <f>SUM(E4:E10)</f>
      </c>
      <c r="F11" s="7">
        <f>SUM(F4:F10)</f>
      </c>
      <c r="G11" s="7">
        <f>SUM(G4:G10)</f>
      </c>
      <c r="H11" s="7">
        <f>SUM(H4:H10)</f>
      </c>
      <c r="I11" s="7">
        <f>SUM(I4:I10)</f>
      </c>
      <c r="J11" s="7">
        <f>SUM(J4:J10)</f>
      </c>
      <c r="K11" s="7">
        <f>SUM(K4:K10)</f>
      </c>
      <c r="L11" s="7">
        <f>SUM(L4:L10)</f>
      </c>
      <c r="M11" s="7">
        <f>SUM(M4:M10)</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1"/>
  </ignoredErrors>
</worksheet>
</file>

<file path=xl/worksheets/sheet2.xml><?xml version="1.0" encoding="utf-8"?>
<worksheet xmlns="http://schemas.openxmlformats.org/spreadsheetml/2006/main" xmlns:r="http://schemas.openxmlformats.org/officeDocument/2006/relationships">
  <dimension ref="A1:E11"/>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AOW Leads</v>
      </c>
      <c r="C2" s="11" t="str">
        <v>Six (6) AOW Leads averaging 21.67% FTE</v>
      </c>
      <c r="D2" s="11">
        <v>0</v>
      </c>
    </row>
    <row r="3" ht="45" customHeight="1">
      <c r="A3" s="11" t="str">
        <v>AOW00</v>
      </c>
      <c r="B3" s="11" t="str">
        <v>Program Meetings and Workshops</v>
      </c>
      <c r="C3" s="11" t="str">
        <v>In-person progress, review, or planning meetings for program leadership, including the annual pause and reflect event</v>
      </c>
      <c r="D3" s="11">
        <v>0</v>
      </c>
    </row>
    <row r="4" ht="45" customHeight="1">
      <c r="A4" s="11" t="str">
        <v>AOW00</v>
      </c>
      <c r="B4" s="11" t="str">
        <v>Program Director Discretionary</v>
      </c>
      <c r="C4" s="11" t="str">
        <v>As directed by the SO; funds for consultants, meetings, travel, workshops, supplies, and other admin support needed by the Program Director in 2026 to address emerging opportunities and gaps or strategic program level issues</v>
      </c>
      <c r="D4" s="11">
        <v>0</v>
      </c>
    </row>
    <row r="5" ht="45" customHeight="1">
      <c r="A5" s="11" t="str">
        <v>AOW00</v>
      </c>
      <c r="B5" s="11" t="str">
        <v>Program Director Operations Costs</v>
      </c>
      <c r="C5" s="11" t="str">
        <v>As instructed by the SO; Travel, consultants, supplies, admin support, meetings or workshops required by the Director to perform their role</v>
      </c>
      <c r="D5" s="11">
        <v>0</v>
      </c>
    </row>
    <row r="6" ht="45" customHeight="1">
      <c r="A6" s="11" t="str">
        <v>AOW00</v>
      </c>
      <c r="B6" s="11" t="str">
        <v>Other PMU Operations</v>
      </c>
      <c r="C6" s="11" t="str">
        <v>Travel, office supplies, and other charge-backs for PMU team</v>
      </c>
      <c r="D6" s="11">
        <v>0</v>
      </c>
    </row>
    <row r="7" ht="45" customHeight="1">
      <c r="A7" s="11" t="str">
        <v>AOW00</v>
      </c>
      <c r="B7" s="11" t="str">
        <v>SO Central Finance Funds</v>
      </c>
      <c r="C7" s="11" t="str">
        <v>As required by the SO</v>
      </c>
      <c r="D7" s="11">
        <v>0</v>
      </c>
    </row>
    <row r="8" ht="45" customHeight="1">
      <c r="A8" s="11" t="str">
        <v>AOW00</v>
      </c>
      <c r="B8" s="11" t="str">
        <v>Program MELIA Funds</v>
      </c>
      <c r="C8" s="11" t="str">
        <v>Program funds for implementation of the MELIA plan</v>
      </c>
      <c r="D8" s="11">
        <v>0</v>
      </c>
    </row>
    <row r="9" ht="45" customHeight="1">
      <c r="A9" s="11" t="str">
        <v>AOW00</v>
      </c>
      <c r="B9" s="11" t="str">
        <v>Program Communications Operations</v>
      </c>
      <c r="C9" s="11" t="str">
        <v>Program communications funds to implement CKM strategy</v>
      </c>
      <c r="D9" s="11">
        <v>0</v>
      </c>
    </row>
    <row r="10" ht="45" customHeight="1">
      <c r="A10" s="11" t="str">
        <v>AOW00</v>
      </c>
      <c r="B10" s="11" t="str">
        <v>PMU Team</v>
      </c>
      <c r="C10" s="11" t="str">
        <v>Staff fees for Program Coordinator (50%), Program MELIA Focal Point (20%) and Program CKM Lead (50%) and any other administrative roles/needs</v>
      </c>
      <c r="D10" s="11">
        <v>216267</v>
      </c>
      <c r="E10" s="11" t="str">
        <v>Staff fees for Program Coordinator (50%), Program MELIA Focal Point (20%) and Program CKM Lead (50%) and any other admin needs</v>
      </c>
    </row>
    <row r="11" ht="45" customHeight="1">
      <c r="A11" s="11" t="str">
        <v>AOW00</v>
      </c>
      <c r="B11" s="11" t="str">
        <v>Program Director Staff Costs</v>
      </c>
      <c r="C11" s="11" t="str">
        <v>100% FTE Program Director and associated cost recovery</v>
      </c>
      <c r="D11" s="11">
        <v>0</v>
      </c>
    </row>
  </sheetData>
  <mergeCells count="1">
    <mergeCell ref="A2:A11"/>
  </mergeCells>
  <ignoredErrors>
    <ignoredError numberStoredAsText="1" sqref="A1:E11"/>
  </ignoredErrors>
</worksheet>
</file>

<file path=xl/worksheets/sheet3.xml><?xml version="1.0" encoding="utf-8"?>
<worksheet xmlns="http://schemas.openxmlformats.org/spreadsheetml/2006/main" xmlns:r="http://schemas.openxmlformats.org/officeDocument/2006/relationships">
  <dimension ref="A1:I97"/>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HLO 1.1 - Sustainable breeding and conservation programs and inclusive delivery models</v>
      </c>
      <c r="C3" s="11" t="str">
        <v>CRITICAL CAPABILITY - Use of the ILRI Clinical research facilities to support ongoing poultry breeding work, via distribution of improved chickens (New Hybrid ILRI 20) to national partners (1 batch is 2000 chicks)</v>
      </c>
      <c r="D3" s="11" t="str">
        <v xml:space="preserve"> Critical capabilities</v>
      </c>
      <c r="E3" s="11" t="str">
        <v>Country: Ethiopia</v>
      </c>
      <c r="F3" s="11">
        <v>5</v>
      </c>
      <c r="G3" s="11">
        <v>75000</v>
      </c>
      <c r="H3" s="11">
        <f>SUM(G3:G17)</f>
      </c>
      <c r="I3" s="11" t="str">
        <v>approved budget</v>
      </c>
    </row>
    <row r="4" ht="50" customHeight="1">
      <c r="A4" s="11" t="str">
        <v>AOW01</v>
      </c>
      <c r="C4" s="11" t="str">
        <v>CRITICAL CAPABILITY - Use of the ILRI Biosciences facility (BSL2) to train national partners on animal conservation technologies using Induced pluripotent stem cells in cattle and pigs</v>
      </c>
      <c r="D4" s="11" t="str">
        <v xml:space="preserve"> Critical capabilities</v>
      </c>
      <c r="E4" s="11" t="str">
        <v>Country: Kenya, India</v>
      </c>
      <c r="F4" s="11">
        <v>18</v>
      </c>
      <c r="G4" s="11">
        <v>54000</v>
      </c>
      <c r="I4" s="11" t="str">
        <v>approved budget</v>
      </c>
    </row>
    <row r="5" ht="50" customHeight="1">
      <c r="A5" s="11" t="str">
        <v>AOW01</v>
      </c>
      <c r="C5" s="11" t="str">
        <v>CRITICAL CAPABILITY -  Africa Asia Dairy Genetic Gain Platform - supporting uptake by counties in Kenya via capacity building of county extension staff and co-operatives</v>
      </c>
      <c r="D5" s="11" t="str">
        <v xml:space="preserve"> Critical capabilities</v>
      </c>
      <c r="E5" s="11" t="str">
        <v>Country: India, Kenya</v>
      </c>
      <c r="F5" s="11">
        <v>15</v>
      </c>
      <c r="G5" s="11">
        <v>150000</v>
      </c>
      <c r="I5" s="11" t="str">
        <v>approved budget</v>
      </c>
    </row>
    <row r="6" ht="50" customHeight="1">
      <c r="A6" s="11" t="str">
        <v>AOW01</v>
      </c>
      <c r="C6" s="11" t="str">
        <v>Productivity + GLOBAL: Testing whether the SLICK phenotype in cross-dairy cattle (underpinned by an allelic variation) confers tick resistance in cattle raised in a semi-arid environment: database</v>
      </c>
      <c r="D6" s="11" t="str">
        <v>Number of knowledge products</v>
      </c>
      <c r="E6" s="11" t="str">
        <v>Country: Kenya</v>
      </c>
      <c r="F6" s="11">
        <v>1</v>
      </c>
      <c r="G6" s="11">
        <v>109210</v>
      </c>
      <c r="I6" s="11" t="str">
        <v>estimated staff costs, operational costs and partners engagement</v>
      </c>
    </row>
    <row r="7" ht="50" customHeight="1">
      <c r="A7" s="11" t="str">
        <v>AOW01</v>
      </c>
      <c r="C7" s="11" t="str">
        <v>Productivity + GLOBAL: Proof of concept on pig cryoconservation: Differentiation of stem cells (derived from somatic cells of local east African pig breeds ) into eggs and sperm</v>
      </c>
      <c r="D7" s="11" t="str">
        <v>Number of knowledge products</v>
      </c>
      <c r="E7" s="11" t="str">
        <v>Country: Kenya</v>
      </c>
      <c r="F7" s="11">
        <v>1</v>
      </c>
      <c r="G7" s="11">
        <v>30000</v>
      </c>
      <c r="I7" s="11" t="str">
        <v>estimated staff costs, operational costs and partners engagement</v>
      </c>
    </row>
    <row r="8" ht="50" customHeight="1">
      <c r="A8" s="11" t="str">
        <v>AOW01</v>
      </c>
      <c r="C8" s="11" t="str">
        <v>Dairy Buffalo - Nepal: Innovative practices to address post ovarian cyclicity in buffalo leading to improved fertility</v>
      </c>
      <c r="D8" s="11" t="str">
        <v>Number of innovations (innovation development)</v>
      </c>
      <c r="E8" s="11" t="str">
        <v>Country: Nepal</v>
      </c>
      <c r="F8" s="11">
        <v>1</v>
      </c>
      <c r="G8" s="11">
        <v>72500</v>
      </c>
      <c r="I8" s="11" t="str">
        <v>estimated staff costs, operational costs and partners engagement</v>
      </c>
    </row>
    <row r="9" ht="50" customHeight="1">
      <c r="A9" s="11" t="str">
        <v>AOW01</v>
      </c>
      <c r="C9" s="11" t="str">
        <v>Dairy Buffalo - Nepal: Functional genetic selection platform used by the national agencies for selecting superior dairy cattle and buffalo</v>
      </c>
      <c r="D9" s="11" t="str">
        <v>Number of innovations (innovation development)</v>
      </c>
      <c r="E9" s="11" t="str">
        <v>Country: Nepal</v>
      </c>
      <c r="F9" s="11">
        <v>1</v>
      </c>
      <c r="G9" s="11">
        <v>62500</v>
      </c>
      <c r="I9" s="11" t="str">
        <v>estimated staff costs and operational costs</v>
      </c>
    </row>
    <row r="10" ht="50" customHeight="1">
      <c r="A10" s="11" t="str">
        <v>AOW01</v>
      </c>
      <c r="C10" s="11" t="str">
        <v>Beef Cattle and Pigs - Vietnam: Scaling of the co-operative model on cattle artificial insemination (AI) service provision to an additional commune within Son La province</v>
      </c>
      <c r="D10" s="11" t="str">
        <v xml:space="preserve"> Number of new AI service providers co-ooperatives established</v>
      </c>
      <c r="E10" s="11" t="str">
        <v>Country: The Socialist Republic of Viet Nam</v>
      </c>
      <c r="F10" s="11">
        <v>1</v>
      </c>
      <c r="G10" s="11">
        <v>60000</v>
      </c>
      <c r="I10" s="11" t="str">
        <v>estimated staff costs and operational costs</v>
      </c>
    </row>
    <row r="11" ht="50" customHeight="1">
      <c r="A11" s="11" t="str">
        <v>AOW01</v>
      </c>
      <c r="C11" s="11" t="str">
        <v>Pigs - Uganda: Evidence on whether subsidisation of pig artificial insemination for a limited time period leads to longer-term artificial insemiantion adoption: end-line survey database</v>
      </c>
      <c r="D11" s="11" t="str">
        <v>Number of knowledge products</v>
      </c>
      <c r="E11" s="11" t="str">
        <v>Country: Uganda</v>
      </c>
      <c r="F11" s="11">
        <v>1</v>
      </c>
      <c r="G11" s="11">
        <v>65000</v>
      </c>
      <c r="I11" s="11" t="str">
        <v>estimated staff costs, operational costs and partners engagement</v>
      </c>
    </row>
    <row r="12" ht="50" customHeight="1">
      <c r="A12" s="11" t="str">
        <v>AOW01</v>
      </c>
      <c r="C12" s="11" t="str">
        <v>Pigs - Uganda: Strengthen pig artificial insemination service delivery via capacity building of women and men service providers</v>
      </c>
      <c r="D12" s="11" t="str">
        <v>Number of people trained (capacity sharing for development)</v>
      </c>
      <c r="E12" s="11" t="str">
        <v>Country: Uganda</v>
      </c>
      <c r="F12" s="11">
        <v>20</v>
      </c>
      <c r="G12" s="11">
        <v>5000</v>
      </c>
      <c r="I12" s="11" t="str">
        <v>estimated staff costs, operational costs and partners engagement</v>
      </c>
    </row>
    <row r="13" ht="50" customHeight="1">
      <c r="A13" s="11" t="str">
        <v>AOW01</v>
      </c>
      <c r="C13" s="11" t="str">
        <v>Pigs - Uganda: Best practice guidelines for boar semen producing units, feeding into strengthened pig artificial insemination service delivery</v>
      </c>
      <c r="D13" s="11" t="str">
        <v>Number of knowledge products</v>
      </c>
      <c r="E13" s="11" t="str">
        <v>Country: Uganda</v>
      </c>
      <c r="F13" s="11">
        <v>1</v>
      </c>
      <c r="G13" s="11">
        <v>10000</v>
      </c>
      <c r="I13" s="11" t="str">
        <v>estimated staff costs, operational costs and partners engagement</v>
      </c>
    </row>
    <row r="14" ht="50" customHeight="1">
      <c r="A14" s="11" t="str">
        <v>AOW01</v>
      </c>
      <c r="C14" s="11" t="str">
        <v>Chicken - Tanzania:  Evaluating the productivity of current generation genetically improved Horasi chicken among smallholder households: database on chicken performance</v>
      </c>
      <c r="D14" s="11" t="str">
        <v>Number of knowledge products</v>
      </c>
      <c r="E14" s="11" t="str">
        <v>Country: Tanzania, United Republic</v>
      </c>
      <c r="F14" s="11">
        <v>1</v>
      </c>
      <c r="G14" s="11">
        <v>35000</v>
      </c>
      <c r="I14" s="11" t="str">
        <v>estimated staff costs, operational costs and partners engagement</v>
      </c>
    </row>
    <row r="15" ht="50" customHeight="1">
      <c r="A15" s="11" t="str">
        <v>AOW01</v>
      </c>
      <c r="C15" s="11" t="str">
        <v>Small Ruminants - Mali: Establishment of a small ruminant reproductive lab</v>
      </c>
      <c r="D15" s="11" t="str">
        <v>Number of innovations (innovation development)</v>
      </c>
      <c r="E15" s="11" t="str">
        <v>Country: Mali</v>
      </c>
      <c r="F15" s="11">
        <v>1</v>
      </c>
      <c r="G15" s="11">
        <v>85000</v>
      </c>
      <c r="I15" s="11" t="str">
        <v>estimated staff costs, operational costs and partners engagement</v>
      </c>
    </row>
    <row r="16" ht="50" customHeight="1">
      <c r="A16" s="11" t="str">
        <v>AOW01</v>
      </c>
      <c r="C16" s="11" t="str">
        <v>Small Ruminants - Mali: Evidence of community based breeding program (CBBP) governance systems that facilitate the involvement of women in CBBP and their ability to benefit from such participation: report</v>
      </c>
      <c r="D16" s="11" t="str">
        <v>Number of knowledge products</v>
      </c>
      <c r="E16" s="11" t="str">
        <v>Country: Mali</v>
      </c>
      <c r="F16" s="11">
        <v>1</v>
      </c>
      <c r="G16" s="11">
        <v>65351</v>
      </c>
      <c r="I16" s="11" t="str">
        <v>estimated staff costs, operational costs and partners engagement</v>
      </c>
    </row>
    <row r="17" ht="50" customHeight="1">
      <c r="A17" s="11" t="str">
        <v>AOW01</v>
      </c>
      <c r="C17" s="11" t="str">
        <v>Dairy Cattle - Kenya: Data platforms for dairy cattle recording enhanced and deployed to guide decision-making, enterprise profitability, and genetic improvement</v>
      </c>
      <c r="D17" s="11" t="str">
        <v>Number of innovations (innovation development)</v>
      </c>
      <c r="E17" s="11" t="str">
        <v>Country: Kenya</v>
      </c>
      <c r="F17" s="11">
        <v>1</v>
      </c>
      <c r="G17" s="11">
        <v>60000</v>
      </c>
      <c r="I17" s="11" t="str">
        <v>estimated staff costs, operational costs and partners engagement</v>
      </c>
    </row>
    <row r="18" ht="50" customHeight="1">
      <c r="A18" s="11" t="str">
        <v>AOW01</v>
      </c>
      <c r="B18" s="11" t="str">
        <v>HLO 1.2 - Cost-efficient animal and aquatic species feed and forage innovations and inclusive delivery models</v>
      </c>
      <c r="C18" s="11" t="str">
        <v>CRITICAL CAPABILITY - ILRI Kapiti Research Station and Wildlife Conservancy for animal feeding trials comparing farmer practice with feed baskets including improved forages will be carried out to elicit productivity, economic and environmental gains</v>
      </c>
      <c r="D18" s="11" t="str">
        <v xml:space="preserve"> Critical capabilities </v>
      </c>
      <c r="E18" s="11" t="str">
        <v>Country: Kenya</v>
      </c>
      <c r="F18" s="11">
        <v>1</v>
      </c>
      <c r="G18" s="11">
        <v>100000</v>
      </c>
      <c r="H18" s="11">
        <f>SUM(G18:G31)</f>
      </c>
      <c r="I18" s="11" t="str">
        <v>approved budget</v>
      </c>
    </row>
    <row r="19" ht="50" customHeight="1">
      <c r="A19" s="11" t="str">
        <v>AOW01</v>
      </c>
      <c r="C19" s="11" t="str">
        <v>Beef Cattle and Pigs - Vietnam: On-station feeding trails to optimize feeding strategies for beef cattle</v>
      </c>
      <c r="D19" s="11" t="str">
        <v>Number of innovations (innovation development)</v>
      </c>
      <c r="E19" s="11" t="str">
        <v>Country: The Socialist Republic of Viet Nam</v>
      </c>
      <c r="F19" s="11">
        <v>1</v>
      </c>
      <c r="G19" s="11">
        <v>23666</v>
      </c>
      <c r="I19" s="11" t="str">
        <v>estimated staff costs, operational costs and partners engagement</v>
      </c>
    </row>
    <row r="20" ht="50" customHeight="1">
      <c r="A20" s="11" t="str">
        <v>AOW01</v>
      </c>
      <c r="C20" s="11" t="str">
        <v>Small Ruminants - Mali: Development of tailored-feed intervention for small ruminant fattening systems in Mali</v>
      </c>
      <c r="D20" s="11" t="str">
        <v>Number of innovations (innovation development)</v>
      </c>
      <c r="E20" s="11" t="str">
        <v>Country: Mali</v>
      </c>
      <c r="F20" s="11">
        <v>1</v>
      </c>
      <c r="G20" s="11">
        <v>32350</v>
      </c>
      <c r="I20" s="11" t="str">
        <v>estimated staff costs, operational costs and partners engagement</v>
      </c>
    </row>
    <row r="21" ht="50" customHeight="1">
      <c r="A21" s="11" t="str">
        <v>AOW01</v>
      </c>
      <c r="C21" s="11" t="str">
        <v>Productivity + GLOBAL: Strenghtening of the Sub-Saharan Africa feed composition database: database updated with new data</v>
      </c>
      <c r="D21" s="11" t="str">
        <v>Number of innovations (innovation development)</v>
      </c>
      <c r="E21" s="11" t="str">
        <v>Regional: Sub-Saharan Africa</v>
      </c>
      <c r="F21" s="11">
        <v>1</v>
      </c>
      <c r="G21" s="11">
        <v>62330</v>
      </c>
      <c r="I21" s="11" t="str">
        <v>estimated staff costs, operational costs and partners engagement</v>
      </c>
    </row>
    <row r="22" ht="50" customHeight="1">
      <c r="A22" s="11" t="str">
        <v>AOW01</v>
      </c>
      <c r="C22" s="11" t="str">
        <v>Productivity + GLOBAL: Evaluating forages for scaling across different agro-ecological zones in East Africa</v>
      </c>
      <c r="D22" s="11" t="str">
        <v>Number of knowledge products</v>
      </c>
      <c r="E22" s="11" t="str">
        <v>Regional: Eastern Africa</v>
      </c>
      <c r="F22" s="11">
        <v>1</v>
      </c>
      <c r="G22" s="11">
        <v>40000</v>
      </c>
      <c r="I22" s="11" t="str">
        <v>estimated staff costs, operational costs and partners engagement</v>
      </c>
    </row>
    <row r="23" ht="50" customHeight="1">
      <c r="A23" s="11" t="str">
        <v>AOW01</v>
      </c>
      <c r="C23" s="11" t="str">
        <v>Productivity + GLOBAL: Online version of G-FEAST tool to select and optimise local feed baskets</v>
      </c>
      <c r="D23" s="11" t="str">
        <v>Number of innovations (innovation development)</v>
      </c>
      <c r="E23" s="11" t="str">
        <v>Country: Kenya</v>
      </c>
      <c r="F23" s="11">
        <v>1</v>
      </c>
      <c r="G23" s="11">
        <v>60000</v>
      </c>
      <c r="I23" s="11" t="str">
        <v>estimated staff costs, operational costs and partners engagement</v>
      </c>
    </row>
    <row r="24" ht="50" customHeight="1">
      <c r="A24" s="11" t="str">
        <v>AOW01</v>
      </c>
      <c r="C24" s="11" t="str">
        <v>Dairy Buffalo - Nepal: A functional protocol for commercial production of new forage seed</v>
      </c>
      <c r="D24" s="11" t="str">
        <v>Number of knowledge products</v>
      </c>
      <c r="E24" s="11" t="str">
        <v>Country: Nepal</v>
      </c>
      <c r="F24" s="11">
        <v>1</v>
      </c>
      <c r="G24" s="11">
        <v>44927</v>
      </c>
      <c r="I24" s="11" t="str">
        <v>estimated staff costs, operational costs and partners engagement</v>
      </c>
    </row>
    <row r="25" ht="50" customHeight="1">
      <c r="A25" s="11" t="str">
        <v>AOW01</v>
      </c>
      <c r="C25" s="11" t="str">
        <v>Dairy Buffalo - Nepal: Functional digital feed advisory platform being used by village livestock promoters /technicians to advise dairy farmers to improve profitability through feed balancing and feed quality upgradation</v>
      </c>
      <c r="D25" s="11" t="str">
        <v>Number of innovations (innovation development)</v>
      </c>
      <c r="E25" s="11" t="str">
        <v>Country: Nepal</v>
      </c>
      <c r="F25" s="11">
        <v>1</v>
      </c>
      <c r="G25" s="11">
        <v>45000</v>
      </c>
      <c r="I25" s="11" t="str">
        <v>estimated staff costs, operational costs and partners engagement</v>
      </c>
    </row>
    <row r="26" ht="50" customHeight="1">
      <c r="A26" s="11" t="str">
        <v>AOW01</v>
      </c>
      <c r="C26" s="11" t="str">
        <v>Pigs - Uganda: Evidence of whether pig feeds constitute a risk for African swine fever virus transmission: database of results from testing feeds for African Swine Fever using real time PC</v>
      </c>
      <c r="D26" s="11" t="str">
        <v>Number of knowledge products</v>
      </c>
      <c r="E26" s="11" t="str">
        <v>Country: Uganda</v>
      </c>
      <c r="F26" s="11">
        <v>1</v>
      </c>
      <c r="G26" s="11">
        <v>20000</v>
      </c>
      <c r="I26" s="11" t="str">
        <v>estimated staff costs, operational costs and partners engagement</v>
      </c>
    </row>
    <row r="27" ht="50" customHeight="1">
      <c r="A27" s="11" t="str">
        <v>AOW01</v>
      </c>
      <c r="C27" s="11" t="str">
        <v xml:space="preserve">Pigs - Uganda: Evidence of how different creep feed diets impact piglet performance, including average daily gain: database   </v>
      </c>
      <c r="D27" s="11" t="str">
        <v>Number of knowledge products</v>
      </c>
      <c r="E27" s="11" t="str">
        <v>Country: Uganda</v>
      </c>
      <c r="F27" s="11">
        <v>1</v>
      </c>
      <c r="G27" s="11">
        <v>83837</v>
      </c>
      <c r="I27" s="11" t="str">
        <v>estimated staff costs and operational costs</v>
      </c>
    </row>
    <row r="28" ht="50" customHeight="1">
      <c r="A28" s="11" t="str">
        <v>AOW01</v>
      </c>
      <c r="C28" s="11" t="str">
        <v>Small Ruminants - Mali: Development of an optimized feed rations for small ruminants based on locally available feed resource</v>
      </c>
      <c r="D28" s="11" t="str">
        <v>Number of knowledge products</v>
      </c>
      <c r="E28" s="11" t="str">
        <v>Country: Mali</v>
      </c>
      <c r="F28" s="11">
        <v>1</v>
      </c>
      <c r="G28" s="11">
        <v>32350</v>
      </c>
      <c r="I28" s="11" t="str">
        <v>estimated staff costs, operational costs and partners engagement</v>
      </c>
    </row>
    <row r="29" ht="50" customHeight="1">
      <c r="A29" s="11" t="str">
        <v>AOW01</v>
      </c>
      <c r="C29" s="11" t="str">
        <v>Dairy Cattle - Kenya: Drought-tolerant, high-yielding forage technologies tested and validated through dairy cooperatives</v>
      </c>
      <c r="D29" s="11" t="str">
        <v>Number of innovations (innovation development)</v>
      </c>
      <c r="E29" s="11" t="str">
        <v>Country: Kenya</v>
      </c>
      <c r="F29" s="11">
        <v>1</v>
      </c>
      <c r="G29" s="11">
        <v>50000</v>
      </c>
      <c r="I29" s="11" t="str">
        <v>estimated staff costs, operational costs and USD 15,000 for partners</v>
      </c>
    </row>
    <row r="30" ht="50" customHeight="1">
      <c r="A30" s="11" t="str">
        <v>AOW01</v>
      </c>
      <c r="C30" s="11" t="str">
        <v>Dairy Cattle - Kenya: Evaluation of  silage practices amongst pioneer farmers and recommendation to improve silage making amongst small scale farmers</v>
      </c>
      <c r="D30" s="11" t="str">
        <v>Number of knowledge products</v>
      </c>
      <c r="E30" s="11" t="str">
        <v>Country: Kenya</v>
      </c>
      <c r="F30" s="11">
        <v>1</v>
      </c>
      <c r="G30" s="11">
        <v>50000</v>
      </c>
      <c r="I30" s="11" t="str">
        <v>estimated staff costs, operational costs and USD 10,000 for partners</v>
      </c>
    </row>
    <row r="31" ht="50" customHeight="1">
      <c r="A31" s="11" t="str">
        <v>AOW01</v>
      </c>
      <c r="C31" s="11" t="str">
        <v>Dairy Cattle - Kenya: Locally based optimized feed rations for key dairy production cycles developed and validated</v>
      </c>
      <c r="D31" s="11" t="str">
        <v>Number of knowledge products</v>
      </c>
      <c r="E31" s="11" t="str">
        <v>Country: Kenya</v>
      </c>
      <c r="F31" s="11">
        <v>1</v>
      </c>
      <c r="G31" s="11">
        <v>72048</v>
      </c>
      <c r="I31" s="11" t="str">
        <v>estimated staff costs and operational costs</v>
      </c>
    </row>
    <row r="32" ht="50" customHeight="1">
      <c r="A32" s="11" t="str">
        <v>AOW01</v>
      </c>
      <c r="B32" s="11" t="str">
        <v>HLO 1.3 - Cost-efficient animal and aquatic species health and welfare innovations and inclusive delivery models</v>
      </c>
      <c r="C32" s="11" t="str">
        <v>Pigs - Uganda: Development of a delivery business model of a context specific pig herd heath package (including vaccination)</v>
      </c>
      <c r="D32" s="11" t="str">
        <v>Number of innovations (innovation development)</v>
      </c>
      <c r="E32" s="11" t="str">
        <v>Country: Uganda</v>
      </c>
      <c r="F32" s="11">
        <v>1</v>
      </c>
      <c r="G32" s="11">
        <v>65000</v>
      </c>
      <c r="H32" s="11">
        <f>SUM(G32:G41)</f>
      </c>
      <c r="I32" s="11" t="str">
        <v>estimated staff costs, operational costs and partners engagement</v>
      </c>
    </row>
    <row r="33" ht="50" customHeight="1">
      <c r="A33" s="11" t="str">
        <v>AOW01</v>
      </c>
      <c r="C33" s="11" t="str">
        <v>Productivity + GLOBAL: Improved protocols for Contagious Bovine Peri-Pneumonia (CBPP) and Contagious Caprine Pleuropneumonia (CCPP) vaccine quality control developed and shared with African Union Pan African Veterinary Vaccine Centre (AU-PANVAC) and manufacturers that produce these vaccines for Africa.</v>
      </c>
      <c r="D33" s="11" t="str">
        <v>Number of innovations (innovation development)</v>
      </c>
      <c r="E33" s="11" t="str">
        <v>Country: Kenya</v>
      </c>
      <c r="F33" s="11">
        <v>1</v>
      </c>
      <c r="G33" s="11">
        <v>70000</v>
      </c>
      <c r="I33" s="11" t="str">
        <v>estimated staff costs, operational costs and partners engagement</v>
      </c>
    </row>
    <row r="34" ht="50" customHeight="1">
      <c r="A34" s="11" t="str">
        <v>AOW01</v>
      </c>
      <c r="C34" s="11" t="str">
        <v>Dairy Buffalo - Nepal: Training of Nepal's lab for Lumpy Skin Disease in vaccine quality control</v>
      </c>
      <c r="D34" s="11" t="str">
        <v>Number of people trained (capacity sharing for development)</v>
      </c>
      <c r="E34" s="11" t="str">
        <v>Country: Nepal</v>
      </c>
      <c r="F34" s="11">
        <v>5</v>
      </c>
      <c r="G34" s="11">
        <v>30000</v>
      </c>
      <c r="I34" s="11" t="str">
        <v>estimated staff costs, operational costs and partners engagement</v>
      </c>
    </row>
    <row r="35" ht="50" customHeight="1">
      <c r="A35" s="11" t="str">
        <v>AOW01</v>
      </c>
      <c r="C35" s="11" t="str">
        <v>Pigs - Uganda: Evidence of adoption and impacts of a piloted pig herd-health innovation package (comprising messaging on pig herd-health as well as use of models farms to demonstrate practices) and recommendations for scaling: report</v>
      </c>
      <c r="D35" s="11" t="str">
        <v>Number of knowledge products</v>
      </c>
      <c r="E35" s="11" t="str">
        <v>Country: Uganda</v>
      </c>
      <c r="F35" s="11">
        <v>1</v>
      </c>
      <c r="G35" s="11">
        <v>30000</v>
      </c>
      <c r="I35" s="11" t="str">
        <v>estimated staff costs, operational costs and partners engagement</v>
      </c>
    </row>
    <row r="36" ht="50" customHeight="1">
      <c r="A36" s="11" t="str">
        <v>AOW01</v>
      </c>
      <c r="C36" s="11" t="str">
        <v>Chicken - Tanzania: Assessment of chicken flock health issues and inform flock health package/intervention: database on chicken health</v>
      </c>
      <c r="D36" s="11" t="str">
        <v>Number of knowledge products</v>
      </c>
      <c r="E36" s="11" t="str">
        <v>Country: Tanzania, United Republic</v>
      </c>
      <c r="F36" s="11">
        <v>1</v>
      </c>
      <c r="G36" s="11">
        <v>95508</v>
      </c>
      <c r="I36" s="11" t="str">
        <v>estimated staff costs, operational costs and partners engagement</v>
      </c>
    </row>
    <row r="37" ht="50" customHeight="1">
      <c r="A37" s="11" t="str">
        <v>AOW01</v>
      </c>
      <c r="C37" s="11" t="str">
        <v xml:space="preserve">Beef Cattle and Pigs - Vietnam: Scaling the herd health package, via capacity building of animal health workers, to an additional commune with Son La province  </v>
      </c>
      <c r="D37" s="11" t="str">
        <v>Number of people trained (capacity sharing for development)</v>
      </c>
      <c r="E37" s="11" t="str">
        <v>Country: The Socialist Republic of Viet Nam</v>
      </c>
      <c r="F37" s="11">
        <v>20</v>
      </c>
      <c r="G37" s="11">
        <v>50000</v>
      </c>
      <c r="I37" s="11" t="str">
        <v>estimated staff costs, operational costs and partners engagement</v>
      </c>
    </row>
    <row r="38" ht="50" customHeight="1">
      <c r="A38" s="11" t="str">
        <v>AOW01</v>
      </c>
      <c r="C38" s="11" t="str">
        <v>Small Ruminants - Mali: Policy brief on improved delivery of peste des petits ruminant thermotolerant vaccine</v>
      </c>
      <c r="D38" s="11" t="str">
        <v>Number of knowledge products</v>
      </c>
      <c r="E38" s="11" t="str">
        <v>Country: Mali</v>
      </c>
      <c r="F38" s="11">
        <v>1</v>
      </c>
      <c r="G38" s="11">
        <v>75000</v>
      </c>
      <c r="I38" s="11" t="str">
        <v>estimated staff costs and operational costs</v>
      </c>
    </row>
    <row r="39" ht="50" customHeight="1">
      <c r="A39" s="11" t="str">
        <v>AOW01</v>
      </c>
      <c r="C39" s="11" t="str">
        <v xml:space="preserve">Small Ruminants - Mali: Context specific delivery model for herd health packages with digital monitoring </v>
      </c>
      <c r="D39" s="11" t="str">
        <v>Number of innovations (innovation development)</v>
      </c>
      <c r="E39" s="11" t="str">
        <v>Country: Mali</v>
      </c>
      <c r="F39" s="11">
        <v>1</v>
      </c>
      <c r="G39" s="11">
        <v>100000</v>
      </c>
      <c r="I39" s="11" t="str">
        <v>estimated staff costs, operational costs and partners engagement</v>
      </c>
    </row>
    <row r="40" ht="50" customHeight="1">
      <c r="A40" s="11" t="str">
        <v>AOW01</v>
      </c>
      <c r="C40" s="11" t="str">
        <v>Dairy Cattle - Kenya:   Emerging evidence on application of the business model for sustainable delivery of the herd health package</v>
      </c>
      <c r="D40" s="11" t="str">
        <v>Number of knowledge products</v>
      </c>
      <c r="E40" s="11" t="str">
        <v>Country: Kenya</v>
      </c>
      <c r="F40" s="11">
        <v>1</v>
      </c>
      <c r="G40" s="11">
        <v>50000</v>
      </c>
      <c r="I40" s="11" t="str">
        <v>estimated staff costs, operational costs and partners engagement</v>
      </c>
    </row>
    <row r="41" ht="50" customHeight="1">
      <c r="A41" s="11" t="str">
        <v>AOW01</v>
      </c>
      <c r="C41" s="11" t="str">
        <v>Dairy Cattle - Kenya: A business model for sustainable delivery of herd health package codesigned and deployed for testing in the dairy system</v>
      </c>
      <c r="D41" s="11" t="str">
        <v>Number of innovations (innovation development)</v>
      </c>
      <c r="E41" s="11" t="str">
        <v>Country: Kenya</v>
      </c>
      <c r="F41" s="11">
        <v>1</v>
      </c>
      <c r="G41" s="11">
        <v>48000</v>
      </c>
      <c r="I41" s="11" t="str">
        <v>estimated staff costs, operational costs and partners engagement</v>
      </c>
    </row>
    <row r="42" ht="50" customHeight="1">
      <c r="A42" s="11" t="str">
        <v>AOW01</v>
      </c>
      <c r="B42" s="11" t="str">
        <v>HLO 1.5  - Inclusive approaches, tools and capacity sharing to support animal and aquatic food producers to adopt combinations of innovations</v>
      </c>
      <c r="C42" s="11" t="str">
        <v>Dairy Buffalo - Nepal: Protocol /strategy for mandatory inclusion of women and youth in dairy value chain activities including recommendations for capacity building</v>
      </c>
      <c r="D42" s="11" t="str">
        <v>Number of knowledge products</v>
      </c>
      <c r="E42" s="11" t="str">
        <v>Country: Nepal</v>
      </c>
      <c r="F42" s="11">
        <v>1</v>
      </c>
      <c r="G42" s="11">
        <v>65351</v>
      </c>
      <c r="H42" s="11">
        <f>SUM(G42:G51)</f>
      </c>
      <c r="I42" s="11" t="str">
        <v>estimated staff costs, operational costs and partners engagement</v>
      </c>
    </row>
    <row r="43" ht="50" customHeight="1">
      <c r="A43" s="11" t="str">
        <v>AOW01</v>
      </c>
      <c r="C43" s="11" t="str">
        <v>Beef Cattle and Pigs - Vietnam: Development of market sytem approach on bundling service delivery, advisory support, and output market facilitation,  through entreprenurial orientation of technical local agents</v>
      </c>
      <c r="D43" s="11" t="str">
        <v>Number of innovations (innovation development)</v>
      </c>
      <c r="E43" s="11" t="str">
        <v>Country: The Socialist Republic of Viet Nam</v>
      </c>
      <c r="F43" s="11">
        <v>1</v>
      </c>
      <c r="G43" s="11">
        <v>60134</v>
      </c>
      <c r="I43" s="11" t="str">
        <v>estimated staff costs and operational costs</v>
      </c>
    </row>
    <row r="44" ht="50" customHeight="1">
      <c r="A44" s="11" t="str">
        <v>AOW01</v>
      </c>
      <c r="C44" s="11" t="str">
        <v>Beef Cattle and Pigs - Vietnam: Pilot test of the beef-cattle weigh band with smallholder cattle keepers and other actors</v>
      </c>
      <c r="D44" s="11" t="str">
        <v xml:space="preserve"> evidence of pilot initiated</v>
      </c>
      <c r="E44" s="11" t="str">
        <v>Country: The Socialist Republic of Viet Nam</v>
      </c>
      <c r="F44" s="11">
        <v>1</v>
      </c>
      <c r="G44" s="11">
        <v>30000</v>
      </c>
      <c r="I44" s="11" t="str">
        <v>estimated staff costs, operational costs and partners engagement</v>
      </c>
    </row>
    <row r="45" ht="50" customHeight="1">
      <c r="A45" s="11" t="str">
        <v>AOW01</v>
      </c>
      <c r="C45" s="11" t="str">
        <v>Pigs - Uganda: Pilot testing of a mobile phone application designed to determine the profit (or loss) of household smallhold pig enterprises</v>
      </c>
      <c r="D45" s="11" t="str">
        <v>Number of innovations (innovation development)</v>
      </c>
      <c r="E45" s="11" t="str">
        <v>Country: Uganda</v>
      </c>
      <c r="F45" s="11">
        <v>1</v>
      </c>
      <c r="G45" s="11">
        <v>45351</v>
      </c>
      <c r="I45" s="11" t="str">
        <v>estimated staff costs, operational costs and partners engagement</v>
      </c>
    </row>
    <row r="46" ht="50" customHeight="1">
      <c r="A46" s="11" t="str">
        <v>AOW01</v>
      </c>
      <c r="C46" s="11" t="str">
        <v>Pigs - Uganda: Pilot testing of the entrepreneurship ecosystem approach for  pork market actors in Uganda</v>
      </c>
      <c r="D46" s="11" t="str">
        <v xml:space="preserve"> evidence of pilot initiated</v>
      </c>
      <c r="E46" s="11" t="str">
        <v>Country: Uganda</v>
      </c>
      <c r="F46" s="11">
        <v>1</v>
      </c>
      <c r="G46" s="11">
        <v>87134</v>
      </c>
      <c r="I46" s="11" t="str">
        <v>estimated staff costs, operational costs and USD 27,000 for partners</v>
      </c>
    </row>
    <row r="47" ht="50" customHeight="1">
      <c r="A47" s="11" t="str">
        <v>AOW01</v>
      </c>
      <c r="C47" s="11" t="str">
        <v>Chicken - Tanzania: Enhance the promotion of digital services by training farmers and service providers on the Kuza platform.</v>
      </c>
      <c r="D47" s="11" t="str">
        <v>Number of people trained (capacity sharing for development)</v>
      </c>
      <c r="E47" s="11" t="str">
        <v>Country: Tanzania, United Republic</v>
      </c>
      <c r="F47" s="11">
        <v>40</v>
      </c>
      <c r="G47" s="11">
        <v>25000</v>
      </c>
      <c r="I47" s="11" t="str">
        <v>estimated staff costs, operational costs and partners engagement</v>
      </c>
    </row>
    <row r="48" ht="50" customHeight="1">
      <c r="A48" s="11" t="str">
        <v>AOW01</v>
      </c>
      <c r="C48" s="11" t="str">
        <v>Chicken - Tanzania: Development of a business model for delivery of improved Horasi chicken</v>
      </c>
      <c r="D48" s="11" t="str">
        <v>Number of innovations (innovation development)</v>
      </c>
      <c r="E48" s="11" t="str">
        <v>Country: Tanzania, United Republic</v>
      </c>
      <c r="F48" s="11">
        <v>1</v>
      </c>
      <c r="G48" s="11">
        <v>15000</v>
      </c>
      <c r="I48" s="11" t="str">
        <v>estimated staff costs, operational costs and partners engagement</v>
      </c>
    </row>
    <row r="49" ht="50" customHeight="1">
      <c r="A49" s="11" t="str">
        <v>AOW01</v>
      </c>
      <c r="C49" s="11" t="str">
        <v xml:space="preserve">Chicken - Tanzania: Capacity building smallholder farmers on nutritious poultry meat and egg consumption </v>
      </c>
      <c r="D49" s="11" t="str">
        <v>Number of people trained (capacity sharing for development)</v>
      </c>
      <c r="E49" s="11" t="str">
        <v>Country: Tanzania, United Republic</v>
      </c>
      <c r="F49" s="11">
        <v>50</v>
      </c>
      <c r="G49" s="11">
        <v>15000</v>
      </c>
      <c r="I49" s="11" t="str">
        <v>estimated staff costs, operational costs and partners engagement</v>
      </c>
    </row>
    <row r="50" ht="50" customHeight="1">
      <c r="A50" s="11" t="str">
        <v>AOW01</v>
      </c>
      <c r="C50" s="11" t="str">
        <v>Beef Cattle and Pigs - Vietnam: Development of a social behaviour communication change (SBCC)  package on best practices in livestock productivity aimed at smallholder cattle and pig keepers: web-platform with farmer friendly messaging including local-language videos: development of tool to level of minimal viable product for deployment</v>
      </c>
      <c r="D50" s="11" t="str">
        <v>Number of innovations (innovation development)</v>
      </c>
      <c r="E50" s="11" t="str">
        <v>Country: The Socialist Republic of Viet Nam</v>
      </c>
      <c r="F50" s="11">
        <v>1</v>
      </c>
      <c r="G50" s="11">
        <v>30351</v>
      </c>
      <c r="I50" s="11" t="str">
        <v>estimated staff costs, operational costs and partners engagement</v>
      </c>
    </row>
    <row r="51" ht="50" customHeight="1">
      <c r="A51" s="11" t="str">
        <v>AOW01</v>
      </c>
      <c r="C51" s="11" t="str">
        <v>Small Ruminants - Mali: Testing of a package that promotes farmer adoption of varied productivity enhancing technologies, supported by a market ecosystem approach, for small ruminants: baseline survey</v>
      </c>
      <c r="D51" s="11" t="str">
        <v>Number of knowledge products</v>
      </c>
      <c r="E51" s="11" t="str">
        <v>Country: Mali</v>
      </c>
      <c r="F51" s="11">
        <v>1</v>
      </c>
      <c r="G51" s="11">
        <v>77134</v>
      </c>
      <c r="I51" s="11" t="str">
        <v>estimated staff costs and operational costs</v>
      </c>
    </row>
    <row r="52" ht="25" customHeight="1">
      <c r="B52" s="14" t="str">
        <v>HLO budget subtotal</v>
      </c>
      <c r="H52" s="15">
        <f>SUM(H3:H51)</f>
      </c>
    </row>
    <row r="53" ht="50" customHeight="1">
      <c r="A53" s="13" t="str">
        <v>AOW02</v>
      </c>
      <c r="B53" s="11" t="str">
        <v xml:space="preserve">HLO 2.1 - Evidence of the benefits and impacts on climate and the environment </v>
      </c>
      <c r="C53" s="11" t="str">
        <v>Pigs - Uganda: Evidence on current manure management practices for targeting of farms for capactiy sharing</v>
      </c>
      <c r="D53" s="11" t="str">
        <v>Number of knowledge products</v>
      </c>
      <c r="E53" s="11" t="str">
        <v>Country: Uganda</v>
      </c>
      <c r="F53" s="11">
        <v>1</v>
      </c>
      <c r="G53" s="11">
        <v>25000</v>
      </c>
      <c r="H53" s="11">
        <f>SUM(G53:G55)</f>
      </c>
      <c r="I53" s="11" t="str">
        <v>Estimated staff and operational costs</v>
      </c>
    </row>
    <row r="54" ht="50" customHeight="1">
      <c r="A54" s="11" t="str">
        <v>AOW02</v>
      </c>
      <c r="C54" s="11" t="str">
        <v>Dairy Cattle - Kenya: Evidence on economic–environmental–equity trade-offs of interventions in the Kenyan dairy cattle value chain</v>
      </c>
      <c r="D54" s="11" t="str">
        <v>Number of knowledge products</v>
      </c>
      <c r="E54" s="11" t="str">
        <v>Country: Kenya</v>
      </c>
      <c r="F54" s="11">
        <v>1</v>
      </c>
      <c r="G54" s="11">
        <v>30000</v>
      </c>
      <c r="I54" s="11" t="str">
        <v>Estimated staff and operational costs</v>
      </c>
    </row>
    <row r="55" ht="50" customHeight="1">
      <c r="A55" s="11" t="str">
        <v>AOW02</v>
      </c>
      <c r="C55" s="11" t="str">
        <v>Dairy Cattle - Kenya: Biodiverse pasture management with adaptation pioneer households and families (Pioneer Positive Deviance): assessing the role of social learning on biodiverse pastures for improved productivity and climate resilience.</v>
      </c>
      <c r="D55" s="11" t="str">
        <v>Number of innovations (innovation development)</v>
      </c>
      <c r="E55" s="11" t="str">
        <v>Country: Kenya</v>
      </c>
      <c r="F55" s="11">
        <v>1</v>
      </c>
      <c r="G55" s="11">
        <v>85749</v>
      </c>
      <c r="I55" s="11" t="str">
        <v>Estimated staff and operational costs</v>
      </c>
    </row>
    <row r="56" ht="50" customHeight="1">
      <c r="A56" s="11" t="str">
        <v>AOW02</v>
      </c>
      <c r="B56" s="11" t="str">
        <v>HLO 2.2- Climate-adapted innovations for efficient use and restoration of water, soil, and land resources, enhanced livelihoods, and reduced climate impacts</v>
      </c>
      <c r="C56" s="11" t="str">
        <v>Livestock Health &amp; Resilience - East Africa: Decision-support product highlighting spatial hotspots and investment priorities for climate adaptation in livestock systems.</v>
      </c>
      <c r="D56" s="11" t="str">
        <v>Number of knowledge products</v>
      </c>
      <c r="E56" s="11" t="str">
        <v>Regional: Eastern Africa</v>
      </c>
      <c r="F56" s="11">
        <v>1</v>
      </c>
      <c r="G56" s="11">
        <v>80000</v>
      </c>
      <c r="H56" s="11">
        <f>SUM(G56:G57)</f>
      </c>
      <c r="I56" s="11" t="str">
        <v>Estimated staff and operational costs</v>
      </c>
    </row>
    <row r="57" ht="50" customHeight="1">
      <c r="A57" s="11" t="str">
        <v>AOW02</v>
      </c>
      <c r="C57" s="11" t="str">
        <v>Pigs - Uganda: On-farm validation of improved pig manure management practices to reduce pathogens and nutrient losses</v>
      </c>
      <c r="D57" s="11" t="str">
        <v>Number of knowledge products</v>
      </c>
      <c r="E57" s="11" t="str">
        <v>Country: Uganda</v>
      </c>
      <c r="F57" s="11">
        <v>1</v>
      </c>
      <c r="G57" s="11">
        <v>25000</v>
      </c>
      <c r="I57" s="11" t="str">
        <v>Estimated staff and operational costs</v>
      </c>
    </row>
    <row r="58" ht="25" customHeight="1">
      <c r="B58" s="15" t="str">
        <v>HLO budget subtotal</v>
      </c>
      <c r="H58" s="15">
        <f>SUM(H53:H57)</f>
      </c>
    </row>
    <row r="59" ht="50" customHeight="1">
      <c r="A59" s="13" t="str">
        <v>AOW03</v>
      </c>
      <c r="B59" s="11" t="str">
        <v>HLO 3.1 - Targeted innovations and incentives to reduce zoonotic diseases</v>
      </c>
      <c r="C59" s="11" t="str">
        <v xml:space="preserve">Vietnam One Health Lab: Co-designed communication and training materials to improve biosecurity in wild meat value chain </v>
      </c>
      <c r="D59" s="11" t="str">
        <v>Number of knowledge products</v>
      </c>
      <c r="E59" s="11" t="str">
        <v>Country: The Socialist Republic of Viet Nam</v>
      </c>
      <c r="F59" s="11">
        <v>1</v>
      </c>
      <c r="G59" s="11">
        <v>10000</v>
      </c>
      <c r="H59" s="11">
        <f>SUM(G59:G63)</f>
      </c>
      <c r="I59" s="11" t="str">
        <v>Estimated staff and operational costs</v>
      </c>
    </row>
    <row r="60" ht="50" customHeight="1">
      <c r="A60" s="11" t="str">
        <v>AOW03</v>
      </c>
      <c r="C60" s="11" t="str">
        <v xml:space="preserve">Pigs - Uganda: A new surveillance tool for use at slaughter node and for empowering meat inspectors to collect data on zoonotic, foodborne and production limiting disease and animal welfare indicators. This will improve the collection and analysis of data to support intervention design and analysis. </v>
      </c>
      <c r="D60" s="11" t="str">
        <v>Number of innovations (innovation development)</v>
      </c>
      <c r="E60" s="11" t="str">
        <v>Country: Uganda</v>
      </c>
      <c r="F60" s="11">
        <v>1</v>
      </c>
      <c r="G60" s="11">
        <v>156583</v>
      </c>
      <c r="I60" s="11" t="str">
        <v>Estimated staff and operational costs</v>
      </c>
    </row>
    <row r="61" ht="50" customHeight="1">
      <c r="A61" s="11" t="str">
        <v>AOW03</v>
      </c>
      <c r="C61" s="11" t="str">
        <v xml:space="preserve">Pigs - Uganda: Feasibility and acceptability framework for an integrated human-pig intervention for T. solium control co-created with stakeholders. This will ensure that the intervention monitors indicators of specific relevance to value chain and policy actors so that specific policy recommendations on zoonotic disease control can be made. </v>
      </c>
      <c r="D61" s="11" t="str">
        <v>Number of innovations (innovation development)</v>
      </c>
      <c r="E61" s="11" t="str">
        <v>Country: Uganda</v>
      </c>
      <c r="F61" s="11">
        <v>1</v>
      </c>
      <c r="G61" s="11">
        <v>156583</v>
      </c>
      <c r="I61" s="11" t="str">
        <v>Estimated staff and operational costs</v>
      </c>
    </row>
    <row r="62" ht="50" customHeight="1">
      <c r="A62" s="11" t="str">
        <v>AOW03</v>
      </c>
      <c r="C62" s="11" t="str">
        <v>Pigs - Uganda: Evidence for the relative burden of  priority zoonotic and production limiting diseases documented in a scoping review supported by expert elicitation</v>
      </c>
      <c r="D62" s="11" t="str">
        <v>Number of knowledge products</v>
      </c>
      <c r="E62" s="11" t="str">
        <v>Country: Uganda</v>
      </c>
      <c r="F62" s="11">
        <v>1</v>
      </c>
      <c r="G62" s="11">
        <v>50000</v>
      </c>
      <c r="I62" s="11" t="str">
        <v>Estimated staff and operational costs</v>
      </c>
    </row>
    <row r="63" ht="50" customHeight="1">
      <c r="A63" s="11" t="str">
        <v>AOW03</v>
      </c>
      <c r="C63" s="11" t="str">
        <v>Pigs - Uganda: Evidence for the current burden of  disease in Uganda pig value chains modelled and documented in a report</v>
      </c>
      <c r="D63" s="11" t="str">
        <v>Number of knowledge products</v>
      </c>
      <c r="E63" s="11" t="str">
        <v>Country: Uganda</v>
      </c>
      <c r="F63" s="11">
        <v>1</v>
      </c>
      <c r="G63" s="11">
        <v>50000</v>
      </c>
      <c r="I63" s="11" t="str">
        <v>Estimated staff and operational costs</v>
      </c>
    </row>
    <row r="64" ht="50" customHeight="1">
      <c r="A64" s="11" t="str">
        <v>AOW03</v>
      </c>
      <c r="B64" s="11" t="str">
        <v xml:space="preserve">HLO 3.2 - Target innovations and incentives to improve food safety in informal markets and better nutrition </v>
      </c>
      <c r="C64" s="11" t="str">
        <v>From abattoirs to consumers: Stakeholder engagement related to the decontamination of meat</v>
      </c>
      <c r="D64" s="11" t="str">
        <v xml:space="preserve"> Number of engagements</v>
      </c>
      <c r="E64" s="11" t="str">
        <v>Country: Kenya</v>
      </c>
      <c r="F64" s="11">
        <v>1</v>
      </c>
      <c r="G64" s="11">
        <v>50000</v>
      </c>
      <c r="H64" s="11">
        <f>SUM(G64:G68)</f>
      </c>
      <c r="I64" s="11" t="str">
        <v>Estimated staff and operational costs</v>
      </c>
    </row>
    <row r="65" ht="50" customHeight="1">
      <c r="A65" s="11" t="str">
        <v>AOW03</v>
      </c>
      <c r="C65" s="11" t="str">
        <v>Beef Cattle and Pigs - Vietnam: Adapted approach to improve food safety in tradtional markets using  low-cost intervention and capacity building for food actors (pork and beef)</v>
      </c>
      <c r="D65" s="11" t="str">
        <v>Number of innovations (innovation development)</v>
      </c>
      <c r="E65" s="11" t="str">
        <v>Country: The Socialist Republic of Viet Nam</v>
      </c>
      <c r="F65" s="11">
        <v>1</v>
      </c>
      <c r="G65" s="11">
        <v>40000</v>
      </c>
      <c r="I65" s="11" t="str">
        <v>Estimated staff and operational costs</v>
      </c>
    </row>
    <row r="66" ht="50" customHeight="1">
      <c r="A66" s="11" t="str">
        <v>AOW03</v>
      </c>
      <c r="C66" s="11" t="str">
        <v>Vietnam One Health Lab: Report of  meetings and workshop with local authorities and food actors and national partners (Vietnam One Health Partnership and Food safety technical working group, engagement)  to support food safety research, intervention and communication.</v>
      </c>
      <c r="D66" s="11" t="str">
        <v>Number of knowledge products</v>
      </c>
      <c r="E66" s="11" t="str">
        <v>Country: The Socialist Republic of Viet Nam</v>
      </c>
      <c r="F66" s="11">
        <v>1</v>
      </c>
      <c r="G66" s="11">
        <v>50000</v>
      </c>
      <c r="I66" s="11" t="str">
        <v>Estimated staff and operational costs</v>
      </c>
    </row>
    <row r="67" ht="50" customHeight="1">
      <c r="A67" s="11" t="str">
        <v>AOW03</v>
      </c>
      <c r="C67" s="11" t="str">
        <v>Vietnam One Health Lab: Capacity building on the food safety hygience package</v>
      </c>
      <c r="D67" s="11" t="str">
        <v>Number of people trained (capacity sharing for development)</v>
      </c>
      <c r="E67" s="11" t="str">
        <v>Country: The Socialist Republic of Viet Nam</v>
      </c>
      <c r="F67" s="11">
        <v>80</v>
      </c>
      <c r="G67" s="11">
        <v>30000</v>
      </c>
      <c r="I67" s="11" t="str">
        <v>Estimated staff and operational costs</v>
      </c>
    </row>
    <row r="68" ht="50" customHeight="1">
      <c r="A68" s="11" t="str">
        <v>AOW03</v>
      </c>
      <c r="C68" s="11" t="str">
        <v>Vietnam One Health Lab: Tested decontamination technologies to reduce microbial contamination in slaughterhouse and markets</v>
      </c>
      <c r="D68" s="11" t="str">
        <v>Number of innovations (innovation development)</v>
      </c>
      <c r="E68" s="11" t="str">
        <v>Country: The Socialist Republic of Viet Nam</v>
      </c>
      <c r="F68" s="11">
        <v>1</v>
      </c>
      <c r="G68" s="11">
        <v>146184</v>
      </c>
      <c r="I68" s="11" t="str">
        <v>Estimated staff and operational costs</v>
      </c>
    </row>
    <row r="69" ht="50" customHeight="1" xml:space="preserve">
      <c r="A69" s="11" t="str">
        <v>AOW03</v>
      </c>
      <c r="B69" s="11" t="str">
        <v xml:space="preserve">HLO 3.3 - Targeted innovations and incentives to reduce antimicrobial use and mitigate antimicrobial risks </v>
      </c>
      <c r="C69" s="11" t="str" xml:space="preserve">
        <v xml:space="preserve">CRITICAL CAPABILITY - ILRI Genomics platform. Use of the platform for various services by CG centers (other than ILRI) and non-CG partners.
</v>
      </c>
      <c r="D69" s="11" t="str">
        <v xml:space="preserve"> Critical capabilities- the unit cost of the various tests varies widely and progress toward KPI will be done using budget use</v>
      </c>
      <c r="E69" s="11" t="str">
        <v>Country: Kenya</v>
      </c>
      <c r="F69" s="11">
        <v>5</v>
      </c>
      <c r="G69" s="11">
        <v>162852</v>
      </c>
      <c r="H69" s="11">
        <f>SUM(G69:G72)</f>
      </c>
      <c r="I69" s="11" t="str">
        <v>approved budget</v>
      </c>
    </row>
    <row r="70" ht="50" customHeight="1">
      <c r="A70" s="11" t="str">
        <v>AOW03</v>
      </c>
      <c r="C70" s="11" t="str">
        <v>CRITICAL CAPABILITY - Antimicrobial resistance (AMR) laboratory: standardized ISO-compliant bacterial isolation, rapid and accurate pathogen identification using MALDI-TOF MS, and quality-controlled antimicrobial susceptibility testing (AST)</v>
      </c>
      <c r="D70" s="11" t="str">
        <v xml:space="preserve"> Critical capabilities </v>
      </c>
      <c r="E70" s="11" t="str">
        <v>Country: Kenya</v>
      </c>
      <c r="F70" s="11">
        <v>5000</v>
      </c>
      <c r="G70" s="11">
        <v>125000</v>
      </c>
      <c r="I70" s="11" t="str">
        <v>approved budget</v>
      </c>
    </row>
    <row r="71" ht="50" customHeight="1">
      <c r="A71" s="11" t="str">
        <v>AOW03</v>
      </c>
      <c r="C71" s="11" t="str">
        <v>Pigs - Uganda: Analysis of vaccine delivery and last-mile practices, and longitudinal assessment of antimicrobial use in pig farms to identify governance gaps, behavioural drivers, and stewardship entry points for improved animal health service delivery and antimicrobial resistance mitigation</v>
      </c>
      <c r="D71" s="11" t="str">
        <v>Number of knowledge products</v>
      </c>
      <c r="E71" s="11" t="str">
        <v>Country: Uganda</v>
      </c>
      <c r="F71" s="11">
        <v>1</v>
      </c>
      <c r="G71" s="11">
        <v>162032</v>
      </c>
      <c r="I71" s="11" t="str">
        <v>Estimated staff and operational costs</v>
      </c>
    </row>
    <row r="72" ht="50" customHeight="1">
      <c r="A72" s="11" t="str">
        <v>AOW03</v>
      </c>
      <c r="C72" s="11" t="str">
        <v>Dairy Cattle - Kenya: Evidence on mastitis, pathogen distribution and antimicrobial resistance in smallholder dairy farms to inform national dairy health strategies, antimicrobial stewardship, and improved milk quality and productivity</v>
      </c>
      <c r="D72" s="11" t="str">
        <v>Number of knowledge products</v>
      </c>
      <c r="E72" s="11" t="str">
        <v>Country: Kenya</v>
      </c>
      <c r="F72" s="11">
        <v>1</v>
      </c>
      <c r="G72" s="11">
        <v>77108</v>
      </c>
      <c r="I72" s="11" t="str">
        <v>Estimated staff and operational costs</v>
      </c>
    </row>
    <row r="73" ht="50" customHeight="1">
      <c r="A73" s="11" t="str">
        <v>AOW03</v>
      </c>
      <c r="B73" s="11" t="str">
        <v>HLO 3.4 - Optimized One Health service delivery model​</v>
      </c>
      <c r="C73" s="11" t="str">
        <v>Livestock Health &amp; Resilience - East Africa:  Develop a One Health dashboard to strengthen data-driven decision making through real-time monitoring of service performance across target sites</v>
      </c>
      <c r="D73" s="11" t="str">
        <v>Number of knowledge products</v>
      </c>
      <c r="E73" s="11" t="str">
        <v>Country: Ethiopia, Kenya</v>
      </c>
      <c r="F73" s="11">
        <v>1</v>
      </c>
      <c r="G73" s="11">
        <v>5000</v>
      </c>
      <c r="H73" s="11">
        <f>SUM(G73:G75)</f>
      </c>
      <c r="I73" s="11" t="str">
        <v>Estimated staff and operational costs</v>
      </c>
    </row>
    <row r="74" ht="50" customHeight="1">
      <c r="A74" s="11" t="str">
        <v>AOW03</v>
      </c>
      <c r="C74" s="11" t="str">
        <v>Livestock Health &amp; Resilience - East Africa:  Conduct microcosting and willingness-to-pay studies in at least 2 sites to quantify unit costs and community demand for integrated services, informing cost–benefit analysis, resource allocation, and sustainable financing mechanisms for scale-up</v>
      </c>
      <c r="D74" s="11" t="str">
        <v>Number of knowledge products</v>
      </c>
      <c r="E74" s="11" t="str">
        <v>Country: Kenya, Ethiopia</v>
      </c>
      <c r="F74" s="11">
        <v>1</v>
      </c>
      <c r="G74" s="11">
        <v>80000</v>
      </c>
      <c r="I74" s="11" t="str">
        <v>Estimated staff and operational costs</v>
      </c>
    </row>
    <row r="75" ht="50" customHeight="1">
      <c r="A75" s="11" t="str">
        <v>AOW03</v>
      </c>
      <c r="C75" s="11" t="str">
        <v>Livestock Health &amp; Resilience - East Africa: Capacity building for frontline service providers and community-based actors through targeted training on One Health; gender and cultural competence; Standard Operating Procedure implementation for One Health Units; and/or community facilitation skills</v>
      </c>
      <c r="D75" s="11" t="str">
        <v>Number of people trained (capacity sharing for development)</v>
      </c>
      <c r="E75" s="11" t="str">
        <v>Country: Kenya, Ethiopia</v>
      </c>
      <c r="F75" s="11">
        <v>100</v>
      </c>
      <c r="G75" s="11">
        <v>23791</v>
      </c>
      <c r="I75" s="11" t="str">
        <v>Estimated staff and operational costs</v>
      </c>
    </row>
    <row r="76" ht="25" customHeight="1">
      <c r="B76" s="15" t="str">
        <v>HLO budget subtotal</v>
      </c>
      <c r="H76" s="15">
        <f>SUM(H59:H75)</f>
      </c>
    </row>
    <row r="77" ht="50" customHeight="1">
      <c r="A77" s="13" t="str">
        <v>AOW04</v>
      </c>
      <c r="B77" s="11" t="str">
        <v>HLO 4.2 - Decision-support tools for efficient animal and aquatic food system</v>
      </c>
      <c r="C77" s="11" t="str">
        <v>Dairy Cattle - Kenya: Dairy profitability App with enhanced functionality deployed on App store</v>
      </c>
      <c r="D77" s="11" t="str">
        <v>Number of innovations (innovation development)</v>
      </c>
      <c r="E77" s="11" t="str">
        <v>Country: Kenya</v>
      </c>
      <c r="F77" s="11">
        <v>1</v>
      </c>
      <c r="G77" s="11">
        <v>10000</v>
      </c>
      <c r="H77" s="11">
        <f>SUM(G77:G77)</f>
      </c>
      <c r="I77" s="11" t="str">
        <v>Estimated staff and operational costs</v>
      </c>
    </row>
    <row r="78" ht="50" customHeight="1">
      <c r="A78" s="11" t="str">
        <v>AOW04</v>
      </c>
      <c r="B78" s="11" t="str">
        <v xml:space="preserve">HLO 4.3 - Institutional &amp; behavioral models for enhanced use of innovations and improved governance </v>
      </c>
      <c r="C78" s="11" t="str">
        <v>Beef Cattle and Pigs - Vietnam: Evidence on on-farm beef cattle fattening  by different breeds and feeding regimes for most profitable window for sale of beef cattle: report</v>
      </c>
      <c r="D78" s="11" t="str">
        <v>Number of knowledge products</v>
      </c>
      <c r="E78" s="11" t="str">
        <v>Country: The Socialist Republic of Viet Nam</v>
      </c>
      <c r="F78" s="11">
        <v>1</v>
      </c>
      <c r="G78" s="11">
        <v>20000</v>
      </c>
      <c r="H78" s="11">
        <f>SUM(G78:G82)</f>
      </c>
      <c r="I78" s="11" t="str">
        <v>Estimated staff and operational costs</v>
      </c>
    </row>
    <row r="79" ht="50" customHeight="1">
      <c r="A79" s="11" t="str">
        <v>AOW04</v>
      </c>
      <c r="C79" s="11" t="str">
        <v>Pigs - Uganda: Pilot testing of the entrepreneurship ecosystem approach for  pork market actors in Uganda</v>
      </c>
      <c r="D79" s="11" t="str">
        <v xml:space="preserve"> evidence of pilot  initiated</v>
      </c>
      <c r="E79" s="11" t="str">
        <v>Country: Uganda</v>
      </c>
      <c r="F79" s="11">
        <v>1</v>
      </c>
      <c r="G79" s="11">
        <v>50000</v>
      </c>
      <c r="I79" s="11" t="str">
        <v>Estimated staff and operational costs</v>
      </c>
    </row>
    <row r="80" ht="50" customHeight="1">
      <c r="A80" s="11" t="str">
        <v>AOW04</v>
      </c>
      <c r="C80" s="11" t="str">
        <v>Pigs - Uganda: Emerging impact of a pig price incentive and extension education on farmers uptake of appropriate practices - Knowledge product</v>
      </c>
      <c r="D80" s="11" t="str">
        <v>Number of knowledge products</v>
      </c>
      <c r="E80" s="11" t="str">
        <v>Country: Uganda</v>
      </c>
      <c r="F80" s="11">
        <v>1</v>
      </c>
      <c r="G80" s="11">
        <v>55000</v>
      </c>
      <c r="I80" s="11" t="str">
        <v>Estimated staff and operational costs</v>
      </c>
    </row>
    <row r="81" ht="50" customHeight="1">
      <c r="A81" s="11" t="str">
        <v>AOW04</v>
      </c>
      <c r="C81" s="11" t="str">
        <v xml:space="preserve">Small Ruminants - Mali: Pilot testing the entrepreneurship ecosystem agency model among small ruminant market actors in Mali: pilot initiated </v>
      </c>
      <c r="D81" s="11" t="str">
        <v xml:space="preserve"> evidence of pilot initiated</v>
      </c>
      <c r="E81" s="11" t="str">
        <v>Country: Mali</v>
      </c>
      <c r="F81" s="11">
        <v>1</v>
      </c>
      <c r="G81" s="11">
        <v>150925</v>
      </c>
      <c r="I81" s="11" t="str">
        <v>Estimated staff and operational costs</v>
      </c>
    </row>
    <row r="82" ht="50" customHeight="1">
      <c r="A82" s="11" t="str">
        <v>AOW04</v>
      </c>
      <c r="C82" s="11" t="str">
        <v>Dairy Cattle - Kenya: Testing of different strategies to promote farmer adoption of optimal feeding strategies for dairy cattle in Kenya: trial design and initial implementation as evidenced by research approvals</v>
      </c>
      <c r="D82" s="11" t="str">
        <v>Number of knowledge products</v>
      </c>
      <c r="E82" s="11" t="str">
        <v>Country: Kenya</v>
      </c>
      <c r="F82" s="11">
        <v>1</v>
      </c>
      <c r="G82" s="11">
        <v>90000</v>
      </c>
      <c r="I82" s="11" t="str">
        <v>Estimated staff and operational costs</v>
      </c>
    </row>
    <row r="83" ht="50" customHeight="1">
      <c r="A83" s="11" t="str">
        <v>AOW04</v>
      </c>
      <c r="B83" s="11" t="str">
        <v xml:space="preserve">HLO 4.4 - Policy analysis and engagement processes for improved governance and effectiveness </v>
      </c>
      <c r="C83" s="11" t="str">
        <v>CRITICAL CAPABILITY - Livestock Master Plan Nigeria - technical support on implementation of livestock data management, genetics, feeds, gender inclusion, policy analysis and M&amp;E</v>
      </c>
      <c r="D83" s="11" t="str">
        <v xml:space="preserve"> Critical capabilities</v>
      </c>
      <c r="E83" s="11" t="str">
        <v>Country: Nigeria</v>
      </c>
      <c r="F83" s="11">
        <v>2</v>
      </c>
      <c r="G83" s="11">
        <v>200000</v>
      </c>
      <c r="H83" s="11">
        <f>SUM(G83:G83)</f>
      </c>
      <c r="I83" s="11" t="str">
        <v>approved budget</v>
      </c>
    </row>
    <row r="84" ht="50" customHeight="1">
      <c r="A84" s="11" t="str">
        <v>AOW04</v>
      </c>
      <c r="B84" s="11" t="str">
        <v>HLO 4.5 - Evidence-based pathways for scaling  contextualized innovation packages with high readiness and demand</v>
      </c>
      <c r="C84" s="11" t="str">
        <v>Beef Cattle and Pigs - Vietnam: Generate scientific evidence products that inform the development and implementation of the National Target Program and other livestock sector strategies, in support of scaling, policy influence and co-investment</v>
      </c>
      <c r="D84" s="11" t="str">
        <v>Number of knowledge products</v>
      </c>
      <c r="E84" s="11" t="str">
        <v>Country: The Socialist Republic of Viet Nam</v>
      </c>
      <c r="F84" s="11">
        <v>1</v>
      </c>
      <c r="G84" s="11">
        <v>125000</v>
      </c>
      <c r="H84" s="11">
        <f>SUM(G84:G86)</f>
      </c>
      <c r="I84" s="11" t="str">
        <v>Estimated staff and operational costs</v>
      </c>
    </row>
    <row r="85" ht="50" customHeight="1">
      <c r="A85" s="11" t="str">
        <v>AOW04</v>
      </c>
      <c r="C85" s="11" t="str">
        <v>Dairy Buffalo - Nepal: Pathways to scaling the village livestock promoter (VLP) model developed and promoted among government, cooperative and private market actors.</v>
      </c>
      <c r="D85" s="11" t="str">
        <v>Number of innovations (innovation development)</v>
      </c>
      <c r="E85" s="11" t="str">
        <v>Country: Nepal</v>
      </c>
      <c r="F85" s="11">
        <v>1</v>
      </c>
      <c r="G85" s="11">
        <v>72000</v>
      </c>
      <c r="I85" s="11" t="str">
        <v>Estimated staff and operational costs</v>
      </c>
    </row>
    <row r="86" ht="50" customHeight="1">
      <c r="A86" s="11" t="str">
        <v>AOW04</v>
      </c>
      <c r="C86" s="11" t="str">
        <v xml:space="preserve">Dairy Cattle - Kenya: Feed centre-embedded Dairy Farmer Advisor (DFAs) innovation optimized for scaling and promoted </v>
      </c>
      <c r="D86" s="11" t="str">
        <v>Number of innovations (innovation development)</v>
      </c>
      <c r="E86" s="11" t="str">
        <v>Country: Kenya</v>
      </c>
      <c r="F86" s="11">
        <v>1</v>
      </c>
      <c r="G86" s="11">
        <v>10000</v>
      </c>
      <c r="I86" s="11" t="str">
        <v>Estimated staff and operational costs</v>
      </c>
    </row>
    <row r="87" ht="25" customHeight="1">
      <c r="B87" s="15" t="str">
        <v>HLO budget subtotal</v>
      </c>
      <c r="H87" s="15">
        <f>SUM(H77:H86)</f>
      </c>
    </row>
    <row r="88" ht="50" customHeight="1">
      <c r="A88" s="13" t="str">
        <v>AOW05</v>
      </c>
      <c r="B88" s="11" t="str">
        <v>HLO 5.1 - Tools and datasets on gender and youth norms and dynamics</v>
      </c>
      <c r="C88" s="11" t="str">
        <v>GLOBAL: An improved tool to explore gender norms and assess changes</v>
      </c>
      <c r="D88" s="11" t="str">
        <v>Number of knowledge products</v>
      </c>
      <c r="E88" s="11" t="str">
        <v>Global</v>
      </c>
      <c r="F88" s="11">
        <v>1</v>
      </c>
      <c r="G88" s="11">
        <v>30000</v>
      </c>
      <c r="H88" s="11">
        <f>SUM(G88:G89)</f>
      </c>
      <c r="I88" s="11" t="str">
        <v>Estimated staff costs</v>
      </c>
    </row>
    <row r="89" ht="50" customHeight="1">
      <c r="A89" s="11" t="str">
        <v>AOW05</v>
      </c>
      <c r="C89" s="11" t="str">
        <v>Pigs - Uganda: Empowerment and norms datasets</v>
      </c>
      <c r="D89" s="11" t="str">
        <v>Number of knowledge products</v>
      </c>
      <c r="E89" s="11" t="str">
        <v>Country: Uganda</v>
      </c>
      <c r="F89" s="11">
        <v>1</v>
      </c>
      <c r="G89" s="11">
        <v>150000</v>
      </c>
      <c r="I89" s="11" t="str">
        <v>Estimated staff costs</v>
      </c>
    </row>
    <row r="90" ht="50" customHeight="1">
      <c r="A90" s="11" t="str">
        <v>AOW05</v>
      </c>
      <c r="B90" s="11" t="str">
        <v>HLO 5.2 - Tested interventions for women &amp; youth empowerment and  for equitable norms  and policies</v>
      </c>
      <c r="C90" s="11" t="str">
        <v>GLOBAL: A brief outlining an approach to integrating gender considerations in livestock policy</v>
      </c>
      <c r="D90" s="11" t="str">
        <v>Number of knowledge products</v>
      </c>
      <c r="E90" s="11" t="str">
        <v>Global</v>
      </c>
      <c r="F90" s="11">
        <v>1</v>
      </c>
      <c r="G90" s="11">
        <v>50836</v>
      </c>
      <c r="H90" s="11">
        <f>SUM(G90:G92)</f>
      </c>
      <c r="I90" s="11" t="str">
        <v>Estimated staff costs</v>
      </c>
    </row>
    <row r="91" ht="50" customHeight="1">
      <c r="A91" s="11" t="str">
        <v>AOW05</v>
      </c>
      <c r="C91" s="11" t="str">
        <v>Chicken - Tanzania: Development of enhancements to the Women in Chicken Business model: report on enhanced innovation</v>
      </c>
      <c r="D91" s="11" t="str">
        <v>Number of innovations (innovation development)</v>
      </c>
      <c r="E91" s="11" t="str">
        <v>Country: Tanzania, United Republic</v>
      </c>
      <c r="F91" s="11">
        <v>1</v>
      </c>
      <c r="G91" s="11">
        <v>130000</v>
      </c>
      <c r="I91" s="11" t="str">
        <v>Estimated staff costs</v>
      </c>
    </row>
    <row r="92" ht="50" customHeight="1">
      <c r="A92" s="11" t="str">
        <v>AOW05</v>
      </c>
      <c r="C92" s="11" t="str">
        <v xml:space="preserve">Dairy Cattle - Kenya: Interventions to address norms discouraging women from engaging in dairy business tested  </v>
      </c>
      <c r="D92" s="11" t="str">
        <v>Number of innovations (innovation development)</v>
      </c>
      <c r="E92" s="11" t="str">
        <v>Country: Kenya</v>
      </c>
      <c r="F92" s="11">
        <v>1</v>
      </c>
      <c r="G92" s="11">
        <v>30000</v>
      </c>
      <c r="I92" s="11" t="str">
        <v>Estimated staff costs</v>
      </c>
    </row>
    <row r="93" ht="50" customHeight="1">
      <c r="A93" s="11" t="str">
        <v>AOW05</v>
      </c>
      <c r="B93" s="11" t="str">
        <v xml:space="preserve">HLO 5.3 - Integrated packages of socio-institutional and technical interventions for equity </v>
      </c>
      <c r="C93" s="11" t="str">
        <v>Beef Cattle and Pigs - Vietnam: Development of a social behaviour communication change (SBCC)  package on best practices in livestock productivity aimed at smallholder cattle and pig keepers: web-platform with farmer friendly messaging including local-language videos: inclusion on gender transformative messaging in the tool</v>
      </c>
      <c r="D93" s="11" t="str">
        <v>Number of knowledge products</v>
      </c>
      <c r="E93" s="11" t="str">
        <v>Country: The Socialist Republic of Viet Nam</v>
      </c>
      <c r="F93" s="11">
        <v>1</v>
      </c>
      <c r="G93" s="11">
        <v>20000</v>
      </c>
      <c r="H93" s="11">
        <f>SUM(G93:G93)</f>
      </c>
      <c r="I93" s="11" t="str">
        <v>Estimated staff costs</v>
      </c>
    </row>
    <row r="94" ht="25" customHeight="1">
      <c r="B94" s="15" t="str">
        <v>HLO budget subtotal</v>
      </c>
      <c r="H94" s="15">
        <f>SUM(H88:H93)</f>
      </c>
    </row>
    <row r="95" ht="50" customHeight="1">
      <c r="A95" s="13" t="str">
        <v>AOW06</v>
      </c>
      <c r="B95" s="11" t="str">
        <v>HLO 6.2 - Co-develop and test exploratory digital solutions, AI-based analytics, and decision-support systems</v>
      </c>
      <c r="C95" s="11" t="str">
        <v>Livestock Health &amp; Resilience - East Africa: Digitally curated geospatial datasets and map layers on livestock vulnerability, exposure, and adaptive capacity for data-driven decision-making</v>
      </c>
      <c r="D95" s="11" t="str">
        <v>Number of knowledge products</v>
      </c>
      <c r="E95" s="11" t="str">
        <v>Regional: Eastern Africa</v>
      </c>
      <c r="F95" s="11">
        <v>1</v>
      </c>
      <c r="G95" s="11">
        <v>12283</v>
      </c>
      <c r="H95" s="11">
        <f>SUM(G95:G96)</f>
      </c>
      <c r="I95" s="11" t="str">
        <v>Estimated staff costs</v>
      </c>
    </row>
    <row r="96" ht="50" customHeight="1">
      <c r="A96" s="11" t="str">
        <v>AOW06</v>
      </c>
      <c r="C96" s="11" t="str">
        <v>Dairy Cattle - Kenya: a brief on spatial insights and investment priorities for enhancing resilience in Kenya’s smallholder dairy systems</v>
      </c>
      <c r="D96" s="11" t="str">
        <v>Number of knowledge products</v>
      </c>
      <c r="E96" s="11" t="str">
        <v>Country: Kenya</v>
      </c>
      <c r="F96" s="11">
        <v>1</v>
      </c>
      <c r="G96" s="11">
        <v>65000</v>
      </c>
      <c r="I96" s="11" t="str">
        <v>Estimated staff costs</v>
      </c>
    </row>
    <row r="97" ht="25" customHeight="1">
      <c r="B97" s="15" t="str">
        <v>HLO budget subtotal</v>
      </c>
      <c r="H97" s="15">
        <f>SUM(H95:H96)</f>
      </c>
    </row>
  </sheetData>
  <mergeCells count="47">
    <mergeCell ref="A1:A2"/>
    <mergeCell ref="B1:B2"/>
    <mergeCell ref="C1:G1"/>
    <mergeCell ref="H1:H2"/>
    <mergeCell ref="I1:I2"/>
    <mergeCell ref="B3:B17"/>
    <mergeCell ref="H3:H17"/>
    <mergeCell ref="B18:B31"/>
    <mergeCell ref="H18:H31"/>
    <mergeCell ref="B32:B41"/>
    <mergeCell ref="H32:H41"/>
    <mergeCell ref="B42:B51"/>
    <mergeCell ref="H42:H51"/>
    <mergeCell ref="B52:G52"/>
    <mergeCell ref="A3:A52"/>
    <mergeCell ref="B53:B55"/>
    <mergeCell ref="H53:H55"/>
    <mergeCell ref="B56:B57"/>
    <mergeCell ref="H56:H57"/>
    <mergeCell ref="B58:G58"/>
    <mergeCell ref="A53:A58"/>
    <mergeCell ref="B59:B63"/>
    <mergeCell ref="H59:H63"/>
    <mergeCell ref="B64:B68"/>
    <mergeCell ref="H64:H68"/>
    <mergeCell ref="B69:B72"/>
    <mergeCell ref="H69:H72"/>
    <mergeCell ref="B73:B75"/>
    <mergeCell ref="H73:H75"/>
    <mergeCell ref="B76:G76"/>
    <mergeCell ref="A59:A76"/>
    <mergeCell ref="B78:B82"/>
    <mergeCell ref="H78:H82"/>
    <mergeCell ref="B84:B86"/>
    <mergeCell ref="H84:H86"/>
    <mergeCell ref="B87:G87"/>
    <mergeCell ref="A77:A87"/>
    <mergeCell ref="B88:B89"/>
    <mergeCell ref="H88:H89"/>
    <mergeCell ref="B90:B92"/>
    <mergeCell ref="H90:H92"/>
    <mergeCell ref="B94:G94"/>
    <mergeCell ref="A88:A94"/>
    <mergeCell ref="B95:B96"/>
    <mergeCell ref="H95:H96"/>
    <mergeCell ref="B97:G97"/>
    <mergeCell ref="A95:A97"/>
  </mergeCells>
  <ignoredErrors>
    <ignoredError numberStoredAsText="1" sqref="A1:I97"/>
  </ignoredErrors>
</worksheet>
</file>

<file path=xl/worksheets/sheet4.xml><?xml version="1.0" encoding="utf-8"?>
<worksheet xmlns="http://schemas.openxmlformats.org/spreadsheetml/2006/main" xmlns:r="http://schemas.openxmlformats.org/officeDocument/2006/relationships">
  <dimension ref="A1:F25"/>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row r="2" ht="70" customHeight="1">
      <c r="A2" s="12" t="str">
        <v>AOW01</v>
      </c>
      <c r="B2" s="11" t="str">
        <v>All Across Africa</v>
      </c>
      <c r="C2" s="11" t="str">
        <v>HLO 1.2 - Cost-efficient animal and aquatic species feed and forage innovations and inclusive delivery models</v>
      </c>
      <c r="D2" s="11" t="str">
        <v>Uganda</v>
      </c>
      <c r="E2" s="11">
        <v>12000</v>
      </c>
      <c r="F2" s="11" t="str">
        <v>HLO1.2 Evidence of how an integrated package comprising creep feed diet and herd health impacts piglet performance based on various productivity indicators</v>
      </c>
    </row>
    <row r="3" ht="70" customHeight="1">
      <c r="A3" s="11" t="str">
        <v>AOW01</v>
      </c>
      <c r="B3" s="11" t="str">
        <v>Institut d'Economie Rurale</v>
      </c>
      <c r="C3" s="11" t="str">
        <v>HLO 1.2 - Cost-efficient animal and aquatic species feed and forage innovations and inclusive delivery models, HLO 1.5  - Inclusive approaches, tools and capacity sharing to support animal and aquatic food producers to adopt combinations of innovations, HLO 1.1 - Sustainable breeding and conservation programs and inclusive delivery models</v>
      </c>
      <c r="D3" s="11" t="str">
        <v>Mali</v>
      </c>
      <c r="E3" s="11">
        <v>10000</v>
      </c>
      <c r="F3" s="11" t="str">
        <v>HLO1.5 Testing of a package that promotes farmer adoption of varied productivity enhancing technologies, supported by a market ecosystem approach, for small ruminants: baseline survey</v>
      </c>
    </row>
    <row r="4" ht="70" customHeight="1">
      <c r="A4" s="11" t="str">
        <v>AOW01</v>
      </c>
      <c r="B4" s="11" t="str">
        <v>CowSense kenya Limited</v>
      </c>
      <c r="C4" s="11" t="str">
        <v>HLO 1.2 - Cost-efficient animal and aquatic species feed and forage innovations and inclusive delivery models</v>
      </c>
      <c r="D4" s="11" t="str">
        <v>Kenya</v>
      </c>
      <c r="E4" s="11">
        <v>15000</v>
      </c>
      <c r="F4" s="11" t="str">
        <v>HLO1.2 Locally based optimized feed rations for key dairy production cycles developed and validated</v>
      </c>
    </row>
    <row r="5" ht="70" customHeight="1">
      <c r="A5" s="11" t="str">
        <v>AOW01</v>
      </c>
      <c r="B5" s="11" t="str">
        <v>National Veterinary Services - Tanzania</v>
      </c>
      <c r="C5" s="11" t="str">
        <v>HLO 1.3 - Cost-efficient animal and aquatic species health and welfare innovations and inclusive delivery models</v>
      </c>
      <c r="D5" s="11" t="str">
        <v>Tanzania, United Republic</v>
      </c>
      <c r="E5" s="11">
        <v>10000</v>
      </c>
      <c r="F5" s="11" t="str">
        <v xml:space="preserve">HLO1.3 Assessment of chicken flock health issues and inform flock health package/intervention </v>
      </c>
    </row>
    <row r="6" ht="70" customHeight="1">
      <c r="A6" s="11" t="str">
        <v>AOW01</v>
      </c>
      <c r="B6" s="11" t="str">
        <v>Central Veterinary Laboratory in Mali/Laboratoire Centrale Veterinaire au Mali</v>
      </c>
      <c r="C6" s="11" t="str">
        <v>HLO 1.3 - Cost-efficient animal and aquatic species health and welfare innovations and inclusive delivery models</v>
      </c>
      <c r="D6" s="11" t="str">
        <v>Mali</v>
      </c>
      <c r="E6" s="11">
        <v>15000</v>
      </c>
      <c r="F6" s="11" t="str">
        <v>HLO1.3 Evidence based policy advocacy for the delivery of peste des petits ruminants vaccines (including thermostable vaccine)</v>
      </c>
    </row>
    <row r="7" ht="70" customHeight="1">
      <c r="A7" s="11" t="str">
        <v>AOW01</v>
      </c>
      <c r="B7" s="11" t="str">
        <v>Vietnam National University of Agriculture</v>
      </c>
      <c r="C7" s="11" t="str">
        <v>HLO 1.5  - Inclusive approaches, tools and capacity sharing to support animal and aquatic food producers to adopt combinations of innovations</v>
      </c>
      <c r="D7" s="11" t="str">
        <v>The Socialist Republic of Viet Nam</v>
      </c>
      <c r="E7" s="11">
        <v>27000</v>
      </c>
      <c r="F7" s="11" t="str">
        <v>HLO1.5 Development of market system approach on bundling service delivery, advisory support, and output market facilitation, through entrepreneurial orientation of technical local agents</v>
      </c>
    </row>
    <row r="8" ht="70" customHeight="1">
      <c r="A8" s="11" t="str">
        <v>AOW01</v>
      </c>
      <c r="B8" s="11" t="str">
        <v>Tanzania Livestock Research Institute</v>
      </c>
      <c r="C8" s="11" t="str">
        <v>HLO 1.5  - Inclusive approaches, tools and capacity sharing to support animal and aquatic food producers to adopt combinations of innovations, HLO 1.1 - Sustainable breeding and conservation programs and inclusive delivery models</v>
      </c>
      <c r="D8" s="11" t="str">
        <v>Tanzania, United Republic</v>
      </c>
      <c r="E8" s="11">
        <v>30000</v>
      </c>
      <c r="F8" s="11" t="str">
        <v>HLO1.1 Evaluating the productivity of current generation genetically improved Horasi chicken among smallholder households</v>
      </c>
    </row>
    <row r="9" ht="70" customHeight="1">
      <c r="A9" s="11" t="str">
        <v>AOW01</v>
      </c>
      <c r="B9" s="11" t="str">
        <v>Son La Sub-Department of Animal Husbandry, Animal Health and Aquaculture</v>
      </c>
      <c r="C9" s="11" t="str">
        <v>HLO 1.5  - Inclusive approaches, tools and capacity sharing to support animal and aquatic food producers to adopt combinations of innovations</v>
      </c>
      <c r="D9" s="11" t="str">
        <v>The Socialist Republic of Viet Nam</v>
      </c>
      <c r="E9" s="11">
        <v>30000</v>
      </c>
      <c r="F9" s="11" t="str">
        <v>US 15k HLO1.5 Development of a social behaviour communication change (SBCC)  package on best practices in livestock productivity aimed at smallholder cattle and pig keepers: web-platform with farmer friendly messaging including local-language videos: development of tool to level of minimal viable product for deployment; US 15k HLO1.3 Scaling the herd health package, including model farms and capacity building of animal health workers, to an additional commune with Son La province</v>
      </c>
    </row>
    <row r="10" ht="70" customHeight="1">
      <c r="A10" s="11" t="str">
        <v>AOW01</v>
      </c>
      <c r="B10" s="11" t="str">
        <v>National Institute of Animal Sciences</v>
      </c>
      <c r="C10" s="11" t="str">
        <v>HLO 1.5  - Inclusive approaches, tools and capacity sharing to support animal and aquatic food producers to adopt combinations of innovations, HLO 1.1 - Sustainable breeding and conservation programs and inclusive delivery models</v>
      </c>
      <c r="D10" s="11" t="str">
        <v>The Socialist Republic of Viet Nam,The Socialist Republic of Viet Nam</v>
      </c>
      <c r="E10" s="11">
        <v>40000</v>
      </c>
      <c r="F10" s="11" t="str">
        <v>US 20k HLO1.2 On-station feeding trails to optimize feeding strategies for beef cattle; US 20k HLO1.1 Scaling of the co-operative model on cattle artificial insemination (AI) service provision to an additional commune within Son La province</v>
      </c>
    </row>
    <row r="11" ht="70" customHeight="1">
      <c r="A11" s="11" t="str">
        <v>AOW01</v>
      </c>
      <c r="B11" s="11" t="str">
        <v>Thanh Consulting Agency - Vietnam</v>
      </c>
      <c r="C11" s="11" t="str">
        <v>HLO 1.5  - Inclusive approaches, tools and capacity sharing to support animal and aquatic food producers to adopt combinations of innovations</v>
      </c>
      <c r="D11" s="11" t="str">
        <v>The Socialist Republic of Viet Nam</v>
      </c>
      <c r="E11" s="11">
        <v>20000</v>
      </c>
      <c r="F11" s="11" t="str">
        <v>HLO1.5 Development of a social behaviour communication change (SBCC)  package on best practices in livestock productivity aimed at smallholder cattle and pig keepers: web-platform with farmer friendly messaging including local-language videos: development of tool to level of minimal viable product for deployment</v>
      </c>
    </row>
    <row r="12" ht="70" customHeight="1">
      <c r="A12" s="11" t="str">
        <v>AOW01</v>
      </c>
      <c r="B12" s="11" t="str">
        <v>National d'Insemination Artificielle - Mali</v>
      </c>
      <c r="C12" s="11" t="str">
        <v>HLO 1.1 - Sustainable breeding and conservation programs and inclusive delivery models</v>
      </c>
      <c r="D12" s="11" t="str">
        <v>Mali</v>
      </c>
      <c r="E12" s="11">
        <v>25000</v>
      </c>
      <c r="F12" s="11" t="str">
        <v>HLO 1.1 Establishment of a small ruminant reproductive lab and training of key actors</v>
      </c>
    </row>
    <row r="13" ht="70" customHeight="1">
      <c r="A13" s="11" t="str">
        <v>AOW01</v>
      </c>
      <c r="B13" s="11" t="str">
        <v>Nepal Livestock Breeding Office</v>
      </c>
      <c r="C13" s="11" t="str">
        <v>HLO 1.1 - Sustainable breeding and conservation programs and inclusive delivery models</v>
      </c>
      <c r="D13" s="11" t="str">
        <v>Nepal</v>
      </c>
      <c r="E13" s="11">
        <v>10000</v>
      </c>
      <c r="F13" s="11" t="str">
        <v>HLO1.1 Functional genetic selection platform used by the national agencies for selecting superior dairy cattle and buffalo</v>
      </c>
    </row>
    <row r="14" ht="70" customHeight="1">
      <c r="A14" s="11" t="str">
        <v>AOW01</v>
      </c>
      <c r="B14" s="11" t="str">
        <v>Makerere University</v>
      </c>
      <c r="C14" s="11" t="str">
        <v>HLO 1.1 - Sustainable breeding and conservation programs and inclusive delivery models</v>
      </c>
      <c r="D14" s="11" t="str">
        <v>Uganda</v>
      </c>
      <c r="E14" s="11">
        <v>30000</v>
      </c>
      <c r="F14" s="11" t="str">
        <v>US 20k HLO1.1 Best practice guidelines for boar semen producing units, feeding into strengthened pig artificial insemination service delivery; US 10k HLO1.1 Strengthen pig artificial insemination service delivery via continued back-stop support to women and men service providers</v>
      </c>
    </row>
    <row r="15" ht="25" customHeight="1">
      <c r="B15" s="14" t="str">
        <v>Contracted partners subtotal</v>
      </c>
      <c r="E15" s="14">
        <f>SUM(E2:E14)</f>
      </c>
    </row>
    <row r="16" ht="70" customHeight="1">
      <c r="A16" s="12" t="str">
        <v>AOW02</v>
      </c>
      <c r="B16" s="11" t="str">
        <v>Makerere University</v>
      </c>
      <c r="C16" s="11" t="str">
        <v>HLO 2.1 - Evidence of the benefits and impacts on climate and the environment, HLO 2.2- Climate-adapted innovations for efficient use and restoration of water, soil, and land resources, enhanced livelihoods, and reduced climate impacts</v>
      </c>
      <c r="D16" s="11" t="str">
        <v>Uganda</v>
      </c>
      <c r="E16" s="11">
        <v>0</v>
      </c>
    </row>
    <row r="17" ht="25" customHeight="1">
      <c r="B17" s="14" t="str">
        <v>Contracted partners subtotal</v>
      </c>
      <c r="E17" s="14">
        <f>SUM(E16:E16)</f>
      </c>
    </row>
    <row r="18" ht="70" customHeight="1">
      <c r="A18" s="12" t="str">
        <v>AOW03</v>
      </c>
      <c r="B18" s="11" t="str">
        <v>Makerere University</v>
      </c>
      <c r="C18" s="11" t="str">
        <v>HLO 3.1 - Targeted innovations and incentives to reduce zoonotic diseases</v>
      </c>
      <c r="D18" s="11" t="str">
        <v>Uganda</v>
      </c>
      <c r="E18" s="11">
        <v>0</v>
      </c>
    </row>
    <row r="19" ht="25" customHeight="1">
      <c r="B19" s="14" t="str">
        <v>Contracted partners subtotal</v>
      </c>
      <c r="E19" s="14">
        <f>SUM(E18:E18)</f>
      </c>
    </row>
    <row r="20" ht="70" customHeight="1">
      <c r="A20" s="12" t="str">
        <v>AOW04</v>
      </c>
      <c r="B20" s="11" t="str">
        <v>National Institute of Animal Sciences</v>
      </c>
      <c r="C20" s="11" t="str">
        <v>HLO 4.3 - Institutional &amp; behavioral models for enhanced use of innovations and improved governance</v>
      </c>
      <c r="D20" s="11" t="str">
        <v>The Socialist Republic of Viet Nam,The Socialist Republic of Viet Nam</v>
      </c>
      <c r="E20" s="11">
        <v>10000</v>
      </c>
      <c r="F20" s="11" t="str">
        <v>HLO4.3 On-farm beef cattle fattening monitoring with different breeds and feeding regimes to generate evidence on the most profitable window for sale of beef cattle: trial design and initial implementation</v>
      </c>
    </row>
    <row r="21" ht="70" customHeight="1">
      <c r="A21" s="11" t="str">
        <v>AOW04</v>
      </c>
      <c r="B21" s="11" t="str">
        <v>Son La Sub-Department of Animal Husbandry, Animal Health and Aquaculture</v>
      </c>
      <c r="C21" s="11" t="str">
        <v>HLO 4.5 - Evidence-based pathways for scaling  contextualized innovation packages with high readiness and demand</v>
      </c>
      <c r="D21" s="11" t="str">
        <v>The Socialist Republic of Viet Nam</v>
      </c>
      <c r="E21" s="11">
        <v>0</v>
      </c>
    </row>
    <row r="22" ht="25" customHeight="1">
      <c r="B22" s="14" t="str">
        <v>Contracted partners subtotal</v>
      </c>
      <c r="E22" s="14">
        <f>SUM(E20:E21)</f>
      </c>
    </row>
    <row r="23" ht="70" customHeight="1">
      <c r="A23" s="12" t="str">
        <v>AOW05</v>
      </c>
      <c r="B23" s="11" t="str">
        <v>Son La Sub-Department of Animal Husbandry, Animal Health and Aquaculture</v>
      </c>
      <c r="C23" s="11" t="str">
        <v>HLO 5.3 - Integrated packages of socio-institutional and technical interventions for equity</v>
      </c>
      <c r="D23" s="11" t="str">
        <v>The Socialist Republic of Viet Nam</v>
      </c>
      <c r="E23" s="11">
        <v>0</v>
      </c>
    </row>
    <row r="24" ht="70" customHeight="1">
      <c r="A24" s="11" t="str">
        <v>AOW05</v>
      </c>
      <c r="B24" s="11" t="str">
        <v>National Institute of Animal Sciences</v>
      </c>
      <c r="C24" s="11" t="str">
        <v>HLO 5.3 - Integrated packages of socio-institutional and technical interventions for equity</v>
      </c>
      <c r="D24" s="11" t="str">
        <v>The Socialist Republic of Viet Nam,The Socialist Republic of Viet Nam</v>
      </c>
      <c r="E24" s="11">
        <v>0</v>
      </c>
    </row>
    <row r="25" ht="25" customHeight="1">
      <c r="B25" s="14" t="str">
        <v>Contracted partners subtotal</v>
      </c>
      <c r="E25" s="14">
        <f>SUM(E23:E24)</f>
      </c>
    </row>
  </sheetData>
  <mergeCells count="10">
    <mergeCell ref="B15:D15"/>
    <mergeCell ref="A2:A15"/>
    <mergeCell ref="B17:D17"/>
    <mergeCell ref="A16:A17"/>
    <mergeCell ref="B19:D19"/>
    <mergeCell ref="A18:A19"/>
    <mergeCell ref="B22:D22"/>
    <mergeCell ref="A20:A22"/>
    <mergeCell ref="B25:D25"/>
    <mergeCell ref="A23:A25"/>
  </mergeCells>
  <ignoredErrors>
    <ignoredError numberStoredAsText="1" sqref="A1:F25"/>
  </ignoredErrors>
</worksheet>
</file>

<file path=xl/worksheets/sheet5.xml><?xml version="1.0" encoding="utf-8"?>
<worksheet xmlns="http://schemas.openxmlformats.org/spreadsheetml/2006/main" xmlns:r="http://schemas.openxmlformats.org/officeDocument/2006/relationships">
  <dimension ref="A1:F45"/>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L-EUR021-Capacitating One Health in Eastern and Southern Afr</v>
      </c>
      <c r="B2" s="19" t="str">
        <v>AOW00</v>
      </c>
      <c r="C2" s="18" t="str">
        <v>PO8 - Policy and decision-makers implement new or improved policies, regulations or strategies for equitable, efficient, low-emission and resilient animal and aquatic food systems</v>
      </c>
      <c r="D2" s="19">
        <v>0</v>
      </c>
      <c r="E2" s="19" t="str">
        <f>=SUM(D2:D3)</f>
        <v>0</v>
      </c>
    </row>
    <row r="3" ht="30" customHeight="1">
      <c r="A3" s="18" t="str">
        <v>L-EUR021-Capacitating One Health in Eastern and Southern Afr</v>
      </c>
      <c r="B3" s="19" t="str">
        <v>AOW03</v>
      </c>
      <c r="C3" s="18" t="str">
        <v>HLO 3.4 - Optimized One Health service delivery model​</v>
      </c>
      <c r="D3" s="19">
        <v>0</v>
      </c>
    </row>
    <row r="4" ht="30" customHeight="1">
      <c r="A4" s="18" t="str">
        <v>L-BLM001-Ballmer Group Funding</v>
      </c>
      <c r="B4" s="19" t="str">
        <v>AOW00</v>
      </c>
      <c r="C4" s="18" t="str">
        <v>PO8 - Policy and decision-makers implement new or improved policies, regulations or strategies for equitable, efficient, low-emission and resilient animal and aquatic food systems</v>
      </c>
      <c r="D4" s="19">
        <v>0</v>
      </c>
      <c r="E4" s="19" t="str">
        <f>=SUM(D4:D7)</f>
        <v>0</v>
      </c>
    </row>
    <row r="5" ht="30" customHeight="1">
      <c r="A5" s="18" t="str">
        <v>L-BLM001-Ballmer Group Funding</v>
      </c>
      <c r="B5" s="19" t="str">
        <v>AOW06</v>
      </c>
      <c r="C5" s="18" t="str">
        <v>HLO 6.2 - Co-develop and test exploratory digital solutions, AI-based analytics, and decision-support systems</v>
      </c>
      <c r="D5" s="19">
        <v>505087</v>
      </c>
      <c r="F5" s="19" t="str">
        <v>based on 2025 ratio x 2026 budget</v>
      </c>
    </row>
    <row r="6" ht="30" customHeight="1">
      <c r="A6" s="18" t="str">
        <v>L-BLM001-Ballmer Group Funding</v>
      </c>
      <c r="B6" s="19" t="str">
        <v>AOW01</v>
      </c>
      <c r="C6" s="18" t="str">
        <v>HLO 1.5  - Inclusive approaches, tools and capacity sharing to support animal and aquatic food producers to adopt combinations of innovations</v>
      </c>
      <c r="D6" s="19">
        <v>505087</v>
      </c>
      <c r="F6" s="19" t="str">
        <v>based on 2025 ratio x 2026 budget</v>
      </c>
    </row>
    <row r="7" ht="30" customHeight="1">
      <c r="A7" s="18" t="str">
        <v>L-BLM001-Ballmer Group Funding</v>
      </c>
      <c r="B7" s="19" t="str">
        <v>AOW02</v>
      </c>
      <c r="C7" s="18" t="str">
        <v xml:space="preserve">HLO 2.1 - Evidence of the benefits and impacts on climate and the environment </v>
      </c>
      <c r="D7" s="19">
        <v>505087</v>
      </c>
      <c r="F7" s="19" t="str">
        <v>based on 2025 ratio x 2026 budget</v>
      </c>
    </row>
    <row r="8" ht="30" customHeight="1">
      <c r="A8" s="18" t="str">
        <v>L-EUR022-Restoration of Livestock Services in Conflict and D</v>
      </c>
      <c r="B8" s="19" t="str">
        <v>AOW00</v>
      </c>
      <c r="C8" s="18" t="str">
        <v>PO7 - Public and private sector actors invest in equitable, efficient, low-emission and resilient animal and aquatic food systems</v>
      </c>
      <c r="D8" s="19">
        <v>0</v>
      </c>
      <c r="E8" s="19" t="str">
        <f>=SUM(D8:D9)</f>
        <v>0</v>
      </c>
    </row>
    <row r="9" ht="30" customHeight="1">
      <c r="A9" s="18" t="str">
        <v>L-EUR022-Restoration of Livestock Services in Conflict and D</v>
      </c>
      <c r="B9" s="19" t="str">
        <v>AOW01</v>
      </c>
      <c r="C9" s="18" t="str">
        <v>HLO 1.3 - Cost-efficient animal and aquatic species health and welfare innovations and inclusive delivery models</v>
      </c>
      <c r="D9" s="19">
        <v>2799251</v>
      </c>
      <c r="F9" s="19" t="str">
        <v>based on 2025 ratio x 2026 budget</v>
      </c>
    </row>
    <row r="10" ht="30" customHeight="1">
      <c r="A10" s="18" t="str">
        <v>L-BMG028-Platform for Alternative Feed Ingredients Evaluati</v>
      </c>
      <c r="B10" s="19" t="str">
        <v>AOW00</v>
      </c>
      <c r="C10" s="18" t="str">
        <v>PO7 - Public and private sector actors invest in equitable, efficient, low-emission and resilient animal and aquatic food systems</v>
      </c>
      <c r="D10" s="19">
        <v>0</v>
      </c>
      <c r="E10" s="19" t="str">
        <f>=SUM(D10:D12)</f>
        <v>0</v>
      </c>
    </row>
    <row r="11" ht="30" customHeight="1">
      <c r="A11" s="18" t="str">
        <v>L-BMG028-Platform for Alternative Feed Ingredients Evaluati</v>
      </c>
      <c r="B11" s="19" t="str">
        <v>AOW01</v>
      </c>
      <c r="C11" s="18" t="str">
        <v>HLO 1.2 - Cost-efficient animal and aquatic species feed and forage innovations and inclusive delivery models</v>
      </c>
      <c r="D11" s="19">
        <v>621094</v>
      </c>
      <c r="F11" s="19" t="str">
        <v>based on 2025 ratio x 2026 budget</v>
      </c>
    </row>
    <row r="12" ht="30" customHeight="1">
      <c r="A12" s="18" t="str">
        <v>L-BMG028-Platform for Alternative Feed Ingredients Evaluati</v>
      </c>
      <c r="B12" s="19" t="str">
        <v>AOW04</v>
      </c>
      <c r="C12" s="18" t="str">
        <v xml:space="preserve">HLO 4.3 - Institutional &amp; behavioral models for enhanced use of innovations and improved governance </v>
      </c>
      <c r="D12" s="19">
        <v>621094</v>
      </c>
      <c r="F12" s="19" t="str">
        <v>based on 2025 ratio x 2026 budget</v>
      </c>
    </row>
    <row r="13" ht="30" customHeight="1">
      <c r="A13" s="18" t="str">
        <v>L-CIM012-Accelerated Intervention Delivery Initiative (Sout</v>
      </c>
      <c r="B13" s="19" t="str">
        <v>AOW00</v>
      </c>
      <c r="C13" s="18" t="str">
        <v>PO5 - Market actors, including women, youth and marginalized groups invest in market systems innovations for equitable, efficient, low-emission and resilient animal and aquatic food systems</v>
      </c>
      <c r="D13" s="19">
        <v>0</v>
      </c>
      <c r="E13" s="19" t="str">
        <f>=SUM(D13:D14)</f>
        <v>0</v>
      </c>
    </row>
    <row r="14" ht="30" customHeight="1">
      <c r="A14" s="18" t="str">
        <v>L-CIM012-Accelerated Intervention Delivery Initiative (Sout</v>
      </c>
      <c r="B14" s="19" t="str">
        <v>AOW04</v>
      </c>
      <c r="C14" s="18" t="str">
        <v>HLO 4.5 - Evidence-based pathways for scaling  contextualized innovation packages with high readiness and demand</v>
      </c>
      <c r="D14" s="19">
        <v>0</v>
      </c>
    </row>
    <row r="15" ht="30" customHeight="1">
      <c r="A15" s="18" t="str">
        <v>L-KOR025-The Ministry of Agriculture,Food and Rural Affairs</v>
      </c>
      <c r="B15" s="19" t="str">
        <v>AOW00</v>
      </c>
      <c r="C15" s="18" t="str">
        <v xml:space="preserve">PO4 - Communities within animals and aquatic food systems adopt innovations for improved community health and well-being </v>
      </c>
      <c r="D15" s="19">
        <v>0</v>
      </c>
      <c r="E15" s="19" t="str">
        <f>=SUM(D15:D16)</f>
        <v>0</v>
      </c>
    </row>
    <row r="16" ht="30" customHeight="1">
      <c r="A16" s="18" t="str">
        <v>L-KOR025-The Ministry of Agriculture,Food and Rural Affairs</v>
      </c>
      <c r="B16" s="19" t="str">
        <v>AOW03</v>
      </c>
      <c r="C16" s="18" t="str">
        <v>HLO 3.1 - Targeted innovations and incentives to reduce zoonotic diseases</v>
      </c>
      <c r="D16" s="19">
        <v>0</v>
      </c>
    </row>
    <row r="17" ht="30" customHeight="1">
      <c r="A17" s="18" t="str">
        <v>L-BMG026-CGIAR Livestock Partnership</v>
      </c>
      <c r="B17" s="19" t="str">
        <v>AOW00</v>
      </c>
      <c r="C17" s="18" t="str">
        <v xml:space="preserve">PO4 - Communities within animals and aquatic food systems adopt innovations for improved community health and well-being </v>
      </c>
      <c r="D17" s="19">
        <v>0</v>
      </c>
      <c r="E17" s="19" t="str">
        <f>=SUM(D17:D19)</f>
        <v>0</v>
      </c>
    </row>
    <row r="18" ht="30" customHeight="1">
      <c r="A18" s="18" t="str">
        <v>L-BMG026-CGIAR Livestock Partnership</v>
      </c>
      <c r="B18" s="19" t="str">
        <v>AOW01</v>
      </c>
      <c r="C18" s="18" t="str">
        <v>HLO 1.3 - Cost-efficient animal and aquatic species health and welfare innovations and inclusive delivery models</v>
      </c>
      <c r="D18" s="19">
        <v>0</v>
      </c>
    </row>
    <row r="19" ht="30" customHeight="1">
      <c r="A19" s="18" t="str">
        <v>L-BMG026-CGIAR Livestock Partnership</v>
      </c>
      <c r="B19" s="19" t="str">
        <v>AOW04</v>
      </c>
      <c r="C19" s="18" t="str">
        <v xml:space="preserve">HLO 4.4 - Policy analysis and engagement processes for improved governance and effectiveness </v>
      </c>
      <c r="D19" s="19">
        <v>0</v>
      </c>
    </row>
    <row r="20" ht="30" customHeight="1">
      <c r="A20" s="18" t="str">
        <v>L-BMG027-MoreMiLK: More Milk for Lives and Livelihoods in Ke</v>
      </c>
      <c r="B20" s="19" t="str">
        <v>AOW00</v>
      </c>
      <c r="C20" s="18" t="str">
        <v xml:space="preserve">PO4 - Communities within animals and aquatic food systems adopt innovations for improved community health and well-being </v>
      </c>
      <c r="D20" s="19">
        <v>0</v>
      </c>
      <c r="E20" s="19" t="str">
        <f>=SUM(D20:D21)</f>
        <v>0</v>
      </c>
    </row>
    <row r="21" ht="30" customHeight="1">
      <c r="A21" s="18" t="str">
        <v>L-BMG027-MoreMiLK: More Milk for Lives and Livelihoods in Ke</v>
      </c>
      <c r="B21" s="19" t="str">
        <v>AOW03</v>
      </c>
      <c r="C21" s="18" t="str">
        <v xml:space="preserve">HLO 3.2 - Target innovations and incentives to improve food safety in informal markets and better nutrition </v>
      </c>
      <c r="D21" s="19">
        <v>1473895</v>
      </c>
      <c r="F21" s="19" t="str">
        <v>based on 2025 ratio x 2026 budget</v>
      </c>
    </row>
    <row r="22" ht="30" customHeight="1">
      <c r="A22" s="18" t="str">
        <v>L-WEL016-Modelling dengue and chikungunya transmission patt</v>
      </c>
      <c r="B22" s="19" t="str">
        <v>AOW00</v>
      </c>
      <c r="C22" s="18" t="str">
        <v xml:space="preserve">PO4 - Communities within animals and aquatic food systems adopt innovations for improved community health and well-being </v>
      </c>
      <c r="D22" s="19">
        <v>0</v>
      </c>
      <c r="E22" s="19" t="str">
        <f>=SUM(D22:D23)</f>
        <v>0</v>
      </c>
    </row>
    <row r="23" ht="30" customHeight="1">
      <c r="A23" s="18" t="str">
        <v>L-WEL016-Modelling dengue and chikungunya transmission patt</v>
      </c>
      <c r="B23" s="19" t="str">
        <v>AOW03</v>
      </c>
      <c r="C23" s="18" t="str">
        <v>HLO 3.1 - Targeted innovations and incentives to reduce zoonotic diseases</v>
      </c>
      <c r="D23" s="19">
        <v>1275000</v>
      </c>
      <c r="F23" s="19" t="str">
        <v>based on 2025 ratio x 2026 budget</v>
      </c>
    </row>
    <row r="24" ht="30" customHeight="1">
      <c r="A24" s="18" t="str">
        <v>L-UOS001-Accelerating genomics surveillance for COVID-19 re</v>
      </c>
      <c r="B24" s="19" t="str">
        <v>AOW00</v>
      </c>
      <c r="C24" s="18" t="str">
        <v xml:space="preserve">PO4 - Communities within animals and aquatic food systems adopt innovations for improved community health and well-being </v>
      </c>
      <c r="D24" s="19">
        <v>0</v>
      </c>
      <c r="E24" s="19" t="str">
        <f>=SUM(D24:D25)</f>
        <v>0</v>
      </c>
    </row>
    <row r="25" ht="30" customHeight="1">
      <c r="A25" s="18" t="str">
        <v>L-UOS001-Accelerating genomics surveillance for COVID-19 re</v>
      </c>
      <c r="B25" s="19" t="str">
        <v>AOW03</v>
      </c>
      <c r="C25" s="18" t="str">
        <v>HLO 3.1 - Targeted innovations and incentives to reduce zoonotic diseases</v>
      </c>
      <c r="D25" s="19">
        <v>765470</v>
      </c>
      <c r="F25" s="19" t="str">
        <v>based on 2025 ratio x 2026 budget</v>
      </c>
    </row>
    <row r="26" ht="30" customHeight="1">
      <c r="A26" s="18" t="str">
        <v>L-ACI033-Strengthening Adaptive Capacity of Extensive Lives</v>
      </c>
      <c r="B26" s="19" t="str">
        <v>AOW00</v>
      </c>
      <c r="C26" s="18" t="str">
        <v>PO3 - Communities within animal and aquatic food systems adopt innovations for increased social, economic and environmental resilience</v>
      </c>
      <c r="D26" s="19">
        <v>0</v>
      </c>
      <c r="E26" s="19" t="str">
        <f>=SUM(D26:D27)</f>
        <v>0</v>
      </c>
    </row>
    <row r="27" ht="30" customHeight="1">
      <c r="A27" s="18" t="str">
        <v>L-ACI033-Strengthening Adaptive Capacity of Extensive Lives</v>
      </c>
      <c r="B27" s="19" t="str">
        <v>AOW02</v>
      </c>
      <c r="C27" s="18" t="str">
        <v>HLO 2.2- Climate-adapted innovations for efficient use and restoration of water, soil, and land resources, enhanced livelihoods, and reduced climate impacts</v>
      </c>
      <c r="D27" s="19">
        <v>979551</v>
      </c>
      <c r="F27" s="19" t="str">
        <v>based on 2025 ratio x 2026 budget</v>
      </c>
    </row>
    <row r="28" ht="30" customHeight="1">
      <c r="A28" s="18" t="str">
        <v>L-UOH001-Earth observation and environmental sensing for cl</v>
      </c>
      <c r="B28" s="19" t="str">
        <v>AOW00</v>
      </c>
      <c r="C28" s="18" t="str">
        <v>PO3 - Communities within animal and aquatic food systems adopt innovations for increased social, economic and environmental resilience</v>
      </c>
      <c r="D28" s="19">
        <v>0</v>
      </c>
      <c r="E28" s="19" t="str">
        <f>=SUM(D28:D29)</f>
        <v>0</v>
      </c>
    </row>
    <row r="29" ht="30" customHeight="1">
      <c r="A29" s="18" t="str">
        <v>L-UOH001-Earth observation and environmental sensing for cl</v>
      </c>
      <c r="B29" s="19" t="str">
        <v>AOW02</v>
      </c>
      <c r="C29" s="18" t="str">
        <v xml:space="preserve">HLO 2.1 - Evidence of the benefits and impacts on climate and the environment </v>
      </c>
      <c r="D29" s="19">
        <v>0</v>
      </c>
    </row>
    <row r="30" ht="30" customHeight="1">
      <c r="A30" s="18" t="str">
        <v>L-BMZ002-One Health Research, Education and Outreach Centre</v>
      </c>
      <c r="B30" s="19" t="str">
        <v>AOW00</v>
      </c>
      <c r="C30" s="18" t="str">
        <v xml:space="preserve">PO1 - Animal and aquatic food producers, including women, youth and marginalized groups adopting combinations of innovations </v>
      </c>
      <c r="D30" s="19">
        <v>0</v>
      </c>
      <c r="E30" s="19" t="str">
        <f>=SUM(D30:D31)</f>
        <v>0</v>
      </c>
    </row>
    <row r="31" ht="30" customHeight="1">
      <c r="A31" s="18" t="str">
        <v>L-BMZ002-One Health Research, Education and Outreach Centre</v>
      </c>
      <c r="B31" s="19" t="str">
        <v>AOW03</v>
      </c>
      <c r="C31" s="18" t="str">
        <v>HLO 3.4 - Optimized One Health service delivery model​</v>
      </c>
      <c r="D31" s="19">
        <v>0</v>
      </c>
    </row>
    <row r="32" ht="30" customHeight="1">
      <c r="A32" s="18" t="str">
        <v>L-UOE012-Centre for Tropical Livestock Genetics and Health -</v>
      </c>
      <c r="B32" s="19" t="str">
        <v>AOW00</v>
      </c>
      <c r="C32" s="18" t="str">
        <v xml:space="preserve">PO1 - Animal and aquatic food producers, including women, youth and marginalized groups adopting combinations of innovations </v>
      </c>
      <c r="D32" s="19">
        <v>0</v>
      </c>
      <c r="E32" s="19" t="str">
        <f>=SUM(D32:D33)</f>
        <v>0</v>
      </c>
    </row>
    <row r="33" ht="30" customHeight="1">
      <c r="A33" s="18" t="str">
        <v>L-UOE012-Centre for Tropical Livestock Genetics and Health -</v>
      </c>
      <c r="B33" s="19" t="str">
        <v>AOW01</v>
      </c>
      <c r="C33" s="18" t="str">
        <v>HLO 1.1 - Sustainable breeding and conservation programs and inclusive delivery models</v>
      </c>
      <c r="D33" s="19">
        <v>1271030</v>
      </c>
      <c r="F33" s="19" t="str">
        <v>based on 2025 ratio x 2026 budget</v>
      </c>
    </row>
    <row r="34" ht="30" customHeight="1">
      <c r="A34" s="18" t="str">
        <v>L-MML008-Fleming Fund Country Grant for Kenya phase 2</v>
      </c>
      <c r="B34" s="19" t="str">
        <v>AOW00</v>
      </c>
      <c r="C34" s="18" t="str">
        <v xml:space="preserve">PO1 - Animal and aquatic food producers, including women, youth and marginalized groups adopting combinations of innovations </v>
      </c>
      <c r="D34" s="19">
        <v>0</v>
      </c>
      <c r="E34" s="19" t="str">
        <f>=SUM(D34:D35)</f>
        <v>0</v>
      </c>
    </row>
    <row r="35" ht="30" customHeight="1">
      <c r="A35" s="18" t="str">
        <v>L-MML008-Fleming Fund Country Grant for Kenya phase 2</v>
      </c>
      <c r="B35" s="19" t="str">
        <v>AOW03</v>
      </c>
      <c r="C35" s="18" t="str">
        <v xml:space="preserve">HLO 3.3 - Targeted innovations and incentives to reduce antimicrobial use and mitigate antimicrobial risks </v>
      </c>
      <c r="D35" s="19">
        <v>0</v>
      </c>
    </row>
    <row r="36" ht="30" customHeight="1">
      <c r="A36" s="18" t="str">
        <v>L-CIA024-Anti-methanogenic feedstock for livestock systems in Global South</v>
      </c>
      <c r="B36" s="19" t="str">
        <v>AOW00</v>
      </c>
      <c r="C36" s="18" t="str">
        <v xml:space="preserve">PO1 - Animal and aquatic food producers, including women, youth and marginalized groups adopting combinations of innovations </v>
      </c>
      <c r="D36" s="19">
        <v>0</v>
      </c>
      <c r="E36" s="19" t="str">
        <f>=SUM(D36:D37)</f>
        <v>0</v>
      </c>
    </row>
    <row r="37" ht="30" customHeight="1">
      <c r="A37" s="18" t="str">
        <v>L-CIA024-Anti-methanogenic feedstock for livestock systems in Global South</v>
      </c>
      <c r="B37" s="19" t="str">
        <v>AOW02</v>
      </c>
      <c r="C37" s="18" t="str">
        <v xml:space="preserve">HLO 2.1 - Evidence of the benefits and impacts on climate and the environment </v>
      </c>
      <c r="D37" s="19">
        <v>418229</v>
      </c>
      <c r="F37" s="19" t="str">
        <v>based on 2025 ratio x 2026 budget</v>
      </c>
    </row>
    <row r="38" ht="30" customHeight="1">
      <c r="A38" s="18" t="str">
        <v>L-MML007-Antimicrobial Resistance and One Health, including Animal Health, the Environment and Practitioner Engagement (AMROH) Eastern and Southern Africa (ESA)</v>
      </c>
      <c r="B38" s="19" t="str">
        <v>AOW00</v>
      </c>
      <c r="C38" s="18" t="str">
        <v xml:space="preserve">PO1 - Animal and aquatic food producers, including women, youth and marginalized groups adopting combinations of innovations </v>
      </c>
      <c r="D38" s="19">
        <v>0</v>
      </c>
      <c r="E38" s="19" t="str">
        <f>=SUM(D38:D39)</f>
        <v>0</v>
      </c>
    </row>
    <row r="39" ht="30" customHeight="1">
      <c r="A39" s="18" t="str">
        <v>L-MML007-Antimicrobial Resistance and One Health, including Animal Health, the Environment and Practitioner Engagement (AMROH) Eastern and Southern Africa (ESA)</v>
      </c>
      <c r="B39" s="19" t="str">
        <v>AOW03</v>
      </c>
      <c r="C39" s="18" t="str">
        <v xml:space="preserve">HLO 3.3 - Targeted innovations and incentives to reduce antimicrobial use and mitigate antimicrobial risks </v>
      </c>
      <c r="D39" s="19">
        <v>0</v>
      </c>
    </row>
    <row r="40" ht="30" customHeight="1">
      <c r="A40" s="18" t="str">
        <v>L-CIA022-Screening, Developing and Deploying Anti-methanogen</v>
      </c>
      <c r="B40" s="19" t="str">
        <v>AOW00</v>
      </c>
      <c r="C40" s="18" t="str">
        <v xml:space="preserve">PO1 - Animal and aquatic food producers, including women, youth and marginalized groups adopting combinations of innovations </v>
      </c>
      <c r="D40" s="19">
        <v>0</v>
      </c>
      <c r="E40" s="19" t="str">
        <f>=SUM(D40:D41)</f>
        <v>0</v>
      </c>
    </row>
    <row r="41" ht="30" customHeight="1">
      <c r="A41" s="18" t="str">
        <v>L-CIA022-Screening, Developing and Deploying Anti-methanogen</v>
      </c>
      <c r="B41" s="19" t="str">
        <v>AOW02</v>
      </c>
      <c r="C41" s="18" t="str">
        <v xml:space="preserve">HLO 2.1 - Evidence of the benefits and impacts on climate and the environment </v>
      </c>
      <c r="D41" s="19">
        <v>468506</v>
      </c>
      <c r="F41" s="19" t="str">
        <v>based on 2025 ratio x 2026 budget</v>
      </c>
    </row>
    <row r="42" ht="30" customHeight="1">
      <c r="A42" s="18" t="str">
        <v>L-USA093-Mali Project</v>
      </c>
      <c r="B42" s="19" t="str">
        <v>AOW05</v>
      </c>
      <c r="C42" s="18" t="str">
        <v>HLO 5.2 - Tested interventions for women &amp; youth empowerment and  for equitable norms  and policies</v>
      </c>
      <c r="D42" s="19">
        <v>214629</v>
      </c>
      <c r="E42" s="19" t="str">
        <f>=SUM(D42:D44)</f>
        <v>0</v>
      </c>
      <c r="F42" s="19" t="str">
        <v>based on 2025 ratio x 2026 budget</v>
      </c>
    </row>
    <row r="43" ht="30" customHeight="1">
      <c r="A43" s="18" t="str">
        <v>L-USA093-Mali Project</v>
      </c>
      <c r="B43" s="19" t="str">
        <v>AOW01</v>
      </c>
      <c r="C43" s="18" t="str">
        <v>HLO 1.2 - Cost-efficient animal and aquatic species feed and forage innovations and inclusive delivery models</v>
      </c>
      <c r="D43" s="19">
        <v>885344</v>
      </c>
      <c r="F43" s="19" t="str">
        <v>based on 2025 ratio x 2026 Budget</v>
      </c>
    </row>
    <row r="44" ht="30" customHeight="1">
      <c r="A44" s="18" t="str">
        <v>L-USA093-Mali Project</v>
      </c>
      <c r="B44" s="19" t="str">
        <v>AOW02</v>
      </c>
      <c r="C44" s="18" t="str">
        <v>HLO 2.2- Climate-adapted innovations for efficient use and restoration of water, soil, and land resources, enhanced livelihoods, and reduced climate impacts</v>
      </c>
      <c r="D44" s="19">
        <v>241457</v>
      </c>
      <c r="F44" s="19" t="str">
        <v>based on 2025 ratio x 2026 budget</v>
      </c>
    </row>
    <row r="45" ht="30" customHeight="1">
      <c r="A45" s="3" t="str">
        <v>W3/Bilateral projects subtotal</v>
      </c>
      <c r="E45" s="3">
        <f>SUM(E2:E44)</f>
      </c>
    </row>
  </sheetData>
  <mergeCells count="39">
    <mergeCell ref="A2:A3"/>
    <mergeCell ref="A4:A7"/>
    <mergeCell ref="A8:A9"/>
    <mergeCell ref="A10:A12"/>
    <mergeCell ref="A13:A14"/>
    <mergeCell ref="A15:A16"/>
    <mergeCell ref="A17:A19"/>
    <mergeCell ref="A20:A21"/>
    <mergeCell ref="A22:A23"/>
    <mergeCell ref="A24:A25"/>
    <mergeCell ref="A26:A27"/>
    <mergeCell ref="A28:A29"/>
    <mergeCell ref="A30:A31"/>
    <mergeCell ref="A32:A33"/>
    <mergeCell ref="A34:A35"/>
    <mergeCell ref="A36:A37"/>
    <mergeCell ref="A38:A39"/>
    <mergeCell ref="A40:A41"/>
    <mergeCell ref="A42:A44"/>
    <mergeCell ref="E2:E3"/>
    <mergeCell ref="E4:E7"/>
    <mergeCell ref="E8:E9"/>
    <mergeCell ref="E10:E12"/>
    <mergeCell ref="E13:E14"/>
    <mergeCell ref="E15:E16"/>
    <mergeCell ref="E17:E19"/>
    <mergeCell ref="E20:E21"/>
    <mergeCell ref="E22:E23"/>
    <mergeCell ref="E24:E25"/>
    <mergeCell ref="E26:E27"/>
    <mergeCell ref="E28:E29"/>
    <mergeCell ref="E30:E31"/>
    <mergeCell ref="E32:E33"/>
    <mergeCell ref="E34:E35"/>
    <mergeCell ref="E36:E37"/>
    <mergeCell ref="E38:E39"/>
    <mergeCell ref="E40:E41"/>
    <mergeCell ref="E42:E44"/>
    <mergeCell ref="A45:D45"/>
  </mergeCells>
  <ignoredErrors>
    <ignoredError numberStoredAsText="1" sqref="A1:F45"/>
  </ignoredErrors>
</worksheet>
</file>

<file path=xl/worksheets/sheet6.xml><?xml version="1.0" encoding="utf-8"?>
<worksheet xmlns="http://schemas.openxmlformats.org/spreadsheetml/2006/main" xmlns:r="http://schemas.openxmlformats.org/officeDocument/2006/relationships">
  <dimension ref="A1:F12"/>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c r="A2" s="18" t="str">
        <v>Baseline on women's empowerment in selected Kenya livestock systems</v>
      </c>
      <c r="B2" s="19" t="str">
        <v>AOW05</v>
      </c>
      <c r="C2" s="18" t="str">
        <v>I-OC5.3 - Women, youth and marginalized groups control productive and financial resources, information and innovations</v>
      </c>
      <c r="D2" s="19">
        <v>0</v>
      </c>
      <c r="E2" s="19" t="str">
        <f>=SUM(D2:D2)</f>
        <v>0</v>
      </c>
    </row>
    <row r="3" ht="30" customHeight="1">
      <c r="A3" s="18" t="str">
        <v xml:space="preserve">Food safety intervention study in meat markets in Ethiopia </v>
      </c>
      <c r="B3" s="19" t="str">
        <v>AOW00</v>
      </c>
      <c r="C3" s="18" t="str">
        <v>PO2 - Animal and aquatic food producers and their households, integrate adequate safe, nutrient-dense, animal and aquatic foods in diverse diets</v>
      </c>
      <c r="D3" s="19">
        <v>0</v>
      </c>
      <c r="E3" s="19" t="str">
        <f>=SUM(D3:D4)</f>
        <v>0</v>
      </c>
    </row>
    <row r="4" ht="30" customHeight="1">
      <c r="A4" s="18" t="str">
        <v xml:space="preserve">Food safety intervention study in meat markets in Ethiopia </v>
      </c>
      <c r="B4" s="19" t="str">
        <v>AOW03</v>
      </c>
      <c r="C4" s="18" t="str">
        <v>I-OC3.4 - Local, national and regional institutions increase capacity to support equitable delivery and adoption of innovations and influence policy and investments​</v>
      </c>
      <c r="D4" s="19">
        <v>0</v>
      </c>
    </row>
    <row r="5" ht="30" customHeight="1">
      <c r="A5" s="18" t="str">
        <v xml:space="preserve">Research uptake and use study of findings from One Health Initiative </v>
      </c>
      <c r="B5" s="19" t="str">
        <v>AOW00</v>
      </c>
      <c r="C5" s="18" t="str">
        <v>PO2 - Animal and aquatic food producers and their households, integrate adequate safe, nutrient-dense, animal and aquatic foods in diverse diets</v>
      </c>
      <c r="D5" s="19">
        <v>0</v>
      </c>
      <c r="E5" s="19" t="str">
        <f>=SUM(D5:D5)</f>
        <v>0</v>
      </c>
    </row>
    <row r="6" ht="30" customHeight="1">
      <c r="A6" s="18" t="str">
        <v xml:space="preserve">Food safety intervention study in meat markets in Vietnam </v>
      </c>
      <c r="B6" s="19" t="str">
        <v>AOW00</v>
      </c>
      <c r="C6" s="18" t="str">
        <v>PO2 - Animal and aquatic food producers and their households, integrate adequate safe, nutrient-dense, animal and aquatic foods in diverse diets</v>
      </c>
      <c r="D6" s="19">
        <v>0</v>
      </c>
      <c r="E6" s="19" t="str">
        <f>=SUM(D6:D6)</f>
        <v>0</v>
      </c>
    </row>
    <row r="7" ht="30" customHeight="1">
      <c r="A7" s="18" t="str">
        <v>Adoption of best practices in piggery through pigsmart and herd health innovations</v>
      </c>
      <c r="B7" s="19" t="str">
        <v>AOW00</v>
      </c>
      <c r="C7" s="18" t="str">
        <v xml:space="preserve">PO1 - Animal and aquatic food producers, including women, youth and marginalized groups adopting combinations of innovations </v>
      </c>
      <c r="D7" s="19">
        <v>0</v>
      </c>
      <c r="E7" s="19" t="str">
        <f>=SUM(D7:D7)</f>
        <v>0</v>
      </c>
    </row>
    <row r="8" ht="30" customHeight="1">
      <c r="A8" s="18" t="str">
        <v>Impacts of Sustainable Cattle Farming on the 2030 Agenda: A Global Review</v>
      </c>
      <c r="B8" s="19" t="str">
        <v>AOW00</v>
      </c>
      <c r="C8" s="18" t="str">
        <v>PO8 - Policy and decision-makers implement new or improved policies, regulations or strategies for equitable, efficient, low-emission and resilient animal and aquatic food systems</v>
      </c>
      <c r="D8" s="19">
        <v>0</v>
      </c>
      <c r="E8" s="19" t="str">
        <f>=SUM(D8:D8)</f>
        <v>0</v>
      </c>
    </row>
    <row r="9" ht="30" customHeight="1">
      <c r="A9" s="18" t="str">
        <v>Village-livestock promoter for small-holder buffalo keepers in Nepal</v>
      </c>
      <c r="B9" s="19" t="str">
        <v>AOW00</v>
      </c>
      <c r="C9" s="18" t="str">
        <v>PO5 - Market actors, including women, youth and marginalized groups invest in market systems innovations for equitable, efficient, low-emission and resilient animal and aquatic food systems</v>
      </c>
      <c r="D9" s="19">
        <v>0</v>
      </c>
      <c r="E9" s="19" t="str">
        <f>=SUM(D9:D9)</f>
        <v>0</v>
      </c>
    </row>
    <row r="10" ht="30" customHeight="1">
      <c r="A10" s="18" t="str">
        <v>SBCC on equitable nutrition and gender norms in Uganda</v>
      </c>
      <c r="B10" s="19" t="str">
        <v>AOW00</v>
      </c>
      <c r="C10" s="18" t="str">
        <v>PO2 - Animal and aquatic food producers and their households, integrate adequate safe, nutrient-dense, animal and aquatic foods in diverse diets</v>
      </c>
      <c r="D10" s="19">
        <v>0</v>
      </c>
      <c r="E10" s="19" t="str">
        <f>=SUM(D10:D10)</f>
        <v>0</v>
      </c>
    </row>
    <row r="11" ht="30" customHeight="1">
      <c r="A11" s="18" t="str">
        <v xml:space="preserve">WELI tool </v>
      </c>
      <c r="B11" s="19" t="str">
        <v>AOW00</v>
      </c>
      <c r="C11" s="18" t="str">
        <v>PO6 - Animal and aquatic food producers, market actors and communities within animal and aquatic food systems exhibit behavior supporting gender-equitable norms</v>
      </c>
      <c r="D11" s="19">
        <v>0</v>
      </c>
      <c r="E11" s="19" t="str">
        <f>=SUM(D11:D11)</f>
        <v>0</v>
      </c>
    </row>
    <row r="12" ht="30" customHeight="1">
      <c r="A12" s="3" t="str">
        <v>MELIA Studies Budget subtotal</v>
      </c>
      <c r="E12" s="3">
        <f>SUM(E2:E11)</f>
      </c>
    </row>
  </sheetData>
  <mergeCells count="3">
    <mergeCell ref="A3:A4"/>
    <mergeCell ref="E3:E4"/>
    <mergeCell ref="A12:D12"/>
  </mergeCells>
  <ignoredErrors>
    <ignoredError numberStoredAsText="1" sqref="A1:F12"/>
  </ignoredErrors>
</worksheet>
</file>

<file path=xl/worksheets/sheet7.xml><?xml version="1.0" encoding="utf-8"?>
<worksheet xmlns="http://schemas.openxmlformats.org/spreadsheetml/2006/main" xmlns:r="http://schemas.openxmlformats.org/officeDocument/2006/relationships">
  <dimension ref="A1:I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20" t="str">
        <v>Collaborators non-CGIAR centers</v>
      </c>
      <c r="B2" s="20">
        <v>0</v>
      </c>
      <c r="C2" s="20">
        <v>392104</v>
      </c>
      <c r="D2" s="20">
        <v>0</v>
      </c>
      <c r="E2" s="20">
        <v>0</v>
      </c>
      <c r="F2" s="20">
        <v>10000</v>
      </c>
      <c r="G2" s="20">
        <v>0</v>
      </c>
      <c r="H2" s="20">
        <v>0</v>
      </c>
      <c r="I2" s="20" t="str">
        <f>=SUM(B2:H2)</f>
        <v>0</v>
      </c>
    </row>
    <row r="3" ht="20" customHeight="1">
      <c r="A3" s="20" t="str">
        <v>Operations (supplies, consultants, travels, workshops, other)</v>
      </c>
      <c r="B3" s="20">
        <v>0</v>
      </c>
      <c r="C3" s="20">
        <v>973710</v>
      </c>
      <c r="D3" s="20">
        <v>46000</v>
      </c>
      <c r="E3" s="20">
        <v>425676</v>
      </c>
      <c r="F3" s="20">
        <v>234645</v>
      </c>
      <c r="G3" s="20">
        <v>4500</v>
      </c>
      <c r="H3" s="20">
        <v>5000</v>
      </c>
      <c r="I3" s="20" t="str">
        <f>=SUM(B3:H3)</f>
        <v>0</v>
      </c>
    </row>
    <row r="4" ht="20" customHeight="1">
      <c r="A4" s="20" t="str">
        <v>Staffing, Chargebacks and Indirect</v>
      </c>
      <c r="B4" s="20">
        <v>216267</v>
      </c>
      <c r="C4" s="20">
        <v>1627218</v>
      </c>
      <c r="D4" s="20">
        <v>199749</v>
      </c>
      <c r="E4" s="20">
        <v>949457</v>
      </c>
      <c r="F4" s="20">
        <v>548280</v>
      </c>
      <c r="G4" s="20">
        <v>406336</v>
      </c>
      <c r="H4" s="20">
        <v>72283</v>
      </c>
      <c r="I4" s="20" t="str">
        <f>=SUM(B4:H4)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c r="I5" s="23" t="str">
        <f>=SUM(I2:I4)</f>
        <v>0</v>
      </c>
    </row>
  </sheetData>
  <ignoredErrors>
    <ignoredError numberStoredAsText="1" sqref="A1:I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