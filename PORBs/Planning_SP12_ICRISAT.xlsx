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Data Ecosystem</v>
      </c>
      <c r="B5" s="2">
        <v>2</v>
      </c>
      <c r="C5" s="5">
        <v>50000</v>
      </c>
      <c r="D5" s="2">
        <v>11</v>
      </c>
      <c r="E5" s="5">
        <v>75000</v>
      </c>
      <c r="F5" s="2">
        <v>0</v>
      </c>
      <c r="G5" s="5">
        <v>0</v>
      </c>
      <c r="H5" s="2">
        <v>0</v>
      </c>
      <c r="I5" s="5">
        <v>0</v>
      </c>
      <c r="J5" s="5">
        <v>0</v>
      </c>
      <c r="K5" s="5">
        <v>0</v>
      </c>
      <c r="L5" s="5">
        <v>125000</v>
      </c>
      <c r="M5" s="5">
        <v>0</v>
      </c>
    </row>
    <row r="6" ht="20" customHeight="1">
      <c r="A6" s="2" t="str">
        <v>AOW02: Action Lab</v>
      </c>
      <c r="B6" s="2">
        <v>11</v>
      </c>
      <c r="C6" s="5">
        <v>188066</v>
      </c>
      <c r="D6" s="2">
        <v>0</v>
      </c>
      <c r="E6" s="5">
        <v>0</v>
      </c>
      <c r="F6" s="2">
        <v>0</v>
      </c>
      <c r="G6" s="5">
        <v>0</v>
      </c>
      <c r="H6" s="2">
        <v>0</v>
      </c>
      <c r="I6" s="5">
        <v>0</v>
      </c>
      <c r="J6" s="5">
        <v>0</v>
      </c>
      <c r="K6" s="5">
        <v>0</v>
      </c>
      <c r="L6" s="5">
        <v>188066</v>
      </c>
      <c r="M6" s="5">
        <v>0</v>
      </c>
    </row>
    <row r="7" ht="20" customHeight="1">
      <c r="A7" s="2" t="str">
        <v>AOW03: Digital Futures</v>
      </c>
      <c r="B7" s="2">
        <v>1</v>
      </c>
      <c r="C7" s="5">
        <v>46493</v>
      </c>
      <c r="D7" s="2">
        <v>1</v>
      </c>
      <c r="E7" s="5">
        <v>46493</v>
      </c>
      <c r="F7" s="2">
        <v>0</v>
      </c>
      <c r="G7" s="5">
        <v>0</v>
      </c>
      <c r="H7" s="2">
        <v>0</v>
      </c>
      <c r="I7" s="5">
        <v>0</v>
      </c>
      <c r="J7" s="5">
        <v>0</v>
      </c>
      <c r="K7" s="5">
        <v>0</v>
      </c>
      <c r="L7" s="5">
        <v>92986</v>
      </c>
      <c r="M7" s="5">
        <v>0</v>
      </c>
    </row>
    <row r="8" ht="20" customHeight="1">
      <c r="A8" s="2" t="str">
        <v>AOW04: Enabling Environment</v>
      </c>
      <c r="B8" s="2">
        <v>1</v>
      </c>
      <c r="C8" s="5">
        <v>30000</v>
      </c>
      <c r="D8" s="2">
        <v>1</v>
      </c>
      <c r="E8" s="5">
        <v>40000</v>
      </c>
      <c r="F8" s="2">
        <v>50</v>
      </c>
      <c r="G8" s="5">
        <v>30000</v>
      </c>
      <c r="H8" s="2">
        <v>0</v>
      </c>
      <c r="I8" s="5">
        <v>0</v>
      </c>
      <c r="J8" s="5">
        <v>0</v>
      </c>
      <c r="K8" s="5">
        <v>0</v>
      </c>
      <c r="L8" s="5">
        <v>100000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0</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2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HLO 1.1.1 Common metadata and science data standards </v>
      </c>
      <c r="C3" s="11" t="str">
        <v>ICRISAT 9: Number of datasets curated or produced under FAIR and standard-compliant protocols in scientific domains.</v>
      </c>
      <c r="D3" s="11" t="str">
        <v>Number of knowledge products</v>
      </c>
      <c r="E3" s="11" t="str">
        <v>Country: India</v>
      </c>
      <c r="F3" s="11">
        <v>1</v>
      </c>
      <c r="G3" s="11">
        <v>25000</v>
      </c>
      <c r="H3" s="11">
        <f>SUM(G3:G3)</f>
      </c>
      <c r="I3" s="11" t="str">
        <v>Assumes successful collection and harmonization of advisory datasets, crop calendars, and decision rules from national and state partners. Risks include incomplete historical datasets, inconsistent formats, and delays in FAIR-compliant data cleaning</v>
      </c>
    </row>
    <row r="4" ht="50" customHeight="1">
      <c r="A4" s="11" t="str">
        <v>AOW01</v>
      </c>
      <c r="B4" s="11" t="str">
        <v xml:space="preserve">HLO 1.2.3 Standards-compliant  FAIR data corpus </v>
      </c>
      <c r="C4" s="11" t="str">
        <v>ICRISAT 1: Number of environmental variables identified and standardised to build a prediction framework that integrates data from multiple sources and has a high interpretive power.</v>
      </c>
      <c r="D4" s="11" t="str">
        <v>Number of knowledge products</v>
      </c>
      <c r="E4" s="11" t="str">
        <v>Country: India</v>
      </c>
      <c r="F4" s="11">
        <v>10</v>
      </c>
      <c r="G4" s="11">
        <v>50000</v>
      </c>
      <c r="H4" s="11">
        <f>SUM(G4:G4)</f>
      </c>
      <c r="I4" s="11" t="str">
        <v>Data standardization established as a pilot work for ICRISAT's data at the first stage (2026). The framework will be expanded in the following years.</v>
      </c>
    </row>
    <row r="5" ht="50" customHeight="1">
      <c r="A5" s="11" t="str">
        <v>AOW01</v>
      </c>
      <c r="B5" s="11" t="str">
        <v xml:space="preserve">HLO 1.2.4 Scalable, searchable Data ecosystem with analytics pipelines </v>
      </c>
      <c r="C5" s="11" t="str">
        <v xml:space="preserve"> ICRISAT 2: Number of infrastructure setups deployed for data storage and processing in target domains.</v>
      </c>
      <c r="D5" s="11" t="str">
        <v>Number of innovations (innovation development)</v>
      </c>
      <c r="E5" s="11" t="str">
        <v>Country: India</v>
      </c>
      <c r="F5" s="11">
        <v>2</v>
      </c>
      <c r="G5" s="11">
        <v>50000</v>
      </c>
      <c r="H5" s="11">
        <f>SUM(G5:G5)</f>
      </c>
      <c r="I5" s="11" t="str">
        <v>** The functional analytical tool may be designed as a web package.                                                  ** The direction of work is subject to changes depending upon the output at each level.</v>
      </c>
    </row>
    <row r="6" ht="25" customHeight="1">
      <c r="B6" s="14" t="str">
        <v>HLO budget subtotal</v>
      </c>
      <c r="H6" s="15">
        <f>SUM(H3:H5)</f>
      </c>
    </row>
    <row r="7" ht="50" customHeight="1">
      <c r="A7" s="13" t="str">
        <v>AOW02</v>
      </c>
      <c r="B7" s="11" t="str">
        <v>HLO 2.1.1: Research integrates AI analytics and digital technologies to enhance modeling and evidence generation.​</v>
      </c>
      <c r="C7" s="11" t="str">
        <v>ICRISAT 13:  Number of digital tools developed to collect FAIR-compliant data with standardized metadata and interoperability  to creat the backend master data.</v>
      </c>
      <c r="D7" s="11" t="str">
        <v>Number of innovations (innovation development)</v>
      </c>
      <c r="E7" s="11" t="str">
        <v>Country: India</v>
      </c>
      <c r="F7" s="11">
        <v>1</v>
      </c>
      <c r="G7" s="11">
        <v>63066</v>
      </c>
      <c r="H7" s="11">
        <f>SUM(G7:G7)</f>
      </c>
      <c r="I7" s="11" t="str">
        <v xml:space="preserve">This budget provision is for customizing the tools in collaboration with partners. Assumes $20,000 allocation to partner University of Cambridge. </v>
      </c>
    </row>
    <row r="8" ht="50" customHeight="1">
      <c r="A8" s="11" t="str">
        <v>AOW02</v>
      </c>
      <c r="B8" s="11" t="str">
        <v>HLO 2.1.4 Genebanks integrate AI-powered tools to improve germplasm management and access.</v>
      </c>
      <c r="C8" s="11" t="str">
        <v>ICRISAT 11: Number of dashboards for genebanks are deploying AI-powered tools to automate germplasm management and access.</v>
      </c>
      <c r="D8" s="11" t="str">
        <v>Number of innovations (innovation development)</v>
      </c>
      <c r="E8" s="11" t="str">
        <v>Country: India</v>
      </c>
      <c r="F8" s="11">
        <v>1</v>
      </c>
      <c r="G8" s="11">
        <v>40000</v>
      </c>
      <c r="H8" s="11">
        <f>SUM(G8:G10)</f>
      </c>
      <c r="I8" s="11" t="str">
        <v xml:space="preserve">The budget provisioned for working with ICRISAT's Genebank data to develop the Gen AI tools. </v>
      </c>
    </row>
    <row r="9" ht="50" customHeight="1">
      <c r="A9" s="11" t="str">
        <v>AOW02</v>
      </c>
      <c r="C9" s="11" t="str">
        <v>ICRISAT 12: Number of genebanks deploying AI-powered tools to automate germplasm management and access.</v>
      </c>
      <c r="D9" s="11" t="str">
        <v>Number of innovations (innovation development)</v>
      </c>
      <c r="E9" s="11" t="str">
        <v>Country: India</v>
      </c>
      <c r="F9" s="11">
        <v>1</v>
      </c>
      <c r="G9" s="11">
        <v>10000</v>
      </c>
      <c r="I9" s="11" t="str">
        <v xml:space="preserve">The budget provisioned for working with ICRISAT's Genebank data to develop the Gen AI tools. </v>
      </c>
    </row>
    <row r="10" ht="50" customHeight="1">
      <c r="A10" s="11" t="str">
        <v>AOW02</v>
      </c>
      <c r="C10" s="11" t="str">
        <v>ICRISAT 10 Number of genebanks deployed AI-powered tools to automate germplasm management and access.</v>
      </c>
      <c r="D10" s="11" t="str">
        <v>Number of innovations (innovation development)</v>
      </c>
      <c r="E10" s="11" t="str">
        <v>Country: India</v>
      </c>
      <c r="F10" s="11">
        <v>6</v>
      </c>
      <c r="G10" s="11">
        <v>30000</v>
      </c>
      <c r="I10" s="11" t="str">
        <v xml:space="preserve">The budget provisioned for working with ICRISAT's Genebank data to develop the Gen AI tools. </v>
      </c>
    </row>
    <row r="11" ht="50" customHeight="1">
      <c r="A11" s="11" t="str">
        <v>AOW02</v>
      </c>
      <c r="B11" s="11" t="str">
        <v>HLO 2.1.5 Advisory products use AI language models to improve relevance and user engagement.</v>
      </c>
      <c r="C11" s="11" t="str">
        <v>ICRISAT 8: Number of advisory services integrating agriculture-focused AI language models.</v>
      </c>
      <c r="D11" s="11" t="str">
        <v>Number of innovations (innovation development)</v>
      </c>
      <c r="E11" s="11" t="str">
        <v>Country: India</v>
      </c>
      <c r="F11" s="11">
        <v>1</v>
      </c>
      <c r="G11" s="11">
        <v>10000</v>
      </c>
      <c r="H11" s="11">
        <f>SUM(G11:G12)</f>
      </c>
      <c r="I11" s="11" t="str">
        <v xml:space="preserve">Assumes stable multilingual LLM performance, integration support from partners, and smooth user testing with ≥5,000 farmers. Assumes $4000 allocation to partner Crea2Sol Pvt Ltd. </v>
      </c>
    </row>
    <row r="12" ht="50" customHeight="1">
      <c r="A12" s="11" t="str">
        <v>AOW02</v>
      </c>
      <c r="C12" s="11" t="str">
        <v>ICRISAT 7: Number of advisory services integrating agriculture-focused AI language models.</v>
      </c>
      <c r="D12" s="11" t="str">
        <v>Number of innovations (innovation development)</v>
      </c>
      <c r="E12" s="11" t="str">
        <v>Country: India</v>
      </c>
      <c r="F12" s="11">
        <v>1</v>
      </c>
      <c r="G12" s="11">
        <v>35000</v>
      </c>
      <c r="I12" s="11" t="str">
        <v>Assumes timely availability of climate and crop datasets and continuous partner engagement (ICAR, IITM,IMD,ILRI, CRIDA). Risks include delays in ML model development, limited compute access, and reliance on external forecast APIs and regulatory clearances</v>
      </c>
    </row>
    <row r="13" ht="25" customHeight="1">
      <c r="B13" s="15" t="str">
        <v>HLO budget subtotal</v>
      </c>
      <c r="H13" s="15">
        <f>SUM(H7:H12)</f>
      </c>
    </row>
    <row r="14" ht="50" customHeight="1">
      <c r="A14" s="13" t="str">
        <v>AOW03</v>
      </c>
      <c r="B14" s="11" t="str">
        <v>HLO 3.1.1:  Probes of a wide range of AI and/or other novel digital solutions  to support system-level scenario analysis of digital frontier technology impacts for decision-makers.</v>
      </c>
      <c r="C14" s="11" t="str">
        <v>ICRISAT 3.1: Number of probes on AI and digital solution supporting system-level scenario analysis for decision-makers.</v>
      </c>
      <c r="D14" s="11" t="str">
        <v>Number of knowledge products</v>
      </c>
      <c r="E14" s="11" t="str">
        <v>Country: India</v>
      </c>
      <c r="F14" s="11">
        <v>1</v>
      </c>
      <c r="G14" s="11">
        <v>46493</v>
      </c>
      <c r="H14" s="11">
        <f>SUM(G14:G15)</f>
      </c>
      <c r="I14" s="11" t="str">
        <v>The budget is provisioned to work with DTA team on AI co-scientist use case. Simultaneously, ICRISAT team will also working on ICRISAT's LLM use case.</v>
      </c>
    </row>
    <row r="15" ht="50" customHeight="1">
      <c r="A15" s="11" t="str">
        <v>AOW03</v>
      </c>
      <c r="C15" s="11" t="str">
        <v>ICRISAT 3: Number of AI and digital solution probes supporting system-level scenario analysis for decision-makers.</v>
      </c>
      <c r="D15" s="11" t="str">
        <v>Number of innovations (innovation development)</v>
      </c>
      <c r="E15" s="11" t="str">
        <v>Country: India</v>
      </c>
      <c r="F15" s="11">
        <v>1</v>
      </c>
      <c r="G15" s="11">
        <v>46493</v>
      </c>
      <c r="I15" s="11" t="str">
        <v>This will include one probe on analytical tools under Digital MRV</v>
      </c>
    </row>
    <row r="16" ht="25" customHeight="1">
      <c r="B16" s="15" t="str">
        <v>HLO budget subtotal</v>
      </c>
      <c r="H16" s="15">
        <f>SUM(H14:H15)</f>
      </c>
    </row>
    <row r="17" ht="50" customHeight="1">
      <c r="A17" s="13" t="str">
        <v>AOW04</v>
      </c>
      <c r="B17" s="11" t="str">
        <v>HLO 4.1.2 Robust, secure and flexible foundational digital infrastructure &amp; sustainable operating model across centers and hubs</v>
      </c>
      <c r="C17" s="11" t="str">
        <v>ICRISAT 6: Number of infrastructure setups deployed for data storage and processing in target domains.</v>
      </c>
      <c r="D17" s="11" t="str">
        <v>Number of innovations (innovation development)</v>
      </c>
      <c r="E17" s="11" t="str">
        <v>Global</v>
      </c>
      <c r="F17" s="11">
        <v>1</v>
      </c>
      <c r="G17" s="11">
        <v>30000</v>
      </c>
      <c r="H17" s="11">
        <f>SUM(G17:G17)</f>
      </c>
      <c r="I17" s="11" t="str">
        <v>The package assumes that CGIAR centers will have sufficient resources, collaboration, and technical readiness to strengthen secure digital infrastructure and build skills in data science, AI, and digital product management. Key risks include inadequate fu</v>
      </c>
    </row>
    <row r="18" ht="50" customHeight="1">
      <c r="A18" s="11" t="str">
        <v>AOW04</v>
      </c>
      <c r="B18" s="11" t="str">
        <v xml:space="preserve">HLO 4.2.5 Capacity building &amp; training packages on human-centric digital product design, development, sustainability, and business models. </v>
      </c>
      <c r="C18" s="11" t="str">
        <v>ICRISAT 5: Number of individuals who received training on Data foundations Geospatial, AI, and HCD.</v>
      </c>
      <c r="D18" s="11" t="str">
        <v>Number of people trained (capacity sharing for development)</v>
      </c>
      <c r="E18" s="11" t="str">
        <v>Global</v>
      </c>
      <c r="F18" s="11">
        <v>50</v>
      </c>
      <c r="G18" s="11">
        <v>30000</v>
      </c>
      <c r="H18" s="11">
        <f>SUM(G18:G19)</f>
      </c>
      <c r="I18" s="11" t="str">
        <v xml:space="preserve"> Active Participation in COPs on, Data foundations Geospatial, AI, and HCD</v>
      </c>
    </row>
    <row r="19" ht="50" customHeight="1">
      <c r="A19" s="11" t="str">
        <v>AOW04</v>
      </c>
      <c r="C19" s="11" t="str">
        <v>ICRISAT 4: Number of knowledge product on GeoAI-driven geomorphological modeling for spatial and ecological planning developed.</v>
      </c>
      <c r="D19" s="11" t="str">
        <v>Number of knowledge products</v>
      </c>
      <c r="E19" s="11" t="str">
        <v>Country: Ethiopia, Kenya, Malawi</v>
      </c>
      <c r="F19" s="11">
        <v>1</v>
      </c>
      <c r="G19" s="11">
        <v>40000</v>
      </c>
      <c r="I19" s="11" t="str">
        <v>The budget assumes that centers will have the resources, collaboration, and technical readiness needed to strengthen secure digital infrastructure and develop skills in AI, data science, and digital product management. Key risks include limited funding, t</v>
      </c>
    </row>
    <row r="20" ht="25" customHeight="1">
      <c r="B20" s="15" t="str">
        <v>HLO budget subtotal</v>
      </c>
      <c r="H20" s="15">
        <f>SUM(H17:H19)</f>
      </c>
    </row>
  </sheetData>
  <mergeCells count="21">
    <mergeCell ref="A1:A2"/>
    <mergeCell ref="B1:B2"/>
    <mergeCell ref="C1:G1"/>
    <mergeCell ref="H1:H2"/>
    <mergeCell ref="I1:I2"/>
    <mergeCell ref="B6:G6"/>
    <mergeCell ref="A3:A6"/>
    <mergeCell ref="B8:B10"/>
    <mergeCell ref="H8:H10"/>
    <mergeCell ref="B11:B12"/>
    <mergeCell ref="H11:H12"/>
    <mergeCell ref="B13:G13"/>
    <mergeCell ref="A7:A13"/>
    <mergeCell ref="B14:B15"/>
    <mergeCell ref="H14:H15"/>
    <mergeCell ref="B16:G16"/>
    <mergeCell ref="A14:A16"/>
    <mergeCell ref="B18:B19"/>
    <mergeCell ref="H18:H19"/>
    <mergeCell ref="B20:G20"/>
    <mergeCell ref="A17:A20"/>
  </mergeCells>
  <ignoredErrors>
    <ignoredError numberStoredAsText="1" sqref="A1:I20"/>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18" t="str">
        <v>Collaborators non-CGIAR centers</v>
      </c>
      <c r="B2" s="18">
        <v>0</v>
      </c>
      <c r="C2" s="18">
        <v>0</v>
      </c>
      <c r="D2" s="18">
        <v>24000</v>
      </c>
      <c r="E2" s="18">
        <v>0</v>
      </c>
      <c r="F2" s="18">
        <v>0</v>
      </c>
      <c r="G2" s="18" t="str">
        <f>=SUM(B2:F2)</f>
        <v>0</v>
      </c>
    </row>
    <row r="3" ht="20" customHeight="1">
      <c r="A3" s="18" t="str">
        <v>Operations (supplies, consultants, travels, workshops, other)</v>
      </c>
      <c r="B3" s="18">
        <v>0</v>
      </c>
      <c r="C3" s="18">
        <v>58000</v>
      </c>
      <c r="D3" s="18">
        <v>68066</v>
      </c>
      <c r="E3" s="18">
        <v>38986</v>
      </c>
      <c r="F3" s="18">
        <v>47500</v>
      </c>
      <c r="G3" s="18" t="str">
        <f>=SUM(B3:F3)</f>
        <v>0</v>
      </c>
    </row>
    <row r="4" ht="20" customHeight="1">
      <c r="A4" s="18" t="str">
        <v>Staffing, Chargebacks and Indirect</v>
      </c>
      <c r="B4" s="18">
        <v>0</v>
      </c>
      <c r="C4" s="18">
        <v>67000</v>
      </c>
      <c r="D4" s="18">
        <v>96000</v>
      </c>
      <c r="E4" s="18">
        <v>54000</v>
      </c>
      <c r="F4" s="18">
        <v>52500</v>
      </c>
      <c r="G4" s="18" t="str">
        <f>=SUM(B4:F4)</f>
        <v>0</v>
      </c>
    </row>
    <row r="5" ht="20" customHeight="1">
      <c r="A5" s="19" t="str">
        <v>Subtotal</v>
      </c>
      <c r="B5" s="20" t="str">
        <f>=SUM(B2:B4)</f>
        <v>0</v>
      </c>
      <c r="C5" s="21" t="str">
        <f>=SUM(C2:C4)</f>
        <v>0</v>
      </c>
      <c r="D5" s="21" t="str">
        <f>=SUM(D2:D4)</f>
        <v>0</v>
      </c>
      <c r="E5" s="21" t="str">
        <f>=SUM(E2:E4)</f>
        <v>0</v>
      </c>
      <c r="F5" s="21" t="str">
        <f>=SUM(F2:F4)</f>
        <v>0</v>
      </c>
      <c r="G5" s="21"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