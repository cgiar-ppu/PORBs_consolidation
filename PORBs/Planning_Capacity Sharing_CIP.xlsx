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CapSha Innovation Laboratory</v>
      </c>
      <c r="B5" s="2">
        <v>3</v>
      </c>
      <c r="C5" s="5">
        <v>35000</v>
      </c>
      <c r="D5" s="2">
        <v>8</v>
      </c>
      <c r="E5" s="5">
        <v>50199</v>
      </c>
      <c r="F5" s="2">
        <v>120</v>
      </c>
      <c r="G5" s="5">
        <v>15000</v>
      </c>
      <c r="H5" s="2">
        <v>0</v>
      </c>
      <c r="I5" s="5">
        <v>0</v>
      </c>
      <c r="J5" s="5">
        <v>0</v>
      </c>
      <c r="K5" s="5">
        <v>0</v>
      </c>
      <c r="L5" s="5">
        <v>100199</v>
      </c>
      <c r="M5" s="5">
        <v>0</v>
      </c>
    </row>
    <row r="6" ht="20" customHeight="1">
      <c r="A6" s="2" t="str">
        <v>AOW02: CapSha Marketplace</v>
      </c>
      <c r="B6" s="2">
        <v>0</v>
      </c>
      <c r="C6" s="5">
        <v>0</v>
      </c>
      <c r="D6" s="2">
        <v>0</v>
      </c>
      <c r="E6" s="5">
        <v>0</v>
      </c>
      <c r="F6" s="2">
        <v>0</v>
      </c>
      <c r="G6" s="5">
        <v>0</v>
      </c>
      <c r="H6" s="2">
        <v>0</v>
      </c>
      <c r="I6" s="5">
        <v>0</v>
      </c>
      <c r="J6" s="5">
        <v>0</v>
      </c>
      <c r="K6" s="5">
        <v>0</v>
      </c>
      <c r="L6" s="5">
        <v>0</v>
      </c>
      <c r="M6" s="5">
        <v>0</v>
      </c>
    </row>
    <row r="7" ht="20" customHeight="1">
      <c r="A7" s="2" t="str">
        <v>AOW03: CapSha South-South and Triangular Cooperation</v>
      </c>
      <c r="B7" s="2">
        <v>0</v>
      </c>
      <c r="C7" s="5">
        <v>0</v>
      </c>
      <c r="D7" s="2">
        <v>0</v>
      </c>
      <c r="E7" s="5">
        <v>0</v>
      </c>
      <c r="F7" s="2">
        <v>0</v>
      </c>
      <c r="G7" s="5">
        <v>0</v>
      </c>
      <c r="H7" s="2">
        <v>0</v>
      </c>
      <c r="I7" s="5">
        <v>0</v>
      </c>
      <c r="J7" s="5">
        <v>0</v>
      </c>
      <c r="K7" s="5">
        <v>0</v>
      </c>
      <c r="L7" s="5">
        <v>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Shared Finance Support</v>
      </c>
      <c r="D2" s="11">
        <v>0</v>
      </c>
    </row>
    <row r="3" ht="45" customHeight="1">
      <c r="A3" s="11" t="str">
        <v>AOW00</v>
      </c>
      <c r="B3" s="11" t="str">
        <v>PMU (shared with other Accelerators)</v>
      </c>
      <c r="C3" s="11" t="str">
        <v/>
      </c>
      <c r="D3" s="11">
        <v>0</v>
      </c>
    </row>
    <row r="4" ht="45" customHeight="1">
      <c r="A4" s="11" t="str">
        <v>AOW00</v>
      </c>
      <c r="B4" s="11" t="str">
        <v>Leads for AoW1-3</v>
      </c>
      <c r="D4" s="11">
        <v>0</v>
      </c>
    </row>
    <row r="5" ht="45" customHeight="1">
      <c r="A5" s="11" t="str">
        <v>AOW00</v>
      </c>
      <c r="B5" s="11" t="str">
        <v>Operational funds for the CapSha Lead</v>
      </c>
      <c r="D5" s="11">
        <v>0</v>
      </c>
    </row>
    <row r="6" ht="45" customHeight="1">
      <c r="A6" s="11" t="str">
        <v>AOW00</v>
      </c>
      <c r="B6" s="11" t="str">
        <v>CapSha Accelerator Lead</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HLO 1.1.1: CapSha research</v>
      </c>
      <c r="C3" s="11" t="str">
        <v>Innovative research and lessons learned papers on novel CapSha aproaches at the individual, organizational and system level are researched and published</v>
      </c>
      <c r="D3" s="11" t="str">
        <v>Number of knowledge products</v>
      </c>
      <c r="E3" s="11" t="str">
        <v>Global</v>
      </c>
      <c r="F3" s="11">
        <v>5</v>
      </c>
      <c r="G3" s="11">
        <v>35199</v>
      </c>
      <c r="H3" s="11">
        <f>SUM(G3:G3)</f>
      </c>
      <c r="I3" s="11" t="str" xml:space="preserve">
        <v xml:space="preserve">Publication on: 1) the Genebank Community of Practices as an innovative approach to CapSha
and 2) on lessons learned from the case of supporting policy change in the informal food system sector.</v>
      </c>
    </row>
    <row r="4" ht="50" customHeight="1">
      <c r="A4" s="11" t="str">
        <v>AOW01</v>
      </c>
      <c r="B4" s="11" t="str">
        <v>HLO 1.1.2: CapSha pilots</v>
      </c>
      <c r="C4" s="11" t="str">
        <v>CapSha pilots have been planned, implemented and evaluated, generating insights that feed into the production of lessons learned papers (HLO1.1.1). CapSha pilots investigate and test innovatative approaches to capacity development</v>
      </c>
      <c r="D4" s="11" t="str">
        <v>Number of innovations (innovation development)</v>
      </c>
      <c r="E4" s="11" t="str">
        <v>Global</v>
      </c>
      <c r="F4" s="11">
        <v>3</v>
      </c>
      <c r="G4" s="11">
        <v>35000</v>
      </c>
      <c r="H4" s="11">
        <f>SUM(G4:G4)</f>
      </c>
      <c r="I4" s="11" t="str">
        <v>Use case 1: in collaboration with S4I and AGRA, scale the PABRA seed systems model to Kenya and Malawi by supporting knowledge hubs, youth and scientist training, peer learning across the PABRA network, and documenting lessons from these SSTC platforms.</v>
      </c>
    </row>
    <row r="5" ht="50" customHeight="1">
      <c r="A5" s="11" t="str">
        <v>AOW01</v>
      </c>
      <c r="B5" s="11" t="str">
        <v>HLO 1.1.3: CapSha toolbox</v>
      </c>
      <c r="C5" s="11" t="str">
        <v>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v>
      </c>
      <c r="D5" s="11" t="str">
        <v>Number of people trained (capacity sharing for development)</v>
      </c>
      <c r="E5" s="11" t="str">
        <v>Global</v>
      </c>
      <c r="F5" s="11">
        <v>120</v>
      </c>
      <c r="G5" s="11">
        <v>15000</v>
      </c>
      <c r="H5" s="11">
        <f>SUM(G5:G6)</f>
      </c>
      <c r="I5" s="11" t="str">
        <v>Contribute to sharing AoW1 work and results at CapSha workshops and webinars, CoP meetings and other regional, international events: CIP will share the results with the CGIAR genebank CoPs.</v>
      </c>
    </row>
    <row r="6" ht="50" customHeight="1">
      <c r="A6" s="11" t="str">
        <v>AOW01</v>
      </c>
      <c r="C6" s="11" t="str">
        <v>Good practice principles, manuals, guidelines and frameworks on CapSha are researched and published</v>
      </c>
      <c r="D6" s="11" t="str">
        <v>Number of knowledge products</v>
      </c>
      <c r="E6" s="11" t="str">
        <v>Global</v>
      </c>
      <c r="F6" s="11">
        <v>3</v>
      </c>
      <c r="G6" s="11">
        <v>15000</v>
      </c>
      <c r="I6" s="11" t="str">
        <v>Include gender/inclusion to: Matrix-map S/A CapDev interventions to show the thematic and geographic footprint, highlight opportunities for synergies, and inform CapSha Accelerator use-case design through NARIS/NARES capacity-gap analysis under AoW3.</v>
      </c>
    </row>
    <row r="7" ht="25" customHeight="1">
      <c r="B7" s="14" t="str">
        <v>HLO budget subtotal</v>
      </c>
      <c r="H7" s="15">
        <f>SUM(H3:H6)</f>
      </c>
    </row>
  </sheetData>
  <mergeCells count="9">
    <mergeCell ref="A1:A2"/>
    <mergeCell ref="B1:B2"/>
    <mergeCell ref="C1:G1"/>
    <mergeCell ref="H1:H2"/>
    <mergeCell ref="I1:I2"/>
    <mergeCell ref="B5:B6"/>
    <mergeCell ref="H5:H6"/>
    <mergeCell ref="B7:G7"/>
    <mergeCell ref="A3:A7"/>
  </mergeCells>
  <ignoredErrors>
    <ignoredError numberStoredAsText="1" sqref="A1:I7"/>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1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Implementation monitoring and corrective action</v>
      </c>
      <c r="B2" s="19" t="str">
        <v>AOW03</v>
      </c>
      <c r="C2" s="18" t="str">
        <v>HLO 3.1.1: Partnership engagement mechanisms</v>
      </c>
      <c r="D2" s="19">
        <v>0</v>
      </c>
      <c r="E2" s="19" t="str">
        <f>=SUM(D2:D5)</f>
        <v>0</v>
      </c>
    </row>
    <row r="3" ht="30" customHeight="1">
      <c r="A3" s="18" t="str">
        <v>Implementation monitoring and corrective action</v>
      </c>
      <c r="B3" s="19" t="str">
        <v>AOW00</v>
      </c>
      <c r="C3" s="18" t="str">
        <v>CapSha mainstreamed</v>
      </c>
      <c r="D3" s="19">
        <v>0</v>
      </c>
    </row>
    <row r="4" ht="30" customHeight="1">
      <c r="A4" s="18" t="str">
        <v>Implementation monitoring and corrective action</v>
      </c>
      <c r="B4" s="19" t="str">
        <v>AOW01</v>
      </c>
      <c r="C4" s="18" t="str">
        <v>HLO 1.1.1: CapSha research</v>
      </c>
      <c r="D4" s="19">
        <v>0</v>
      </c>
    </row>
    <row r="5" ht="30" customHeight="1">
      <c r="A5" s="18" t="str">
        <v>Implementation monitoring and corrective action</v>
      </c>
      <c r="B5" s="19" t="str">
        <v>AOW02</v>
      </c>
      <c r="C5" s="18" t="str">
        <v>HLO 2.1.1: Supply mapped</v>
      </c>
      <c r="D5" s="19">
        <v>0</v>
      </c>
    </row>
    <row r="6" ht="30" customHeight="1">
      <c r="A6" s="18" t="str">
        <v>Stakeholder consultation and collaborative learning</v>
      </c>
      <c r="B6" s="19" t="str">
        <v>AOW03</v>
      </c>
      <c r="C6" s="18" t="str">
        <v>HLO 3.1.1: Partnership engagement mechanisms</v>
      </c>
      <c r="D6" s="19">
        <v>0</v>
      </c>
      <c r="E6" s="19" t="str">
        <f>=SUM(D6:D9)</f>
        <v>0</v>
      </c>
    </row>
    <row r="7" ht="30" customHeight="1">
      <c r="A7" s="18" t="str">
        <v>Stakeholder consultation and collaborative learning</v>
      </c>
      <c r="B7" s="19" t="str">
        <v>AOW00</v>
      </c>
      <c r="C7" s="18" t="str">
        <v>CapSha mainstreamed</v>
      </c>
      <c r="D7" s="19">
        <v>0</v>
      </c>
    </row>
    <row r="8" ht="30" customHeight="1">
      <c r="A8" s="18" t="str">
        <v>Stakeholder consultation and collaborative learning</v>
      </c>
      <c r="B8" s="19" t="str">
        <v>AOW01</v>
      </c>
      <c r="C8" s="18" t="str">
        <v>HLO 1.1.1: CapSha research</v>
      </c>
      <c r="D8" s="19">
        <v>0</v>
      </c>
    </row>
    <row r="9" ht="30" customHeight="1">
      <c r="A9" s="18" t="str">
        <v>Stakeholder consultation and collaborative learning</v>
      </c>
      <c r="B9" s="19" t="str">
        <v>AOW02</v>
      </c>
      <c r="C9" s="18" t="str">
        <v>HLO 2.1.1: Supply mapped</v>
      </c>
      <c r="D9" s="19">
        <v>0</v>
      </c>
    </row>
    <row r="10" ht="30" customHeight="1">
      <c r="A10" s="18" t="str">
        <v>Independent mid-term evaluation of the CapSha Accelerator</v>
      </c>
      <c r="B10" s="19" t="str">
        <v>AOW03</v>
      </c>
      <c r="C10" s="18" t="str">
        <v>IOC 0.1: CapSha CoP successful</v>
      </c>
      <c r="D10" s="19">
        <v>0</v>
      </c>
      <c r="E10" s="19" t="str">
        <f>=SUM(D10:D13)</f>
        <v>0</v>
      </c>
    </row>
    <row r="11" ht="30" customHeight="1">
      <c r="A11" s="18" t="str">
        <v>Independent mid-term evaluation of the CapSha Accelerator</v>
      </c>
      <c r="B11" s="19" t="str">
        <v>AOW00</v>
      </c>
      <c r="C11" s="18" t="str">
        <v>CapSha mainstreamed</v>
      </c>
      <c r="D11" s="19">
        <v>0</v>
      </c>
    </row>
    <row r="12" ht="30" customHeight="1">
      <c r="A12" s="18" t="str">
        <v>Independent mid-term evaluation of the CapSha Accelerator</v>
      </c>
      <c r="B12" s="19" t="str">
        <v>AOW01</v>
      </c>
      <c r="C12" s="18" t="str">
        <v>IOC 1.1: CapSha adopted</v>
      </c>
      <c r="D12" s="19">
        <v>0</v>
      </c>
    </row>
    <row r="13" ht="30" customHeight="1">
      <c r="A13" s="18" t="str">
        <v>Independent mid-term evaluation of the CapSha Accelerator</v>
      </c>
      <c r="B13" s="19" t="str">
        <v>AOW02</v>
      </c>
      <c r="C13" s="18" t="str">
        <v>IOC 2.1: CapSha Marketplace used</v>
      </c>
      <c r="D13" s="19">
        <v>0</v>
      </c>
    </row>
    <row r="14" ht="30" customHeight="1">
      <c r="A14" s="18" t="str">
        <v>Independent evaluation of the CapSha Accelerator</v>
      </c>
      <c r="B14" s="19" t="str">
        <v>AOW03</v>
      </c>
      <c r="C14" s="18" t="str">
        <v>IOC 0.1: CapSha CoP successful</v>
      </c>
      <c r="D14" s="19">
        <v>0</v>
      </c>
      <c r="E14" s="19" t="str">
        <f>=SUM(D14:D17)</f>
        <v>0</v>
      </c>
    </row>
    <row r="15" ht="30" customHeight="1">
      <c r="A15" s="18" t="str">
        <v>Independent evaluation of the CapSha Accelerator</v>
      </c>
      <c r="B15" s="19" t="str">
        <v>AOW00</v>
      </c>
      <c r="C15" s="18" t="str">
        <v>CapSha mainstreamed</v>
      </c>
      <c r="D15" s="19">
        <v>0</v>
      </c>
    </row>
    <row r="16" ht="30" customHeight="1">
      <c r="A16" s="18" t="str">
        <v>Independent evaluation of the CapSha Accelerator</v>
      </c>
      <c r="B16" s="19" t="str">
        <v>AOW01</v>
      </c>
      <c r="C16" s="18" t="str">
        <v>IOC 1.1: CapSha adopted</v>
      </c>
      <c r="D16" s="19">
        <v>0</v>
      </c>
    </row>
    <row r="17" ht="30" customHeight="1">
      <c r="A17" s="18" t="str">
        <v>Independent evaluation of the CapSha Accelerator</v>
      </c>
      <c r="B17" s="19" t="str">
        <v>AOW02</v>
      </c>
      <c r="C17" s="18" t="str">
        <v>IOC 2.1: CapSha Marketplace used</v>
      </c>
      <c r="D17" s="19">
        <v>0</v>
      </c>
    </row>
    <row r="18" ht="30" customHeight="1">
      <c r="A18" s="3" t="str">
        <v>MELIA Studies Budget subtotal</v>
      </c>
      <c r="E18" s="3">
        <f>SUM(E2:E17)</f>
      </c>
    </row>
  </sheetData>
  <mergeCells count="9">
    <mergeCell ref="A2:A5"/>
    <mergeCell ref="A6:A9"/>
    <mergeCell ref="A10:A13"/>
    <mergeCell ref="A14:A17"/>
    <mergeCell ref="E2:E5"/>
    <mergeCell ref="E6:E9"/>
    <mergeCell ref="E10:E13"/>
    <mergeCell ref="E14:E17"/>
    <mergeCell ref="A18:D18"/>
  </mergeCells>
  <ignoredErrors>
    <ignoredError numberStoredAsText="1" sqref="A1:F18"/>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0</v>
      </c>
      <c r="C2" s="20">
        <v>7000</v>
      </c>
      <c r="D2" s="20">
        <v>0</v>
      </c>
      <c r="E2" s="20">
        <v>0</v>
      </c>
      <c r="F2" s="20" t="str">
        <f>=SUM(B2:E2)</f>
        <v>0</v>
      </c>
    </row>
    <row r="3" ht="20" customHeight="1">
      <c r="A3" s="20" t="str">
        <v>Operations (supplies, consultants, travels, workshops, other)</v>
      </c>
      <c r="B3" s="20">
        <v>0</v>
      </c>
      <c r="C3" s="20">
        <v>46378</v>
      </c>
      <c r="D3" s="20">
        <v>0</v>
      </c>
      <c r="E3" s="20">
        <v>0</v>
      </c>
      <c r="F3" s="20" t="str">
        <f>=SUM(B3:E3)</f>
        <v>0</v>
      </c>
    </row>
    <row r="4" ht="20" customHeight="1">
      <c r="A4" s="20" t="str">
        <v>Staffing, Chargebacks and Indirect</v>
      </c>
      <c r="B4" s="20">
        <v>0</v>
      </c>
      <c r="C4" s="20">
        <v>46821</v>
      </c>
      <c r="D4" s="20">
        <v>0</v>
      </c>
      <c r="E4" s="20">
        <v>0</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