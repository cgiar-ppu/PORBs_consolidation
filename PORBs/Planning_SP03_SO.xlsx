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530200</v>
      </c>
      <c r="M4" s="5">
        <v>0</v>
      </c>
    </row>
    <row r="5" ht="20" customHeight="1">
      <c r="A5" s="2" t="str">
        <v>AOW01: Productivity+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Climate and the Environment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One Health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Market Systems, Policy Solutions and Scaling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Gender, Youth and Social Inclusion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Data and Digital Solutions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Leads</v>
      </c>
      <c r="C2" s="11" t="str">
        <v>Six (6) AOW Leads averaging 21.67% FTE</v>
      </c>
      <c r="D2" s="11">
        <v>0</v>
      </c>
    </row>
    <row r="3" ht="45" customHeight="1">
      <c r="A3" s="11" t="str">
        <v>AOW00</v>
      </c>
      <c r="B3" s="11" t="str">
        <v>Program Meetings and Workshops</v>
      </c>
      <c r="C3" s="11" t="str">
        <v>In-person progress, review, or planning meetings for program leadership, including the annual pause and reflect event</v>
      </c>
      <c r="D3" s="11">
        <v>0</v>
      </c>
    </row>
    <row r="4" ht="45" customHeight="1">
      <c r="A4" s="11" t="str">
        <v>AOW00</v>
      </c>
      <c r="B4" s="11" t="str">
        <v>Program Director Discretionary</v>
      </c>
      <c r="C4" s="11" t="str">
        <v>As directed by the SO; funds for consultants, meetings, travel, workshops, supplies, and other admin support needed by the Program Director in 2026 to address emerging opportunities and gaps or strategic program level issues</v>
      </c>
      <c r="D4" s="11">
        <v>0</v>
      </c>
    </row>
    <row r="5" ht="45" customHeight="1" xml:space="preserve">
      <c r="A5" s="11" t="str">
        <v>AOW00</v>
      </c>
      <c r="B5" s="11" t="str">
        <v>Program Director Operations Costs</v>
      </c>
      <c r="C5" s="11" t="str">
        <v>As instructed by the SO; Travel, consultants, supplies, admin support, meetings or workshops required by the Director to perform their role</v>
      </c>
      <c r="D5" s="11">
        <v>229429</v>
      </c>
      <c r="E5" s="11" t="str" xml:space="preserve">
        <v xml:space="preserve">As instructed by the SO; Travel, consultants, supplies, admin support, meetings or workshops required by the Director to perform their role;
Admin Support $35,000
Meetings and Workshop $60,000
Travel $80,000
Smaller consultancies $30,000
Supplies and expe</v>
      </c>
    </row>
    <row r="6" ht="45" customHeight="1">
      <c r="A6" s="11" t="str">
        <v>AOW00</v>
      </c>
      <c r="B6" s="11" t="str">
        <v>Other PMU Operations</v>
      </c>
      <c r="C6" s="11" t="str">
        <v>Travel, office supplies, and other charge-backs for PMU team</v>
      </c>
      <c r="D6" s="11">
        <v>0</v>
      </c>
    </row>
    <row r="7" ht="45" customHeight="1">
      <c r="A7" s="11" t="str">
        <v>AOW00</v>
      </c>
      <c r="B7" s="11" t="str">
        <v>SO Central Finance Funds</v>
      </c>
      <c r="C7" s="11" t="str">
        <v>As required by the SO</v>
      </c>
      <c r="D7" s="11">
        <v>20200</v>
      </c>
      <c r="E7" s="11" t="str">
        <v>As requested by SO</v>
      </c>
    </row>
    <row r="8" ht="45" customHeight="1">
      <c r="A8" s="11" t="str">
        <v>AOW00</v>
      </c>
      <c r="B8" s="11" t="str">
        <v>Program MELIA Funds</v>
      </c>
      <c r="C8" s="11" t="str">
        <v>Program funds for implementation of the MELIA plan</v>
      </c>
      <c r="D8" s="11">
        <v>0</v>
      </c>
    </row>
    <row r="9" ht="45" customHeight="1">
      <c r="A9" s="11" t="str">
        <v>AOW00</v>
      </c>
      <c r="B9" s="11" t="str">
        <v>Program Communications Operations</v>
      </c>
      <c r="C9" s="11" t="str">
        <v>Program communications funds to implement CKM strategy</v>
      </c>
      <c r="D9" s="11">
        <v>0</v>
      </c>
    </row>
    <row r="10" ht="45" customHeight="1">
      <c r="A10" s="11" t="str">
        <v>AOW00</v>
      </c>
      <c r="B10" s="11" t="str">
        <v>PMU Team</v>
      </c>
      <c r="C10" s="11" t="str">
        <v>Staff fees for Program Coordinator (50%), Program MELIA Focal Point (20%) and Program CKM Lead (50%) and any other administrative roles/needs</v>
      </c>
      <c r="D10" s="11">
        <v>0</v>
      </c>
    </row>
    <row r="11" ht="45" customHeight="1">
      <c r="A11" s="11" t="str">
        <v>AOW00</v>
      </c>
      <c r="B11" s="11" t="str">
        <v>Program Director Staff Costs</v>
      </c>
      <c r="C11" s="11" t="str">
        <v>100% FTE Program Director and associated cost recovery</v>
      </c>
      <c r="D11" s="11">
        <v>280571</v>
      </c>
      <c r="E11" s="11" t="str">
        <v>100% FTE Program Director and associated cost recovery - Based on 2025 SO 6 month's estimate x 2</v>
      </c>
    </row>
  </sheetData>
  <mergeCells count="1">
    <mergeCell ref="A2:A11"/>
  </mergeCells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 t="str">
        <f>=SUM(B2:H2)</f>
        <v>0</v>
      </c>
    </row>
    <row r="3" ht="20" customHeight="1">
      <c r="A3" s="15" t="str">
        <v>Operations (supplies, consultants, travels, workshops, other)</v>
      </c>
      <c r="B3" s="15">
        <v>229429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 t="str">
        <f>=SUM(B3:H3)</f>
        <v>0</v>
      </c>
    </row>
    <row r="4" ht="20" customHeight="1">
      <c r="A4" s="15" t="str">
        <v>Staffing, Chargebacks and Indirect</v>
      </c>
      <c r="B4" s="15">
        <v>300771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 t="str">
        <f>=SUM(B4:H4)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  <c r="I5" s="18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