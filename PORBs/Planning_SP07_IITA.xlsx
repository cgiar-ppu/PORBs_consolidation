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Foresight and Prioritization </v>
      </c>
      <c r="B5" s="2">
        <v>0</v>
      </c>
      <c r="C5" s="5">
        <v>0</v>
      </c>
      <c r="D5" s="2">
        <v>3</v>
      </c>
      <c r="E5" s="5">
        <v>74601</v>
      </c>
      <c r="F5" s="2">
        <v>0</v>
      </c>
      <c r="G5" s="5">
        <v>0</v>
      </c>
      <c r="H5" s="2">
        <v>1</v>
      </c>
      <c r="I5" s="5">
        <v>44039</v>
      </c>
      <c r="J5" s="5">
        <v>0</v>
      </c>
      <c r="K5" s="5">
        <v>0</v>
      </c>
      <c r="L5" s="5">
        <v>118640</v>
      </c>
      <c r="M5" s="5">
        <v>514338</v>
      </c>
    </row>
    <row r="6" ht="20" customHeight="1">
      <c r="A6" s="2" t="str">
        <v xml:space="preserve">AOW02: Market-led Food Systems Transformation </v>
      </c>
      <c r="B6" s="2">
        <v>0</v>
      </c>
      <c r="C6" s="5">
        <v>0</v>
      </c>
      <c r="D6" s="2">
        <v>0</v>
      </c>
      <c r="E6" s="5">
        <v>0</v>
      </c>
      <c r="F6" s="2">
        <v>0</v>
      </c>
      <c r="G6" s="5">
        <v>0</v>
      </c>
      <c r="H6" s="2">
        <v>0</v>
      </c>
      <c r="I6" s="5">
        <v>0</v>
      </c>
      <c r="J6" s="5">
        <v>0</v>
      </c>
      <c r="K6" s="5">
        <v>0</v>
      </c>
      <c r="L6" s="5">
        <v>0</v>
      </c>
      <c r="M6" s="5">
        <v>2036938</v>
      </c>
    </row>
    <row r="7" ht="20" customHeight="1">
      <c r="A7" s="2" t="str">
        <v xml:space="preserve">AOW03: Governance and Political Economy </v>
      </c>
      <c r="B7" s="2">
        <v>0</v>
      </c>
      <c r="C7" s="5">
        <v>0</v>
      </c>
      <c r="D7" s="2">
        <v>0</v>
      </c>
      <c r="E7" s="5">
        <v>0</v>
      </c>
      <c r="F7" s="2">
        <v>0</v>
      </c>
      <c r="G7" s="5">
        <v>0</v>
      </c>
      <c r="H7" s="2">
        <v>0</v>
      </c>
      <c r="I7" s="5">
        <v>0</v>
      </c>
      <c r="J7" s="5">
        <v>0</v>
      </c>
      <c r="K7" s="5">
        <v>0</v>
      </c>
      <c r="L7" s="5">
        <v>0</v>
      </c>
      <c r="M7" s="5">
        <v>0</v>
      </c>
    </row>
    <row r="8" ht="20" customHeight="1">
      <c r="A8" s="2" t="str">
        <v xml:space="preserve">AOW04: Water, Energy, Food, and Environment (WEFE) Nexus Policy </v>
      </c>
      <c r="B8" s="2">
        <v>0</v>
      </c>
      <c r="C8" s="5">
        <v>0</v>
      </c>
      <c r="D8" s="2">
        <v>0</v>
      </c>
      <c r="E8" s="5">
        <v>0</v>
      </c>
      <c r="F8" s="2">
        <v>0</v>
      </c>
      <c r="G8" s="5">
        <v>0</v>
      </c>
      <c r="H8" s="2">
        <v>0</v>
      </c>
      <c r="I8" s="5">
        <v>0</v>
      </c>
      <c r="J8" s="5">
        <v>0</v>
      </c>
      <c r="K8" s="5">
        <v>0</v>
      </c>
      <c r="L8" s="5">
        <v>0</v>
      </c>
      <c r="M8" s="5">
        <v>0</v>
      </c>
    </row>
    <row r="9" ht="20" customHeight="1">
      <c r="A9" s="2" t="str">
        <v>AOW05: Country and Regional Strategy and Engagement</v>
      </c>
      <c r="B9" s="2">
        <v>0</v>
      </c>
      <c r="C9" s="5">
        <v>0</v>
      </c>
      <c r="D9" s="2">
        <v>4</v>
      </c>
      <c r="E9" s="5">
        <v>40434</v>
      </c>
      <c r="F9" s="2">
        <v>20</v>
      </c>
      <c r="G9" s="5">
        <v>40433</v>
      </c>
      <c r="H9" s="2">
        <v>17</v>
      </c>
      <c r="I9" s="5">
        <v>209379</v>
      </c>
      <c r="J9" s="5">
        <v>0</v>
      </c>
      <c r="K9" s="5">
        <v>0</v>
      </c>
      <c r="L9" s="5">
        <v>290246</v>
      </c>
      <c r="M9" s="5">
        <v>262338</v>
      </c>
    </row>
    <row r="10" ht="20" customHeight="1">
      <c r="A10" s="2" t="str">
        <v xml:space="preserve">AOW06: Global Poverty and Jobs Policy Knowledge Brokering Hub </v>
      </c>
      <c r="B10" s="2">
        <v>0</v>
      </c>
      <c r="C10" s="5">
        <v>0</v>
      </c>
      <c r="D10" s="2">
        <v>1</v>
      </c>
      <c r="E10" s="5">
        <v>15294</v>
      </c>
      <c r="F10" s="2">
        <v>0</v>
      </c>
      <c r="G10" s="5">
        <v>0</v>
      </c>
      <c r="H10" s="2">
        <v>2</v>
      </c>
      <c r="I10" s="5">
        <v>59331</v>
      </c>
      <c r="J10" s="5">
        <v>0</v>
      </c>
      <c r="K10" s="5">
        <v>0</v>
      </c>
      <c r="L10" s="5">
        <v>74625</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Director costs</v>
      </c>
      <c r="C2" s="11" t="str">
        <v/>
      </c>
      <c r="D2" s="11">
        <v>0</v>
      </c>
    </row>
    <row r="3" ht="45" customHeight="1">
      <c r="A3" s="11" t="str">
        <v>AOW00</v>
      </c>
      <c r="B3" s="11" t="str">
        <v>PMU</v>
      </c>
      <c r="C3" s="11" t="str">
        <v/>
      </c>
      <c r="D3" s="11">
        <v>0</v>
      </c>
    </row>
    <row r="4" ht="45" customHeight="1">
      <c r="A4" s="11" t="str">
        <v>AOW00</v>
      </c>
      <c r="B4" s="11" t="str">
        <v>Discretionary funds</v>
      </c>
      <c r="D4" s="11">
        <v>0</v>
      </c>
    </row>
    <row r="5" ht="45" customHeight="1">
      <c r="A5" s="11" t="str">
        <v>AOW00</v>
      </c>
      <c r="B5" s="11" t="str">
        <v>AoW Leads</v>
      </c>
      <c r="D5" s="11">
        <v>0</v>
      </c>
    </row>
    <row r="6" ht="45" customHeight="1">
      <c r="A6" s="11" t="str">
        <v>AOW00</v>
      </c>
      <c r="B6" s="11" t="str">
        <v>SO Finance Shared</v>
      </c>
      <c r="C6" s="11" t="str">
        <v>Centralized Finance</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2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1.2. Policy response</v>
      </c>
      <c r="C3" s="11" t="str">
        <v>Critical Capability - Other - IMPACT modeling and GAMS-based ex-ante impact assessment tools for R&amp;D Prioritization</v>
      </c>
      <c r="D3" s="11" t="str">
        <v xml:space="preserve"> Tools</v>
      </c>
      <c r="E3" s="11" t="str">
        <v>Regional: Sub-Saharan Africa</v>
      </c>
      <c r="F3" s="11">
        <v>1</v>
      </c>
      <c r="G3" s="11">
        <v>44039</v>
      </c>
      <c r="H3" s="11">
        <f>SUM(G3:G4)</f>
      </c>
      <c r="I3" s="11" t="str">
        <v>Budget and partner to add in Q1 2026</v>
      </c>
    </row>
    <row r="4" ht="50" customHeight="1">
      <c r="A4" s="11" t="str">
        <v>AOW01</v>
      </c>
      <c r="C4" s="11" t="str">
        <v>Regional and/or commodity-specific briefs (from R&amp;D global report)</v>
      </c>
      <c r="D4" s="11" t="str">
        <v>Number of knowledge products</v>
      </c>
      <c r="E4" s="11" t="str">
        <v>Country: Ethiopia, Bangladesh, Kenya</v>
      </c>
      <c r="F4" s="11">
        <v>3</v>
      </c>
      <c r="G4" s="11">
        <v>74601</v>
      </c>
      <c r="I4" s="11" t="str">
        <v>Budget and partner to add in Q1 2026</v>
      </c>
    </row>
    <row r="5" ht="25" customHeight="1">
      <c r="B5" s="14" t="str">
        <v>HLO budget subtotal</v>
      </c>
      <c r="H5" s="15">
        <f>SUM(H3:H4)</f>
      </c>
    </row>
    <row r="6" ht="50" customHeight="1" xml:space="preserve">
      <c r="A6" s="13" t="str">
        <v>AOW05</v>
      </c>
      <c r="B6" s="11" t="str">
        <v>5.1. Agenda Setting</v>
      </c>
      <c r="C6" s="11" t="str" xml:space="preserve">
        <v xml:space="preserve">Policy recommendations in response to demand from governement demand using rapid response mechanism
</v>
      </c>
      <c r="D6" s="11" t="str">
        <v xml:space="preserve"> Policy recommendation</v>
      </c>
      <c r="E6" s="11" t="str">
        <v>Country: Malawi</v>
      </c>
      <c r="F6" s="11">
        <v>4</v>
      </c>
      <c r="G6" s="11">
        <v>20217</v>
      </c>
      <c r="H6" s="11">
        <f>SUM(G6:G9)</f>
      </c>
      <c r="I6" s="11" t="str">
        <v>The National Planning Commission - $5,000 (All Activities)</v>
      </c>
    </row>
    <row r="7" ht="50" customHeight="1">
      <c r="A7" s="11" t="str">
        <v>AOW05</v>
      </c>
      <c r="C7" s="11" t="str">
        <v>Policy recommendations in response to demand from governement demand using rapid response mechanism</v>
      </c>
      <c r="D7" s="11" t="str">
        <v xml:space="preserve"> Policy recommendation</v>
      </c>
      <c r="E7" s="11" t="str">
        <v>Country: Nigeria</v>
      </c>
      <c r="F7" s="11">
        <v>4</v>
      </c>
      <c r="G7" s="11">
        <v>20217</v>
      </c>
      <c r="I7" s="11" t="str">
        <v>Budget and partner to add in Q1 2026</v>
      </c>
    </row>
    <row r="8" ht="50" customHeight="1">
      <c r="A8" s="11" t="str">
        <v>AOW05</v>
      </c>
      <c r="C8" s="11" t="str">
        <v>Policy recommendations in response to demand from governement demand using rapid response mechanism</v>
      </c>
      <c r="D8" s="11" t="str">
        <v>Number of knowledge products</v>
      </c>
      <c r="E8" s="11" t="str">
        <v>Country: Malawi</v>
      </c>
      <c r="F8" s="11">
        <v>2</v>
      </c>
      <c r="G8" s="11">
        <v>20217</v>
      </c>
      <c r="I8" s="11" t="str">
        <v>The National Planning Commission - $5,000 (All Activities)</v>
      </c>
    </row>
    <row r="9" ht="50" customHeight="1">
      <c r="A9" s="11" t="str">
        <v>AOW05</v>
      </c>
      <c r="C9" s="11" t="str">
        <v>Policy recommendations in response to demand from governement demand using rapid response mechanism</v>
      </c>
      <c r="D9" s="11" t="str">
        <v>Number of knowledge products</v>
      </c>
      <c r="E9" s="11" t="str">
        <v>Country: Nigeria</v>
      </c>
      <c r="F9" s="11">
        <v>2</v>
      </c>
      <c r="G9" s="11">
        <v>20217</v>
      </c>
      <c r="I9" s="11" t="str">
        <v>Budget and partner to add in Q1 2026</v>
      </c>
    </row>
    <row r="10" ht="50" customHeight="1" xml:space="preserve">
      <c r="A10" s="11" t="str">
        <v>AOW05</v>
      </c>
      <c r="B10" s="11" t="str">
        <v>5.2. Policy response</v>
      </c>
      <c r="C10" s="11" t="str" xml:space="preserve">
        <v xml:space="preserve">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 IITA's critical capability in this area will deliver fertilizer policy dialogue under the Regional Hub for Fertilizer and Soil Health for West Africa and the Sahel. The Regional Hub is a collaborative initiative that works on fertilizer policy by promoting harmonized policies, supporting investments in local production, improving market access, and strengthening regional cooperation to boost soil health and agricultural productivity. The hub's activities include developing site-specific fertilizer recommendations, improving soil information systems, and advocating for policies that support sustainable practices. 
"</v>
      </c>
      <c r="D10" s="11" t="str">
        <v xml:space="preserve"> Policy engagement</v>
      </c>
      <c r="E10" s="11" t="str">
        <v>Regional: Western Africa</v>
      </c>
      <c r="F10" s="11">
        <v>1</v>
      </c>
      <c r="G10" s="11">
        <v>88077</v>
      </c>
      <c r="H10" s="11">
        <f>SUM(G10:G14)</f>
      </c>
      <c r="I10" s="11" t="str">
        <v>Budget and partner to add in Q1 2026</v>
      </c>
    </row>
    <row r="11" ht="50" customHeight="1">
      <c r="A11" s="11" t="str">
        <v>AOW05</v>
      </c>
      <c r="C11" s="11" t="str">
        <v>Country policy dialogues/seminars organized to inform policy makers about research based findings from AOW5 and other AOWs.</v>
      </c>
      <c r="D11" s="11" t="str">
        <v xml:space="preserve"> Policy informed</v>
      </c>
      <c r="E11" s="11" t="str">
        <v>Country: Malawi</v>
      </c>
      <c r="F11" s="11">
        <v>2</v>
      </c>
      <c r="G11" s="11">
        <v>20217</v>
      </c>
      <c r="I11" s="11" t="str">
        <v>The National Planning Commission - $5,000 (All Activities)</v>
      </c>
    </row>
    <row r="12" ht="50" customHeight="1" xml:space="preserve">
      <c r="A12" s="11" t="str">
        <v>AOW05</v>
      </c>
      <c r="C12" s="11" t="str" xml:space="preserve">
        <v xml:space="preserve">Country policy dialogues/seminars organized to inform policy makers about research based findings from AOW5 and other AOWs.
</v>
      </c>
      <c r="D12" s="11" t="str">
        <v xml:space="preserve"> Policy informed</v>
      </c>
      <c r="E12" s="11" t="str">
        <v>Country: Nigeria</v>
      </c>
      <c r="F12" s="11">
        <v>2</v>
      </c>
      <c r="G12" s="11">
        <v>20217</v>
      </c>
      <c r="I12" s="11" t="str">
        <v>Budget and partner to add in Q1 2026</v>
      </c>
    </row>
    <row r="13" ht="50" customHeight="1">
      <c r="A13" s="11" t="str">
        <v>AOW05</v>
      </c>
      <c r="C13" s="11" t="str">
        <v>Country policy dialogues/seminars. First policy dialogue will serve as launch event</v>
      </c>
      <c r="D13" s="11" t="str">
        <v>Policy demand, consultations &amp; dialogues</v>
      </c>
      <c r="E13" s="11" t="str">
        <v>Country: Malawi</v>
      </c>
      <c r="F13" s="11">
        <v>2</v>
      </c>
      <c r="G13" s="11">
        <v>20217</v>
      </c>
      <c r="I13" s="11" t="str">
        <v>The National Planning Commission - $5,000 (All Activities)</v>
      </c>
    </row>
    <row r="14" ht="50" customHeight="1">
      <c r="A14" s="11" t="str">
        <v>AOW05</v>
      </c>
      <c r="C14" s="11" t="str">
        <v>Country policy dialogues/seminars. First policy dialogue will serve as launch event</v>
      </c>
      <c r="D14" s="11" t="str">
        <v xml:space="preserve"> Policy demand, consultations and dialogues</v>
      </c>
      <c r="E14" s="11" t="str">
        <v>Country: Nigeria</v>
      </c>
      <c r="F14" s="11">
        <v>2</v>
      </c>
      <c r="G14" s="11">
        <v>20217</v>
      </c>
      <c r="I14" s="11" t="str">
        <v>Budget and partner to add in Q1 2026</v>
      </c>
    </row>
    <row r="15" ht="50" customHeight="1">
      <c r="A15" s="11" t="str">
        <v>AOW05</v>
      </c>
      <c r="B15" s="11" t="str">
        <v>5.3. Capacity sharing activities</v>
      </c>
      <c r="C15" s="11" t="str">
        <v>Capacity sharing engagements in collaboration with other AOWs to enhance the institutional capacity of key partner government think tanks</v>
      </c>
      <c r="D15" s="11" t="str">
        <v>Number of people trained (capacity sharing for development)</v>
      </c>
      <c r="E15" s="11" t="str">
        <v>Country: Nigeria</v>
      </c>
      <c r="F15" s="11">
        <v>10</v>
      </c>
      <c r="G15" s="11">
        <v>20217</v>
      </c>
      <c r="H15" s="11">
        <f>SUM(G15:G16)</f>
      </c>
      <c r="I15" s="11" t="str">
        <v>Budget and partner to add in Q1 2026</v>
      </c>
    </row>
    <row r="16" ht="50" customHeight="1" xml:space="preserve">
      <c r="A16" s="11" t="str">
        <v>AOW05</v>
      </c>
      <c r="C16" s="11" t="str" xml:space="preserve">
        <v xml:space="preserve">Capacity sharing engagements in collaboration with other AOWs to enhance the institutional capacity of key partner government think tanks
</v>
      </c>
      <c r="D16" s="11" t="str">
        <v>Number of people trained (capacity sharing for development)</v>
      </c>
      <c r="E16" s="11" t="str">
        <v>Country: Malawi</v>
      </c>
      <c r="F16" s="11">
        <v>10</v>
      </c>
      <c r="G16" s="11">
        <v>20216</v>
      </c>
      <c r="I16" s="11" t="str">
        <v>The National Planning Commission - $5,000 (All Activities)</v>
      </c>
    </row>
    <row r="17" ht="25" customHeight="1">
      <c r="B17" s="15" t="str">
        <v>HLO budget subtotal</v>
      </c>
      <c r="H17" s="15">
        <f>SUM(H6:H16)</f>
      </c>
    </row>
    <row r="18" ht="50" customHeight="1" xml:space="preserve">
      <c r="A18" s="13" t="str">
        <v>AOW06</v>
      </c>
      <c r="B18" s="11" t="str">
        <v>6.2. Policy response</v>
      </c>
      <c r="C18" s="11" t="str" xml:space="preserve">
        <v xml:space="preserve">Critical Capability - Policy Engagement - Development of bundled-service innovations to scale youth-led Commercial Spray Service Provider (CSSP) models to improve the sustainability and financial viability, and employment outcomes across Africa
</v>
      </c>
      <c r="D18" s="11" t="str">
        <v xml:space="preserve"> Policy engagement</v>
      </c>
      <c r="E18" s="11" t="str">
        <v>Regional: Sub-Saharan Africa</v>
      </c>
      <c r="F18" s="11">
        <v>1</v>
      </c>
      <c r="G18" s="11">
        <v>44038</v>
      </c>
      <c r="H18" s="11">
        <f>SUM(G18:G20)</f>
      </c>
      <c r="I18" s="11" t="str">
        <v>Budget and partner to be added in Q1 2026</v>
      </c>
    </row>
    <row r="19" ht="50" customHeight="1">
      <c r="A19" s="11" t="str">
        <v>AOW06</v>
      </c>
      <c r="C19" s="11" t="str">
        <v xml:space="preserve">Specialized agricultural services to support youth job creation </v>
      </c>
      <c r="D19" s="11" t="str">
        <v>Number of knowledge products</v>
      </c>
      <c r="E19" s="11" t="str">
        <v>Country: Nigeria</v>
      </c>
      <c r="F19" s="11">
        <v>1</v>
      </c>
      <c r="G19" s="11">
        <v>15294</v>
      </c>
      <c r="I19" s="11" t="str">
        <v>Obafemi Awolowo University, Ile-Ife, Nigeria - $5,000 (All Activities)</v>
      </c>
    </row>
    <row r="20" ht="50" customHeight="1">
      <c r="A20" s="11" t="str">
        <v>AOW06</v>
      </c>
      <c r="C20" s="11" t="str">
        <v>Specialized agricultural services to support youth job creation : Policy recommendations  based on report</v>
      </c>
      <c r="D20" s="11" t="str">
        <v xml:space="preserve"> Policy recommendations</v>
      </c>
      <c r="E20" s="11" t="str">
        <v>Country: Nigeria</v>
      </c>
      <c r="F20" s="11">
        <v>1</v>
      </c>
      <c r="G20" s="11">
        <v>15293</v>
      </c>
      <c r="I20" s="11" t="str">
        <v>Obafemi Awolowo University, Ile-Ife, Nigeria - $5,000 (All Activities)</v>
      </c>
    </row>
    <row r="21" ht="25" customHeight="1">
      <c r="B21" s="15" t="str">
        <v>HLO budget subtotal</v>
      </c>
      <c r="H21" s="15">
        <f>SUM(H18:H20)</f>
      </c>
    </row>
  </sheetData>
  <mergeCells count="21">
    <mergeCell ref="A1:A2"/>
    <mergeCell ref="B1:B2"/>
    <mergeCell ref="C1:G1"/>
    <mergeCell ref="H1:H2"/>
    <mergeCell ref="I1:I2"/>
    <mergeCell ref="B3:B4"/>
    <mergeCell ref="H3:H4"/>
    <mergeCell ref="B5:G5"/>
    <mergeCell ref="A3:A5"/>
    <mergeCell ref="B6:B9"/>
    <mergeCell ref="H6:H9"/>
    <mergeCell ref="B10:B14"/>
    <mergeCell ref="H10:H14"/>
    <mergeCell ref="B15:B16"/>
    <mergeCell ref="H15:H16"/>
    <mergeCell ref="B17:G17"/>
    <mergeCell ref="A6:A17"/>
    <mergeCell ref="B18:B20"/>
    <mergeCell ref="H18:H20"/>
    <mergeCell ref="B21:G21"/>
    <mergeCell ref="A18:A21"/>
  </mergeCells>
  <ignoredErrors>
    <ignoredError numberStoredAsText="1" sqref="A1:I2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T-PJ-003866-Liberia Land and Soil Resources Knowledge project (Soils4Liberia)</v>
      </c>
      <c r="B2" s="19" t="str">
        <v>AOW05</v>
      </c>
      <c r="C2" s="18" t="str">
        <v>5.2. Policy response</v>
      </c>
      <c r="D2" s="19">
        <v>262338</v>
      </c>
      <c r="E2" s="19" t="str">
        <f>=SUM(D2:D2)</f>
        <v>0</v>
      </c>
      <c r="F2" s="19" t="str">
        <v>'</v>
      </c>
    </row>
    <row r="3" ht="30" customHeight="1">
      <c r="A3" s="18" t="str">
        <v>T-PJ-003948: Fair Food and Trade Systems for Africa through Food Convergence Innovation</v>
      </c>
      <c r="B3" s="19" t="str">
        <v>AOW02</v>
      </c>
      <c r="C3" s="18" t="str">
        <v>2.2.  Policy response</v>
      </c>
      <c r="D3" s="19">
        <v>633211</v>
      </c>
      <c r="E3" s="19" t="str">
        <f>=SUM(D3:D3)</f>
        <v>0</v>
      </c>
      <c r="F3" s="19" t="str">
        <v>'</v>
      </c>
    </row>
    <row r="4" ht="30" customHeight="1">
      <c r="A4" s="18" t="str">
        <v>T-PJ-003651-Program for Seed System Innovation for VPCs in Africa (PROSSIVA)</v>
      </c>
      <c r="B4" s="19" t="str">
        <v>AOW02</v>
      </c>
      <c r="C4" s="18" t="str">
        <v>2.2.  Policy response</v>
      </c>
      <c r="D4" s="19">
        <v>1127237</v>
      </c>
      <c r="E4" s="19" t="str">
        <f>=SUM(D4:D4)</f>
        <v>0</v>
      </c>
      <c r="F4" s="19" t="str">
        <v>'</v>
      </c>
    </row>
    <row r="5" ht="30" customHeight="1">
      <c r="A5" s="18" t="str">
        <v>T-PJ-003835-EU/IITA - FOOD SAFETY FOR AFRICA - ADDRESSING FO</v>
      </c>
      <c r="B5" s="19" t="str">
        <v>AOW02</v>
      </c>
      <c r="C5" s="18" t="str">
        <v>2.2.  Policy response</v>
      </c>
      <c r="D5" s="19">
        <v>276490</v>
      </c>
      <c r="E5" s="19" t="str">
        <f>=SUM(D5:D5)</f>
        <v>0</v>
      </c>
      <c r="F5" s="19" t="str">
        <v>'</v>
      </c>
    </row>
    <row r="6" ht="30" customHeight="1">
      <c r="A6" s="18" t="str">
        <v>PJ-003897: Soil Values</v>
      </c>
      <c r="B6" s="19" t="str">
        <v>AOW01</v>
      </c>
      <c r="C6" s="18" t="str">
        <v>1.2. Policy response</v>
      </c>
      <c r="D6" s="19">
        <v>129526</v>
      </c>
      <c r="E6" s="19" t="str">
        <f>=SUM(D6:D6)</f>
        <v>0</v>
      </c>
      <c r="F6" s="19" t="str">
        <v>'</v>
      </c>
    </row>
    <row r="7" ht="30" customHeight="1">
      <c r="A7" s="3" t="str">
        <v>W3/Bilateral projects subtotal</v>
      </c>
      <c r="E7" s="3">
        <f>SUM(E2:E6)</f>
      </c>
    </row>
  </sheetData>
  <mergeCells count="1">
    <mergeCell ref="A7:D7"/>
  </mergeCells>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0</v>
      </c>
      <c r="C2" s="20">
        <v>0</v>
      </c>
      <c r="D2" s="20">
        <v>0</v>
      </c>
      <c r="E2" s="20">
        <v>0</v>
      </c>
      <c r="F2" s="20">
        <v>0</v>
      </c>
      <c r="G2" s="20">
        <v>5116</v>
      </c>
      <c r="H2" s="20">
        <v>4656</v>
      </c>
      <c r="I2" s="20" t="str">
        <f>=SUM(B2:H2)</f>
        <v>0</v>
      </c>
    </row>
    <row r="3" ht="20" customHeight="1">
      <c r="A3" s="20" t="str">
        <v>Operations (supplies, consultants, travels, workshops, other)</v>
      </c>
      <c r="B3" s="20">
        <v>86468</v>
      </c>
      <c r="C3" s="20">
        <v>12212</v>
      </c>
      <c r="D3" s="20">
        <v>0</v>
      </c>
      <c r="E3" s="20">
        <v>0</v>
      </c>
      <c r="F3" s="20">
        <v>0</v>
      </c>
      <c r="G3" s="20">
        <v>30183</v>
      </c>
      <c r="H3" s="20">
        <v>7787</v>
      </c>
      <c r="I3" s="20" t="str">
        <f>=SUM(B3:H3)</f>
        <v>0</v>
      </c>
    </row>
    <row r="4" ht="20" customHeight="1">
      <c r="A4" s="20" t="str">
        <v>Staffing, Chargebacks and Indirect</v>
      </c>
      <c r="B4" s="20">
        <v>277025</v>
      </c>
      <c r="C4" s="20">
        <v>106428</v>
      </c>
      <c r="D4" s="20">
        <v>0</v>
      </c>
      <c r="E4" s="20">
        <v>0</v>
      </c>
      <c r="F4" s="20">
        <v>0</v>
      </c>
      <c r="G4" s="20">
        <v>254947</v>
      </c>
      <c r="H4" s="20">
        <v>62182</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