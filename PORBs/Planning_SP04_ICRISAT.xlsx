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5</v>
      </c>
      <c r="C5" s="5">
        <v>152650</v>
      </c>
      <c r="D5" s="2">
        <v>3</v>
      </c>
      <c r="E5" s="5">
        <v>68250</v>
      </c>
      <c r="F5" s="2">
        <v>50</v>
      </c>
      <c r="G5" s="5">
        <v>14200</v>
      </c>
      <c r="H5" s="2">
        <v>0</v>
      </c>
      <c r="I5" s="5">
        <v>0</v>
      </c>
      <c r="J5" s="5">
        <v>0</v>
      </c>
      <c r="K5" s="5">
        <v>0</v>
      </c>
      <c r="L5" s="5">
        <v>235100</v>
      </c>
      <c r="M5" s="5">
        <v>0</v>
      </c>
    </row>
    <row r="6" ht="20" customHeight="1">
      <c r="A6" s="2" t="str">
        <v>AOW02: Landscape Optimization and Inclusive Planning</v>
      </c>
      <c r="B6" s="2">
        <v>0</v>
      </c>
      <c r="C6" s="5">
        <v>0</v>
      </c>
      <c r="D6" s="2">
        <v>0</v>
      </c>
      <c r="E6" s="5">
        <v>0</v>
      </c>
      <c r="F6" s="2">
        <v>0</v>
      </c>
      <c r="G6" s="5">
        <v>0</v>
      </c>
      <c r="H6" s="2">
        <v>15</v>
      </c>
      <c r="I6" s="5">
        <v>49814</v>
      </c>
      <c r="J6" s="5">
        <v>0</v>
      </c>
      <c r="K6" s="5">
        <v>0</v>
      </c>
      <c r="L6" s="5">
        <v>49814</v>
      </c>
      <c r="M6" s="5">
        <v>0</v>
      </c>
    </row>
    <row r="7" ht="20" customHeight="1">
      <c r="A7" s="2" t="str">
        <v>AOW03: Business Models, Markets, and Sustainable Finance</v>
      </c>
      <c r="B7" s="2">
        <v>0</v>
      </c>
      <c r="C7" s="5">
        <v>0</v>
      </c>
      <c r="D7" s="2">
        <v>0</v>
      </c>
      <c r="E7" s="5">
        <v>0</v>
      </c>
      <c r="F7" s="2">
        <v>0</v>
      </c>
      <c r="G7" s="5">
        <v>0</v>
      </c>
      <c r="H7" s="2">
        <v>2</v>
      </c>
      <c r="I7" s="5">
        <v>80212</v>
      </c>
      <c r="J7" s="5">
        <v>0</v>
      </c>
      <c r="K7" s="5">
        <v>0</v>
      </c>
      <c r="L7" s="5">
        <v>80212</v>
      </c>
      <c r="M7" s="5">
        <v>0</v>
      </c>
    </row>
    <row r="8" ht="20" customHeight="1">
      <c r="A8" s="2" t="str">
        <v>AOW04: Governance, Institutions, Policy, and Inclusion</v>
      </c>
      <c r="B8" s="2">
        <v>0</v>
      </c>
      <c r="C8" s="5">
        <v>0</v>
      </c>
      <c r="D8" s="2">
        <v>10</v>
      </c>
      <c r="E8" s="5">
        <v>42119</v>
      </c>
      <c r="F8" s="2">
        <v>0</v>
      </c>
      <c r="G8" s="5">
        <v>0</v>
      </c>
      <c r="H8" s="2">
        <v>40</v>
      </c>
      <c r="I8" s="5">
        <v>37345</v>
      </c>
      <c r="J8" s="5">
        <v>0</v>
      </c>
      <c r="K8" s="5">
        <v>0</v>
      </c>
      <c r="L8" s="5">
        <v>79464</v>
      </c>
      <c r="M8" s="5">
        <v>0</v>
      </c>
    </row>
    <row r="9" ht="20" customHeight="1">
      <c r="A9" s="2" t="str">
        <v>AOW05: Performance Assessments &amp; Evidence Generation</v>
      </c>
      <c r="B9" s="2">
        <v>0</v>
      </c>
      <c r="C9" s="5">
        <v>0</v>
      </c>
      <c r="D9" s="2">
        <v>4</v>
      </c>
      <c r="E9" s="5">
        <v>76460</v>
      </c>
      <c r="F9" s="2">
        <v>0</v>
      </c>
      <c r="G9" s="5">
        <v>0</v>
      </c>
      <c r="H9" s="2">
        <v>0</v>
      </c>
      <c r="I9" s="5">
        <v>0</v>
      </c>
      <c r="J9" s="5">
        <v>0</v>
      </c>
      <c r="K9" s="5">
        <v>0</v>
      </c>
      <c r="L9" s="5">
        <v>76460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1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v>
      </c>
      <c r="D3" s="11" t="str">
        <v>Number of innovations (innovation development)</v>
      </c>
      <c r="E3" s="11" t="str">
        <v>Country: Ethiopia, India, Kenya</v>
      </c>
      <c r="F3" s="11">
        <v>3</v>
      </c>
      <c r="G3" s="11">
        <v>124250</v>
      </c>
      <c r="H3" s="11">
        <f>SUM(G3:G4)</f>
      </c>
      <c r="I3" s="11" t="str">
        <v>.</v>
      </c>
    </row>
    <row r="4" ht="50" customHeight="1" xml:space="preserve">
      <c r="A4" s="11" t="str">
        <v>AOW01</v>
      </c>
      <c r="C4" s="11" t="str" xml:space="preserve">
        <v xml:space="preserve">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v>
      </c>
      <c r="D4" s="11" t="str">
        <v>Number of innovations (innovation development)</v>
      </c>
      <c r="E4" s="11" t="str">
        <v>Country: Zimbabwe</v>
      </c>
      <c r="F4" s="11">
        <v>2</v>
      </c>
      <c r="G4" s="11">
        <v>28400</v>
      </c>
      <c r="I4" s="11" t="str">
        <v>.</v>
      </c>
    </row>
    <row r="5" ht="50" customHeight="1" xml:space="preserve">
      <c r="A5" s="11" t="str">
        <v>AOW01</v>
      </c>
      <c r="B5" s="11" t="str">
        <v>OP 1.1.3. – Common pool resource bundles</v>
      </c>
      <c r="C5" s="11" t="str" xml:space="preserve">
        <v xml:space="preserve">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v>
      </c>
      <c r="D5" s="11" t="str">
        <v>Number of knowledge products</v>
      </c>
      <c r="E5" s="11" t="str">
        <v>Country: India</v>
      </c>
      <c r="F5" s="11">
        <v>3</v>
      </c>
      <c r="G5" s="11">
        <v>68250</v>
      </c>
      <c r="H5" s="11">
        <f>SUM(G5:G5)</f>
      </c>
      <c r="I5" s="11" t="str">
        <v>.</v>
      </c>
    </row>
    <row r="6" ht="50" customHeight="1" xml:space="preserve">
      <c r="A6" s="11" t="str">
        <v>AOW01</v>
      </c>
      <c r="B6" s="11" t="str">
        <v>OP 1.2.6. – Advisory &amp; training innovations</v>
      </c>
      <c r="C6" s="11" t="str" xml:space="preserve">
        <v xml:space="preserve">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v>
      </c>
      <c r="D6" s="11" t="str">
        <v>Number of people trained (capacity sharing for development)</v>
      </c>
      <c r="E6" s="11" t="str">
        <v>Country: Zimbabwe</v>
      </c>
      <c r="F6" s="11">
        <v>50</v>
      </c>
      <c r="G6" s="11">
        <v>14200</v>
      </c>
      <c r="H6" s="11">
        <f>SUM(G6:G6)</f>
      </c>
      <c r="I6" s="11" t="str">
        <v>.</v>
      </c>
    </row>
    <row r="7" ht="25" customHeight="1">
      <c r="B7" s="14" t="str">
        <v>HLO budget subtotal</v>
      </c>
      <c r="H7" s="15">
        <f>SUM(H3:H6)</f>
      </c>
    </row>
    <row r="8" ht="50" customHeight="1" xml:space="preserve">
      <c r="A8" s="13" t="str">
        <v>AOW02</v>
      </c>
      <c r="B8" s="11" t="str">
        <v>OP 2.2.3. – Integrated planning &amp; scenarios</v>
      </c>
      <c r="C8" s="11" t="str" xml:space="preserve">
        <v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v>
      </c>
      <c r="D8" s="11" t="str">
        <v xml:space="preserve"> Number of stakeholder groups involved in multifunctional integrated landscape planning in Tanzania</v>
      </c>
      <c r="E8" s="11" t="str">
        <v>Country: Tanzania, United Republic</v>
      </c>
      <c r="F8" s="11">
        <v>15</v>
      </c>
      <c r="G8" s="11">
        <v>49814</v>
      </c>
      <c r="H8" s="11">
        <f>SUM(G8:G8)</f>
      </c>
      <c r="I8" s="11" t="str">
        <v>.</v>
      </c>
    </row>
    <row r="9" ht="25" customHeight="1">
      <c r="B9" s="15" t="str">
        <v>HLO budget subtotal</v>
      </c>
      <c r="H9" s="15">
        <f>SUM(H8:H8)</f>
      </c>
    </row>
    <row r="10" ht="50" customHeight="1" xml:space="preserve">
      <c r="A10" s="13" t="str">
        <v>AOW03</v>
      </c>
      <c r="B10" s="11" t="str">
        <v>OP 3.3.3. Co-designed inclusive market and non-market mechanisms for optimizing ecosystem services</v>
      </c>
      <c r="C10" s="11" t="str" xml:space="preserve">
        <v xml:space="preserve">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v>
      </c>
      <c r="D10" s="11" t="str">
        <v xml:space="preserve"> Number of communities involved in the inclusive business models</v>
      </c>
      <c r="E10" s="11" t="str">
        <v>Country: India</v>
      </c>
      <c r="F10" s="11">
        <v>2</v>
      </c>
      <c r="G10" s="11">
        <v>80212</v>
      </c>
      <c r="H10" s="11">
        <f>SUM(G10:G10)</f>
      </c>
      <c r="I10" s="11" t="str">
        <v>.</v>
      </c>
    </row>
    <row r="11" ht="25" customHeight="1">
      <c r="B11" s="15" t="str">
        <v>HLO budget subtotal</v>
      </c>
      <c r="H11" s="15">
        <f>SUM(H10:H10)</f>
      </c>
    </row>
    <row r="12" ht="50" customHeight="1" xml:space="preserve">
      <c r="A12" s="13" t="str">
        <v>AOW04</v>
      </c>
      <c r="B12" s="11" t="str">
        <v>OP 4.2.2. Demand driven capacity sharing for policy makers and landscape stakeholders</v>
      </c>
      <c r="C12" s="11" t="str" xml:space="preserve">
        <v xml:space="preserve">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D12" s="11" t="str">
        <v xml:space="preserve"> Number of actors engaged in CoP</v>
      </c>
      <c r="E12" s="11" t="str">
        <v>Global</v>
      </c>
      <c r="F12" s="11">
        <v>40</v>
      </c>
      <c r="G12" s="11">
        <v>37345</v>
      </c>
      <c r="H12" s="11">
        <f>SUM(G12:G12)</f>
      </c>
      <c r="I12" s="11" t="str">
        <v>.</v>
      </c>
    </row>
    <row r="13" ht="50" customHeight="1" xml:space="preserve">
      <c r="A13" s="11" t="str">
        <v>AOW04</v>
      </c>
      <c r="B13" s="11" t="str">
        <v>OP 4.3.2. Engagement frameworks and pilots</v>
      </c>
      <c r="C13" s="11"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v>
      </c>
      <c r="D13" s="11" t="str">
        <v>Number of knowledge products</v>
      </c>
      <c r="E13" s="11" t="str">
        <v>Country: Peru, The Socialist Republic of Viet Nam, India, Tanzania, United Republic, Tunisia, Ethiopia, Zimbabwe, Cambodia, Lao People's Democratic Republic, Colombia, Senegal</v>
      </c>
      <c r="F13" s="11">
        <v>10</v>
      </c>
      <c r="G13" s="11">
        <v>42119</v>
      </c>
      <c r="H13" s="11">
        <f>SUM(G13:G13)</f>
      </c>
      <c r="I13" s="11" t="str">
        <v>.</v>
      </c>
    </row>
    <row r="14" ht="25" customHeight="1">
      <c r="B14" s="15" t="str">
        <v>HLO budget subtotal</v>
      </c>
      <c r="H14" s="15">
        <f>SUM(H12:H13)</f>
      </c>
    </row>
    <row r="15" ht="50" customHeight="1" xml:space="preserve">
      <c r="A15" s="13" t="str">
        <v>AOW05</v>
      </c>
      <c r="B15" s="11" t="str">
        <v>OP 5.1.2 Landscape-specific assessment frameworks</v>
      </c>
      <c r="C15" s="11" t="str" xml:space="preserve">
        <v xml:space="preserve">Deliverable - Benchmarking climate-resilient landscape models in drylands for balancing ecological health and socio-ecological gains 
Indicator: Number of publications on Climate-Integrated Landscape Management</v>
      </c>
      <c r="D15" s="11" t="str">
        <v>Number of knowledge products</v>
      </c>
      <c r="E15" s="11" t="str">
        <v>Country: Zimbabwe, Ethiopia, Tanzania, United Republic, India, Kenya</v>
      </c>
      <c r="F15" s="11">
        <v>1</v>
      </c>
      <c r="G15" s="11">
        <v>36460</v>
      </c>
      <c r="H15" s="11">
        <f>SUM(G15:G15)</f>
      </c>
      <c r="I15" s="11" t="str">
        <v>.</v>
      </c>
    </row>
    <row r="16" ht="50" customHeight="1" xml:space="preserve">
      <c r="A16" s="11" t="str">
        <v>AOW05</v>
      </c>
      <c r="B16" s="11" t="str">
        <v>OP 5.1.3. Cross-CGIAR assessment frameworks of impact indicators</v>
      </c>
      <c r="C16" s="11" t="str" xml:space="preserve">
        <v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v>
      </c>
      <c r="D16" s="11" t="str">
        <v>Number of knowledge products</v>
      </c>
      <c r="E16" s="11" t="str">
        <v>Country: Ethiopia, Cambodia, The Socialist Republic of Viet Nam, Peru, Senegal, Kenya, Lao People's Democratic Republic, Zimbabwe, Colombia, Tunisia, India, Tanzania, United Republic</v>
      </c>
      <c r="F16" s="11">
        <v>3</v>
      </c>
      <c r="G16" s="11">
        <v>40000</v>
      </c>
      <c r="H16" s="11">
        <f>SUM(G16:G16)</f>
      </c>
      <c r="I16" s="11" t="str">
        <v>.</v>
      </c>
    </row>
    <row r="17" ht="25" customHeight="1">
      <c r="B17" s="15" t="str">
        <v>HLO budget subtotal</v>
      </c>
      <c r="H17" s="15">
        <f>SUM(H15:H16)</f>
      </c>
    </row>
  </sheetData>
  <mergeCells count="17">
    <mergeCell ref="A1:A2"/>
    <mergeCell ref="B1:B2"/>
    <mergeCell ref="C1:G1"/>
    <mergeCell ref="H1:H2"/>
    <mergeCell ref="I1:I2"/>
    <mergeCell ref="B3:B4"/>
    <mergeCell ref="H3:H4"/>
    <mergeCell ref="B7:G7"/>
    <mergeCell ref="A3:A7"/>
    <mergeCell ref="B9:G9"/>
    <mergeCell ref="A8:A9"/>
    <mergeCell ref="B11:G11"/>
    <mergeCell ref="A10:A11"/>
    <mergeCell ref="B14:G14"/>
    <mergeCell ref="A12:A14"/>
    <mergeCell ref="B17:G17"/>
    <mergeCell ref="A15:A17"/>
  </mergeCells>
  <ignoredErrors>
    <ignoredError numberStoredAsText="1" sqref="A1:I1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10"/>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Landscape resource management for augmenting groundwater recharge and sustainable intensification of farming systems and building resilience for improved livelihoods of farmers in dryland of Maharashtra, India</v>
      </c>
      <c r="B2" s="19" t="str">
        <v>AOW00</v>
      </c>
      <c r="C2" s="18" t="str">
        <v>Climate Adaptation and Mitigation</v>
      </c>
      <c r="D2" s="19">
        <v>0</v>
      </c>
      <c r="E2" s="19" t="str">
        <f>=SUM(D2:D4)</f>
        <v>0</v>
      </c>
    </row>
    <row r="3" ht="30" customHeight="1">
      <c r="A3" s="18" t="str">
        <v>Landscape resource management for augmenting groundwater recharge and sustainable intensification of farming systems and building resilience for improved livelihoods of farmers in dryland of Maharashtra, India</v>
      </c>
      <c r="B3" s="19" t="str">
        <v>AOW04</v>
      </c>
      <c r="C3" s="18" t="str">
        <v>OP 4.3.2. Engagement frameworks and pilots</v>
      </c>
      <c r="D3" s="19">
        <v>0</v>
      </c>
    </row>
    <row r="4" ht="30" customHeight="1">
      <c r="A4" s="18" t="str">
        <v>Landscape resource management for augmenting groundwater recharge and sustainable intensification of farming systems and building resilience for improved livelihoods of farmers in dryland of Maharashtra, India</v>
      </c>
      <c r="B4" s="19" t="str">
        <v>AOW01</v>
      </c>
      <c r="C4" s="18" t="str">
        <v>OP 1.1.2. – Climate-smart adaptation &amp; mitigation bundles</v>
      </c>
      <c r="D4" s="19">
        <v>0</v>
      </c>
    </row>
    <row r="5" ht="30" customHeight="1">
      <c r="A5" s="18" t="str">
        <v>Building Community Resilience by Alleviating Water scarcity and Land Degradation through Integrated Natural Resource Management in Bundelkhand, Uttar Pradesh</v>
      </c>
      <c r="B5" s="19" t="str">
        <v>AOW00</v>
      </c>
      <c r="C5" s="18" t="str">
        <v>Climate Adaptation and Mitigation</v>
      </c>
      <c r="D5" s="19">
        <v>0</v>
      </c>
      <c r="E5" s="19" t="str">
        <f>=SUM(D5:D8)</f>
        <v>0</v>
      </c>
    </row>
    <row r="6" ht="30" customHeight="1">
      <c r="A6" s="18" t="str">
        <v>Building Community Resilience by Alleviating Water scarcity and Land Degradation through Integrated Natural Resource Management in Bundelkhand, Uttar Pradesh</v>
      </c>
      <c r="B6" s="19" t="str">
        <v>AOW02</v>
      </c>
      <c r="C6" s="18" t="str">
        <v>AOW-IOC 2.1. Landscape stakeholder groups have strengthened capacity to optimize landscape multifunctionality.</v>
      </c>
      <c r="D6" s="19">
        <v>0</v>
      </c>
    </row>
    <row r="7" ht="30" customHeight="1">
      <c r="A7" s="18" t="str">
        <v>Building Community Resilience by Alleviating Water scarcity and Land Degradation through Integrated Natural Resource Management in Bundelkhand, Uttar Pradesh</v>
      </c>
      <c r="B7" s="19" t="str">
        <v>AOW04</v>
      </c>
      <c r="C7" s="18" t="str">
        <v>AOW-IOC 4.1. Landscape stakeholders establish governance structures for coordinated landscape management.</v>
      </c>
      <c r="D7" s="19">
        <v>0</v>
      </c>
    </row>
    <row r="8" ht="30" customHeight="1">
      <c r="A8" s="18" t="str">
        <v>Building Community Resilience by Alleviating Water scarcity and Land Degradation through Integrated Natural Resource Management in Bundelkhand, Uttar Pradesh</v>
      </c>
      <c r="B8" s="19" t="str">
        <v>AOW01</v>
      </c>
      <c r="C8" s="18" t="str">
        <v>I-OC 1.2 Research institutes, extension agents, NGOs and private sector actors disseminate evidence-based AE+ solutions and innovations, and/or their bundles</v>
      </c>
      <c r="D8" s="19">
        <v>0</v>
      </c>
    </row>
    <row r="9" ht="30" customHeight="1">
      <c r="A9" s="18" t="str">
        <v>Enhancing Crop Productivity and Climate Resilience for Food and Nutrition Security in Mali (FNS-Mali)</v>
      </c>
      <c r="B9" s="19" t="str">
        <v>AOW00</v>
      </c>
      <c r="C9" s="18" t="str">
        <v>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v>
      </c>
      <c r="D9" s="19">
        <v>0</v>
      </c>
      <c r="E9" s="19" t="str">
        <f>=SUM(D9:D9)</f>
        <v>0</v>
      </c>
    </row>
    <row r="10" ht="30" customHeight="1">
      <c r="A10" s="3" t="str">
        <v>W3/Bilateral projects subtotal</v>
      </c>
      <c r="E10" s="3">
        <f>SUM(E2:E9)</f>
      </c>
    </row>
  </sheetData>
  <mergeCells count="5">
    <mergeCell ref="A2:A4"/>
    <mergeCell ref="A5:A8"/>
    <mergeCell ref="E2:E4"/>
    <mergeCell ref="E5:E8"/>
    <mergeCell ref="A10:D10"/>
  </mergeCells>
  <ignoredErrors>
    <ignoredError numberStoredAsText="1" sqref="A1:F10"/>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21393</v>
      </c>
      <c r="D2" s="20">
        <v>0</v>
      </c>
      <c r="E2" s="20">
        <v>3000</v>
      </c>
      <c r="F2" s="20">
        <v>0</v>
      </c>
      <c r="G2" s="20">
        <v>2991</v>
      </c>
      <c r="H2" s="20" t="str">
        <f>=SUM(B2:G2)</f>
        <v>0</v>
      </c>
    </row>
    <row r="3" ht="20" customHeight="1">
      <c r="A3" s="20" t="str">
        <v>Operations (supplies, consultants, travels, workshops, other)</v>
      </c>
      <c r="B3" s="20">
        <v>0</v>
      </c>
      <c r="C3" s="20">
        <v>118902</v>
      </c>
      <c r="D3" s="20">
        <v>23800</v>
      </c>
      <c r="E3" s="20">
        <v>17808</v>
      </c>
      <c r="F3" s="20">
        <v>45636</v>
      </c>
      <c r="G3" s="20">
        <v>43910</v>
      </c>
      <c r="H3" s="20" t="str">
        <f>=SUM(B3:G3)</f>
        <v>0</v>
      </c>
    </row>
    <row r="4" ht="20" customHeight="1">
      <c r="A4" s="20" t="str">
        <v>Staffing, Chargebacks and Indirect</v>
      </c>
      <c r="B4" s="20">
        <v>0</v>
      </c>
      <c r="C4" s="20">
        <v>94805</v>
      </c>
      <c r="D4" s="20">
        <v>26014</v>
      </c>
      <c r="E4" s="20">
        <v>59404</v>
      </c>
      <c r="F4" s="20">
        <v>33828</v>
      </c>
      <c r="G4" s="20">
        <v>29559</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