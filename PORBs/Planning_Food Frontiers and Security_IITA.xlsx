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Future Food Systems Lab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Fragile and Conflict-affected Food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Urban Food Systems</v>
      </c>
      <c r="B7" s="2">
        <v>0</v>
      </c>
      <c r="C7" s="5">
        <v>0</v>
      </c>
      <c r="D7" s="2">
        <v>5</v>
      </c>
      <c r="E7" s="5">
        <v>105000</v>
      </c>
      <c r="F7" s="2">
        <v>10</v>
      </c>
      <c r="G7" s="5">
        <v>70000</v>
      </c>
      <c r="H7" s="2">
        <v>10</v>
      </c>
      <c r="I7" s="5">
        <v>105000</v>
      </c>
      <c r="J7" s="5">
        <v>40000</v>
      </c>
      <c r="K7" s="5">
        <v>0</v>
      </c>
      <c r="L7" s="5">
        <v>320000</v>
      </c>
      <c r="M7" s="5">
        <v>745954</v>
      </c>
    </row>
    <row r="8" ht="20" customHeight="1">
      <c r="A8" s="2" t="str">
        <v>AOW04: Island Food Systems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5" customHeight="1">
      <c r="A9" s="6" t="str">
        <v>Total</v>
      </c>
      <c r="B9" s="7">
        <f>SUM(B4:B8)</f>
      </c>
      <c r="C9" s="7">
        <f>SUM(C4:C8)</f>
      </c>
      <c r="D9" s="7">
        <f>SUM(D4:D8)</f>
      </c>
      <c r="E9" s="7">
        <f>SUM(E4:E8)</f>
      </c>
      <c r="F9" s="7">
        <f>SUM(F4:F8)</f>
      </c>
      <c r="G9" s="7">
        <f>SUM(G4:G8)</f>
      </c>
      <c r="H9" s="7">
        <f>SUM(H4:H8)</f>
      </c>
      <c r="I9" s="7">
        <f>SUM(I4:I8)</f>
      </c>
      <c r="J9" s="7">
        <f>SUM(J4:J8)</f>
      </c>
      <c r="K9" s="7">
        <f>SUM(K4:K8)</f>
      </c>
      <c r="L9" s="7">
        <f>SUM(L4:L8)</f>
      </c>
      <c r="M9" s="7">
        <f>SUM(M4:M8)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Program Director Discretionary Fund</v>
      </c>
      <c r="C2" s="11" t="str">
        <v>Flexible funding available to the Program Director to respond to emerging priorities, fill gaps, and address strategic program-level matters</v>
      </c>
      <c r="D2" s="11">
        <v>0</v>
      </c>
    </row>
    <row r="3" ht="45" customHeight="1">
      <c r="A3" s="11" t="str">
        <v>AOW00</v>
      </c>
      <c r="B3" s="11" t="str">
        <v>Program Level Communication</v>
      </c>
      <c r="C3" s="11" t="str">
        <v>Delivery of the program level 2026 Communications Strategy</v>
      </c>
      <c r="D3" s="11">
        <v>0</v>
      </c>
    </row>
    <row r="4" ht="45" customHeight="1">
      <c r="A4" s="11" t="str">
        <v>AOW00</v>
      </c>
      <c r="B4" s="11" t="str">
        <v>PMU Team</v>
      </c>
      <c r="C4" s="11" t="str">
        <v>FTE support for the Program Coordinator, MELIA Focal Point, Communications Focal point, including centralized assistance for Finance.</v>
      </c>
      <c r="D4" s="11">
        <v>0</v>
      </c>
    </row>
    <row r="5" ht="45" customHeight="1">
      <c r="A5" s="11" t="str">
        <v>AOW00</v>
      </c>
      <c r="B5" s="11" t="str">
        <v xml:space="preserve">Program Director and Associated costs </v>
      </c>
      <c r="C5" s="11" t="str">
        <v>Program Director FTE, administrative support, meeting and workshop coordination, travel, short-term consultancies, and various operational expenses</v>
      </c>
      <c r="D5" s="11">
        <v>0</v>
      </c>
    </row>
    <row r="6" ht="45" customHeight="1">
      <c r="A6" s="11" t="str">
        <v>AOW00</v>
      </c>
      <c r="B6" s="11" t="str">
        <v>Area of Work (AoW) Leaders</v>
      </c>
      <c r="C6" s="11" t="str">
        <v>Four AoW Lead FTEs</v>
      </c>
      <c r="D6" s="11">
        <v>0</v>
      </c>
    </row>
    <row r="7" ht="45" customHeight="1">
      <c r="A7" s="11" t="str">
        <v>AOW00</v>
      </c>
      <c r="B7" s="11" t="str">
        <v>Program Leadership Meetings</v>
      </c>
      <c r="C7" s="11" t="str">
        <v>In-person leadership sessions for planning, oversight, and progress review, including an annual pause and reflect meeting.</v>
      </c>
      <c r="D7" s="11">
        <v>0</v>
      </c>
    </row>
    <row r="8" ht="45" customHeight="1">
      <c r="A8" s="11" t="str">
        <v>AOW00</v>
      </c>
      <c r="B8" s="11" t="str">
        <v>Program Level MELIA Activities</v>
      </c>
      <c r="C8" s="11" t="str">
        <v>Execution of 2026 MELIA activities based on the Program MELIA Plan</v>
      </c>
      <c r="D8" s="11">
        <v>0</v>
      </c>
    </row>
    <row r="9" ht="45" customHeight="1">
      <c r="A9" s="11" t="str">
        <v>AOW00</v>
      </c>
      <c r="B9" s="11" t="str">
        <v>Centralized Finance Support</v>
      </c>
      <c r="C9" s="11" t="str">
        <v xml:space="preserve">SO- Shared finance support arrangement </v>
      </c>
      <c r="D9" s="11">
        <v>0</v>
      </c>
    </row>
  </sheetData>
  <mergeCells count="1">
    <mergeCell ref="A2:A9"/>
  </mergeCells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AOW03</v>
      </c>
      <c r="B3" s="11" t="str">
        <v>3.1.1 Safe urban food production</v>
      </c>
      <c r="C3" s="11" t="str">
        <v>BSF by-products adapted as bio-inputs for improved urban agriculture productivity; this involves the evaluation of BSF by-products for improving crop productivity, through their application, such as frass, which will be assessed in combination with other repurposed waste fiber known to support improved soil pest management.</v>
      </c>
      <c r="D3" s="11" t="str">
        <v>Number of knowledge products</v>
      </c>
      <c r="E3" s="11" t="str">
        <v>Country: Peru, Kenya</v>
      </c>
      <c r="F3" s="11">
        <v>5</v>
      </c>
      <c r="G3" s="11">
        <v>105000</v>
      </c>
      <c r="H3" s="11">
        <f>SUM(G3:G3)</f>
      </c>
      <c r="I3" s="11" t="str">
        <v>BSF by-products are readily available for use and assessment; BSF by-products effectively improve crop production; use of BSF by-products will be cost-effective. RISKS: BSF by-products become too expensive or prove too costly or unsafe for use;   local partners such as housing &amp; residential schemes, BSF producers and waste collectors - to be decided - to receive approx. 10% in the target locations</v>
      </c>
    </row>
    <row r="4" ht="50" customHeight="1">
      <c r="A4" s="11" t="str">
        <v>AOW03</v>
      </c>
      <c r="B4" s="11" t="str">
        <v>3.2.2 Circular bioeconomy</v>
      </c>
      <c r="C4" s="11" t="str">
        <v xml:space="preserve"> Urban residential schemes adapt waste disposal systems to incorporate use of BSF; this includes arranging for waste sorting at source and incorporating the use of BSF as part of the waste management system;</v>
      </c>
      <c r="D4" s="11" t="str">
        <v xml:space="preserve"> Number of local actors integrating evidence and knowledge products on organic waste recycling and wastewater reuse into their planning, operations or service delivery</v>
      </c>
      <c r="E4" s="11" t="str">
        <v>Country: Peru, Kenya</v>
      </c>
      <c r="F4" s="11">
        <v>10</v>
      </c>
      <c r="G4" s="11">
        <v>105000</v>
      </c>
      <c r="H4" s="11">
        <f>SUM(G4:G5)</f>
      </c>
      <c r="I4" s="11" t="str">
        <v>Households will be willing to sort their household waste; housing schemes will actively support waste sorting; BSF units will be accepted by residents. RISKS: residents not willing to accept BSF units in housing schemes;   local partners such as housing &amp; residential schemes, BSF producers and waste collectors - to be decided - to receive approx. 10% in the target locations</v>
      </c>
    </row>
    <row r="5" ht="50" customHeight="1">
      <c r="A5" s="11" t="str">
        <v>AOW03</v>
      </c>
      <c r="C5" s="11" t="str">
        <v>Small scale BSF systems suitable for residential areas developed; this involves adapting current larger scale systems and assessing their suitability and performance for use with individual schools, residential blocks or schemes</v>
      </c>
      <c r="D5" s="11" t="str">
        <v>Number of people trained (capacity sharing for development)</v>
      </c>
      <c r="E5" s="11" t="str">
        <v>Country: Peru, Kenya</v>
      </c>
      <c r="F5" s="11">
        <v>10</v>
      </c>
      <c r="G5" s="11">
        <v>70000</v>
      </c>
      <c r="I5" s="11" t="str">
        <v>smaller scale BSF units will function effectively; Individual residential units are willing to pilot BSF units, allocate somebody to manage them and organize organic waste accordingly; Individual residential units accept the presence of BSF units.  local partners such as housing &amp; residential schemes, BSF producers and waste collectors - to be decided - to receive approx. 10% in the target locations</v>
      </c>
    </row>
    <row r="6" ht="25" customHeight="1">
      <c r="B6" s="14" t="str">
        <v>HLO budget subtotal</v>
      </c>
      <c r="H6" s="15">
        <f>SUM(H3:H5)</f>
      </c>
    </row>
  </sheetData>
  <mergeCells count="9">
    <mergeCell ref="A1:A2"/>
    <mergeCell ref="B1:B2"/>
    <mergeCell ref="C1:G1"/>
    <mergeCell ref="H1:H2"/>
    <mergeCell ref="I1:I2"/>
    <mergeCell ref="B4:B5"/>
    <mergeCell ref="H4:H5"/>
    <mergeCell ref="B6:G6"/>
    <mergeCell ref="A3:A6"/>
  </mergeCells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AOW03</v>
      </c>
      <c r="B2" s="11" t="str">
        <v>The World Vegetable Center</v>
      </c>
      <c r="C2" s="11" t="str">
        <v>3.1.1 Safe urban food production</v>
      </c>
      <c r="D2" s="11" t="str">
        <v>Kenya,Peru</v>
      </c>
      <c r="E2" s="11">
        <v>40000</v>
      </c>
      <c r="F2" s="11" t="str">
        <v xml:space="preserve"> In addition to WV, local partners such as housing &amp; residential schemes, BSF producers and waste collectors - to be decided - to receive approx. 10% in the target locations</v>
      </c>
    </row>
    <row r="3" ht="25" customHeight="1">
      <c r="B3" s="14" t="str">
        <v>Contracted partners subtotal</v>
      </c>
      <c r="E3" s="14">
        <f>SUM(E2:E2)</f>
      </c>
    </row>
    <row r="4" ht="70" customHeight="1">
      <c r="A4" s="12" t="str">
        <v>AOW04</v>
      </c>
      <c r="B4" s="11" t="str">
        <v>The World Vegetable Center</v>
      </c>
      <c r="C4" s="11" t="str">
        <v>4.1.1 SUSTAINABILITY</v>
      </c>
      <c r="D4" s="11" t="str">
        <v>Kenya,Peru</v>
      </c>
      <c r="E4" s="11">
        <v>0</v>
      </c>
    </row>
    <row r="5" ht="25" customHeight="1">
      <c r="B5" s="14" t="str">
        <v>Contracted partners subtotal</v>
      </c>
      <c r="E5" s="14">
        <f>SUM(E4:E4)</f>
      </c>
    </row>
  </sheetData>
  <mergeCells count="4">
    <mergeCell ref="B3:D3"/>
    <mergeCell ref="A2:A3"/>
    <mergeCell ref="B5:D5"/>
    <mergeCell ref="A4:A5"/>
  </mergeCells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T-PJ-003812-ETH/IITA - CITY REGIONS FOOD SYSTEMS, RUNRES (TH</v>
      </c>
      <c r="B2" s="19" t="str">
        <v>AOW03</v>
      </c>
      <c r="C2" s="18" t="str">
        <v>3.2.2 Circular bioeconomy</v>
      </c>
      <c r="D2" s="19">
        <v>745954</v>
      </c>
      <c r="E2" s="19" t="str">
        <f>=SUM(D2:D2)</f>
        <v>0</v>
      </c>
      <c r="F2" s="19" t="str">
        <v>TBC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40000</v>
      </c>
      <c r="F2" s="20">
        <v>0</v>
      </c>
      <c r="G2" s="20" t="str">
        <f>=SUM(B2:F2)</f>
        <v>0</v>
      </c>
    </row>
    <row r="3" ht="20" customHeight="1">
      <c r="A3" s="20" t="str">
        <v>Operations (supplies, consultants, travels, workshops, other)</v>
      </c>
      <c r="B3" s="20">
        <v>86468</v>
      </c>
      <c r="C3" s="20">
        <v>0</v>
      </c>
      <c r="D3" s="20">
        <v>0</v>
      </c>
      <c r="E3" s="20">
        <v>62461</v>
      </c>
      <c r="F3" s="20">
        <v>0</v>
      </c>
      <c r="G3" s="20" t="str">
        <f>=SUM(B3:F3)</f>
        <v>0</v>
      </c>
    </row>
    <row r="4" ht="20" customHeight="1">
      <c r="A4" s="20" t="str">
        <v>Staffing, Chargebacks and Indirect</v>
      </c>
      <c r="B4" s="20">
        <v>277025</v>
      </c>
      <c r="C4" s="20">
        <v>0</v>
      </c>
      <c r="D4" s="20">
        <v>0</v>
      </c>
      <c r="E4" s="20">
        <v>217539</v>
      </c>
      <c r="F4" s="20">
        <v>0</v>
      </c>
      <c r="G4" s="20" t="str">
        <f>=SUM(B4:F4)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