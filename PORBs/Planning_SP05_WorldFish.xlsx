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5</v>
      </c>
      <c r="E7" s="5">
        <v>345000</v>
      </c>
      <c r="F7" s="2">
        <v>3</v>
      </c>
      <c r="G7" s="5">
        <v>40000</v>
      </c>
      <c r="H7" s="2">
        <v>0</v>
      </c>
      <c r="I7" s="5">
        <v>0</v>
      </c>
      <c r="J7" s="5">
        <v>0</v>
      </c>
      <c r="K7" s="5">
        <v>0</v>
      </c>
      <c r="L7" s="5">
        <v>385000</v>
      </c>
      <c r="M7" s="5">
        <v>824739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AOW03</v>
      </c>
      <c r="B3" s="11" t="str">
        <v>Suite of end-to-end solutions for aquatic food producers, traders, processors, and vendors/retailers that promote food quality and safety, reduce food loss,and increase profits co-developed, tested, and scaled</v>
      </c>
      <c r="C3" s="11" t="str">
        <v>Training workshop for actors in aquatic food systems on gleaning and aquatic foods as part of a healthy diet</v>
      </c>
      <c r="D3" s="11" t="str">
        <v>Number of people trained (capacity sharing for development)</v>
      </c>
      <c r="E3" s="11" t="str">
        <v>Country: Tanzania, United Republic</v>
      </c>
      <c r="F3" s="11">
        <v>1</v>
      </c>
      <c r="G3" s="11">
        <v>15000</v>
      </c>
      <c r="H3" s="11">
        <f>SUM(G3:G8)</f>
      </c>
      <c r="I3" s="11" t="str">
        <v>Personnel costs based on standard organizational salary scales.</v>
      </c>
    </row>
    <row r="4" ht="50" customHeight="1">
      <c r="A4" s="11" t="str">
        <v>AOW03</v>
      </c>
      <c r="C4" s="11" t="str">
        <v>MSc student project on end-to-end solutions for aquatic foods</v>
      </c>
      <c r="D4" s="11" t="str">
        <v>Number of people trained (capacity sharing for development)</v>
      </c>
      <c r="E4" s="11" t="str">
        <v>Global</v>
      </c>
      <c r="F4" s="11">
        <v>1</v>
      </c>
      <c r="G4" s="11">
        <v>10000</v>
      </c>
      <c r="I4" s="11" t="str">
        <v>Personnel costs based on standard organizational salary scales.</v>
      </c>
    </row>
    <row r="5" ht="50" customHeight="1">
      <c r="A5" s="11" t="str">
        <v>AOW03</v>
      </c>
      <c r="C5" s="11" t="str">
        <v>Training workshop for actors in the local dagaa (small fish) trade on nutrition and potential of dagaa to contribute to healthy diets</v>
      </c>
      <c r="D5" s="11" t="str">
        <v>Number of people trained (capacity sharing for development)</v>
      </c>
      <c r="E5" s="11" t="str">
        <v>Country: Tanzania, United Republic</v>
      </c>
      <c r="F5" s="11">
        <v>1</v>
      </c>
      <c r="G5" s="11">
        <v>15000</v>
      </c>
      <c r="I5" s="11" t="str">
        <v>Personnel costs based on standard organizational salary scales.</v>
      </c>
    </row>
    <row r="6" ht="50" customHeight="1">
      <c r="A6" s="11" t="str">
        <v>AOW03</v>
      </c>
      <c r="C6" s="11" t="str">
        <v>Report summarizing aquatic food system initiatives with a diet lens in Zanzibar, including but not limited to, catch data initiatives and loss and waste reduction technologies</v>
      </c>
      <c r="D6" s="11" t="str">
        <v>Number of knowledge products</v>
      </c>
      <c r="E6" s="11" t="str">
        <v>Country: Tanzania, United Republic</v>
      </c>
      <c r="F6" s="11">
        <v>1</v>
      </c>
      <c r="G6" s="11">
        <v>100000</v>
      </c>
      <c r="I6" s="11" t="str">
        <v>Personnel costs based on standard organizational salary scales.</v>
      </c>
    </row>
    <row r="7" ht="50" customHeight="1">
      <c r="A7" s="11" t="str">
        <v>AOW03</v>
      </c>
      <c r="C7" s="11" t="str">
        <v>Working paper on gleaning practices and role in addressing seasonality in nutrient uptake</v>
      </c>
      <c r="D7" s="11" t="str">
        <v>Number of knowledge products</v>
      </c>
      <c r="E7" s="11" t="str">
        <v>Global</v>
      </c>
      <c r="F7" s="11">
        <v>1</v>
      </c>
      <c r="G7" s="11">
        <v>85000</v>
      </c>
      <c r="I7" s="11" t="str">
        <v>Data collection costs include enumerators, survey tools, and supervision.</v>
      </c>
    </row>
    <row r="8" ht="50" customHeight="1">
      <c r="A8" s="11" t="str">
        <v>AOW03</v>
      </c>
      <c r="C8" s="11" t="str">
        <v>Working papers on local and nutrition dagaa (small fish) trade and its contribution to local and regional diets</v>
      </c>
      <c r="D8" s="11" t="str">
        <v>Number of knowledge products</v>
      </c>
      <c r="E8" s="11" t="str">
        <v>Global</v>
      </c>
      <c r="F8" s="11">
        <v>2</v>
      </c>
      <c r="G8" s="11">
        <v>125000</v>
      </c>
      <c r="I8" s="11" t="str">
        <v>Data collection costs include enumerators, survey tools, and supervision.</v>
      </c>
    </row>
    <row r="9" ht="50" customHeight="1">
      <c r="A9" s="11" t="str">
        <v>AOW03</v>
      </c>
      <c r="B9" s="11" t="str">
        <v xml:space="preserve"> Suite of integrated end-to-end solutions for food producers, traders, processors, and vendors/retailers that promote  food quality and safety, reduce food loss, and increase profits co-developed, tested, and scaled</v>
      </c>
      <c r="C9" s="11" t="str">
        <v xml:space="preserve">Paper on positive/negative deviants re aquatic foods, animal source foods, and fruit &amp; vegetable consumption and ownership/production </v>
      </c>
      <c r="D9" s="11" t="str">
        <v>Number of knowledge products</v>
      </c>
      <c r="E9" s="11" t="str">
        <v>Country: Tanzania, United Republic</v>
      </c>
      <c r="F9" s="11">
        <v>1</v>
      </c>
      <c r="G9" s="11">
        <v>35000</v>
      </c>
      <c r="H9" s="11">
        <f>SUM(G9:G9)</f>
      </c>
      <c r="I9" s="11" t="str">
        <v>Personnel costs based on standard organizational salary scales</v>
      </c>
    </row>
    <row r="10" ht="25" customHeight="1">
      <c r="B10" s="14" t="str">
        <v>HLO budget subtotal</v>
      </c>
      <c r="H10" s="15">
        <f>SUM(H3:H9)</f>
      </c>
    </row>
  </sheetData>
  <mergeCells count="9">
    <mergeCell ref="A1:A2"/>
    <mergeCell ref="B1:B2"/>
    <mergeCell ref="C1:G1"/>
    <mergeCell ref="H1:H2"/>
    <mergeCell ref="I1:I2"/>
    <mergeCell ref="B3:B8"/>
    <mergeCell ref="H3:H8"/>
    <mergeCell ref="B10:G10"/>
    <mergeCell ref="A3:A10"/>
  </mergeCells>
  <ignoredErrors>
    <ignoredError numberStoredAsText="1" sqref="A1:I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F-AG10607-ASIA-AFRICA BLUETECH SUPERHIGHWAY PROJECT (COAST)</v>
      </c>
      <c r="B2" s="19" t="str">
        <v>AOW03</v>
      </c>
      <c r="C2" s="18" t="str">
        <v>Suite of end-to-end solutions for aquatic food producers, traders, processors, and vendors/retailers that promote food quality and safety, reduce food loss,and increase profits co-developed, tested, and scaled</v>
      </c>
      <c r="D2" s="19">
        <v>824739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70000</v>
      </c>
      <c r="F2" s="20">
        <v>0</v>
      </c>
      <c r="G2" s="20">
        <v>0</v>
      </c>
      <c r="H2" s="20">
        <v>0</v>
      </c>
      <c r="I2" s="20" t="str">
        <f>=SUM(B2:H2)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0</v>
      </c>
      <c r="E3" s="20">
        <v>51229</v>
      </c>
      <c r="F3" s="20">
        <v>0</v>
      </c>
      <c r="G3" s="20">
        <v>0</v>
      </c>
      <c r="H3" s="20">
        <v>0</v>
      </c>
      <c r="I3" s="20" t="str">
        <f>=SUM(B3:H3)</f>
        <v>0</v>
      </c>
    </row>
    <row r="4" ht="20" customHeight="1">
      <c r="A4" s="20" t="str">
        <v>Staffing, Chargebacks and Indirect</v>
      </c>
      <c r="B4" s="20">
        <v>20200</v>
      </c>
      <c r="C4" s="20">
        <v>0</v>
      </c>
      <c r="D4" s="20">
        <v>0</v>
      </c>
      <c r="E4" s="20">
        <v>263771</v>
      </c>
      <c r="F4" s="20">
        <v>0</v>
      </c>
      <c r="G4" s="20">
        <v>0</v>
      </c>
      <c r="H4" s="20">
        <v>0</v>
      </c>
      <c r="I4" s="20" t="str">
        <f>=SUM(B4:H4)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  <c r="I5" s="23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