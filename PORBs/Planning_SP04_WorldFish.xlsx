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Solutions and Innovations: Agroecology, Nature-positive, Regenerative and Nutrition-sensitive </v>
      </c>
      <c r="B5" s="2">
        <v>0</v>
      </c>
      <c r="C5" s="5">
        <v>0</v>
      </c>
      <c r="D5" s="2">
        <v>1</v>
      </c>
      <c r="E5" s="5">
        <v>42245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42245</v>
      </c>
      <c r="M5" s="5">
        <v>139737</v>
      </c>
    </row>
    <row r="6" ht="20" customHeight="1">
      <c r="A6" s="2" t="str">
        <v>AOW02: Landscape Optimization and Inclusive Planning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15</v>
      </c>
      <c r="I6" s="5">
        <v>74690</v>
      </c>
      <c r="J6" s="5">
        <v>0</v>
      </c>
      <c r="K6" s="5">
        <v>0</v>
      </c>
      <c r="L6" s="5">
        <v>74690</v>
      </c>
      <c r="M6" s="5">
        <v>0</v>
      </c>
    </row>
    <row r="7" ht="20" customHeight="1">
      <c r="A7" s="2" t="str">
        <v>AOW03: Business Models, Markets, and Sustainable Finance</v>
      </c>
      <c r="B7" s="2">
        <v>0</v>
      </c>
      <c r="C7" s="5">
        <v>0</v>
      </c>
      <c r="D7" s="2">
        <v>3</v>
      </c>
      <c r="E7" s="5">
        <v>56652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56652</v>
      </c>
      <c r="M7" s="5">
        <v>0</v>
      </c>
    </row>
    <row r="8" ht="20" customHeight="1">
      <c r="A8" s="2" t="str">
        <v>AOW04: Governance, Institutions, Policy, and Inclusion</v>
      </c>
      <c r="B8" s="2">
        <v>1</v>
      </c>
      <c r="C8" s="5">
        <v>64850</v>
      </c>
      <c r="D8" s="2">
        <v>13</v>
      </c>
      <c r="E8" s="5">
        <v>127907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192757</v>
      </c>
      <c r="M8" s="5">
        <v>1649477</v>
      </c>
    </row>
    <row r="9" ht="20" customHeight="1">
      <c r="A9" s="2" t="str">
        <v>AOW05: Performance Assessments &amp; Evidence Generation</v>
      </c>
      <c r="B9" s="2">
        <v>3</v>
      </c>
      <c r="C9" s="5">
        <v>84707</v>
      </c>
      <c r="D9" s="2">
        <v>29</v>
      </c>
      <c r="E9" s="5">
        <v>197253</v>
      </c>
      <c r="F9" s="2">
        <v>0</v>
      </c>
      <c r="G9" s="5">
        <v>0</v>
      </c>
      <c r="H9" s="2">
        <v>2</v>
      </c>
      <c r="I9" s="5">
        <v>36460</v>
      </c>
      <c r="J9" s="5">
        <v>0</v>
      </c>
      <c r="K9" s="5">
        <v>107195</v>
      </c>
      <c r="L9" s="5">
        <v>425615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Other PMU Operations</v>
      </c>
      <c r="C2" s="11" t="str">
        <v>Travel and other operations budget for all PMU roles.</v>
      </c>
      <c r="D2" s="11">
        <v>0</v>
      </c>
    </row>
    <row r="3" ht="45" customHeight="1" xml:space="preserve">
      <c r="A3" s="11" t="str">
        <v>AOW00</v>
      </c>
      <c r="B3" s="11" t="str">
        <v>Area of Work (AoW) Leaders</v>
      </c>
      <c r="C3" s="11" t="str" xml:space="preserve">
        <v xml:space="preserve">Fixed amount of USD 80,000 per AoW lead, for five AoW leads (one per AoW).
</v>
      </c>
      <c r="D3" s="11">
        <v>0</v>
      </c>
    </row>
    <row r="4" ht="45" customHeight="1">
      <c r="A4" s="11" t="str">
        <v>AOW00</v>
      </c>
      <c r="B4" s="11" t="str">
        <v>Global Engagement Activities</v>
      </c>
      <c r="C4" s="11" t="str">
        <v>Staff and operations for global engagement activities.</v>
      </c>
      <c r="D4" s="11">
        <v>0</v>
      </c>
    </row>
    <row r="5" ht="45" customHeight="1">
      <c r="A5" s="11" t="str">
        <v>AOW00</v>
      </c>
      <c r="B5" s="11" t="str">
        <v>PMU Team</v>
      </c>
      <c r="C5" s="11" t="str">
        <v xml:space="preserve">Position costs for Coordination Focal Point, MELIA Focal Point, Finance Focal Point and Communications Focal Point. </v>
      </c>
      <c r="D5" s="11">
        <v>0</v>
      </c>
    </row>
    <row r="6" ht="45" customHeight="1">
      <c r="A6" s="11" t="str">
        <v>AOW00</v>
      </c>
      <c r="B6" s="11" t="str">
        <v>Shared Finance Support</v>
      </c>
      <c r="D6" s="11">
        <v>0</v>
      </c>
    </row>
    <row r="7" ht="45" customHeight="1">
      <c r="A7" s="11" t="str">
        <v>AOW00</v>
      </c>
      <c r="B7" s="11" t="str">
        <v>Program Director and Associated Costs</v>
      </c>
      <c r="C7" s="11" t="str">
        <v>Standard cost defined by System Office for Director, administrative support, meetings and workshops, travel, smaller consultancies, and miscellaneous operating costs.</v>
      </c>
      <c r="D7" s="11">
        <v>0</v>
      </c>
    </row>
    <row r="8" ht="45" customHeight="1">
      <c r="A8" s="11" t="str">
        <v>AOW00</v>
      </c>
      <c r="B8" s="11" t="str">
        <v>Program Director Discretionary Fund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 xml:space="preserve">
      <c r="A3" s="13" t="str">
        <v>AOW01</v>
      </c>
      <c r="B3" s="11" t="str">
        <v>OP 1.1.3. – Common pool resource bundles</v>
      </c>
      <c r="C3" s="11" t="str" xml:space="preserve">
        <v xml:space="preserve">Deliverable - Co-creation and Demonstration of Aquatic Food Production Models: Work with farmers and communities to co-design, test, and evaluate small-scale aquatic food production systems (e.g., fish ponds, rice–fish systems, integrated aquaculture–livestock–crop models), supported by feasibility assessments and performance monitoring to generate evidence for scaling
Indicator: Number of on farm-scale prototypes for aquatic food production developed</v>
      </c>
      <c r="D3" s="11" t="str">
        <v>Number of knowledge products</v>
      </c>
      <c r="E3" s="11" t="str">
        <v>Country: India</v>
      </c>
      <c r="F3" s="11">
        <v>1</v>
      </c>
      <c r="G3" s="11">
        <v>42245</v>
      </c>
      <c r="H3" s="11">
        <f>SUM(G3:G3)</f>
      </c>
      <c r="I3" s="11" t="str">
        <v>.</v>
      </c>
    </row>
    <row r="4" ht="25" customHeight="1">
      <c r="B4" s="14" t="str">
        <v>HLO budget subtotal</v>
      </c>
      <c r="H4" s="15">
        <f>SUM(H3:H3)</f>
      </c>
    </row>
    <row r="5" ht="50" customHeight="1" xml:space="preserve">
      <c r="A5" s="13" t="str">
        <v>AOW02</v>
      </c>
      <c r="B5" s="11" t="str">
        <v>OP 2.2.3. – Integrated planning &amp; scenarios</v>
      </c>
      <c r="C5" s="11" t="str" xml:space="preserve">
        <v xml:space="preserve">Deliverable - Integrated Aquatic Resource and Land Management Planning: Support the integrated planning and optimization of land and aquatic resource use in acquatic landscape and seascapes by developing management strategies for rivers, reservoirs, ponds, wetlands, and associated agro-aquatic production systems, to enhance water security, ecosystem health, fisheries productivity, and community livelihoods.
Indicator: Number of stakeholder groups involved in planning aquatic ecosystem for integration in land use planning in Mandla, India</v>
      </c>
      <c r="D5" s="11" t="str">
        <v xml:space="preserve"> Number of stakeholder groups involved in planning aquatic ecosystem for integration in land use planning in Mandla, India</v>
      </c>
      <c r="E5" s="11" t="str">
        <v>Country: India</v>
      </c>
      <c r="F5" s="11">
        <v>15</v>
      </c>
      <c r="G5" s="11">
        <v>74690</v>
      </c>
      <c r="H5" s="11">
        <f>SUM(G5:G5)</f>
      </c>
      <c r="I5" s="11" t="str">
        <v>.</v>
      </c>
    </row>
    <row r="6" ht="25" customHeight="1">
      <c r="B6" s="15" t="str">
        <v>HLO budget subtotal</v>
      </c>
      <c r="H6" s="15">
        <f>SUM(H5:H5)</f>
      </c>
    </row>
    <row r="7" ht="50" customHeight="1" xml:space="preserve">
      <c r="A7" s="13" t="str">
        <v>AOW03</v>
      </c>
      <c r="B7" s="11" t="str">
        <v>OP 3.2.2. Inclusive business models</v>
      </c>
      <c r="C7" s="11" t="str" xml:space="preserve">
        <v xml:space="preserve">Deliverable - Financial health and entrepreneurial Opportunity of aquatic food producers:  Exploring Financial health and entrepreneurial Opportunity of aquatic food producers in Mandla. The study will follow a mixed-methodology approach, integrating socio-economic assessment to provide a holistic understanding of the financial health and entrepreneurial capability.
Indicator: Number of technical reports on financial health and entrepreneurial opportunity of aquatic food producers</v>
      </c>
      <c r="D7" s="11" t="str">
        <v>Number of knowledge products</v>
      </c>
      <c r="E7" s="11" t="str">
        <v>Country: India</v>
      </c>
      <c r="F7" s="11">
        <v>3</v>
      </c>
      <c r="G7" s="11">
        <v>56652</v>
      </c>
      <c r="H7" s="11">
        <f>SUM(G7:G7)</f>
      </c>
      <c r="I7" s="11" t="str">
        <v>.</v>
      </c>
    </row>
    <row r="8" ht="25" customHeight="1">
      <c r="B8" s="15" t="str">
        <v>HLO budget subtotal</v>
      </c>
      <c r="H8" s="15">
        <f>SUM(H7:H7)</f>
      </c>
    </row>
    <row r="9" ht="50" customHeight="1" xml:space="preserve">
      <c r="A9" s="13" t="str">
        <v>AOW04</v>
      </c>
      <c r="B9" s="11" t="str">
        <v>OP 4.1.1. Inclusive governance architectures</v>
      </c>
      <c r="C9" s="11" t="str" xml:space="preserve">
        <v xml:space="preserve">Deliverable: Approved transboundary adaptive management plan that aligns aquatic food production with river health and ecosystem conservation goals. Interactive decision-support platform providing scenario-based options for optimizing food–water–ecosystem outcomes across borders
Indicator: Number of decision-support platforms providing scenario-based options for transboundary management plans
</v>
      </c>
      <c r="D9" s="11" t="str">
        <v>Number of innovations (innovation development)</v>
      </c>
      <c r="E9" s="11" t="str">
        <v>Country: Lao People's Democratic Republic, Cambodia</v>
      </c>
      <c r="F9" s="11">
        <v>1</v>
      </c>
      <c r="G9" s="11">
        <v>64850</v>
      </c>
      <c r="H9" s="11">
        <f>SUM(G9:G9)</f>
      </c>
      <c r="I9" s="11" t="str">
        <v>.</v>
      </c>
    </row>
    <row r="10" ht="50" customHeight="1" xml:space="preserve">
      <c r="A10" s="11" t="str">
        <v>AOW04</v>
      </c>
      <c r="B10" s="11" t="str">
        <v>OP 4.2.1. Institutional, social and behavioral mechanisms</v>
      </c>
      <c r="C10" s="11" t="str" xml:space="preserve">
        <v xml:space="preserve">Deliverable: Technical report and data repository on flow regimes, fisheries status, and nutrition outcomes across the 3S sub-basins.Validated multifunctionality assessment framework and baseline dataset for continuous tracking of aquatic food–nutrition–ecosystem interactions.
Indicator: Number of data repositories on flow regimes, fisheries status and nutrition outcomes in 3S sub-basins
</v>
      </c>
      <c r="D10" s="11" t="str">
        <v>Number of knowledge products</v>
      </c>
      <c r="E10" s="11" t="str">
        <v>Country: Cambodia, Lao People's Democratic Republic</v>
      </c>
      <c r="F10" s="11">
        <v>10</v>
      </c>
      <c r="G10" s="11">
        <v>29168</v>
      </c>
      <c r="H10" s="11">
        <f>SUM(G10:G11)</f>
      </c>
      <c r="I10" s="11" t="str">
        <v>.</v>
      </c>
    </row>
    <row r="11" ht="50" customHeight="1" xml:space="preserve">
      <c r="A11" s="11" t="str">
        <v>AOW04</v>
      </c>
      <c r="C11" s="11" t="str" xml:space="preserve">
        <v xml:space="preserve">Deliverable: Business model portfolio showcasing income generation, employment creation, and local availability of nutritious aquatic foods. Policy brief and investment plan illustrating successful models of ecosystem-based aquatic food enterprises with traceability and sustainability certification potential
Indicator: Number of publications, reports or briefs on investment plans for ecosystem-based aquatic food enterprises
</v>
      </c>
      <c r="D11" s="11" t="str">
        <v>Number of knowledge products</v>
      </c>
      <c r="E11" s="11" t="str">
        <v>Country: Lao People's Democratic Republic, Cambodia</v>
      </c>
      <c r="F11" s="11">
        <v>1</v>
      </c>
      <c r="G11" s="11">
        <v>43023</v>
      </c>
      <c r="I11" s="11" t="str">
        <v>.</v>
      </c>
    </row>
    <row r="12" ht="50" customHeight="1" xml:space="preserve">
      <c r="A12" s="11" t="str">
        <v>AOW04</v>
      </c>
      <c r="B12" s="11" t="str">
        <v>OP 4.3.1. Multifunctional landscapes policy design and implementation</v>
      </c>
      <c r="C12" s="11" t="str" xml:space="preserve">
        <v xml:space="preserve">Deliverable: Analysis of Socioeconomic Benefits, Equity Challenges, and Collective Action in Kenyan BMUs
Indicator: Number of  publications, reports or briefs on socioeconomic benefits, equity challenes and collective action
</v>
      </c>
      <c r="D12" s="11" t="str">
        <v>Number of knowledge products</v>
      </c>
      <c r="E12" s="11" t="str">
        <v>Country: Kenya</v>
      </c>
      <c r="F12" s="11">
        <v>2</v>
      </c>
      <c r="G12" s="11">
        <v>55716</v>
      </c>
      <c r="H12" s="11">
        <f>SUM(G12:G12)</f>
      </c>
      <c r="I12" s="11" t="str">
        <v>.</v>
      </c>
    </row>
    <row r="13" ht="25" customHeight="1">
      <c r="B13" s="15" t="str">
        <v>HLO budget subtotal</v>
      </c>
      <c r="H13" s="15">
        <f>SUM(H9:H12)</f>
      </c>
    </row>
    <row r="14" ht="50" customHeight="1" xml:space="preserve">
      <c r="A14" s="13" t="str">
        <v>AOW05</v>
      </c>
      <c r="B14" s="11" t="str">
        <v>OP 5.1.2 Landscape-specific assessment frameworks</v>
      </c>
      <c r="C14" s="11" t="str" xml:space="preserve">
        <v xml:space="preserve">Deliverable - Critical Capabilities - MELIA STUDY Landscape appropriate Impact Assessment implementation: System Level Theory of Change
Indicator: Number of impact assessments carried out and documented</v>
      </c>
      <c r="D14" s="11" t="str">
        <v>Number of knowledge products</v>
      </c>
      <c r="E14" s="11" t="str">
        <v>Global</v>
      </c>
      <c r="F14" s="11">
        <v>4</v>
      </c>
      <c r="G14" s="11">
        <v>0</v>
      </c>
      <c r="H14" s="11">
        <f>SUM(G14:G14)</f>
      </c>
    </row>
    <row r="15" ht="50" customHeight="1" xml:space="preserve">
      <c r="A15" s="11" t="str">
        <v>AOW05</v>
      </c>
      <c r="B15" s="11" t="str">
        <v>OP 5.1.3. Cross-CGIAR assessment frameworks of impact indicators</v>
      </c>
      <c r="C15" s="11" t="str" xml:space="preserve">
        <v xml:space="preserve">Deliverable: Critical Capabilities - GIS Services providing spatial data acquisition, analysis, and visualization for CGIAR and partners, integrating satellite imagery, modeling, and mapping to support evidence-based decisions on aquatic food systems, landscape multifunctionality, and climate resilience through standardized, interoperable geospatial intelligence tools.
Indicator: Number of geospatial products, maps, or analytical dashboards produced and shared annually with partners to support decision-making
</v>
      </c>
      <c r="D15" s="11" t="str">
        <v>Number of knowledge products</v>
      </c>
      <c r="E15" s="11" t="str">
        <v>Global</v>
      </c>
      <c r="F15" s="11">
        <v>20</v>
      </c>
      <c r="G15" s="11">
        <v>80396</v>
      </c>
      <c r="H15" s="11">
        <f>SUM(G15:G15)</f>
      </c>
      <c r="I15" s="11" t="str">
        <v>.</v>
      </c>
    </row>
    <row r="16" ht="50" customHeight="1" xml:space="preserve">
      <c r="A16" s="11" t="str">
        <v>AOW05</v>
      </c>
      <c r="B16" s="11" t="str">
        <v>OP 5.2.1. Knowledge and information hubs</v>
      </c>
      <c r="C16" s="11" t="str" xml:space="preserve">
        <v xml:space="preserve">Deliverable - User Engagement and Uptake Convene policy dialogues, knowledge fairs, and training events; produce briefs and dashboards to support adoption by governments, investors, and programs. 
Indicator: Number of user engagement workshops for partners of the knowledge hub</v>
      </c>
      <c r="D16" s="11" t="str">
        <v>Number of user engagement workshops for partners of the knowledge hub</v>
      </c>
      <c r="E16" s="11" t="str">
        <v>Country: Tunisia, Cambodia, Senegal, The Socialist Republic of Viet Nam, Tanzania, United Republic, Zimbabwe, India, Lao People's Democratic Republic, Colombia, Ethiopia, Peru, Kenya</v>
      </c>
      <c r="F16" s="11">
        <v>2</v>
      </c>
      <c r="G16" s="11">
        <v>36460</v>
      </c>
      <c r="H16" s="11">
        <f>SUM(G16:G20)</f>
      </c>
      <c r="I16" s="11" t="str">
        <v>.</v>
      </c>
    </row>
    <row r="17" ht="50" customHeight="1" xml:space="preserve">
      <c r="A17" s="11" t="str">
        <v>AOW05</v>
      </c>
      <c r="C17" s="11" t="str" xml:space="preserve">
        <v xml:space="preserve">Deliverable - Country Evidence Packages: Generate structured, locally grounded evidence packages (landscape performance, multifunctionality indicators, innovations) 
Indicator: Number of pilot country evidence packages</v>
      </c>
      <c r="D17" s="11" t="str">
        <v>Number of innovations (innovation development)</v>
      </c>
      <c r="E17" s="11" t="str">
        <v>Country: India, Peru, Colombia, Lao People's Democratic Republic, Tanzania, United Republic, Cambodia, Ethiopia, Zimbabwe, The Socialist Republic of Viet Nam, Tunisia, Senegal, Kenya</v>
      </c>
      <c r="F17" s="11">
        <v>2</v>
      </c>
      <c r="G17" s="11">
        <v>48247</v>
      </c>
      <c r="I17" s="11" t="str">
        <v>.</v>
      </c>
    </row>
    <row r="18" ht="50" customHeight="1" xml:space="preserve">
      <c r="A18" s="11" t="str">
        <v>AOW05</v>
      </c>
      <c r="C18" s="11" t="str" xml:space="preserve">
        <v xml:space="preserve">Deliverable - FAIR-Aligned Evidence Architecture
Establish protocols, metadata standards, and governance mechanisms to curate and manage MFL-related datasets as global public goods. 
Indicator:  Number of FAIR-light protocols</v>
      </c>
      <c r="D18" s="11" t="str">
        <v>Number of knowledge products</v>
      </c>
      <c r="E18" s="11" t="str">
        <v>Country: Tunisia, Colombia, Kenya, Ethiopia, Zimbabwe, Peru, Senegal, Lao People's Democratic Republic, Cambodia, The Socialist Republic of Viet Nam, India, Tanzania, United Republic</v>
      </c>
      <c r="F18" s="11">
        <v>1</v>
      </c>
      <c r="G18" s="11">
        <v>36460</v>
      </c>
      <c r="I18" s="11" t="str">
        <v>.</v>
      </c>
    </row>
    <row r="19" ht="50" customHeight="1" xml:space="preserve">
      <c r="A19" s="11" t="str">
        <v>AOW05</v>
      </c>
      <c r="C19" s="11" t="str" xml:space="preserve">
        <v xml:space="preserve">Deliverable - MFL Knowledge Hub Prototype
Develop the digital infrastructure integrating multifunctionality datasets, metrics, models, and innovation cases across animal, aquatic, and landscape domains.. 
Indicator: Number of functional MVP platforms launched</v>
      </c>
      <c r="D19" s="11" t="str">
        <v>Number of innovations (innovation development)</v>
      </c>
      <c r="E19" s="11" t="str">
        <v>Country: Tanzania, United Republic, The Socialist Republic of Viet Nam, Zimbabwe, Ethiopia, Peru, Lao People's Democratic Republic, Cambodia, Kenya, Tunisia, India, Senegal, Colombia</v>
      </c>
      <c r="F19" s="11">
        <v>1</v>
      </c>
      <c r="G19" s="11">
        <v>36460</v>
      </c>
      <c r="I19" s="11" t="str">
        <v>.</v>
      </c>
    </row>
    <row r="20" ht="50" customHeight="1">
      <c r="A20" s="11" t="str">
        <v>AOW05</v>
      </c>
      <c r="C20" s="11" t="str">
        <v>Number of comprehensive open-access knowledge and information hubs on multifunctional landscape performance</v>
      </c>
      <c r="D20" s="11" t="str">
        <v>Number of knowledge products</v>
      </c>
      <c r="E20" s="11" t="str">
        <v>Country: Zimbabwe, Colombia, India, Senegal, Lao People's Democratic Republic, The Socialist Republic of Viet Nam, Tanzania, United Republic, Peru, Cambodia, Tunisia, Kenya</v>
      </c>
      <c r="F20" s="11">
        <v>1</v>
      </c>
      <c r="G20" s="11">
        <v>0</v>
      </c>
    </row>
    <row r="21" ht="50" customHeight="1" xml:space="preserve">
      <c r="A21" s="11" t="str">
        <v>AOW05</v>
      </c>
      <c r="B21" s="11" t="str">
        <v>OP 5.2.2. Near real-time monitoring</v>
      </c>
      <c r="C21" s="11" t="str" xml:space="preserve">
        <v xml:space="preserve">Deliverable: Critical Capabilities - AI-enabled data pipelines, analytical models, and visualization dashboards developed and operationalized annually to support Digital Twin deployments and decision-making across CGIAR Programs and partner landscapes
Indicator: Number of AI-enabled data pipelines, analytical models, and visualization dashboards</v>
      </c>
      <c r="D21" s="11" t="str">
        <v>Number of knowledge products</v>
      </c>
      <c r="E21" s="11" t="str">
        <v>Global</v>
      </c>
      <c r="F21" s="11">
        <v>3</v>
      </c>
      <c r="G21" s="11">
        <v>80397</v>
      </c>
      <c r="H21" s="11">
        <f>SUM(G21:G21)</f>
      </c>
      <c r="I21" s="11" t="str">
        <v>.</v>
      </c>
    </row>
    <row r="22" ht="25" customHeight="1">
      <c r="B22" s="15" t="str">
        <v>HLO budget subtotal</v>
      </c>
      <c r="H22" s="15">
        <f>SUM(H14:H21)</f>
      </c>
    </row>
  </sheetData>
  <mergeCells count="19">
    <mergeCell ref="A1:A2"/>
    <mergeCell ref="B1:B2"/>
    <mergeCell ref="C1:G1"/>
    <mergeCell ref="H1:H2"/>
    <mergeCell ref="I1:I2"/>
    <mergeCell ref="B4:G4"/>
    <mergeCell ref="A3:A4"/>
    <mergeCell ref="B6:G6"/>
    <mergeCell ref="A5:A6"/>
    <mergeCell ref="B8:G8"/>
    <mergeCell ref="A7:A8"/>
    <mergeCell ref="B10:B11"/>
    <mergeCell ref="H10:H11"/>
    <mergeCell ref="B13:G13"/>
    <mergeCell ref="A9:A13"/>
    <mergeCell ref="B16:B20"/>
    <mergeCell ref="H16:H20"/>
    <mergeCell ref="B22:G22"/>
    <mergeCell ref="A14:A22"/>
  </mergeCells>
  <ignoredErrors>
    <ignoredError numberStoredAsText="1" sqref="A1: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F-PP-2022-1020-Climate-Resilient Aquaculture Systems for Afr (AG10618)</v>
      </c>
      <c r="B2" s="19" t="str">
        <v>AOW00</v>
      </c>
      <c r="C2" s="18" t="str">
        <v>2030 OC-3 National and sub-national public actors, market and finance sector actors co-design, implement, and sustain coordinated, inclusive and coherent policy, institutional, organizational, market and non-market innovations</v>
      </c>
      <c r="D2" s="19">
        <v>0</v>
      </c>
      <c r="E2" s="19" t="str">
        <f>=SUM(D2:D3)</f>
        <v>0</v>
      </c>
    </row>
    <row r="3" ht="30" customHeight="1">
      <c r="A3" s="18" t="str">
        <v>F-PP-2022-1020-Climate-Resilient Aquaculture Systems for Afr (AG10618)</v>
      </c>
      <c r="B3" s="19" t="str">
        <v>AOW01</v>
      </c>
      <c r="C3" s="18" t="str">
        <v>OP 1.1.3. – Common pool resource bundles</v>
      </c>
      <c r="D3" s="19">
        <v>139737</v>
      </c>
      <c r="F3" s="19" t="str">
        <v>.</v>
      </c>
    </row>
    <row r="4" ht="30" customHeight="1">
      <c r="A4" s="18" t="str">
        <v>F-AG10607-ASIA-AFRICA BLUETECH SUPERHIGHWAY PROJECT (COAST)</v>
      </c>
      <c r="B4" s="19" t="str">
        <v>AOW04</v>
      </c>
      <c r="C4" s="18" t="str">
        <v>OP 4.3.1. Multifunctional landscapes policy design and implementation</v>
      </c>
      <c r="D4" s="19">
        <v>1649477</v>
      </c>
      <c r="E4" s="19" t="str">
        <f>=SUM(D4:D5)</f>
        <v>0</v>
      </c>
      <c r="F4" s="19" t="str">
        <v>.</v>
      </c>
    </row>
    <row r="5" ht="30" customHeight="1">
      <c r="A5" s="18" t="str">
        <v>F-AG10607-ASIA-AFRICA BLUETECH SUPERHIGHWAY PROJECT (COAST)</v>
      </c>
      <c r="B5" s="19" t="str">
        <v>AOW00</v>
      </c>
      <c r="C5" s="18" t="str">
        <v>2030 OC-1. Farmers, fishers, herders, foresters, forest and water users groups, national and sub-national public actors, and private sector actors in the targeted landscapes apply technological, socio-ecological, policy and/or institutional innovations that enhance food production, ecosystem restoration and gains, biodiversity conservation and protection, social cohesion and resilience, and healthy diets in thriving Multifunctional Landscapes</v>
      </c>
      <c r="D5" s="19">
        <v>0</v>
      </c>
    </row>
    <row r="6" ht="30" customHeight="1">
      <c r="A6" s="3" t="str">
        <v>W3/Bilateral projects subtotal</v>
      </c>
      <c r="E6" s="3">
        <f>SUM(E2:E5)</f>
      </c>
    </row>
  </sheetData>
  <mergeCells count="5">
    <mergeCell ref="A2:A3"/>
    <mergeCell ref="A4:A5"/>
    <mergeCell ref="E2:E3"/>
    <mergeCell ref="E4:E5"/>
    <mergeCell ref="A6:D6"/>
  </mergeCells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 xml:space="preserve"> Landscape appropriate Impact Assessment implementation: System Level Theory of Change</v>
      </c>
      <c r="B2" s="19" t="str">
        <v>AOW05</v>
      </c>
      <c r="C2" s="18" t="str">
        <v>I-OC 5.1 Partners in multifunctional landscapes sites increase their capacity to articulate and communicate knowledge on multifunctional landscapes innovations, business models, policies/institutions, land-use planning, governance, social inclusion, behavioral change, and evidence on sustainable multifunctional landscapes management in policy arenas, scientific and practice communities.</v>
      </c>
      <c r="D2" s="19">
        <v>107195</v>
      </c>
      <c r="E2" s="19" t="str">
        <f>=SUM(D2:D2)</f>
        <v>0</v>
      </c>
      <c r="F2" s="19" t="str">
        <v>.</v>
      </c>
    </row>
    <row r="3" ht="30" customHeight="1">
      <c r="A3" s="3" t="str">
        <v>MELIA Studies Budget subtotal</v>
      </c>
      <c r="E3" s="3">
        <f>SUM(E2:E2)</f>
      </c>
    </row>
  </sheetData>
  <mergeCells count="1">
    <mergeCell ref="A3:D3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13500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12673</v>
      </c>
      <c r="D3" s="20">
        <v>22407</v>
      </c>
      <c r="E3" s="20">
        <v>16996</v>
      </c>
      <c r="F3" s="20">
        <v>53777</v>
      </c>
      <c r="G3" s="20">
        <v>127685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20200</v>
      </c>
      <c r="C4" s="20">
        <v>29572</v>
      </c>
      <c r="D4" s="20">
        <v>52283</v>
      </c>
      <c r="E4" s="20">
        <v>39656</v>
      </c>
      <c r="F4" s="20">
        <v>125480</v>
      </c>
      <c r="G4" s="20">
        <v>297930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