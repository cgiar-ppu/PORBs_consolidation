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Data Ecosystem</v>
      </c>
      <c r="B5" s="2">
        <v>0</v>
      </c>
      <c r="C5" s="5">
        <v>0</v>
      </c>
      <c r="D5" s="2">
        <v>12</v>
      </c>
      <c r="E5" s="5">
        <v>50000</v>
      </c>
      <c r="F5" s="2">
        <v>0</v>
      </c>
      <c r="G5" s="5">
        <v>0</v>
      </c>
      <c r="H5" s="2">
        <v>0</v>
      </c>
      <c r="I5" s="5">
        <v>0</v>
      </c>
      <c r="J5" s="5">
        <v>0</v>
      </c>
      <c r="K5" s="5">
        <v>0</v>
      </c>
      <c r="L5" s="5">
        <v>50000</v>
      </c>
      <c r="M5" s="5">
        <v>74477</v>
      </c>
    </row>
    <row r="6" ht="20" customHeight="1">
      <c r="A6" s="2" t="str">
        <v>AOW02: Action Lab</v>
      </c>
      <c r="B6" s="2">
        <v>8</v>
      </c>
      <c r="C6" s="5">
        <v>93395</v>
      </c>
      <c r="D6" s="2">
        <v>1</v>
      </c>
      <c r="E6" s="5">
        <v>35000</v>
      </c>
      <c r="F6" s="2">
        <v>600</v>
      </c>
      <c r="G6" s="5">
        <v>40000</v>
      </c>
      <c r="H6" s="2">
        <v>0</v>
      </c>
      <c r="I6" s="5">
        <v>0</v>
      </c>
      <c r="J6" s="5">
        <v>0</v>
      </c>
      <c r="K6" s="5">
        <v>0</v>
      </c>
      <c r="L6" s="5">
        <v>168395</v>
      </c>
      <c r="M6" s="5">
        <v>0</v>
      </c>
    </row>
    <row r="7" ht="20" customHeight="1">
      <c r="A7" s="2" t="str">
        <v>AOW03: Digital Futures</v>
      </c>
      <c r="B7" s="2">
        <v>0</v>
      </c>
      <c r="C7" s="5">
        <v>0</v>
      </c>
      <c r="D7" s="2">
        <v>2</v>
      </c>
      <c r="E7" s="5">
        <v>50000</v>
      </c>
      <c r="F7" s="2">
        <v>0</v>
      </c>
      <c r="G7" s="5">
        <v>0</v>
      </c>
      <c r="H7" s="2">
        <v>0</v>
      </c>
      <c r="I7" s="5">
        <v>0</v>
      </c>
      <c r="J7" s="5">
        <v>0</v>
      </c>
      <c r="K7" s="5">
        <v>0</v>
      </c>
      <c r="L7" s="5">
        <v>50000</v>
      </c>
      <c r="M7" s="5">
        <v>0</v>
      </c>
    </row>
    <row r="8" ht="20" customHeight="1">
      <c r="A8" s="2" t="str">
        <v>AOW04: Enabling Environment</v>
      </c>
      <c r="B8" s="2">
        <v>6</v>
      </c>
      <c r="C8" s="5">
        <v>79000</v>
      </c>
      <c r="D8" s="2">
        <v>6</v>
      </c>
      <c r="E8" s="5">
        <v>30000</v>
      </c>
      <c r="F8" s="2">
        <v>0</v>
      </c>
      <c r="G8" s="5">
        <v>0</v>
      </c>
      <c r="H8" s="2">
        <v>0</v>
      </c>
      <c r="I8" s="5">
        <v>0</v>
      </c>
      <c r="J8" s="5">
        <v>0</v>
      </c>
      <c r="K8" s="5">
        <v>0</v>
      </c>
      <c r="L8" s="5">
        <v>109000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0</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1.3.8 &amp; 1.4.8 Governance,  incentives for data &amp; digital  management culture change </v>
      </c>
      <c r="C3" s="11" t="str">
        <v>ICARDA 8: Number of guidelines on implementing the Privacy &amp; Consent Kit in data collection and management activities produced.</v>
      </c>
      <c r="D3" s="11" t="str">
        <v>Number of knowledge products</v>
      </c>
      <c r="E3" s="11" t="str">
        <v>Country: Egypt, India</v>
      </c>
      <c r="F3" s="11">
        <v>4</v>
      </c>
      <c r="G3" s="11">
        <v>20000</v>
      </c>
      <c r="H3" s="11">
        <f>SUM(G3:G5)</f>
      </c>
      <c r="I3" s="11" t="str">
        <v>Most of the budget will be dedicated to internal consultations, coordination meetings, and the preparation of policies and SOPs required to define roles across the data lifecycle. Additional resources will support harmonizing data practices across ICARDA’</v>
      </c>
    </row>
    <row r="4" ht="50" customHeight="1">
      <c r="A4" s="11" t="str">
        <v>AOW01</v>
      </c>
      <c r="C4" s="11" t="str">
        <v>ICARDA 7: Number of Data Ownership and Stewardship RACI documents produced.</v>
      </c>
      <c r="D4" s="11" t="str">
        <v>Number of knowledge products</v>
      </c>
      <c r="E4" s="11" t="str">
        <v>Country: Egypt, India</v>
      </c>
      <c r="F4" s="11">
        <v>4</v>
      </c>
      <c r="G4" s="11">
        <v>20000</v>
      </c>
      <c r="I4" s="11" t="str">
        <v>Most of the budget will be dedicated to internal consultations, coordination meetings, and the preparation of policies and SOPs required to define roles across the data lifecycle. Additional resources will support harmonizing data practices across ICARDA’</v>
      </c>
    </row>
    <row r="5" ht="50" customHeight="1">
      <c r="A5" s="11" t="str">
        <v>AOW01</v>
      </c>
      <c r="C5" s="11" t="str">
        <v>ICARDA 6: Number of SOPs, knowledge products, reports, scoping studies produced  to operationalize the digital innovation nodes.</v>
      </c>
      <c r="D5" s="11" t="str">
        <v>Number of knowledge products</v>
      </c>
      <c r="E5" s="11" t="str">
        <v>Country: Egypt, India</v>
      </c>
      <c r="F5" s="11">
        <v>4</v>
      </c>
      <c r="G5" s="11">
        <v>10000</v>
      </c>
      <c r="I5" s="11" t="str">
        <v>Most of the budget will be dedicated to internal consultations, coordination meetings, and the preparation of policies and SOPs required to define roles across the data lifecycle. Additional resources will support harmonizing data practices across ICARDA’</v>
      </c>
    </row>
    <row r="6" ht="25" customHeight="1">
      <c r="B6" s="14" t="str">
        <v>HLO budget subtotal</v>
      </c>
      <c r="H6" s="15">
        <f>SUM(H3:H5)</f>
      </c>
    </row>
    <row r="7" ht="50" customHeight="1">
      <c r="A7" s="13" t="str">
        <v>AOW02</v>
      </c>
      <c r="B7" s="11" t="str">
        <v>HLO 2.1.1: Research integrates AI analytics and digital technologies to enhance modeling and evidence generation.​</v>
      </c>
      <c r="C7" s="11" t="str">
        <v>ICARDA 5: Number of APIs developed for water information dissemination to stakeholders.</v>
      </c>
      <c r="D7" s="11" t="str">
        <v>Number of innovations (innovation development)</v>
      </c>
      <c r="E7" s="11" t="str">
        <v>Country: India, Egypt, Morocco</v>
      </c>
      <c r="F7" s="11">
        <v>4</v>
      </c>
      <c r="G7" s="11">
        <v>20000</v>
      </c>
      <c r="H7" s="11">
        <f>SUM(G7:G9)</f>
      </c>
      <c r="I7" s="11" t="str">
        <v>Budget utilization will cover the staff time of digital scientists to design and implement the deep-learning–based  algorithm, integrating multi-temporal RS and historical climate data. It will also support operational costs for cloud servers, data acquis</v>
      </c>
    </row>
    <row r="8" ht="50" customHeight="1">
      <c r="A8" s="11" t="str">
        <v>AOW02</v>
      </c>
      <c r="C8" s="11" t="str">
        <v>ICARDA 4: Number of Web Based Ag water Information Platforms deployed.</v>
      </c>
      <c r="D8" s="11" t="str">
        <v>Number of innovations (innovation development)</v>
      </c>
      <c r="E8" s="11" t="str">
        <v>Country: India, Egypt, Morocco</v>
      </c>
      <c r="F8" s="11">
        <v>1</v>
      </c>
      <c r="G8" s="11">
        <v>28395</v>
      </c>
      <c r="I8" s="11" t="str">
        <v>Budget utilization will cover the staff time of digital scientists to design and implement the deep-learning–based  algorithm, integrating multi-temporal RS and historical climate data on water management issues in the global drylands. It will also suppor</v>
      </c>
    </row>
    <row r="9" ht="50" customHeight="1">
      <c r="A9" s="11" t="str">
        <v>AOW02</v>
      </c>
      <c r="C9" s="11" t="str">
        <v>ICARDA 3: Number of  operational algorithms included on CIS platforms</v>
      </c>
      <c r="D9" s="11" t="str">
        <v>Number of knowledge products</v>
      </c>
      <c r="E9" s="11" t="str">
        <v>Country: Egypt, India</v>
      </c>
      <c r="F9" s="11">
        <v>1</v>
      </c>
      <c r="G9" s="11">
        <v>35000</v>
      </c>
      <c r="I9" s="11" t="str">
        <v xml:space="preserve">Budget utilization will cover the hiring of specialized consultants to design and implement the deep-learning–based drought forecasting algorithm, integrating multi-temporal RS and historical climate data. It will also support operational costs for cloud </v>
      </c>
    </row>
    <row r="10" ht="50" customHeight="1">
      <c r="A10" s="11" t="str">
        <v>AOW02</v>
      </c>
      <c r="B10" s="11" t="str">
        <v>HLO 2.1.5 Advisory products use AI language models to improve relevance and user engagement.</v>
      </c>
      <c r="C10" s="11" t="str">
        <v>ICARDA 1: Number of  AI-enabled DCAS (Dgital climate Advisory Systems) customized for  Morocco, Egypt and India developed.</v>
      </c>
      <c r="D10" s="11" t="str">
        <v>Number of innovations (innovation development)</v>
      </c>
      <c r="E10" s="11" t="str">
        <v>Country: India, Egypt</v>
      </c>
      <c r="F10" s="11">
        <v>3</v>
      </c>
      <c r="G10" s="11">
        <v>45000</v>
      </c>
      <c r="H10" s="11">
        <f>SUM(G10:G10)</f>
      </c>
      <c r="I10" s="11" t="str">
        <v>The allocated USD 45,000 will support the continued development of the GeoAgro platform to operationalize AI-enabled DCAS customized for Morocco, Egypt, and India. This requires hiring software developers to build and integrate the new country-specific fe</v>
      </c>
    </row>
    <row r="11" ht="50" customHeight="1">
      <c r="A11" s="11" t="str">
        <v>AOW02</v>
      </c>
      <c r="B11" s="11" t="str">
        <v>HLO 2.1.6 Capacity sharing programs use AI-powered learning platforms to enhance reach and engagement.</v>
      </c>
      <c r="C11" s="11" t="str">
        <v>ICARDA 2: Number of people trained on using the AI-enabled DCAS.</v>
      </c>
      <c r="D11" s="11" t="str">
        <v>Number of people trained (capacity sharing for development)</v>
      </c>
      <c r="E11" s="11" t="str">
        <v>Country: Egypt, India</v>
      </c>
      <c r="F11" s="11">
        <v>600</v>
      </c>
      <c r="G11" s="11">
        <v>40000</v>
      </c>
      <c r="H11" s="11">
        <f>SUM(G11:G11)</f>
      </c>
      <c r="I11" s="11" t="str">
        <v>The USD 40,000 budget will support the design and delivery of comprehensive ToT programs on the AI-enabled DCAS for experts, farmers, and policymakers across the three target countries. It will cover training materials, expert facilitation, digital infras</v>
      </c>
    </row>
    <row r="12" ht="25" customHeight="1">
      <c r="B12" s="15" t="str">
        <v>HLO budget subtotal</v>
      </c>
      <c r="H12" s="15">
        <f>SUM(H7:H11)</f>
      </c>
    </row>
    <row r="13" ht="50" customHeight="1">
      <c r="A13" s="13" t="str">
        <v>AOW03</v>
      </c>
      <c r="B13" s="11" t="str">
        <v>HLO 3.2.2 &amp; 3.3.2: Future case scenarios identified for digital transformation in FWL systems in addressing context-specific challenges and opportunities.</v>
      </c>
      <c r="C13" s="11" t="str">
        <v>ICARDA 10: Number of synthesis papers produced on on Frontier Digital Innovations and emerging digital technologies with potential towards Climate Information Systems, assessing applications, investment readiness, and ethical implications through systematic horizon scanning.</v>
      </c>
      <c r="D13" s="11" t="str">
        <v>Number of knowledge products</v>
      </c>
      <c r="E13" s="11" t="str">
        <v>Country: India, Egypt</v>
      </c>
      <c r="F13" s="11">
        <v>1</v>
      </c>
      <c r="G13" s="11">
        <v>25000</v>
      </c>
      <c r="H13" s="11">
        <f>SUM(G13:G14)</f>
      </c>
      <c r="I13" s="11" t="str">
        <v>Most of the budget will be dedicated to conducting a comprehensive situation analysis, including an intensive literature review, stakeholder consultations, and on-the-ground assessments. These activities are resource- and time-intensive, requiring special</v>
      </c>
    </row>
    <row r="14" ht="50" customHeight="1">
      <c r="A14" s="11" t="str">
        <v>AOW03</v>
      </c>
      <c r="C14" s="11" t="str">
        <v>ICARDA 9: Number of  Synthesis papers produced on evaluating emerging digital technologies relevant to MRV  of C seqestration towards C trading and Low Emisions Development,  in the Global Drylands.</v>
      </c>
      <c r="D14" s="11" t="str">
        <v>Number of knowledge products</v>
      </c>
      <c r="E14" s="11" t="str">
        <v>Country: India, Egypt</v>
      </c>
      <c r="F14" s="11">
        <v>1</v>
      </c>
      <c r="G14" s="11">
        <v>25000</v>
      </c>
      <c r="I14" s="11" t="str">
        <v>Most of the budget will be dedicated to conducting a comprehensive situation analysis, including an intensive literature review, stakeholder consultations, and on-the-ground assessments. These activities are resource- and time-intensive, requiring special</v>
      </c>
    </row>
    <row r="15" ht="25" customHeight="1">
      <c r="B15" s="15" t="str">
        <v>HLO budget subtotal</v>
      </c>
      <c r="H15" s="15">
        <f>SUM(H13:H14)</f>
      </c>
    </row>
    <row r="16" ht="50" customHeight="1">
      <c r="A16" s="13" t="str">
        <v>AOW04</v>
      </c>
      <c r="B16" s="11" t="str">
        <v>HLO 4.1.1 Frameworks, methods, and guidelines to catalyze adoption of responsible and inclusive digital and data innovations across FLW systems</v>
      </c>
      <c r="C16" s="11" t="str">
        <v>ICARDA 12: Number of OS Algorithms  created and launched</v>
      </c>
      <c r="D16" s="11" t="str">
        <v>Number of knowledge products</v>
      </c>
      <c r="E16" s="11" t="str">
        <v>Country: India, Egypt</v>
      </c>
      <c r="F16" s="11">
        <v>6</v>
      </c>
      <c r="G16" s="11">
        <v>30000</v>
      </c>
      <c r="H16" s="11">
        <f>SUM(G16:G16)</f>
      </c>
      <c r="I16" s="11" t="str">
        <v>Budget utilization will cover the staff time of digital scientists to design and implement the deep-learning–based  algorithm, integrating multi-temporal RS and historical climate data. It will also support operational costs for cloud servers, data acquis</v>
      </c>
    </row>
    <row r="17" ht="50" customHeight="1">
      <c r="A17" s="11" t="str">
        <v>AOW04</v>
      </c>
      <c r="B17" s="11" t="str">
        <v>HLO 4.1.2 Robust, secure and flexible foundational digital infrastructure &amp; sustainable operating model across centers and hubs</v>
      </c>
      <c r="C17" s="11" t="str">
        <v>ICARDA 11: Number of  GEE Ui and  created</v>
      </c>
      <c r="D17" s="11" t="str">
        <v>Number of innovations (innovation development)</v>
      </c>
      <c r="E17" s="11" t="str">
        <v>Country: Egypt, India</v>
      </c>
      <c r="F17" s="11">
        <v>5</v>
      </c>
      <c r="G17" s="11">
        <v>34000</v>
      </c>
      <c r="H17" s="11">
        <f>SUM(G17:G17)</f>
      </c>
      <c r="I17" s="11" t="str">
        <v>Budget utilization will cover the staff time of digital scientists to design and implement the deep-learning–based  algorithm, integrating multi-temporal RS and historical climate data. It will also support operational costs for cloud servers, data acquis</v>
      </c>
    </row>
    <row r="18" ht="50" customHeight="1">
      <c r="A18" s="11" t="str">
        <v>AOW04</v>
      </c>
      <c r="B18" s="11" t="str">
        <v>HLO 4.2.6 AI-based Inclusive digital products/Innovations co-created in partnership with the digital innovation nodes​</v>
      </c>
      <c r="C18" s="11" t="str">
        <v>ICARDA 13: The number of new digital innovation nodes (hubs) created.</v>
      </c>
      <c r="D18" s="11" t="str">
        <v>Number of innovations (innovation development)</v>
      </c>
      <c r="E18" s="11" t="str">
        <v>Country: India, Egypt</v>
      </c>
      <c r="F18" s="11">
        <v>1</v>
      </c>
      <c r="G18" s="11">
        <v>45000</v>
      </c>
      <c r="H18" s="11">
        <f>SUM(G18:G18)</f>
      </c>
      <c r="I18" s="11" t="str">
        <v>The budget will support the establishment of a Living Lab (LL) demonstrating advanced digital sensors, IoT devices, drones, and proximal sensing technologies for high-efficiency dryland agriculture. Co-funding from several bilateral projects will compleme</v>
      </c>
    </row>
    <row r="19" ht="25" customHeight="1">
      <c r="B19" s="15" t="str">
        <v>HLO budget subtotal</v>
      </c>
      <c r="H19" s="15">
        <f>SUM(H16:H18)</f>
      </c>
    </row>
  </sheetData>
  <mergeCells count="19">
    <mergeCell ref="A1:A2"/>
    <mergeCell ref="B1:B2"/>
    <mergeCell ref="C1:G1"/>
    <mergeCell ref="H1:H2"/>
    <mergeCell ref="I1:I2"/>
    <mergeCell ref="B3:B5"/>
    <mergeCell ref="H3:H5"/>
    <mergeCell ref="B6:G6"/>
    <mergeCell ref="A3:A6"/>
    <mergeCell ref="B7:B9"/>
    <mergeCell ref="H7:H9"/>
    <mergeCell ref="B12:G12"/>
    <mergeCell ref="A7:A12"/>
    <mergeCell ref="B13:B14"/>
    <mergeCell ref="H13:H14"/>
    <mergeCell ref="B15:G15"/>
    <mergeCell ref="A13:A15"/>
    <mergeCell ref="B19:G19"/>
    <mergeCell ref="A16:A19"/>
  </mergeCells>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D-100777-GCC Date Palm</v>
      </c>
      <c r="B2" s="19" t="str">
        <v>AOW01</v>
      </c>
      <c r="C2" s="18" t="str">
        <v xml:space="preserve">HLO 1.3.8 &amp; 1.4.8 Governance,  incentives for data &amp; digital  management culture change </v>
      </c>
      <c r="D2" s="19">
        <v>74477</v>
      </c>
      <c r="E2" s="19" t="str">
        <f>=SUM(D2:D2)</f>
        <v>0</v>
      </c>
      <c r="F2" s="19" t="str">
        <v xml:space="preserve">Subject to active status in 2026 and continued availability of funding. </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70000</v>
      </c>
      <c r="C2" s="20">
        <v>0</v>
      </c>
      <c r="D2" s="20">
        <v>0</v>
      </c>
      <c r="E2" s="20">
        <v>0</v>
      </c>
      <c r="F2" s="20">
        <v>0</v>
      </c>
      <c r="G2" s="20" t="str">
        <f>=SUM(B2:F2)</f>
        <v>0</v>
      </c>
    </row>
    <row r="3" ht="20" customHeight="1">
      <c r="A3" s="20" t="str">
        <v>Operations (supplies, consultants, travels, workshops, other)</v>
      </c>
      <c r="B3" s="20">
        <v>39055</v>
      </c>
      <c r="C3" s="20">
        <v>25000</v>
      </c>
      <c r="D3" s="20">
        <v>84198</v>
      </c>
      <c r="E3" s="20">
        <v>25000</v>
      </c>
      <c r="F3" s="20">
        <v>54500</v>
      </c>
      <c r="G3" s="20" t="str">
        <f>=SUM(B3:F3)</f>
        <v>0</v>
      </c>
    </row>
    <row r="4" ht="20" customHeight="1">
      <c r="A4" s="20" t="str">
        <v>Staffing, Chargebacks and Indirect</v>
      </c>
      <c r="B4" s="20">
        <v>96606</v>
      </c>
      <c r="C4" s="20">
        <v>25000</v>
      </c>
      <c r="D4" s="20">
        <v>84197</v>
      </c>
      <c r="E4" s="20">
        <v>25000</v>
      </c>
      <c r="F4" s="20">
        <v>54500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