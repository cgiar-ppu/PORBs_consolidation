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1</v>
      </c>
      <c r="C7" s="5">
        <v>122000</v>
      </c>
      <c r="D7" s="2">
        <v>0</v>
      </c>
      <c r="E7" s="5">
        <v>0</v>
      </c>
      <c r="F7" s="2">
        <v>100</v>
      </c>
      <c r="G7" s="5">
        <v>38000</v>
      </c>
      <c r="H7" s="2">
        <v>0</v>
      </c>
      <c r="I7" s="5">
        <v>0</v>
      </c>
      <c r="J7" s="5">
        <v>0</v>
      </c>
      <c r="K7" s="5">
        <v>0</v>
      </c>
      <c r="L7" s="5">
        <v>160000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AOW03</v>
      </c>
      <c r="B3" s="11" t="str">
        <v>Suite of end-to-end solutions for fruit and vegetable producers, traders, processors, and vendors/retailers that promote food quality and safety, reduce food loss, and increase profits co-developed, tested, and scaled</v>
      </c>
      <c r="C3" s="11" t="str">
        <v>Promoting water saving technologies and optimal use of inputs among farmers improve year-round production and availability, enhancing food safety, sustainability, and resilience in target regions</v>
      </c>
      <c r="D3" s="11" t="str">
        <v>Number of innovations (innovation development)</v>
      </c>
      <c r="E3" s="11" t="str">
        <v>Country: Sri Lanka</v>
      </c>
      <c r="F3" s="11">
        <v>1</v>
      </c>
      <c r="G3" s="11">
        <v>122000</v>
      </c>
      <c r="H3" s="11">
        <f>SUM(G3:G4)</f>
      </c>
      <c r="I3" s="11" t="str">
        <v>Estimated costs for time of interdiscipilinary teams of reserchers and local partners, data collection costs, meeting costs (include venue, catering, materials, and facilitators).</v>
      </c>
    </row>
    <row r="4" ht="50" customHeight="1" xml:space="preserve">
      <c r="A4" s="11" t="str">
        <v>AOW03</v>
      </c>
      <c r="C4" s="11" t="str">
        <v xml:space="preserve">Contributions to technical trainings, resource development, support for multistakeholder platform collaboration and supporting close linkages between CAPSHA activities and end-to-end approaches in Sri Lanka and Tanzania, including the integration of the food based dietary guidelines into the demand-side interventions and the post-harvest guidelines and trainings into the supply-side interventions.  </v>
      </c>
      <c r="D4" s="11" t="str">
        <v>Number of people trained (capacity sharing for development)</v>
      </c>
      <c r="E4" s="11" t="str">
        <v>Country: Sri Lanka</v>
      </c>
      <c r="F4" s="11">
        <v>100</v>
      </c>
      <c r="G4" s="11">
        <v>38000</v>
      </c>
      <c r="I4" s="11" t="str" xml:space="preserve">
        <v xml:space="preserve">Meeting costs include venue, catering, materials, and facilitators.
</v>
      </c>
    </row>
    <row r="5" ht="25" customHeight="1">
      <c r="B5" s="14" t="str">
        <v>HLO budget subtotal</v>
      </c>
      <c r="H5" s="15">
        <f>SUM(H3:H4)</f>
      </c>
    </row>
  </sheetData>
  <mergeCells count="9">
    <mergeCell ref="A1:A2"/>
    <mergeCell ref="B1:B2"/>
    <mergeCell ref="C1:G1"/>
    <mergeCell ref="H1:H2"/>
    <mergeCell ref="I1:I2"/>
    <mergeCell ref="B3:B4"/>
    <mergeCell ref="H3:H4"/>
    <mergeCell ref="B5:G5"/>
    <mergeCell ref="A3:A5"/>
  </mergeCells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0</v>
      </c>
      <c r="E2" s="18">
        <v>15000</v>
      </c>
      <c r="F2" s="18">
        <v>0</v>
      </c>
      <c r="G2" s="18">
        <v>0</v>
      </c>
      <c r="H2" s="18">
        <v>0</v>
      </c>
      <c r="I2" s="18" t="str">
        <f>=SUM(B2:H2)</f>
        <v>0</v>
      </c>
    </row>
    <row r="3" ht="20" customHeight="1">
      <c r="A3" s="18" t="str">
        <v>Operations (supplies, consultants, travels, workshops, other)</v>
      </c>
      <c r="B3" s="18">
        <v>0</v>
      </c>
      <c r="C3" s="18">
        <v>0</v>
      </c>
      <c r="D3" s="18">
        <v>0</v>
      </c>
      <c r="E3" s="18">
        <v>31576</v>
      </c>
      <c r="F3" s="18">
        <v>0</v>
      </c>
      <c r="G3" s="18">
        <v>0</v>
      </c>
      <c r="H3" s="18">
        <v>0</v>
      </c>
      <c r="I3" s="18" t="str">
        <f>=SUM(B3:H3)</f>
        <v>0</v>
      </c>
    </row>
    <row r="4" ht="20" customHeight="1">
      <c r="A4" s="18" t="str">
        <v>Staffing, Chargebacks and Indirect</v>
      </c>
      <c r="B4" s="18">
        <v>0</v>
      </c>
      <c r="C4" s="18">
        <v>0</v>
      </c>
      <c r="D4" s="18">
        <v>0</v>
      </c>
      <c r="E4" s="18">
        <v>113424</v>
      </c>
      <c r="F4" s="18">
        <v>0</v>
      </c>
      <c r="G4" s="18">
        <v>0</v>
      </c>
      <c r="H4" s="18">
        <v>0</v>
      </c>
      <c r="I4" s="18" t="str">
        <f>=SUM(B4:H4)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  <c r="I5" s="21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