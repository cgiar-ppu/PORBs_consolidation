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Productivity+</v>
      </c>
      <c r="B5" s="2">
        <v>5</v>
      </c>
      <c r="C5" s="5">
        <v>193000</v>
      </c>
      <c r="D5" s="2">
        <v>15</v>
      </c>
      <c r="E5" s="5">
        <v>226305</v>
      </c>
      <c r="F5" s="2">
        <v>0</v>
      </c>
      <c r="G5" s="5">
        <v>0</v>
      </c>
      <c r="H5" s="2">
        <v>0</v>
      </c>
      <c r="I5" s="5">
        <v>0</v>
      </c>
      <c r="J5" s="5">
        <v>67000</v>
      </c>
      <c r="K5" s="5">
        <v>0</v>
      </c>
      <c r="L5" s="5">
        <v>486305</v>
      </c>
      <c r="M5" s="5">
        <v>0</v>
      </c>
    </row>
    <row r="6" ht="20" customHeight="1">
      <c r="A6" s="2" t="str">
        <v>AOW02: Climate and the Environment</v>
      </c>
      <c r="B6" s="2">
        <v>0</v>
      </c>
      <c r="C6" s="5">
        <v>0</v>
      </c>
      <c r="D6" s="2">
        <v>0</v>
      </c>
      <c r="E6" s="5">
        <v>0</v>
      </c>
      <c r="F6" s="2">
        <v>0</v>
      </c>
      <c r="G6" s="5">
        <v>0</v>
      </c>
      <c r="H6" s="2">
        <v>0</v>
      </c>
      <c r="I6" s="5">
        <v>0</v>
      </c>
      <c r="J6" s="5">
        <v>0</v>
      </c>
      <c r="K6" s="5">
        <v>0</v>
      </c>
      <c r="L6" s="5">
        <v>0</v>
      </c>
      <c r="M6" s="5">
        <v>503640</v>
      </c>
    </row>
    <row r="7" ht="20" customHeight="1">
      <c r="A7" s="2" t="str">
        <v>AOW03: One Health</v>
      </c>
      <c r="B7" s="2">
        <v>0</v>
      </c>
      <c r="C7" s="5">
        <v>0</v>
      </c>
      <c r="D7" s="2">
        <v>0</v>
      </c>
      <c r="E7" s="5">
        <v>0</v>
      </c>
      <c r="F7" s="2">
        <v>0</v>
      </c>
      <c r="G7" s="5">
        <v>0</v>
      </c>
      <c r="H7" s="2">
        <v>0</v>
      </c>
      <c r="I7" s="5">
        <v>0</v>
      </c>
      <c r="J7" s="5">
        <v>0</v>
      </c>
      <c r="K7" s="5">
        <v>0</v>
      </c>
      <c r="L7" s="5">
        <v>0</v>
      </c>
      <c r="M7" s="5">
        <v>0</v>
      </c>
    </row>
    <row r="8" ht="20" customHeight="1">
      <c r="A8" s="2" t="str">
        <v>AOW04: Market Systems, Policy Solutions and Scaling</v>
      </c>
      <c r="B8" s="2">
        <v>0</v>
      </c>
      <c r="C8" s="5">
        <v>0</v>
      </c>
      <c r="D8" s="2">
        <v>0</v>
      </c>
      <c r="E8" s="5">
        <v>0</v>
      </c>
      <c r="F8" s="2">
        <v>0</v>
      </c>
      <c r="G8" s="5">
        <v>0</v>
      </c>
      <c r="H8" s="2">
        <v>1</v>
      </c>
      <c r="I8" s="5">
        <v>0</v>
      </c>
      <c r="J8" s="5">
        <v>0</v>
      </c>
      <c r="K8" s="5">
        <v>0</v>
      </c>
      <c r="L8" s="5">
        <v>0</v>
      </c>
      <c r="M8" s="5">
        <v>0</v>
      </c>
    </row>
    <row r="9" ht="20" customHeight="1">
      <c r="A9" s="2" t="str">
        <v>AOW05: Gender, Youth and Social Inclusion</v>
      </c>
      <c r="B9" s="2">
        <v>0</v>
      </c>
      <c r="C9" s="5">
        <v>0</v>
      </c>
      <c r="D9" s="2">
        <v>0</v>
      </c>
      <c r="E9" s="5">
        <v>0</v>
      </c>
      <c r="F9" s="2">
        <v>0</v>
      </c>
      <c r="G9" s="5">
        <v>0</v>
      </c>
      <c r="H9" s="2">
        <v>0</v>
      </c>
      <c r="I9" s="5">
        <v>0</v>
      </c>
      <c r="J9" s="5">
        <v>0</v>
      </c>
      <c r="K9" s="5">
        <v>0</v>
      </c>
      <c r="L9" s="5">
        <v>0</v>
      </c>
      <c r="M9" s="5">
        <v>0</v>
      </c>
    </row>
    <row r="10" ht="20" customHeight="1">
      <c r="A10" s="2" t="str">
        <v>AOW06: Data and Digital Solutions</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AOW Leads</v>
      </c>
      <c r="C2" s="11" t="str">
        <v>Six (6) AOW Leads averaging 21.67% FTE</v>
      </c>
      <c r="D2" s="11">
        <v>0</v>
      </c>
    </row>
    <row r="3" ht="45" customHeight="1">
      <c r="A3" s="11" t="str">
        <v>AOW00</v>
      </c>
      <c r="B3" s="11" t="str">
        <v>Program Meetings and Workshops</v>
      </c>
      <c r="C3" s="11" t="str">
        <v>In-person progress, review, or planning meetings for program leadership, including the annual pause and reflect event</v>
      </c>
      <c r="D3" s="11">
        <v>0</v>
      </c>
    </row>
    <row r="4" ht="45" customHeight="1">
      <c r="A4" s="11" t="str">
        <v>AOW00</v>
      </c>
      <c r="B4" s="11" t="str">
        <v>Program Director Discretionary</v>
      </c>
      <c r="C4" s="11" t="str">
        <v>As directed by the SO; funds for consultants, meetings, travel, workshops, supplies, and other admin support needed by the Program Director in 2026 to address emerging opportunities and gaps or strategic program level issues</v>
      </c>
      <c r="D4" s="11">
        <v>0</v>
      </c>
    </row>
    <row r="5" ht="45" customHeight="1">
      <c r="A5" s="11" t="str">
        <v>AOW00</v>
      </c>
      <c r="B5" s="11" t="str">
        <v>Program Director Operations Costs</v>
      </c>
      <c r="C5" s="11" t="str">
        <v>As instructed by the SO; Travel, consultants, supplies, admin support, meetings or workshops required by the Director to perform their role</v>
      </c>
      <c r="D5" s="11">
        <v>0</v>
      </c>
    </row>
    <row r="6" ht="45" customHeight="1">
      <c r="A6" s="11" t="str">
        <v>AOW00</v>
      </c>
      <c r="B6" s="11" t="str">
        <v>Other PMU Operations</v>
      </c>
      <c r="C6" s="11" t="str">
        <v>Travel, office supplies, and other charge-backs for PMU team</v>
      </c>
      <c r="D6" s="11">
        <v>0</v>
      </c>
    </row>
    <row r="7" ht="45" customHeight="1">
      <c r="A7" s="11" t="str">
        <v>AOW00</v>
      </c>
      <c r="B7" s="11" t="str">
        <v>SO Central Finance Funds</v>
      </c>
      <c r="C7" s="11" t="str">
        <v>As required by the SO</v>
      </c>
      <c r="D7" s="11">
        <v>0</v>
      </c>
    </row>
    <row r="8" ht="45" customHeight="1">
      <c r="A8" s="11" t="str">
        <v>AOW00</v>
      </c>
      <c r="B8" s="11" t="str">
        <v>Program MELIA Funds</v>
      </c>
      <c r="C8" s="11" t="str">
        <v>Program funds for implementation of the MELIA plan</v>
      </c>
      <c r="D8" s="11">
        <v>0</v>
      </c>
    </row>
    <row r="9" ht="45" customHeight="1">
      <c r="A9" s="11" t="str">
        <v>AOW00</v>
      </c>
      <c r="B9" s="11" t="str">
        <v>Program Communications Operations</v>
      </c>
      <c r="C9" s="11" t="str">
        <v>Program communications funds to implement CKM strategy</v>
      </c>
      <c r="D9" s="11">
        <v>0</v>
      </c>
    </row>
    <row r="10" ht="45" customHeight="1">
      <c r="A10" s="11" t="str">
        <v>AOW00</v>
      </c>
      <c r="B10" s="11" t="str">
        <v>PMU Team</v>
      </c>
      <c r="C10" s="11" t="str">
        <v>Staff fees for Program Coordinator (50%), Program MELIA Focal Point (20%) and Program CKM Lead (50%) and any other administrative roles/needs</v>
      </c>
      <c r="D10" s="11">
        <v>0</v>
      </c>
    </row>
    <row r="11" ht="45" customHeight="1">
      <c r="A11" s="11" t="str">
        <v>AOW00</v>
      </c>
      <c r="B11" s="11" t="str">
        <v>Program Director Staff Costs</v>
      </c>
      <c r="C11" s="11" t="str">
        <v>100% FTE Program Director and associated cost recovery</v>
      </c>
      <c r="D11" s="11">
        <v>0</v>
      </c>
    </row>
  </sheetData>
  <mergeCells count="1">
    <mergeCell ref="A2:A11"/>
  </mergeCells>
  <ignoredErrors>
    <ignoredError numberStoredAsText="1" sqref="A1:E11"/>
  </ignoredErrors>
</worksheet>
</file>

<file path=xl/worksheets/sheet3.xml><?xml version="1.0" encoding="utf-8"?>
<worksheet xmlns="http://schemas.openxmlformats.org/spreadsheetml/2006/main" xmlns:r="http://schemas.openxmlformats.org/officeDocument/2006/relationships">
  <dimension ref="A1:I2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1.1 - Sustainable breeding and conservation programs and inclusive delivery models</v>
      </c>
      <c r="C3" s="11" t="str">
        <v>Productivity + GLOBAL: Testing whether the SLICK phenotype in cross-dairy cattle (underpinned by an allelic variation) confers tick resistance in cattle raised in a semi-arid environment: database</v>
      </c>
      <c r="D3" s="11" t="str">
        <v>Number of knowledge products</v>
      </c>
      <c r="E3" s="11" t="str">
        <v>Country: Kenya</v>
      </c>
      <c r="F3" s="11">
        <v>1</v>
      </c>
      <c r="G3" s="11">
        <v>0</v>
      </c>
      <c r="H3" s="11">
        <f>SUM(G3:G7)</f>
      </c>
    </row>
    <row r="4" ht="50" customHeight="1">
      <c r="A4" s="11" t="str">
        <v>AOW01</v>
      </c>
      <c r="C4" s="11" t="str">
        <v>Small Ruminants - Mali: Knowledge products related to sheep and goat productivity  improvement, though genetic improvement and optimised feeding, in Mali</v>
      </c>
      <c r="D4" s="11" t="str">
        <v>Number of knowledge products</v>
      </c>
      <c r="E4" s="11" t="str">
        <v>Country: Mali</v>
      </c>
      <c r="F4" s="11">
        <v>4</v>
      </c>
      <c r="G4" s="11">
        <v>35000</v>
      </c>
      <c r="I4" s="11" t="str">
        <v>This is the best estimate for now</v>
      </c>
    </row>
    <row r="5" ht="50" customHeight="1">
      <c r="A5" s="11" t="str">
        <v>AOW01</v>
      </c>
      <c r="C5" s="11" t="str">
        <v>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v>
      </c>
      <c r="D5" s="11" t="str">
        <v>Number of innovations (innovation development)</v>
      </c>
      <c r="E5" s="11" t="str">
        <v>Country: Mali</v>
      </c>
      <c r="F5" s="11">
        <v>1</v>
      </c>
      <c r="G5" s="11">
        <v>63000</v>
      </c>
      <c r="I5" s="11" t="str">
        <v>This is the best estimate for now</v>
      </c>
    </row>
    <row r="6" ht="50" customHeight="1">
      <c r="A6" s="11" t="str">
        <v>AOW01</v>
      </c>
      <c r="C6" s="11" t="str">
        <v>Productivity + GLOBAL: Proof of concept on pig cryoconservation: Differentiation of stem cells (derived from somatic cells of local east African pig breeds ) into eggs and sperm</v>
      </c>
      <c r="D6" s="11" t="str">
        <v>Number of knowledge products</v>
      </c>
      <c r="E6" s="11" t="str">
        <v>Country: Kenya</v>
      </c>
      <c r="F6" s="11">
        <v>1</v>
      </c>
      <c r="G6" s="11">
        <v>0</v>
      </c>
    </row>
    <row r="7" ht="50" customHeight="1">
      <c r="A7" s="11" t="str">
        <v>AOW01</v>
      </c>
      <c r="C7" s="11" t="str">
        <v>Small Ruminants - Mali: Establishment of a small ruminant reproductive lab</v>
      </c>
      <c r="D7" s="11" t="str">
        <v>Number of innovations (innovation development)</v>
      </c>
      <c r="E7" s="11" t="str">
        <v>Country: Mali</v>
      </c>
      <c r="F7" s="11">
        <v>1</v>
      </c>
      <c r="G7" s="11">
        <v>0</v>
      </c>
    </row>
    <row r="8" ht="50" customHeight="1">
      <c r="A8" s="11" t="str">
        <v>AOW01</v>
      </c>
      <c r="B8" s="11" t="str">
        <v>HLO 1.2 - Cost-efficient animal and aquatic species feed and forage innovations and inclusive delivery models</v>
      </c>
      <c r="C8" s="11" t="str">
        <v>Productivity + GLOBAL: Strenghtening of the Sub-Saharan Africa feed composition database: database updated with new data</v>
      </c>
      <c r="D8" s="11" t="str">
        <v>Number of innovations (innovation development)</v>
      </c>
      <c r="E8" s="11" t="str">
        <v>Regional: Sub-Saharan Africa</v>
      </c>
      <c r="F8" s="11">
        <v>1</v>
      </c>
      <c r="G8" s="11">
        <v>0</v>
      </c>
      <c r="H8" s="11">
        <f>SUM(G8:G11)</f>
      </c>
    </row>
    <row r="9" ht="50" customHeight="1">
      <c r="A9" s="11" t="str">
        <v>AOW01</v>
      </c>
      <c r="C9" s="11" t="str">
        <v>Productivity + GLOBAL: Evaluating forages for scaling across different agro-ecological zones in East Africa</v>
      </c>
      <c r="D9" s="11" t="str">
        <v>Number of knowledge products</v>
      </c>
      <c r="E9" s="11" t="str">
        <v>Regional: Eastern Africa</v>
      </c>
      <c r="F9" s="11">
        <v>1</v>
      </c>
      <c r="G9" s="11">
        <v>0</v>
      </c>
    </row>
    <row r="10" ht="50" customHeight="1">
      <c r="A10" s="11" t="str">
        <v>AOW01</v>
      </c>
      <c r="C10" s="11" t="str">
        <v>Productivity + GLOBAL: Online version of G-FEAST tool to select and optimise local feed baskets</v>
      </c>
      <c r="D10" s="11" t="str">
        <v>Number of innovations (innovation development)</v>
      </c>
      <c r="E10" s="11" t="str">
        <v>Country: Kenya</v>
      </c>
      <c r="F10" s="11">
        <v>1</v>
      </c>
      <c r="G10" s="11">
        <v>0</v>
      </c>
    </row>
    <row r="11" ht="50" customHeight="1">
      <c r="A11" s="11" t="str">
        <v>AOW01</v>
      </c>
      <c r="C11" s="11" t="str">
        <v>Small Ruminants - Mali: Development of an optimized feed rations for small ruminants based on locally available feed resource</v>
      </c>
      <c r="D11" s="11" t="str">
        <v>Number of knowledge products</v>
      </c>
      <c r="E11" s="11" t="str">
        <v>Country: Mali</v>
      </c>
      <c r="F11" s="11">
        <v>1</v>
      </c>
      <c r="G11" s="11">
        <v>0</v>
      </c>
    </row>
    <row r="12" ht="50" customHeight="1">
      <c r="A12" s="11" t="str">
        <v>AOW01</v>
      </c>
      <c r="B12" s="11" t="str">
        <v>HLO 1.3 - Cost-efficient animal and aquatic species health and welfare innovations and inclusive delivery models</v>
      </c>
      <c r="C12" s="11" t="str">
        <v>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v>
      </c>
      <c r="D12" s="11" t="str">
        <v>Number of innovations (innovation development)</v>
      </c>
      <c r="E12" s="11" t="str">
        <v>Country: Kenya</v>
      </c>
      <c r="F12" s="11">
        <v>1</v>
      </c>
      <c r="G12" s="11">
        <v>0</v>
      </c>
      <c r="H12" s="11">
        <f>SUM(G12:G14)</f>
      </c>
    </row>
    <row r="13" ht="50" customHeight="1">
      <c r="A13" s="11" t="str">
        <v>AOW01</v>
      </c>
      <c r="C13" s="11" t="str">
        <v>Small Ruminants - Mali: Policy brief on improved delivery of peste des petits ruminant thermotolerant vaccine</v>
      </c>
      <c r="D13" s="11" t="str">
        <v>Number of knowledge products</v>
      </c>
      <c r="E13" s="11" t="str">
        <v>Country: Mali</v>
      </c>
      <c r="F13" s="11">
        <v>1</v>
      </c>
      <c r="G13" s="11">
        <v>0</v>
      </c>
    </row>
    <row r="14" ht="50" customHeight="1">
      <c r="A14" s="11" t="str">
        <v>AOW01</v>
      </c>
      <c r="C14" s="11" t="str">
        <v xml:space="preserve">Small Ruminants - Mali: Context specific delivery model for herd health packages with digital monitoring </v>
      </c>
      <c r="D14" s="11" t="str">
        <v>Number of innovations (innovation development)</v>
      </c>
      <c r="E14" s="11" t="str">
        <v>Country: Mali</v>
      </c>
      <c r="F14" s="11">
        <v>1</v>
      </c>
      <c r="G14" s="11">
        <v>0</v>
      </c>
    </row>
    <row r="15" ht="50" customHeight="1">
      <c r="A15" s="11" t="str">
        <v>AOW01</v>
      </c>
      <c r="B15" s="11" t="str">
        <v>HLO 1.5  - Inclusive approaches, tools and capacity sharing to support animal and aquatic food producers to adopt combinations of innovations</v>
      </c>
      <c r="C15" s="11" t="str">
        <v>SmaRT Pack in Ethiopia -Knowledge products on the implementation of SmartPack (a bundled package of productivity enhancing innovations) in sheep and goats in Ethiopia</v>
      </c>
      <c r="D15" s="11" t="str">
        <v>Number of knowledge products</v>
      </c>
      <c r="E15" s="11" t="str">
        <v>Country: Ethiopia</v>
      </c>
      <c r="F15" s="11">
        <v>4</v>
      </c>
      <c r="G15" s="11">
        <v>151305</v>
      </c>
      <c r="H15" s="11">
        <f>SUM(G15:G17)</f>
      </c>
      <c r="I15" s="11" t="str">
        <v>This is the best estimate for now</v>
      </c>
    </row>
    <row r="16" ht="50" customHeight="1">
      <c r="A16" s="11" t="str">
        <v>AOW01</v>
      </c>
      <c r="C16" s="11" t="str">
        <v>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v>
      </c>
      <c r="D16" s="11" t="str">
        <v>Number of innovations (innovation development)</v>
      </c>
      <c r="E16" s="11" t="str">
        <v>Country: Ethiopia</v>
      </c>
      <c r="F16" s="11">
        <v>3</v>
      </c>
      <c r="G16" s="11">
        <v>130000</v>
      </c>
      <c r="I16" s="11" t="str">
        <v>This is the best estimate for now</v>
      </c>
    </row>
    <row r="17" ht="50" customHeight="1">
      <c r="A17" s="11" t="str">
        <v>AOW01</v>
      </c>
      <c r="C17" s="11" t="str">
        <v>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v>
      </c>
      <c r="D17" s="11" t="str">
        <v>Number of knowledge products</v>
      </c>
      <c r="E17" s="11" t="str">
        <v>Country: Ethiopia</v>
      </c>
      <c r="F17" s="11">
        <v>5</v>
      </c>
      <c r="G17" s="11">
        <v>40000</v>
      </c>
      <c r="I17" s="11" t="str">
        <v>This is the best estimate for now</v>
      </c>
    </row>
    <row r="18" ht="25" customHeight="1">
      <c r="B18" s="14" t="str">
        <v>HLO budget subtotal</v>
      </c>
      <c r="H18" s="15">
        <f>SUM(H3:H17)</f>
      </c>
    </row>
    <row r="19" ht="50" customHeight="1">
      <c r="A19" s="13" t="str">
        <v>AOW04</v>
      </c>
      <c r="B19" s="11" t="str">
        <v xml:space="preserve">HLO 4.3 - Institutional &amp; behavioral models for enhanced use of innovations and improved governance </v>
      </c>
      <c r="C19" s="11" t="str">
        <v xml:space="preserve">Small Ruminants - Mali: Pilot testing the entrepreneurship ecosystem agency model among small ruminant market actors in Mali: pilot initiated </v>
      </c>
      <c r="D19" s="11" t="str">
        <v xml:space="preserve"> evidence of pilot initiated</v>
      </c>
      <c r="E19" s="11" t="str">
        <v>Country: Mali</v>
      </c>
      <c r="F19" s="11">
        <v>1</v>
      </c>
      <c r="G19" s="11">
        <v>0</v>
      </c>
      <c r="H19" s="11">
        <f>SUM(G19:G19)</f>
      </c>
    </row>
    <row r="20" ht="25" customHeight="1">
      <c r="B20" s="15" t="str">
        <v>HLO budget subtotal</v>
      </c>
      <c r="H20" s="15">
        <f>SUM(H19:H19)</f>
      </c>
    </row>
  </sheetData>
  <mergeCells count="17">
    <mergeCell ref="A1:A2"/>
    <mergeCell ref="B1:B2"/>
    <mergeCell ref="C1:G1"/>
    <mergeCell ref="H1:H2"/>
    <mergeCell ref="I1:I2"/>
    <mergeCell ref="B3:B7"/>
    <mergeCell ref="H3:H7"/>
    <mergeCell ref="B8:B11"/>
    <mergeCell ref="H8:H11"/>
    <mergeCell ref="B12:B14"/>
    <mergeCell ref="H12:H14"/>
    <mergeCell ref="B15:B17"/>
    <mergeCell ref="H15:H17"/>
    <mergeCell ref="B18:G18"/>
    <mergeCell ref="A3:A18"/>
    <mergeCell ref="B20:G20"/>
    <mergeCell ref="A19:A20"/>
  </mergeCells>
  <ignoredErrors>
    <ignoredError numberStoredAsText="1" sqref="A1:I20"/>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Institut d'Economie Rurale</v>
      </c>
      <c r="C2" s="11" t="str">
        <v>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v>
      </c>
      <c r="D2" s="11" t="str">
        <v>Mali</v>
      </c>
      <c r="E2" s="11">
        <v>22000</v>
      </c>
      <c r="F2" s="11" t="str">
        <v>Costs as per planned activities.</v>
      </c>
    </row>
    <row r="3" ht="70" customHeight="1">
      <c r="A3" s="11" t="str">
        <v>AOW01</v>
      </c>
      <c r="B3" s="11" t="str">
        <v>Ethiopian Institute of Agricultural Research</v>
      </c>
      <c r="C3" s="11" t="str">
        <v>HLO 1.5  - Inclusive approaches, tools and capacity sharing to support animal and aquatic food producers to adopt combinations of innovations, HLO 1.1 - Sustainable breeding and conservation programs and inclusive delivery models</v>
      </c>
      <c r="D3" s="11" t="str">
        <v>Ethiopia</v>
      </c>
      <c r="E3" s="11">
        <v>15000</v>
      </c>
      <c r="F3" s="11" t="str">
        <v>HLO1.5  Knowledge/information products on breeding &amp; conservation programs, including delivery</v>
      </c>
    </row>
    <row r="4" ht="70" customHeight="1">
      <c r="A4" s="11" t="str">
        <v>AOW01</v>
      </c>
      <c r="B4" s="11" t="str">
        <v>Government of Ethiopia</v>
      </c>
      <c r="C4" s="11" t="str">
        <v>HLO 1.5  - Inclusive approaches, tools and capacity sharing to support animal and aquatic food producers to adopt combinations of innovations, HLO 1.1 - Sustainable breeding and conservation programs and inclusive delivery models</v>
      </c>
      <c r="D4" s="11" t="str">
        <v>Ethiopia</v>
      </c>
      <c r="E4" s="11">
        <v>30000</v>
      </c>
      <c r="F4" s="11" t="str">
        <v>Costs as per planned activities.</v>
      </c>
    </row>
    <row r="5" ht="25" customHeight="1">
      <c r="B5" s="14" t="str">
        <v>Contracted partners subtotal</v>
      </c>
      <c r="E5" s="14">
        <f>SUM(E2:E4)</f>
      </c>
    </row>
    <row r="6" ht="70" customHeight="1">
      <c r="A6" s="12" t="str">
        <v>AOW05</v>
      </c>
      <c r="B6" s="11" t="str">
        <v>Ethiopian Institute of Agricultural Research</v>
      </c>
      <c r="C6" s="11" t="str">
        <v>HLO 5.3 - Integrated packages of socio-institutional and technical interventions for equity</v>
      </c>
      <c r="D6" s="11" t="str">
        <v>Ethiopia</v>
      </c>
      <c r="E6" s="11">
        <v>0</v>
      </c>
    </row>
    <row r="7" ht="25" customHeight="1">
      <c r="B7" s="14" t="str">
        <v>Contracted partners subtotal</v>
      </c>
      <c r="E7" s="14">
        <f>SUM(E6:E6)</f>
      </c>
    </row>
  </sheetData>
  <mergeCells count="4">
    <mergeCell ref="B5:D5"/>
    <mergeCell ref="A2:A5"/>
    <mergeCell ref="B7:D7"/>
    <mergeCell ref="A6: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D-200371-Development and Scaling of Introduced Plant Species</v>
      </c>
      <c r="B2" s="19" t="str">
        <v>AOW00</v>
      </c>
      <c r="C2" s="18" t="str">
        <v>PO3 - Communities within animal and aquatic food systems adopt innovations for increased social, economic and environmental resilience</v>
      </c>
      <c r="D2" s="19">
        <v>0</v>
      </c>
      <c r="E2" s="19" t="str">
        <f>=SUM(D2:D3)</f>
        <v>0</v>
      </c>
    </row>
    <row r="3" ht="30" customHeight="1">
      <c r="A3" s="18" t="str">
        <v>D-200371-Development and Scaling of Introduced Plant Species</v>
      </c>
      <c r="B3" s="19" t="str">
        <v>AOW02</v>
      </c>
      <c r="C3" s="18" t="str">
        <v>HLO 2.2- Climate-adapted innovations for efficient use and restoration of water, soil, and land resources, enhanced livelihoods, and reduced climate impacts</v>
      </c>
      <c r="D3" s="19">
        <v>40103</v>
      </c>
      <c r="F3" s="19" t="str">
        <v>based on 2025 ratio x 2026 budget</v>
      </c>
    </row>
    <row r="4" ht="30" customHeight="1">
      <c r="A4" s="18" t="str">
        <v>D-100828-BMGF-Feedstock4Livestock</v>
      </c>
      <c r="B4" s="19" t="str">
        <v>AOW00</v>
      </c>
      <c r="C4" s="18" t="str">
        <v xml:space="preserve">PO1 - Animal and aquatic food producers, including women, youth and marginalized groups adopting combinations of innovations </v>
      </c>
      <c r="D4" s="19">
        <v>0</v>
      </c>
      <c r="E4" s="19" t="str">
        <f>=SUM(D4:D5)</f>
        <v>0</v>
      </c>
    </row>
    <row r="5" ht="30" customHeight="1">
      <c r="A5" s="18" t="str">
        <v>D-100828-BMGF-Feedstock4Livestock</v>
      </c>
      <c r="B5" s="19" t="str">
        <v>AOW02</v>
      </c>
      <c r="C5" s="18" t="str">
        <v xml:space="preserve">HLO 2.1 - Evidence of the benefits and impacts on climate and the environment </v>
      </c>
      <c r="D5" s="19">
        <v>463537</v>
      </c>
      <c r="F5" s="19" t="str">
        <v>based on 2025 ratio x 2026 budget</v>
      </c>
    </row>
    <row r="6" ht="30" customHeight="1">
      <c r="A6" s="3" t="str">
        <v>W3/Bilateral projects subtotal</v>
      </c>
      <c r="E6" s="3">
        <f>SUM(E2:E5)</f>
      </c>
    </row>
  </sheetData>
  <mergeCells count="5">
    <mergeCell ref="A2:A3"/>
    <mergeCell ref="A4:A5"/>
    <mergeCell ref="E2:E3"/>
    <mergeCell ref="E4:E5"/>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70000</v>
      </c>
      <c r="C2" s="20">
        <v>67000</v>
      </c>
      <c r="D2" s="20">
        <v>0</v>
      </c>
      <c r="E2" s="20">
        <v>0</v>
      </c>
      <c r="F2" s="20">
        <v>0</v>
      </c>
      <c r="G2" s="20">
        <v>0</v>
      </c>
      <c r="H2" s="20">
        <v>0</v>
      </c>
      <c r="I2" s="20" t="str">
        <f>=SUM(B2:H2)</f>
        <v>0</v>
      </c>
    </row>
    <row r="3" ht="20" customHeight="1">
      <c r="A3" s="20" t="str">
        <v>Operations (supplies, consultants, travels, workshops, other)</v>
      </c>
      <c r="B3" s="20">
        <v>39055</v>
      </c>
      <c r="C3" s="20">
        <v>110000</v>
      </c>
      <c r="D3" s="20">
        <v>0</v>
      </c>
      <c r="E3" s="20">
        <v>0</v>
      </c>
      <c r="F3" s="20">
        <v>0</v>
      </c>
      <c r="G3" s="20">
        <v>0</v>
      </c>
      <c r="H3" s="20">
        <v>0</v>
      </c>
      <c r="I3" s="20" t="str">
        <f>=SUM(B3:H3)</f>
        <v>0</v>
      </c>
    </row>
    <row r="4" ht="20" customHeight="1">
      <c r="A4" s="20" t="str">
        <v>Staffing, Chargebacks and Indirect</v>
      </c>
      <c r="B4" s="20">
        <v>42320</v>
      </c>
      <c r="C4" s="20">
        <v>309305</v>
      </c>
      <c r="D4" s="20">
        <v>0</v>
      </c>
      <c r="E4" s="20">
        <v>0</v>
      </c>
      <c r="F4" s="20">
        <v>0</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