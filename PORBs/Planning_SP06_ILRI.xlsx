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Cross-Cutting" sheetId="2" r:id="rId2"/>
    <sheet name="HLO" sheetId="3" r:id="rId3"/>
    <sheet name="Partner" sheetId="4" r:id="rId4"/>
    <sheet name="W3-Bilateral projects" sheetId="5" r:id="rId5"/>
    <sheet name="MELIA" sheetId="6" r:id="rId6"/>
    <sheet name="Anaplan" sheetId="7" r:id="rId7"/>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18"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000000"/>
    </font>
    <font>
      <sz val="11"/>
      <name val="Calibri"/>
      <b/>
      <color rgb="000000"/>
    </font>
    <font>
      <sz val="11"/>
      <name val="Calibri"/>
      <b/>
      <color rgb="FFFFFF"/>
    </font>
    <font>
      <sz val="11"/>
      <name val="Calibri"/>
      <b/>
      <color rgb="FFFFFF"/>
    </font>
    <font>
      <sz val="11"/>
      <name val="Calibri"/>
      <b/>
      <color rgb="FFFFFF"/>
    </font>
    <font>
      <sz val="11"/>
      <name val="Calibri"/>
      <b/>
      <color rgb="FFFFFF"/>
    </font>
    <font>
      <sz val="11"/>
      <name val="Calibri"/>
      <b/>
      <color rgb="FFFFFF"/>
    </font>
  </fonts>
  <fills count="18">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
      <patternFill patternType="solid">
        <fgColor rgb="FFE6E6E6"/>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s>
  <borders count="19">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medium"/>
      <bottom style="thin"/>
      <diagonal/>
    </border>
    <border>
      <left style="thin"/>
      <right style="thin"/>
      <top style="medium"/>
      <bottom style="thin"/>
      <diagonal/>
    </border>
  </borders>
  <cellStyleXfs>
    <xf numFmtId="0" fontId="0" fillId="0" borderId="0"/>
  </cellStyleXfs>
  <cellXfs count="24">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xf>
    <xf numFmtId="0" fontId="3" fillId="3" borderId="3" xfId="0" applyFont="1" applyFill="1" applyBorder="1" applyAlignment="1">
      <alignment horizontal="center" vertical="center"/>
    </xf>
    <xf numFmtId="0" fontId="0" fillId="0" borderId="0" xfId="0" applyAlignment="1">
      <alignment horizontal="center" vertical="center"/>
    </xf>
    <xf numFmtId="0" fontId="4" fillId="4" borderId="0" xfId="0" applyFont="1" applyFill="1" applyAlignment="1">
      <alignment horizontal="center" vertical="center"/>
    </xf>
    <xf numFmtId="0" fontId="5" fillId="5" borderId="0" xfId="0" applyFont="1" applyFill="1" applyAlignment="1">
      <alignment horizontal="center" vertical="center"/>
    </xf>
    <xf numFmtId="0" fontId="6" fillId="6" borderId="4" xfId="0" applyFont="1" applyFill="1" applyBorder="1" applyAlignment="1">
      <alignment horizontal="center" vertical="center" wrapText="true"/>
    </xf>
    <xf numFmtId="0" fontId="7" fillId="7" borderId="5" xfId="0" applyFont="1" applyFill="1" applyBorder="1" applyAlignment="1">
      <alignment horizontal="center" vertical="center" wrapText="true"/>
    </xf>
    <xf numFmtId="0" fontId="8" fillId="8" borderId="6" xfId="0" applyFont="1" applyFill="1" applyBorder="1" applyAlignment="1">
      <alignment horizontal="center" vertical="center" wrapText="true"/>
    </xf>
    <xf numFmtId="0" fontId="0" fillId="0" borderId="7" xfId="0" applyBorder="1" applyAlignment="1">
      <alignment horizontal="center" vertical="center" wrapText="true"/>
    </xf>
    <xf numFmtId="0" fontId="9" fillId="9" borderId="8" xfId="0" applyFont="1" applyFill="1" applyBorder="1" applyAlignment="1">
      <alignment horizontal="center" vertical="center"/>
    </xf>
    <xf numFmtId="0" fontId="10" fillId="10" borderId="9" xfId="0" applyFont="1" applyFill="1" applyBorder="1" applyAlignment="1">
      <alignment horizontal="center" vertical="center"/>
    </xf>
    <xf numFmtId="0" fontId="11" fillId="11" borderId="10" xfId="0" applyFont="1" applyFill="1" applyBorder="1" applyAlignment="1">
      <alignment horizontal="center" vertical="center" wrapText="true"/>
    </xf>
    <xf numFmtId="0" fontId="12" fillId="12" borderId="11" xfId="0" applyFont="1" applyFill="1" applyBorder="1" applyAlignment="1">
      <alignment horizontal="center" vertical="center" wrapText="true"/>
    </xf>
    <xf numFmtId="0" fontId="13" fillId="13" borderId="12" xfId="0" applyFont="1" applyFill="1" applyBorder="1" applyAlignment="1">
      <alignment horizontal="center" vertical="center" wrapText="true"/>
    </xf>
    <xf numFmtId="0" fontId="14" fillId="14" borderId="13" xfId="0" applyFont="1" applyFill="1" applyBorder="1" applyAlignment="1">
      <alignment horizontal="center" vertical="center" wrapText="true"/>
    </xf>
    <xf numFmtId="0" fontId="0" fillId="0" borderId="14" xfId="0" applyBorder="1" applyAlignment="1">
      <alignment vertical="center" wrapText="true"/>
    </xf>
    <xf numFmtId="0" fontId="0" fillId="0" borderId="15" xfId="0" applyBorder="1" applyAlignment="1">
      <alignment horizontal="center" vertical="center" wrapText="true"/>
    </xf>
    <xf numFmtId="1" fontId="0" fillId="0" borderId="16" xfId="0" applyBorder="1" applyNumberFormat="1" applyAlignment="1">
      <alignment horizontal="center" vertical="center"/>
    </xf>
    <xf numFmtId="0" fontId="15" fillId="15" borderId="0" xfId="0" applyFont="1" applyFill="1" applyAlignment="1">
      <alignment horizontal="center" vertical="center"/>
    </xf>
    <xf numFmtId="1" fontId="16" fillId="16" borderId="17" xfId="0" applyFont="1" applyFill="1" applyBorder="1" applyNumberFormat="1" applyAlignment="1">
      <alignment horizontal="center" vertical="center"/>
    </xf>
    <xf numFmtId="1" fontId="17" fillId="17" borderId="18" xfId="0" applyFont="1" applyFill="1" applyBorder="1" applyNumberFormat="1" applyAlignment="1">
      <alignment horizontal="center" vertical="center"/>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10"/>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25.83203125" customWidth="1"/>
    <col min="11" max="11" width="25.83203125" customWidth="1"/>
    <col min="12" max="12" width="35.83203125" customWidth="1"/>
    <col min="13" max="13" width="30.83203125" customWidth="1"/>
  </cols>
  <sheetData>
    <row r="1" ht="15" customHeight="1">
      <c r="A1" s="3" t="str">
        <v>Area of Work</v>
      </c>
      <c r="B1" s="4" t="str">
        <v>Pooled Funding</v>
      </c>
      <c r="M1" s="4" t="str">
        <v>W3/ Bilateral Project (USD)</v>
      </c>
    </row>
    <row r="2" ht="15" customHeight="1">
      <c r="B2" s="4" t="str">
        <v>Innovation Development</v>
      </c>
      <c r="D2" s="4" t="str">
        <v>Knowledge product</v>
      </c>
      <c r="F2" s="4" t="str">
        <v>Capacity Sharing</v>
      </c>
      <c r="H2" s="4" t="str">
        <v>Others outputs</v>
      </c>
      <c r="J2" s="4" t="str">
        <v>Partner budget</v>
      </c>
      <c r="K2" s="4" t="str">
        <v>MELIA Studies budget</v>
      </c>
      <c r="L2" s="4" t="str">
        <v>Total Pooled Funding budget (USD)</v>
      </c>
    </row>
    <row r="3" ht="15" customHeight="1">
      <c r="B3" s="4" t="str">
        <v>Target</v>
      </c>
      <c r="C3" s="4" t="str">
        <v>Budget</v>
      </c>
      <c r="D3" s="4" t="str">
        <v>Target</v>
      </c>
      <c r="E3" s="4" t="str">
        <v>Budget</v>
      </c>
      <c r="F3" s="4" t="str">
        <v>Target</v>
      </c>
      <c r="G3" s="4" t="str">
        <v>Budget</v>
      </c>
      <c r="H3" s="4" t="str">
        <v>Target</v>
      </c>
      <c r="I3" s="4" t="str">
        <v>Budget</v>
      </c>
    </row>
    <row r="4" ht="20" customHeight="1">
      <c r="A4" s="2" t="str">
        <v>AOW00: Cross-Cutting and Management</v>
      </c>
      <c r="B4" s="2">
        <v>0</v>
      </c>
      <c r="C4" s="5">
        <v>0</v>
      </c>
      <c r="D4" s="2">
        <v>0</v>
      </c>
      <c r="E4" s="5">
        <v>0</v>
      </c>
      <c r="F4" s="2">
        <v>0</v>
      </c>
      <c r="G4" s="5">
        <v>0</v>
      </c>
      <c r="H4" s="2">
        <v>0</v>
      </c>
      <c r="I4" s="5">
        <v>0</v>
      </c>
      <c r="J4" s="5">
        <v>0</v>
      </c>
      <c r="K4" s="5">
        <v>0</v>
      </c>
      <c r="L4" s="5">
        <v>0</v>
      </c>
      <c r="M4" s="5">
        <v>0</v>
      </c>
    </row>
    <row r="5" ht="20" customHeight="1">
      <c r="A5" s="2" t="str">
        <v xml:space="preserve">AOW01: Prioritization and Coordination of Climate Action </v>
      </c>
      <c r="B5" s="2">
        <v>6</v>
      </c>
      <c r="C5" s="5">
        <v>75524</v>
      </c>
      <c r="D5" s="2">
        <v>15</v>
      </c>
      <c r="E5" s="5">
        <v>250000</v>
      </c>
      <c r="F5" s="2">
        <v>150</v>
      </c>
      <c r="G5" s="5">
        <v>60000</v>
      </c>
      <c r="H5" s="2">
        <v>2</v>
      </c>
      <c r="I5" s="5">
        <v>30000</v>
      </c>
      <c r="J5" s="5">
        <v>30000</v>
      </c>
      <c r="K5" s="5">
        <v>35000</v>
      </c>
      <c r="L5" s="5">
        <v>480524</v>
      </c>
      <c r="M5" s="5">
        <v>0</v>
      </c>
    </row>
    <row r="6" ht="20" customHeight="1">
      <c r="A6" s="2" t="str">
        <v xml:space="preserve">AOW02: Digital Advisories and Climate Risk Management  </v>
      </c>
      <c r="B6" s="2">
        <v>12</v>
      </c>
      <c r="C6" s="5">
        <v>425000</v>
      </c>
      <c r="D6" s="2">
        <v>0</v>
      </c>
      <c r="E6" s="5">
        <v>0</v>
      </c>
      <c r="F6" s="2">
        <v>0</v>
      </c>
      <c r="G6" s="5">
        <v>0</v>
      </c>
      <c r="H6" s="2">
        <v>2510</v>
      </c>
      <c r="I6" s="5">
        <v>150000</v>
      </c>
      <c r="J6" s="5">
        <v>25000</v>
      </c>
      <c r="K6" s="5">
        <v>0</v>
      </c>
      <c r="L6" s="5">
        <v>600000</v>
      </c>
      <c r="M6" s="5">
        <v>0</v>
      </c>
    </row>
    <row r="7" ht="20" customHeight="1">
      <c r="A7" s="2" t="str">
        <v xml:space="preserve">AOW03: Locally-led Adaptation  </v>
      </c>
      <c r="B7" s="2">
        <v>11</v>
      </c>
      <c r="C7" s="5">
        <v>182500</v>
      </c>
      <c r="D7" s="2">
        <v>4</v>
      </c>
      <c r="E7" s="5">
        <v>102500</v>
      </c>
      <c r="F7" s="2">
        <v>2500</v>
      </c>
      <c r="G7" s="5">
        <v>50000</v>
      </c>
      <c r="H7" s="2">
        <v>0</v>
      </c>
      <c r="I7" s="5">
        <v>0</v>
      </c>
      <c r="J7" s="5">
        <v>15000</v>
      </c>
      <c r="K7" s="5">
        <v>0</v>
      </c>
      <c r="L7" s="5">
        <v>350000</v>
      </c>
      <c r="M7" s="5">
        <v>0</v>
      </c>
    </row>
    <row r="8" ht="20" customHeight="1">
      <c r="A8" s="2" t="str">
        <v xml:space="preserve">AOW04: Low-emission Transitions  </v>
      </c>
      <c r="B8" s="2">
        <v>17</v>
      </c>
      <c r="C8" s="5">
        <v>335000</v>
      </c>
      <c r="D8" s="2">
        <v>0</v>
      </c>
      <c r="E8" s="5">
        <v>0</v>
      </c>
      <c r="F8" s="2">
        <v>55</v>
      </c>
      <c r="G8" s="5">
        <v>90000</v>
      </c>
      <c r="H8" s="2">
        <v>4</v>
      </c>
      <c r="I8" s="5">
        <v>40000</v>
      </c>
      <c r="J8" s="5">
        <v>0</v>
      </c>
      <c r="K8" s="5">
        <v>0</v>
      </c>
      <c r="L8" s="5">
        <v>465000</v>
      </c>
      <c r="M8" s="5">
        <v>0</v>
      </c>
    </row>
    <row r="9" ht="20" customHeight="1">
      <c r="A9" s="2" t="str">
        <v xml:space="preserve">AOW05: Finance and Policy for Scaling Solutions </v>
      </c>
      <c r="B9" s="2">
        <v>2</v>
      </c>
      <c r="C9" s="5">
        <v>85000</v>
      </c>
      <c r="D9" s="2">
        <v>1</v>
      </c>
      <c r="E9" s="5">
        <v>30000</v>
      </c>
      <c r="F9" s="2">
        <v>0</v>
      </c>
      <c r="G9" s="5">
        <v>0</v>
      </c>
      <c r="H9" s="2">
        <v>0</v>
      </c>
      <c r="I9" s="5">
        <v>0</v>
      </c>
      <c r="J9" s="5">
        <v>0</v>
      </c>
      <c r="K9" s="5">
        <v>0</v>
      </c>
      <c r="L9" s="5">
        <v>115000</v>
      </c>
      <c r="M9" s="5">
        <v>0</v>
      </c>
    </row>
    <row r="10" ht="25" customHeight="1">
      <c r="A10" s="6" t="str">
        <v>Total</v>
      </c>
      <c r="B10" s="7">
        <f>SUM(B4:B9)</f>
      </c>
      <c r="C10" s="7">
        <f>SUM(C4:C9)</f>
      </c>
      <c r="D10" s="7">
        <f>SUM(D4:D9)</f>
      </c>
      <c r="E10" s="7">
        <f>SUM(E4:E9)</f>
      </c>
      <c r="F10" s="7">
        <f>SUM(F4:F9)</f>
      </c>
      <c r="G10" s="7">
        <f>SUM(G4:G9)</f>
      </c>
      <c r="H10" s="7">
        <f>SUM(H4:H9)</f>
      </c>
      <c r="I10" s="7">
        <f>SUM(I4:I9)</f>
      </c>
      <c r="J10" s="7">
        <f>SUM(J4:J9)</f>
      </c>
      <c r="K10" s="7">
        <f>SUM(K4:K9)</f>
      </c>
      <c r="L10" s="7">
        <f>SUM(L4:L9)</f>
      </c>
      <c r="M10" s="7">
        <f>SUM(M4:M9)</f>
      </c>
    </row>
  </sheetData>
  <mergeCells count="10">
    <mergeCell ref="A1:A3"/>
    <mergeCell ref="B1:L1"/>
    <mergeCell ref="M1:M3"/>
    <mergeCell ref="B2:C2"/>
    <mergeCell ref="D2:E2"/>
    <mergeCell ref="F2:G2"/>
    <mergeCell ref="H2:I2"/>
    <mergeCell ref="J2:J3"/>
    <mergeCell ref="K2:K3"/>
    <mergeCell ref="L2:L3"/>
  </mergeCells>
  <ignoredErrors>
    <ignoredError numberStoredAsText="1" sqref="A1:M10"/>
  </ignoredErrors>
</worksheet>
</file>

<file path=xl/worksheets/sheet2.xml><?xml version="1.0" encoding="utf-8"?>
<worksheet xmlns="http://schemas.openxmlformats.org/spreadsheetml/2006/main" xmlns:r="http://schemas.openxmlformats.org/officeDocument/2006/relationships">
  <dimension ref="A1:E8"/>
  <sheetViews>
    <sheetView workbookViewId="0"/>
  </sheetViews>
  <cols>
    <col min="1" max="1" width="10.83203125" customWidth="1"/>
    <col min="2" max="2" width="40.83203125" customWidth="1"/>
    <col min="3" max="3" width="25.83203125" customWidth="1"/>
  </cols>
  <sheetData>
    <row r="1" ht="60" customHeight="1">
      <c r="A1" s="8" t="str">
        <v>AOW</v>
      </c>
      <c r="B1" s="9" t="str">
        <v>Cross-Cutting</v>
      </c>
      <c r="C1" s="9" t="str">
        <v>Description</v>
      </c>
      <c r="D1" s="9" t="str">
        <v>Pooled Funded (USD)</v>
      </c>
      <c r="E1" s="9" t="str">
        <v>Budget Assumptions</v>
      </c>
    </row>
    <row r="2" ht="45" customHeight="1" xml:space="preserve">
      <c r="A2" s="10" t="str">
        <v>AOW00</v>
      </c>
      <c r="B2" s="11" t="str" xml:space="preserve">
        <v xml:space="preserve">Innovation Fund
</v>
      </c>
      <c r="C2" s="11" t="str" xml:space="preserve">
        <v xml:space="preserve">Costs for Climate Action Innovation Fund
</v>
      </c>
      <c r="D2" s="11">
        <v>0</v>
      </c>
    </row>
    <row r="3" ht="45" customHeight="1">
      <c r="A3" s="11" t="str">
        <v>AOW00</v>
      </c>
      <c r="B3" s="11" t="str">
        <v>Portfolio-level Financing Support</v>
      </c>
      <c r="C3" s="11" t="str">
        <v>Funding for Portfolio-level Finance support</v>
      </c>
      <c r="D3" s="11">
        <v>0</v>
      </c>
    </row>
    <row r="4" ht="45" customHeight="1" xml:space="preserve">
      <c r="A4" s="11" t="str">
        <v>AOW00</v>
      </c>
      <c r="B4" s="11" t="str" xml:space="preserve">
        <v xml:space="preserve">Program Director and Associated Costs 
</v>
      </c>
      <c r="C4" s="11" t="str" xml:space="preserve">
        <v xml:space="preserve">Global HR, Travel, Meetings, workshops, consultants, and other Miscellaneous Costs for the Program Director
</v>
      </c>
      <c r="D4" s="11">
        <v>0</v>
      </c>
    </row>
    <row r="5" ht="45" customHeight="1" xml:space="preserve">
      <c r="A5" s="11" t="str">
        <v>AOW00</v>
      </c>
      <c r="B5" s="11" t="str" xml:space="preserve">
        <v xml:space="preserve">AoW Leadership and PMU Costs
</v>
      </c>
      <c r="C5" s="11" t="str" xml:space="preserve">
        <v xml:space="preserve">Global HR, Travel, Meetings, workshops, and other Miscellaneous Costs for the AoW Leads and PMU staff
</v>
      </c>
      <c r="D5" s="11">
        <v>0</v>
      </c>
    </row>
    <row r="6" ht="45" customHeight="1" xml:space="preserve">
      <c r="A6" s="11" t="str">
        <v>AOW00</v>
      </c>
      <c r="B6" s="11" t="str" xml:space="preserve">
        <v xml:space="preserve">Consolidating CGIAR's climate offer
</v>
      </c>
      <c r="C6" s="11" t="str">
        <v>Funding for Climate Hub packages of deliverables to be allocated to relevant Centers on defining the evidence-base for CGIAR's climate activities. These funds will be allocated to AoW1 in Q1 2026.</v>
      </c>
      <c r="D6" s="11">
        <v>0</v>
      </c>
    </row>
    <row r="7" ht="45" customHeight="1" xml:space="preserve">
      <c r="A7" s="11" t="str">
        <v>AOW00</v>
      </c>
      <c r="B7" s="11" t="str" xml:space="preserve">
        <v xml:space="preserve">Program Director Discretionary Fund 
</v>
      </c>
      <c r="C7" s="11" t="str" xml:space="preserve">
        <v xml:space="preserve">Funds accessible to the Director for emerging opportunities, gaps, and other strategic interventions.
</v>
      </c>
      <c r="D7" s="11">
        <v>0</v>
      </c>
    </row>
    <row r="8" ht="45" customHeight="1" xml:space="preserve">
      <c r="A8" s="11" t="str">
        <v>AOW00</v>
      </c>
      <c r="B8" s="11" t="str" xml:space="preserve">
        <v xml:space="preserve">Gender Focal Point and targeted research
</v>
      </c>
      <c r="C8" s="11" t="str" xml:space="preserve">
        <v xml:space="preserve">Costs for Gender Focal Point and targeted Gender research activities.
</v>
      </c>
      <c r="D8" s="11">
        <v>0</v>
      </c>
    </row>
  </sheetData>
  <mergeCells count="1">
    <mergeCell ref="A2:A8"/>
  </mergeCells>
  <ignoredErrors>
    <ignoredError numberStoredAsText="1" sqref="A1:E8"/>
  </ignoredErrors>
</worksheet>
</file>

<file path=xl/worksheets/sheet3.xml><?xml version="1.0" encoding="utf-8"?>
<worksheet xmlns="http://schemas.openxmlformats.org/spreadsheetml/2006/main" xmlns:r="http://schemas.openxmlformats.org/officeDocument/2006/relationships">
  <dimension ref="A1:I35"/>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10.83203125" customWidth="1"/>
    <col min="7" max="7" width="15.83203125" customWidth="1"/>
    <col min="8" max="8" width="20.83203125" customWidth="1"/>
    <col min="9" max="9" width="30.83203125" customWidth="1"/>
  </cols>
  <sheetData>
    <row r="1" ht="30" customHeight="1">
      <c r="A1" s="12" t="str">
        <v>AOW</v>
      </c>
      <c r="B1" s="8" t="str">
        <v>High Level Output</v>
      </c>
      <c r="C1" s="8" t="str">
        <v>Key Performance Indicators</v>
      </c>
      <c r="H1" s="8" t="str">
        <v>Total Budget (USD)</v>
      </c>
      <c r="I1" s="8" t="str">
        <v>Budget Assumptions</v>
      </c>
    </row>
    <row r="2" ht="30" customHeight="1">
      <c r="C2" s="8" t="str">
        <v>Description</v>
      </c>
      <c r="D2" s="8" t="str">
        <v>Type</v>
      </c>
      <c r="E2" s="8" t="str">
        <v>Geographic Location</v>
      </c>
      <c r="F2" s="8" t="str">
        <v>Target</v>
      </c>
      <c r="G2" s="8" t="str">
        <v>Budget (USD)</v>
      </c>
    </row>
    <row r="3" ht="50" customHeight="1">
      <c r="A3" s="13" t="str">
        <v>AOW01</v>
      </c>
      <c r="B3" s="11" t="str">
        <v>1.1.2. Frameworks, strategies and tools for vulnerability root causes, climate justice pathways</v>
      </c>
      <c r="C3" s="11" t="str">
        <v>Critical capabilities: Number of frameworks/strategies/tools developed and shared</v>
      </c>
      <c r="D3" s="11" t="str">
        <v>Number of innovations (innovation development)</v>
      </c>
      <c r="E3" s="11" t="str">
        <v>Global</v>
      </c>
      <c r="F3" s="11">
        <v>1</v>
      </c>
      <c r="G3" s="11">
        <v>51106</v>
      </c>
      <c r="H3" s="11">
        <f>SUM(G3:G4)</f>
      </c>
      <c r="I3" s="11" t="str">
        <v>The Climate Action Gender Audit will provide a baseline understanding of gender and social inclusion integration and provide actionable recommendations to strengthen inclusion across design and implementation. This capability will identify priorities for improvements and coordinate efforts across the portfolio to document and measure progress at scale.</v>
      </c>
    </row>
    <row r="4" ht="50" customHeight="1">
      <c r="A4" s="11" t="str">
        <v>AOW01</v>
      </c>
      <c r="C4" s="11" t="str">
        <v>Number of frameworks/strategies/tools developed and shared</v>
      </c>
      <c r="D4" s="11" t="str">
        <v>Number of innovations (innovation development)</v>
      </c>
      <c r="E4" s="11" t="str">
        <v>Global</v>
      </c>
      <c r="F4" s="11">
        <v>5</v>
      </c>
      <c r="G4" s="11">
        <v>24418</v>
      </c>
      <c r="I4" s="11" t="str">
        <v>CA42_ILRI Enhance data pipelines and analytical methodologies – Integrate ILRI statistical downscaling methods and other analytical approaches within the Climate Data Hub and support development of the CMIP7 data pipeline</v>
      </c>
    </row>
    <row r="5" ht="50" customHeight="1">
      <c r="A5" s="11" t="str">
        <v>AOW01</v>
      </c>
      <c r="B5" s="11" t="str">
        <v>1.1.3 &amp; 1.3.2 Harmonized data, simulations, insights and decision support tools</v>
      </c>
      <c r="C5" s="11" t="str">
        <v>Number of datasets included/compiled in a common/shared platform</v>
      </c>
      <c r="D5" s="11" t="str">
        <v>Number of knowledge products</v>
      </c>
      <c r="E5" s="11" t="str">
        <v>Global</v>
      </c>
      <c r="F5" s="11">
        <v>10</v>
      </c>
      <c r="G5" s="11">
        <v>25000</v>
      </c>
      <c r="H5" s="11">
        <f>SUM(G5:G5)</f>
      </c>
      <c r="I5" s="11" t="str">
        <v>CA1_ILRI: Number of engagements and submissions made to climate negotiations streams and negotiators</v>
      </c>
    </row>
    <row r="6" ht="50" customHeight="1" xml:space="preserve">
      <c r="A6" s="11" t="str">
        <v>AOW01</v>
      </c>
      <c r="B6" s="11" t="str">
        <v>1.1.4. Synthesis products, advocacy and communication materials</v>
      </c>
      <c r="C6" s="11" t="str">
        <v>Number of synthesis products</v>
      </c>
      <c r="D6" s="11" t="str">
        <v>Number of knowledge products</v>
      </c>
      <c r="E6" s="11" t="str">
        <v>Global</v>
      </c>
      <c r="F6" s="11">
        <v>5</v>
      </c>
      <c r="G6" s="11">
        <v>225000</v>
      </c>
      <c r="H6" s="11">
        <f>SUM(G6:G6)</f>
      </c>
      <c r="I6" s="11" t="str" xml:space="preserve">
        <v xml:space="preserve">CA1_ILRI	MELIA study with Alliance on how CGIAR submissions over past years have been incorporated into UNFCCC negotiated text
CA108_ILRI	A searchable global database of evidence synthesis on climate change and agri-food system where current and past CGIA</v>
      </c>
    </row>
    <row r="7" ht="50" customHeight="1">
      <c r="A7" s="11" t="str">
        <v>AOW01</v>
      </c>
      <c r="B7" s="11" t="str">
        <v>1.3.3 Strategic engagements with global climate bodies</v>
      </c>
      <c r="C7" s="11" t="str">
        <v>Number of organizations members engaged in capacity development initiatives (disaggregated by type, age, sex, ethnic group)</v>
      </c>
      <c r="D7" s="11" t="str">
        <v>Number of people trained (capacity sharing for development)</v>
      </c>
      <c r="E7" s="11" t="str">
        <v>Regional: Sub-Saharan Africa, Western Africa, Southern Africa, Middle Africa, Northern Africa, Eastern Africa</v>
      </c>
      <c r="F7" s="11">
        <v>150</v>
      </c>
      <c r="G7" s="11">
        <v>60000</v>
      </c>
      <c r="H7" s="11">
        <f>SUM(G7:G9)</f>
      </c>
      <c r="I7" s="11" t="str">
        <v>CA1_ILRI: Capacity building course delivered online for Africa-based policymakers on climate policy development, alignment of NDCs and long-term strategies with global goals, and use of decision support tools in policy design and implementation</v>
      </c>
    </row>
    <row r="8" ht="50" customHeight="1">
      <c r="A8" s="11" t="str">
        <v>AOW01</v>
      </c>
      <c r="C8" s="11" t="str">
        <v>Number of climate-related regional networks/platforms engaged including regional climate weeks, COP engagements</v>
      </c>
      <c r="D8" s="11" t="str">
        <v xml:space="preserve"> Number of networks/platforms engaged</v>
      </c>
      <c r="E8" s="11" t="str">
        <v>Global</v>
      </c>
      <c r="F8" s="11">
        <v>0</v>
      </c>
      <c r="G8" s="11">
        <v>0</v>
      </c>
    </row>
    <row r="9" ht="50" customHeight="1">
      <c r="A9" s="11" t="str">
        <v>AOW01</v>
      </c>
      <c r="C9" s="11" t="str">
        <v>Number of engagements and submissions made to climate negotiations streams and negotiators</v>
      </c>
      <c r="D9" s="11" t="str">
        <v xml:space="preserve"> Number of engagements </v>
      </c>
      <c r="E9" s="11" t="str">
        <v>Global</v>
      </c>
      <c r="F9" s="11">
        <v>2</v>
      </c>
      <c r="G9" s="11">
        <v>30000</v>
      </c>
      <c r="I9" s="11" t="str">
        <v>CA1_ILRI:Providing science support to AGNES in Africa and building capacity for climate negotiations to use evidence syntheses</v>
      </c>
    </row>
    <row r="10" ht="25" customHeight="1">
      <c r="B10" s="14" t="str">
        <v>HLO budget subtotal</v>
      </c>
      <c r="H10" s="15">
        <f>SUM(H3:H9)</f>
      </c>
    </row>
    <row r="11" ht="50" customHeight="1" xml:space="preserve">
      <c r="A11" s="13" t="str">
        <v>AOW02</v>
      </c>
      <c r="B11" s="11" t="str">
        <v>2.1.1 &amp; 2.2.1 Climate information products and services</v>
      </c>
      <c r="C11" s="11" t="str">
        <v>Number of human-centered climate information products/services improved, co-designed, or co-developed</v>
      </c>
      <c r="D11" s="11" t="str">
        <v>Number of innovations (innovation development)</v>
      </c>
      <c r="E11" s="11" t="str">
        <v>Country: Senegal, Mali, Ethiopia, India, Bangladesh, Nigeria, Zambia, Philippines, Kenya, The Socialist Republic of Viet Nam</v>
      </c>
      <c r="F11" s="11">
        <v>8</v>
      </c>
      <c r="G11" s="11">
        <v>325000</v>
      </c>
      <c r="H11" s="11">
        <f>SUM(G11:G11)</f>
      </c>
      <c r="I11" s="11" t="str" xml:space="preserve">
        <v xml:space="preserve">CA32_ILRI	Bundled Index-Based Livestock Insurance (BILI): co-developed with insurance companies and service providers IBLI + Animal-Health, IBLI + Feed, and combined bundles, + KAZNET integration
CA69_ILRI	Adapt IMD’s AgroDSS platform to encodes AI and ot</v>
      </c>
    </row>
    <row r="12" ht="50" customHeight="1">
      <c r="A12" s="11" t="str">
        <v>AOW02</v>
      </c>
      <c r="B12" s="11" t="str">
        <v>2.2.2 &amp; 2.3.1 &amp; 2.4.1 Multi-hazard early warning and anticipatory action instruments</v>
      </c>
      <c r="C12" s="11" t="str">
        <v>Number of context-adapted curricula within capacity development programs co-developed or implemented</v>
      </c>
      <c r="D12" s="11" t="str">
        <v>Number of innovations (innovation development)</v>
      </c>
      <c r="E12" s="11" t="str">
        <v>Country: Kenya, Ethiopia</v>
      </c>
      <c r="F12" s="11">
        <v>2</v>
      </c>
      <c r="G12" s="11">
        <v>50000</v>
      </c>
      <c r="H12" s="11">
        <f>SUM(G12:G12)</f>
      </c>
      <c r="I12" s="11" t="str">
        <v xml:space="preserve">CA32_ILRI: Capacity development of stakeholders and partners through job aids, tools related to the different services access, use and demand creation </v>
      </c>
    </row>
    <row r="13" ht="50" customHeight="1">
      <c r="A13" s="11" t="str">
        <v>AOW02</v>
      </c>
      <c r="B13" s="11" t="str">
        <v>2.4.1. Innovative and inclusive partnerships</v>
      </c>
      <c r="C13" s="11" t="str">
        <v>Number of partners/actors engaged for delivery of integrated climate risk management and actions</v>
      </c>
      <c r="D13" s="11" t="str">
        <v xml:space="preserve">Number of partners/actors engaged  </v>
      </c>
      <c r="E13" s="11" t="str">
        <v>Country: India, The Socialist Republic of Viet Nam, Ethiopia, Kenya, Colombia</v>
      </c>
      <c r="F13" s="11">
        <v>2500</v>
      </c>
      <c r="G13" s="11">
        <v>100000</v>
      </c>
      <c r="H13" s="11">
        <f>SUM(G13:G15)</f>
      </c>
      <c r="I13" s="11" t="str">
        <v xml:space="preserve">CA32_ILRI: Rolling out of the bundles to targeted socially heterogenous groups (producer, co-operatives) comprising of men, women, youth groups </v>
      </c>
    </row>
    <row r="14" ht="50" customHeight="1">
      <c r="A14" s="11" t="str">
        <v>AOW02</v>
      </c>
      <c r="C14" s="11" t="str">
        <v>Number of integrated climate-risk management strategies and action plans co-developed with partners</v>
      </c>
      <c r="D14" s="11" t="str">
        <v>Number of innovations (innovation development)</v>
      </c>
      <c r="E14" s="11" t="str">
        <v>Country: Ethiopia, Kenya</v>
      </c>
      <c r="F14" s="11">
        <v>2</v>
      </c>
      <c r="G14" s="11">
        <v>50000</v>
      </c>
      <c r="I14" s="11" t="str">
        <v xml:space="preserve">CA95_ILRI: Institutional Partnership Framework and Financing Roadmap: Co-develop a scalable institutional and financing framework with NMHS, insurers, ICPAC, and national partners; align with EW4All roadmaps; and mobilize blended and anticipatory finance </v>
      </c>
    </row>
    <row r="15" ht="50" customHeight="1">
      <c r="A15" s="11" t="str">
        <v>AOW02</v>
      </c>
      <c r="C15" s="11" t="str">
        <v>Number of new and inclusive partnerships formed for ICRM delivery</v>
      </c>
      <c r="D15" s="11" t="str">
        <v xml:space="preserve"> Number of partnerships</v>
      </c>
      <c r="E15" s="11" t="str">
        <v>Country: Ethiopia, India, The Socialist Republic of Viet Nam, Kenya</v>
      </c>
      <c r="F15" s="11">
        <v>10</v>
      </c>
      <c r="G15" s="11">
        <v>50000</v>
      </c>
      <c r="I15" s="11" t="str">
        <v>CA95_ILRI: Provider and Distribution Network Deployment: Onboard insurers, veterinary networks, feed suppliers, and producer associations to distribute bundled products and advisories; train women and youth agents to ensure inclusive, last-mile delivery a</v>
      </c>
    </row>
    <row r="16" ht="25" customHeight="1">
      <c r="B16" s="15" t="str">
        <v>HLO budget subtotal</v>
      </c>
      <c r="H16" s="15">
        <f>SUM(H11:H15)</f>
      </c>
    </row>
    <row r="17" ht="50" customHeight="1">
      <c r="A17" s="13" t="str">
        <v>AOW03</v>
      </c>
      <c r="B17" s="11" t="str">
        <v>3.1.1. Institutional innovations and technical practices</v>
      </c>
      <c r="C17" s="11" t="str">
        <v>Number of guidelines on scaling and implementing locally led adaptation solutions</v>
      </c>
      <c r="D17" s="11" t="str">
        <v>Number of knowledge products</v>
      </c>
      <c r="E17" s="11" t="str">
        <v>Country: Ethiopia</v>
      </c>
      <c r="F17" s="11">
        <v>1</v>
      </c>
      <c r="G17" s="11">
        <v>25000</v>
      </c>
      <c r="H17" s="11">
        <f>SUM(G17:G18)</f>
      </c>
      <c r="I17" s="11" t="str">
        <v>CA103_ILRI: Facilitator Guidelines (Training of Trainers) for Pioneer Positive Deviance in Farmer-to-Farmer (F2F) Scaling in Ethiopia: Equipping facilitators to train extension agents, development partners, researchers, and students in identifying and sca</v>
      </c>
    </row>
    <row r="18" ht="50" customHeight="1">
      <c r="A18" s="11" t="str">
        <v>AOW03</v>
      </c>
      <c r="C18" s="11" t="str">
        <v>Number of institutional innovations/technical practices co-created</v>
      </c>
      <c r="D18" s="11" t="str">
        <v>Number of innovations (innovation development)</v>
      </c>
      <c r="E18" s="11" t="str">
        <v>Country: Tanzania, United Republic, Brazil, Niger, Mali, Ethiopia, Nigeria, India, Kenya, Bangladesh</v>
      </c>
      <c r="F18" s="11">
        <v>6</v>
      </c>
      <c r="G18" s="11">
        <v>101250</v>
      </c>
      <c r="I18" s="11" t="str">
        <v>CA103_ILRI: Scaling the F2F scaling and the LL approaches for LLA in universities by embedding them in ongoing teaching. In 2026, we will develop modules with 3 Ethiopian and 1 Kenyan partner, while exploring collaboration with 2 additional Kenyan univers</v>
      </c>
    </row>
    <row r="19" ht="50" customHeight="1">
      <c r="A19" s="11" t="str">
        <v>AOW03</v>
      </c>
      <c r="B19" s="11" t="str">
        <v>3.1.2. Methodologies for implementing locally-led adaptation</v>
      </c>
      <c r="C19" s="11" t="str">
        <v>Number of people trained on  locally led adaptation methodologies/tools</v>
      </c>
      <c r="D19" s="11" t="str">
        <v>Number of people trained (capacity sharing for development)</v>
      </c>
      <c r="E19" s="11" t="str">
        <v>Global</v>
      </c>
      <c r="F19" s="11">
        <v>2500</v>
      </c>
      <c r="G19" s="11">
        <v>50000</v>
      </c>
      <c r="H19" s="11">
        <f>SUM(G19:G20)</f>
      </c>
      <c r="I19" s="11" t="str">
        <v>Number of people trained (capacity sharing for development)</v>
      </c>
    </row>
    <row r="20" ht="50" customHeight="1">
      <c r="A20" s="11" t="str">
        <v>AOW03</v>
      </c>
      <c r="C20" s="11" t="str">
        <v>Number of methodologies co-developed</v>
      </c>
      <c r="D20" s="11" t="str">
        <v>Number of innovations (innovation development)</v>
      </c>
      <c r="E20" s="11" t="str">
        <v>Country: Nigeria, Niger, Ethiopia, Mali, Kenya</v>
      </c>
      <c r="F20" s="11">
        <v>3</v>
      </c>
      <c r="G20" s="11">
        <v>25000</v>
      </c>
      <c r="I20" s="11" t="str">
        <v xml:space="preserve">CA103_ILRI: Toolbox on LLA methods: Factsheets on three LLA methods implemented for P-PD and Living Labs (family/household based F2F field days for gender equity and social inclusion, citizen science as an empowering tool for farming families, inclusive  </v>
      </c>
    </row>
    <row r="21" ht="50" customHeight="1">
      <c r="A21" s="11" t="str">
        <v>AOW03</v>
      </c>
      <c r="B21" s="11" t="str">
        <v>3.1.3 &amp; 3.2.1 Guidelines on scaling  and implementing climate solutions and processes</v>
      </c>
      <c r="C21" s="11" t="str">
        <v>Number of guidelines on scaling and implementing climate solutions procuded and communicated</v>
      </c>
      <c r="D21" s="11" t="str">
        <v>Number of knowledge products</v>
      </c>
      <c r="E21" s="11" t="str">
        <v>Country: China, Brazil, Nigeria, Kenya, Tanzania, United Republic, India</v>
      </c>
      <c r="F21" s="11">
        <v>2</v>
      </c>
      <c r="G21" s="11">
        <v>61250</v>
      </c>
      <c r="H21" s="11">
        <f>SUM(G21:G21)</f>
      </c>
      <c r="I21" s="11" t="str">
        <v>guidelines on scaling and implementing climate solutions produced and communicated</v>
      </c>
    </row>
    <row r="22" ht="50" customHeight="1">
      <c r="A22" s="11" t="str">
        <v>AOW03</v>
      </c>
      <c r="B22" s="11" t="str">
        <v>3.1.4 &amp; 3.2.3 Recommendations on policies  and institutions for addressing the root causes of inequality</v>
      </c>
      <c r="C22" s="11" t="str">
        <v>Number of recommendations/solutions co-developed with local stakeholders</v>
      </c>
      <c r="D22" s="11" t="str">
        <v>Number of knowledge products</v>
      </c>
      <c r="E22" s="11" t="str">
        <v>Country: Nigeria, Bangladesh, Tanzania, United Republic, Kenya</v>
      </c>
      <c r="F22" s="11">
        <v>1</v>
      </c>
      <c r="G22" s="11">
        <v>16250</v>
      </c>
      <c r="H22" s="11">
        <f>SUM(G22:G22)</f>
      </c>
      <c r="I22" s="11" t="str">
        <v xml:space="preserve">CA98_ILRI: Pastoral-specific recommendations will be amplified and shared in global and regional forums to increase the development focus on climate and complex challenges such as conflict that often occur in drylands. Pastoral agency through co-creation </v>
      </c>
    </row>
    <row r="23" ht="50" customHeight="1">
      <c r="A23" s="11" t="str">
        <v>AOW03</v>
      </c>
      <c r="B23" s="11" t="str">
        <v xml:space="preserve">3.2.2 Framework and methods for addressing negative outcomes of adaptation </v>
      </c>
      <c r="C23" s="11" t="str">
        <v>Number of framework/methods developed</v>
      </c>
      <c r="D23" s="11" t="str">
        <v>Number of innovations (innovation development)</v>
      </c>
      <c r="E23" s="11" t="str">
        <v>Country: Bangladesh, Kenya, Tanzania, United Republic</v>
      </c>
      <c r="F23" s="11">
        <v>2</v>
      </c>
      <c r="G23" s="11">
        <v>56250</v>
      </c>
      <c r="H23" s="11">
        <f>SUM(G23:G23)</f>
      </c>
      <c r="I23" s="11" t="str">
        <v>CA98_ILRI: Participatory action research and robust mixed methods approaches will improve metrics and measurement to better understand intersectionality and its implications for climate vulnerability and resilience capacities. Diagnostic tools and approac</v>
      </c>
    </row>
    <row r="24" ht="25" customHeight="1">
      <c r="B24" s="15" t="str">
        <v>HLO budget subtotal</v>
      </c>
      <c r="H24" s="15">
        <f>SUM(H17:H23)</f>
      </c>
    </row>
    <row r="25" ht="50" customHeight="1" xml:space="preserve">
      <c r="A25" s="13" t="str">
        <v>AOW04</v>
      </c>
      <c r="B25" s="11" t="str">
        <v>4.1.1 &amp; 4.2.1 Evidence and partnerships to inform low-emission development</v>
      </c>
      <c r="C25" s="11" t="str">
        <v>Number of low-emission strategies across production systems co-developed with partners</v>
      </c>
      <c r="D25" s="11" t="str">
        <v>Number of innovations (innovation development)</v>
      </c>
      <c r="E25" s="11" t="str">
        <v>Country: Ghana, Philippines, Tanzania, United Republic, Egypt, India, Colombia</v>
      </c>
      <c r="F25" s="11">
        <v>7</v>
      </c>
      <c r="G25" s="11">
        <v>150000</v>
      </c>
      <c r="H25" s="11">
        <f>SUM(G25:G25)</f>
      </c>
      <c r="I25" s="11" t="str" xml:space="preserve">
        <v xml:space="preserve">CA91_ILRI: "Animal Health and Feed Interventions
Evidence from controlled and on-farm trials quantifying how improved animal health and targeted feed supplementation reduce methane intensity while boosting milk and meat yields. Outputs will inform investm</v>
      </c>
    </row>
    <row r="26" ht="50" customHeight="1">
      <c r="A26" s="11" t="str">
        <v>AOW04</v>
      </c>
      <c r="B26" s="11" t="str">
        <v>4.2.4 &amp; 4.3.3 &amp; 4.4.1 Tools and approaches for monitoring, reporting and verification (MRV)</v>
      </c>
      <c r="C26" s="11" t="str">
        <v>Critical capabilities: Number of CGIAR Centers/projects supported with GHG and MRV advisory services</v>
      </c>
      <c r="D26" s="11" t="str">
        <v xml:space="preserve"> Number of engagements</v>
      </c>
      <c r="E26" s="11" t="str">
        <v>Global</v>
      </c>
      <c r="F26" s="11">
        <v>4</v>
      </c>
      <c r="G26" s="11">
        <v>40000</v>
      </c>
      <c r="H26" s="11">
        <f>SUM(G26:G30)</f>
      </c>
      <c r="I26" s="11" t="str">
        <v>Providing on-demand technical advisory services to Centers and Programs on sampling design, data collection, QA/QC, methodology and GHG emissions estimation to meet specific funder, policy, or carbon market requirements.</v>
      </c>
    </row>
    <row r="27" ht="50" customHeight="1">
      <c r="A27" s="11" t="str">
        <v>AOW04</v>
      </c>
      <c r="C27" s="11" t="str">
        <v>Critical capabilities: Number of people trained on MRV</v>
      </c>
      <c r="D27" s="11" t="str">
        <v>Number of people trained (capacity sharing for development)</v>
      </c>
      <c r="E27" s="11" t="str">
        <v>Global</v>
      </c>
      <c r="F27" s="11">
        <v>35</v>
      </c>
      <c r="G27" s="11">
        <v>40000</v>
      </c>
      <c r="I27" s="11" t="str">
        <v>Delivery of technical workshops, trainings and educational resources for researchers and partners, focusing on practical GHG measurement strategies, QA/QC procedures, data collection and interpretation, and the application of standardized MRV tools.</v>
      </c>
    </row>
    <row r="28" ht="50" customHeight="1">
      <c r="A28" s="11" t="str">
        <v>AOW04</v>
      </c>
      <c r="C28" s="11" t="str">
        <v>Critical capabilities: Number of MRV tools/approaches for low-emission farming developed</v>
      </c>
      <c r="D28" s="11" t="str">
        <v>Number of innovations (innovation development)</v>
      </c>
      <c r="E28" s="11" t="str">
        <v>Global</v>
      </c>
      <c r="F28" s="11">
        <v>8</v>
      </c>
      <c r="G28" s="11">
        <v>110000</v>
      </c>
      <c r="I28" s="11" t="str">
        <v>Standardized GHG measurement methods and MRV guidance development to ensure consistent, high-integrity GHG estimation across diverse food and land systems.</v>
      </c>
    </row>
    <row r="29" ht="50" customHeight="1">
      <c r="A29" s="11" t="str">
        <v>AOW04</v>
      </c>
      <c r="C29" s="11" t="str">
        <v>Number of MRV tools/approaches for low-emission farming developed</v>
      </c>
      <c r="D29" s="11" t="str">
        <v>Number of innovations (innovation development)</v>
      </c>
      <c r="E29" s="11" t="str">
        <v>Country: Colombia, Ghana, India, Zambia, Egypt, Nigeria, Kenya</v>
      </c>
      <c r="F29" s="11">
        <v>2</v>
      </c>
      <c r="G29" s="11">
        <v>75000</v>
      </c>
      <c r="I29" s="11" t="str">
        <v>CA117_ILRI: Transparent and Cost-Effective MRV Systems for Mitigation Options Across Food Systems</v>
      </c>
    </row>
    <row r="30" ht="50" customHeight="1">
      <c r="A30" s="11" t="str">
        <v>AOW04</v>
      </c>
      <c r="C30" s="11" t="str">
        <v>Number of people trained on MRV</v>
      </c>
      <c r="D30" s="11" t="str">
        <v>Number of people trained (capacity sharing for development)</v>
      </c>
      <c r="E30" s="11" t="str">
        <v>Country: Brazil, Mali, Kenya, Colombia</v>
      </c>
      <c r="F30" s="11">
        <v>20</v>
      </c>
      <c r="G30" s="11">
        <v>50000</v>
      </c>
      <c r="I30" s="11" t="str">
        <v>CA117_ILRI	Build institutional and technical capacity of partners for MRV implementation, enabling carbon projects and low-emissions livestock investments by 2030.</v>
      </c>
    </row>
    <row r="31" ht="25" customHeight="1">
      <c r="B31" s="15" t="str">
        <v>HLO budget subtotal</v>
      </c>
      <c r="H31" s="15">
        <f>SUM(H25:H30)</f>
      </c>
    </row>
    <row r="32" ht="50" customHeight="1">
      <c r="A32" s="13" t="str">
        <v>AOW05</v>
      </c>
      <c r="B32" s="11" t="str">
        <v xml:space="preserve">5.2.2 &amp; 5.3.1 Analytical tools and frameworks on climate finance </v>
      </c>
      <c r="C32" s="11" t="str">
        <v>Number of evidence/synthesis products/reports and communication materials on climate finance</v>
      </c>
      <c r="D32" s="11" t="str">
        <v>Number of knowledge products</v>
      </c>
      <c r="E32" s="11" t="str">
        <v>Country: Senegal, Guatemala, Ethiopia, Kenya, Colombia, India, Pakistan</v>
      </c>
      <c r="F32" s="11">
        <v>1</v>
      </c>
      <c r="G32" s="11">
        <v>30000</v>
      </c>
      <c r="H32" s="11">
        <f>SUM(G32:G32)</f>
      </c>
      <c r="I32" s="11" t="str">
        <v>CA81_ILRI: In 2026, publish a review synthesizing evidence on animal heat stress effects on productivity and methane intensity, present case studies on climate finance for livestock heat stress, and identify data gaps for product design in Kenya. In 2027,</v>
      </c>
    </row>
    <row r="33" ht="50" customHeight="1" xml:space="preserve">
      <c r="A33" s="11" t="str">
        <v>AOW05</v>
      </c>
      <c r="B33" s="11" t="str">
        <v>5.2.5 &amp; 5.3.4 Carbon market frameworks</v>
      </c>
      <c r="C33" s="11" t="str">
        <v>Critical capabilities: Number of carbon market framework elements developed that benefit smallholder women and men farmers</v>
      </c>
      <c r="D33" s="11" t="str">
        <v>Number of innovations (innovation development)</v>
      </c>
      <c r="E33" s="11" t="str">
        <v>Global</v>
      </c>
      <c r="F33" s="11">
        <v>1</v>
      </c>
      <c r="G33" s="11">
        <v>55000</v>
      </c>
      <c r="H33" s="11">
        <f>SUM(G33:G34)</f>
      </c>
      <c r="I33" s="11" t="str" xml:space="preserve">
        <v xml:space="preserve">"Carbon markets are potential drivers for channeling climate finance to LMIC livestock sectors. However, while carbon markets represent an alluring opportunity for flowing climate finance to livestock sectors, they are also uncharted territory as institutional innovations, with widely-acknowledged risks and barriers that need to be addressed before to realize their potential. There is little research on how governance models of carbon projects constitute the “market” part of carbon markets. Carbon markets will only become drivers of sustainable development if they can engage and reward livestock keepers in ways that keep them incentivized to implement MRV-certified practices. 
This critical capability activity will analyse across the CGIAR portfolio, Climate Action Program, and the wider evidence base to develop an assessment of governance and inclusion challenges and opportunities in carbon market engagement. This capability will synthesize lessons on transparency, producer engagement, and benefit sharing, complementing other CGIAR activities on MRV and high-level economic modeling relating to carbon markets. Findings from this activity will be synthesized into guidelines that Climate Action, other Programs and Centers can use when designing or supporting diverse carbon market projects. 
"</v>
      </c>
    </row>
    <row r="34" ht="50" customHeight="1">
      <c r="A34" s="11" t="str">
        <v>AOW05</v>
      </c>
      <c r="C34" s="11" t="str">
        <v>Number of carbon market framework elements developed that benefit smallholder women and men farmer</v>
      </c>
      <c r="D34" s="11" t="str">
        <v>Number of innovations (innovation development)</v>
      </c>
      <c r="E34" s="11" t="str">
        <v>Global</v>
      </c>
      <c r="F34" s="11">
        <v>1</v>
      </c>
      <c r="G34" s="11">
        <v>30000</v>
      </c>
      <c r="I34" s="11" t="str">
        <v>CA81_ILRI: "Carbon finance framework for women dairy farmers using household biogas digester in Kenya, piloted with our scaling partners ABPPL and ABC; includes decision and cost-benefit tools for carbon market finance for smallholder dairy biodigester ve</v>
      </c>
    </row>
    <row r="35" ht="25" customHeight="1">
      <c r="B35" s="15" t="str">
        <v>HLO budget subtotal</v>
      </c>
      <c r="H35" s="15">
        <f>SUM(H32:H34)</f>
      </c>
    </row>
  </sheetData>
  <mergeCells count="29">
    <mergeCell ref="A1:A2"/>
    <mergeCell ref="B1:B2"/>
    <mergeCell ref="C1:G1"/>
    <mergeCell ref="H1:H2"/>
    <mergeCell ref="I1:I2"/>
    <mergeCell ref="B3:B4"/>
    <mergeCell ref="H3:H4"/>
    <mergeCell ref="B7:B9"/>
    <mergeCell ref="H7:H9"/>
    <mergeCell ref="B10:G10"/>
    <mergeCell ref="A3:A10"/>
    <mergeCell ref="B13:B15"/>
    <mergeCell ref="H13:H15"/>
    <mergeCell ref="B16:G16"/>
    <mergeCell ref="A11:A16"/>
    <mergeCell ref="B17:B18"/>
    <mergeCell ref="H17:H18"/>
    <mergeCell ref="B19:B20"/>
    <mergeCell ref="H19:H20"/>
    <mergeCell ref="B24:G24"/>
    <mergeCell ref="A17:A24"/>
    <mergeCell ref="B26:B30"/>
    <mergeCell ref="H26:H30"/>
    <mergeCell ref="B31:G31"/>
    <mergeCell ref="A25:A31"/>
    <mergeCell ref="B33:B34"/>
    <mergeCell ref="H33:H34"/>
    <mergeCell ref="B35:G35"/>
    <mergeCell ref="A32:A35"/>
  </mergeCells>
  <ignoredErrors>
    <ignoredError numberStoredAsText="1" sqref="A1:I35"/>
  </ignoredErrors>
</worksheet>
</file>

<file path=xl/worksheets/sheet4.xml><?xml version="1.0" encoding="utf-8"?>
<worksheet xmlns="http://schemas.openxmlformats.org/spreadsheetml/2006/main" xmlns:r="http://schemas.openxmlformats.org/officeDocument/2006/relationships">
  <dimension ref="A1:F10"/>
  <sheetViews>
    <sheetView workbookViewId="0"/>
  </sheetViews>
  <cols>
    <col min="1" max="1" width="8.83203125" customWidth="1"/>
    <col min="2" max="2" width="40.83203125" customWidth="1"/>
    <col min="3" max="3" width="60.83203125" customWidth="1"/>
    <col min="4" max="4" width="30.83203125" customWidth="1"/>
    <col min="5" max="5" width="15.83203125" customWidth="1"/>
  </cols>
  <sheetData>
    <row r="1" ht="30" customHeight="1">
      <c r="A1" s="8" t="str">
        <v>AOW</v>
      </c>
      <c r="B1" s="8" t="str">
        <v>Partner</v>
      </c>
      <c r="C1" s="8" t="str">
        <v>High level outputs</v>
      </c>
      <c r="D1" s="8" t="str">
        <v>Geographic location</v>
      </c>
      <c r="E1" s="8" t="str">
        <v>Total Budget (USD)</v>
      </c>
      <c r="F1" s="8" t="str">
        <v>Budeget Assumptions</v>
      </c>
    </row>
    <row r="2" ht="70" customHeight="1">
      <c r="A2" s="12" t="str">
        <v>AOW01</v>
      </c>
      <c r="B2" s="11" t="str">
        <v>African Group of Negotiators Expert Support</v>
      </c>
      <c r="C2" s="11" t="str">
        <v>1.1.2. Frameworks, strategies and tools for vulnerability root causes, climate justice pathways, 1.1.3 &amp; 1.3.2 Harmonized data, simulations, insights and decision support tools, 1.3.3 Strategic engagements with global climate bodies</v>
      </c>
      <c r="D2" s="11" t="str">
        <v>Kenya</v>
      </c>
      <c r="E2" s="11">
        <v>30000</v>
      </c>
      <c r="F2" s="11" t="str">
        <v>None</v>
      </c>
    </row>
    <row r="3" ht="25" customHeight="1">
      <c r="B3" s="14" t="str">
        <v>Contracted partners subtotal</v>
      </c>
      <c r="E3" s="14">
        <f>SUM(E2:E2)</f>
      </c>
    </row>
    <row r="4" ht="70" customHeight="1">
      <c r="A4" s="12" t="str">
        <v>AOW02</v>
      </c>
      <c r="B4" s="11" t="str">
        <v>Crea2Sol Pvt Ltd</v>
      </c>
      <c r="C4" s="11" t="str">
        <v>2.1.1 &amp; 2.2.1 Climate information products and services</v>
      </c>
      <c r="D4" s="11" t="str">
        <v>India</v>
      </c>
      <c r="E4" s="11">
        <v>25000</v>
      </c>
      <c r="F4" s="11" t="str">
        <v>None</v>
      </c>
    </row>
    <row r="5" ht="25" customHeight="1">
      <c r="B5" s="14" t="str">
        <v>Contracted partners subtotal</v>
      </c>
      <c r="E5" s="14">
        <f>SUM(E4:E4)</f>
      </c>
    </row>
    <row r="6" ht="70" customHeight="1">
      <c r="A6" s="12" t="str">
        <v>AOW03</v>
      </c>
      <c r="B6" s="11" t="str">
        <v>GROOTS Kenya</v>
      </c>
      <c r="C6" s="11" t="str">
        <v>3.1.1. Institutional innovations and technical practices, 3.1.3 &amp; 3.2.1 Guidelines on scaling  and implementing climate solutions and processes, 3.2.2 Framework and methods for addressing negative outcomes of adaptation, 3.1.4 &amp; 3.2.3 Recommendations on policies  and institutions for addressing the root causes of inequality</v>
      </c>
      <c r="D6" s="11" t="str">
        <v>Kenya</v>
      </c>
      <c r="E6" s="11">
        <v>15000</v>
      </c>
      <c r="F6" s="11" t="str">
        <v>None</v>
      </c>
    </row>
    <row r="7" ht="25" customHeight="1">
      <c r="B7" s="14" t="str">
        <v>Contracted partners subtotal</v>
      </c>
      <c r="E7" s="14">
        <f>SUM(E6:E6)</f>
      </c>
    </row>
    <row r="8" ht="70" customHeight="1">
      <c r="A8" s="12" t="str">
        <v>AOW05</v>
      </c>
      <c r="B8" s="11" t="str">
        <v>GROOTS Kenya</v>
      </c>
      <c r="C8" s="11" t="str">
        <v>5.2.5 &amp; 5.3.4 Carbon market frameworks, 5.2.3. &amp; 5.3.2 Private sector climate finance models, 5.2.2 &amp; 5.3.1 Analytical tools and frameworks on climate finance</v>
      </c>
      <c r="D8" s="11" t="str">
        <v>Kenya</v>
      </c>
      <c r="E8" s="11">
        <v>0</v>
      </c>
    </row>
    <row r="9" ht="70" customHeight="1">
      <c r="A9" s="11" t="str">
        <v>AOW05</v>
      </c>
      <c r="B9" s="11" t="str">
        <v>African Group of Negotiators Expert Support</v>
      </c>
      <c r="C9" s="11" t="str">
        <v>5.2.2 &amp; 5.3.1 Analytical tools and frameworks on climate finance, 5.1.1 &amp; 5.2.1 Evidence and tools for climate policies and institutions</v>
      </c>
      <c r="D9" s="11" t="str">
        <v>Kenya</v>
      </c>
      <c r="E9" s="11">
        <v>0</v>
      </c>
    </row>
    <row r="10" ht="25" customHeight="1">
      <c r="B10" s="14" t="str">
        <v>Contracted partners subtotal</v>
      </c>
      <c r="E10" s="14">
        <f>SUM(E8:E9)</f>
      </c>
    </row>
  </sheetData>
  <mergeCells count="8">
    <mergeCell ref="B3:D3"/>
    <mergeCell ref="A2:A3"/>
    <mergeCell ref="B5:D5"/>
    <mergeCell ref="A4:A5"/>
    <mergeCell ref="B7:D7"/>
    <mergeCell ref="A6:A7"/>
    <mergeCell ref="B10:D10"/>
    <mergeCell ref="A8:A10"/>
  </mergeCells>
  <ignoredErrors>
    <ignoredError numberStoredAsText="1" sqref="A1:F10"/>
  </ignoredErrors>
</worksheet>
</file>

<file path=xl/worksheets/sheet5.xml><?xml version="1.0" encoding="utf-8"?>
<worksheet xmlns="http://schemas.openxmlformats.org/spreadsheetml/2006/main" xmlns:r="http://schemas.openxmlformats.org/officeDocument/2006/relationships">
  <dimension ref="A1:F7"/>
  <sheetViews>
    <sheetView workbookViewId="0"/>
  </sheetViews>
  <cols>
    <col min="1" max="1" width="41.6640625" customWidth="1"/>
    <col min="2" max="2" width="10.00390625" customWidth="1"/>
    <col min="3" max="3" width="58.33203125" customWidth="1"/>
    <col min="4" max="4" width="16.6640625" customWidth="1"/>
    <col min="5" max="5" width="20.00390625" customWidth="1"/>
  </cols>
  <sheetData>
    <row r="1" ht="75" customHeight="1">
      <c r="A1" s="16" t="str">
        <v>Project title</v>
      </c>
      <c r="B1" s="17" t="str">
        <v>AOW</v>
      </c>
      <c r="C1" s="17" t="str">
        <v>High Level Outputs</v>
      </c>
      <c r="D1" s="17" t="str">
        <v>Budget (USD)</v>
      </c>
      <c r="E1" s="17" t="str">
        <v>Total budget (USD)</v>
      </c>
      <c r="F1" s="17" t="str">
        <v>Budget Assumptions</v>
      </c>
    </row>
    <row r="2" ht="30" customHeight="1">
      <c r="A2" s="18" t="str">
        <v>L-CIA023-Accelerating Impacts of CGIAR Climate Research for Africa II</v>
      </c>
      <c r="B2" s="19" t="str">
        <v>AOW00</v>
      </c>
      <c r="C2" s="18" t="str">
        <v>New finance for just climate action and transitions</v>
      </c>
      <c r="D2" s="19">
        <v>0</v>
      </c>
      <c r="E2" s="19" t="str">
        <f>=SUM(D2:D6)</f>
        <v>0</v>
      </c>
    </row>
    <row r="3" ht="30" customHeight="1">
      <c r="A3" s="18" t="str">
        <v>L-CIA023-Accelerating Impacts of CGIAR Climate Research for Africa II</v>
      </c>
      <c r="B3" s="19" t="str">
        <v>AOW05</v>
      </c>
      <c r="C3" s="18" t="str">
        <v>5.2. Enhanced capacity for designing, implementing and tracking climate policies, projects and financing</v>
      </c>
      <c r="D3" s="19">
        <v>0</v>
      </c>
    </row>
    <row r="4" ht="30" customHeight="1">
      <c r="A4" s="18" t="str">
        <v>L-CIA023-Accelerating Impacts of CGIAR Climate Research for Africa II</v>
      </c>
      <c r="B4" s="19" t="str">
        <v>AOW01</v>
      </c>
      <c r="C4" s="18" t="str">
        <v>1.1.1. &amp; 1.2.1 &amp; 1.3.1 Global and regional partnerships</v>
      </c>
      <c r="D4" s="19">
        <v>0</v>
      </c>
    </row>
    <row r="5" ht="30" customHeight="1">
      <c r="A5" s="18" t="str">
        <v>L-CIA023-Accelerating Impacts of CGIAR Climate Research for Africa II</v>
      </c>
      <c r="B5" s="19" t="str">
        <v>AOW02</v>
      </c>
      <c r="C5" s="18" t="str">
        <v>2.1.1 &amp; 2.2.1 Climate information products and services</v>
      </c>
      <c r="D5" s="19">
        <v>0</v>
      </c>
    </row>
    <row r="6" ht="30" customHeight="1">
      <c r="A6" s="18" t="str">
        <v>L-CIA023-Accelerating Impacts of CGIAR Climate Research for Africa II</v>
      </c>
      <c r="B6" s="19" t="str">
        <v>AOW03</v>
      </c>
      <c r="C6" s="18" t="str">
        <v>3.1.1. Institutional innovations and technical practices</v>
      </c>
      <c r="D6" s="19">
        <v>0</v>
      </c>
    </row>
    <row r="7" ht="30" customHeight="1">
      <c r="A7" s="3" t="str">
        <v>W3/Bilateral projects subtotal</v>
      </c>
      <c r="E7" s="3">
        <f>SUM(E2:E6)</f>
      </c>
    </row>
  </sheetData>
  <mergeCells count="3">
    <mergeCell ref="A2:A6"/>
    <mergeCell ref="E2:E6"/>
    <mergeCell ref="A7:D7"/>
  </mergeCells>
  <ignoredErrors>
    <ignoredError numberStoredAsText="1" sqref="A1:F7"/>
  </ignoredErrors>
</worksheet>
</file>

<file path=xl/worksheets/sheet6.xml><?xml version="1.0" encoding="utf-8"?>
<worksheet xmlns="http://schemas.openxmlformats.org/spreadsheetml/2006/main" xmlns:r="http://schemas.openxmlformats.org/officeDocument/2006/relationships">
  <dimension ref="A1:F4"/>
  <sheetViews>
    <sheetView workbookViewId="0"/>
  </sheetViews>
  <cols>
    <col min="1" max="1" width="41.6640625" customWidth="1"/>
    <col min="2" max="2" width="10.00390625" customWidth="1"/>
    <col min="3" max="3" width="58.33203125" customWidth="1"/>
    <col min="4" max="4" width="16.6640625" customWidth="1"/>
    <col min="5" max="5" width="20.00390625" customWidth="1"/>
  </cols>
  <sheetData>
    <row r="1" ht="75" customHeight="1">
      <c r="A1" s="16" t="str">
        <v>MELIA study</v>
      </c>
      <c r="B1" s="16" t="str">
        <v>AOW</v>
      </c>
      <c r="C1" s="16" t="str">
        <v>Supported outcomes</v>
      </c>
      <c r="D1" s="16" t="str">
        <v>AOW budget (USD)</v>
      </c>
      <c r="E1" s="16" t="str">
        <v>Total budget (USD)</v>
      </c>
      <c r="F1" s="16" t="str">
        <v>Budget Assumptions</v>
      </c>
    </row>
    <row r="2" ht="30" customHeight="1">
      <c r="A2" s="18" t="str">
        <v>MELIA study with Alliance on how CGIAR submissions over past years have been incorporated into UNFCCC negotiated text</v>
      </c>
      <c r="B2" s="19" t="str">
        <v>AOW00</v>
      </c>
      <c r="C2" s="18" t="str">
        <v>New finance for just climate action and transitions</v>
      </c>
      <c r="D2" s="19">
        <v>0</v>
      </c>
      <c r="E2" s="19" t="str">
        <f>=SUM(D2:D3)</f>
        <v>0</v>
      </c>
    </row>
    <row r="3" ht="30" customHeight="1">
      <c r="A3" s="18" t="str">
        <v>MELIA study with Alliance on how CGIAR submissions over past years have been incorporated into UNFCCC negotiated text</v>
      </c>
      <c r="B3" s="19" t="str">
        <v>AOW01</v>
      </c>
      <c r="C3" s="18" t="str">
        <v>1.3. Informed high-level and global climate processes and negotiations</v>
      </c>
      <c r="D3" s="19">
        <v>35000</v>
      </c>
      <c r="F3" s="19" t="str">
        <v>None</v>
      </c>
    </row>
    <row r="4" ht="30" customHeight="1">
      <c r="A4" s="3" t="str">
        <v>MELIA Studies Budget subtotal</v>
      </c>
      <c r="E4" s="3">
        <f>SUM(E2:E3)</f>
      </c>
    </row>
  </sheetData>
  <mergeCells count="3">
    <mergeCell ref="A2:A3"/>
    <mergeCell ref="E2:E3"/>
    <mergeCell ref="A4:D4"/>
  </mergeCells>
  <ignoredErrors>
    <ignoredError numberStoredAsText="1" sqref="A1:F4"/>
  </ignoredErrors>
</worksheet>
</file>

<file path=xl/worksheets/sheet7.xml><?xml version="1.0" encoding="utf-8"?>
<worksheet xmlns="http://schemas.openxmlformats.org/spreadsheetml/2006/main" xmlns:r="http://schemas.openxmlformats.org/officeDocument/2006/relationships">
  <dimension ref="A1:H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10.83203125" customWidth="1"/>
    <col min="8" max="8" width="20.83203125" customWidth="1"/>
  </cols>
  <sheetData>
    <row r="1" ht="25" customHeight="1">
      <c r="A1" s="3" t="str">
        <v>Main Accounts</v>
      </c>
      <c r="B1" s="3" t="str">
        <v>AOW00</v>
      </c>
      <c r="C1" s="3" t="str">
        <v>AOW01</v>
      </c>
      <c r="D1" s="3" t="str">
        <v>AOW02</v>
      </c>
      <c r="E1" s="3" t="str">
        <v>AOW03</v>
      </c>
      <c r="F1" s="3" t="str">
        <v>AOW04</v>
      </c>
      <c r="G1" s="3" t="str">
        <v>AOW05</v>
      </c>
      <c r="H1" s="3" t="str">
        <v>Total budget (USD)</v>
      </c>
    </row>
    <row r="2" ht="20" customHeight="1">
      <c r="A2" s="20" t="str">
        <v>Collaborators non-CGIAR centers</v>
      </c>
      <c r="B2" s="20">
        <v>0</v>
      </c>
      <c r="C2" s="20">
        <v>120000</v>
      </c>
      <c r="D2" s="20">
        <v>35000</v>
      </c>
      <c r="E2" s="20">
        <v>15000</v>
      </c>
      <c r="F2" s="20">
        <v>0</v>
      </c>
      <c r="G2" s="20">
        <v>11000</v>
      </c>
      <c r="H2" s="20" t="str">
        <f>=SUM(B2:G2)</f>
        <v>0</v>
      </c>
    </row>
    <row r="3" ht="20" customHeight="1">
      <c r="A3" s="20" t="str">
        <v>Operations (supplies, consultants, travels, workshops, other)</v>
      </c>
      <c r="B3" s="20">
        <v>0</v>
      </c>
      <c r="C3" s="20">
        <v>147755</v>
      </c>
      <c r="D3" s="20">
        <v>161957</v>
      </c>
      <c r="E3" s="20">
        <v>20000</v>
      </c>
      <c r="F3" s="20">
        <v>74075</v>
      </c>
      <c r="G3" s="20">
        <v>22478</v>
      </c>
      <c r="H3" s="20" t="str">
        <f>=SUM(B3:G3)</f>
        <v>0</v>
      </c>
    </row>
    <row r="4" ht="20" customHeight="1">
      <c r="A4" s="20" t="str">
        <v>Staffing, Chargebacks and Indirect</v>
      </c>
      <c r="B4" s="20">
        <v>216267</v>
      </c>
      <c r="C4" s="20">
        <v>212769</v>
      </c>
      <c r="D4" s="20">
        <v>403043</v>
      </c>
      <c r="E4" s="20">
        <v>315000</v>
      </c>
      <c r="F4" s="20">
        <v>390925</v>
      </c>
      <c r="G4" s="20">
        <v>81522</v>
      </c>
      <c r="H4" s="20" t="str">
        <f>=SUM(B4:G4)</f>
        <v>0</v>
      </c>
    </row>
    <row r="5" ht="20" customHeight="1">
      <c r="A5" s="21" t="str">
        <v>Subtotal</v>
      </c>
      <c r="B5" s="22" t="str">
        <f>=SUM(B2:B4)</f>
        <v>0</v>
      </c>
      <c r="C5" s="23" t="str">
        <f>=SUM(C2:C4)</f>
        <v>0</v>
      </c>
      <c r="D5" s="23" t="str">
        <f>=SUM(D2:D4)</f>
        <v>0</v>
      </c>
      <c r="E5" s="23" t="str">
        <f>=SUM(E2:E4)</f>
        <v>0</v>
      </c>
      <c r="F5" s="23" t="str">
        <f>=SUM(F2:F4)</f>
        <v>0</v>
      </c>
      <c r="G5" s="23" t="str">
        <f>=SUM(G2:G4)</f>
        <v>0</v>
      </c>
      <c r="H5" s="23" t="str">
        <f>=SUM(H2:H4)</f>
        <v>0</v>
      </c>
    </row>
  </sheetData>
  <ignoredErrors>
    <ignoredError numberStoredAsText="1" sqref="A1:H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7</vt:i4>
      </vt:variant>
    </vt:vector>
  </HeadingPairs>
  <TitlesOfParts>
    <vt:vector size="7" baseType="lpstr">
      <vt:lpstr>Summary</vt:lpstr>
      <vt:lpstr>Cross-Cutting</vt:lpstr>
      <vt:lpstr>HLO</vt:lpstr>
      <vt:lpstr>Partner</vt:lpstr>
      <vt:lpstr>W3-Bilateral projects</vt:lpstr>
      <vt:lpstr>MELIA</vt:lpstr>
      <vt:lpstr>Anaplan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