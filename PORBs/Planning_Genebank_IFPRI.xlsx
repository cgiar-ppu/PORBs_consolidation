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55000</v>
      </c>
      <c r="M4" s="5">
        <v>0</v>
      </c>
    </row>
    <row r="5" ht="20" customHeight="1">
      <c r="A5" s="2" t="str">
        <v>AOW01: Biodiversity Conservation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1</v>
      </c>
      <c r="E7" s="5">
        <v>50000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50000</v>
      </c>
      <c r="M7" s="5">
        <v>0</v>
      </c>
    </row>
    <row r="8" ht="20" customHeight="1">
      <c r="A8" s="2" t="str">
        <v>AOW04: Germplasm Health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55000</v>
      </c>
      <c r="E6" s="11" t="str">
        <v>Personnel costs based on standard organizational salary scales.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AOW03</v>
      </c>
      <c r="B3" s="11" t="str">
        <v xml:space="preserve">3.1. CGIAR Genebanks contributions to international negotiations </v>
      </c>
      <c r="C3" s="11" t="str">
        <v xml:space="preserve">3.1.2. Policy-related publications in peer review journals, policy briefs and or other forms of written responses to requests for inputs from negotiating bodies. </v>
      </c>
      <c r="D3" s="11" t="str">
        <v>Number of knowledge products</v>
      </c>
      <c r="E3" s="11" t="str">
        <v>Global</v>
      </c>
      <c r="F3" s="11">
        <v>1</v>
      </c>
      <c r="G3" s="11">
        <v>50000</v>
      </c>
      <c r="H3" s="11">
        <f>SUM(G3:G3)</f>
      </c>
      <c r="I3" s="11" t="str">
        <v>Personnel costs based on standard organizational salary scales.</v>
      </c>
    </row>
    <row r="4" ht="25" customHeight="1">
      <c r="B4" s="14" t="str">
        <v>HLO budget subtotal</v>
      </c>
      <c r="H4" s="15">
        <f>SUM(H3:H3)</f>
      </c>
    </row>
  </sheetData>
  <mergeCells count="7">
    <mergeCell ref="A1:A2"/>
    <mergeCell ref="B1:B2"/>
    <mergeCell ref="C1:G1"/>
    <mergeCell ref="H1:H2"/>
    <mergeCell ref="I1:I2"/>
    <mergeCell ref="B4:G4"/>
    <mergeCell ref="A3:A4"/>
  </mergeCells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 t="str">
        <f>=SUM(B2:G2)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 t="str">
        <f>=SUM(B3:G3)</f>
        <v>0</v>
      </c>
    </row>
    <row r="4" ht="20" customHeight="1">
      <c r="A4" s="18" t="str">
        <v>Staffing, Chargebacks and Indirect</v>
      </c>
      <c r="B4" s="18">
        <v>55000</v>
      </c>
      <c r="C4" s="18">
        <v>0</v>
      </c>
      <c r="D4" s="18">
        <v>0</v>
      </c>
      <c r="E4" s="18">
        <v>50000</v>
      </c>
      <c r="F4" s="18">
        <v>0</v>
      </c>
      <c r="G4" s="18">
        <v>0</v>
      </c>
      <c r="H4" s="18" t="str">
        <f>=SUM(B4:G4)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