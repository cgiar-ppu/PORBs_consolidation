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1"/>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 xml:space="preserve">AOW01: Foresight and Prioritization </v>
      </c>
      <c r="B5" s="2">
        <v>0</v>
      </c>
      <c r="C5" s="5">
        <v>0</v>
      </c>
      <c r="D5" s="2">
        <v>0</v>
      </c>
      <c r="E5" s="5">
        <v>0</v>
      </c>
      <c r="F5" s="2">
        <v>0</v>
      </c>
      <c r="G5" s="5">
        <v>0</v>
      </c>
      <c r="H5" s="2">
        <v>0</v>
      </c>
      <c r="I5" s="5">
        <v>0</v>
      </c>
      <c r="J5" s="5">
        <v>0</v>
      </c>
      <c r="K5" s="5">
        <v>0</v>
      </c>
      <c r="L5" s="5">
        <v>0</v>
      </c>
      <c r="M5" s="5">
        <v>0</v>
      </c>
    </row>
    <row r="6" ht="20" customHeight="1">
      <c r="A6" s="2" t="str">
        <v xml:space="preserve">AOW02: Market-led Food Systems Transformation </v>
      </c>
      <c r="B6" s="2">
        <v>0</v>
      </c>
      <c r="C6" s="5">
        <v>0</v>
      </c>
      <c r="D6" s="2">
        <v>0</v>
      </c>
      <c r="E6" s="5">
        <v>0</v>
      </c>
      <c r="F6" s="2">
        <v>0</v>
      </c>
      <c r="G6" s="5">
        <v>0</v>
      </c>
      <c r="H6" s="2">
        <v>40</v>
      </c>
      <c r="I6" s="5">
        <v>307827</v>
      </c>
      <c r="J6" s="5">
        <v>0</v>
      </c>
      <c r="K6" s="5">
        <v>0</v>
      </c>
      <c r="L6" s="5">
        <v>307827</v>
      </c>
      <c r="M6" s="5">
        <v>1698911</v>
      </c>
    </row>
    <row r="7" ht="20" customHeight="1">
      <c r="A7" s="2" t="str">
        <v xml:space="preserve">AOW03: Governance and Political Economy </v>
      </c>
      <c r="B7" s="2">
        <v>0</v>
      </c>
      <c r="C7" s="5">
        <v>0</v>
      </c>
      <c r="D7" s="2">
        <v>0</v>
      </c>
      <c r="E7" s="5">
        <v>0</v>
      </c>
      <c r="F7" s="2">
        <v>0</v>
      </c>
      <c r="G7" s="5">
        <v>0</v>
      </c>
      <c r="H7" s="2">
        <v>0</v>
      </c>
      <c r="I7" s="5">
        <v>0</v>
      </c>
      <c r="J7" s="5">
        <v>0</v>
      </c>
      <c r="K7" s="5">
        <v>0</v>
      </c>
      <c r="L7" s="5">
        <v>0</v>
      </c>
      <c r="M7" s="5">
        <v>0</v>
      </c>
    </row>
    <row r="8" ht="20" customHeight="1">
      <c r="A8" s="2" t="str">
        <v xml:space="preserve">AOW04: Water, Energy, Food, and Environment (WEFE) Nexus Policy </v>
      </c>
      <c r="B8" s="2">
        <v>0</v>
      </c>
      <c r="C8" s="5">
        <v>0</v>
      </c>
      <c r="D8" s="2">
        <v>0</v>
      </c>
      <c r="E8" s="5">
        <v>0</v>
      </c>
      <c r="F8" s="2">
        <v>0</v>
      </c>
      <c r="G8" s="5">
        <v>0</v>
      </c>
      <c r="H8" s="2">
        <v>0</v>
      </c>
      <c r="I8" s="5">
        <v>0</v>
      </c>
      <c r="J8" s="5">
        <v>0</v>
      </c>
      <c r="K8" s="5">
        <v>0</v>
      </c>
      <c r="L8" s="5">
        <v>0</v>
      </c>
      <c r="M8" s="5">
        <v>0</v>
      </c>
    </row>
    <row r="9" ht="20" customHeight="1">
      <c r="A9" s="2" t="str">
        <v>AOW05: Country and Regional Strategy and Engagement</v>
      </c>
      <c r="B9" s="2">
        <v>0</v>
      </c>
      <c r="C9" s="5">
        <v>0</v>
      </c>
      <c r="D9" s="2">
        <v>0</v>
      </c>
      <c r="E9" s="5">
        <v>0</v>
      </c>
      <c r="F9" s="2">
        <v>0</v>
      </c>
      <c r="G9" s="5">
        <v>0</v>
      </c>
      <c r="H9" s="2">
        <v>0</v>
      </c>
      <c r="I9" s="5">
        <v>0</v>
      </c>
      <c r="J9" s="5">
        <v>0</v>
      </c>
      <c r="K9" s="5">
        <v>0</v>
      </c>
      <c r="L9" s="5">
        <v>0</v>
      </c>
      <c r="M9" s="5">
        <v>0</v>
      </c>
    </row>
    <row r="10" ht="20" customHeight="1">
      <c r="A10" s="2" t="str">
        <v xml:space="preserve">AOW06: Global Poverty and Jobs Policy Knowledge Brokering Hub </v>
      </c>
      <c r="B10" s="2">
        <v>0</v>
      </c>
      <c r="C10" s="5">
        <v>0</v>
      </c>
      <c r="D10" s="2">
        <v>0</v>
      </c>
      <c r="E10" s="5">
        <v>0</v>
      </c>
      <c r="F10" s="2">
        <v>0</v>
      </c>
      <c r="G10" s="5">
        <v>0</v>
      </c>
      <c r="H10" s="2">
        <v>0</v>
      </c>
      <c r="I10" s="5">
        <v>0</v>
      </c>
      <c r="J10" s="5">
        <v>0</v>
      </c>
      <c r="K10" s="5">
        <v>0</v>
      </c>
      <c r="L10" s="5">
        <v>0</v>
      </c>
      <c r="M10" s="5">
        <v>0</v>
      </c>
    </row>
    <row r="11" ht="25" customHeight="1">
      <c r="A11" s="6" t="str">
        <v>Total</v>
      </c>
      <c r="B11" s="7">
        <f>SUM(B4:B10)</f>
      </c>
      <c r="C11" s="7">
        <f>SUM(C4:C10)</f>
      </c>
      <c r="D11" s="7">
        <f>SUM(D4:D10)</f>
      </c>
      <c r="E11" s="7">
        <f>SUM(E4:E10)</f>
      </c>
      <c r="F11" s="7">
        <f>SUM(F4:F10)</f>
      </c>
      <c r="G11" s="7">
        <f>SUM(G4:G10)</f>
      </c>
      <c r="H11" s="7">
        <f>SUM(H4:H10)</f>
      </c>
      <c r="I11" s="7">
        <f>SUM(I4:I10)</f>
      </c>
      <c r="J11" s="7">
        <f>SUM(J4:J10)</f>
      </c>
      <c r="K11" s="7">
        <f>SUM(K4:K10)</f>
      </c>
      <c r="L11" s="7">
        <f>SUM(L4:L10)</f>
      </c>
      <c r="M11" s="7">
        <f>SUM(M4:M10)</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1"/>
  </ignoredErrors>
</worksheet>
</file>

<file path=xl/worksheets/sheet2.xml><?xml version="1.0" encoding="utf-8"?>
<worksheet xmlns="http://schemas.openxmlformats.org/spreadsheetml/2006/main" xmlns:r="http://schemas.openxmlformats.org/officeDocument/2006/relationships">
  <dimension ref="A1:E6"/>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Director costs</v>
      </c>
      <c r="C2" s="11" t="str">
        <v/>
      </c>
      <c r="D2" s="11">
        <v>0</v>
      </c>
    </row>
    <row r="3" ht="45" customHeight="1">
      <c r="A3" s="11" t="str">
        <v>AOW00</v>
      </c>
      <c r="B3" s="11" t="str">
        <v>PMU</v>
      </c>
      <c r="C3" s="11" t="str">
        <v/>
      </c>
      <c r="D3" s="11">
        <v>0</v>
      </c>
    </row>
    <row r="4" ht="45" customHeight="1">
      <c r="A4" s="11" t="str">
        <v>AOW00</v>
      </c>
      <c r="B4" s="11" t="str">
        <v>Discretionary funds</v>
      </c>
      <c r="D4" s="11">
        <v>0</v>
      </c>
    </row>
    <row r="5" ht="45" customHeight="1">
      <c r="A5" s="11" t="str">
        <v>AOW00</v>
      </c>
      <c r="B5" s="11" t="str">
        <v>AoW Leads</v>
      </c>
      <c r="D5" s="11">
        <v>0</v>
      </c>
    </row>
    <row r="6" ht="45" customHeight="1">
      <c r="A6" s="11" t="str">
        <v>AOW00</v>
      </c>
      <c r="B6" s="11" t="str">
        <v>SO Finance Shared</v>
      </c>
      <c r="C6" s="11" t="str">
        <v>Centralized Finance</v>
      </c>
      <c r="D6" s="11">
        <v>0</v>
      </c>
    </row>
  </sheetData>
  <mergeCells count="1">
    <mergeCell ref="A2:A6"/>
  </mergeCells>
  <ignoredErrors>
    <ignoredError numberStoredAsText="1" sqref="A1:E6"/>
  </ignoredErrors>
</worksheet>
</file>

<file path=xl/worksheets/sheet3.xml><?xml version="1.0" encoding="utf-8"?>
<worksheet xmlns="http://schemas.openxmlformats.org/spreadsheetml/2006/main" xmlns:r="http://schemas.openxmlformats.org/officeDocument/2006/relationships">
  <dimension ref="A1:I8"/>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xml:space="preserve">
      <c r="A3" s="13" t="str">
        <v>AOW02</v>
      </c>
      <c r="B3" s="11" t="str">
        <v>2.1.Global Agenda Setting</v>
      </c>
      <c r="C3" s="11" t="str" xml:space="preserve">
        <v xml:space="preserve">Critical Capability - Policy Engagement to inform policy decisions - One high-level continental workshop will be organized on regional and continental rice policy. The workshop will inform decision makers on best-fit policy recommendations for rice-based sector development in Africa. The workshop will end with a call of action
</v>
      </c>
      <c r="D3" s="11" t="str">
        <v xml:space="preserve"> Policies Informed</v>
      </c>
      <c r="E3" s="11" t="str">
        <v>Regional: Africa</v>
      </c>
      <c r="F3" s="11">
        <v>5</v>
      </c>
      <c r="G3" s="11">
        <v>100933</v>
      </c>
      <c r="H3" s="11">
        <f>SUM(G3:G5)</f>
      </c>
      <c r="I3" s="11" t="str">
        <v>Partner to be added in Q1 2026</v>
      </c>
    </row>
    <row r="4" ht="50" customHeight="1">
      <c r="A4" s="11" t="str">
        <v>AOW02</v>
      </c>
      <c r="C4" s="11" t="str">
        <v>A global Policy Webinar and a seminar in Q2 to present the policy brief and report to set the agenda for rice policies in Africa and analyse the impact of India trade policy in Africa with high-level policy makers in attendance to discuss the policy recommendations. A blog summarizing the key statements from policy makers</v>
      </c>
      <c r="D4" s="11" t="str">
        <v xml:space="preserve"> Policy recommendation</v>
      </c>
      <c r="E4" s="11" t="str">
        <v>Regional: Africa</v>
      </c>
      <c r="F4" s="11">
        <v>4</v>
      </c>
      <c r="G4" s="11">
        <v>54601</v>
      </c>
      <c r="I4" s="11" t="str">
        <v>Partner to be added in Q1 2026</v>
      </c>
    </row>
    <row r="5" ht="50" customHeight="1">
      <c r="A5" s="11" t="str">
        <v>AOW02</v>
      </c>
      <c r="C5" s="11" t="str">
        <v xml:space="preserve">A policy brief and a report that aim to set the agenda for rice policies in Africa and analyse the impact of India trade policy in Africa. It describes rice trade of African countries, their rice growing potential, and give policy recommendations for countries to achieve their objectives as in the national policy agenda. The report will also  have clear policy recommendations. The 2 reports will produce 4 policy recommendations. </v>
      </c>
      <c r="D5" s="11" t="str">
        <v xml:space="preserve"> Policy Recommendation</v>
      </c>
      <c r="E5" s="11" t="str">
        <v>Regional: Africa</v>
      </c>
      <c r="F5" s="11">
        <v>4</v>
      </c>
      <c r="G5" s="11">
        <v>54602</v>
      </c>
      <c r="I5" s="11" t="str">
        <v>Partner to be added in Q1 2026</v>
      </c>
    </row>
    <row r="6" ht="50" customHeight="1">
      <c r="A6" s="11" t="str">
        <v>AOW02</v>
      </c>
      <c r="B6" s="11" t="str">
        <v>2.2.  Policy response</v>
      </c>
      <c r="C6" s="11" t="str">
        <v>7 country level policy brief (Cote 'diVoire, Nigeria, Senegal, Gambia, Kenya, Tanzania and Madagascar) that respond to country's demand to guide rice policies and investments required: Policy recommendations based on policy briefs</v>
      </c>
      <c r="D6" s="11" t="str">
        <v xml:space="preserve"> Policy recommendation</v>
      </c>
      <c r="E6" s="11" t="str">
        <v>Regional: Africa</v>
      </c>
      <c r="F6" s="11">
        <v>7</v>
      </c>
      <c r="G6" s="11">
        <v>40000</v>
      </c>
      <c r="H6" s="11">
        <f>SUM(G6:G6)</f>
      </c>
      <c r="I6" s="11" t="str">
        <v>Partner to be added in Q1 2026</v>
      </c>
    </row>
    <row r="7" ht="50" customHeight="1" xml:space="preserve">
      <c r="A7" s="11" t="str">
        <v>AOW02</v>
      </c>
      <c r="B7" s="11" t="str">
        <v>2.3. Capacity sharing activities</v>
      </c>
      <c r="C7" s="11" t="str" xml:space="preserve">
        <v xml:space="preserve">Critical Capability - Policy Engagement - A regional training will be organised on rice policy design, implementation and evaluation. Participants will also be trained on advance methods for impact assessment of research and development interventions
</v>
      </c>
      <c r="D7" s="11" t="str">
        <v xml:space="preserve"> No. of partner institutions with enhanced capacities</v>
      </c>
      <c r="E7" s="11" t="str">
        <v>Regional: Africa</v>
      </c>
      <c r="F7" s="11">
        <v>20</v>
      </c>
      <c r="G7" s="11">
        <v>57691</v>
      </c>
      <c r="H7" s="11">
        <f>SUM(G7:G7)</f>
      </c>
      <c r="I7" s="11" t="str">
        <v>Partner to be added in Q1 2026</v>
      </c>
    </row>
    <row r="8" ht="25" customHeight="1">
      <c r="B8" s="14" t="str">
        <v>HLO budget subtotal</v>
      </c>
      <c r="H8" s="15">
        <f>SUM(H3:H7)</f>
      </c>
    </row>
  </sheetData>
  <mergeCells count="9">
    <mergeCell ref="A1:A2"/>
    <mergeCell ref="B1:B2"/>
    <mergeCell ref="C1:G1"/>
    <mergeCell ref="H1:H2"/>
    <mergeCell ref="I1:I2"/>
    <mergeCell ref="B3:B5"/>
    <mergeCell ref="H3:H5"/>
    <mergeCell ref="B8:G8"/>
    <mergeCell ref="A3:A8"/>
  </mergeCells>
  <ignoredErrors>
    <ignoredError numberStoredAsText="1" sqref="A1:I8"/>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6"/>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A-HP2023-002-MasterCard - WAEMU</v>
      </c>
      <c r="B2" s="19" t="str">
        <v>AOW02</v>
      </c>
      <c r="C2" s="18" t="str">
        <v>2.2.  Policy response</v>
      </c>
      <c r="D2" s="19">
        <v>968190</v>
      </c>
      <c r="E2" s="19" t="str">
        <f>=SUM(D2:D2)</f>
        <v>0</v>
      </c>
      <c r="F2" s="19" t="str">
        <v>'</v>
      </c>
    </row>
    <row r="3" ht="30" customHeight="1">
      <c r="A3" s="18" t="str">
        <v>A-AG10185-A-AG10185-Building resilient seed systems for rice</v>
      </c>
      <c r="B3" s="19" t="str">
        <v>AOW02</v>
      </c>
      <c r="C3" s="18" t="str">
        <v>2.2.  Policy response</v>
      </c>
      <c r="D3" s="19">
        <v>449987</v>
      </c>
      <c r="E3" s="19" t="str">
        <f>=SUM(D3:D3)</f>
        <v>0</v>
      </c>
      <c r="F3" s="19" t="str">
        <v>'</v>
      </c>
    </row>
    <row r="4" ht="30" customHeight="1">
      <c r="A4" s="18" t="str">
        <v>A-HP2023-003-World Bank-Food Systems Resilience</v>
      </c>
      <c r="B4" s="19" t="str">
        <v>AOW02</v>
      </c>
      <c r="C4" s="18" t="str">
        <v>2.2.  Policy response</v>
      </c>
      <c r="D4" s="19">
        <v>280734</v>
      </c>
      <c r="E4" s="19" t="str">
        <f>=SUM(D4:D4)</f>
        <v>0</v>
      </c>
      <c r="F4" s="19" t="str">
        <v>'</v>
      </c>
    </row>
    <row r="5" ht="30" customHeight="1">
      <c r="A5" s="18" t="str">
        <v>A-AG10156 AICCRA PROJECT</v>
      </c>
      <c r="B5" s="19" t="str">
        <v>AOW01</v>
      </c>
      <c r="C5" s="18" t="str">
        <v>1.2. Policy response</v>
      </c>
      <c r="D5" s="19">
        <v>0</v>
      </c>
      <c r="E5" s="19" t="str">
        <f>=SUM(D5:D5)</f>
        <v>0</v>
      </c>
    </row>
    <row r="6" ht="30" customHeight="1">
      <c r="A6" s="3" t="str">
        <v>W3/Bilateral projects subtotal</v>
      </c>
      <c r="E6" s="3">
        <f>SUM(E2:E5)</f>
      </c>
    </row>
  </sheetData>
  <mergeCells count="1">
    <mergeCell ref="A6:D6"/>
  </mergeCells>
  <ignoredErrors>
    <ignoredError numberStoredAsText="1" sqref="A1:F6"/>
  </ignoredErrors>
</worksheet>
</file>

<file path=xl/worksheets/sheet6.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MELIA study</v>
      </c>
      <c r="B1" s="16" t="str">
        <v>AOW</v>
      </c>
      <c r="C1" s="16" t="str">
        <v>Supported outcomes</v>
      </c>
      <c r="D1" s="16" t="str">
        <v>AOW budget (USD)</v>
      </c>
      <c r="E1" s="16" t="str">
        <v>Total budget (USD)</v>
      </c>
      <c r="F1" s="16" t="str">
        <v>Budget Assumptions</v>
      </c>
    </row>
    <row r="2">
      <c r="E2" s="3">
        <f>SUM(E2:E1)</f>
      </c>
    </row>
    <row r="3">
      <c r="A3" s="2" t="str">
        <v>MELIA Studies Budget subtotal</v>
      </c>
    </row>
  </sheetData>
  <mergeCells count="1">
    <mergeCell ref="A2:D2"/>
  </mergeCells>
  <ignoredErrors>
    <ignoredError numberStoredAsText="1" sqref="A1:F3"/>
  </ignoredErrors>
</worksheet>
</file>

<file path=xl/worksheets/sheet7.xml><?xml version="1.0" encoding="utf-8"?>
<worksheet xmlns="http://schemas.openxmlformats.org/spreadsheetml/2006/main" xmlns:r="http://schemas.openxmlformats.org/officeDocument/2006/relationships">
  <dimension ref="A1:I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20.83203125" customWidth="1"/>
  </cols>
  <sheetData>
    <row r="1" ht="25" customHeight="1">
      <c r="A1" s="3" t="str">
        <v>Main Accounts</v>
      </c>
      <c r="B1" s="3" t="str">
        <v>AOW00</v>
      </c>
      <c r="C1" s="3" t="str">
        <v>AOW01</v>
      </c>
      <c r="D1" s="3" t="str">
        <v>AOW02</v>
      </c>
      <c r="E1" s="3" t="str">
        <v>AOW03</v>
      </c>
      <c r="F1" s="3" t="str">
        <v>AOW04</v>
      </c>
      <c r="G1" s="3" t="str">
        <v>AOW05</v>
      </c>
      <c r="H1" s="3" t="str">
        <v>AOW06</v>
      </c>
      <c r="I1" s="3" t="str">
        <v>Total budget (USD)</v>
      </c>
    </row>
    <row r="2" ht="20" customHeight="1">
      <c r="A2" s="20" t="str">
        <v>Collaborators non-CGIAR centers</v>
      </c>
      <c r="B2" s="20">
        <v>0</v>
      </c>
      <c r="C2" s="20">
        <v>0</v>
      </c>
      <c r="D2" s="20">
        <v>0</v>
      </c>
      <c r="E2" s="20">
        <v>0</v>
      </c>
      <c r="F2" s="20">
        <v>0</v>
      </c>
      <c r="G2" s="20">
        <v>0</v>
      </c>
      <c r="H2" s="20">
        <v>0</v>
      </c>
      <c r="I2" s="20" t="str">
        <f>=SUM(B2:H2)</f>
        <v>0</v>
      </c>
    </row>
    <row r="3" ht="20" customHeight="1">
      <c r="A3" s="20" t="str">
        <v>Operations (supplies, consultants, travels, workshops, other)</v>
      </c>
      <c r="B3" s="20">
        <v>0</v>
      </c>
      <c r="C3" s="20">
        <v>0</v>
      </c>
      <c r="D3" s="20">
        <v>155458</v>
      </c>
      <c r="E3" s="20">
        <v>0</v>
      </c>
      <c r="F3" s="20">
        <v>0</v>
      </c>
      <c r="G3" s="20">
        <v>0</v>
      </c>
      <c r="H3" s="20">
        <v>0</v>
      </c>
      <c r="I3" s="20" t="str">
        <f>=SUM(B3:H3)</f>
        <v>0</v>
      </c>
    </row>
    <row r="4" ht="20" customHeight="1">
      <c r="A4" s="20" t="str">
        <v>Staffing, Chargebacks and Indirect</v>
      </c>
      <c r="B4" s="20">
        <v>0</v>
      </c>
      <c r="C4" s="20">
        <v>0</v>
      </c>
      <c r="D4" s="20">
        <v>152369</v>
      </c>
      <c r="E4" s="20">
        <v>0</v>
      </c>
      <c r="F4" s="20">
        <v>0</v>
      </c>
      <c r="G4" s="20">
        <v>0</v>
      </c>
      <c r="H4" s="20">
        <v>0</v>
      </c>
      <c r="I4" s="20" t="str">
        <f>=SUM(B4:H4)</f>
        <v>0</v>
      </c>
    </row>
    <row r="5" ht="20" customHeight="1">
      <c r="A5" s="21" t="str">
        <v>Subtotal</v>
      </c>
      <c r="B5" s="22" t="str">
        <f>=SUM(B2:B4)</f>
        <v>0</v>
      </c>
      <c r="C5" s="23" t="str">
        <f>=SUM(C2:C4)</f>
        <v>0</v>
      </c>
      <c r="D5" s="23" t="str">
        <f>=SUM(D2:D4)</f>
        <v>0</v>
      </c>
      <c r="E5" s="23" t="str">
        <f>=SUM(E2:E4)</f>
        <v>0</v>
      </c>
      <c r="F5" s="23" t="str">
        <f>=SUM(F2:F4)</f>
        <v>0</v>
      </c>
      <c r="G5" s="23" t="str">
        <f>=SUM(G2:G4)</f>
        <v>0</v>
      </c>
      <c r="H5" s="23" t="str">
        <f>=SUM(H2:H4)</f>
        <v>0</v>
      </c>
      <c r="I5" s="23" t="str">
        <f>=SUM(I2:I4)</f>
        <v>0</v>
      </c>
    </row>
  </sheetData>
  <ignoredErrors>
    <ignoredError numberStoredAsText="1" sqref="A1:I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