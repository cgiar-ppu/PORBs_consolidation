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1</v>
      </c>
      <c r="E5" s="5">
        <v>20000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20000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5</v>
      </c>
      <c r="E7" s="5">
        <v>228000</v>
      </c>
      <c r="F7" s="2">
        <v>0</v>
      </c>
      <c r="G7" s="5">
        <v>0</v>
      </c>
      <c r="H7" s="2">
        <v>0</v>
      </c>
      <c r="I7" s="5">
        <v>0</v>
      </c>
      <c r="J7" s="5">
        <v>22000</v>
      </c>
      <c r="K7" s="5">
        <v>0</v>
      </c>
      <c r="L7" s="5">
        <v>250000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3</v>
      </c>
      <c r="I8" s="5">
        <v>57683</v>
      </c>
      <c r="J8" s="5">
        <v>0</v>
      </c>
      <c r="K8" s="5">
        <v>0</v>
      </c>
      <c r="L8" s="5">
        <v>57683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1.2.2 Evidence Synthesis and Adaptive Learning</v>
      </c>
      <c r="C3" s="11" t="str">
        <v>A structured overview of innovations across fragile, urban, and island food systems, assessing their scaling readiness and investability to guide prioritization, strengthen visibility, and attract funding and partnerships.</v>
      </c>
      <c r="D3" s="11" t="str">
        <v>Number of knowledge products</v>
      </c>
      <c r="E3" s="11" t="str">
        <v>Country: Pakistan, Philippines, Kenya, Peru, Ghana, Ethiopia, Nigeria, The Republic of the Sudan, Burkina Faso, Mali, Jordan, Papua New Guinea, Mozambique, Bangladesh</v>
      </c>
      <c r="F3" s="11">
        <v>1</v>
      </c>
      <c r="G3" s="11">
        <v>20000</v>
      </c>
      <c r="H3" s="11">
        <f>SUM(G3:G3)</f>
      </c>
      <c r="I3" s="11" t="str" xml:space="preserve">
        <v xml:space="preserve">Assumptions
-Centers and partners across FFS actively contribute information on their innovations, providing sufficient technical and contextual detail to enable good assessment.
-Donors and investors are interested in using the innovation portfolio to id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AOW03</v>
      </c>
      <c r="B5" s="11" t="str">
        <v>3.3.3 Informal food markets</v>
      </c>
      <c r="C5" s="11" t="str">
        <v>Sustainable business plan for the community food bank model and Digital platform for traceability and logistics management of rescued produce from farms</v>
      </c>
      <c r="D5" s="11" t="str">
        <v>Number of knowledge products</v>
      </c>
      <c r="E5" s="11" t="str">
        <v>Country: Peru</v>
      </c>
      <c r="F5" s="11">
        <v>2</v>
      </c>
      <c r="G5" s="11">
        <v>138000</v>
      </c>
      <c r="H5" s="11">
        <f>SUM(G5:G5)</f>
      </c>
      <c r="I5" s="11" t="str" xml:space="preserve">
        <v xml:space="preserve">Assumptions:
i) Stakeholders utilise the business plan to guide operation of the community food bank
i) Stakeholders have the capacity to effectively adopt a digital platfom for traceability and logistical management of rescued produce
</v>
      </c>
    </row>
    <row r="6" ht="50" customHeight="1" xml:space="preserve">
      <c r="A6" s="11" t="str">
        <v>AOW03</v>
      </c>
      <c r="B6" s="11" t="str">
        <v>3.4.4 Healthy diets</v>
      </c>
      <c r="C6" s="11" t="str">
        <v>Qualitative case study on the role of community kitchens in improving diet quality for vulnerable urban consumers</v>
      </c>
      <c r="D6" s="11" t="str">
        <v>Number of knowledge products</v>
      </c>
      <c r="E6" s="11" t="str">
        <v>Country: Peru</v>
      </c>
      <c r="F6" s="11">
        <v>2</v>
      </c>
      <c r="G6" s="11">
        <v>40000</v>
      </c>
      <c r="H6" s="11">
        <f>SUM(G6:G6)</f>
      </c>
      <c r="I6" s="11" t="str" xml:space="preserve">
        <v xml:space="preserve">Assumptions:
i) Community kitchens and consumers will willingly participate in the study and provide accurate accounts of their experiences and dietary habits</v>
      </c>
    </row>
    <row r="7" ht="50" customHeight="1" xml:space="preserve">
      <c r="A7" s="11" t="str">
        <v>AOW03</v>
      </c>
      <c r="B7" s="11" t="str">
        <v>3.5.5 Urban food systems governance</v>
      </c>
      <c r="C7" s="11" t="str" xml:space="preserve">
        <v xml:space="preserve">Policy document for responsible scaling of community food banks for food rescue in Lima and other intermediate cities in Peru.
</v>
      </c>
      <c r="D7" s="11" t="str">
        <v>Number of knowledge products</v>
      </c>
      <c r="E7" s="11" t="str">
        <v>Country: Peru</v>
      </c>
      <c r="F7" s="11">
        <v>1</v>
      </c>
      <c r="G7" s="11">
        <v>50000</v>
      </c>
      <c r="H7" s="11">
        <f>SUM(G7:G7)</f>
      </c>
      <c r="I7" s="11" t="str" xml:space="preserve">
        <v xml:space="preserve">Assumption:
i) Policy makers, donors and partners have interest in scaling community food banks to other cities outside Lima</v>
      </c>
    </row>
    <row r="8" ht="25" customHeight="1">
      <c r="B8" s="15" t="str">
        <v>HLO budget subtotal</v>
      </c>
      <c r="H8" s="15">
        <f>SUM(H5:H7)</f>
      </c>
    </row>
    <row r="9" ht="50" customHeight="1" xml:space="preserve">
      <c r="A9" s="13" t="str">
        <v>AOW04</v>
      </c>
      <c r="B9" s="11" t="str">
        <v>4.1.1 SUSTAINABILITY</v>
      </c>
      <c r="C9" s="11" t="str">
        <v>Critical Capability_CIP: Capacity strengthening of genebanks to conserve vegetable genetic resources</v>
      </c>
      <c r="D9" s="11" t="str">
        <v>Number of capacity sharing events with Pacific genebank operators and other national genebanks</v>
      </c>
      <c r="E9" s="11" t="str">
        <v>Country: Papua New Guinea, Timor-Leste, Solomon Islands</v>
      </c>
      <c r="F9" s="11">
        <v>3</v>
      </c>
      <c r="G9" s="11">
        <v>19228</v>
      </c>
      <c r="H9" s="11">
        <f>SUM(G9:G9)</f>
      </c>
      <c r="I9" s="11" t="str" xml:space="preserve">
        <v xml:space="preserve">Resource constraints may limit the scope or depth of technical capacity strengthening. Dependence on a small number of experts increases vulnerability if key personnel are unavailable due to turnover or competing commitments.
Variable data management syst</v>
      </c>
    </row>
    <row r="10" ht="50" customHeight="1" xml:space="preserve">
      <c r="A10" s="11" t="str">
        <v>AOW04</v>
      </c>
      <c r="B10" s="11" t="str">
        <v>4.1.4 CAPACITY</v>
      </c>
      <c r="C10" s="11" t="str">
        <v>Critical Capability_CIP: Capacity strengthening of genebanks to conserve vegetable genetic resources</v>
      </c>
      <c r="D10" s="11" t="str">
        <v>Number of capacity sharing events with Pacific genebank operators and other national genebanks</v>
      </c>
      <c r="E10" s="11" t="str">
        <v>Country: Papua New Guinea, Timor-Leste, Solomon Islands</v>
      </c>
      <c r="F10" s="11">
        <v>3</v>
      </c>
      <c r="G10" s="11">
        <v>19227</v>
      </c>
      <c r="H10" s="11">
        <f>SUM(G10:G10)</f>
      </c>
      <c r="I10" s="11" t="str" xml:space="preserve">
        <v xml:space="preserve">Resource constraints may limit the scope or depth of technical capacity strengthening. Dependence on a small number of experts increases vulnerability if key personnel are unavailable due to turnover or competing commitments.
Variable data management syst</v>
      </c>
    </row>
    <row r="11" ht="50" customHeight="1" xml:space="preserve">
      <c r="A11" s="11" t="str">
        <v>AOW04</v>
      </c>
      <c r="B11" s="11" t="str">
        <v>4.2.3 NETWORKS</v>
      </c>
      <c r="C11" s="11" t="str">
        <v>Critical Capability_CIP: Capacity strengthening of genebanks to conserve vegetable genetic resources</v>
      </c>
      <c r="D11" s="11" t="str">
        <v>Number of capacity sharing events with Pacific genebank operators and other national genebanks</v>
      </c>
      <c r="E11" s="11" t="str">
        <v>Country: Papua New Guinea, Timor-Leste, Solomon Islands</v>
      </c>
      <c r="F11" s="11">
        <v>3</v>
      </c>
      <c r="G11" s="11">
        <v>19228</v>
      </c>
      <c r="H11" s="11">
        <f>SUM(G11:G11)</f>
      </c>
      <c r="I11" s="11" t="str" xml:space="preserve">
        <v xml:space="preserve">Resource constraints may limit the scope or depth of technical capacity strengthening. Dependence on a small number of experts increases vulnerability if key personnel are unavailable due to turnover or competing commitments.
Variable data management syst</v>
      </c>
    </row>
    <row r="12" ht="25" customHeight="1">
      <c r="B12" s="15" t="str">
        <v>HLO budget subtotal</v>
      </c>
      <c r="H12" s="15">
        <f>SUM(H9:H11)</f>
      </c>
    </row>
  </sheetData>
  <mergeCells count="11">
    <mergeCell ref="A1:A2"/>
    <mergeCell ref="B1:B2"/>
    <mergeCell ref="C1:G1"/>
    <mergeCell ref="H1:H2"/>
    <mergeCell ref="I1:I2"/>
    <mergeCell ref="B4:G4"/>
    <mergeCell ref="A3:A4"/>
    <mergeCell ref="B8:G8"/>
    <mergeCell ref="A5:A8"/>
    <mergeCell ref="B12:G12"/>
    <mergeCell ref="A9:A12"/>
  </mergeCells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National Agrarian University La Molina/Universidad Nacional Agraria La Molina</v>
      </c>
      <c r="C2" s="11" t="str">
        <v>1.1.1 Envisioning Food System Futures</v>
      </c>
      <c r="D2" s="11" t="str">
        <v>Peru</v>
      </c>
      <c r="E2" s="11">
        <v>0</v>
      </c>
    </row>
    <row r="3" ht="25" customHeight="1">
      <c r="B3" s="14" t="str">
        <v>Contracted partners subtotal</v>
      </c>
      <c r="E3" s="14">
        <f>SUM(E2:E2)</f>
      </c>
    </row>
    <row r="4" ht="70" customHeight="1" xml:space="preserve">
      <c r="A4" s="12" t="str">
        <v>AOW03</v>
      </c>
      <c r="B4" s="11" t="str">
        <v>Consortium for Health, Environment, and Development / Consorcio por la Salud, Ambiente y Desarrollo</v>
      </c>
      <c r="C4" s="11" t="str">
        <v>3.3.3 Informal food markets</v>
      </c>
      <c r="D4" s="11" t="str">
        <v>Peru</v>
      </c>
      <c r="E4" s="11">
        <v>12000</v>
      </c>
      <c r="F4" s="11" t="str" xml:space="preserve">
        <v xml:space="preserve">Assumptions:
i) Stakeholders utilise the business plan to guide operation of the community food bank
i) Stakeholders have the capacity to effectively adopt a digital platfom for traceability and logistical management of rescued produce</v>
      </c>
    </row>
    <row r="5" ht="70" customHeight="1" xml:space="preserve">
      <c r="A5" s="11" t="str">
        <v>AOW03</v>
      </c>
      <c r="B5" s="11" t="str">
        <v>National Agrarian University La Molina/Universidad Nacional Agraria La Molina</v>
      </c>
      <c r="C5" s="11" t="str">
        <v>3.3.3 Informal food markets</v>
      </c>
      <c r="D5" s="11" t="str">
        <v>Peru</v>
      </c>
      <c r="E5" s="11">
        <v>10000</v>
      </c>
      <c r="F5" s="11" t="str" xml:space="preserve">
        <v xml:space="preserve">Assumptions:
i) Stakeholders utilise the business plan to guide operation of the community food bank
i) Stakeholders have the capacity to effectively adopt a digital platfom for traceability and logistical management of rescued produce</v>
      </c>
    </row>
    <row r="6" ht="25" customHeight="1">
      <c r="B6" s="14" t="str">
        <v>Contracted partners subtotal</v>
      </c>
      <c r="E6" s="14">
        <f>SUM(E4:E5)</f>
      </c>
    </row>
  </sheetData>
  <mergeCells count="4">
    <mergeCell ref="B3:D3"/>
    <mergeCell ref="A2:A3"/>
    <mergeCell ref="B6:D6"/>
    <mergeCell ref="A4:A6"/>
  </mergeCells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P-1529-UNGP-Technical Assistance for Sweetpotato processing</v>
      </c>
      <c r="B2" s="19" t="str">
        <v>AOW03</v>
      </c>
      <c r="C2" s="18" t="str">
        <v>3.3.3 Informal food markets</v>
      </c>
      <c r="D2" s="19">
        <v>0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Community Food Banks by Community Kitchens outcome stores (LIMA)</v>
      </c>
      <c r="B2" s="19" t="str">
        <v>AOW03</v>
      </c>
      <c r="C2" s="18" t="str">
        <v xml:space="preserve">  3.3 Informal food markets</v>
      </c>
      <c r="D2" s="19">
        <v>0</v>
      </c>
      <c r="E2" s="19" t="str">
        <f>=SUM(D2:D2)</f>
        <v>0</v>
      </c>
    </row>
    <row r="3" ht="30" customHeight="1">
      <c r="A3" s="3" t="str">
        <v>MELIA Studies Budget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22000</v>
      </c>
      <c r="F2" s="20">
        <v>0</v>
      </c>
      <c r="G2" s="20" t="str">
        <f>=SUM(B2:F2)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0</v>
      </c>
      <c r="E3" s="20">
        <v>0</v>
      </c>
      <c r="F3" s="20">
        <v>20000</v>
      </c>
      <c r="G3" s="20" t="str">
        <f>=SUM(B3:F3)</f>
        <v>0</v>
      </c>
    </row>
    <row r="4" ht="20" customHeight="1">
      <c r="A4" s="20" t="str">
        <v>Staffing, Chargebacks and Indirect</v>
      </c>
      <c r="B4" s="20">
        <v>0</v>
      </c>
      <c r="C4" s="20">
        <v>20000</v>
      </c>
      <c r="D4" s="20">
        <v>0</v>
      </c>
      <c r="E4" s="20">
        <v>228000</v>
      </c>
      <c r="F4" s="20">
        <v>37683</v>
      </c>
      <c r="G4" s="20" t="str">
        <f>=SUM(B4:F4)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