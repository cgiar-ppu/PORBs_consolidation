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Prioritization and Coordination of Climate Action </v>
      </c>
      <c r="B5" s="2">
        <v>3</v>
      </c>
      <c r="C5" s="5">
        <v>245301</v>
      </c>
      <c r="D5" s="2">
        <v>31</v>
      </c>
      <c r="E5" s="5">
        <v>484817</v>
      </c>
      <c r="F5" s="2">
        <v>0</v>
      </c>
      <c r="G5" s="5">
        <v>0</v>
      </c>
      <c r="H5" s="2">
        <v>17</v>
      </c>
      <c r="I5" s="5">
        <v>462134</v>
      </c>
      <c r="J5" s="5">
        <v>17391</v>
      </c>
      <c r="K5" s="5">
        <v>0</v>
      </c>
      <c r="L5" s="5">
        <v>1209643</v>
      </c>
      <c r="M5" s="5">
        <v>624890</v>
      </c>
    </row>
    <row r="6" ht="20" customHeight="1">
      <c r="A6" s="2" t="str">
        <v xml:space="preserve">AOW02: Digital Advisories and Climate Risk Management  </v>
      </c>
      <c r="B6" s="2">
        <v>0</v>
      </c>
      <c r="C6" s="5">
        <v>327168</v>
      </c>
      <c r="D6" s="2">
        <v>27</v>
      </c>
      <c r="E6" s="5">
        <v>110000</v>
      </c>
      <c r="F6" s="2">
        <v>100</v>
      </c>
      <c r="G6" s="5">
        <v>5000</v>
      </c>
      <c r="H6" s="2">
        <v>30</v>
      </c>
      <c r="I6" s="5">
        <v>165000</v>
      </c>
      <c r="J6" s="5">
        <v>55000</v>
      </c>
      <c r="K6" s="5">
        <v>125000</v>
      </c>
      <c r="L6" s="5">
        <v>787168</v>
      </c>
      <c r="M6" s="5">
        <v>9395979</v>
      </c>
    </row>
    <row r="7" ht="20" customHeight="1">
      <c r="A7" s="2" t="str">
        <v xml:space="preserve">AOW03: Locally-led Adaptation  </v>
      </c>
      <c r="B7" s="2">
        <v>0</v>
      </c>
      <c r="C7" s="5">
        <v>0</v>
      </c>
      <c r="D7" s="2">
        <v>0</v>
      </c>
      <c r="E7" s="5">
        <v>0</v>
      </c>
      <c r="F7" s="2">
        <v>0</v>
      </c>
      <c r="G7" s="5">
        <v>0</v>
      </c>
      <c r="H7" s="2">
        <v>0</v>
      </c>
      <c r="I7" s="5">
        <v>0</v>
      </c>
      <c r="J7" s="5">
        <v>0</v>
      </c>
      <c r="K7" s="5">
        <v>0</v>
      </c>
      <c r="L7" s="5">
        <v>0</v>
      </c>
      <c r="M7" s="5">
        <v>1846410</v>
      </c>
    </row>
    <row r="8" ht="20" customHeight="1">
      <c r="A8" s="2" t="str">
        <v xml:space="preserve">AOW04: Low-emission Transitions  </v>
      </c>
      <c r="B8" s="2">
        <v>10</v>
      </c>
      <c r="C8" s="5">
        <v>390000</v>
      </c>
      <c r="D8" s="2">
        <v>3</v>
      </c>
      <c r="E8" s="5">
        <v>155000</v>
      </c>
      <c r="F8" s="2">
        <v>100</v>
      </c>
      <c r="G8" s="5">
        <v>50000</v>
      </c>
      <c r="H8" s="2">
        <v>32</v>
      </c>
      <c r="I8" s="5">
        <v>90000</v>
      </c>
      <c r="J8" s="5">
        <v>0</v>
      </c>
      <c r="K8" s="5">
        <v>0</v>
      </c>
      <c r="L8" s="5">
        <v>685000</v>
      </c>
      <c r="M8" s="5">
        <v>3070361</v>
      </c>
    </row>
    <row r="9" ht="20" customHeight="1">
      <c r="A9" s="2" t="str">
        <v xml:space="preserve">AOW05: Finance and Policy for Scaling Solutions </v>
      </c>
      <c r="B9" s="2">
        <v>15</v>
      </c>
      <c r="C9" s="5">
        <v>294768</v>
      </c>
      <c r="D9" s="2">
        <v>5</v>
      </c>
      <c r="E9" s="5">
        <v>90000</v>
      </c>
      <c r="F9" s="2">
        <v>80</v>
      </c>
      <c r="G9" s="5">
        <v>110000</v>
      </c>
      <c r="H9" s="2">
        <v>23</v>
      </c>
      <c r="I9" s="5">
        <v>305000</v>
      </c>
      <c r="J9" s="5">
        <v>90000</v>
      </c>
      <c r="K9" s="5">
        <v>0</v>
      </c>
      <c r="L9" s="5">
        <v>889768</v>
      </c>
      <c r="M9" s="5">
        <v>1941152</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xml:space="preserve">
      <c r="A2" s="10" t="str">
        <v>AOW00</v>
      </c>
      <c r="B2" s="11" t="str" xml:space="preserve">
        <v xml:space="preserve">Innovation Fund
</v>
      </c>
      <c r="C2" s="11" t="str" xml:space="preserve">
        <v xml:space="preserve">Costs for Climate Action Innovation Fund
</v>
      </c>
      <c r="D2" s="11">
        <v>0</v>
      </c>
    </row>
    <row r="3" ht="45" customHeight="1">
      <c r="A3" s="11" t="str">
        <v>AOW00</v>
      </c>
      <c r="B3" s="11" t="str">
        <v>Portfolio-level Financing Support</v>
      </c>
      <c r="C3" s="11" t="str">
        <v>Funding for Portfolio-level Finance support</v>
      </c>
      <c r="D3" s="11">
        <v>0</v>
      </c>
    </row>
    <row r="4" ht="45" customHeight="1" xml:space="preserve">
      <c r="A4" s="11" t="str">
        <v>AOW00</v>
      </c>
      <c r="B4" s="11" t="str" xml:space="preserve">
        <v xml:space="preserve">Program Director and Associated Costs 
</v>
      </c>
      <c r="C4" s="11" t="str" xml:space="preserve">
        <v xml:space="preserve">Global HR, Travel, Meetings, workshops, consultants, and other Miscellaneous Costs for the Program Director
</v>
      </c>
      <c r="D4" s="11">
        <v>0</v>
      </c>
    </row>
    <row r="5" ht="45" customHeight="1" xml:space="preserve">
      <c r="A5" s="11" t="str">
        <v>AOW00</v>
      </c>
      <c r="B5" s="11" t="str" xml:space="preserve">
        <v xml:space="preserve">AoW Leadership and PMU Costs
</v>
      </c>
      <c r="C5" s="11" t="str" xml:space="preserve">
        <v xml:space="preserve">Global HR, Travel, Meetings, workshops, and other Miscellaneous Costs for the AoW Leads and PMU staff
</v>
      </c>
      <c r="D5" s="11">
        <v>0</v>
      </c>
    </row>
    <row r="6" ht="45" customHeight="1" xml:space="preserve">
      <c r="A6" s="11" t="str">
        <v>AOW00</v>
      </c>
      <c r="B6" s="11" t="str" xml:space="preserve">
        <v xml:space="preserve">Consolidating CGIAR's climate offer
</v>
      </c>
      <c r="C6" s="11" t="str">
        <v>Funding for Climate Hub packages of deliverables to be allocated to relevant Centers on defining the evidence-base for CGIAR's climate activities. These funds will be allocated to AoW1 in Q1 2026.</v>
      </c>
      <c r="D6" s="11">
        <v>0</v>
      </c>
    </row>
    <row r="7" ht="45" customHeight="1" xml:space="preserve">
      <c r="A7" s="11" t="str">
        <v>AOW00</v>
      </c>
      <c r="B7" s="11" t="str" xml:space="preserve">
        <v xml:space="preserve">Program Director Discretionary Fund 
</v>
      </c>
      <c r="C7" s="11" t="str" xml:space="preserve">
        <v xml:space="preserve">Funds accessible to the Director for emerging opportunities, gaps, and other strategic interventions.
</v>
      </c>
      <c r="D7" s="11">
        <v>0</v>
      </c>
    </row>
    <row r="8" ht="45" customHeight="1" xml:space="preserve">
      <c r="A8" s="11" t="str">
        <v>AOW00</v>
      </c>
      <c r="B8" s="11" t="str" xml:space="preserve">
        <v xml:space="preserve">Gender Focal Point and targeted research
</v>
      </c>
      <c r="C8" s="11" t="str" xml:space="preserve">
        <v xml:space="preserve">Costs for Gender Focal Point and targeted Gender research activities.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4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1.1.1. &amp; 1.2.1 &amp; 1.3.1 Global and regional partnerships</v>
      </c>
      <c r="C3" s="11" t="str">
        <v>Critical capabilities: Number of advocacy/communication materials shared</v>
      </c>
      <c r="D3" s="11" t="str">
        <v>Number of knowledge products</v>
      </c>
      <c r="E3" s="11" t="str">
        <v>Global</v>
      </c>
      <c r="F3" s="11">
        <v>2</v>
      </c>
      <c r="G3" s="11">
        <v>40000</v>
      </c>
      <c r="H3" s="11">
        <f>SUM(G3:G3)</f>
      </c>
      <c r="I3" s="11" t="str">
        <v>None</v>
      </c>
    </row>
    <row r="4" ht="50" customHeight="1">
      <c r="A4" s="11" t="str">
        <v>AOW01</v>
      </c>
      <c r="B4" s="11" t="str">
        <v>1.1.2. Frameworks, strategies and tools for vulnerability root causes, climate justice pathways</v>
      </c>
      <c r="C4" s="11" t="str">
        <v>Number of frameworks/strategies/tools developed and shared</v>
      </c>
      <c r="D4" s="11" t="str">
        <v>Number of innovations (innovation development)</v>
      </c>
      <c r="E4" s="11" t="str">
        <v>Global</v>
      </c>
      <c r="F4" s="11">
        <v>2</v>
      </c>
      <c r="G4" s="11">
        <v>44973</v>
      </c>
      <c r="H4" s="11">
        <f>SUM(G4:G4)</f>
      </c>
      <c r="I4" s="11" t="str">
        <v>CA42_CIAT	CMIP7 Bias-Correction &amp; Downscaling Pipeline – Build and validate a CMIP7-ready pipeline for hazard generation and QA/QC integration under Hub standards.Technical Blueprint &amp; Prototype for the Hub</v>
      </c>
    </row>
    <row r="5" ht="50" customHeight="1">
      <c r="A5" s="11" t="str">
        <v>AOW01</v>
      </c>
      <c r="B5" s="11" t="str">
        <v>1.1.3 &amp; 1.3.2 Harmonized data, simulations, insights and decision support tools</v>
      </c>
      <c r="C5" s="11" t="str">
        <v>Critical capabilities: Number of engagements with breeding programs</v>
      </c>
      <c r="D5" s="11" t="str">
        <v xml:space="preserve"> Number of engagements</v>
      </c>
      <c r="E5" s="11" t="str">
        <v>Global</v>
      </c>
      <c r="F5" s="11">
        <v>1</v>
      </c>
      <c r="G5" s="11">
        <v>14302</v>
      </c>
      <c r="H5" s="11">
        <f>SUM(G5:G10)</f>
      </c>
      <c r="I5" s="11" t="str">
        <v>None</v>
      </c>
    </row>
    <row r="6" ht="50" customHeight="1">
      <c r="A6" s="11" t="str">
        <v>AOW01</v>
      </c>
      <c r="C6" s="11" t="str">
        <v>Critical capabilities: Prioritization Report and Roadmap to guide the Climate Data Hub development, dataset integration priorities, and design of climate rationale and investment-support analytics.</v>
      </c>
      <c r="D6" s="11" t="str">
        <v>Number of knowledge products</v>
      </c>
      <c r="E6" s="11" t="str">
        <v>Country: Mali, Ethiopia, Philippines, Zambia, Guatemala, Ghana, Colombia, Honduras, Senegal, Kenya</v>
      </c>
      <c r="F6" s="11">
        <v>1</v>
      </c>
      <c r="G6" s="11">
        <v>36583</v>
      </c>
      <c r="I6" s="11" t="str">
        <v>Includes budget under BIO for CACC2</v>
      </c>
    </row>
    <row r="7" ht="50" customHeight="1">
      <c r="A7" s="11" t="str">
        <v>AOW01</v>
      </c>
      <c r="C7" s="11" t="str">
        <v>Critical capabilities: Number of datasets/simulations/insights/decision support tools developed and shared</v>
      </c>
      <c r="D7" s="11" t="str">
        <v>Number of innovations (innovation development)</v>
      </c>
      <c r="E7" s="11" t="str">
        <v>Global</v>
      </c>
      <c r="F7" s="11">
        <v>3</v>
      </c>
      <c r="G7" s="11">
        <v>87091</v>
      </c>
      <c r="I7" s="11" t="str">
        <v>Includes budget under BIO for CACC2</v>
      </c>
    </row>
    <row r="8" ht="50" customHeight="1">
      <c r="A8" s="11" t="str">
        <v>AOW01</v>
      </c>
      <c r="C8" s="11" t="str">
        <v>Critical capabilities: Number of datasets included/compiled in a common/shared platform/reports/papers</v>
      </c>
      <c r="D8" s="11" t="str">
        <v>Number of knowledge products</v>
      </c>
      <c r="E8" s="11" t="str">
        <v>Country: Senegal, Kenya, Honduras, Zambia, Nepal, Ethiopia, Sri Lanka, Pakistan, Ghana, Philippines, Mali</v>
      </c>
      <c r="F8" s="11">
        <v>23</v>
      </c>
      <c r="G8" s="11">
        <v>198685</v>
      </c>
      <c r="I8" s="11" t="str">
        <v>Includes budget under BIO for CACC2</v>
      </c>
    </row>
    <row r="9" ht="50" customHeight="1" xml:space="preserve">
      <c r="A9" s="11" t="str">
        <v>AOW01</v>
      </c>
      <c r="C9" s="11" t="str">
        <v>Number of datasets/simulations/insights/decision support tools developed and shared</v>
      </c>
      <c r="D9" s="11" t="str">
        <v>Number of innovations (innovation development)</v>
      </c>
      <c r="E9" s="11" t="str">
        <v>Global</v>
      </c>
      <c r="F9" s="11">
        <v>9</v>
      </c>
      <c r="G9" s="11">
        <v>113237</v>
      </c>
      <c r="I9" s="11" t="str" xml:space="preserve">
        <v xml:space="preserve">CA28_ CIAT	Capacity Development Create training syllabus and host on Atlas website and Climate Hub to improve efficiency and reach of Atlas capacity development activities. Needed to multiply Atlas capacity development.
	Enhance </v>
      </c>
    </row>
    <row r="10" ht="50" customHeight="1" xml:space="preserve">
      <c r="A10" s="11" t="str">
        <v>AOW01</v>
      </c>
      <c r="C10" s="11" t="str">
        <v>Number of datasets included/compiled in a common/shared platform</v>
      </c>
      <c r="D10" s="11" t="str">
        <v>Number of knowledge products</v>
      </c>
      <c r="E10" s="11" t="str">
        <v>Global</v>
      </c>
      <c r="F10" s="11">
        <v>25</v>
      </c>
      <c r="G10" s="11">
        <v>58237</v>
      </c>
      <c r="I10" s="11" t="str" xml:space="preserve">
        <v xml:space="preserve">CA28_ CIAT	Improved Atlas Content Enhanced datasets responding to partner demands for hazards, impacts, and solutions data to increase likelihood of Atlas use (and Climate Data Hub) for investments, planning and policy
CA42_Allia</v>
      </c>
    </row>
    <row r="11" ht="50" customHeight="1">
      <c r="A11" s="11" t="str">
        <v>AOW01</v>
      </c>
      <c r="B11" s="11" t="str">
        <v>1.1.4. Synthesis products, advocacy and communication materials</v>
      </c>
      <c r="C11" s="11" t="str">
        <v>Critical capabilities: Number of synthesis products</v>
      </c>
      <c r="D11" s="11" t="str">
        <v>Number of knowledge products</v>
      </c>
      <c r="E11" s="11" t="str">
        <v>Global</v>
      </c>
      <c r="F11" s="11">
        <v>4</v>
      </c>
      <c r="G11" s="11">
        <v>88703</v>
      </c>
      <c r="H11" s="11">
        <f>SUM(G11:G13)</f>
      </c>
      <c r="I11" s="11" t="str">
        <v>Includes budget under BIO for CACC3</v>
      </c>
    </row>
    <row r="12" ht="50" customHeight="1">
      <c r="A12" s="11" t="str">
        <v>AOW01</v>
      </c>
      <c r="C12" s="11" t="str">
        <v>Number of synthesis products</v>
      </c>
      <c r="D12" s="11" t="str">
        <v>Number of knowledge products</v>
      </c>
      <c r="E12" s="11" t="str">
        <v>Global</v>
      </c>
      <c r="F12" s="11">
        <v>1</v>
      </c>
      <c r="G12" s="11">
        <v>2609</v>
      </c>
      <c r="I12" s="11" t="str">
        <v>Partner -19,999 allocated to partners. CA1_ CIAT. UNFCCC Negotiator evidence needs. Synthesis of research needs and priorities expressed by negotiators to support ambition and implementation, with a focus on topics within Climate</v>
      </c>
    </row>
    <row r="13" ht="50" customHeight="1">
      <c r="A13" s="11" t="str">
        <v>AOW01</v>
      </c>
      <c r="C13" s="11" t="str">
        <v>Number of advocacy/communication materials shared</v>
      </c>
      <c r="D13" s="11" t="str">
        <v>Number of knowledge products</v>
      </c>
      <c r="E13" s="11" t="str">
        <v>Global</v>
      </c>
      <c r="F13" s="11">
        <v>4</v>
      </c>
      <c r="G13" s="11">
        <v>60000</v>
      </c>
      <c r="I13" s="11" t="str">
        <v>CA1_Alliance of Bioversity and CIAT:	Negotiator support to PLACA and other relevant groups in Central and Latin America</v>
      </c>
    </row>
    <row r="14" ht="50" customHeight="1">
      <c r="A14" s="11" t="str">
        <v>AOW01</v>
      </c>
      <c r="B14" s="11" t="str">
        <v>1.3.3 Strategic engagements with global climate bodies</v>
      </c>
      <c r="C14" s="11" t="str">
        <v>Critical capabilities: Number of engagement activities organized with financing partners and governments</v>
      </c>
      <c r="D14" s="11" t="str">
        <v xml:space="preserve"> Number of engagements</v>
      </c>
      <c r="E14" s="11" t="str">
        <v>Global</v>
      </c>
      <c r="F14" s="11">
        <v>4</v>
      </c>
      <c r="G14" s="11">
        <v>75928</v>
      </c>
      <c r="H14" s="11">
        <f>SUM(G14:G18)</f>
      </c>
      <c r="I14" s="11" t="str">
        <v>None</v>
      </c>
    </row>
    <row r="15" ht="50" customHeight="1">
      <c r="A15" s="11" t="str">
        <v>AOW01</v>
      </c>
      <c r="C15" s="11" t="str">
        <v>Critical capabilities: Number of meetings and workshops facilitated to support CGIAR Centers in stakeholder engagement processes related to GCF</v>
      </c>
      <c r="D15" s="11" t="str">
        <v xml:space="preserve"> Number of engagements</v>
      </c>
      <c r="E15" s="11" t="str">
        <v>Global</v>
      </c>
      <c r="F15" s="11">
        <v>2</v>
      </c>
      <c r="G15" s="11">
        <v>18475</v>
      </c>
      <c r="I15" s="11" t="str">
        <v>Includes budget under BIO for CACC1</v>
      </c>
    </row>
    <row r="16" ht="50" customHeight="1">
      <c r="A16" s="11" t="str">
        <v>AOW01</v>
      </c>
      <c r="C16" s="11" t="str">
        <v>Critical capabilities: Number of climate finance proposals or concept notes supported</v>
      </c>
      <c r="D16" s="11" t="str">
        <v>Number of climate finance proposals or concept notes supported</v>
      </c>
      <c r="E16" s="11" t="str">
        <v>Global</v>
      </c>
      <c r="F16" s="11">
        <v>9</v>
      </c>
      <c r="G16" s="11">
        <v>284970</v>
      </c>
      <c r="I16" s="11" t="str">
        <v>Includes budget under BIO for CACC1</v>
      </c>
    </row>
    <row r="17" ht="50" customHeight="1">
      <c r="A17" s="11" t="str">
        <v>AOW01</v>
      </c>
      <c r="C17" s="11" t="str">
        <v>Critical capabilities: Pipeline of entry points for new CGIAR-led GCF projects</v>
      </c>
      <c r="D17" s="11" t="str">
        <v xml:space="preserve">Number of pipeline of entry points </v>
      </c>
      <c r="E17" s="11" t="str">
        <v>Global</v>
      </c>
      <c r="F17" s="11">
        <v>1</v>
      </c>
      <c r="G17" s="11">
        <v>18459</v>
      </c>
      <c r="I17" s="11" t="str">
        <v>Includes budget under BIO for CACC1</v>
      </c>
    </row>
    <row r="18" ht="50" customHeight="1">
      <c r="A18" s="11" t="str">
        <v>AOW01</v>
      </c>
      <c r="C18" s="11" t="str">
        <v>Number of engagements and submissions made to climate negotiations streams and negotiators</v>
      </c>
      <c r="D18" s="11" t="str">
        <v xml:space="preserve"> Number of engagements </v>
      </c>
      <c r="E18" s="11" t="str">
        <v>Global</v>
      </c>
      <c r="F18" s="11">
        <v>2</v>
      </c>
      <c r="G18" s="11">
        <v>50000</v>
      </c>
      <c r="I18" s="11" t="str">
        <v>CA7_Alliance of Bioversity and CIAT:	Consolidated report compiling insights from UNFCCC (SB and COP) engagement and lessons learned from providing post-COP implementation support, feeding into future SB and COP preparations and submissions to the UNFCCC S</v>
      </c>
    </row>
    <row r="19" ht="25" customHeight="1">
      <c r="B19" s="14" t="str">
        <v>HLO budget subtotal</v>
      </c>
      <c r="H19" s="15">
        <f>SUM(H3:H18)</f>
      </c>
    </row>
    <row r="20" ht="50" customHeight="1">
      <c r="A20" s="13" t="str">
        <v>AOW02</v>
      </c>
      <c r="B20" s="11" t="str">
        <v>2.1.1 &amp; 2.2.1 Climate information products and services</v>
      </c>
      <c r="C20" s="11" t="str">
        <v>Number of recommendations/modules/synthesis products</v>
      </c>
      <c r="D20" s="11" t="str">
        <v>Number of knowledge products</v>
      </c>
      <c r="E20" s="11" t="str">
        <v>Country: The Socialist Republic of Viet Nam, Kenya, Mali, Colombia, India, Zambia, Philippines, Nigeria, Bangladesh, Ethiopia</v>
      </c>
      <c r="F20" s="11">
        <v>27</v>
      </c>
      <c r="G20" s="11">
        <v>110000</v>
      </c>
      <c r="H20" s="11">
        <f>SUM(G20:G21)</f>
      </c>
      <c r="I20" s="11" t="str">
        <v>CA15_ CIAT	Evidence, Learning, and Policy Uptake Package: Comprehensive MELIA framework implemented to assess access, use, and benefits of digital advisories. Outputs include a learning brief, policy recommendations</v>
      </c>
    </row>
    <row r="21" ht="50" customHeight="1">
      <c r="A21" s="11" t="str">
        <v>AOW02</v>
      </c>
      <c r="C21" s="11" t="str">
        <v>Number of human-centered climate information products/services improved, co-designed, or co-developed</v>
      </c>
      <c r="D21" s="11" t="str">
        <v>Number of innovations (innovation development)</v>
      </c>
      <c r="E21" s="11" t="str">
        <v>Country: Senegal, Mali, Ethiopia, India, Bangladesh, Nigeria, Zambia, Philippines, Kenya, The Socialist Republic of Viet Nam</v>
      </c>
      <c r="F21" s="11">
        <v>3</v>
      </c>
      <c r="G21" s="11">
        <v>206190</v>
      </c>
      <c r="I21" s="11" t="str">
        <v xml:space="preserve">CA15_ CIAT	Inclusive Digital Advisory Services Established: Localized, gender-responsive advisories on rainfall, drought, and crop management co-developed with farmers and delivered through Radios, SMS, IVR, and WhatsApp </v>
      </c>
    </row>
    <row r="22" ht="50" customHeight="1">
      <c r="A22" s="11" t="str">
        <v>AOW02</v>
      </c>
      <c r="B22" s="11" t="str">
        <v>2.2.2 &amp; 2.3.1 &amp; 2.4.1 Multi-hazard early warning and anticipatory action instruments</v>
      </c>
      <c r="C22" s="11" t="str">
        <v>Number of organizations members engaged in capacity development initiatives (disaggregated by type, age, sex, ethnic group)</v>
      </c>
      <c r="D22" s="11" t="str">
        <v>Number of people trained (capacity sharing for development)</v>
      </c>
      <c r="E22" s="11" t="str">
        <v>Country: Mali, Nigeria, Philippines</v>
      </c>
      <c r="F22" s="11">
        <v>100</v>
      </c>
      <c r="G22" s="11">
        <v>5000</v>
      </c>
      <c r="H22" s="11">
        <f>SUM(G22:G23)</f>
      </c>
      <c r="I22" s="11" t="str">
        <v>CA15_Alliance of Bioversity and CIAT	Institutional and Human Capacity Strengthened: National “Digital Climate Service Frameworks” developed and validated to disseminate advisories in Mali, and Nigeria. Over 50 technical staff, extension agents, and ICT pr</v>
      </c>
    </row>
    <row r="23" ht="50" customHeight="1" xml:space="preserve">
      <c r="A23" s="11" t="str">
        <v>AOW02</v>
      </c>
      <c r="C23" s="11" t="str">
        <v>Number of early warning systems (EWS) and anticipatory instruments co-designed with partners</v>
      </c>
      <c r="D23" s="11" t="str">
        <v>Number of innovations (innovation development)</v>
      </c>
      <c r="E23" s="11" t="str">
        <v>Country: The Socialist Republic of Viet Nam, India, Kenya, Ethiopia, Philippines</v>
      </c>
      <c r="F23" s="11">
        <v>3</v>
      </c>
      <c r="G23" s="11">
        <v>120978</v>
      </c>
      <c r="I23" s="11" t="str" xml:space="preserve">
        <v xml:space="preserve">CA32_Alliance of Bioversity and CIAT	Integrated climate, water, and pasture advisories with capacity building for local actors to translate them into practical actions for pastoral and agro-pastoral communities.
CA36_Alliance of Bioversity and CIAT	Early </v>
      </c>
    </row>
    <row r="24" ht="50" customHeight="1" xml:space="preserve">
      <c r="A24" s="11" t="str">
        <v>AOW02</v>
      </c>
      <c r="B24" s="11" t="str">
        <v>2.4.1. Innovative and inclusive partnerships</v>
      </c>
      <c r="C24" s="11" t="str">
        <v>Number of partners/actors engaged for delivery of integrated climate risk management and actions</v>
      </c>
      <c r="D24" s="11" t="str">
        <v xml:space="preserve">Number of partners/actors engaged  </v>
      </c>
      <c r="E24" s="11" t="str">
        <v>Country: India, The Socialist Republic of Viet Nam, Ethiopia, Kenya, Colombia</v>
      </c>
      <c r="F24" s="11">
        <v>28</v>
      </c>
      <c r="G24" s="11">
        <v>125000</v>
      </c>
      <c r="H24" s="11">
        <f>SUM(G24:G25)</f>
      </c>
      <c r="I24" s="11" t="str" xml:space="preserve">
        <v xml:space="preserve">CA21_Alliance of Bioversity and CIAT	Participatory co-production platforms (LTACs, PSP, PICSA) across Africa and Latin America applying human-centered design (HCD) principles.
CA38_Alliance of Bioversity and CIAT	National/Regional Multi-Stakeholder Knowle</v>
      </c>
    </row>
    <row r="25" ht="50" customHeight="1">
      <c r="A25" s="11" t="str">
        <v>AOW02</v>
      </c>
      <c r="C25" s="11" t="str">
        <v>Number of new and inclusive partnerships formed for ICRM delivery</v>
      </c>
      <c r="D25" s="11" t="str">
        <v xml:space="preserve"> Number of partnerships</v>
      </c>
      <c r="E25" s="11" t="str">
        <v>Country: Ethiopia, India, The Socialist Republic of Viet Nam, Kenya</v>
      </c>
      <c r="F25" s="11">
        <v>2</v>
      </c>
      <c r="G25" s="11">
        <v>40000</v>
      </c>
      <c r="I25" s="11" t="str">
        <v>22,000 allocated to partners. CA38_Alliance of Bioversity and CIAT - Public–Private Partnership (PPP) Models Formalized and Operationalized: Establishes and implements PPPs for sustained climate service delivery in Kenya and Vietnam. Finalizes MoUs with k</v>
      </c>
    </row>
    <row r="26" ht="25" customHeight="1">
      <c r="B26" s="15" t="str">
        <v>HLO budget subtotal</v>
      </c>
      <c r="H26" s="15">
        <f>SUM(H20:H25)</f>
      </c>
    </row>
    <row r="27" ht="50" customHeight="1" xml:space="preserve">
      <c r="A27" s="13" t="str">
        <v>AOW04</v>
      </c>
      <c r="B27" s="11" t="str">
        <v>4.1.1 &amp; 4.2.1 Evidence and partnerships to inform low-emission development</v>
      </c>
      <c r="C27" s="11" t="str">
        <v>Number of low-emission strategies across production systems co-developed with partners</v>
      </c>
      <c r="D27" s="11" t="str">
        <v>Number of innovations (innovation development)</v>
      </c>
      <c r="E27" s="11" t="str">
        <v>Country: Ghana, Philippines, Tanzania, United Republic, Egypt, India, Colombia</v>
      </c>
      <c r="F27" s="11">
        <v>2</v>
      </c>
      <c r="G27" s="11">
        <v>115000</v>
      </c>
      <c r="H27" s="11">
        <f>SUM(G27:G29)</f>
      </c>
      <c r="I27" s="11" t="str" xml:space="preserve">
        <v xml:space="preserve">CA11_Alliance of Bioversity and CIAT	Market readiness diagnostic report: Country-level MARS-based assessment of institutional, normative and structural readiness for EUDR compliance.
CA14_Alliance of Bioversity and CIAT	Aclimatar+, an integrated digital d</v>
      </c>
    </row>
    <row r="28" ht="50" customHeight="1" xml:space="preserve">
      <c r="A28" s="11" t="str">
        <v>AOW04</v>
      </c>
      <c r="C28" s="11" t="str">
        <v>Number of guidelines/evidence/synthesis reports for scaling and implementing low emission strategies</v>
      </c>
      <c r="D28" s="11" t="str">
        <v>Number of knowledge products</v>
      </c>
      <c r="E28" s="11" t="str">
        <v>Country: Egypt, Colombia, Ghana, Tanzania, United Republic, India</v>
      </c>
      <c r="F28" s="11">
        <v>3</v>
      </c>
      <c r="G28" s="11">
        <v>155000</v>
      </c>
      <c r="I28" s="11" t="str" xml:space="preserve">
        <v xml:space="preserve">CA11_Alliance of Bioversity and CIAT	Policy and institutional alignment brief: Summary of enabling conditions, barriers and recommendations for policy alignment and institutional strengthening toward EUDR compliance.
	Synthesis of Key Recommendations: Int</v>
      </c>
    </row>
    <row r="29" ht="50" customHeight="1">
      <c r="A29" s="11" t="str">
        <v>AOW04</v>
      </c>
      <c r="C29" s="11" t="str">
        <v>Number of partnership established for implementation and scaling of low emission strategies</v>
      </c>
      <c r="D29" s="11" t="str">
        <v xml:space="preserve"> Number of partnerships</v>
      </c>
      <c r="E29" s="11" t="str">
        <v>Country: Tanzania, United Republic</v>
      </c>
      <c r="F29" s="11">
        <v>2</v>
      </c>
      <c r="G29" s="11">
        <v>15000</v>
      </c>
      <c r="I29" s="11" t="str">
        <v>CA14_Alliance of Bioversity and CIAT	Organizations which expand or start using Aclimatar+</v>
      </c>
    </row>
    <row r="30" ht="50" customHeight="1">
      <c r="A30" s="11" t="str">
        <v>AOW04</v>
      </c>
      <c r="B30" s="11" t="str">
        <v>4.1.3 &amp; 4.2.3 &amp; 4.3.2 Evidence and partnerships to inform low-emission food systems</v>
      </c>
      <c r="C30" s="11" t="str">
        <v>Number of actors engaged in co-development of low-emission food system strategies (disaggregated by type of actor, institution)</v>
      </c>
      <c r="D30" s="11" t="str">
        <v xml:space="preserve"> Number of partners/actors engaged</v>
      </c>
      <c r="E30" s="11" t="str">
        <v>Country: Ghana, Colombia</v>
      </c>
      <c r="F30" s="11">
        <v>30</v>
      </c>
      <c r="G30" s="11">
        <v>75000</v>
      </c>
      <c r="H30" s="11">
        <f>SUM(G30:G30)</f>
      </c>
      <c r="I30" s="11" t="str">
        <v>CA11_Alliance of Bioversity and CIAT	Stakeholder Validation: Sessions to review and refine diagnostic results with government agencies, producer groups, and private sector partners to ensure applicability and ownership.</v>
      </c>
    </row>
    <row r="31" ht="50" customHeight="1" xml:space="preserve">
      <c r="A31" s="11" t="str">
        <v>AOW04</v>
      </c>
      <c r="B31" s="11" t="str">
        <v>4.2.4 &amp; 4.3.3 &amp; 4.4.1 Tools and approaches for monitoring, reporting and verification (MRV)</v>
      </c>
      <c r="C31" s="11" t="str">
        <v>Number of MRV tools/approaches for low-emission farming developed</v>
      </c>
      <c r="D31" s="11" t="str">
        <v>Number of innovations (innovation development)</v>
      </c>
      <c r="E31" s="11" t="str">
        <v>Country: Colombia, Ghana, India, Zambia, Egypt, Nigeria, Kenya</v>
      </c>
      <c r="F31" s="11">
        <v>8</v>
      </c>
      <c r="G31" s="11">
        <v>275000</v>
      </c>
      <c r="H31" s="11">
        <f>SUM(G31:G32)</f>
      </c>
      <c r="I31" s="11" t="str" xml:space="preserve">
        <v xml:space="preserve">CA117_Alliance of Bioversity and CIAT	Modular self-learning platform to strengthen technical and institutional capacities in MRV
CA29_Alliance of Bioversity and CIAT	CarboPastures Platform for Low-Emission Livestock Landscapes: Establishes a CGIAR-led, mu</v>
      </c>
    </row>
    <row r="32" ht="50" customHeight="1">
      <c r="A32" s="11" t="str">
        <v>AOW04</v>
      </c>
      <c r="C32" s="11" t="str">
        <v>Number of people trained on MRV</v>
      </c>
      <c r="D32" s="11" t="str">
        <v>Number of people trained (capacity sharing for development)</v>
      </c>
      <c r="E32" s="11" t="str">
        <v>Country: Brazil, Mali, Kenya, Colombia</v>
      </c>
      <c r="F32" s="11">
        <v>100</v>
      </c>
      <c r="G32" s="11">
        <v>50000</v>
      </c>
      <c r="I32" s="11" t="str">
        <v>CA29_Alliance of Bioversity and CIAT	Carbon Investment Models and MRV Capacity Development: Co-develops carbon finance and investment models with partners (Marfrig, Nestlé, Papalotla) linking verified emission reductions to private and public finance. Bui</v>
      </c>
    </row>
    <row r="33" ht="25" customHeight="1">
      <c r="B33" s="15" t="str">
        <v>HLO budget subtotal</v>
      </c>
      <c r="H33" s="15">
        <f>SUM(H27:H32)</f>
      </c>
    </row>
    <row r="34" ht="50" customHeight="1">
      <c r="A34" s="13" t="str">
        <v>AOW05</v>
      </c>
      <c r="B34" s="11" t="str">
        <v>5.1.1 &amp; 5.2.1 Evidence and tools for climate policies and institutions</v>
      </c>
      <c r="C34" s="11" t="str">
        <v>Number of people trained on tools for climate policies</v>
      </c>
      <c r="D34" s="11" t="str">
        <v>Number of people trained (capacity sharing for development)</v>
      </c>
      <c r="E34" s="11" t="str">
        <v>Country: Ghana, Kenya, Ethiopia</v>
      </c>
      <c r="F34" s="11">
        <v>60</v>
      </c>
      <c r="G34" s="11">
        <v>60000</v>
      </c>
      <c r="H34" s="11">
        <f>SUM(G34:G36)</f>
      </c>
      <c r="I34" s="11" t="str">
        <v>CA33_Alliance of Bioversity and CIAT	Build institutional capacity through training and technical assistance for government partners, ensuring sustained operation of inclusive adaptation tracking systems. We will also publish a document with partners, shar</v>
      </c>
    </row>
    <row r="35" ht="50" customHeight="1">
      <c r="A35" s="11" t="str">
        <v>AOW05</v>
      </c>
      <c r="C35" s="11" t="str">
        <v>Number of evidence/synthesis products/reports and communication materials on climate and related policies</v>
      </c>
      <c r="D35" s="11" t="str">
        <v>Number of knowledge products</v>
      </c>
      <c r="E35" s="11" t="str">
        <v>Country: Ghana, Kenya, Ethiopia</v>
      </c>
      <c r="F35" s="11">
        <v>1</v>
      </c>
      <c r="G35" s="11">
        <v>10000</v>
      </c>
      <c r="I35" s="11" t="str">
        <v>CA33_Alliance of Bioversity and CIAT	Strategic policy and project reporting gap assessment - 1. Assessment of GESI commitments in NAPs/NDCs and alignment of NAPs/ NDC with the Global Goal on Adaptation and 2. Review of data reported from projects funded b</v>
      </c>
    </row>
    <row r="36" ht="50" customHeight="1">
      <c r="A36" s="11" t="str">
        <v>AOW05</v>
      </c>
      <c r="C36" s="11" t="str">
        <v>Number of tools and types of evidence developed</v>
      </c>
      <c r="D36" s="11" t="str">
        <v>Number of innovations (innovation development)</v>
      </c>
      <c r="E36" s="11" t="str">
        <v>Country: Ghana, Ethiopia, Kenya</v>
      </c>
      <c r="F36" s="11">
        <v>6</v>
      </c>
      <c r="G36" s="11">
        <v>100000</v>
      </c>
      <c r="I36" s="11" t="str">
        <v>CA33_Alliance of Bioversity and CIAT	Co-created operational guidance and toolkits - This deliverable will build on the methodological approaches and insights from AICCRA and Adaptation Insights. Deliverables include guidance, indicator dictionaries, and p</v>
      </c>
    </row>
    <row r="37" ht="50" customHeight="1">
      <c r="A37" s="11" t="str">
        <v>AOW05</v>
      </c>
      <c r="B37" s="11" t="str">
        <v xml:space="preserve">5.2.2 &amp; 5.3.1 Analytical tools and frameworks on climate finance </v>
      </c>
      <c r="C37" s="11" t="str">
        <v>Number of partners/actors engaged in co-development and scaling of climate finance tools</v>
      </c>
      <c r="D37" s="11" t="str">
        <v xml:space="preserve"> Number of partners/actors engaged</v>
      </c>
      <c r="E37" s="11" t="str">
        <v>Country: Kenya, India, Guatemala, Pakistan, Ghana, Ethiopia</v>
      </c>
      <c r="F37" s="11">
        <v>23</v>
      </c>
      <c r="G37" s="11">
        <v>305000</v>
      </c>
      <c r="H37" s="11">
        <f>SUM(G37:G39)</f>
      </c>
      <c r="I37" s="11" t="str">
        <v>CA121_Alliance of Bioversity and CIAT	Policy development and capacity strengthening for anticipatory finance for drought resilience in national and subnational policy and finance institutions - Institutionalize anticipatory finance approaches within natio</v>
      </c>
    </row>
    <row r="38" ht="50" customHeight="1">
      <c r="A38" s="11" t="str">
        <v>AOW05</v>
      </c>
      <c r="C38" s="11" t="str">
        <v>Number of evidence/synthesis products/reports and communication materials on climate finance</v>
      </c>
      <c r="D38" s="11" t="str">
        <v>Number of knowledge products</v>
      </c>
      <c r="E38" s="11" t="str">
        <v>Country: Senegal, Guatemala, Ethiopia, Kenya, Colombia, India, Pakistan</v>
      </c>
      <c r="F38" s="11">
        <v>4</v>
      </c>
      <c r="G38" s="11">
        <v>80000</v>
      </c>
      <c r="I38" s="11" t="str">
        <v>CA121_Alliance of Bioversity and CIAT	Investment-Ready Pipeline for Climate Resilience Finance - Develop a portfolio of bankable locally led pre-drought investment projects aligned with adaptation and mitigation criteria for global climate funds, submitte</v>
      </c>
    </row>
    <row r="39" ht="50" customHeight="1">
      <c r="A39" s="11" t="str">
        <v>AOW05</v>
      </c>
      <c r="C39" s="11" t="str">
        <v>Number of tools/framework on climate finance developed and disseminated</v>
      </c>
      <c r="D39" s="11" t="str">
        <v>Number of innovations (innovation development)</v>
      </c>
      <c r="E39" s="11" t="str">
        <v>Country: Zambia, Ghana, India, Ethiopia, Colombia, Senegal, Guatemala, Kenya, Pakistan</v>
      </c>
      <c r="F39" s="11">
        <v>9</v>
      </c>
      <c r="G39" s="11">
        <v>194768</v>
      </c>
      <c r="I39" s="11" t="str">
        <v>CA121_Alliance of Bioversity and CIAT	Advanced Digital Risk and Finance Prioritization Tools - E.g. Deploy AI-driven early warning,  water point monitoring tool, Aclimate and vulnerability assessments to prioritize high-return investments and optimize res</v>
      </c>
    </row>
    <row r="40" ht="50" customHeight="1">
      <c r="A40" s="11" t="str">
        <v>AOW05</v>
      </c>
      <c r="B40" s="11" t="str">
        <v>5.2.3. &amp; 5.3.2 Private sector climate finance models</v>
      </c>
      <c r="C40" s="11" t="str">
        <v>Number of people trained on climate finance models</v>
      </c>
      <c r="D40" s="11" t="str">
        <v>Number of people trained (capacity sharing for development)</v>
      </c>
      <c r="E40" s="11" t="str">
        <v>Country: Colombia, Senegal, Guatemala</v>
      </c>
      <c r="F40" s="11">
        <v>20</v>
      </c>
      <c r="G40" s="11">
        <v>50000</v>
      </c>
      <c r="H40" s="11">
        <f>SUM(G40:G40)</f>
      </c>
      <c r="I40" s="11" t="str">
        <v>CA23_Alliance of Bioversity and CIAT	Strengthen gender-transformative finance and youth inclusion by training women’s cooperatives, youth enterprises, and local leaders in financial literacy, fund management, and adaptive planning. Apply the CGIAR's WECCI</v>
      </c>
    </row>
    <row r="41" ht="25" customHeight="1">
      <c r="B41" s="15" t="str">
        <v>HLO budget subtotal</v>
      </c>
      <c r="H41" s="15">
        <f>SUM(H34:H40)</f>
      </c>
    </row>
  </sheetData>
  <mergeCells count="33">
    <mergeCell ref="A1:A2"/>
    <mergeCell ref="B1:B2"/>
    <mergeCell ref="C1:G1"/>
    <mergeCell ref="H1:H2"/>
    <mergeCell ref="I1:I2"/>
    <mergeCell ref="B5:B10"/>
    <mergeCell ref="H5:H10"/>
    <mergeCell ref="B11:B13"/>
    <mergeCell ref="H11:H13"/>
    <mergeCell ref="B14:B18"/>
    <mergeCell ref="H14:H18"/>
    <mergeCell ref="B19:G19"/>
    <mergeCell ref="A3:A19"/>
    <mergeCell ref="B20:B21"/>
    <mergeCell ref="H20:H21"/>
    <mergeCell ref="B22:B23"/>
    <mergeCell ref="H22:H23"/>
    <mergeCell ref="B24:B25"/>
    <mergeCell ref="H24:H25"/>
    <mergeCell ref="B26:G26"/>
    <mergeCell ref="A20:A26"/>
    <mergeCell ref="B27:B29"/>
    <mergeCell ref="H27:H29"/>
    <mergeCell ref="B31:B32"/>
    <mergeCell ref="H31:H32"/>
    <mergeCell ref="B33:G33"/>
    <mergeCell ref="A27:A33"/>
    <mergeCell ref="B34:B36"/>
    <mergeCell ref="H34:H36"/>
    <mergeCell ref="B37:B39"/>
    <mergeCell ref="H37:H39"/>
    <mergeCell ref="B41:G41"/>
    <mergeCell ref="A34:A41"/>
  </mergeCells>
  <ignoredErrors>
    <ignoredError numberStoredAsText="1" sqref="A1:I41"/>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African Group of Negotiators Expert Support</v>
      </c>
      <c r="C2" s="11" t="str">
        <v>1.1.2. Frameworks, strategies and tools for vulnerability root causes, climate justice pathways, 1.1.3 &amp; 1.3.2 Harmonized data, simulations, insights and decision support tools, 1.3.3 Strategic engagements with global climate bodies</v>
      </c>
      <c r="D2" s="11" t="str">
        <v>Kenya</v>
      </c>
      <c r="E2" s="11">
        <v>0</v>
      </c>
    </row>
    <row r="3" ht="70" customHeight="1">
      <c r="A3" s="11" t="str">
        <v>AOW01</v>
      </c>
      <c r="B3" s="11" t="str">
        <v>University of Vermont</v>
      </c>
      <c r="C3" s="11" t="str">
        <v>1.1.4. Synthesis products, advocacy and communication materials</v>
      </c>
      <c r="D3" s="11" t="str">
        <v>United States of America</v>
      </c>
      <c r="E3" s="11">
        <v>17391</v>
      </c>
      <c r="F3" s="11" t="str">
        <v>CA1_Alliance of Bioversity and CIAT - Strengthening UNFCCC Coordination and Capacity</v>
      </c>
    </row>
    <row r="4" ht="25" customHeight="1">
      <c r="B4" s="14" t="str">
        <v>Contracted partners subtotal</v>
      </c>
      <c r="E4" s="14">
        <f>SUM(E2:E3)</f>
      </c>
    </row>
    <row r="5" ht="70" customHeight="1">
      <c r="A5" s="12" t="str">
        <v>AOW02</v>
      </c>
      <c r="B5" s="11" t="str">
        <v>WeatherPlus</v>
      </c>
      <c r="C5" s="11" t="str">
        <v>2.1.1 &amp; 2.2.1 Climate information products and services, 2.2.2 &amp; 2.3.1 &amp; 2.4.1 Multi-hazard early warning and anticipatory action instruments, 2.4.1. Innovative and inclusive partnerships</v>
      </c>
      <c r="D5" s="11" t="str">
        <v>The Socialist Republic of Viet Nam</v>
      </c>
      <c r="E5" s="11">
        <v>10000</v>
      </c>
      <c r="F5" s="11" t="str">
        <v>CA38_ CIAT - Accelerating Climate Information Services and Anticipatory Action through Public–Private Partnerships</v>
      </c>
    </row>
    <row r="6" ht="70" customHeight="1">
      <c r="A6" s="11" t="str">
        <v>AOW02</v>
      </c>
      <c r="B6" s="11" t="str">
        <v>Agence Nationale de la Météorologie du Mali</v>
      </c>
      <c r="C6" s="11" t="str">
        <v>2.1.1 &amp; 2.2.1 Climate information products and services, 2.2.2 &amp; 2.3.1 &amp; 2.4.1 Multi-hazard early warning and anticipatory action instruments</v>
      </c>
      <c r="D6" s="11" t="str">
        <v>Mali</v>
      </c>
      <c r="E6" s="11">
        <v>15000</v>
      </c>
      <c r="F6" s="11" t="str">
        <v>CA15_CIAT - West Africa Digital Climate-Smart Advisory and Risk Management Initiative (DRiM)</v>
      </c>
    </row>
    <row r="7" ht="70" customHeight="1">
      <c r="A7" s="11" t="str">
        <v>AOW02</v>
      </c>
      <c r="B7" s="11" t="str">
        <v>Centre regional AGRHYMET</v>
      </c>
      <c r="C7" s="11" t="str">
        <v>2.1.1 &amp; 2.2.1 Climate information products and services, 2.2.2 &amp; 2.3.1 &amp; 2.4.1 Multi-hazard early warning and anticipatory action instruments</v>
      </c>
      <c r="D7" s="11" t="str">
        <v>Niger</v>
      </c>
      <c r="E7" s="11">
        <v>15000</v>
      </c>
      <c r="F7" s="11" t="str">
        <v>CA15_ CIAT - West Africa Digital Climate-Smart Advisory and Risk Management Initiative (DRiM)</v>
      </c>
    </row>
    <row r="8" ht="70" customHeight="1">
      <c r="A8" s="11" t="str">
        <v>AOW02</v>
      </c>
      <c r="B8" s="11" t="str">
        <v xml:space="preserve">Nigeria Meteorological Agency </v>
      </c>
      <c r="C8" s="11" t="str">
        <v>2.1.1 &amp; 2.2.1 Climate information products and services, 2.2.2 &amp; 2.3.1 &amp; 2.4.1 Multi-hazard early warning and anticipatory action instruments</v>
      </c>
      <c r="D8" s="11" t="str">
        <v>Nigeria</v>
      </c>
      <c r="E8" s="11">
        <v>15000</v>
      </c>
      <c r="F8" s="11" t="str">
        <v>CA15 CIAT - West Africa Digital Climate-Smart Advisory and Risk Management Initiative (DRiM)</v>
      </c>
    </row>
    <row r="9" ht="25" customHeight="1">
      <c r="B9" s="14" t="str">
        <v>Contracted partners subtotal</v>
      </c>
      <c r="E9" s="14">
        <f>SUM(E5:E8)</f>
      </c>
    </row>
    <row r="10" ht="70" customHeight="1">
      <c r="A10" s="12" t="str">
        <v>AOW05</v>
      </c>
      <c r="B10" s="11" t="str">
        <v>African Group of Negotiators Expert Support</v>
      </c>
      <c r="C10" s="11" t="str">
        <v>5.2.2 &amp; 5.3.1 Analytical tools and frameworks on climate finance, 5.1.1 &amp; 5.2.1 Evidence and tools for climate policies and institutions</v>
      </c>
      <c r="D10" s="11" t="str">
        <v>Kenya</v>
      </c>
      <c r="E10" s="11">
        <v>90000</v>
      </c>
      <c r="F10" s="11" t="str">
        <v>CA30_Alliance of Bioversity and CIAT - Climate readiness and project preparation facility; CA33_Alliance of Bioversity and CIAT - Enhancing Tracking Capacities and inclusive Adaptation Finance</v>
      </c>
    </row>
    <row r="11" ht="25" customHeight="1">
      <c r="B11" s="14" t="str">
        <v>Contracted partners subtotal</v>
      </c>
      <c r="E11" s="14">
        <f>SUM(E10:E10)</f>
      </c>
    </row>
  </sheetData>
  <mergeCells count="6">
    <mergeCell ref="B4:D4"/>
    <mergeCell ref="A2:A4"/>
    <mergeCell ref="B9:D9"/>
    <mergeCell ref="A5:A9"/>
    <mergeCell ref="B11:D11"/>
    <mergeCell ref="A10: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29"/>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USA - USAID - Business Acceleration for Youth project (BAFY)</v>
      </c>
      <c r="B2" s="19" t="str">
        <v>AOW00</v>
      </c>
      <c r="C2" s="18" t="str">
        <v>New finance for just climate action and transitions</v>
      </c>
      <c r="D2" s="19">
        <v>0</v>
      </c>
      <c r="E2" s="19" t="str">
        <f>=SUM(D2:D4)</f>
        <v>0</v>
      </c>
    </row>
    <row r="3" ht="30" customHeight="1">
      <c r="A3" s="18" t="str">
        <v>USA - USAID - Business Acceleration for Youth project (BAFY)</v>
      </c>
      <c r="B3" s="19" t="str">
        <v>AOW05</v>
      </c>
      <c r="C3" s="18" t="str">
        <v>5.2. Enhanced capacity for designing, implementing and tracking climate policies, projects and financing</v>
      </c>
      <c r="D3" s="19">
        <v>0</v>
      </c>
    </row>
    <row r="4" ht="30" customHeight="1">
      <c r="A4" s="18" t="str">
        <v>USA - USAID - Business Acceleration for Youth project (BAFY)</v>
      </c>
      <c r="B4" s="19" t="str">
        <v>AOW03</v>
      </c>
      <c r="C4" s="18" t="str">
        <v>3.1. Local institutions scale climate solutions and adaptation pathways</v>
      </c>
      <c r="D4" s="19">
        <v>0</v>
      </c>
    </row>
    <row r="5" ht="30" customHeight="1">
      <c r="A5" s="18" t="str">
        <v>BIUSA (BEF)-Screening, developing, and deploying anti-methanogenic feedstock into livestock systems in the Global South</v>
      </c>
      <c r="B5" s="19" t="str">
        <v>AOW00</v>
      </c>
      <c r="C5" s="18" t="str">
        <v>New finance for just climate action and transitions</v>
      </c>
      <c r="D5" s="19">
        <v>0</v>
      </c>
      <c r="E5" s="19" t="str">
        <f>=SUM(D5:D6)</f>
        <v>0</v>
      </c>
    </row>
    <row r="6" ht="30" customHeight="1">
      <c r="A6" s="18" t="str">
        <v>BIUSA (BEF)-Screening, developing, and deploying anti-methanogenic feedstock into livestock systems in the Global South</v>
      </c>
      <c r="B6" s="19" t="str">
        <v>AOW04</v>
      </c>
      <c r="C6" s="18" t="str">
        <v>4.5. Increased agency of women, youth and marginalized groups for climate mitigation</v>
      </c>
      <c r="D6" s="19">
        <v>92666</v>
      </c>
      <c r="F6" s="19" t="str">
        <v>None</v>
      </c>
    </row>
    <row r="7" ht="30" customHeight="1">
      <c r="A7" s="18" t="str">
        <v>Climate-smart initiatives for climate change adaptation and sustainability in prioritized agricultural production systems in Colombia (CSICAP)</v>
      </c>
      <c r="B7" s="19" t="str">
        <v>AOW00</v>
      </c>
      <c r="C7" s="18" t="str">
        <v>New finance for just climate action and transitions</v>
      </c>
      <c r="D7" s="19">
        <v>0</v>
      </c>
      <c r="E7" s="19" t="str">
        <f>=SUM(D7:D11)</f>
        <v>0</v>
      </c>
    </row>
    <row r="8" ht="30" customHeight="1">
      <c r="A8" s="18" t="str">
        <v>Climate-smart initiatives for climate change adaptation and sustainability in prioritized agricultural production systems in Colombia (CSICAP)</v>
      </c>
      <c r="B8" s="19" t="str">
        <v>AOW05</v>
      </c>
      <c r="C8" s="18" t="str">
        <v>5.2. Enhanced capacity for designing, implementing and tracking climate policies, projects and financing</v>
      </c>
      <c r="D8" s="19">
        <v>1221520</v>
      </c>
      <c r="F8" s="19" t="str">
        <v>Assumes 10% of the project budget is allocated to AoW5</v>
      </c>
    </row>
    <row r="9" ht="30" customHeight="1">
      <c r="A9" s="18" t="str">
        <v>Climate-smart initiatives for climate change adaptation and sustainability in prioritized agricultural production systems in Colombia (CSICAP)</v>
      </c>
      <c r="B9" s="19" t="str">
        <v>AOW04</v>
      </c>
      <c r="C9" s="18" t="str">
        <v>4.5. Increased agency of women, youth and marginalized groups for climate mitigation</v>
      </c>
      <c r="D9" s="19">
        <v>2443040</v>
      </c>
      <c r="F9" s="19" t="str">
        <v>Assumes 20% of the project budget is allocated to AoW4.</v>
      </c>
    </row>
    <row r="10" ht="30" customHeight="1">
      <c r="A10" s="18" t="str">
        <v>Climate-smart initiatives for climate change adaptation and sustainability in prioritized agricultural production systems in Colombia (CSICAP)</v>
      </c>
      <c r="B10" s="19" t="str">
        <v>AOW02</v>
      </c>
      <c r="C10" s="18" t="str">
        <v>2.1.1 &amp; 2.2.1 Climate information products and services</v>
      </c>
      <c r="D10" s="19">
        <v>7329121</v>
      </c>
      <c r="F10" s="19" t="str">
        <v>Assumes 60% of the project budget is allocated to AoW2.</v>
      </c>
    </row>
    <row r="11" ht="30" customHeight="1">
      <c r="A11" s="18" t="str">
        <v>Climate-smart initiatives for climate change adaptation and sustainability in prioritized agricultural production systems in Colombia (CSICAP)</v>
      </c>
      <c r="B11" s="19" t="str">
        <v>AOW03</v>
      </c>
      <c r="C11" s="18" t="str">
        <v>3.1.1. Institutional innovations and technical practices</v>
      </c>
      <c r="D11" s="19">
        <v>1221520</v>
      </c>
      <c r="F11" s="19" t="str">
        <v>Assumes 10% of the project budget is allocated to AoW3.</v>
      </c>
    </row>
    <row r="12" ht="30" customHeight="1">
      <c r="A12" s="18" t="str">
        <v>UNITED KINGDOM - FCDO -iSPARK: Innovation in sustainability, policy, adaptation and resilience in Kenya (IA Lead of D511)</v>
      </c>
      <c r="B12" s="19" t="str">
        <v>AOW00</v>
      </c>
      <c r="C12" s="18" t="str">
        <v>New finance for just climate action and transitions</v>
      </c>
      <c r="D12" s="19">
        <v>0</v>
      </c>
      <c r="E12" s="19" t="str">
        <f>=SUM(D12:D14)</f>
        <v>0</v>
      </c>
    </row>
    <row r="13" ht="30" customHeight="1">
      <c r="A13" s="18" t="str">
        <v>UNITED KINGDOM - FCDO -iSPARK: Innovation in sustainability, policy, adaptation and resilience in Kenya (IA Lead of D511)</v>
      </c>
      <c r="B13" s="19" t="str">
        <v>AOW05</v>
      </c>
      <c r="C13" s="18" t="str">
        <v>5.2. Enhanced capacity for designing, implementing and tracking climate policies, projects and financing</v>
      </c>
      <c r="D13" s="19">
        <v>94742</v>
      </c>
      <c r="F13" s="19" t="str">
        <v>Assumes 20% of the project budget is allocated to AoW2.</v>
      </c>
    </row>
    <row r="14" ht="30" customHeight="1">
      <c r="A14" s="18" t="str">
        <v>UNITED KINGDOM - FCDO -iSPARK: Innovation in sustainability, policy, adaptation and resilience in Kenya (IA Lead of D511)</v>
      </c>
      <c r="B14" s="19" t="str">
        <v>AOW02</v>
      </c>
      <c r="C14" s="18" t="str">
        <v>2.1.1 &amp; 2.2.1 Climate information products and services</v>
      </c>
      <c r="D14" s="19">
        <v>378967</v>
      </c>
      <c r="F14" s="19" t="str">
        <v>Assumes 80% of the project budget is allocated to AoW2.</v>
      </c>
    </row>
    <row r="15" ht="30" customHeight="1">
      <c r="A15" s="18" t="str">
        <v>CANADA-MEDA-The Adaptation and Valorization of Entrepreneurship in Irrigated Agriculture _ AVENIR</v>
      </c>
      <c r="B15" s="19" t="str">
        <v>AOW00</v>
      </c>
      <c r="C15" s="18" t="str">
        <v>New finance for just climate action and transitions</v>
      </c>
      <c r="D15" s="19">
        <v>0</v>
      </c>
      <c r="E15" s="19" t="str">
        <f>=SUM(D15:D16)</f>
        <v>0</v>
      </c>
    </row>
    <row r="16" ht="30" customHeight="1">
      <c r="A16" s="18" t="str">
        <v>CANADA-MEDA-The Adaptation and Valorization of Entrepreneurship in Irrigated Agriculture _ AVENIR</v>
      </c>
      <c r="B16" s="19" t="str">
        <v>AOW02</v>
      </c>
      <c r="C16" s="18" t="str">
        <v>2.1.1 &amp; 2.2.1 Climate information products and services</v>
      </c>
      <c r="D16" s="19">
        <v>438112</v>
      </c>
      <c r="F16" s="19" t="str">
        <v>None</v>
      </c>
    </row>
    <row r="17" ht="30" customHeight="1">
      <c r="A17" s="18" t="str">
        <v>PREPARATION PHASE - "Supporting Colombia’s Just Energy Transition, climate resilience, and food security through the introduction of inclusive agri-photovoltaic systems" (JET-AgriSOL)</v>
      </c>
      <c r="B17" s="19" t="str">
        <v>AOW00</v>
      </c>
      <c r="C17" s="18" t="str">
        <v>New finance for just climate action and transitions</v>
      </c>
      <c r="D17" s="19">
        <v>0</v>
      </c>
      <c r="E17" s="19" t="str">
        <f>=SUM(D17:D18)</f>
        <v>0</v>
      </c>
    </row>
    <row r="18" ht="30" customHeight="1">
      <c r="A18" s="18" t="str">
        <v>PREPARATION PHASE - "Supporting Colombia’s Just Energy Transition, climate resilience, and food security through the introduction of inclusive agri-photovoltaic systems" (JET-AgriSOL)</v>
      </c>
      <c r="B18" s="19" t="str">
        <v>AOW04</v>
      </c>
      <c r="C18" s="18" t="str">
        <v>4.5. Increased agency of women, youth and marginalized groups for climate mitigation</v>
      </c>
      <c r="D18" s="19">
        <v>534655</v>
      </c>
      <c r="F18" s="19" t="str">
        <v>None</v>
      </c>
    </row>
    <row r="19" ht="30" customHeight="1">
      <c r="A19" s="18" t="str">
        <v>WB-IDA-Additional Financing to the Accelerating Impacts of CGIAR Climate Research for Africa (AICCRA)</v>
      </c>
      <c r="B19" s="19" t="str">
        <v>AOW00</v>
      </c>
      <c r="C19" s="18" t="str">
        <v>New finance for just climate action and transitions</v>
      </c>
      <c r="D19" s="19">
        <v>0</v>
      </c>
      <c r="E19" s="19" t="str">
        <f>=SUM(D19:D23)</f>
        <v>0</v>
      </c>
    </row>
    <row r="20" ht="30" customHeight="1">
      <c r="A20" s="18" t="str">
        <v>WB-IDA-Additional Financing to the Accelerating Impacts of CGIAR Climate Research for Africa (AICCRA)</v>
      </c>
      <c r="B20" s="19" t="str">
        <v>AOW05</v>
      </c>
      <c r="C20" s="18" t="str">
        <v>5.2. Enhanced capacity for designing, implementing and tracking climate policies, projects and financing</v>
      </c>
      <c r="D20" s="19">
        <v>624890</v>
      </c>
      <c r="F20" s="19" t="str">
        <v>Assumes 20% of the project budget is allocated to AoW</v>
      </c>
    </row>
    <row r="21" ht="30" customHeight="1">
      <c r="A21" s="18" t="str">
        <v>WB-IDA-Additional Financing to the Accelerating Impacts of CGIAR Climate Research for Africa (AICCRA)</v>
      </c>
      <c r="B21" s="19" t="str">
        <v>AOW01</v>
      </c>
      <c r="C21" s="18" t="str">
        <v>1.1.1. &amp; 1.2.1 &amp; 1.3.1 Global and regional partnerships</v>
      </c>
      <c r="D21" s="19">
        <v>624890</v>
      </c>
      <c r="F21" s="19" t="str">
        <v>Assumes 20% of the project budget is allocated to AoW</v>
      </c>
    </row>
    <row r="22" ht="30" customHeight="1">
      <c r="A22" s="18" t="str">
        <v>WB-IDA-Additional Financing to the Accelerating Impacts of CGIAR Climate Research for Africa (AICCRA)</v>
      </c>
      <c r="B22" s="19" t="str">
        <v>AOW02</v>
      </c>
      <c r="C22" s="18" t="str">
        <v>2.1.1 &amp; 2.2.1 Climate information products and services</v>
      </c>
      <c r="D22" s="19">
        <v>1249779</v>
      </c>
      <c r="F22" s="19" t="str">
        <v>Assumes 40% of the project budget is allocated to AoW.</v>
      </c>
    </row>
    <row r="23" ht="30" customHeight="1">
      <c r="A23" s="18" t="str">
        <v>WB-IDA-Additional Financing to the Accelerating Impacts of CGIAR Climate Research for Africa (AICCRA)</v>
      </c>
      <c r="B23" s="19" t="str">
        <v>AOW03</v>
      </c>
      <c r="C23" s="18" t="str">
        <v>3.1.1. Institutional innovations and technical practices</v>
      </c>
      <c r="D23" s="19">
        <v>624890</v>
      </c>
      <c r="F23" s="19" t="str">
        <v>Assumes 20% of the project budget is allocated to AoW.</v>
      </c>
    </row>
    <row r="24" ht="30" customHeight="1">
      <c r="A24" s="18" t="str">
        <v>BMGF-Adaptation Atlas: Refinement and Transition</v>
      </c>
      <c r="B24" s="19" t="str">
        <v>AOW00</v>
      </c>
      <c r="C24" s="18" t="str">
        <v>New finance for just climate action and transitions</v>
      </c>
      <c r="D24" s="19">
        <v>0</v>
      </c>
      <c r="E24" s="19" t="str">
        <f>=SUM(D24:D26)</f>
        <v>0</v>
      </c>
    </row>
    <row r="25" ht="30" customHeight="1">
      <c r="A25" s="18" t="str">
        <v>BMGF-Adaptation Atlas: Refinement and Transition</v>
      </c>
      <c r="B25" s="19" t="str">
        <v>AOW05</v>
      </c>
      <c r="C25" s="18" t="str">
        <v>5.2. Enhanced capacity for designing, implementing and tracking climate policies, projects and financing</v>
      </c>
      <c r="D25" s="19">
        <v>0</v>
      </c>
    </row>
    <row r="26" ht="30" customHeight="1">
      <c r="A26" s="18" t="str">
        <v>BMGF-Adaptation Atlas: Refinement and Transition</v>
      </c>
      <c r="B26" s="19" t="str">
        <v>AOW01</v>
      </c>
      <c r="C26" s="18" t="str">
        <v>1.1. Utlization of harmonized data, evidence, methodologies, frameworks and insights</v>
      </c>
      <c r="D26" s="19">
        <v>0</v>
      </c>
    </row>
    <row r="27" ht="30" customHeight="1">
      <c r="A27" s="18" t="str">
        <v>GAC-SCALING UP CLIMATE INFORMATION SERVICES AND CLIMATE- SMART AGRICULTURE FOR WOMEN FARMERS IN NICARAGUA’S  DRY CORRIDOR</v>
      </c>
      <c r="B27" s="19" t="str">
        <v>AOW00</v>
      </c>
      <c r="C27" s="18" t="str">
        <v>New or improved climate policies</v>
      </c>
      <c r="D27" s="19">
        <v>0</v>
      </c>
      <c r="E27" s="19" t="str">
        <f>=SUM(D27:D28)</f>
        <v>0</v>
      </c>
    </row>
    <row r="28" ht="30" customHeight="1">
      <c r="A28" s="18" t="str">
        <v>GAC-SCALING UP CLIMATE INFORMATION SERVICES AND CLIMATE- SMART AGRICULTURE FOR WOMEN FARMERS IN NICARAGUA’S  DRY CORRIDOR</v>
      </c>
      <c r="B28" s="19" t="str">
        <v>AOW02</v>
      </c>
      <c r="C28" s="18" t="str">
        <v>2.1.1 &amp; 2.2.1 Climate information products and services</v>
      </c>
      <c r="D28" s="19">
        <v>0</v>
      </c>
    </row>
    <row r="29" ht="30" customHeight="1">
      <c r="A29" s="3" t="str">
        <v>W3/Bilateral projects subtotal</v>
      </c>
      <c r="E29" s="3">
        <f>SUM(E2:E28)</f>
      </c>
    </row>
  </sheetData>
  <mergeCells count="19">
    <mergeCell ref="A2:A4"/>
    <mergeCell ref="A5:A6"/>
    <mergeCell ref="A7:A11"/>
    <mergeCell ref="A12:A14"/>
    <mergeCell ref="A15:A16"/>
    <mergeCell ref="A17:A18"/>
    <mergeCell ref="A19:A23"/>
    <mergeCell ref="A24:A26"/>
    <mergeCell ref="A27:A28"/>
    <mergeCell ref="E2:E4"/>
    <mergeCell ref="E5:E6"/>
    <mergeCell ref="E7:E11"/>
    <mergeCell ref="E12:E14"/>
    <mergeCell ref="E15:E16"/>
    <mergeCell ref="E17:E18"/>
    <mergeCell ref="E19:E23"/>
    <mergeCell ref="E24:E26"/>
    <mergeCell ref="E27:E28"/>
    <mergeCell ref="A29:D29"/>
  </mergeCells>
  <ignoredErrors>
    <ignoredError numberStoredAsText="1" sqref="A1:F29"/>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17391</v>
      </c>
      <c r="D2" s="20">
        <v>55000</v>
      </c>
      <c r="E2" s="20">
        <v>0</v>
      </c>
      <c r="F2" s="20">
        <v>0</v>
      </c>
      <c r="G2" s="20">
        <v>90000</v>
      </c>
      <c r="H2" s="20" t="str">
        <f>=SUM(B2:G2)</f>
        <v>0</v>
      </c>
    </row>
    <row r="3" ht="20" customHeight="1">
      <c r="A3" s="20" t="str">
        <v>Operations (supplies, consultants, travels, workshops, other)</v>
      </c>
      <c r="B3" s="20">
        <v>0</v>
      </c>
      <c r="C3" s="20">
        <v>177016</v>
      </c>
      <c r="D3" s="20">
        <v>144148</v>
      </c>
      <c r="E3" s="20">
        <v>0</v>
      </c>
      <c r="F3" s="20">
        <v>217550</v>
      </c>
      <c r="G3" s="20">
        <v>79244</v>
      </c>
      <c r="H3" s="20" t="str">
        <f>=SUM(B3:G3)</f>
        <v>0</v>
      </c>
    </row>
    <row r="4" ht="20" customHeight="1">
      <c r="A4" s="20" t="str">
        <v>Staffing, Chargebacks and Indirect</v>
      </c>
      <c r="B4" s="20">
        <v>0</v>
      </c>
      <c r="C4" s="20">
        <v>1015236</v>
      </c>
      <c r="D4" s="20">
        <v>588020</v>
      </c>
      <c r="E4" s="20">
        <v>0</v>
      </c>
      <c r="F4" s="20">
        <v>467450</v>
      </c>
      <c r="G4" s="20">
        <v>720524</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