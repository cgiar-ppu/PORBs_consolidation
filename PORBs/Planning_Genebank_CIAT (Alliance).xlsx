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Biodiversity Conservation</v>
      </c>
      <c r="B5" s="2">
        <v>10</v>
      </c>
      <c r="C5" s="5">
        <v>305000</v>
      </c>
      <c r="D5" s="2">
        <v>3</v>
      </c>
      <c r="E5" s="5">
        <v>15000</v>
      </c>
      <c r="F5" s="2">
        <v>0</v>
      </c>
      <c r="G5" s="5">
        <v>0</v>
      </c>
      <c r="H5" s="2">
        <v>5529</v>
      </c>
      <c r="I5" s="5">
        <v>2633621</v>
      </c>
      <c r="J5" s="5">
        <v>0</v>
      </c>
      <c r="K5" s="5">
        <v>0</v>
      </c>
      <c r="L5" s="5">
        <v>2953621</v>
      </c>
      <c r="M5" s="5">
        <v>804665</v>
      </c>
    </row>
    <row r="6" ht="20" customHeight="1">
      <c r="A6" s="2" t="str">
        <v>AOW02: Strategic User Engagement</v>
      </c>
      <c r="B6" s="2">
        <v>0</v>
      </c>
      <c r="C6" s="5">
        <v>100000</v>
      </c>
      <c r="D6" s="2">
        <v>4</v>
      </c>
      <c r="E6" s="5">
        <v>5000</v>
      </c>
      <c r="F6" s="2">
        <v>0</v>
      </c>
      <c r="G6" s="5">
        <v>0</v>
      </c>
      <c r="H6" s="2">
        <v>10</v>
      </c>
      <c r="I6" s="5">
        <v>24000</v>
      </c>
      <c r="J6" s="5">
        <v>0</v>
      </c>
      <c r="K6" s="5">
        <v>0</v>
      </c>
      <c r="L6" s="5">
        <v>129000</v>
      </c>
      <c r="M6" s="5">
        <v>92666</v>
      </c>
    </row>
    <row r="7" ht="20" customHeight="1">
      <c r="A7" s="2" t="str">
        <v>AOW03: Genetic Resources Policy</v>
      </c>
      <c r="B7" s="2">
        <v>0</v>
      </c>
      <c r="C7" s="5">
        <v>0</v>
      </c>
      <c r="D7" s="2">
        <v>0</v>
      </c>
      <c r="E7" s="5">
        <v>0</v>
      </c>
      <c r="F7" s="2">
        <v>0</v>
      </c>
      <c r="G7" s="5">
        <v>0</v>
      </c>
      <c r="H7" s="2">
        <v>0</v>
      </c>
      <c r="I7" s="5">
        <v>0</v>
      </c>
      <c r="J7" s="5">
        <v>0</v>
      </c>
      <c r="K7" s="5">
        <v>0</v>
      </c>
      <c r="L7" s="5">
        <v>0</v>
      </c>
      <c r="M7" s="5">
        <v>0</v>
      </c>
    </row>
    <row r="8" ht="20" customHeight="1">
      <c r="A8" s="2" t="str">
        <v>AOW04: Germplasm Health</v>
      </c>
      <c r="B8" s="2">
        <v>5</v>
      </c>
      <c r="C8" s="5">
        <v>110000</v>
      </c>
      <c r="D8" s="2">
        <v>4</v>
      </c>
      <c r="E8" s="5">
        <v>40000</v>
      </c>
      <c r="F8" s="2">
        <v>0</v>
      </c>
      <c r="G8" s="5">
        <v>0</v>
      </c>
      <c r="H8" s="2">
        <v>107</v>
      </c>
      <c r="I8" s="5">
        <v>80000</v>
      </c>
      <c r="J8" s="5">
        <v>0</v>
      </c>
      <c r="K8" s="5">
        <v>0</v>
      </c>
      <c r="L8" s="5">
        <v>230000</v>
      </c>
      <c r="M8" s="5">
        <v>0</v>
      </c>
    </row>
    <row r="9" ht="20" customHeight="1">
      <c r="A9" s="2" t="str">
        <v>AOW05: Strengthening Capacity for In Situ and Ex Situ Conservation Globally</v>
      </c>
      <c r="B9" s="2">
        <v>0</v>
      </c>
      <c r="C9" s="5">
        <v>0</v>
      </c>
      <c r="D9" s="2">
        <v>0</v>
      </c>
      <c r="E9" s="5">
        <v>0</v>
      </c>
      <c r="F9" s="2">
        <v>0</v>
      </c>
      <c r="G9" s="5">
        <v>52000</v>
      </c>
      <c r="H9" s="2">
        <v>41</v>
      </c>
      <c r="I9" s="5">
        <v>0</v>
      </c>
      <c r="J9" s="5">
        <v>0</v>
      </c>
      <c r="K9" s="5">
        <v>0</v>
      </c>
      <c r="L9" s="5">
        <v>52000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AoW Lead</v>
      </c>
      <c r="D2" s="11">
        <v>0</v>
      </c>
    </row>
    <row r="3" ht="45" customHeight="1">
      <c r="A3" s="11" t="str">
        <v>AOW00</v>
      </c>
      <c r="B3" s="11" t="str">
        <v>Discretionary Funds</v>
      </c>
      <c r="D3" s="11">
        <v>0</v>
      </c>
    </row>
    <row r="4" ht="45" customHeight="1">
      <c r="A4" s="11" t="str">
        <v>AOW00</v>
      </c>
      <c r="B4" s="11" t="str">
        <v>Annual planning + consultation + communications</v>
      </c>
      <c r="D4" s="11">
        <v>0</v>
      </c>
    </row>
    <row r="5" ht="45" customHeight="1">
      <c r="A5" s="11" t="str">
        <v>AOW00</v>
      </c>
      <c r="B5" s="11" t="str">
        <v>Admin Assistant</v>
      </c>
      <c r="C5" s="11" t="str">
        <v>Admin support to be shared with 2 SPs.</v>
      </c>
      <c r="D5" s="11">
        <v>0</v>
      </c>
    </row>
    <row r="6" ht="45" customHeight="1">
      <c r="A6" s="11" t="str">
        <v>AOW00</v>
      </c>
      <c r="B6" s="11" t="str">
        <v>PMU (Coordinator, MELIA, Communication, Finance)</v>
      </c>
      <c r="D6" s="11">
        <v>0</v>
      </c>
    </row>
    <row r="7" ht="45" customHeight="1">
      <c r="A7" s="11" t="str">
        <v>AOW00</v>
      </c>
      <c r="B7" s="11" t="str">
        <v>Director costs</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4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 All collections conserved according to international standards and best practices</v>
      </c>
      <c r="C3" s="11" t="str">
        <v>1.1.6. Accessions distributed to users outside the Genebank each year</v>
      </c>
      <c r="D3" s="11" t="str">
        <v xml:space="preserve"> </v>
      </c>
      <c r="E3" s="11" t="str">
        <v>Global</v>
      </c>
      <c r="F3" s="11">
        <v>4000</v>
      </c>
      <c r="G3" s="11">
        <v>178621</v>
      </c>
      <c r="H3" s="11">
        <f>SUM(G3:G8)</f>
      </c>
      <c r="I3" s="11" t="str">
        <v>This KPI depends on the demand for germplasm by external partners and Alliance breeding programs</v>
      </c>
    </row>
    <row r="4" ht="50" customHeight="1">
      <c r="A4" s="11" t="str">
        <v>AOW01</v>
      </c>
      <c r="C4" s="11" t="str">
        <v>1.1.5. Crop collections reach and sustain genebank performance targets  (90% availability, safety duplication, documentation and Quality Management System (QMS))</v>
      </c>
      <c r="D4" s="11" t="str">
        <v xml:space="preserve"> </v>
      </c>
      <c r="E4" s="11" t="str">
        <v>Global</v>
      </c>
      <c r="F4" s="11">
        <v>3</v>
      </c>
      <c r="G4" s="11">
        <v>530000</v>
      </c>
      <c r="I4" s="11" t="str">
        <v>We already have met performance targets for beans and forages, and expect to meet them for cassava as well, asssuming the nano-culture-based safety-duplication system performs as expected.</v>
      </c>
    </row>
    <row r="5" ht="50" customHeight="1">
      <c r="A5" s="11" t="str">
        <v>AOW01</v>
      </c>
      <c r="C5" s="11" t="str">
        <v>1.1.1. Accessions made available for global distribution from CGIAR genebanks</v>
      </c>
      <c r="D5" s="11" t="str">
        <v xml:space="preserve"> </v>
      </c>
      <c r="E5" s="11" t="str">
        <v>Global</v>
      </c>
      <c r="F5" s="11">
        <v>93</v>
      </c>
      <c r="G5" s="11">
        <v>530000</v>
      </c>
      <c r="I5" s="11" t="str">
        <v>After having to abandon two regeneration sites because of threats from guerrilla groups, we need to establish two new sites in more remote (but safer areas) in Colombia; thisis considerably slowing down the regeneration of collections.</v>
      </c>
    </row>
    <row r="6" ht="50" customHeight="1">
      <c r="A6" s="11" t="str">
        <v>AOW01</v>
      </c>
      <c r="C6" s="11" t="str">
        <v>1.1.4. Average number of Quality Management System (QMS) elements in place across genebanks</v>
      </c>
      <c r="D6" s="11" t="str">
        <v xml:space="preserve"> </v>
      </c>
      <c r="E6" s="11" t="str">
        <v>Global</v>
      </c>
      <c r="F6" s="11">
        <v>40</v>
      </c>
      <c r="G6" s="11">
        <v>150000</v>
      </c>
      <c r="I6" s="11" t="str">
        <v>After moving to the new genebank building, many conservation processes have been adjusted to the new laboratories and most of the SOPs require updating; we also need to spend time to consolidate the four different risk matrices we had to create for differ</v>
      </c>
    </row>
    <row r="7" ht="50" customHeight="1">
      <c r="A7" s="11" t="str">
        <v>AOW01</v>
      </c>
      <c r="C7" s="11" t="str">
        <v>1.1.2. Seed accessions managed at CGIAR genebanks safety duplicated at two sites</v>
      </c>
      <c r="D7" s="11" t="str">
        <v xml:space="preserve"> </v>
      </c>
      <c r="E7" s="11" t="str">
        <v>Global</v>
      </c>
      <c r="F7" s="11">
        <v>94</v>
      </c>
      <c r="G7" s="11">
        <v>180000</v>
      </c>
      <c r="I7" s="11" t="str">
        <v>The number of accessions to be safety duplicated at CIMMYT and Svalbard will be lower than usual because of the forced relocation of regeneration sites due to security threats as well as the loss of many accessions due to a CIAT-campus-wide infestation of</v>
      </c>
    </row>
    <row r="8" ht="50" customHeight="1">
      <c r="A8" s="11" t="str">
        <v>AOW01</v>
      </c>
      <c r="C8" s="11" t="str">
        <v>1.1.3. Clonal accessions managed at CGIAR genebanks safety duplicated at one site</v>
      </c>
      <c r="D8" s="11" t="str">
        <v xml:space="preserve"> </v>
      </c>
      <c r="E8" s="11" t="str">
        <v>Global</v>
      </c>
      <c r="F8" s="11">
        <v>90</v>
      </c>
      <c r="G8" s="11">
        <v>180000</v>
      </c>
      <c r="I8" s="11" t="str">
        <v>We assume that the new nano-culture-based safety-duplication system performs as expected</v>
      </c>
    </row>
    <row r="9" ht="50" customHeight="1">
      <c r="A9" s="11" t="str">
        <v>AOW01</v>
      </c>
      <c r="B9" s="11" t="str">
        <v>1.2. Innovations to enhance the efficiency of conserving collections</v>
      </c>
      <c r="C9" s="11" t="str">
        <v>1.2.5. Journal articles related to innovations to Seed Quality Management (SQM), in vitro and cryopreservation published each year</v>
      </c>
      <c r="D9" s="11" t="str">
        <v>Number of knowledge products</v>
      </c>
      <c r="E9" s="11" t="str">
        <v>Global</v>
      </c>
      <c r="F9" s="11">
        <v>1</v>
      </c>
      <c r="G9" s="11">
        <v>5000</v>
      </c>
      <c r="H9" s="11">
        <f>SUM(G9:G13)</f>
      </c>
      <c r="I9" s="11" t="str">
        <v>There are several topics (such as the efficiency of the nano-culture system for cassava) in the pipeline to be published, time permitting (we always have to prioritize routine operations over publications).</v>
      </c>
    </row>
    <row r="10" ht="50" customHeight="1">
      <c r="A10" s="11" t="str">
        <v>AOW01</v>
      </c>
      <c r="C10" s="11" t="str">
        <v>1.2.3. Clonal accessions managed at CGIAR genebanks cryopreserved</v>
      </c>
      <c r="D10" s="11" t="str">
        <v xml:space="preserve"> </v>
      </c>
      <c r="E10" s="11" t="str">
        <v>Global</v>
      </c>
      <c r="F10" s="11">
        <v>5</v>
      </c>
      <c r="G10" s="11">
        <v>240000</v>
      </c>
      <c r="I10" s="11" t="str">
        <v>Based on an intiial throughput estimate obtained during Q4 of 2025</v>
      </c>
    </row>
    <row r="11" ht="50" customHeight="1">
      <c r="A11" s="11" t="str">
        <v>AOW01</v>
      </c>
      <c r="C11" s="11" t="str">
        <v>1.2.1. Crops for which multispectral-imaging algorithms for seed characterization and/or viability estimation are available</v>
      </c>
      <c r="D11" s="11" t="str">
        <v>Number of innovations (innovation development)</v>
      </c>
      <c r="E11" s="11" t="str">
        <v>Global</v>
      </c>
      <c r="F11" s="11">
        <v>1</v>
      </c>
      <c r="G11" s="11">
        <v>155000</v>
      </c>
      <c r="I11" s="11" t="str">
        <v>We've starting using the Videometer to characterize the bean collection; this is a multi-year effort; this KPI includes funds for Aarhus University to coordinate SQM CoP of all CGIAR genebanks.</v>
      </c>
    </row>
    <row r="12" ht="50" customHeight="1">
      <c r="A12" s="11" t="str">
        <v>AOW01</v>
      </c>
      <c r="C12" s="11" t="str">
        <v>1.2.4. New or improved protocols to enhance the efficiency of conservation or to increase the availability of accessions</v>
      </c>
      <c r="D12" s="11" t="str">
        <v>Number of innovations (innovation development)</v>
      </c>
      <c r="E12" s="11" t="str">
        <v>Global</v>
      </c>
      <c r="F12" s="11">
        <v>5</v>
      </c>
      <c r="G12" s="11">
        <v>10000</v>
      </c>
      <c r="I12" s="11" t="str">
        <v>New pre-drying protocol for Tibaitatá station, Videometer protocol for bean seed shape characterization, protocol for new quarantine greenhouse, new growth chambers for wild bean species on campus, protocol for identifying contaminating bacteria in in-vit</v>
      </c>
    </row>
    <row r="13" ht="50" customHeight="1">
      <c r="A13" s="11" t="str">
        <v>AOW01</v>
      </c>
      <c r="C13" s="11" t="str">
        <v>1.2.2. Taxa for which new viability testing protocols are made available each year</v>
      </c>
      <c r="D13" s="11" t="str">
        <v>Number of innovations (innovation development)</v>
      </c>
      <c r="E13" s="11" t="str">
        <v>Global</v>
      </c>
      <c r="F13" s="11">
        <v>4</v>
      </c>
      <c r="G13" s="11">
        <v>140000</v>
      </c>
      <c r="I13" s="11" t="str">
        <v>2 Brachiaria species, 1 Panicum species, 1 pilot x-ray based legume viability protocol</v>
      </c>
    </row>
    <row r="14" ht="50" customHeight="1">
      <c r="A14" s="11" t="str">
        <v>AOW01</v>
      </c>
      <c r="B14" s="11" t="str">
        <v xml:space="preserve">1.3. Optimized collection composition and structure to represent crop gene pools </v>
      </c>
      <c r="C14" s="11" t="str">
        <v>1.3.4. Journal articles related to optimized collections published</v>
      </c>
      <c r="D14" s="11" t="str">
        <v>Number of knowledge products</v>
      </c>
      <c r="E14" s="11" t="str">
        <v>Global</v>
      </c>
      <c r="F14" s="11">
        <v>2</v>
      </c>
      <c r="G14" s="11">
        <v>10000</v>
      </c>
      <c r="H14" s="11">
        <f>SUM(G14:G17)</f>
      </c>
      <c r="I14" s="11" t="str">
        <v>Results for Brachiaria, Panicum, Brachiaria, and/or Stylosanthes studies</v>
      </c>
    </row>
    <row r="15" ht="50" customHeight="1">
      <c r="A15" s="11" t="str">
        <v>AOW01</v>
      </c>
      <c r="C15" s="11" t="str">
        <v xml:space="preserve">1.3.3. Updated document on CGIAR accession management to include criteria and policies for eliminating redundant accessions </v>
      </c>
      <c r="D15" s="11" t="str">
        <v>Number of knowledge products</v>
      </c>
      <c r="E15" s="11" t="str">
        <v>Global</v>
      </c>
      <c r="F15" s="11">
        <v>1</v>
      </c>
      <c r="G15" s="11">
        <v>0</v>
      </c>
    </row>
    <row r="16" ht="50" customHeight="1">
      <c r="A16" s="11" t="str">
        <v>AOW01</v>
      </c>
      <c r="C16" s="11" t="str">
        <v>1.3.2. Accessions earmarked as potentially redundant and/or archived each year</v>
      </c>
      <c r="D16" s="11" t="str">
        <v xml:space="preserve"> </v>
      </c>
      <c r="E16" s="11" t="str">
        <v>Global</v>
      </c>
      <c r="F16" s="11">
        <v>1000</v>
      </c>
      <c r="G16" s="11">
        <v>75000</v>
      </c>
      <c r="I16" s="11" t="str">
        <v>Based on results of a cassava redundancy study using DArTseq markers</v>
      </c>
    </row>
    <row r="17" ht="50" customHeight="1">
      <c r="A17" s="11" t="str">
        <v>AOW01</v>
      </c>
      <c r="C17" s="11" t="str">
        <v>1.3.1. New accessions acquired from in/ex situ</v>
      </c>
      <c r="D17" s="11" t="str">
        <v xml:space="preserve"> </v>
      </c>
      <c r="E17" s="11" t="str">
        <v>Global</v>
      </c>
      <c r="F17" s="11">
        <v>20</v>
      </c>
      <c r="G17" s="11">
        <v>20000</v>
      </c>
      <c r="I17" s="11" t="str">
        <v>New Phaseolus spp. Populations collected during the last mssion to New Mexico, USA</v>
      </c>
    </row>
    <row r="18" ht="50" customHeight="1">
      <c r="A18" s="11" t="str">
        <v>AOW01</v>
      </c>
      <c r="B18" s="11" t="str">
        <v>1.4. Effective and AI-ready data management systems using harmonized data standards across Centers</v>
      </c>
      <c r="C18" s="11" t="str">
        <v>1.4.2. Average % of genebank processes fully digitized through AI-ready, state-of-the-art database systems that adhere to harmonized data standards</v>
      </c>
      <c r="D18" s="11" t="str">
        <v xml:space="preserve"> </v>
      </c>
      <c r="E18" s="11" t="str">
        <v>Global</v>
      </c>
      <c r="F18" s="11">
        <v>94</v>
      </c>
      <c r="G18" s="11">
        <v>480000</v>
      </c>
      <c r="H18" s="11">
        <f>SUM(G18:G20)</f>
      </c>
      <c r="I18" s="11" t="str">
        <v>Based on plans for migrating the bean, forages, and cassava collection to GGCE</v>
      </c>
    </row>
    <row r="19" ht="50" customHeight="1">
      <c r="A19" s="11" t="str">
        <v>AOW01</v>
      </c>
      <c r="C19" s="11" t="str">
        <v>1.4.3. Datasets uploaded to the GIGWA database to manage molecular accession data</v>
      </c>
      <c r="D19" s="11" t="str">
        <v xml:space="preserve"> </v>
      </c>
      <c r="E19" s="11" t="str">
        <v>Global</v>
      </c>
      <c r="F19" s="11">
        <v>2</v>
      </c>
      <c r="G19" s="11">
        <v>30000</v>
      </c>
      <c r="I19" s="11" t="str">
        <v>Brachiaria, Panicum, and/or Stylosanthes data sets</v>
      </c>
    </row>
    <row r="20" ht="50" customHeight="1">
      <c r="A20" s="11" t="str">
        <v>AOW01</v>
      </c>
      <c r="C20" s="11" t="str">
        <v>1.4.1. Average % of accessions for which all static (passport, characterization, etc.) and dynamic (inventory, viability, etc.) data have been fully curated/validated</v>
      </c>
      <c r="D20" s="11" t="str">
        <v xml:space="preserve"> </v>
      </c>
      <c r="E20" s="11" t="str">
        <v>Global</v>
      </c>
      <c r="F20" s="11">
        <v>88</v>
      </c>
      <c r="G20" s="11">
        <v>40000</v>
      </c>
      <c r="I20" s="11" t="str">
        <v>Based on ongoing data curation and migration efforts</v>
      </c>
    </row>
    <row r="21" ht="25" customHeight="1">
      <c r="B21" s="14" t="str">
        <v>HLO budget subtotal</v>
      </c>
      <c r="H21" s="15">
        <f>SUM(H3:H20)</f>
      </c>
    </row>
    <row r="22" ht="50" customHeight="1">
      <c r="A22" s="13" t="str">
        <v>AOW02</v>
      </c>
      <c r="B22" s="11" t="str">
        <v>2.2. Enhanced germplasm information for more precise accession targeting</v>
      </c>
      <c r="C22" s="11" t="str">
        <v>2.2.2. Journal articles related to enhanced accessions data published</v>
      </c>
      <c r="D22" s="11" t="str">
        <v>Number of knowledge products</v>
      </c>
      <c r="E22" s="11" t="str">
        <v>Global</v>
      </c>
      <c r="F22" s="11">
        <v>4</v>
      </c>
      <c r="G22" s="11">
        <v>5000</v>
      </c>
      <c r="H22" s="11">
        <f>SUM(G22:G23)</f>
      </c>
      <c r="I22" s="11" t="str">
        <v>Participation in a article on the topic of identifying Low Methane Forages</v>
      </c>
    </row>
    <row r="23" ht="50" customHeight="1">
      <c r="A23" s="11" t="str">
        <v>AOW02</v>
      </c>
      <c r="C23" s="11" t="str">
        <v>2.2.1. Datasets generated and uploaded into open-source databases ​</v>
      </c>
      <c r="D23" s="11" t="str">
        <v xml:space="preserve"> </v>
      </c>
      <c r="E23" s="11" t="str">
        <v>Global</v>
      </c>
      <c r="F23" s="11">
        <v>5</v>
      </c>
      <c r="G23" s="11">
        <v>15000</v>
      </c>
      <c r="I23" s="11" t="str">
        <v>Several, mostly historical datasets are being or have been curated and can be uploaded to Genesys</v>
      </c>
    </row>
    <row r="24" ht="50" customHeight="1">
      <c r="A24" s="11" t="str">
        <v>AOW02</v>
      </c>
      <c r="B24" s="11" t="str">
        <v>2.4. Genebank product development to enhance diversity use</v>
      </c>
      <c r="C24" s="11" t="str">
        <v>2.4.2. Subsets developed and uploaded in GENESYS</v>
      </c>
      <c r="D24" s="11" t="str">
        <v xml:space="preserve"> </v>
      </c>
      <c r="E24" s="11" t="str">
        <v>Global</v>
      </c>
      <c r="F24" s="11">
        <v>5</v>
      </c>
      <c r="G24" s="11">
        <v>9000</v>
      </c>
      <c r="H24" s="11">
        <f>SUM(G24:G25)</f>
      </c>
      <c r="I24" s="11" t="str">
        <v>Subsets to be generated in Genesys based on germplasm characterization studies by the genebank or genebank users</v>
      </c>
    </row>
    <row r="25" ht="50" customHeight="1">
      <c r="A25" s="11" t="str">
        <v>AOW02</v>
      </c>
      <c r="C25" s="11" t="str">
        <v xml:space="preserve">2.4.1. AI-supported subset generation approach further developed </v>
      </c>
      <c r="D25" s="11" t="str">
        <v>Number of innovations (innovation development)</v>
      </c>
      <c r="E25" s="11" t="str">
        <v>Global</v>
      </c>
      <c r="F25" s="11">
        <v>1</v>
      </c>
      <c r="G25" s="11">
        <v>100000</v>
      </c>
      <c r="I25" s="11" t="str">
        <v>Restarting joint Alliance-ICARDA efforts to further develop the existing subsetting tool by incorporating AI and/or linking to genetic data</v>
      </c>
    </row>
    <row r="26" ht="25" customHeight="1">
      <c r="B26" s="15" t="str">
        <v>HLO budget subtotal</v>
      </c>
      <c r="H26" s="15">
        <f>SUM(H22:H25)</f>
      </c>
    </row>
    <row r="27" ht="50" customHeight="1">
      <c r="A27" s="13" t="str">
        <v>AOW04</v>
      </c>
      <c r="B27" s="11" t="str">
        <v>4.1. Optimized phytosanitary health delivery system</v>
      </c>
      <c r="C27" s="11" t="str">
        <v>4.1.4. Harmonized/updated SOPs/QMS processes and standards</v>
      </c>
      <c r="D27" s="11" t="str">
        <v xml:space="preserve"> </v>
      </c>
      <c r="E27" s="11" t="str">
        <v>Global</v>
      </c>
      <c r="F27" s="11">
        <v>6</v>
      </c>
      <c r="G27" s="11">
        <v>20000</v>
      </c>
      <c r="H27" s="11">
        <f>SUM(G27:G30)</f>
      </c>
      <c r="I27" s="11" t="str">
        <v>Updating of six SOPs routinely used for pathogen detection in beans, tropical forages and cassavat; translate six SOPs into English</v>
      </c>
    </row>
    <row r="28" ht="50" customHeight="1">
      <c r="A28" s="11" t="str">
        <v>AOW04</v>
      </c>
      <c r="C28" s="11" t="str">
        <v>4.1.2. Germplasm Health Unit (GHU) data dashboards published</v>
      </c>
      <c r="D28" s="11" t="str">
        <v xml:space="preserve"> </v>
      </c>
      <c r="E28" s="11" t="str">
        <v>Global</v>
      </c>
      <c r="F28" s="11">
        <v>0</v>
      </c>
      <c r="G28" s="11">
        <v>0</v>
      </c>
    </row>
    <row r="29" ht="50" customHeight="1">
      <c r="A29" s="11" t="str">
        <v>AOW04</v>
      </c>
      <c r="C29" s="11" t="str">
        <v xml:space="preserve">4.1.1. Service requests processed on time per year </v>
      </c>
      <c r="D29" s="11" t="str">
        <v xml:space="preserve"> </v>
      </c>
      <c r="E29" s="11" t="str">
        <v>Global</v>
      </c>
      <c r="F29" s="11">
        <v>100</v>
      </c>
      <c r="G29" s="11">
        <v>45000</v>
      </c>
      <c r="I29" s="11" t="str">
        <v>On-demand pathogen testing of genebank accessions and breeding materials, the latter accounting for &gt;50%</v>
      </c>
    </row>
    <row r="30" ht="50" customHeight="1">
      <c r="A30" s="11" t="str">
        <v>AOW04</v>
      </c>
      <c r="C30" s="11" t="str">
        <v>4.1.3. GHUs applying costing processes and cost-recovery</v>
      </c>
      <c r="D30" s="11" t="str">
        <v xml:space="preserve"> </v>
      </c>
      <c r="E30" s="11" t="str">
        <v>Global</v>
      </c>
      <c r="F30" s="11">
        <v>1</v>
      </c>
      <c r="G30" s="11">
        <v>15000</v>
      </c>
      <c r="I30" s="11" t="str">
        <v>Costing study with guidance of CIAT Planning Department to verify previous GHU analyses to produce an executive report with the estimated costs</v>
      </c>
    </row>
    <row r="31" ht="50" customHeight="1">
      <c r="A31" s="11" t="str">
        <v>AOW04</v>
      </c>
      <c r="B31" s="11" t="str">
        <v>4.2. Improved diagnostics and novel therapies for efficient germplasm health testing and phytosanitation​</v>
      </c>
      <c r="C31" s="11" t="str">
        <v>4.2.1. Upgraded/new protocols for germplasm health diagnostics and health monitoring</v>
      </c>
      <c r="D31" s="11" t="str">
        <v>Number of innovations (innovation development)</v>
      </c>
      <c r="E31" s="11" t="str">
        <v>Global</v>
      </c>
      <c r="F31" s="11">
        <v>4</v>
      </c>
      <c r="G31" s="11">
        <v>55000</v>
      </c>
      <c r="H31" s="11">
        <f>SUM(G31:G32)</f>
      </c>
      <c r="I31" s="11" t="str">
        <v>PCR protocol for detecting Macrophomina phaseolina and Curvularia spp. in beans and tropical forages; real-time PCR (qPCR) protocol for detecting Xanthomonas axonopodis pv. phaseoli and Curtobacterium flaccumfaciens pv. flaccumfaciens; validation of the p</v>
      </c>
    </row>
    <row r="32" ht="50" customHeight="1">
      <c r="A32" s="11" t="str">
        <v>AOW04</v>
      </c>
      <c r="C32" s="11" t="str">
        <v>4.2.2. Improved phytosanitary protocols for clonal and seed germplasm, including novel virus therapies and chemicals for seed dressing</v>
      </c>
      <c r="D32" s="11" t="str">
        <v>Number of innovations (innovation development)</v>
      </c>
      <c r="E32" s="11" t="str">
        <v>Global</v>
      </c>
      <c r="F32" s="11">
        <v>1</v>
      </c>
      <c r="G32" s="11">
        <v>55000</v>
      </c>
      <c r="I32" s="11" t="str">
        <v>High-throughput sequencing (HTS) of samples from genebank accessions to identify emerging pathogens and quarantine viruses; refinement of Nanopore sequencing an other advanced methods for the characterization of fungal and bacterial reference strains</v>
      </c>
    </row>
    <row r="33" ht="50" customHeight="1">
      <c r="A33" s="11" t="str">
        <v>AOW04</v>
      </c>
      <c r="B33" s="11" t="str">
        <v>4.3. Enhanced knowledge for effective control of germplasm-borne pests and diseases</v>
      </c>
      <c r="C33" s="11" t="str">
        <v>4.3.3. Knowledge products on key seed-borne pests and diseases published</v>
      </c>
      <c r="D33" s="11" t="str">
        <v>Number of knowledge products</v>
      </c>
      <c r="E33" s="11" t="str">
        <v>Global</v>
      </c>
      <c r="F33" s="11">
        <v>3</v>
      </c>
      <c r="G33" s="11">
        <v>20000</v>
      </c>
      <c r="H33" s="11">
        <f>SUM(G33:G35)</f>
      </c>
      <c r="I33" s="11" t="str">
        <v>Report detailing the preparation and analysis of a HTS library; preparation of a scientific publication on “Cryptic Virus Bottlenecks to Clonal Crop Distribution" in collaboration with the GHU CoP; report on the sequencing of 2-3 fungal and bacterial refe</v>
      </c>
    </row>
    <row r="34" ht="50" customHeight="1">
      <c r="A34" s="11" t="str">
        <v>AOW04</v>
      </c>
      <c r="C34" s="11" t="str">
        <v xml:space="preserve">4.3.1. P&amp;D intercepted in germplasm </v>
      </c>
      <c r="D34" s="11" t="str">
        <v>Number of knowledge products</v>
      </c>
      <c r="E34" s="11" t="str">
        <v>Global</v>
      </c>
      <c r="F34" s="11">
        <v>1</v>
      </c>
      <c r="G34" s="11">
        <v>20000</v>
      </c>
      <c r="I34" s="11" t="str">
        <v>Develop and draft SOPs for the detection of contaminating bacteria and the use of HTS in evaluating the phytosanitary status of the in-vitro cassava collection</v>
      </c>
    </row>
    <row r="35" ht="50" customHeight="1">
      <c r="A35" s="11" t="str">
        <v>AOW04</v>
      </c>
      <c r="C35" s="11" t="str">
        <v>4.3.2. Augmented control measures to prevent seed-transmission.</v>
      </c>
      <c r="D35" s="11" t="str">
        <v xml:space="preserve"> </v>
      </c>
      <c r="E35" s="11" t="str">
        <v>Global</v>
      </c>
      <c r="F35" s="11">
        <v>0</v>
      </c>
      <c r="G35" s="11">
        <v>0</v>
      </c>
    </row>
    <row r="36" ht="50" customHeight="1">
      <c r="A36" s="11" t="str">
        <v>AOW04</v>
      </c>
      <c r="B36" s="11" t="str">
        <v>4.4. Systems-based phytosanitary protocol for expedited germplasm delivery​</v>
      </c>
      <c r="C36" s="11" t="str">
        <v>4.4.1. Average time to clear shipments under systems-based protocol.</v>
      </c>
      <c r="D36" s="11" t="str">
        <v xml:space="preserve"> </v>
      </c>
      <c r="E36" s="11" t="str">
        <v>Global</v>
      </c>
      <c r="F36" s="11">
        <v>0</v>
      </c>
      <c r="G36" s="11">
        <v>0</v>
      </c>
      <c r="H36" s="11">
        <f>SUM(G36:G37)</f>
      </c>
    </row>
    <row r="37" ht="50" customHeight="1">
      <c r="A37" s="11" t="str">
        <v>AOW04</v>
      </c>
      <c r="C37" s="11" t="str">
        <v>4.4.2. Formal protocols for expedited germplasm exchange developed through stakeholder consultations and submitted for accreditation by relevant NPPOs</v>
      </c>
      <c r="D37" s="11" t="str">
        <v>Number of knowledge products</v>
      </c>
      <c r="E37" s="11" t="str">
        <v>Global</v>
      </c>
      <c r="F37" s="11">
        <v>0</v>
      </c>
      <c r="G37" s="11">
        <v>0</v>
      </c>
    </row>
    <row r="38" ht="25" customHeight="1">
      <c r="B38" s="15" t="str">
        <v>HLO budget subtotal</v>
      </c>
      <c r="H38" s="15">
        <f>SUM(H27:H37)</f>
      </c>
    </row>
    <row r="39" ht="50" customHeight="1">
      <c r="A39" s="13" t="str">
        <v>AOW05</v>
      </c>
      <c r="B39" s="11" t="str">
        <v>5.2. Communities of Practices and networks  at a regional level for strategic conservation and use​</v>
      </c>
      <c r="C39" s="11" t="str">
        <v xml:space="preserve">5.2.1. Communities of Practice (CoPs) / networks in place, created, or re-activated </v>
      </c>
      <c r="D39" s="11" t="str">
        <v xml:space="preserve"> </v>
      </c>
      <c r="E39" s="11" t="str">
        <v>Regional: Africa, Asia, Latin America and the Caribbean</v>
      </c>
      <c r="F39" s="11">
        <v>1</v>
      </c>
      <c r="G39" s="11">
        <v>0</v>
      </c>
      <c r="H39" s="11">
        <f>SUM(G39:G39)</f>
      </c>
    </row>
    <row r="40" ht="50" customHeight="1">
      <c r="A40" s="11" t="str">
        <v>AOW05</v>
      </c>
      <c r="B40" s="11" t="str">
        <v>5.3. Capacity strengthened at a national and regional level for collection, conservation, SQM and characterization, phytosanitary measures for germplasm exchange and policy</v>
      </c>
      <c r="C40" s="11" t="str">
        <v>5.3.1. Individuals trained on collection, SQM, cryo, germplasm health, in situ, community genebanks</v>
      </c>
      <c r="D40" s="11" t="str">
        <v>Number of people trained (capacity sharing for development)</v>
      </c>
      <c r="E40" s="11" t="str">
        <v>Global</v>
      </c>
      <c r="F40" s="11">
        <v>20</v>
      </c>
      <c r="G40" s="11">
        <v>52000</v>
      </c>
      <c r="H40" s="11">
        <f>SUM(G40:G40)</f>
      </c>
      <c r="I40" s="11" t="str">
        <v>5th annual in-person meting of LAC CoP members</v>
      </c>
    </row>
    <row r="41" ht="50" customHeight="1">
      <c r="A41" s="11" t="str">
        <v>AOW05</v>
      </c>
      <c r="B41" s="11" t="str">
        <v xml:space="preserve">5.4. Unique crop diversity under threat is safeguarded through the integration of in situ and ex situ conservation strategies </v>
      </c>
      <c r="C41" s="11" t="str">
        <v xml:space="preserve">5.4.1. Unique accessions repatriated from CG Genebanks to national genebanks / communities </v>
      </c>
      <c r="D41" s="11" t="str">
        <v xml:space="preserve"> </v>
      </c>
      <c r="E41" s="11" t="str">
        <v>Global</v>
      </c>
      <c r="F41" s="11">
        <v>40</v>
      </c>
      <c r="G41" s="11">
        <v>0</v>
      </c>
      <c r="H41" s="11">
        <f>SUM(G41:G41)</f>
      </c>
    </row>
    <row r="42" ht="25" customHeight="1">
      <c r="B42" s="15" t="str">
        <v>HLO budget subtotal</v>
      </c>
      <c r="H42" s="15">
        <f>SUM(H39:H41)</f>
      </c>
    </row>
  </sheetData>
  <mergeCells count="33">
    <mergeCell ref="A1:A2"/>
    <mergeCell ref="B1:B2"/>
    <mergeCell ref="C1:G1"/>
    <mergeCell ref="H1:H2"/>
    <mergeCell ref="I1:I2"/>
    <mergeCell ref="B3:B8"/>
    <mergeCell ref="H3:H8"/>
    <mergeCell ref="B9:B13"/>
    <mergeCell ref="H9:H13"/>
    <mergeCell ref="B14:B17"/>
    <mergeCell ref="H14:H17"/>
    <mergeCell ref="B18:B20"/>
    <mergeCell ref="H18:H20"/>
    <mergeCell ref="B21:G21"/>
    <mergeCell ref="A3:A21"/>
    <mergeCell ref="B22:B23"/>
    <mergeCell ref="H22:H23"/>
    <mergeCell ref="B24:B25"/>
    <mergeCell ref="H24:H25"/>
    <mergeCell ref="B26:G26"/>
    <mergeCell ref="A22:A26"/>
    <mergeCell ref="B27:B30"/>
    <mergeCell ref="H27:H30"/>
    <mergeCell ref="B31:B32"/>
    <mergeCell ref="H31:H32"/>
    <mergeCell ref="B33:B35"/>
    <mergeCell ref="H33:H35"/>
    <mergeCell ref="B36:B37"/>
    <mergeCell ref="H36:H37"/>
    <mergeCell ref="B38:G38"/>
    <mergeCell ref="A27:A38"/>
    <mergeCell ref="B42:G42"/>
    <mergeCell ref="A39:A42"/>
  </mergeCells>
  <ignoredErrors>
    <ignoredError numberStoredAsText="1" sqref="A1:I4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GCDT-Long-term conservation and sustainable use of plant genetic resources</v>
      </c>
      <c r="B2" s="19" t="str">
        <v>AOW01</v>
      </c>
      <c r="C2" s="18" t="str">
        <v>1.1. All collections conserved according to international standards and best practices</v>
      </c>
      <c r="D2" s="19">
        <v>804665</v>
      </c>
      <c r="E2" s="19" t="str">
        <f>=SUM(D2:D2)</f>
        <v>0</v>
      </c>
      <c r="F2" s="19" t="str">
        <v>Budget subject to agreement of both parties on scope of work, deliverables to be delivered at a given period, estimation of costs, and manner of payment.</v>
      </c>
    </row>
    <row r="3" ht="30" customHeight="1">
      <c r="A3" s="18" t="str">
        <v>BIUSA (BEF)-Screening, developing, and deploying anti-methanogenic feedstock into livestock systems in the Global South</v>
      </c>
      <c r="B3" s="19" t="str">
        <v>AOW02</v>
      </c>
      <c r="C3" s="18" t="str">
        <v>2.2. Enhanced germplasm information for more precise accession targeting</v>
      </c>
      <c r="D3" s="19">
        <v>92666</v>
      </c>
      <c r="E3" s="19" t="str">
        <f>=SUM(D3:D3)</f>
        <v>0</v>
      </c>
      <c r="F3" s="19" t="str">
        <v>Budget subject to agreement of both parties on scope of work, deliverables to be delivered at a given period, estimation of costs, and manner of payment.</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107742</v>
      </c>
      <c r="D2" s="20">
        <v>0</v>
      </c>
      <c r="E2" s="20">
        <v>0</v>
      </c>
      <c r="F2" s="20">
        <v>0</v>
      </c>
      <c r="G2" s="20">
        <v>0</v>
      </c>
      <c r="H2" s="20" t="str">
        <f>=SUM(B2:G2)</f>
        <v>0</v>
      </c>
    </row>
    <row r="3" ht="20" customHeight="1">
      <c r="A3" s="20" t="str">
        <v>Operations (supplies, consultants, travels, workshops, other)</v>
      </c>
      <c r="B3" s="20">
        <v>0</v>
      </c>
      <c r="C3" s="20">
        <v>1026615</v>
      </c>
      <c r="D3" s="20">
        <v>89437</v>
      </c>
      <c r="E3" s="20">
        <v>0</v>
      </c>
      <c r="F3" s="20">
        <v>121012</v>
      </c>
      <c r="G3" s="20">
        <v>45217</v>
      </c>
      <c r="H3" s="20" t="str">
        <f>=SUM(B3:G3)</f>
        <v>0</v>
      </c>
    </row>
    <row r="4" ht="20" customHeight="1">
      <c r="A4" s="20" t="str">
        <v>Staffing, Chargebacks and Indirect</v>
      </c>
      <c r="B4" s="20">
        <v>0</v>
      </c>
      <c r="C4" s="20">
        <v>1819264</v>
      </c>
      <c r="D4" s="20">
        <v>39563</v>
      </c>
      <c r="E4" s="20">
        <v>0</v>
      </c>
      <c r="F4" s="20">
        <v>108988</v>
      </c>
      <c r="G4" s="20">
        <v>6783</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