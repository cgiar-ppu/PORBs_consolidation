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Anapla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Solutions for Impact</v>
      </c>
      <c r="B5" s="2">
        <v>0</v>
      </c>
      <c r="C5" s="5">
        <v>0</v>
      </c>
      <c r="D5" s="2">
        <v>9</v>
      </c>
      <c r="E5" s="5">
        <v>277500</v>
      </c>
      <c r="F5" s="2">
        <v>0</v>
      </c>
      <c r="G5" s="5">
        <v>0</v>
      </c>
      <c r="H5" s="2">
        <v>0</v>
      </c>
      <c r="I5" s="5">
        <v>0</v>
      </c>
      <c r="J5" s="5">
        <v>0</v>
      </c>
      <c r="K5" s="5">
        <v>0</v>
      </c>
      <c r="L5" s="5">
        <v>277500</v>
      </c>
      <c r="M5" s="5">
        <v>0</v>
      </c>
    </row>
    <row r="6" ht="20" customHeight="1">
      <c r="A6" s="2" t="str">
        <v>AOW02: Accelerating Change Through Evidence</v>
      </c>
      <c r="B6" s="2">
        <v>0</v>
      </c>
      <c r="C6" s="5">
        <v>0</v>
      </c>
      <c r="D6" s="2">
        <v>5</v>
      </c>
      <c r="E6" s="5">
        <v>106000</v>
      </c>
      <c r="F6" s="2">
        <v>150</v>
      </c>
      <c r="G6" s="5">
        <v>25000</v>
      </c>
      <c r="H6" s="2">
        <v>7</v>
      </c>
      <c r="I6" s="5">
        <v>63250</v>
      </c>
      <c r="J6" s="5">
        <v>0</v>
      </c>
      <c r="K6" s="5">
        <v>0</v>
      </c>
      <c r="L6" s="5">
        <v>194250</v>
      </c>
      <c r="M6" s="5">
        <v>0</v>
      </c>
    </row>
    <row r="7" ht="20" customHeight="1">
      <c r="A7" s="2" t="str">
        <v>AOW03: Youth Thrive</v>
      </c>
      <c r="B7" s="2">
        <v>0</v>
      </c>
      <c r="C7" s="5">
        <v>0</v>
      </c>
      <c r="D7" s="2">
        <v>0</v>
      </c>
      <c r="E7" s="5">
        <v>0</v>
      </c>
      <c r="F7" s="2">
        <v>0</v>
      </c>
      <c r="G7" s="5">
        <v>0</v>
      </c>
      <c r="H7" s="2">
        <v>0</v>
      </c>
      <c r="I7" s="5">
        <v>0</v>
      </c>
      <c r="J7" s="5">
        <v>0</v>
      </c>
      <c r="K7" s="5">
        <v>0</v>
      </c>
      <c r="L7" s="5">
        <v>0</v>
      </c>
      <c r="M7" s="5">
        <v>0</v>
      </c>
    </row>
    <row r="8" ht="25" customHeight="1">
      <c r="A8" s="6" t="str">
        <v>Total</v>
      </c>
      <c r="B8" s="7">
        <f>SUM(B4:B7)</f>
      </c>
      <c r="C8" s="7">
        <f>SUM(C4:C7)</f>
      </c>
      <c r="D8" s="7">
        <f>SUM(D4:D7)</f>
      </c>
      <c r="E8" s="7">
        <f>SUM(E4:E7)</f>
      </c>
      <c r="F8" s="7">
        <f>SUM(F4:F7)</f>
      </c>
      <c r="G8" s="7">
        <f>SUM(G4:G7)</f>
      </c>
      <c r="H8" s="7">
        <f>SUM(H4:H7)</f>
      </c>
      <c r="I8" s="7">
        <f>SUM(I4:I7)</f>
      </c>
      <c r="J8" s="7">
        <f>SUM(J4:J7)</f>
      </c>
      <c r="K8" s="7">
        <f>SUM(K4:K7)</f>
      </c>
      <c r="L8" s="7">
        <f>SUM(L4:L7)</f>
      </c>
      <c r="M8" s="7">
        <f>SUM(M4:M7)</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8"/>
  </ignoredErrors>
</worksheet>
</file>

<file path=xl/worksheets/sheet2.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Area of Work Leadership Costs</v>
      </c>
      <c r="D2" s="11">
        <v>0</v>
      </c>
    </row>
    <row r="3" ht="45" customHeight="1">
      <c r="A3" s="11" t="str">
        <v>AOW00</v>
      </c>
      <c r="B3" s="11" t="str">
        <v xml:space="preserve">PMU Team </v>
      </c>
      <c r="C3" s="11" t="str">
        <v/>
      </c>
      <c r="D3" s="11">
        <v>0</v>
      </c>
    </row>
    <row r="4" ht="45" customHeight="1">
      <c r="A4" s="11" t="str">
        <v>AOW00</v>
      </c>
      <c r="B4" s="11" t="str">
        <v>Director and associated costs</v>
      </c>
      <c r="D4" s="11">
        <v>0</v>
      </c>
    </row>
    <row r="5" ht="45" customHeight="1">
      <c r="A5" s="11" t="str">
        <v>AOW00</v>
      </c>
      <c r="B5" s="11" t="str">
        <v>Director's discretionary fund</v>
      </c>
      <c r="D5" s="11">
        <v>0</v>
      </c>
    </row>
    <row r="6" ht="45" customHeight="1">
      <c r="A6" s="11" t="str">
        <v>AOW00</v>
      </c>
      <c r="B6" s="11" t="str">
        <v>Shared finance support</v>
      </c>
      <c r="D6" s="11">
        <v>0</v>
      </c>
    </row>
  </sheetData>
  <mergeCells count="1">
    <mergeCell ref="A2:A6"/>
  </mergeCells>
  <ignoredErrors>
    <ignoredError numberStoredAsText="1" sqref="A1:E6"/>
  </ignoredErrors>
</worksheet>
</file>

<file path=xl/worksheets/sheet3.xml><?xml version="1.0" encoding="utf-8"?>
<worksheet xmlns="http://schemas.openxmlformats.org/spreadsheetml/2006/main" xmlns:r="http://schemas.openxmlformats.org/officeDocument/2006/relationships">
  <dimension ref="A1:I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1.1.3: Gender-transformative solutions for women's economic empowerment</v>
      </c>
      <c r="C3" s="11" t="str">
        <v xml:space="preserve">Participatory analysis and methodology for participatory assessment of GT changes due to GT intervention in Tanzania </v>
      </c>
      <c r="D3" s="11" t="str">
        <v>Number of knowledge products</v>
      </c>
      <c r="E3" s="11" t="str">
        <v>Country: Tanzania, United Republic</v>
      </c>
      <c r="F3" s="11">
        <v>1</v>
      </c>
      <c r="G3" s="11">
        <v>46250</v>
      </c>
      <c r="H3" s="11">
        <f>SUM(G3:G3)</f>
      </c>
      <c r="I3" s="11" t="str">
        <v>Collaborating partners, non-contracted: Justice Development and Peace Commission; KOLPING SOCIETY OF TANZANIA; NYAKITONTO YOUTH FOR DEVELOPMENT TANZANIA</v>
      </c>
    </row>
    <row r="4" ht="50" customHeight="1">
      <c r="A4" s="11" t="str">
        <v>AOW01</v>
      </c>
      <c r="B4" s="11" t="str">
        <v xml:space="preserve">1.4.3: Solutions for inclusive leadership </v>
      </c>
      <c r="C4" s="11" t="str">
        <v xml:space="preserve">Adaptation and piloting of (typologies) methodology for segmenting and understanding social inclusion of marginalized producers in coffee cooperatives. Case reports from pilots to inform coffee cooperatives. Action plans developed with cooperatives to promote social inclusion. Infobrief to inform International Coffee Organization </v>
      </c>
      <c r="D4" s="11" t="str">
        <v>Number of knowledge products</v>
      </c>
      <c r="E4" s="11" t="str">
        <v>Country: India, Honduras</v>
      </c>
      <c r="F4" s="11">
        <v>2</v>
      </c>
      <c r="G4" s="11">
        <v>50000</v>
      </c>
      <c r="H4" s="11">
        <f>SUM(G4:G8)</f>
      </c>
      <c r="I4" s="11" t="str">
        <v>Collaborating partners, non-contracted: Foundation for Ecological Security; International Coffee Organization</v>
      </c>
    </row>
    <row r="5" ht="50" customHeight="1">
      <c r="A5" s="11" t="str">
        <v>AOW01</v>
      </c>
      <c r="C5" s="11" t="str">
        <v>Scoping study and cross-country analysis of social inclusion/exclusion dynamics, identifying successful models (solutions) and mechanisms for integrating marginalized women, and producing evidence-based recommendations co-validated with decision-makers to inform future interventions.</v>
      </c>
      <c r="D5" s="11" t="str">
        <v>Number of knowledge products</v>
      </c>
      <c r="E5" s="11" t="str">
        <v>Country: Honduras, India</v>
      </c>
      <c r="F5" s="11">
        <v>1</v>
      </c>
      <c r="G5" s="11">
        <v>42500</v>
      </c>
      <c r="I5" s="11" t="str">
        <v>Collaborating partners, non-contracted: Foundation for Ecological Security; International Coffee Organization</v>
      </c>
    </row>
    <row r="6" ht="50" customHeight="1">
      <c r="A6" s="11" t="str">
        <v>AOW01</v>
      </c>
      <c r="C6" s="11" t="str">
        <v xml:space="preserve">Evaluation report documenting good practices and lessons learned from the Foundation for Ecological Security’s women’s leadership programme in India </v>
      </c>
      <c r="D6" s="11" t="str">
        <v>Number of knowledge products</v>
      </c>
      <c r="E6" s="11" t="str">
        <v>Country: India</v>
      </c>
      <c r="F6" s="11">
        <v>1</v>
      </c>
      <c r="G6" s="11">
        <v>50000</v>
      </c>
      <c r="I6" s="11" t="str">
        <v>N/A</v>
      </c>
    </row>
    <row r="7" ht="50" customHeight="1">
      <c r="A7" s="11" t="str">
        <v>AOW01</v>
      </c>
      <c r="C7" s="11" t="str">
        <v>Scoping study with CSOs on women's voice and leadership in biodiversity action - compilation of effective strategies of grassroots women's organization in biodiversity action, to inform the mid-term review of the Gender Plan of Action of the Convention on Biological Diversity.</v>
      </c>
      <c r="D7" s="11" t="str">
        <v>Number of knowledge products</v>
      </c>
      <c r="E7" s="11" t="str">
        <v>Country: India, Guatemala</v>
      </c>
      <c r="F7" s="11">
        <v>1</v>
      </c>
      <c r="G7" s="11">
        <v>38750</v>
      </c>
      <c r="I7" s="11" t="str">
        <v>Collaborating partners, non-contracted: Foundation for Ecological Security, Associacion ASORECH, Associacion CDRO; Convention on Biological Diversity's Women's Caucus; Foundation for Ecological Security</v>
      </c>
    </row>
    <row r="8" ht="50" customHeight="1">
      <c r="A8" s="11" t="str">
        <v>AOW01</v>
      </c>
      <c r="C8" s="11" t="str">
        <v xml:space="preserve">Data collection on corollary outcomes of women's leadership in two countries and analysis of cases of mechanisms promoting women's leadership in agroecology/biodiversity/climate action. </v>
      </c>
      <c r="D8" s="11" t="str">
        <v>Number of knowledge products</v>
      </c>
      <c r="E8" s="11" t="str">
        <v>Country: Guatemala, India</v>
      </c>
      <c r="F8" s="11">
        <v>3</v>
      </c>
      <c r="G8" s="11">
        <v>50000</v>
      </c>
      <c r="I8" s="11" t="str">
        <v>N/A</v>
      </c>
    </row>
    <row r="9" ht="25" customHeight="1">
      <c r="B9" s="14" t="str">
        <v>HLO budget subtotal</v>
      </c>
      <c r="H9" s="15">
        <f>SUM(H3:H8)</f>
      </c>
    </row>
    <row r="10" ht="50" customHeight="1">
      <c r="A10" s="13" t="str">
        <v>AOW02</v>
      </c>
      <c r="B10" s="11" t="str">
        <v>2.1.2: Communities of practice for impactful gender research</v>
      </c>
      <c r="C10" s="11" t="str">
        <v>Briefs on GTR agenda for CGIAR</v>
      </c>
      <c r="D10" s="11" t="str">
        <v>Number of knowledge products</v>
      </c>
      <c r="E10" s="11" t="str">
        <v>Global</v>
      </c>
      <c r="F10" s="11">
        <v>2</v>
      </c>
      <c r="G10" s="11">
        <v>20000</v>
      </c>
      <c r="H10" s="11">
        <f>SUM(G10:G11)</f>
      </c>
      <c r="I10" s="11" t="str">
        <v>N/A</v>
      </c>
    </row>
    <row r="11" ht="50" customHeight="1">
      <c r="A11" s="11" t="str">
        <v>AOW02</v>
      </c>
      <c r="C11" s="11" t="str">
        <v>Gender Transformative Research Methodologies (GTRM) Community of Practice: webinar series and small grants for piloting of gender transformative methods</v>
      </c>
      <c r="D11" s="11" t="str">
        <v xml:space="preserve"> Number of CoP webinars and GT pilots</v>
      </c>
      <c r="E11" s="11" t="str">
        <v>Global</v>
      </c>
      <c r="F11" s="11">
        <v>7</v>
      </c>
      <c r="G11" s="11">
        <v>63250</v>
      </c>
      <c r="I11" s="11" t="str">
        <v>Small grants will be allocated on a competitive basis. Call for proposals will be determined in Q1 2026.</v>
      </c>
    </row>
    <row r="12" ht="50" customHeight="1">
      <c r="A12" s="11" t="str">
        <v>AOW02</v>
      </c>
      <c r="B12" s="11" t="str">
        <v xml:space="preserve">2.3.1: Learning resources </v>
      </c>
      <c r="C12" s="11" t="str">
        <v xml:space="preserve">Published gender-responsive training materials on agroecology and biodiversity </v>
      </c>
      <c r="D12" s="11" t="str">
        <v>Number of knowledge products</v>
      </c>
      <c r="E12" s="11" t="str">
        <v>Global</v>
      </c>
      <c r="F12" s="11">
        <v>3</v>
      </c>
      <c r="G12" s="11">
        <v>86000</v>
      </c>
      <c r="H12" s="11">
        <f>SUM(G12:G13)</f>
      </c>
      <c r="I12" s="11" t="str">
        <v>Collaborating partners, non-contracted: Kenya Agricultural and Livestock Research Organization; National Agricultural Research Organization; Wageningen University and Research Centre; Egerton University</v>
      </c>
    </row>
    <row r="13" ht="50" customHeight="1">
      <c r="A13" s="11" t="str">
        <v>AOW02</v>
      </c>
      <c r="C13" s="11" t="str">
        <v xml:space="preserve">An induction course that supports the institutionalization of GEYSI responsive science and innovation for poverty eradication and equality </v>
      </c>
      <c r="D13" s="11" t="str">
        <v>Number of people trained (capacity sharing for development)</v>
      </c>
      <c r="E13" s="11" t="str">
        <v>Global</v>
      </c>
      <c r="F13" s="11">
        <v>150</v>
      </c>
      <c r="G13" s="11">
        <v>25000</v>
      </c>
      <c r="I13" s="11" t="str">
        <v>Collaborating partners, non-contracted: Kenya Agricultural and Livestock Research Organization; National Agricultural Research Organization; Wageningen University and Research Centre; Egerton University</v>
      </c>
    </row>
    <row r="14" ht="25" customHeight="1">
      <c r="B14" s="15" t="str">
        <v>HLO budget subtotal</v>
      </c>
      <c r="H14" s="15">
        <f>SUM(H10:H13)</f>
      </c>
    </row>
  </sheetData>
  <mergeCells count="15">
    <mergeCell ref="A1:A2"/>
    <mergeCell ref="B1:B2"/>
    <mergeCell ref="C1:G1"/>
    <mergeCell ref="H1:H2"/>
    <mergeCell ref="I1:I2"/>
    <mergeCell ref="B4:B8"/>
    <mergeCell ref="H4:H8"/>
    <mergeCell ref="B9:G9"/>
    <mergeCell ref="A3:A9"/>
    <mergeCell ref="B10:B11"/>
    <mergeCell ref="H10:H11"/>
    <mergeCell ref="B12:B13"/>
    <mergeCell ref="H12:H13"/>
    <mergeCell ref="B14:G14"/>
    <mergeCell ref="A10:A14"/>
  </mergeCells>
  <ignoredErrors>
    <ignoredError numberStoredAsText="1" sqref="A1:I14"/>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18" t="str">
        <v>Collaborators non-CGIAR centers</v>
      </c>
      <c r="B2" s="18">
        <v>0</v>
      </c>
      <c r="C2" s="18">
        <v>0</v>
      </c>
      <c r="D2" s="18">
        <v>0</v>
      </c>
      <c r="E2" s="18">
        <v>0</v>
      </c>
      <c r="F2" s="18" t="str">
        <f>=SUM(B2:E2)</f>
        <v>0</v>
      </c>
    </row>
    <row r="3" ht="20" customHeight="1">
      <c r="A3" s="18" t="str">
        <v>Operations (supplies, consultants, travels, workshops, other)</v>
      </c>
      <c r="B3" s="18">
        <v>0</v>
      </c>
      <c r="C3" s="18">
        <v>57341</v>
      </c>
      <c r="D3" s="18">
        <v>78095</v>
      </c>
      <c r="E3" s="18">
        <v>0</v>
      </c>
      <c r="F3" s="18" t="str">
        <f>=SUM(B3:E3)</f>
        <v>0</v>
      </c>
    </row>
    <row r="4" ht="20" customHeight="1">
      <c r="A4" s="18" t="str">
        <v>Staffing, Chargebacks and Indirect</v>
      </c>
      <c r="B4" s="18">
        <v>40000</v>
      </c>
      <c r="C4" s="18">
        <v>220159</v>
      </c>
      <c r="D4" s="18">
        <v>116155</v>
      </c>
      <c r="E4" s="18">
        <v>0</v>
      </c>
      <c r="F4" s="18" t="str">
        <f>=SUM(B4:E4)</f>
        <v>0</v>
      </c>
    </row>
    <row r="5" ht="20" customHeight="1">
      <c r="A5" s="19" t="str">
        <v>Subtotal</v>
      </c>
      <c r="B5" s="20" t="str">
        <f>=SUM(B2:B4)</f>
        <v>0</v>
      </c>
      <c r="C5" s="21" t="str">
        <f>=SUM(C2:C4)</f>
        <v>0</v>
      </c>
      <c r="D5" s="21" t="str">
        <f>=SUM(D2:D4)</f>
        <v>0</v>
      </c>
      <c r="E5" s="21" t="str">
        <f>=SUM(E2:E4)</f>
        <v>0</v>
      </c>
      <c r="F5" s="21" t="str">
        <f>=SUM(F2:F4)</f>
        <v>0</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Cross-Cutting</vt:lpstr>
      <vt:lpstr>HLO</vt:lpstr>
      <vt:lpstr>Partner</vt:lpstr>
      <vt:lpstr>W3-Bilateral projects</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