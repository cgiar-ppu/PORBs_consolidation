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Foresight and Prioritization </v>
      </c>
      <c r="B5" s="2">
        <v>0</v>
      </c>
      <c r="C5" s="5">
        <v>0</v>
      </c>
      <c r="D5" s="2">
        <v>4</v>
      </c>
      <c r="E5" s="5">
        <v>154391</v>
      </c>
      <c r="F5" s="2">
        <v>5</v>
      </c>
      <c r="G5" s="5">
        <v>24493</v>
      </c>
      <c r="H5" s="2">
        <v>3</v>
      </c>
      <c r="I5" s="5">
        <v>30000</v>
      </c>
      <c r="J5" s="5">
        <v>0</v>
      </c>
      <c r="K5" s="5">
        <v>0</v>
      </c>
      <c r="L5" s="5">
        <v>208884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230513</v>
      </c>
    </row>
    <row r="7" ht="20" customHeight="1">
      <c r="A7" s="2" t="str">
        <v xml:space="preserve">AOW03: Governance and Political Economy </v>
      </c>
      <c r="B7" s="2">
        <v>1</v>
      </c>
      <c r="C7" s="5">
        <v>34290</v>
      </c>
      <c r="D7" s="2">
        <v>2</v>
      </c>
      <c r="E7" s="5">
        <v>35750</v>
      </c>
      <c r="F7" s="2">
        <v>20</v>
      </c>
      <c r="G7" s="5">
        <v>26942</v>
      </c>
      <c r="H7" s="2">
        <v>6</v>
      </c>
      <c r="I7" s="5">
        <v>96982</v>
      </c>
      <c r="J7" s="5">
        <v>0</v>
      </c>
      <c r="K7" s="5">
        <v>0</v>
      </c>
      <c r="L7" s="5">
        <v>193964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795916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1</v>
      </c>
      <c r="C10" s="5">
        <v>43803</v>
      </c>
      <c r="D10" s="2">
        <v>2</v>
      </c>
      <c r="E10" s="5">
        <v>65000</v>
      </c>
      <c r="F10" s="2">
        <v>0</v>
      </c>
      <c r="G10" s="5">
        <v>0</v>
      </c>
      <c r="H10" s="2">
        <v>4</v>
      </c>
      <c r="I10" s="5">
        <v>65000</v>
      </c>
      <c r="J10" s="5">
        <v>0</v>
      </c>
      <c r="K10" s="5">
        <v>0</v>
      </c>
      <c r="L10" s="5">
        <v>173803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0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0</v>
      </c>
    </row>
    <row r="5" ht="45" customHeight="1">
      <c r="A5" s="11" t="str">
        <v>AOW00</v>
      </c>
      <c r="B5" s="11" t="str">
        <v>AoW Leads</v>
      </c>
      <c r="D5" s="11">
        <v>0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 Agenda Setting</v>
      </c>
      <c r="C3" s="11" t="str">
        <v>Regional and/or commodity-specific briefs (from climate change and productivity global report)</v>
      </c>
      <c r="D3" s="11" t="str">
        <v xml:space="preserve"> Policy recommendation</v>
      </c>
      <c r="E3" s="11" t="str">
        <v>Country: Ethiopia, Bangladesh, Kenya</v>
      </c>
      <c r="F3" s="11">
        <v>2</v>
      </c>
      <c r="G3" s="11">
        <v>15000</v>
      </c>
      <c r="H3" s="11">
        <f>SUM(G3:G4)</f>
      </c>
      <c r="I3" s="11" t="str">
        <v>Partner to be added in Q1 2026</v>
      </c>
    </row>
    <row r="4" ht="50" customHeight="1">
      <c r="A4" s="11" t="str">
        <v>AOW01</v>
      </c>
      <c r="C4" s="11" t="str">
        <v>Regional and/or commodity-specific briefs (from climate change and productivity global report)</v>
      </c>
      <c r="D4" s="11" t="str">
        <v>Number of knowledge products</v>
      </c>
      <c r="E4" s="11" t="str">
        <v>Country: Kenya, Bangladesh, Ethiopia</v>
      </c>
      <c r="F4" s="11">
        <v>3</v>
      </c>
      <c r="G4" s="11">
        <v>71420</v>
      </c>
      <c r="I4" s="11" t="str">
        <v>Partner to be added in Q1 2026</v>
      </c>
    </row>
    <row r="5" ht="50" customHeight="1">
      <c r="A5" s="11" t="str">
        <v>AOW01</v>
      </c>
      <c r="B5" s="11" t="str">
        <v>1.2. Policy response</v>
      </c>
      <c r="C5" s="11" t="str">
        <v>Global assessment of agricultural R&amp;D priorities. 2026 global report using global model to evaluate the returns to R&amp;D investments in different regions and different crop and animal sectors/commodities. Study accounts for future climate changes, natural resource constraints, and market dynamics at global, regional and national scales. Analysis informs the allocation of agricultural R&amp;D spending.</v>
      </c>
      <c r="D5" s="11" t="str">
        <v xml:space="preserve"> Policy recommendation</v>
      </c>
      <c r="E5" s="11" t="str">
        <v>Country: Bangladesh, Kenya, Ethiopia</v>
      </c>
      <c r="F5" s="11">
        <v>1</v>
      </c>
      <c r="G5" s="11">
        <v>15000</v>
      </c>
      <c r="H5" s="11">
        <f>SUM(G5:G6)</f>
      </c>
      <c r="I5" s="11" t="str">
        <v>Partner to be added in Q1 2026</v>
      </c>
    </row>
    <row r="6" ht="50" customHeight="1">
      <c r="A6" s="11" t="str">
        <v>AOW01</v>
      </c>
      <c r="C6" s="11" t="str">
        <v>Global assessment of agricultural R&amp;D priorities. 2026 global report using global model to evaluate the returns to R&amp;D investments in different regions and different crop and animal sectors/commodities. Study accounts for future climate changes, natural resource constraints, and market dynamics at global, regional and national scales. Analysis informs the allocation of agricultural R&amp;D spending.</v>
      </c>
      <c r="D6" s="11" t="str">
        <v>Number of knowledge products</v>
      </c>
      <c r="E6" s="11" t="str">
        <v>Country: Bangladesh, Ethiopia, Kenya</v>
      </c>
      <c r="F6" s="11">
        <v>1</v>
      </c>
      <c r="G6" s="11">
        <v>82971</v>
      </c>
      <c r="I6" s="11" t="str">
        <v>Partner to be added in Q1 2026</v>
      </c>
    </row>
    <row r="7" ht="50" customHeight="1">
      <c r="A7" s="11" t="str">
        <v>AOW01</v>
      </c>
      <c r="B7" s="11" t="str">
        <v>1.3. Capacity Sharing Activities</v>
      </c>
      <c r="C7" s="11" t="str">
        <v>Capacity strengthening activities and transfer of modeling systems to national partners</v>
      </c>
      <c r="D7" s="11" t="str">
        <v>Number of people trained (capacity sharing for development)</v>
      </c>
      <c r="E7" s="11" t="str">
        <v>Country: Brazil</v>
      </c>
      <c r="F7" s="11">
        <v>5</v>
      </c>
      <c r="G7" s="11">
        <v>24493</v>
      </c>
      <c r="H7" s="11">
        <f>SUM(G7:G7)</f>
      </c>
      <c r="I7" s="11" t="str">
        <v>EMBRAPA - This is going to be an in kind capsha activities in which we will transfer model knowledge and use</v>
      </c>
    </row>
    <row r="8" ht="25" customHeight="1">
      <c r="B8" s="14" t="str">
        <v>HLO budget subtotal</v>
      </c>
      <c r="H8" s="15">
        <f>SUM(H3:H7)</f>
      </c>
    </row>
    <row r="9" ht="50" customHeight="1">
      <c r="A9" s="13" t="str">
        <v>AOW03</v>
      </c>
      <c r="B9" s="11" t="str">
        <v>3.1. Agenda Setting</v>
      </c>
      <c r="C9" s="11" t="str">
        <v>Institutional innovations to enhance LMIC leverage in global food system governance (Agrifood Governance Hub)</v>
      </c>
      <c r="D9" s="11" t="str">
        <v xml:space="preserve"> Policy informed</v>
      </c>
      <c r="E9" s="11" t="str">
        <v>Country: Kenya, Nigeria</v>
      </c>
      <c r="F9" s="11">
        <v>2</v>
      </c>
      <c r="G9" s="11">
        <v>35750</v>
      </c>
      <c r="H9" s="11">
        <f>SUM(G9:G10)</f>
      </c>
      <c r="I9" s="11" t="str">
        <v>Budget and partner to be added Q1 2026</v>
      </c>
    </row>
    <row r="10" ht="50" customHeight="1">
      <c r="A10" s="11" t="str">
        <v>AOW03</v>
      </c>
      <c r="C10" s="11" t="str">
        <v>Institutional innovations to enhance LMIC leverage in global food system governance (Agrifood Governance Hub)</v>
      </c>
      <c r="D10" s="11" t="str">
        <v>Number of knowledge products</v>
      </c>
      <c r="E10" s="11" t="str">
        <v>Country: Kenya, Nigeria</v>
      </c>
      <c r="F10" s="11">
        <v>2</v>
      </c>
      <c r="G10" s="11">
        <v>35750</v>
      </c>
      <c r="I10" s="11" t="str">
        <v>Budget and partner to be added Q1 2026</v>
      </c>
    </row>
    <row r="11" ht="50" customHeight="1">
      <c r="A11" s="11" t="str">
        <v>AOW03</v>
      </c>
      <c r="B11" s="11" t="str">
        <v>3.2. Policy response</v>
      </c>
      <c r="C11" s="11" t="str">
        <v>Enabling policy environment on green subsidies with PEPA.AI. Policy recommendations based on innovation use</v>
      </c>
      <c r="D11" s="11" t="str">
        <v xml:space="preserve"> No. of policy recommendations developed</v>
      </c>
      <c r="E11" s="11" t="str">
        <v>Country: Kenya, Nigeria</v>
      </c>
      <c r="F11" s="11">
        <v>2</v>
      </c>
      <c r="G11" s="11">
        <v>34290</v>
      </c>
      <c r="H11" s="11">
        <f>SUM(G11:G12)</f>
      </c>
      <c r="I11" s="11" t="str">
        <v>Budget and partner to be added Q1 2026</v>
      </c>
    </row>
    <row r="12" ht="50" customHeight="1">
      <c r="A12" s="11" t="str">
        <v>AOW03</v>
      </c>
      <c r="C12" s="11" t="str">
        <v>Enabling policy environment on green subsidies with PEPA.AI. PEPA.AI is an innovative tools that helps informing policy makers with customized, AI-driven advice</v>
      </c>
      <c r="D12" s="11" t="str">
        <v>Number of innovations (innovation development)</v>
      </c>
      <c r="E12" s="11" t="str">
        <v>Country: Kenya, Nigeria</v>
      </c>
      <c r="F12" s="11">
        <v>1</v>
      </c>
      <c r="G12" s="11">
        <v>34290</v>
      </c>
      <c r="I12" s="11" t="str">
        <v>Budget and partner to be added Q1 2026</v>
      </c>
    </row>
    <row r="13" ht="50" customHeight="1">
      <c r="A13" s="11" t="str">
        <v>AOW03</v>
      </c>
      <c r="B13" s="11" t="str">
        <v>3.3. Capacity sharing activities</v>
      </c>
      <c r="C13" s="11" t="str">
        <v xml:space="preserve">PEPA.AI (Political Economy and Policy Analysis) capacity sharing  and engagement in policy hubs on enabling policy environment </v>
      </c>
      <c r="D13" s="11" t="str">
        <v xml:space="preserve"> Policy informed</v>
      </c>
      <c r="E13" s="11" t="str">
        <v>Country: Kenya, Ethiopia</v>
      </c>
      <c r="F13" s="11">
        <v>2</v>
      </c>
      <c r="G13" s="11">
        <v>26942</v>
      </c>
      <c r="H13" s="11">
        <f>SUM(G13:G14)</f>
      </c>
      <c r="I13" s="11" t="str">
        <v>Budget and partner to be added Q1 2026</v>
      </c>
    </row>
    <row r="14" ht="50" customHeight="1">
      <c r="A14" s="11" t="str">
        <v>AOW03</v>
      </c>
      <c r="C14" s="11" t="str">
        <v xml:space="preserve">PEPA.AI (Political Economy and Policy Analysis) capacity sharing  and engagement in policy hubs on enabling policy environment </v>
      </c>
      <c r="D14" s="11" t="str">
        <v>Number of people trained (capacity sharing for development)</v>
      </c>
      <c r="E14" s="11" t="str">
        <v>Country: Ethiopia, Kenya</v>
      </c>
      <c r="F14" s="11">
        <v>20</v>
      </c>
      <c r="G14" s="11">
        <v>26942</v>
      </c>
      <c r="I14" s="11" t="str">
        <v>Budget and partner to be added Q1 2026</v>
      </c>
    </row>
    <row r="15" ht="25" customHeight="1">
      <c r="B15" s="15" t="str">
        <v>HLO budget subtotal</v>
      </c>
      <c r="H15" s="15">
        <f>SUM(H9:H14)</f>
      </c>
    </row>
    <row r="16" ht="50" customHeight="1">
      <c r="A16" s="13" t="str">
        <v>AOW06</v>
      </c>
      <c r="B16" s="11" t="str">
        <v>6.2. Policy response</v>
      </c>
      <c r="C16" s="11" t="str">
        <v xml:space="preserve">Identifying barriers and constraints affecting youth agriprenueur programs, and informing design of youth agriprenuer model  </v>
      </c>
      <c r="D16" s="11" t="str">
        <v>Number of knowledge products</v>
      </c>
      <c r="E16" s="11" t="str">
        <v>Country: Ethiopia, Nigeria</v>
      </c>
      <c r="F16" s="11">
        <v>1</v>
      </c>
      <c r="G16" s="11">
        <v>40000</v>
      </c>
      <c r="H16" s="11">
        <f>SUM(G16:G19)</f>
      </c>
      <c r="I16" s="11" t="str">
        <v>Budget and partner to be added Q1 2026</v>
      </c>
    </row>
    <row r="17" ht="50" customHeight="1">
      <c r="A17" s="11" t="str">
        <v>AOW06</v>
      </c>
      <c r="C17" s="11" t="str">
        <v>Identifying barriers and constraints affecting youth agriprenueur programs, and informing design of youth agriprenuer model : Inform policy makers about improving the design of youth agriprenuer model: Informing policy makers based on technical report</v>
      </c>
      <c r="D17" s="11" t="str">
        <v xml:space="preserve"> Policy informed</v>
      </c>
      <c r="E17" s="11" t="str">
        <v>Country: Ethiopia, Nigeria</v>
      </c>
      <c r="F17" s="11">
        <v>2</v>
      </c>
      <c r="G17" s="11">
        <v>40000</v>
      </c>
      <c r="I17" s="11" t="str">
        <v>Budget and partner to be added Q1 2026</v>
      </c>
    </row>
    <row r="18" ht="50" customHeight="1">
      <c r="A18" s="11" t="str">
        <v>AOW06</v>
      </c>
      <c r="C18" s="11" t="str">
        <v>Survey and analysis of youth agriprenueur models. Policy recommendations published that will help the government and private sector targeting agriprenuers</v>
      </c>
      <c r="D18" s="11" t="str">
        <v>Number of knowledge products</v>
      </c>
      <c r="E18" s="11" t="str">
        <v>Country: Nigeria, Ethiopia</v>
      </c>
      <c r="F18" s="11">
        <v>1</v>
      </c>
      <c r="G18" s="11">
        <v>25000</v>
      </c>
      <c r="I18" s="11" t="str">
        <v>Budget and partner to be added Q1 2026</v>
      </c>
    </row>
    <row r="19" ht="50" customHeight="1">
      <c r="A19" s="11" t="str">
        <v>AOW06</v>
      </c>
      <c r="C19" s="11" t="str">
        <v>Survey and analysis of youth agriprenueur models Policy recommendations published that will help the government and private sector targeting agriprenuers</v>
      </c>
      <c r="D19" s="11" t="str">
        <v xml:space="preserve"> Policy recommendations</v>
      </c>
      <c r="E19" s="11" t="str">
        <v>Country: Nigeria, Ethiopia</v>
      </c>
      <c r="F19" s="11">
        <v>2</v>
      </c>
      <c r="G19" s="11">
        <v>25000</v>
      </c>
      <c r="I19" s="11" t="str">
        <v>Budget and partner to be added Q1 2026</v>
      </c>
    </row>
    <row r="20" ht="50" customHeight="1">
      <c r="A20" s="11" t="str">
        <v>AOW06</v>
      </c>
      <c r="B20" s="11" t="str">
        <v>6.3. Capacity sharing activities</v>
      </c>
      <c r="C20" s="11" t="str">
        <v>Enable youth agriprenuer innovation hubs for job creation</v>
      </c>
      <c r="D20" s="11" t="str">
        <v>Number of innovations (innovation development)</v>
      </c>
      <c r="E20" s="11" t="str">
        <v>Country: Ethiopia, Nigeria</v>
      </c>
      <c r="F20" s="11">
        <v>1</v>
      </c>
      <c r="G20" s="11">
        <v>43803</v>
      </c>
      <c r="H20" s="11">
        <f>SUM(G20:G20)</f>
      </c>
      <c r="I20" s="11" t="str">
        <v>Budget and partner to be added Q1 2026</v>
      </c>
    </row>
    <row r="21" ht="25" customHeight="1">
      <c r="B21" s="15" t="str">
        <v>HLO budget subtotal</v>
      </c>
      <c r="H21" s="15">
        <f>SUM(H16:H20)</f>
      </c>
    </row>
  </sheetData>
  <mergeCells count="23">
    <mergeCell ref="A1:A2"/>
    <mergeCell ref="B1:B2"/>
    <mergeCell ref="C1:G1"/>
    <mergeCell ref="H1:H2"/>
    <mergeCell ref="I1:I2"/>
    <mergeCell ref="B3:B4"/>
    <mergeCell ref="H3:H4"/>
    <mergeCell ref="B5:B6"/>
    <mergeCell ref="H5:H6"/>
    <mergeCell ref="B8:G8"/>
    <mergeCell ref="A3:A8"/>
    <mergeCell ref="B9:B10"/>
    <mergeCell ref="H9:H10"/>
    <mergeCell ref="B11:B12"/>
    <mergeCell ref="H11:H12"/>
    <mergeCell ref="B13:B14"/>
    <mergeCell ref="H13:H14"/>
    <mergeCell ref="B15:G15"/>
    <mergeCell ref="A9:A15"/>
    <mergeCell ref="B16:B19"/>
    <mergeCell ref="H16:H19"/>
    <mergeCell ref="B21:G21"/>
    <mergeCell ref="A16:A21"/>
  </mergeCells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PREPARATION PHASE - "Supporting Colombia’s Just Energy Transition, climate resilience, and food security through the introduction of inclusive agri-photovoltaic systems" (JET-AgriSOL)</v>
      </c>
      <c r="B2" s="19" t="str">
        <v>AOW04</v>
      </c>
      <c r="C2" s="18" t="str">
        <v>4.2. Policy response</v>
      </c>
      <c r="D2" s="19">
        <v>534655</v>
      </c>
      <c r="E2" s="19" t="str">
        <f>=SUM(D2:D2)</f>
        <v>0</v>
      </c>
      <c r="F2" s="19" t="str">
        <v>'</v>
      </c>
    </row>
    <row r="3" ht="30" customHeight="1">
      <c r="A3" s="18" t="str">
        <v>IFAD (EC) Agroecological Transitions for Building Resilient, Inclusive, Agricultural and Food Systems (TRANSITIONS): Private sector incentives and investments</v>
      </c>
      <c r="B3" s="19" t="str">
        <v>AOW03</v>
      </c>
      <c r="C3" s="18" t="str">
        <v>3.2. Policy response</v>
      </c>
      <c r="D3" s="19">
        <v>0</v>
      </c>
      <c r="E3" s="19" t="str">
        <f>=SUM(D3:D3)</f>
        <v>0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36730</v>
      </c>
      <c r="D3" s="20">
        <v>0</v>
      </c>
      <c r="E3" s="20">
        <v>56834</v>
      </c>
      <c r="F3" s="20">
        <v>0</v>
      </c>
      <c r="G3" s="20">
        <v>0</v>
      </c>
      <c r="H3" s="20">
        <v>71572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0</v>
      </c>
      <c r="C4" s="20">
        <v>172154</v>
      </c>
      <c r="D4" s="20">
        <v>0</v>
      </c>
      <c r="E4" s="20">
        <v>137130</v>
      </c>
      <c r="F4" s="20">
        <v>0</v>
      </c>
      <c r="G4" s="20">
        <v>0</v>
      </c>
      <c r="H4" s="20">
        <v>102231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