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110000</v>
      </c>
      <c r="M4" s="5">
        <v>0</v>
      </c>
    </row>
    <row r="5" ht="20" customHeight="1">
      <c r="A5" s="2" t="str">
        <v>AOW01: Data Ecosystem</v>
      </c>
      <c r="B5" s="2">
        <v>0</v>
      </c>
      <c r="C5" s="5">
        <v>0</v>
      </c>
      <c r="D5" s="2">
        <v>13</v>
      </c>
      <c r="E5" s="5">
        <v>132986</v>
      </c>
      <c r="F5" s="2">
        <v>0</v>
      </c>
      <c r="G5" s="5">
        <v>0</v>
      </c>
      <c r="H5" s="2">
        <v>0</v>
      </c>
      <c r="I5" s="5">
        <v>0</v>
      </c>
      <c r="J5" s="5">
        <v>0</v>
      </c>
      <c r="K5" s="5">
        <v>0</v>
      </c>
      <c r="L5" s="5">
        <v>132986</v>
      </c>
      <c r="M5" s="5">
        <v>0</v>
      </c>
    </row>
    <row r="6" ht="20" customHeight="1">
      <c r="A6" s="2" t="str">
        <v>AOW02: Action Lab</v>
      </c>
      <c r="B6" s="2">
        <v>3</v>
      </c>
      <c r="C6" s="5">
        <v>250000</v>
      </c>
      <c r="D6" s="2">
        <v>8</v>
      </c>
      <c r="E6" s="5">
        <v>391924</v>
      </c>
      <c r="F6" s="2">
        <v>0</v>
      </c>
      <c r="G6" s="5">
        <v>0</v>
      </c>
      <c r="H6" s="2">
        <v>0</v>
      </c>
      <c r="I6" s="5">
        <v>0</v>
      </c>
      <c r="J6" s="5">
        <v>0</v>
      </c>
      <c r="K6" s="5">
        <v>0</v>
      </c>
      <c r="L6" s="5">
        <v>641924</v>
      </c>
      <c r="M6" s="5">
        <v>2857778</v>
      </c>
    </row>
    <row r="7" ht="20" customHeight="1">
      <c r="A7" s="2" t="str">
        <v>AOW03: Digital Futures</v>
      </c>
      <c r="B7" s="2">
        <v>0</v>
      </c>
      <c r="C7" s="5">
        <v>0</v>
      </c>
      <c r="D7" s="2">
        <v>2</v>
      </c>
      <c r="E7" s="5">
        <v>60000</v>
      </c>
      <c r="F7" s="2">
        <v>0</v>
      </c>
      <c r="G7" s="5">
        <v>0</v>
      </c>
      <c r="H7" s="2">
        <v>0</v>
      </c>
      <c r="I7" s="5">
        <v>0</v>
      </c>
      <c r="J7" s="5">
        <v>0</v>
      </c>
      <c r="K7" s="5">
        <v>0</v>
      </c>
      <c r="L7" s="5">
        <v>60000</v>
      </c>
      <c r="M7" s="5">
        <v>0</v>
      </c>
    </row>
    <row r="8" ht="20" customHeight="1">
      <c r="A8" s="2" t="str">
        <v>AOW04: Enabling Environment</v>
      </c>
      <c r="B8" s="2">
        <v>0</v>
      </c>
      <c r="C8" s="5">
        <v>0</v>
      </c>
      <c r="D8" s="2">
        <v>0</v>
      </c>
      <c r="E8" s="5">
        <v>0</v>
      </c>
      <c r="F8" s="2">
        <v>100</v>
      </c>
      <c r="G8" s="5">
        <v>100000</v>
      </c>
      <c r="H8" s="2">
        <v>0</v>
      </c>
      <c r="I8" s="5">
        <v>0</v>
      </c>
      <c r="J8" s="5">
        <v>0</v>
      </c>
      <c r="K8" s="5">
        <v>0</v>
      </c>
      <c r="L8" s="5">
        <v>100000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70000</v>
      </c>
      <c r="E3" s="11" t="str">
        <v xml:space="preserve">Funds for Bishal Aryal as DTA PC until June 2026. </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40000</v>
      </c>
      <c r="E6" s="11" t="str">
        <v xml:space="preserve">Funds for Jawoo Koo as AoW2 Lead. </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HLO 1.2.3 Standards-compliant  FAIR data corpus </v>
      </c>
      <c r="C3" s="11" t="str">
        <v>IFPRI 2: Number of datasets curated or produced under FAIR and standard-compliant protocols in scientific domains.</v>
      </c>
      <c r="D3" s="11" t="str">
        <v>Number of knowledge products</v>
      </c>
      <c r="E3" s="11" t="str">
        <v>Country: United States of America</v>
      </c>
      <c r="F3" s="11">
        <v>10</v>
      </c>
      <c r="G3" s="11">
        <v>92986</v>
      </c>
      <c r="H3" s="11">
        <f>SUM(G3:G3)</f>
      </c>
      <c r="I3" s="11" t="str">
        <v>This deliverable assumes active support from IFPRI's data management team and also that CGIAR centers have sufficient institutional commitment, technical capacity, and infrastructure to adopt Open and FAIR data practices. The risks involve lack of suffici</v>
      </c>
    </row>
    <row r="4" ht="50" customHeight="1">
      <c r="A4" s="11" t="str">
        <v>AOW01</v>
      </c>
      <c r="B4" s="11" t="str">
        <v xml:space="preserve">HLO 1.3.8 &amp; 1.4.8 Governance,  incentives for data &amp; digital  management culture change </v>
      </c>
      <c r="C4" s="11" t="str">
        <v xml:space="preserve">IFPRI 1: Number of standardized metadata and data guidelines (on data governance,  incentives for data &amp; digital  management) developed and published across key research domains. </v>
      </c>
      <c r="D4" s="11" t="str">
        <v>Number of knowledge products</v>
      </c>
      <c r="E4" s="11" t="str">
        <v>Country: United States of America</v>
      </c>
      <c r="F4" s="11">
        <v>3</v>
      </c>
      <c r="G4" s="11">
        <v>40000</v>
      </c>
      <c r="H4" s="11">
        <f>SUM(G4:G4)</f>
      </c>
      <c r="I4" s="11" t="str">
        <v>This deliverable assumes active support from IFPRI's data management team and also that CGIAR centers have sufficient institutional commitment, technical capacity, and infrastructure to adopt Open and FAIR data practices. The risks involve lack of suffici</v>
      </c>
    </row>
    <row r="5" ht="25" customHeight="1">
      <c r="B5" s="14" t="str">
        <v>HLO budget subtotal</v>
      </c>
      <c r="H5" s="15">
        <f>SUM(H3:H4)</f>
      </c>
    </row>
    <row r="6" ht="50" customHeight="1">
      <c r="A6" s="13" t="str">
        <v>AOW02</v>
      </c>
      <c r="B6" s="11" t="str">
        <v>HLO 2.1.1: Research integrates AI analytics and digital technologies to enhance modeling and evidence generation.​</v>
      </c>
      <c r="C6" s="11" t="str">
        <v>IFPRI 11: Number of AI and digital solution probes supporting system-level scenario analysis for decision-makers.</v>
      </c>
      <c r="D6" s="11" t="str">
        <v>Number of innovations (innovation development)</v>
      </c>
      <c r="E6" s="11" t="str">
        <v>Country: Ethiopia, Guatemala</v>
      </c>
      <c r="F6" s="11">
        <v>1</v>
      </c>
      <c r="G6" s="11">
        <v>100000</v>
      </c>
      <c r="H6" s="11">
        <f>SUM(G6:G6)</f>
      </c>
      <c r="I6" s="11" t="str">
        <v>The successful delivery assumes sufficient digital access, partner engagement, and timely ethical approvals to implement and validate the digital DQQ in Guatemala and Ethiopia. Key risks include low response rates, technical or infrastructure limitations,</v>
      </c>
    </row>
    <row r="7" ht="50" customHeight="1">
      <c r="A7" s="11" t="str">
        <v>AOW02</v>
      </c>
      <c r="B7" s="11" t="str">
        <v>HLO 2.1.5 Advisory products use AI language models to improve relevance and user engagement.</v>
      </c>
      <c r="C7" s="11" t="str">
        <v>IFPRI 9: Number of innovations that enhance social inclusiveness.</v>
      </c>
      <c r="D7" s="11" t="str">
        <v>Number of innovations (innovation development)</v>
      </c>
      <c r="E7" s="11" t="str">
        <v>Country: Zambia, United States of America, Kenya, South Africa</v>
      </c>
      <c r="F7" s="11">
        <v>2</v>
      </c>
      <c r="G7" s="11">
        <v>150000</v>
      </c>
      <c r="H7" s="11">
        <f>SUM(G7:G8)</f>
      </c>
      <c r="I7" s="11" t="str">
        <v xml:space="preserve">The successful delivery of this deliverable assumes that partner ANAPRI can successfully coordinate simulating policy discussion workshops and that sufficient details can be elicited from workshop participants.	</v>
      </c>
    </row>
    <row r="8" ht="50" customHeight="1" xml:space="preserve">
      <c r="A8" s="11" t="str">
        <v>AOW02</v>
      </c>
      <c r="C8" s="11" t="str">
        <v>IFPRI 8: Number of knowledge products on digital innovation, partnerships, and business models for FLW system transformation.</v>
      </c>
      <c r="D8" s="11" t="str">
        <v>Number of knowledge products</v>
      </c>
      <c r="E8" s="11" t="str">
        <v>Country: United States of America, Tanzania, United Republic</v>
      </c>
      <c r="F8" s="11">
        <v>2</v>
      </c>
      <c r="G8" s="11">
        <v>103682</v>
      </c>
      <c r="I8" s="11" t="str" xml:space="preserve">
        <v xml:space="preserve">The successful delivery of this POD depends on quality of audio data and expertise of local expert who is helping with transcription of audio data.					
</v>
      </c>
    </row>
    <row r="9" ht="50" customHeight="1" xml:space="preserve">
      <c r="A9" s="11" t="str">
        <v>AOW02</v>
      </c>
      <c r="B9" s="11" t="str">
        <v>HLO 2.2.7 Digital innovations use human-centered design and citizen science to enhance gender responsiveness and social inclusiveness.</v>
      </c>
      <c r="C9" s="11" t="str">
        <v>IFPRI 10: Number of knowledge products produced on innovations to enhance social inclusiveness.</v>
      </c>
      <c r="D9" s="11" t="str">
        <v>Number of knowledge products</v>
      </c>
      <c r="E9" s="11" t="str">
        <v>Country: South Africa, United States of America, Kenya</v>
      </c>
      <c r="F9" s="11">
        <v>2</v>
      </c>
      <c r="G9" s="11">
        <v>150000</v>
      </c>
      <c r="H9" s="11">
        <f>SUM(G9:G10)</f>
      </c>
      <c r="I9" s="11" t="str" xml:space="preserve">
        <v xml:space="preserve">The successful delivery of this deliverable depends on whether women farmers, household members, extension agents, and local partners will be available and willing to participate in interviews, user studies, and co-creation sessions.					
				</v>
      </c>
    </row>
    <row r="10" ht="50" customHeight="1">
      <c r="A10" s="11" t="str">
        <v>AOW02</v>
      </c>
      <c r="C10" s="11" t="str">
        <v>IFPRI 7: Number of SOPs, knowledge products, reports, scoping studies, new initiatives, and events executed to operationalize the digital innovation nodes.</v>
      </c>
      <c r="D10" s="11" t="str">
        <v>Number of knowledge products</v>
      </c>
      <c r="E10" s="11" t="str">
        <v>Country: United States of America, Kenya, The Socialist Republic of Viet Nam, Ghana</v>
      </c>
      <c r="F10" s="11">
        <v>4</v>
      </c>
      <c r="G10" s="11">
        <v>138242</v>
      </c>
      <c r="I10" s="11" t="str">
        <v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v>
      </c>
    </row>
    <row r="11" ht="25" customHeight="1">
      <c r="B11" s="15" t="str">
        <v>HLO budget subtotal</v>
      </c>
      <c r="H11" s="15">
        <f>SUM(H6:H10)</f>
      </c>
    </row>
    <row r="12" ht="50" customHeight="1">
      <c r="A12" s="13" t="str">
        <v>AOW03</v>
      </c>
      <c r="B12" s="11" t="str">
        <v>HLO 3.1.1:  Probes of a wide range of AI and/or other novel digital solutions  to support system-level scenario analysis of digital frontier technology impacts for decision-makers.</v>
      </c>
      <c r="C12" s="11" t="str">
        <v>IFPRI 3: Number of AI and digital solution probes supporting system-level scenario analysis for decision-makers.</v>
      </c>
      <c r="D12" s="11" t="str">
        <v>Number of knowledge products</v>
      </c>
      <c r="E12" s="11" t="str">
        <v>Country: India, Nigeria, Ghana, Senegal, China, Bangladesh, Malawi, Ethiopia, Egypt, Kenya, United States of America</v>
      </c>
      <c r="F12" s="11">
        <v>1</v>
      </c>
      <c r="G12" s="11">
        <v>30000</v>
      </c>
      <c r="H12" s="11">
        <f>SUM(G12:G12)</f>
      </c>
      <c r="I12" s="11" t="str">
        <v>This activity assumes that we will have data enabled on AI use for some use cases and have access to these data through different sources. The major risks are that we may need to rely on secondary data which we might not be openly accessible, especially p</v>
      </c>
    </row>
    <row r="13" ht="50" customHeight="1">
      <c r="A13" s="11" t="str">
        <v>AOW03</v>
      </c>
      <c r="B13" s="11" t="str">
        <v>HLO 3.2.2 &amp; 3.3.2: Future case scenarios identified for digital transformation in FWL systems in addressing context-specific challenges and opportunities.</v>
      </c>
      <c r="C13" s="11" t="str">
        <v>IFPRI 4: Number of reports and other ICT materials produced with Future case scenarios identified for digital transformation in FWL systems in addressing context-specific challenges, and opportunities.</v>
      </c>
      <c r="D13" s="11" t="str">
        <v>Number of knowledge products</v>
      </c>
      <c r="E13" s="11" t="str">
        <v>Country: Malawi, Egypt, China, Nigeria, Ghana, India, United States of America, Ethiopia, Senegal, Bangladesh, Kenya</v>
      </c>
      <c r="F13" s="11">
        <v>1</v>
      </c>
      <c r="G13" s="11">
        <v>30000</v>
      </c>
      <c r="H13" s="11">
        <f>SUM(G13:G13)</f>
      </c>
      <c r="I13" s="11" t="str">
        <v>This activity assumes that we will have data enabled on AI use for some use cases and have access to these data through different sources. The major risks are that we may need to rely on secondary data which we might not be openly accessible, especially p</v>
      </c>
    </row>
    <row r="14" ht="25" customHeight="1">
      <c r="B14" s="15" t="str">
        <v>HLO budget subtotal</v>
      </c>
      <c r="H14" s="15">
        <f>SUM(H12:H13)</f>
      </c>
    </row>
    <row r="15" ht="50" customHeight="1">
      <c r="A15" s="13" t="str">
        <v>AOW04</v>
      </c>
      <c r="B15" s="11" t="str">
        <v>HLO 4.1.2 Robust, secure and flexible foundational digital infrastructure &amp; sustainable operating model across centers and hubs</v>
      </c>
      <c r="C15" s="11" t="str">
        <v>IFPRI 6:  Number of individuals who received training on Robust, secure and flexible foundational digital infrastructure &amp; sustainable operating model.</v>
      </c>
      <c r="D15" s="11" t="str">
        <v>Number of people trained (capacity sharing for development)</v>
      </c>
      <c r="E15" s="11" t="str">
        <v>Country: Ethiopia, Malawi, Kenya, Nigeria, Ghana, Egypt, India, United States of America, Bangladesh, China, Senegal</v>
      </c>
      <c r="F15" s="11">
        <v>50</v>
      </c>
      <c r="G15" s="11">
        <v>50000</v>
      </c>
      <c r="H15" s="11">
        <f>SUM(G15:G15)</f>
      </c>
      <c r="I15" s="11" t="str">
        <v>The package assumes IFPRI and CGIAR Centers will have the resources, collaboration, and technical capacity needed to maintain secure, scalable digital tools and strengthen skills in AI, data science, and digital product management. Key risks include inade</v>
      </c>
    </row>
    <row r="16" ht="50" customHeight="1">
      <c r="A16" s="11" t="str">
        <v>AOW04</v>
      </c>
      <c r="B16" s="11" t="str">
        <v xml:space="preserve">HLO 4.2.5 Capacity building &amp; training packages on human-centric digital product design, development, sustainability, and business models. </v>
      </c>
      <c r="C16" s="11" t="str">
        <v>IFPRI 5: Number of individuals are capacitated on digital transformation.</v>
      </c>
      <c r="D16" s="11" t="str">
        <v>Number of people trained (capacity sharing for development)</v>
      </c>
      <c r="E16" s="11" t="str">
        <v>Country: Kenya, China, Nigeria, Egypt, Malawi, United States of America, Ethiopia, India, Senegal, Bangladesh, Ghana</v>
      </c>
      <c r="F16" s="11">
        <v>50</v>
      </c>
      <c r="G16" s="11">
        <v>50000</v>
      </c>
      <c r="H16" s="11">
        <f>SUM(G16:G16)</f>
      </c>
      <c r="I16" s="11" t="str">
        <v xml:space="preserve">The package assumes IFPRI can access the necessary resources and expertise to engage meaningfully in CGIAR Digital Transformation COPs and adopt improved policies and capacities in data, AI, and inclusive digital transformation. Key risks include limited </v>
      </c>
    </row>
    <row r="17" ht="25" customHeight="1">
      <c r="B17" s="15" t="str">
        <v>HLO budget subtotal</v>
      </c>
      <c r="H17" s="15">
        <f>SUM(H15:H16)</f>
      </c>
    </row>
  </sheetData>
  <mergeCells count="17">
    <mergeCell ref="A1:A2"/>
    <mergeCell ref="B1:B2"/>
    <mergeCell ref="C1:G1"/>
    <mergeCell ref="H1:H2"/>
    <mergeCell ref="I1:I2"/>
    <mergeCell ref="B5:G5"/>
    <mergeCell ref="A3:A5"/>
    <mergeCell ref="B7:B8"/>
    <mergeCell ref="H7:H8"/>
    <mergeCell ref="B9:B10"/>
    <mergeCell ref="H9:H10"/>
    <mergeCell ref="B11:G11"/>
    <mergeCell ref="A6:A11"/>
    <mergeCell ref="B14:G14"/>
    <mergeCell ref="A12:A14"/>
    <mergeCell ref="B17:G17"/>
    <mergeCell ref="A15:A17"/>
  </mergeCells>
  <ignoredErrors>
    <ignoredError numberStoredAsText="1" sqref="A1:I17"/>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N-633006-IICOF IN JIMMA ETH</v>
      </c>
      <c r="B2" s="19" t="str">
        <v>AOW02</v>
      </c>
      <c r="C2" s="18" t="str">
        <v>HLO 2.2.7 Digital innovations use human-centered design and citizen science to enhance gender responsiveness and social inclusiveness.</v>
      </c>
      <c r="D2" s="19">
        <v>75393</v>
      </c>
      <c r="E2" s="19" t="str">
        <f>=SUM(D2:D2)</f>
        <v>0</v>
      </c>
      <c r="F2" s="19" t="str">
        <v xml:space="preserve">Subject to active status in 2026 and continued availability of funding. </v>
      </c>
    </row>
    <row r="3" ht="30" customHeight="1">
      <c r="A3" s="18" t="str">
        <v>N-343005-GAIA Phase II</v>
      </c>
      <c r="B3" s="19" t="str">
        <v>AOW02</v>
      </c>
      <c r="C3" s="18" t="str">
        <v>HLO 2.1.5 Advisory products use AI language models to improve relevance and user engagement.</v>
      </c>
      <c r="D3" s="19">
        <v>1866255</v>
      </c>
      <c r="E3" s="19" t="str">
        <f>=SUM(D3:D3)</f>
        <v>0</v>
      </c>
      <c r="F3" s="19" t="str">
        <v>Assumes the project team can continue to engage with small scale producers and farmers in the Global South and there is more adoption of AI based advisory services.</v>
      </c>
    </row>
    <row r="4" ht="30" customHeight="1">
      <c r="A4" s="18" t="str">
        <v>N-343004-AgPile</v>
      </c>
      <c r="B4" s="19" t="str">
        <v>AOW01</v>
      </c>
      <c r="C4" s="18" t="str">
        <v xml:space="preserve">HLO 1.2.4 Scalable, searchable Data ecosystem with analytics pipelines </v>
      </c>
      <c r="D4" s="19">
        <v>0</v>
      </c>
      <c r="E4" s="19" t="str">
        <f>=SUM(D4:D4)</f>
        <v>0</v>
      </c>
    </row>
    <row r="5" ht="30" customHeight="1">
      <c r="A5" s="18" t="str">
        <v>N-600317-STATS FR SPACE-MOZAMBIQUE</v>
      </c>
      <c r="B5" s="19" t="str">
        <v>AOW02</v>
      </c>
      <c r="C5" s="18" t="str">
        <v>HLO 2.1.1: Research integrates AI analytics and digital technologies to enhance modeling and evidence generation.​</v>
      </c>
      <c r="D5" s="19">
        <v>916130</v>
      </c>
      <c r="E5" s="19" t="str">
        <f>=SUM(D5:D5)</f>
        <v>0</v>
      </c>
      <c r="F5" s="19" t="str">
        <v xml:space="preserve">Subject to active status in 2026 and continued availability of funding. </v>
      </c>
    </row>
    <row r="6" ht="30" customHeight="1">
      <c r="A6" s="3" t="str">
        <v>W3/Bilateral projects subtotal</v>
      </c>
      <c r="E6" s="3">
        <f>SUM(E2:E5)</f>
      </c>
    </row>
  </sheetData>
  <mergeCells count="1">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0</v>
      </c>
      <c r="C2" s="20">
        <v>0</v>
      </c>
      <c r="D2" s="20">
        <v>20000</v>
      </c>
      <c r="E2" s="20">
        <v>0</v>
      </c>
      <c r="F2" s="20">
        <v>0</v>
      </c>
      <c r="G2" s="20" t="str">
        <f>=SUM(B2:F2)</f>
        <v>0</v>
      </c>
    </row>
    <row r="3" ht="20" customHeight="1">
      <c r="A3" s="20" t="str">
        <v>Operations (supplies, consultants, travels, workshops, other)</v>
      </c>
      <c r="B3" s="20">
        <v>0</v>
      </c>
      <c r="C3" s="20">
        <v>66493</v>
      </c>
      <c r="D3" s="20">
        <v>84593</v>
      </c>
      <c r="E3" s="20">
        <v>17571</v>
      </c>
      <c r="F3" s="20">
        <v>49684</v>
      </c>
      <c r="G3" s="20" t="str">
        <f>=SUM(B3:F3)</f>
        <v>0</v>
      </c>
    </row>
    <row r="4" ht="20" customHeight="1">
      <c r="A4" s="20" t="str">
        <v>Staffing, Chargebacks and Indirect</v>
      </c>
      <c r="B4" s="20">
        <v>110000</v>
      </c>
      <c r="C4" s="20">
        <v>66493</v>
      </c>
      <c r="D4" s="20">
        <v>537331</v>
      </c>
      <c r="E4" s="20">
        <v>42429</v>
      </c>
      <c r="F4" s="20">
        <v>50316</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