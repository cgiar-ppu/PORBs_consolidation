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LO_India_Filtered" sheetId="1" state="visible" r:id="rId3"/>
  </sheets>
  <definedNames>
    <definedName function="false" hidden="true" localSheetId="0" name="_xlnm._FilterDatabase" vbProcedure="false">HLO_India_Filtered!$A$1:$L$441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<sst xmlns="http://schemas.openxmlformats.org/spreadsheetml/2006/main" count="3943" uniqueCount="943">
  <si>
    <t xml:space="preserve">Program</t>
  </si>
  <si>
    <t xml:space="preserve">Center</t>
  </si>
  <si>
    <t xml:space="preserve">AOW</t>
  </si>
  <si>
    <t xml:space="preserve">High Level Output</t>
  </si>
  <si>
    <t xml:space="preserve">KPI Description</t>
  </si>
  <si>
    <t xml:space="preserve">KPI Type</t>
  </si>
  <si>
    <t xml:space="preserve">KPI Geographic Location</t>
  </si>
  <si>
    <t xml:space="preserve">KPI Target</t>
  </si>
  <si>
    <t xml:space="preserve">KPI Budget (USD)</t>
  </si>
  <si>
    <t xml:space="preserve">Country Count</t>
  </si>
  <si>
    <t xml:space="preserve">India Pro-Rated Budget (USD)</t>
  </si>
  <si>
    <t xml:space="preserve">Total Budget (USD)</t>
  </si>
  <si>
    <t xml:space="preserve">Budget Assumptions</t>
  </si>
  <si>
    <t xml:space="preserve">Program_Name</t>
  </si>
  <si>
    <t xml:space="preserve">SP01</t>
  </si>
  <si>
    <t xml:space="preserve">CIMMYT</t>
  </si>
  <si>
    <t xml:space="preserve">AOW04</t>
  </si>
  <si>
    <t xml:space="preserve">HLO15.AOW4.IO2 Hub &amp; spoke scaling</t>
  </si>
  <si>
    <t xml:space="preserve">Interoperable tools and services are scaled to match the varied capacities of partners across the breeding network. High-capacity partners are supported to act as central hubs, providing in breeding network support to less resourced partners. ---- CIMMYT (wheat, maize, sorghum, finger millet, pearl millet, pigeon pea, groundnut, chickpea ) - ------ EBS and Bioflow Support and Backstopping for CIMMYT breeding programs globally</t>
  </si>
  <si>
    <t xml:space="preserve">Number of High-capacity partners acting as central hub, providing breeding network support services to less resourced partners</t>
  </si>
  <si>
    <t xml:space="preserve">Country: Zimbabwe, India, Kenya, Mexico</t>
  </si>
  <si>
    <t xml:space="preserve">CIMMYT_Breeding for Tomorrow_11_Data
Responsible: Kate Dreher (k.dreher@cgiar.org)
Support to CIMMYT scientists and partners across 3 breeding programs for EBS and Bioflow</t>
  </si>
  <si>
    <t xml:space="preserve">Breeding for Tomorrow</t>
  </si>
  <si>
    <t xml:space="preserve">HLO16.AOW4.IO3 Shared services</t>
  </si>
  <si>
    <t xml:space="preserve">A portfolio of connected tools and services that collectively meet current and emerging needs for modernized breeding is made available to breeding networks ---------------------CIMMYT (CROP AGNOSTIC) Upgrade CGIAR genotyping QA/QC workflows, forecast planning and quality control</t>
  </si>
  <si>
    <t xml:space="preserve"> Number of tools and services offered</t>
  </si>
  <si>
    <t xml:space="preserve">Country: India, Philippines, Mexico, Kenya</t>
  </si>
  <si>
    <t xml:space="preserve">CIMMYT_Breeding for Tomorrow_2_BRS
Responsible: Gustavo Teixeira (g.teixeira@cgiar.org)
Upgraded CGIAR genotyping QA/QC workflows, forecast planning and quality control</t>
  </si>
  <si>
    <t xml:space="preserve">A portfolio of connected tools and services that collectively meet current and emerging needs for modernized breeding is made available to breeding networks---------CIMMYT (Users trained and have access to shared services and technical backstopping support) ---- Number of individuals from research or scaling partner organizations who attended CGIAR trainings
</t>
  </si>
  <si>
    <t xml:space="preserve">Number of people trained (capacity sharing for development)</t>
  </si>
  <si>
    <t xml:space="preserve">Country: India, Kenya, Philippines, Mexico</t>
  </si>
  <si>
    <t xml:space="preserve">CIMMYT_Breeding for Tomorrow_2_BRS
Responsible: Gustavo Teixeira (g.teixeira@cgiar.org)
100 trainees (30 % female) from research or scaling partner organizations complete training in genotyping shared services</t>
  </si>
  <si>
    <t xml:space="preserve">AOW05</t>
  </si>
  <si>
    <t xml:space="preserve">HLO19.AOW5.IO2 Share capacity</t>
  </si>
  <si>
    <t xml:space="preserve">Number of individuals from research or scaling partner organizations who attended CGIAR trainings ---- CIMMYT -WHEAT - (Breeding network support)--------------Number of people trained (capacity sharing for development)	
</t>
  </si>
  <si>
    <t xml:space="preserve">Country: Uganda, Nepal, Kenya, Mexico, Bangladesh, Ethiopia, India</t>
  </si>
  <si>
    <t xml:space="preserve">CIMMYT_Breeding for Tomorrow_9_BQG
Responsible: Keith Gardner (k.gardner@cgiar.org)
40 people from partner organizations supported in EBS usage, trial analysis and design in CIMMYT wheat breeding networks in East Africa and South Asia. </t>
  </si>
  <si>
    <t xml:space="preserve">Number of individuals from research or scaling partner organizations who attended CGIAR trainings ---- CIMMYT -WHEAT - (Breeding network capacity building including communities of practice)--------------Number of people trained (capacity sharing for development)</t>
  </si>
  <si>
    <t xml:space="preserve">Country: Pakistan, Uganda, Bangladesh, Tanzania, United Republic, India, Mexico, Ethiopia, Kenya, Nepal</t>
  </si>
  <si>
    <t xml:space="preserve">CIMMYT_Breeding for Tomorrow_9_BQG
Responsible: Keith Gardner (k.gardner@cgiar.org)
40 people from wheat partner organizations trained in EBS usage, trial analysis and design in Community of Practice Meetings in East Africa and South Asia. </t>
  </si>
  <si>
    <t xml:space="preserve">CIP</t>
  </si>
  <si>
    <t xml:space="preserve">AOW02</t>
  </si>
  <si>
    <t xml:space="preserve">HLO8.AOW2.IO2 Discover genetic potential</t>
  </si>
  <si>
    <t xml:space="preserve">Discovery and development of foundational genetic resources such as traits, high-value haplotypes and elite lines that can deliver on targeted product profiles ---- CIP POTATO - Characterization of advanced potato germplasm for iron content completed...---- Average stage of trait discovery and deployment efforts across the portfolio</t>
  </si>
  <si>
    <t xml:space="preserve">Number of innovations (innovation development)</t>
  </si>
  <si>
    <t xml:space="preserve">Country: India, Peru</t>
  </si>
  <si>
    <t xml:space="preserve">POD ID: CIP_B4T_01. High Iron potato for South Asia. Responsible person is Moctar Kante.
Partnering with James Hutton Institute in Peru; Flow through TBD</t>
  </si>
  <si>
    <t xml:space="preserve">ICRISAT</t>
  </si>
  <si>
    <t xml:space="preserve">HLO9.AOW2.IO2 Create products</t>
  </si>
  <si>
    <t xml:space="preserve">Breeding networks collaborate on the development of targeted products. ---- ICRISAT -groundnut - Number of varieties released to partners for scaling
</t>
  </si>
  <si>
    <t xml:space="preserve">Country: India, Malawi, Mali</t>
  </si>
  <si>
    <t xml:space="preserve">Package ID: ICRISAT_Breeding for Tomorrow_03
AOW: AOW02 Accelerated Breeding
Responsible: Janila P
Target: 4 varieties released to partners for scaling
Locations of Work: India; Mali; Malawi</t>
  </si>
  <si>
    <t xml:space="preserve">Breeding networks collaborate on the development of targeted products. ---- ICRISAT CHICKPEA - Number of varieties released to partners for scaling
</t>
  </si>
  <si>
    <t xml:space="preserve">Country: Ethiopia, India</t>
  </si>
  <si>
    <t xml:space="preserve">Package ID: ICRISAT_Breeding for Tomorrow_03
AOW: AOW02 Accelerated Breeding
Responsible: Rakesh Srivastava
Target: 4 varieties released to partners for scaling
Locations:  Ethiopia, India
</t>
  </si>
  <si>
    <t xml:space="preserve">Breeding networks collaborate on the development of targeted products. ---- ICRISAT PIGEONPEA - Number of varieties released to partners for scaling
</t>
  </si>
  <si>
    <t xml:space="preserve">Country: Kenya, India</t>
  </si>
  <si>
    <t xml:space="preserve">Package ID: ICRISAT_Breeding for Tomorrow_03
AOW: AOW02 Accelerated Breeding
Responsible: Prakash Gangashetty
Target: 5 varieties released to partners for scaling
Locations:  Kenya, India
</t>
  </si>
  <si>
    <t xml:space="preserve">Breeding networks collaborate on the development of targeted products. ---- ICRISAT FINGERMILLET - Number of varieties released to partners for scaling	
</t>
  </si>
  <si>
    <t xml:space="preserve">Country: India, Kenya</t>
  </si>
  <si>
    <t xml:space="preserve">Package ID: ICRISAT_Breeding for Tomorrow_03
AOW: AOW02 Accelerated Breeding
Responsible: Henry O
Target: 4 varieties released to partners for scaling
Locations:  India, Kenya
</t>
  </si>
  <si>
    <t xml:space="preserve">Breeding networks collaborate on the development of targeted products. ---- ICRISAT - SORGHUM ---------- Number of elite breeding lines released to partners
</t>
  </si>
  <si>
    <t xml:space="preserve">Country: Zimbabwe, India, Mali</t>
  </si>
  <si>
    <t xml:space="preserve">Package ID: ICRISAT_Breeding for Tomorrow_03
AOW: AOW02 Accelerated Breeding
Responsible: Mac Jumbo Bright
Target: 50 Number of elite breeding lines released to partners
Locations:  Zimbabwe, India, Mali
Program develops hybrid parental lines (and not d</t>
  </si>
  <si>
    <t xml:space="preserve">Breeding networks collaborate on the development of targeted products. ---- ICRISAT -PEARL MILLET - Number of elite breeding lines released to partners</t>
  </si>
  <si>
    <t xml:space="preserve">Country: Mali, India, Kenya</t>
  </si>
  <si>
    <t xml:space="preserve">Package ID: ICRISAT_Breeding for Tomorrow_03
AOW: AOW02 Accelerated Breeding
Responsible: SK Gupta
Target: 100 Number of elite breeding lines released to partners
Locations:  Mali, India, Kenya
Program develops hybrid parental lines (and not direct prod</t>
  </si>
  <si>
    <t xml:space="preserve">AOW03</t>
  </si>
  <si>
    <t xml:space="preserve">HLO11.AOW3.IO4 Position for demand</t>
  </si>
  <si>
    <t xml:space="preserve">Strategies to position quality seed and increase scaling partner demand for new varieties, encouraging variety replacement and Product Lifecycle Management. ----- ICRISAT - Pigeonpea; Sorghum, Pearl Millet ---- Number of new products per segments validated or introduced	</t>
  </si>
  <si>
    <t xml:space="preserve">Country: Uganda, India, Malawi, Tanzania, United Republic, Bangladesh, Pakistan, Mali, Kenya, Zimbabwe, Nigeria</t>
  </si>
  <si>
    <t xml:space="preserve">Package ID: ICRISAT_Breeding for Tomorrow_12
AOW: AOW03 Accelerated Breeding
Responsible: Manzoor Dar
Target: 110 Number of new products per segments validated or introduced
Locations:  Uganda, India, Malawi, Tanzania, United Republic, Bangladesh, Pakista</t>
  </si>
  <si>
    <t xml:space="preserve">HLO13.AOW3.IO5 Power seed scaling</t>
  </si>
  <si>
    <t xml:space="preserve">Number of individuals from research or scaling partner organizations who attended CGIAR trainings (gender-disaggregated)	-----ICRISAT (DRYLAND CROPS)-----------	Number of individuals trained (gender-disaggregated)
</t>
  </si>
  <si>
    <t xml:space="preserve">Country: India, Tanzania, United Republic, Kenya, Uganda, Mali, Nigeria, Malawi, Pakistan, Bangladesh</t>
  </si>
  <si>
    <t xml:space="preserve">Package ID: ICRISAT_Breeding for Tomorrow_12
AOW: AOW03 Accelerated Breeding
Responsible: Manzoor Dar
Target: 500 Number of individuals trained (gender-disaggregated)
Locations:  India, Tanzania, United Republic, Kenya, Uganda, Mali, Nigeria, Malawi, Paki</t>
  </si>
  <si>
    <t xml:space="preserve">HLO14.AOW3.IO5 TRACK adoption</t>
  </si>
  <si>
    <t xml:space="preserve">Methods and tools to track variety adoption and turnover at scale ------------------ ICRISAT ( Pigeonpea; Sorghum, Pearl Millet) -------------------------Number of stakeholder feedback sessions conducted	
</t>
  </si>
  <si>
    <t xml:space="preserve"> No. of stakeholder feedback sessions conducted	</t>
  </si>
  <si>
    <t xml:space="preserve">Country: Tanzania, United Republic, Mali, Uganda, Malawi, Zimbabwe, Bangladesh, Pakistan, Nigeria, India, Kenya</t>
  </si>
  <si>
    <t xml:space="preserve">Package ID: ICRISAT_Breeding for Tomorrow_12
AOW: AOW03 Accelerated Breeding
Responsible: Manzoor Dar
Target: 100 No. of stakeholder feedback sessions conducted
Locations:  Tanzania, United Republic, Mali, Uganda, Malawi, Zimbabwe, Bangladesh, Pakistan, N</t>
  </si>
  <si>
    <t xml:space="preserve">Interoperable tools and services are scaled to match the varied capacities of partners across the breeding network. High-capacity partners are supported to act as central hubs, providing in breeding network support to less resourced partners.---------------------ICRISAT  (Dryland legumes and millets, rice, wheat, maize and other crops submitted for services)--------------Number of High-capacity partners acting as central hub, providing breeding network support services to less resourced partners	</t>
  </si>
  <si>
    <t xml:space="preserve">Package ID: ICRISAT_Breeding for Tomorrow_15
AOW: AOW04 Breeding Resources
Responsible: Damaris Odeny	
Target: 4 Number of High-capacity partners acting as central hub, providing breeding network support services to less resourced partners
Locations:  Glo</t>
  </si>
  <si>
    <t xml:space="preserve">A portfolio of connected tools and services that collectively meet current and emerging needs for modernized breeding is made available to breeding networks ---- ICRISAT - (CROP AGNOSTIC) ---- 1 mid-density marker panel and 1 low density panel for dryland crops</t>
  </si>
  <si>
    <t xml:space="preserve">Package ID: ICRISAT_Breeding for Tomorrow_15
AOW: AOW04 Breeding Resources
Responsible: Damaris Odeny	
Target: 4 Number of tools and services offered
Locations:  India, Kenya
</t>
  </si>
  <si>
    <t xml:space="preserve">HLO17.AOW4.IO3 FAIR principles</t>
  </si>
  <si>
    <t xml:space="preserve">All breeding programs are supported to maximize alignment with FAIR principles ---- ICRISAT - CROP AGNOSTIC - Number of Centers that make EBS data API accessible	
</t>
  </si>
  <si>
    <t xml:space="preserve"> Number of Centers that make EBS data API accessible	</t>
  </si>
  <si>
    <t xml:space="preserve">Country: Kenya, Mali, India</t>
  </si>
  <si>
    <t xml:space="preserve">Package ID: ICRISAT_Breeding for Tomorrow_15
AOW: AOW04 Breeding Resources
Responsible: Damaris Odeny	
Target: 4 Number of Centers that make EBS data API accessible
Locations:  Kenya, Mali, India
</t>
  </si>
  <si>
    <t xml:space="preserve">HLO18.AOW5.IO2 Partnered networks</t>
  </si>
  <si>
    <t xml:space="preserve">Strategic planning of crop x region breeding networks that enables collaboration on common challenges and opportunities----ICRISAT -Pearl millet, finger millet, sorghum, chickpea, pigeonpea, groundnut (Participator Vareital Selection (PVS))--------- Number of Crops with Level 1 &amp; Level 2 partner countries characterized	
</t>
  </si>
  <si>
    <t xml:space="preserve"> Number of Crops with Level 1 &amp; Level 2 partner countries characterized	</t>
  </si>
  <si>
    <t xml:space="preserve">Country: India</t>
  </si>
  <si>
    <t xml:space="preserve">Package ID: ICRISAT_Breeding for Tomorrow_16
AOW: AOW05 Enable
Responsible: SK Gupta; Bright Jumbo	
Target: 10 Number of Crops with Level 1 &amp; Level 2 partner countries characterized
Locations:  Global
</t>
  </si>
  <si>
    <t xml:space="preserve">Strategic planning of crop x region breeding networks that enables collaboration on common challenges and opportunities----ICRISAT -Pearl millet, finger millet, sorghum, chickpea, pigeonpea, groundnut (Product Advancement Meetings under ASIABENET)--------- Number of Crops with Level 1 &amp; Level 2 partner countries characterized	
</t>
  </si>
  <si>
    <t xml:space="preserve">Package ID: ICRISAT_Breeding for Tomorrow_16
AOW: AOW05 Enable
Responsible: SK Gupta; Bright Jumbo	
Target: 25 Number of Crops with Level 1 &amp; Level 2 partner countries characterized
Locations:  Global
</t>
  </si>
  <si>
    <t xml:space="preserve">Strategic planning of crop x region breeding networks that enables collaboration on common challenges and opportunities----ICRISAT -Pearl millet, finger millet, sorghum, chickpea, pigeonpea, groundnut (Establish ASIABENET: Establish ASIABENET and conduct Annual METs are conducted for... )--------- Number of Crops with Level 1 &amp; Level 2 partner countries characterized
</t>
  </si>
  <si>
    <t xml:space="preserve"> Number of Crops with Level 1 &amp; Level 2 partner countries characterized</t>
  </si>
  <si>
    <t xml:space="preserve">Country: Myanmar, Lao People's Democratic Republic, The Socialist Republic of Viet Nam, India, Bangladesh</t>
  </si>
  <si>
    <t xml:space="preserve">Package ID: ICRISAT_Breeding for Tomorrow_16
AOW: AOW05 Enable
Responsible: SK Gupta; Bright Jumbo	
Target: 20 Number of Crops with Level 1 &amp; Level 2 partner countries characterized
Locations:  Global
</t>
  </si>
  <si>
    <t xml:space="preserve">HLO20.AOW5.IO3 Assess performance</t>
  </si>
  <si>
    <t xml:space="preserve">Number of AoWs, with MELIA performance reports completed, addressing identified data gaps. ---- ICRISAT (Provide capacity to partners to enhance knowledge. ) -----Availability of MELIA Report on AoWs (performance data)	
</t>
  </si>
  <si>
    <t xml:space="preserve">Package ID: ICRISAT_Breeding for Tomorrow_16
AOW: AOW05 Enable
Responsible: S Nedumaran
Target: 1 Provide capacity to partners to enhance knowledge
Locations:  India
</t>
  </si>
  <si>
    <t xml:space="preserve">Number of AoWs with completed MELIA performance reports that address identified data gaps, including information on adoption levels, area of adoption, and market share of the technology. — ICRISAT (generate information on adoption) — Availability of MELIA reports on AoWs (performance data).
</t>
  </si>
  <si>
    <t xml:space="preserve">Number of knowledge products</t>
  </si>
  <si>
    <t xml:space="preserve">Package ID: ICRISAT_Breeding for Tomorrow_16
AOW: AOW05 Enable
Responsible: S Nedumaran 	
Target: 1 generate information on adoption
Locations:  India
</t>
  </si>
  <si>
    <t xml:space="preserve">IFPRI</t>
  </si>
  <si>
    <t xml:space="preserve">AOW01</t>
  </si>
  <si>
    <t xml:space="preserve">HLO3.AOW1.IO1 Design concepts</t>
  </si>
  <si>
    <t xml:space="preserve">New product concepts are designed for demand-led and foresight opportunities, that can be used by breeders to meet the Product Design Standard. ------------------------ IFPRI - CROP AGNOSTIC - (1 Report with at least 10 updated TPPs) ------------------------------- Number of updated TPPs with reprioritized nutrition traits</t>
  </si>
  <si>
    <t xml:space="preserve">Country: United States of America, India</t>
  </si>
  <si>
    <t xml:space="preserve">POD ID: IFPRI_B4T_03</t>
  </si>
  <si>
    <t xml:space="preserve">HLO5.AOW1.IO3 Investment cases</t>
  </si>
  <si>
    <t xml:space="preserve">Investment case studies are developed to inform investments for maximized impact (change in targeted SDGs) ----IFPRI - CROP AGNOSTIC (Prioritizing Investment with Foresight, Portfolio, and Pipeline Analysis) ------- Number of case studies that inform investments for maximized impact developed	
</t>
  </si>
  <si>
    <t xml:space="preserve">Country: United States of America, India, Kenya</t>
  </si>
  <si>
    <t xml:space="preserve">Contact persons: David Spielman, Alejandro Nin Pratt
Working with IFPRI's global IMPACT modeling team and Center focal points </t>
  </si>
  <si>
    <t xml:space="preserve">Interoperable tools and services are scaled to match the varied capacities of partners across the breeding network. High-capacity partners are supported to act as central hubs, providing in breeding network support to less resourced partners. ----- IFPRI - (Building Shared Capacity and Services for Nutrient Phenotyping in Crops) --------- Number of institutional users in Service Portal	
</t>
  </si>
  <si>
    <t xml:space="preserve"> Number of institutional users in Service Portal	</t>
  </si>
  <si>
    <t xml:space="preserve">Country: The Democratic Republic of the Congo, India, Nigeria, Bangladesh</t>
  </si>
  <si>
    <t xml:space="preserve">Contact person: Victor Taleon
Collaborators: Mahalingam Govindaraj  (IFPRI-INDIA-HarvestPlus), Pravalika, V (IFPRI-India-HP)</t>
  </si>
  <si>
    <t xml:space="preserve">A portfolio of connected tools and services that collectively meet current and emerging needs for modernized breeding is made available to breeding networks ---- IFPRI - CROP AGNOSTIC (Building Shared Capacity and Services for Nutrient 
</t>
  </si>
  <si>
    <t xml:space="preserve">Country: Bangladesh, The Democratic Republic of the Congo, India, Nigeria</t>
  </si>
  <si>
    <t xml:space="preserve">Contact person: Victor Taleon
Collaborator: Mahalingam Govindaraj  (IFPRI-INDIA-HarvestPlus), Pravalika, V (IFPRI-India-HP)</t>
  </si>
  <si>
    <t xml:space="preserve">IRRI</t>
  </si>
  <si>
    <t xml:space="preserve">New product concepts are designed for demand-led and foresight opportunities, that can be used by breeders to meet the Product Design Standard. ---- IRRI-RICE (Feasible and impactful rice product concepts for new or existing market segments in India and Tanzania) -----Number of knowledge products featuring new product concepts</t>
  </si>
  <si>
    <t xml:space="preserve">Country: Tanzania, United Republic, India</t>
  </si>
  <si>
    <t xml:space="preserve">HLO7.AOW2.IO2 Accelerating genetic gain</t>
  </si>
  <si>
    <t xml:space="preserve">Further improvise breeding schemes in consultation with B4T quantitative genetics experts aligned with unified OneRice breeding strategy. ----- IRRI - RICE (Optimized OneRice Breeding strategy further to enhance genetic gain for targeted market segments)----- Number of breeding schemes and pipelines designed with optimized breeding cycle time as compared to 2025
</t>
  </si>
  <si>
    <t xml:space="preserve">Country: Bangladesh, India, Tanzania, United Republic, Philippines</t>
  </si>
  <si>
    <t xml:space="preserve">Targets based on low funding scenario</t>
  </si>
  <si>
    <t xml:space="preserve">Breeding networks collaborate on the development of targeted products. ----IRRI - RICE -  Number of varieties released to partners for scaling	</t>
  </si>
  <si>
    <t xml:space="preserve">Country: Bangladesh, The Socialist Republic of Viet Nam, Tanzania, United Republic, India, Philippines</t>
  </si>
  <si>
    <t xml:space="preserve">Strategies to position quality seed and increase scaling partner demand for new varieties, encouraging variety replacement and Product Lifecycle Management. -----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Number of new products per segments validated or introduced</t>
  </si>
  <si>
    <t xml:space="preserve">Country: India, Tanzania, United Republic, Bangladesh</t>
  </si>
  <si>
    <t xml:space="preserve">Will prioritize one KPI with the revised funding</t>
  </si>
  <si>
    <t xml:space="preserve">A portfolio of connected tools and services that collectively meet current and emerging needs for modernized breeding is made available to breeding networks ---- IRRI - RICE ---- Number of tools and services offered as a result of the operations assessment (such as infrastructure improvement, digitalization, continuous improvement, etc)</t>
  </si>
  <si>
    <t xml:space="preserve">Country: Philippines, India, Tanzania, United Republic</t>
  </si>
  <si>
    <t xml:space="preserve">Target based on low funding scenario
Critical capability</t>
  </si>
  <si>
    <t xml:space="preserve">SP02</t>
  </si>
  <si>
    <t xml:space="preserve">AfricaRice</t>
  </si>
  <si>
    <t xml:space="preserve">3.2. Validated, farm-level management solutions </t>
  </si>
  <si>
    <t xml:space="preserve">KPI 5: Integrated, farm-level intervention packages that tackle clusters of interacting farm-level constraints to optimize agronomic outcomes</t>
  </si>
  <si>
    <t xml:space="preserve">Country: Ghana, Bangladesh, Sri Lanka, Nepal, Malawi, Morocco, Mexico, Tanzania, United Republic, Kenya, India, Ethiopia, Madagascar</t>
  </si>
  <si>
    <t xml:space="preserve">Budget available for innovation development. Farmer groups participate in training, testing and validation.</t>
  </si>
  <si>
    <t xml:space="preserve">Sustainable Farming</t>
  </si>
  <si>
    <t xml:space="preserve">5.5. Well-documented, widely applicable and replicable partnership platforms </t>
  </si>
  <si>
    <t xml:space="preserve">Multi-stakeholder partnership platforms (PAASSs) engaging diverse partners to support the scaling of bundled solutions for multiple crops (cassava, maize, sorghum, soybean, teff, rice, cocoa, coffee, etc) and livestock emerging from AoWs 1–3 in different locations and countries.</t>
  </si>
  <si>
    <t xml:space="preserve"> Number of Partners engaged</t>
  </si>
  <si>
    <t xml:space="preserve">Country: Kenya, Ghana, Mexico, Malawi, Tanzania, United Republic, Nigeria, Cambodia, India, Philippines, The Socialist Republic of Viet Nam, Ethiopia</t>
  </si>
  <si>
    <t xml:space="preserve">Allocated budget is sufficient for the partner engagement</t>
  </si>
  <si>
    <t xml:space="preserve">Bioversity (Alliance)</t>
  </si>
  <si>
    <t xml:space="preserve">1.2: Benchmarking and performance validation systems </t>
  </si>
  <si>
    <t xml:space="preserve">Science-based standard protocols, methodologies and benchmarks for independent in-field and external performance evaluations of AI and digital systems and advisories</t>
  </si>
  <si>
    <t xml:space="preserve">Country: India, Ethiopia, Kenya</t>
  </si>
  <si>
    <t xml:space="preserve">as per the description</t>
  </si>
  <si>
    <t xml:space="preserve">3.3: Scaled and adopted farm management solutions </t>
  </si>
  <si>
    <t xml:space="preserve">KPI 6: Systematic assessment capturing farmer uptake, contextual adaptation, and scaling trajectories of validated solutions addressing binding constraints</t>
  </si>
  <si>
    <t xml:space="preserve">Country: Mexico, Ethiopia, Malawi, Nepal, Bangladesh, Kenya, Lao People's Democratic Republic, India, Rwanda, The Democratic Republic of the Congo, The Socialist Republic of Viet Nam, Colombia, Uganda</t>
  </si>
  <si>
    <t xml:space="preserve">2026 Budget</t>
  </si>
  <si>
    <t xml:space="preserve">CIAT (Alliance)</t>
  </si>
  <si>
    <t xml:space="preserve"> 1.1: Agronomic and farm management scientific data and analytics  </t>
  </si>
  <si>
    <t xml:space="preserve">Functional variability (fertilizer price shifts and local input access) into Farmer.Chat and aligned tools (AgWise chatbot and virtual agronomist) to generate improved context-specific recommendations that accommodate risk, cost and effectiveness </t>
  </si>
  <si>
    <t xml:space="preserve">Country: Bangladesh, Malawi, Mexico, India, Kenya, Ethiopia, Ghana</t>
  </si>
  <si>
    <t xml:space="preserve">2026 budget</t>
  </si>
  <si>
    <t xml:space="preserve">2.1: Enhanced resolution, accuracy and timeliness of early warning system </t>
  </si>
  <si>
    <t xml:space="preserve">Enhanced data sets to enhance detection, distribution, diversity and forecasting of current and emerging pests or diseases for different cropping systems (yam, bean, cassava, banana, sorghum, potato, and sweet potato)</t>
  </si>
  <si>
    <t xml:space="preserve">Country: Ethiopia, Tanzania, United Republic, Togo, Niger, Zambia, Burkina Faso, South Sudan, Kenya, Mozambique, Uganda, Colombia, Ghana, Senegal, Zimbabwe, Cameroon, Mali, India, Chad, Nigeria</t>
  </si>
  <si>
    <t xml:space="preserve">3.1: Farm-level diagnostic evidence on soil, plant, water, and socio-economic constraints </t>
  </si>
  <si>
    <t xml:space="preserve">KPI 1: Diagnostic characterization of farm-level binding constraints, with corresponding best-fit solution options integrated into the Sustainable Farming Dashboard (SFD) under AoW5</t>
  </si>
  <si>
    <t xml:space="preserve">Country: Bangladesh, India, Malawi, Kenya, Lao People's Democratic Republic, Ethiopia, Mexico, Nepal, Peru, Ghana, Nigeria</t>
  </si>
  <si>
    <t xml:space="preserve">KPI 3: Validated agronomic solution packages that effectively address soil health-related limitations and demonstrate quantifiable improvements in agronomic gain</t>
  </si>
  <si>
    <t xml:space="preserve">Country: Ghana, Kenya, Malawi, Egypt, Morocco, Ethiopia, India</t>
  </si>
  <si>
    <t xml:space="preserve">Country: India, Tanzania, United Republic, Morocco, Madagascar, Ghana, Malawi, Kenya, Ethiopia, The Socialist Republic of Viet Nam</t>
  </si>
  <si>
    <t xml:space="preserve">Multi-stakeholder partnership platforms (PAASSs) framework engaging diverse partners to support the scaling of bundled solutions for multiple crops (cassava, maize, sorghum, soybean, teff, rice, cocoa, coffee, etc) and livestock emerging from AoWs 1–3 in different locations and countries.</t>
  </si>
  <si>
    <t xml:space="preserve">Country: The Democratic Republic of the Congo, Ghana, Kenya, Nigeria, Tanzania, United Republic, Malawi, Mexico, Ethiopia, Egypt, Morocco, The Socialist Republic of Viet Nam, India, Philippines, Cambodia</t>
  </si>
  <si>
    <t xml:space="preserve">1.3: Farmer utilization and adoption of AI-enabled advisory services </t>
  </si>
  <si>
    <t xml:space="preserve">AI tools developed for multiple (3) agroecologies across at least two countries and demonstrated to provide robust, evidence-based agronomic management for local climatic, soil and cultural preferences</t>
  </si>
  <si>
    <t xml:space="preserve">Country: Kenya, India, Mexico, Bangladesh, Malawi, Ethiopia</t>
  </si>
  <si>
    <t xml:space="preserve">Country: India, Colombia, Tanzania, United Republic, Kenya, Niger, Burkina Faso, Cameroon, Uganda, Nigeria, Zimbabwe, Togo, Mali, Zambia, Ghana, Mozambique, Ethiopia, Chad, South Sudan, Senegal</t>
  </si>
  <si>
    <t xml:space="preserve">2.2: Strategies for response to water related shocks</t>
  </si>
  <si>
    <t xml:space="preserve">Datasets of field (e.g. longterm experiments, validation trials) or farm household level (impact assessments, response behaviour, adoption likelihood) to guide and evaluate response options.</t>
  </si>
  <si>
    <t xml:space="preserve">Country: Mexico, Zambia, Ethiopia, Uganda, India, Malawi, Nepal</t>
  </si>
  <si>
    <t xml:space="preserve"> Number of large datasets</t>
  </si>
  <si>
    <t xml:space="preserve">Country: Zambia, Uganda, Ethiopia, Malawi, Mexico, Nepal, India</t>
  </si>
  <si>
    <t xml:space="preserve">5.3 FAIR, AI-ready data corpus, data and metadata standards</t>
  </si>
  <si>
    <t xml:space="preserve">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</si>
  <si>
    <t xml:space="preserve">Country: United States of America, Zimbabwe, Kenya, India, Mexico</t>
  </si>
  <si>
    <t xml:space="preserve">2026 Critical Capabilities budget</t>
  </si>
  <si>
    <t xml:space="preserve">Database of standardized data ("Carob") including workflows to quality-control, clean and render data standards-compliant using R scripts and R packages. 
</t>
  </si>
  <si>
    <t xml:space="preserve">Country: Zambia, India, Malawi, Tanzania, United Republic, Nepal, Bangladesh, Ethiopia, Uganda, Philippines, Kenya, United States of America, Mexico</t>
  </si>
  <si>
    <t xml:space="preserve">Critical Capability: Deliver locally relevant and locally adapted, science-based evidence on feasible cropping system improvements to increase farmers' sustainability and welfare</t>
  </si>
  <si>
    <t xml:space="preserve">Country: Malawi, Ethiopia, India, Kenya</t>
  </si>
  <si>
    <t xml:space="preserve">Critical Capability: Integrated platform-based innovations quantified in terms of risks, benefits, trade-offs and opportunities for local farming households, and policymakers. Quantification of opportunities to manage emerging and problems</t>
  </si>
  <si>
    <t xml:space="preserve">Country: Zimbabwe, India, Mexico, Kenya</t>
  </si>
  <si>
    <t xml:space="preserve">CIP internal institutional priorities don't change</t>
  </si>
  <si>
    <t xml:space="preserve">Country: Kenya, India, Morocco, The Socialist Republic of Viet Nam, Cambodia, Philippines</t>
  </si>
  <si>
    <t xml:space="preserve">ICARDA</t>
  </si>
  <si>
    <t xml:space="preserve">Critical Capability: At least two well-managed agronomic data sets will be made available to support the calibration and validation of the AgWise product. In addition, one well-calibrated model (cropping-system model—or another model as needed) will be provided for use by the AgWise team (ABC and IITA)</t>
  </si>
  <si>
    <t xml:space="preserve">Country: Morocco, India, Egypt</t>
  </si>
  <si>
    <t xml:space="preserve">Critical capability for ICARDA to spend for AoW1 Deliverable</t>
  </si>
  <si>
    <t xml:space="preserve">Agro-Digital Bundled Solutions for Water-and Climate-Smart Farm Management: Agro-digital bundles that integrate water-smart agronomy, precision nutrient management, and real-time digital advisories developed and piloted using low-cost </t>
  </si>
  <si>
    <t xml:space="preserve">Country: Ethiopia, India, Egypt, Morocco</t>
  </si>
  <si>
    <t xml:space="preserve">As per the description </t>
  </si>
  <si>
    <t xml:space="preserve">Country: Egypt, India, Morocco, Ethiopia</t>
  </si>
  <si>
    <t xml:space="preserve">as per the description </t>
  </si>
  <si>
    <t xml:space="preserve">Data-driven platforms, dashboards, and modeling tools that support enhanced farmer level response towards water related shocks (e.g. droughts, floods), pests and disease outbreaks (e.g. BBTV, BXW, and FoC TR4 )</t>
  </si>
  <si>
    <t xml:space="preserve">Country: Nepal, Ethiopia, Morocco, India, Malawi, Ghana, Egypt, Cameroon, Tanzania, United Republic, Nigeria, Uganda</t>
  </si>
  <si>
    <t xml:space="preserve">Data-driven platforms, dashboards, and modeling tools that support enhanced farmer level response towards water related shocks (e.g. droughts, floods), pests and disease outbreaks (e.g. BBTV, BXW, and FoC TR4)
</t>
  </si>
  <si>
    <t xml:space="preserve">Country: Tanzania, United Republic, Cameroon, Ghana, Uganda, Nigeria, Nepal, Ethiopia, Malawi, Egypt, India, Morocco</t>
  </si>
  <si>
    <t xml:space="preserve">Critical capabilities that enable R&amp;D to design, test, and refine sustainable farming innovations targeting priority farm-level constraints</t>
  </si>
  <si>
    <t xml:space="preserve">Country: Egypt, Morocco, Sri Lanka, Philippines, India, Malawi, Ethiopia, Nigeria, Cameroon, Côte d'Ivoire, Ghana, Kenya</t>
  </si>
  <si>
    <t xml:space="preserve">Budget allocation assumes staff time for AI analytic content development for the local context and interfaces for farmer service delivery </t>
  </si>
  <si>
    <t xml:space="preserve">Conflict may affect data collection from experiments</t>
  </si>
  <si>
    <t xml:space="preserve">Access to high resolution soil information</t>
  </si>
  <si>
    <t xml:space="preserve">Shortage of budget to address wider contexts</t>
  </si>
  <si>
    <t xml:space="preserve">Timely availability of the prototypes </t>
  </si>
  <si>
    <t xml:space="preserve">Platform establishement, assuming partner participation</t>
  </si>
  <si>
    <t xml:space="preserve">Effective coordination mechanism facilitating partnership</t>
  </si>
  <si>
    <t xml:space="preserve">IITA</t>
  </si>
  <si>
    <t xml:space="preserve">ILRI</t>
  </si>
  <si>
    <t xml:space="preserve">The budget will be used for personnel, supply and service and travel</t>
  </si>
  <si>
    <t xml:space="preserve">A standardized derivative-based phenological signal detection algorithm for planting date estimation, using satellite time-series data, (Calibrated method and Planting date map)</t>
  </si>
  <si>
    <t xml:space="preserve">Country: Kenya, India, Philippines</t>
  </si>
  <si>
    <t xml:space="preserve">The method assumes that multi-source satellite time series have sufficient temporal and spatial quality to detect rice phenology reliably.</t>
  </si>
  <si>
    <t xml:space="preserve">The delivery of this integrated package assumes timely access to multi-season remote sensing data, reliable ground diagnostics, and active collaboration with research and extension partners to co-develop and validate the Theory of Change.</t>
  </si>
  <si>
    <t xml:space="preserve">This output assumes availability of sufficient, high-quality long-term experimental and observational data, enabling robust benchmarking of yield trends and accurate yield gap quantification using integrated machine learning approaches.</t>
  </si>
  <si>
    <t xml:space="preserve">This output assumes access to diverse pilot sites and farmer groups, active collaboration with local service providers, and inclusion of women and marginalized users in feedback processes.</t>
  </si>
  <si>
    <t xml:space="preserve">This output assumes technical compatibility between RCM and the AKILIMO platform, agreement on API integration protocols, and partner commitment to support deployment and validation of site-specific agronomy recommendations for rice in Tanzania.</t>
  </si>
  <si>
    <t xml:space="preserve">
This output assumes active commitment from diverse value chain actors and willingness of local and national partners to align processes and integrate with existing initiatives.
</t>
  </si>
  <si>
    <t xml:space="preserve">This output assumes active commitment from diverse value chain actors and willingness of local and national partners to align processes and integrate with existing initiatives.</t>
  </si>
  <si>
    <t xml:space="preserve">IWMI</t>
  </si>
  <si>
    <t xml:space="preserve">We assume that the crop -water relevant data collected in 2025 will be sufficient to establish the crop-water model for cocoa.</t>
  </si>
  <si>
    <t xml:space="preserve">Datasets of field (e.g. longterm experiments, validation trials) or farm household level (impact assessments, response behavior, adoption likelihood) to guide and evaluate response options.</t>
  </si>
  <si>
    <t xml:space="preserve">Country: Malawi, Zambia, Ethiopia, Uganda, Nepal, Mexico, India</t>
  </si>
  <si>
    <t xml:space="preserve">We assume that the Indian government continues to collaborate and collaborates with SFP to include the farm advisories and support its validation </t>
  </si>
  <si>
    <t xml:space="preserve">We assume that the model has been successfully developed to write up the knowledge product</t>
  </si>
  <si>
    <t xml:space="preserve">We assume that 30% of the CC budget goes into staff time to co-create the water binding constraint analytical framework and process</t>
  </si>
  <si>
    <t xml:space="preserve">We assume that the other CGIAR centers also have prioritized the CHEF use case and that TNC will continue to implement the CHEF project in Kenya. We are aligning the 2026 WaPOR budget in Kenya to ensure impact at scale.</t>
  </si>
  <si>
    <t xml:space="preserve">SP03</t>
  </si>
  <si>
    <t xml:space="preserve">HLO 1.1 - Sustainable breeding and conservation programs and inclusive delivery models</t>
  </si>
  <si>
    <t xml:space="preserve">CRITICAL CAPABILITY - Use of the ILRI Biosciences facility (BSL2) to train national partners on animal conservation technologies using Induced pluripotent stem cells in cattle and pigs</t>
  </si>
  <si>
    <t xml:space="preserve"> Critical capabilities</t>
  </si>
  <si>
    <t xml:space="preserve">approved budget</t>
  </si>
  <si>
    <t xml:space="preserve">Sustainable Animal and Aquatic Foods</t>
  </si>
  <si>
    <t xml:space="preserve">CRITICAL CAPABILITY -  Africa Asia Dairy Genetic Gain Platform - supporting uptake by counties in Kenya via capacity building of county extension staff and co-operatives</t>
  </si>
  <si>
    <t xml:space="preserve">HLO 3.3 - Targeted innovations and incentives to reduce antimicrobial use and mitigate antimicrobial risks </t>
  </si>
  <si>
    <t xml:space="preserve">AMR  in watersheds - Workshops and training to engage stakeholders and increase capacities for the co-development of an investment plan for river pollution control and AMR risk reduction</t>
  </si>
  <si>
    <t xml:space="preserve">Based on the IWMI internal budget template. Staff charges and operations.</t>
  </si>
  <si>
    <t xml:space="preserve">AMR  in watersheds - D2 -Water quality models and digital tools—to assess the cost-effectiveness of solutions 
</t>
  </si>
  <si>
    <t xml:space="preserve">AMR  in watersheds - Scientific evidence and watershed-wide AMR and antibiotic residue monitoring to inform the tracking of pollution sources
</t>
  </si>
  <si>
    <t xml:space="preserve">Country: India, Ethiopia</t>
  </si>
  <si>
    <t xml:space="preserve">HLO 4.5 - Evidence-based pathways for scaling  contextualized innovation packages with high readiness and demand</t>
  </si>
  <si>
    <t xml:space="preserve">Building Inclusive and Nutrition-Sensitive Small Indigenous Fish Value Chains Pathways - D1 - Co-developed operational guidelines and district-level pilot model, with assessment of water, economic, and nutritional productivity to showcase leverage points for efficiency and inclusion 
</t>
  </si>
  <si>
    <t xml:space="preserve">IWMI internal budget template.</t>
  </si>
  <si>
    <t xml:space="preserve">WorldFish</t>
  </si>
  <si>
    <t xml:space="preserve">HLO 4.4 - Policy analysis and engagement processes for improved governance and effectiveness </t>
  </si>
  <si>
    <t xml:space="preserve">Building Inclusive and Nutrition-Sensitive Small Indigenous Fish Value Chains Pathways - Scientific evidence mapping small fish value chains and co-developing system diagnostics to identify blockages, incentive gaps, and enabling conditions for scaling nutrition-sensitive aquatic food systems, aiming to provide policy recommendations</t>
  </si>
  <si>
    <t xml:space="preserve">The best information available</t>
  </si>
  <si>
    <t xml:space="preserve">SP04</t>
  </si>
  <si>
    <t xml:space="preserve">OP 1.1.1. – Bundles of farm-level solutions</t>
  </si>
  <si>
    <t xml:space="preserve">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t>
  </si>
  <si>
    <t xml:space="preserve">Country: Peru, Colombia, India</t>
  </si>
  <si>
    <t xml:space="preserve">.</t>
  </si>
  <si>
    <t xml:space="preserve">Multifunctional Landscapes</t>
  </si>
  <si>
    <t xml:space="preserve">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baseline datasets on soil fertility </t>
  </si>
  <si>
    <t xml:space="preserve">Country: Kenya, Colombia, Peru, Tanzania, United Republic, The Socialist Republic of Viet Nam, India</t>
  </si>
  <si>
    <t xml:space="preserve">OP 2.1.1. – Hotspot mapping &amp; characterization</t>
  </si>
  <si>
    <t xml:space="preserve">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t>
  </si>
  <si>
    <t xml:space="preserve">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publications and community of practice on digital tools</t>
  </si>
  <si>
    <t xml:space="preserve">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t>
  </si>
  <si>
    <t xml:space="preserve">Country: Peru, The Socialist Republic of Viet Nam, India, Ethiopia, Colombia</t>
  </si>
  <si>
    <t xml:space="preserve">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developed</t>
  </si>
  <si>
    <t xml:space="preserve">OP 2.2.3. – Integrated planning &amp; scenarios</t>
  </si>
  <si>
    <t xml:space="preserve">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 groups involved MyFarmTrees capacity building</t>
  </si>
  <si>
    <t xml:space="preserve"> Number of stakeholder groups involved MyFarmTrees capacity building</t>
  </si>
  <si>
    <t xml:space="preserve">Country: Peru, Colombia, Kenya, India, Lao People's Democratic Republic, The Socialist Republic of Viet Nam, Tanzania, United Republic, Ethiopia</t>
  </si>
  <si>
    <t xml:space="preserve">Deliverable - On-Site Implementation and Monitoring of Tree-Based Restoration: Support and monitor seed collection, community nursery establishment, tree planting, and survival verification using the MyFarmTrees platform, documenting farmer engagement, supply chain performance, and enabling incentive mechanisms that strengthen restoration outcomes at both farm and landscape levels
Indicator: Number of hectares monitored by MyFarmTrees</t>
  </si>
  <si>
    <t xml:space="preserve"> Area in ha under MyFarmTress restoration</t>
  </si>
  <si>
    <t xml:space="preserve">Country: Tanzania, United Republic, Lao People's Democratic Republic, Ethiopia, Kenya, Colombia, The Socialist Republic of Viet Nam, India, Peru</t>
  </si>
  <si>
    <t xml:space="preserve">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t>
  </si>
  <si>
    <t xml:space="preserve">Country: Colombia, Kenya, Ethiopia, Peru, Tanzania, United Republic, The Socialist Republic of Viet Nam, India, Lao People's Democratic Republic</t>
  </si>
  <si>
    <t xml:space="preserve">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t>
  </si>
  <si>
    <t xml:space="preserve">Country: India, Lao People's Democratic Republic, Colombia, Ethiopia, The Socialist Republic of Viet Nam, Peru</t>
  </si>
  <si>
    <t xml:space="preserve">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t>
  </si>
  <si>
    <t xml:space="preserve">Country: India, The Socialist Republic of Viet Nam, Kenya, Ethiopia</t>
  </si>
  <si>
    <t xml:space="preserve">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t>
  </si>
  <si>
    <t xml:space="preserve"> Number of stakeholder groups involved in  Living Landscape validation using digital tools</t>
  </si>
  <si>
    <t xml:space="preserve">Country: Kenya, India, The Socialist Republic of Viet Nam, Ethiopia</t>
  </si>
  <si>
    <t xml:space="preserve">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 </t>
  </si>
  <si>
    <t xml:space="preserve">Country: Kenya, Colombia, Peru, India</t>
  </si>
  <si>
    <t xml:space="preserve">OP 3.2.2. Inclusive business models</t>
  </si>
  <si>
    <t xml:space="preserve">Deliverable - Market Study to Enhance Local Crop Diversity and Market Access for Indigenous Rice Varieties: Enhancing Local Crop Diversity and Market Access in Maharashtra - market study of local rice varieties
Indicator: Number of market study of local rice varieties</t>
  </si>
  <si>
    <t xml:space="preserve">OP 5.1.2 Landscape-specific assessment frameworks</t>
  </si>
  <si>
    <t xml:space="preserve">Deliverable - Potential Indian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India</t>
  </si>
  <si>
    <t xml:space="preserve">Deliverable - Landscape performance assessment policy briefs and scientific publication for India, Kenya, Peru, Tunisia and cross-country landscapes 
Indicator: Number of policy briefs</t>
  </si>
  <si>
    <t xml:space="preserve">Country: Tunisia, India, Peru, Kenya</t>
  </si>
  <si>
    <t xml:space="preserve">Deliverable - Open access tool providing a method for downscaling national pathways into spatially explicit landscape-level planning scenarios developed in consultation with national and landscape stakeholders 
Indicator: Number of open access tools providing a method for downscaling national pathways into landscape-level planning</t>
  </si>
  <si>
    <t xml:space="preserve">Country: Kenya, India, Ethiopia</t>
  </si>
  <si>
    <t xml:space="preserve">OP 5.2.1. Knowledge and information hubs</t>
  </si>
  <si>
    <t xml:space="preserve">Deliverable - Knowledge and Information Hub launched 
Indicator: Number of comprehensive open-access knowledge and information hubs on multifunctional landscape performance launched</t>
  </si>
  <si>
    <t xml:space="preserve">Country: Lao People's Democratic Republic, Cambodia, The Socialist Republic of Viet Nam, Tunisia, Kenya, India, Senegal, Peru, Colombia, Zimbabwe, Ethiopia, Tanzania, United Republic</t>
  </si>
  <si>
    <t xml:space="preserve">Deliverable - Interactive knowledge hub providing access to data and evidence on the performance of multifunctional fields, farms and landscapes 
Indicator: Number of knowledge hubs on evidence on multifunctional fields, farms and landscapes</t>
  </si>
  <si>
    <t xml:space="preserve">Country: Lao People's Democratic Republic, Tunisia, Senegal, Ethiopia, India, Zimbabwe, Peru, Cambodia, Tanzania, United Republic, The Socialist Republic of Viet Nam, Kenya, Colombia</t>
  </si>
  <si>
    <t xml:space="preserve">OP 1.2.6. – Advisory &amp; training innovations</t>
  </si>
  <si>
    <t xml:space="preserve">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t>
  </si>
  <si>
    <t xml:space="preserve">Country: Colombia, Peru, The Socialist Republic of Viet Nam, India, Kenya</t>
  </si>
  <si>
    <t xml:space="preserve">OP 2.2.2. – Landscape visions &amp; co-developed plans</t>
  </si>
  <si>
    <t xml:space="preserve">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t>
  </si>
  <si>
    <t xml:space="preserve">Country: Tunisia, Peru, Tanzania, United Republic, Colombia, Kenya, Zimbabwe, India</t>
  </si>
  <si>
    <t xml:space="preserve">OP 2.2.4. – Digital Twins for foresight</t>
  </si>
  <si>
    <t xml:space="preserve">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t>
  </si>
  <si>
    <t xml:space="preserve">Country: Peru, Cambodia, Colombia, The Socialist Republic of Viet Nam, Lao People's Democratic Republic, Ethiopia, India</t>
  </si>
  <si>
    <t xml:space="preserve">OP 3.3.4. Innovative sustainable finance instruments</t>
  </si>
  <si>
    <t xml:space="preserve">Deliverable - MFL accelerator/incubator program 
Indicator: Number of MFL accelerator/incubator programs established</t>
  </si>
  <si>
    <t xml:space="preserve">Country: India, Tunisia, Peru, Kenya, Zimbabwe, Colombia, The Socialist Republic of Viet Nam, Senegal</t>
  </si>
  <si>
    <t xml:space="preserve">OP 4.1.1. Inclusive governance architectures</t>
  </si>
  <si>
    <t xml:space="preserve">Deliverable: Inclusive governance knowlege products and tools to support transition to agrecology+ solutions, regenerative agriculture and circular agriculture 
Indicator: Number of inclusive governance knowledge products and tools
</t>
  </si>
  <si>
    <t xml:space="preserve">Country: Kenya, Colombia, Senegal, Ethiopia, Peru, India</t>
  </si>
  <si>
    <t xml:space="preserve">OP 4.1.2 GEYSI for co-creation and inclusive governance</t>
  </si>
  <si>
    <t xml:space="preserve">Deliverable: Reports per MFL on inclusive business models tailored to a GEYSI group; assessments on MFL institutional capacity for youth inclusion, identify and address youth issues; assessments on inclusiveness in MFL relevant policies and the outcomes for a GEYSI group’s aspirations, education, employment, migration
Indicator: Number of assessments on GEYSI inclusion in MFL institutions, business models and/or policies implemented</t>
  </si>
  <si>
    <t xml:space="preserve">Country: India, Peru, Colombia</t>
  </si>
  <si>
    <t xml:space="preserve">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recommendations packages developed</t>
  </si>
  <si>
    <t xml:space="preserve">Country: India, Peru, Colombia, Senegal</t>
  </si>
  <si>
    <t xml:space="preserve">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
</t>
  </si>
  <si>
    <t xml:space="preserve">Country: Cambodia, Lao People's Democratic Republic, Colombia, India</t>
  </si>
  <si>
    <t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t>
  </si>
  <si>
    <t xml:space="preserve">Country: India, Colombia, Peru</t>
  </si>
  <si>
    <t xml:space="preserve">OP 4.2.1. Institutional, social and behavioral mechanisms</t>
  </si>
  <si>
    <t xml:space="preserve">Deliverable: Strategies in concept phase to support behavior change, structural leverage points, collective action and inclusive social movements in context of biodiversity loss, climate change, water stress/scarcity,
Indicator: Number of strategies to support behavior changes tested</t>
  </si>
  <si>
    <t xml:space="preserve">OP 5.1.1 – Metrics database</t>
  </si>
  <si>
    <t xml:space="preserve">Deliverable - Metrics Database providing a one-stop shop for methods to co-select indicators, and protocols for tested and scientifically robust data-collection and indicator calculation processes 
Indicator: Number of cross-scale metrics databases</t>
  </si>
  <si>
    <t xml:space="preserve"> Number of cross-scale metrics databases</t>
  </si>
  <si>
    <t xml:space="preserve">Country: Lao People's Democratic Republic, India, Tanzania, United Republic, Colombia, Ethiopia, Kenya, Senegal, Cambodia, Zimbabwe, Tunisia, The Socialist Republic of Viet Nam, Peru</t>
  </si>
  <si>
    <t xml:space="preserve">Deliverable - MELIA STUDY Landscape appropriate Impact Assessment system implementation: cross country coordination and learning briefs 
Indicator: Number of landscape-specific frameworks to assess multifunctional landscape performance</t>
  </si>
  <si>
    <t xml:space="preserve">Country: The Socialist Republic of Viet Nam, India, Kenya, Peru, Colombia</t>
  </si>
  <si>
    <t xml:space="preserve">Deliverable - Agroecology+ Solutions Dashboard: Develop and maintain a digital dashboard that compiles, organizes, and visualizes Agroecology+ solution packages for easy access, comparison, and use by practitioners and partners
Indicator: Number of AE+ solutions dashboard online and updated</t>
  </si>
  <si>
    <t xml:space="preserve">Country: Kenya, Ethiopia, Tunisia, Peru, Colombia, India, Senegal, Zimbabwe, Tanzania, United Republic</t>
  </si>
  <si>
    <t xml:space="preserve">OP 1.1.2. – Climate-smart adaptation &amp; mitigation bundles</t>
  </si>
  <si>
    <t xml:space="preserve">Number of recommendations for Climate-Integrated Landscape Management</t>
  </si>
  <si>
    <t xml:space="preserve">Country: Cambodia, Zimbabwe, Tunisia, Lao People's Democratic Republic, Kenya, Peru, The Socialist Republic of Viet Nam, Senegal, India, Colombia, Tanzania, United Republic</t>
  </si>
  <si>
    <t xml:space="preserve">OP 1.1.3. – Common pool resource bundles</t>
  </si>
  <si>
    <t xml:space="preserve">Number of innovations for the optimal management of common pool resources and derived ecosystem services</t>
  </si>
  <si>
    <t xml:space="preserve">Country: Zimbabwe, The Socialist Republic of Viet Nam, Colombia, India, Senegal, Peru, Cambodia, Kenya, Lao People's Democratic Republic, Tunisia, Tanzania, United Republic</t>
  </si>
  <si>
    <t xml:space="preserve">OP 1.2.4. – Protected area solutions</t>
  </si>
  <si>
    <t xml:space="preserve">Number of innovations that enhance protected area management with local livelihood benefits.</t>
  </si>
  <si>
    <t xml:space="preserve">Country: Zimbabwe, The Socialist Republic of Viet Nam, Colombia, Tanzania, United Republic, Senegal, Tunisia, Lao People's Democratic Republic, India, Peru, Kenya, Cambodia</t>
  </si>
  <si>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</si>
  <si>
    <t xml:space="preserve"> Number of engagement strategies</t>
  </si>
  <si>
    <t xml:space="preserve">Country: Peru, India, Tunisia, The Socialist Republic of Viet Nam</t>
  </si>
  <si>
    <t xml:space="preserve">Deliverable: Critical Capability - Long-Term Agroecology and Regenerative Trial Platforms: ICARDA will provide long-term agroecology and regenerative trials (on CA, Cactus plantations, sylvopastoral restoration, etc.) in multiple MFL countries, offering robust historical data and field infrastructure to test bundled innovations, optimize land-use strategies, and demonstrate landscape solutions. These platforms enable rapid evidence generation and high system readiness for scaling.
Indicator: Number of evidences generated from long term ICARDA trial sites, and used in other MFL countries and teams
</t>
  </si>
  <si>
    <t xml:space="preserve">Country: Tunisia, Ethiopia, India</t>
  </si>
  <si>
    <t xml:space="preserve">OP 1.2.5. – Nutrition-sensitive innovations</t>
  </si>
  <si>
    <t xml:space="preserve">Deliverable - Community-Based Agrobiodiversity and NUS Conservation and Use: Strengthen community capacities and networks to conserve and use agrobiodiversity, with a focus on neglected and underutilized species (NUS) through community-based conservation systems, farmer-managed seed quality maintenance for NUS varieties, and the promotion of rhizobia inoculation to improve legume productivity and integrated soil–plant health
Indicator: Number of farmer networks strengthened</t>
  </si>
  <si>
    <t xml:space="preserve">Country: Kenya, Ethiopia, India, Tunisia</t>
  </si>
  <si>
    <t xml:space="preserve">Deliverable: Critical Capabilities - System Readiness Assessment and Multi-Agent Modelling for Scalable Transformations: ICARDA will deploy its system readiness assessment framework—more suitable than classic CGIAR scaling readiness—to package transformative innovations across MFL Locations. Multi-agent simulation and the Systemic Elaboration of Socio-Ecological Gains (SEG) framework will further identify leverage points, influence–dependence relationships, and guide actionable policies across all AoWs.
Indicator: Number of Case studies using enhanced analytical frameworks to guide MFL innovation packaging and evaluation/monitoring
</t>
  </si>
  <si>
    <t xml:space="preserve">Country: Lao People's Democratic Republic, The Socialist Republic of Viet Nam, Ethiopia, Tanzania, United Republic, India, Senegal, Cambodia, Tunisia</t>
  </si>
  <si>
    <t xml:space="preserve">Deliverable - Landscape Vision to Action (LV2A) Implementation – Tunisia: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t>
  </si>
  <si>
    <t xml:space="preserve">Number of multistakeholder processes</t>
  </si>
  <si>
    <t xml:space="preserve">Country: India, Peru, Tanzania, United Republic, Senegal, Colombia, Kenya, Zimbabwe, Tunisia</t>
  </si>
  <si>
    <t xml:space="preserve">Deliverable: Critical Capabilities - Digital Tools for Water, Nutrient and Resource Use Optimization to strengthen nutrient recycling, feed optimization, water accounting and environmental flow assessments. These digital solutions will improve resource-use efficiency, support intervention targeting, and reinforce sustainable management in at least three MFL sites. One app on feed optimization based on landscape resource, and another framework on carbon assessment at farm level will be mainstreamed in MFL country locations to support country teams achieve some of the key HLOs under AoWs 1 and 2.
Indicator: Number of digital tools that are deployed to support MFL and MFL actors (beneficiaries) in each site
</t>
  </si>
  <si>
    <t xml:space="preserve">Country: India, Tunisia, Senegal, Ethiopia</t>
  </si>
  <si>
    <t xml:space="preserve">OP 4.3.2. Engagement frameworks and pilots</t>
  </si>
  <si>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</si>
  <si>
    <t xml:space="preserve">Country: Peru, The Socialist Republic of Viet Nam, India, Tanzania, United Republic, Tunisia, Ethiopia, Zimbabwe, Cambodia, Lao People's Democratic Republic, Colombia, Senegal</t>
  </si>
  <si>
    <t xml:space="preserve">Number of engagement frameworks developed for policy change, alignment, and institutional coordination for multifunctional landscapes</t>
  </si>
  <si>
    <t xml:space="preserve">Country: Tunisia, Peru, The Socialist Republic of Viet Nam, Cambodia, Tanzania, United Republic, Kenya, Zimbabwe, Senegal, Lao People's Democratic Republic, India, Colombia</t>
  </si>
  <si>
    <t xml:space="preserve">OP 5.1.3. Cross-CGIAR assessment frameworks of impact indicators</t>
  </si>
  <si>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</si>
  <si>
    <t xml:space="preserve">Country: Ethiopia, Cambodia, The Socialist Republic of Viet Nam, Peru, Senegal, Kenya, Lao People's Democratic Republic, Zimbabwe, Colombia, Tunisia, India, Tanzania, United Republic</t>
  </si>
  <si>
    <t xml:space="preserve">Deliverable - Context-Specific Solution Bundles for Rainfed and Irrigated Systems: Co-develop and validate location-specific integrated solution bundles for rainfed and irrigated farming systems with varying resource availability, through participatory design, testing, and performance evaluation with farmers
Indicator: Number of solution bundles co-developed and validated</t>
  </si>
  <si>
    <t xml:space="preserve">Country: Ethiopia, India, Kenya</t>
  </si>
  <si>
    <t xml:space="preserve">Deliverable - Common Pool Resource Management Framework: Co-develop and validate a practical framework for community-based governance and equitable management of common pool resources (e.g., grazing areas, forests, water points), through participatory processes and field testing with local institutions.
Indicator: Number of frameworks for common-pool resources management developed and validated</t>
  </si>
  <si>
    <t xml:space="preserve">OP 3.3.3. Co-designed inclusive market and non-market mechanisms for optimizing ecosystem services</t>
  </si>
  <si>
    <t xml:space="preserve">Deliverable - Development and Piloting of Innovative Market Models for Multifunctional Landscapes: Design and pilot inclusive business models that incentivize communities to adopt and sustain multifunctional landscapes through collective aggregation, digital market tools, and diversified commodity marketing involving women and youth entrepreneurs. 
Indicator: Number of communities involved in the inclusive business models</t>
  </si>
  <si>
    <t xml:space="preserve"> Number of communities involved in the inclusive business models</t>
  </si>
  <si>
    <t xml:space="preserve">Deliverable - Benchmarking climate-resilient landscape models in drylands for balancing ecological health and socio-ecological gains 
Indicator: Number of publications on Climate-Integrated Landscape Management</t>
  </si>
  <si>
    <t xml:space="preserve">Country: Zimbabwe, Ethiopia, Tanzania, United Republic, India, Kenya</t>
  </si>
  <si>
    <t xml:space="preserve">Deliverable - Stakeholder Co-Design and Game Protocol Development: Conduct stakeholder engagement processes and co-develop country-specific game protocols (e.g., role-play, serious games, or decision-support simulations) to support collaborative planning and negotiation in Senegal, India, and Kenya
Indicator: Number of serious games protocols developed</t>
  </si>
  <si>
    <t xml:space="preserve">Country: Senegal, India, Kenya</t>
  </si>
  <si>
    <t xml:space="preserve">Deliverable - Landscape Vision to Action (LV2A) Development and Policy Engagement: Develop the LV2A tool for application in MFL Living Landscapes. Produce a cross-country LV2A synthesis paper and policy brief, and convene a V2A-related policy dialogue. 
Indicator: Number of publications, reports or briefs on Landscape Vision to Action </t>
  </si>
  <si>
    <t xml:space="preserve">Country: Zimbabwe, Tanzania, United Republic, Kenya, India, Peru, Colombia, Senegal, Tunisia</t>
  </si>
  <si>
    <t xml:space="preserve">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Vision to Action multistakeholder processes undertaken</t>
  </si>
  <si>
    <t xml:space="preserve">Deliverable - Landscape Optimization and Land-Use Planning, India: Develop  integrated land-use optimization and planning process for the Mandla India Living Landscape with landscape stakeholders. 
Indicator: Number of stakeholder groups involved in multifunctional integrated landscape planning  in Mandla, India</t>
  </si>
  <si>
    <t xml:space="preserve"> Number of stakeholder groups involved in multifunctional integrated landscape planning  in Mandla, India</t>
  </si>
  <si>
    <t xml:space="preserve">Deliverable - Market and Value Chain Analysis for Sustainable Non-Timber Forest Products (NTFPs), with Digital Tools for Ecosystem Service Valuation: Conduct market assessments and value chain analyses for two priority non-timber forest products (NTFPs) to identify opportunities for fair and sustainable commercialization. Document existing and emerging digital tools for ecosystem service valuation, including traceability, MRV, benefit-sharing, and biodiversity accounting platforms, to evaluate how these can strengthen transparency, enhance value capture, and improve sustainability incentives along NTFP value chains.
Indicator: Number of assessments of markets for non-timber forest produce </t>
  </si>
  <si>
    <t xml:space="preserve">Deliverable - Report on assessment of impact of CSR and carbon market investments on the restoration of common land and community commons governance in Madhya Pradesh/India; synthesis paper across all package cases; synthesis blog.
Indicator: Number of reports on impact of CSR and carbon market investment on restoration of common land
</t>
  </si>
  <si>
    <t xml:space="preserve">Deliverable: Responsible Investment and Carbon Stewardship Framework for Community-Managed Common Lands (India) Co-designed guidelines for responsible CSR and carbon market investments in the restoration of common land and community commons governance in Madhya Pradesh/India
Indicator: Number of cases for co-designed guidelines for responsible CSR and carbon market investments for restoration of commons
</t>
  </si>
  <si>
    <t xml:space="preserve">Number of institutional empowerment pathways, social incentives, and behavioral change mechanisms designed and documented for multifunctional landscapes contexts</t>
  </si>
  <si>
    <t xml:space="preserve">Country: Tanzania, United Republic, Peru, Zimbabwe, Colombia, Kenya, Tunisia, The Socialist Republic of Viet Nam, Cambodia, India, Senegal, Lao People's Democratic Republic</t>
  </si>
  <si>
    <t xml:space="preserve">OP 4.2.2. Demand driven capacity sharing for policy makers and landscape stakeholders</t>
  </si>
  <si>
    <t xml:space="preserve">Number of demand-driven capacity sharing activities on multifunctional landscapes governance, policies and institutional arrangements delivered </t>
  </si>
  <si>
    <t xml:space="preserve"> Number of capacity sharing events</t>
  </si>
  <si>
    <t xml:space="preserve">Country: Colombia, The Socialist Republic of Viet Nam, Lao People's Democratic Republic, India, Zimbabwe, Cambodia, Peru, Senegal, Kenya, Tanzania, United Republic, Tunisia</t>
  </si>
  <si>
    <t xml:space="preserve">OP 4.3.1. Multifunctional landscapes policy design and implementation</t>
  </si>
  <si>
    <t xml:space="preserve">Number of frameworks, methodologies, and toolkits for multifunctional landscapes policy design, prioritization, and implementation developed</t>
  </si>
  <si>
    <t xml:space="preserve">Country: The Socialist Republic of Viet Nam, Tanzania, United Republic, Kenya, Zimbabwe, Cambodia, Lao People's Democratic Republic, India, Peru, Senegal, Tunisia, Colombia</t>
  </si>
  <si>
    <t xml:space="preserve">Deliverable: Policy briefs and guidance documents on co-created solutions for transboundary natural resource governance
Indicator: Number of policy briefs and guidelines on transboundary natural resource governance
</t>
  </si>
  <si>
    <t xml:space="preserve">Country: Lao People's Democratic Republic, India, Colombia, Cambodia, The Socialist Republic of Viet Nam</t>
  </si>
  <si>
    <t xml:space="preserve">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Indicator:Number of datasets assessing the impact of AE knowledge co-creation and adoption</t>
  </si>
  <si>
    <t xml:space="preserve">Deliverable - Landscape Vision to Action (LV2A) Innovation Development - Co-development of innovations supporting the Landscape V2A process. 
Indicator: Number of supporting innovations for multifunctional landscape Vision To Action developed</t>
  </si>
  <si>
    <t xml:space="preserve">Country: Peru, Kenya, Colombia, India, Tanzania, United Republic, Zimbabwe, Tunisia</t>
  </si>
  <si>
    <t xml:space="preserve">Number of multi-stakeholder multifunctional landscape adaptive management plans co-designed that integrate ecological, social, and economic objectives</t>
  </si>
  <si>
    <t xml:space="preserve">Country: Ethiopia, India, Zimbabwe, Tanzania, United Republic, Colombia, Cambodia, Peru, Kenya, The Socialist Republic of Viet Nam, Lao People's Democratic Republic, Tunisia, Senegal</t>
  </si>
  <si>
    <t xml:space="preserve">Number of inclusive multifunctional landscapes governance and management arrangements designed</t>
  </si>
  <si>
    <t xml:space="preserve">Country: Ethiopia, Senegal, Peru, Kenya, Tunisia, Tanzania, United Republic, India, Colombia</t>
  </si>
  <si>
    <t xml:space="preserve">Number of landscape stakeholders trained on multifunctional landscapes disaggregated by type of organization and nature of the training</t>
  </si>
  <si>
    <t xml:space="preserve">Country: The Socialist Republic of Viet Nam, Colombia, Kenya, Tanzania, United Republic, Peru, Senegal, Lao People's Democratic Republic, India, Cambodia, Zimbabwe, Tunisia</t>
  </si>
  <si>
    <t xml:space="preserve">Number of multifunctional landscapes events in which members of the multifunctional landscapes communities of practice have participated in.</t>
  </si>
  <si>
    <t xml:space="preserve">Country: Colombia, Cambodia, Senegal, The Socialist Republic of Viet Nam, Lao People's Democratic Republic, Peru, India, Kenya, Tunisia, Zimbabwe, Tanzania, United Republic</t>
  </si>
  <si>
    <t xml:space="preserve">Deliverable - Capacity strengthening on assessment frameworks : 1. Trainings for environmental health and biodiversity assessments (including rangelands)
2. Environmental assessment reports for India and Kenya (including rangelands and pasture lands)
3.  Biodiversity assessment reports for Kenya and India (including livestock)
4. Dissemination of the assessment findings on India, Kenya, and beyond
Indicator:  Number of trainings for environmental health and biodiversity health assessments in rangelands completed</t>
  </si>
  <si>
    <t xml:space="preserve"> Number of trainings for environmental health and biodiversity health assessments in rangelands completed</t>
  </si>
  <si>
    <t xml:space="preserve">Country: Colombia, Tanzania, United Republic, Kenya, India</t>
  </si>
  <si>
    <t xml:space="preserve">Deliverable - Agroecological Homestead Design Tool: An interactive planning tool for designing farm and homestead-scale agroecological systems that integrate crops, livestock, fisheries, water management, and household nutrition, incorporating Agrobiodiversity Index (ABI)–based diversity scoring to support climate-smart and nutrition-smart decision-making.
Indicator: Number of HHs participating in co-design sessions of the Agroecological homestead Design Tool</t>
  </si>
  <si>
    <t xml:space="preserve"> Number of HHs participating in co-design sessions of the Agroecological homestead Design Tool</t>
  </si>
  <si>
    <t xml:space="preserve">Country: Lao People's Democratic Republic, Kenya, India</t>
  </si>
  <si>
    <t xml:space="preserve">Deliverable - Integrated Farming System Models for Resilient Livelihoods: Co-design and promote integrated farm models that combine short-duration and climate-resilient crops with improved small livestock, backyard poultry, and fishery components to enhance food security, diversify incomes, and strengthen household resilience. 
Indicator: Number of households engaged in testing integrated farming system models</t>
  </si>
  <si>
    <t xml:space="preserve"> Number of households engaged in testing integrated farming system models</t>
  </si>
  <si>
    <t xml:space="preserve">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protocols for applying bioformulations tested</t>
  </si>
  <si>
    <t xml:space="preserve">Country: India, Lao People's Democratic Republic</t>
  </si>
  <si>
    <t xml:space="preserve">Deliverable - Closing the Loop for Resource-Efficient Agroecology: Promote circular resource-use practices in Agroecology+ farms by recycling nutrients, organic matter, water, and energy within the farm system to reduce external inputs and enhance soil, crop, and livestock productivity.
Indicator: Number of households testing circular resource-use practices </t>
  </si>
  <si>
    <t xml:space="preserve"> Number of households testing circular resource-use practices </t>
  </si>
  <si>
    <t xml:space="preserve">Deliverable - Circular Bioeconomy Knowledge and Training Toolkit: Co-develop farmer field manuals, training modules, and a practical knowledge compendium and catalog on circular bioeconomy practices (e.g., composting, digestate use, biochar, insect frass), to support farmer learning, extension services, and local innovation
Indicator: Number of farmers and extension agents trained on circular bioeconomy</t>
  </si>
  <si>
    <t xml:space="preserve">Country: India, The Socialist Republic of Viet Nam, Kenya, Tanzania, United Republic</t>
  </si>
  <si>
    <t xml:space="preserve">Deliverable - Integrated nutrient, carbon, and water-loop innovations and management plans at pilot MFL sites 
Indicator: Number of water-loop innovations</t>
  </si>
  <si>
    <t xml:space="preserve">Country: Kenya, Tanzania, United Republic, The Socialist Republic of Viet Nam, India</t>
  </si>
  <si>
    <t xml:space="preserve">Deliverable - Decentralized resource recovery and recycling hubs and maker-spaces for prototyping, incubation, and training
Indicator: Number of decentralized resource recovery units and maker-spaces for prototyping, incubation, and training</t>
  </si>
  <si>
    <t xml:space="preserve">Deliverable - Integrated Climate-Smart Resource-Efficient Solution Bundles: Demonstrate and evaluate farm-level bundles of climate-smart practices, including weather-informed agro-advisories, composting and bio-inputs, green-energy irrigation, and soil–water–biodiversity conservation measures to enhance productivity, resilience, and resource-use efficiency.
Indicator: Number of households engaged in testing climate smart resource efficient solution bundles</t>
  </si>
  <si>
    <t xml:space="preserve"> Number of households engaged in testing climate smart resource efficient solution bundles</t>
  </si>
  <si>
    <t xml:space="preserve">Country: India, Lao People's Democratic Republic, Kenya</t>
  </si>
  <si>
    <t xml:space="preserve">Deliverable - Nutrition-Smart Villages and Capacity Building: Establish nutrition-smart villages that link diversified farming systems with state nutrition and health programs, while building the capacities of farmers, women, and youth to improve household food diversity, dietary practices, and community-level nutrition outcomes  
Indicator: Number of nutrition-smart villages established</t>
  </si>
  <si>
    <t xml:space="preserve"> Number of nutrition-smart villages established</t>
  </si>
  <si>
    <t xml:space="preserve">Number of adapted advisory and training innovations to widely disseminate validated solutions</t>
  </si>
  <si>
    <t xml:space="preserve">Country: Kenya, Senegal, The Socialist Republic of Viet Nam, Cambodia, Peru, Tunisia, Colombia, Lao People's Democratic Republic, Zimbabwe, Tanzania, United Republic, India</t>
  </si>
  <si>
    <t xml:space="preserve">Deliverable - Landscape Degradation Mapping: Map potential water erosion and land degradation using geospatial data and field validation to identify major degraded and erosion-prone areas in India.
Indicator: Number of publications, maps or datasets on landscape degradation in India</t>
  </si>
  <si>
    <t xml:space="preserve">Deliverable - Hotspot Identification and Mapping: Identify and map hotspots of erosion, biodiversity, deforestation, and water scarcity across two focus states to guide conservation investments.
Indicator: Number of publications, maps or datasets on hotspots of erosion, biodiversity, deforestation and water scarcity</t>
  </si>
  <si>
    <t xml:space="preserve">Deliverable - Decision-Support Tool for Landscape Investment Planning: Develop a digital tool for identifying context specific interventions (Land, Soil, Livestock and agricultural practices) by  integrating spatial, ecological, and socioeconomic data layers to support sustainable management of landscapes.
Indicator: Number of decision-support tools for landscape regeneration investment planning</t>
  </si>
  <si>
    <t xml:space="preserve">OP 3.1.1. Capacity strengthening for producer organizations &amp; value chains</t>
  </si>
  <si>
    <t xml:space="preserve">Deliverable - Peer-to-peer learning and knowledge exchange for Business Engagement across multifunctional landscapes (MFLs): Facilitate peer-to-peer learning and knowledge exchange among producer organizations and enterprises across Multifunctional Landscapes (MFLs), enabling them to share experiences, showcase products, and participate in business and market engagement events, including fairs, buyer roundtables, territorial markets, and innovation showcases.
Indicator: Number of people engaged</t>
  </si>
  <si>
    <t xml:space="preserve">Country: Kenya, The Socialist Republic of Viet Nam, India</t>
  </si>
  <si>
    <t xml:space="preserve">Deliverable - Piloting and scaling of inclusive circular bioeconomy business models 
Indicator: Number of inclusive circular bioeconomy business models piloted and/or scaled</t>
  </si>
  <si>
    <t xml:space="preserve">Deliverable - Catalogue of Inclusive circular models for sustainable MFLs: Identify, document, and analyze inclusive circular production and resource-use models (e.g., nutrient recycling, bio-inputs, livestock–crop integration, residue valorization, community composting, water reuse) that improve livelihoods and environmental outcomes in MFLs. The catalogue will classify models by landscape context, resource conditions, gender and youth inclusion considerations, and implementation requirements, to support bundling and scaling.
Indicator: Number of inclusive circular models catalogued</t>
  </si>
  <si>
    <t xml:space="preserve">Country: The Socialist Republic of Viet Nam, India, Kenya</t>
  </si>
  <si>
    <t xml:space="preserve">Number of inclusive enterprises and business models co-designed</t>
  </si>
  <si>
    <t xml:space="preserve">Country: Peru, Senegal, India, The Socialist Republic of Viet Nam, Kenya, Cambodia, Lao People's Democratic Republic, Tunisia, Zimbabwe, Colombia, Tanzania, United Republic</t>
  </si>
  <si>
    <t xml:space="preserve">Deliverable - Inclusive green finance models for circular and green enterprises
Indicator: Number of financing models for circular and green enterprises designed</t>
  </si>
  <si>
    <t xml:space="preserve">Country: The Socialist Republic of Viet Nam, Kenya, India</t>
  </si>
  <si>
    <t xml:space="preserve">Deliverable - Financial ecosystem assessment and toolbox 
Indicator: Number of financial ecosystem assessments implemented</t>
  </si>
  <si>
    <t xml:space="preserve">Deliverable - Innovation ecosystem for circular and green enterprise incubation
Indicator: Number of innovation challenges, small and medium enterprises incubators or businesses assessed using decision support tools</t>
  </si>
  <si>
    <t xml:space="preserve">Number of co-developed financial mechanisms for landscape transformations</t>
  </si>
  <si>
    <t xml:space="preserve">Country: Peru, Kenya, Cambodia, The Socialist Republic of Viet Nam, India, Senegal, Colombia, Zimbabwe, Tunisia, Lao People's Democratic Republic, Tanzania, United Republic</t>
  </si>
  <si>
    <t xml:space="preserve">OP 3.4.5. Integrated policy–market–finance pathways</t>
  </si>
  <si>
    <t xml:space="preserve">Deliverable - Partnerships with financial institutions to co-design and implement Green Financing Models
Indicator: Number of partnerships for green financing models established with financial institutions and piloted</t>
  </si>
  <si>
    <t xml:space="preserve">Deliverable - Co-creation and Demonstration of Aquatic Food Production Models: Work with farmers and communities to co-design, test, and evaluate small-scale aquatic food production systems (e.g., fish ponds, rice–fish systems, integrated aquaculture–livestock–crop models), supported by feasibility assessments and performance monitoring to generate evidence for scaling
Indicator: Number of on farm-scale prototypes for aquatic food production developed</t>
  </si>
  <si>
    <t xml:space="preserve">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</si>
  <si>
    <t xml:space="preserve"> Number of stakeholder groups involved in planning aquatic ecosystem for integration in land use planning in Mandla, India</t>
  </si>
  <si>
    <t xml:space="preserve">Deliverable - Financial health and entrepreneurial Opportunity of aquatic food producers:  Exploring Financial health and entrepreneurial Opportunity of aquatic food producers in Mandla. The study will follow a mixed-methodology approach, integrating socio-economic assessment to provide a holistic understanding of the financial health and entrepreneurial capability.
Indicator: Number of technical reports on financial health and entrepreneurial opportunity of aquatic food producers</t>
  </si>
  <si>
    <t xml:space="preserve">Deliverable - User Engagement and Uptake Convene policy dialogues, knowledge fairs, and training events; produce briefs and dashboards to support adoption by governments, investors, and programs. 
Indicator: Number of user engagement workshops for partners of the knowledge hub</t>
  </si>
  <si>
    <t xml:space="preserve">Number of user engagement workshops for partners of the knowledge hub</t>
  </si>
  <si>
    <t xml:space="preserve">Country: Tunisia, Cambodia, Senegal, The Socialist Republic of Viet Nam, Tanzania, United Republic, Zimbabwe, India, Lao People's Democratic Republic, Colombia, Ethiopia, Peru, Kenya</t>
  </si>
  <si>
    <t xml:space="preserve">Deliverable - Country Evidence Packages: Generate structured, locally grounded evidence packages (landscape performance, multifunctionality indicators, innovations) 
Indicator: Number of pilot country evidence packages</t>
  </si>
  <si>
    <t xml:space="preserve">Country: India, Peru, Colombia, Lao People's Democratic Republic, Tanzania, United Republic, Cambodia, Ethiopia, Zimbabwe, The Socialist Republic of Viet Nam, Tunisia, Senegal, Kenya</t>
  </si>
  <si>
    <t xml:space="preserve">Deliverable - FAIR-Aligned Evidence Architecture
Establish protocols, metadata standards, and governance mechanisms to curate and manage MFL-related datasets as global public goods. 
Indicator:  Number of FAIR-light protocols</t>
  </si>
  <si>
    <t xml:space="preserve">Country: Tunisia, Colombia, Kenya, Ethiopia, Zimbabwe, Peru, Senegal, Lao People's Democratic Republic, Cambodia, The Socialist Republic of Viet Nam, India, Tanzania, United Republic</t>
  </si>
  <si>
    <t xml:space="preserve">Deliverable - MFL Knowledge Hub Prototype
Develop the digital infrastructure integrating multifunctionality datasets, metrics, models, and innovation cases across animal, aquatic, and landscape domains.. 
Indicator: Number of functional MVP platforms launched</t>
  </si>
  <si>
    <t xml:space="preserve">Country: Tanzania, United Republic, The Socialist Republic of Viet Nam, Zimbabwe, Ethiopia, Peru, Lao People's Democratic Republic, Cambodia, Kenya, Tunisia, India, Senegal, Colombia</t>
  </si>
  <si>
    <t xml:space="preserve">Number of comprehensive open-access knowledge and information hubs on multifunctional landscape performance</t>
  </si>
  <si>
    <t xml:space="preserve">Country: Zimbabwe, Colombia, India, Senegal, Lao People's Democratic Republic, The Socialist Republic of Viet Nam, Tanzania, United Republic, Peru, Cambodia, Tunisia, Kenya</t>
  </si>
  <si>
    <t xml:space="preserve">SP05</t>
  </si>
  <si>
    <t xml:space="preserve">Framework for embedding nutrition into breeding pipelines and processes.</t>
  </si>
  <si>
    <t xml:space="preserve">Critical Capabilities: Technical reports that inform the new framework to embed nutrition into breeding pipelines</t>
  </si>
  <si>
    <t xml:space="preserve">Country: Philippines, India, Kenya</t>
  </si>
  <si>
    <t xml:space="preserve">Estimated costs for time of interdisciplinary teams of researchers and local partners, data collection costs</t>
  </si>
  <si>
    <t xml:space="preserve">Better Diets and Nutrition</t>
  </si>
  <si>
    <t xml:space="preserve">SP06</t>
  </si>
  <si>
    <t xml:space="preserve">2.1.1 &amp; 2.2.1 Climate information products and services</t>
  </si>
  <si>
    <t xml:space="preserve">Number of recommendations/modules/synthesis products</t>
  </si>
  <si>
    <t xml:space="preserve">Country: The Socialist Republic of Viet Nam, Kenya, Mali, Colombia, India, Zambia, Philippines, Nigeria, Bangladesh, Ethiopia</t>
  </si>
  <si>
    <t xml:space="preserve">CA2_AfricaRice-Evidence and Decision Support Tools: Data, and analytical outputs generated from pilot deployments and feedback loops, supporting improved advisory design, climate risk management, and scaling of advisories.</t>
  </si>
  <si>
    <t xml:space="preserve">Climate Action</t>
  </si>
  <si>
    <t xml:space="preserve">Number of human-centered climate information products/services improved, co-designed, or co-developed</t>
  </si>
  <si>
    <t xml:space="preserve">Country: Senegal, Mali, Ethiopia, India, Bangladesh, Nigeria, Zambia, Philippines, Kenya, The Socialist Republic of Viet Nam</t>
  </si>
  <si>
    <t xml:space="preserve">CA2_AfricaRice	Climate-Smart Advisory Bundles: Integrated, real-time digital advisories combining agronomic, climate, market, and financial information, co-designed with farmers and local institutions to enhance adaptive capacity and inform climate-smart </t>
  </si>
  <si>
    <t xml:space="preserve">3.1.1. Institutional innovations and technical practices</t>
  </si>
  <si>
    <t xml:space="preserve">Number of institutional innovations/technical practices co-created</t>
  </si>
  <si>
    <t xml:space="preserve">Country: Tanzania, United Republic, Brazil, Niger, Mali, Ethiopia, Nigeria, India, Kenya, Bangladesh</t>
  </si>
  <si>
    <t xml:space="preserve">CA3_AfricaRice- Inclusive Smart-Valleys Innovations Package: A package of co-created technical practices and institutional innovations from Smart-Valleys implementations across diverse socio-economic contexts, developed through participatory processes. Hi</t>
  </si>
  <si>
    <t xml:space="preserve">4.2.4 &amp; 4.3.3 &amp; 4.4.1 Tools and approaches for monitoring, reporting and verification (MRV)</t>
  </si>
  <si>
    <t xml:space="preserve">Number of MRV tools/approaches for low-emission farming developed</t>
  </si>
  <si>
    <t xml:space="preserve">Country: Colombia, Ghana, India, Zambia, Egypt, Nigeria, Kenya</t>
  </si>
  <si>
    <t xml:space="preserve">CA4_AfricaRice: Integrated digital MRV platform: A digital MRV platform integrating field data, remote sensing, and AI analytics co-developed to quantify and track GHG emissions across rice systems. The tool supports transparent reporting, NDC alignment, </t>
  </si>
  <si>
    <t xml:space="preserve">"Targets are the same as CIAT's PORB. CA21_Alliance of Bioversity and CIAT - Participatory co-production platforms (LTACs, PSP, PICSA) across Africa and Latin America applying human-centered design (HCD) principles. 
CA36_Alliance of Bioversity and CIAT - Climate+: Weather-Informed Advisory for Resilient Rice Systems. Assumes personnel/operations costs are split evenly between HLO 2.1 and 2.2."</t>
  </si>
  <si>
    <t xml:space="preserve">2.2.2 &amp; 2.3.1 &amp; 2.4.1 Multi-hazard early warning and anticipatory action instruments</t>
  </si>
  <si>
    <t xml:space="preserve">Number of early warning systems (EWS) and anticipatory instruments co-designed with partners</t>
  </si>
  <si>
    <t xml:space="preserve">Country: The Socialist Republic of Viet Nam, India, Kenya, Ethiopia, Philippines</t>
  </si>
  <si>
    <t xml:space="preserve">Targets are the same as CIAT's PORB. CA36_Alliance of Bioversity and CIAT - Climate+: Weather-Informed Advisory for Resilient Rice Systems. Assumes personnel/operations costs are split evenly between HLO 2.1 and 2.2.</t>
  </si>
  <si>
    <t xml:space="preserve">CA15_ CIAT	Evidence, Learning, and Policy Uptake Package: Comprehensive MELIA framework implemented to assess access, use, and benefits of digital advisories. Outputs include a learning brief, policy recommendations</t>
  </si>
  <si>
    <t xml:space="preserve">CA15_ CIAT	Inclusive Digital Advisory Services Established: Localized, gender-responsive advisories on rainfall, drought, and crop management co-developed with farmers and delivered through Radios, SMS, IVR, and WhatsApp </t>
  </si>
  <si>
    <t xml:space="preserve">CA32_Alliance of Bioversity and CIAT	Integrated climate, water, and pasture advisories with capacity building for local actors to translate them into practical actions for pastoral and agro-pastoral communities.
CA36_Alliance of Bioversity and CIAT	Early </t>
  </si>
  <si>
    <t xml:space="preserve">2.4.1. Innovative and inclusive partnerships</t>
  </si>
  <si>
    <t xml:space="preserve">Number of partners/actors engaged for delivery of integrated climate risk management and actions</t>
  </si>
  <si>
    <t xml:space="preserve">Number of partners/actors engaged  </t>
  </si>
  <si>
    <t xml:space="preserve">Country: India, The Socialist Republic of Viet Nam, Ethiopia, Kenya, Colombia</t>
  </si>
  <si>
    <t xml:space="preserve">CA21_Alliance of Bioversity and CIAT	Participatory co-production platforms (LTACs, PSP, PICSA) across Africa and Latin America applying human-centered design (HCD) principles.
CA38_Alliance of Bioversity and CIAT	National/Regional Multi-Stakeholder Knowle</t>
  </si>
  <si>
    <t xml:space="preserve">Number of new and inclusive partnerships formed for ICRM delivery</t>
  </si>
  <si>
    <t xml:space="preserve"> Number of partnerships</t>
  </si>
  <si>
    <t xml:space="preserve">Country: Ethiopia, India, The Socialist Republic of Viet Nam, Kenya</t>
  </si>
  <si>
    <t xml:space="preserve">22,000 allocated to partners. CA38_Alliance of Bioversity and CIAT - Public–Private Partnership (PPP) Models Formalized and Operationalized: Establishes and implements PPPs for sustained climate service delivery in Kenya and Vietnam. Finalizes MoUs with k</t>
  </si>
  <si>
    <t xml:space="preserve">4.1.1 &amp; 4.2.1 Evidence and partnerships to inform low-emission development</t>
  </si>
  <si>
    <t xml:space="preserve">Number of low-emission strategies across production systems co-developed with partners</t>
  </si>
  <si>
    <t xml:space="preserve">Country: Ghana, Philippines, Tanzania, United Republic, Egypt, India, Colombia</t>
  </si>
  <si>
    <t xml:space="preserve">CA11_Alliance of Bioversity and CIAT	Market readiness diagnostic report: Country-level MARS-based assessment of institutional, normative and structural readiness for EUDR compliance.
CA14_Alliance of Bioversity and CIAT	Aclimatar+, an integrated digital d</t>
  </si>
  <si>
    <t xml:space="preserve">Number of guidelines/evidence/synthesis reports for scaling and implementing low emission strategies</t>
  </si>
  <si>
    <t xml:space="preserve">Country: Egypt, Colombia, Ghana, Tanzania, United Republic, India</t>
  </si>
  <si>
    <t xml:space="preserve">CA11_Alliance of Bioversity and CIAT	Policy and institutional alignment brief: Summary of enabling conditions, barriers and recommendations for policy alignment and institutional strengthening toward EUDR compliance.
	Synthesis of Key Recommendations: Int</t>
  </si>
  <si>
    <t xml:space="preserve">CA117_Alliance of Bioversity and CIAT	Modular self-learning platform to strengthen technical and institutional capacities in MRV
CA29_Alliance of Bioversity and CIAT	CarboPastures Platform for Low-Emission Livestock Landscapes: Establishes a CGIAR-led, mu</t>
  </si>
  <si>
    <t xml:space="preserve">5.2.2 &amp; 5.3.1 Analytical tools and frameworks on climate finance </t>
  </si>
  <si>
    <t xml:space="preserve">Number of partners/actors engaged in co-development and scaling of climate finance tools</t>
  </si>
  <si>
    <t xml:space="preserve"> Number of partners/actors engaged</t>
  </si>
  <si>
    <t xml:space="preserve">Country: Kenya, India, Guatemala, Pakistan, Ghana, Ethiopia</t>
  </si>
  <si>
    <t xml:space="preserve">CA121_Alliance of Bioversity and CIAT	Policy development and capacity strengthening for anticipatory finance for drought resilience in national and subnational policy and finance institutions - Institutionalize anticipatory finance approaches within natio</t>
  </si>
  <si>
    <t xml:space="preserve">Number of evidence/synthesis products/reports and communication materials on climate finance</t>
  </si>
  <si>
    <t xml:space="preserve">Country: Senegal, Guatemala, Ethiopia, Kenya, Colombia, India, Pakistan</t>
  </si>
  <si>
    <t xml:space="preserve">CA121_Alliance of Bioversity and CIAT	Investment-Ready Pipeline for Climate Resilience Finance - Develop a portfolio of bankable locally led pre-drought investment projects aligned with adaptation and mitigation criteria for global climate funds, submitte</t>
  </si>
  <si>
    <t xml:space="preserve">Number of tools/framework on climate finance developed and disseminated</t>
  </si>
  <si>
    <t xml:space="preserve">Country: Zambia, Ghana, India, Ethiopia, Colombia, Senegal, Guatemala, Kenya, Pakistan</t>
  </si>
  <si>
    <t xml:space="preserve">CA121_Alliance of Bioversity and CIAT	Advanced Digital Risk and Finance Prioritization Tools - E.g. Deploy AI-driven early warning,  water point monitoring tool, Aclimate and vulnerability assessments to prioritize high-return investments and optimize res</t>
  </si>
  <si>
    <t xml:space="preserve">CA26_CIMMYT: Forecast translation, tailoring, and advisory dissemination—strengthen and scale ongoing systems for translating, tailoring, and bundling AI-enhanced seasonal forecasts into actionable agro-climate advisories. The deliverable institutionalize</t>
  </si>
  <si>
    <t xml:space="preserve">4.1.3 &amp; 4.2.3 &amp; 4.3.2 Evidence and partnerships to inform low-emission food systems</t>
  </si>
  <si>
    <t xml:space="preserve">Number of low-emission food strategies co-developed with partners</t>
  </si>
  <si>
    <t xml:space="preserve">Country: Brazil, India, Pakistan, China</t>
  </si>
  <si>
    <t xml:space="preserve">CA88_CIMMYT: LCA framework for regenerative agriculture </t>
  </si>
  <si>
    <t xml:space="preserve">CA117_CIMMYT: N₂O MRV methodologies and capacity for tracking fertilizer-induced emissions</t>
  </si>
  <si>
    <t xml:space="preserve">CA129_ICARDA: iKrishi upgrade: solutions will be developed to provide targeted, field-level agrometeorological and agronomic advisories using a hybrid approach that combines IMD-based guidance (e.g. AgroDSS) , GenAI solutions, and local expert insights. T</t>
  </si>
  <si>
    <t xml:space="preserve">CA129_ICARDA: Partnership development and participatory codesigning: through multistakeholder dialogues this activitiy identifies agroclimatic priorities and needs, fostering stakeholder ownership in DCAS. Partnerships and business model development with </t>
  </si>
  <si>
    <t xml:space="preserve">CA130_ICARDA: " Integrated Low-Emission Desert Agriculture Protocol
A standardized technical protocol establishing best practices for implementing carbon-sequestering agricultural systems in arid ecosystems, including methodologies for soil enhancement, r</t>
  </si>
  <si>
    <t xml:space="preserve">CA130_ICARDA:Comprehensive Monitoring and Socioeconomic Impact Synthesis Study. An evidence-based synthesis integrating field measurements, remote sensing, household surveys, and focus groups to quantify carbon sequestration, emission reductions, and soci</t>
  </si>
  <si>
    <t xml:space="preserve">CA130_ICARDA- "Multi-Stakeholder Carbon Market Roadmap for Arid Regions
A strategic roadmap developed through stakeholder engagement outlining phased implementation of equitable carbon credit systems, including policy recommendations, locally-adapted cert</t>
  </si>
  <si>
    <t xml:space="preserve">CA69_ICRISAT: Compile baseline data including crop calendars, hindcasts, climatology data to synthesize and operationalize a Seasonal Climate Forecast (SCF)-based algorithm which can be integrated into existing public and private sector platforms in India</t>
  </si>
  <si>
    <t xml:space="preserve">CA84_IFPRI: (a) Identification of socio-technical innovation bundles supporting locally led climate action through a country-determined process which typically involves inclusive innovation case submission and independent evaluation and selection, along </t>
  </si>
  <si>
    <t xml:space="preserve">3.1.3 &amp; 3.2.1 Guidelines on scaling  and implementing climate solutions and processes</t>
  </si>
  <si>
    <t xml:space="preserve">Number of guidelines on scaling and implementing climate solutions procuded and communicated</t>
  </si>
  <si>
    <t xml:space="preserve">Country: China, Brazil, Nigeria, Kenya, Tanzania, United Republic, India</t>
  </si>
  <si>
    <t xml:space="preserve">3.3.1.Number of guidelines on scaling and implementing climate solutions procuded and communicated</t>
  </si>
  <si>
    <t xml:space="preserve">CA75_IFPRI: Platform development, exchange on methodologies for low-carbon and zero deforestation technologies and policies, involving government, research agencies, and private sector actors. Global/Brazil/China modeling of soybean/beef commodity outlook</t>
  </si>
  <si>
    <t xml:space="preserve">CA73_IFPRI	Implementation in partnership with KAIP(Kenya Ag Insurance Program) and Zambia's SAFF (Sustainable Agricultural Finance Facility). Supporting partners to scale up and evaluate the impact of insurance-backed credit/RCC for women. Additionally, w</t>
  </si>
  <si>
    <t xml:space="preserve">CA73_IFPRI: Risk-contingent credit product co-design in Kenya and Zambia</t>
  </si>
  <si>
    <t xml:space="preserve">5.2.3. &amp; 5.3.2 Private sector climate finance models</t>
  </si>
  <si>
    <t xml:space="preserve">Number of evidence/synthesis products/reports and communication materials on private sector climate finance models</t>
  </si>
  <si>
    <t xml:space="preserve">Allocated 100k to MELIA studies. CA81_IFPRI 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t>
  </si>
  <si>
    <t xml:space="preserve">Number of climate finance model elements developed</t>
  </si>
  <si>
    <t xml:space="preserve">CA81_IFPRI: Develop cost assessment and implementation protocol for one climate finance/carbon credit project each in India and Kenya, assess climate finance/carbon credit project registration costs, model potential carbon credits generation, cost-benefit</t>
  </si>
  <si>
    <t xml:space="preserve">Number of private sector actors/institutions engaged in co-development of climate finance models</t>
  </si>
  <si>
    <t xml:space="preserve">Number of partners/actors engaged</t>
  </si>
  <si>
    <t xml:space="preserve">CA88_IITA	A concept for a digital monitoring, results, and verification (MRV) system developed with an eye on future integration into existing tools (e.g., AKILIMO). Incorporating climate resilience measurement into MRV. Harmonized prototype LCA Carbon Fr</t>
  </si>
  <si>
    <t xml:space="preserve">CA32_ILRI	Bundled Index-Based Livestock Insurance (BILI): co-developed with insurance companies and service providers IBLI + Animal-Health, IBLI + Feed, and combined bundles, + KAZNET integration
CA69_ILRI	Adapt IMD’s AgroDSS platform to encodes AI and ot</t>
  </si>
  <si>
    <t xml:space="preserve">CA32_ILRI: Rolling out of the bundles to targeted socially heterogenous groups (producer, co-operatives) comprising of men, women, youth groups </t>
  </si>
  <si>
    <t xml:space="preserve">CA95_ILRI: Provider and Distribution Network Deployment: Onboard insurers, veterinary networks, feed suppliers, and producer associations to distribute bundled products and advisories; train women and youth agents to ensure inclusive, last-mile delivery a</t>
  </si>
  <si>
    <t xml:space="preserve">CA103_ILRI: Scaling the F2F scaling and the LL approaches for LLA in universities by embedding them in ongoing teaching. In 2026, we will develop modules with 3 Ethiopian and 1 Kenyan partner, while exploring collaboration with 2 additional Kenyan univers</t>
  </si>
  <si>
    <t xml:space="preserve">guidelines on scaling and implementing climate solutions produced and communicated</t>
  </si>
  <si>
    <t xml:space="preserve">CA91_ILRI: "Animal Health and Feed Interventions
Evidence from controlled and on-farm trials quantifying how improved animal health and targeted feed supplementation reduce methane intensity while boosting milk and meat yields. Outputs will inform investm</t>
  </si>
  <si>
    <t xml:space="preserve">CA117_ILRI: Transparent and Cost-Effective MRV Systems for Mitigation Options Across Food Systems</t>
  </si>
  <si>
    <t xml:space="preserve">CA81_ILRI: In 2026, publish a review synthesizing evidence on animal heat stress effects on productivity and methane intensity, present case studies on climate finance for livestock heat stress, and identify data gaps for product design in Kenya. In 2027,</t>
  </si>
  <si>
    <t xml:space="preserve">CA36_IRRI	Enhancement of Climate+ decision logic utilizing API-shared PAGASA forecast on temperature, humidity, and inclusion of probabilistic weather forecast in the Philippines for an improved agro-advisory. The upgraded solution will be replicated in I</t>
  </si>
  <si>
    <t xml:space="preserve">CA119_IRRI	Compendium of examples of LLCA principles being translated into practice by partners including locsl government authoriries
	Handbook on methodologies and tools that strengthen understanding of, support to, and accountability for adaptation pro</t>
  </si>
  <si>
    <t xml:space="preserve">3.1.5 &amp; 3.2.4 Systematic engagement for developing capacity for locally-led adaptation and mitigation </t>
  </si>
  <si>
    <t xml:space="preserve"> Number of new/expanded partnership agreements established for locally led adaptation solutions</t>
  </si>
  <si>
    <t xml:space="preserve">Number of partnerships</t>
  </si>
  <si>
    <t xml:space="preserve">Country: India, China, Nigeria, Brazil</t>
  </si>
  <si>
    <t xml:space="preserve">CA84_IRRI	New partnerships for locally-led adaptation developed</t>
  </si>
  <si>
    <t xml:space="preserve">CA112_IRRI	Cost assessments of methane reduction scenarios evaluate the cost-effectiveness of different methane reduction strategies and estimate the financial requirements. This analysis helps identify economically viable mitigation options, optimize res</t>
  </si>
  <si>
    <t xml:space="preserve">4.1.2 &amp; 4.2.2 &amp; 4.3.1 Socio-technological and ecological bundles for reducing methane emissions</t>
  </si>
  <si>
    <t xml:space="preserve">Number of integrated socio-technological and ecological bundles co-developed and piloted</t>
  </si>
  <si>
    <t xml:space="preserve">Country: Philippines, Tanzania, United Republic, Ghana, Brazil, Uganda, Egypt, India, Mali, Pakistan, Nigeria, China, Kenya, Colombia, Ethiopia, The Socialist Republic of Viet Nam</t>
  </si>
  <si>
    <t xml:space="preserve">Number of partners involved in piloting integrated socio-technological and ecological bundles</t>
  </si>
  <si>
    <t xml:space="preserve">Country: Philippines, Uganda, Kenya, India, Egypt, Colombia, Brazil, Pakistan, The Socialist Republic of Viet Nam, China, Nigeria, Ethiopia, Ghana, Tanzania, United Republic, Mali</t>
  </si>
  <si>
    <t xml:space="preserve">(a) CA117_IRRI	The integration of Earth Observation and machine learning to remotely monitor water regimes in rice fields to support accurate national inventories and cost-effective MRV. This cloud-based rice growth and Tier-3 GHG simulation model will al</t>
  </si>
  <si>
    <t xml:space="preserve">Critical capabilities: Number of organizations members engaged in capacity development initiatives (disaggregated by type, age, sex, ethnic group)</t>
  </si>
  <si>
    <t xml:space="preserve">Country: Sri Lanka, Ethiopia, Ghana, India, Philippines, Zambia</t>
  </si>
  <si>
    <t xml:space="preserve">Assumes 8k will be funded to partners. However, the specific partners have not been confirmed.</t>
  </si>
  <si>
    <t xml:space="preserve">Critical capabilities: Number of recommendations/modules/synthesis products (knowledge products)</t>
  </si>
  <si>
    <t xml:space="preserve">Country: Zambia, Ghana, Sri Lanka, Ethiopia, Philippines, India</t>
  </si>
  <si>
    <t xml:space="preserve">Assumes 33k will be funded to partners. However, the specific partners have not been confirmed.</t>
  </si>
  <si>
    <t xml:space="preserve">Critical capabilities: Number of human-centered climate information products/services improved, co-designed, or co-developed</t>
  </si>
  <si>
    <t xml:space="preserve">Country: Philippines, Zambia, Ghana, Sri Lanka, Ethiopia, India</t>
  </si>
  <si>
    <t xml:space="preserve">CA38_IWMI	Assessment of Climate Service Financing Flows and business models: Analyze public and private financing for PPP-driven climate services and agritech in India. Maps mechanisms such as micro-subscriptions, blended finance, and forecast-based insur</t>
  </si>
  <si>
    <t xml:space="preserve">CA34_IWMI:	WF-CA-02-D4: Integrated hydro-climatic models coupling hydrological simulations, IoT-based water quality monitoring, and AI analytics to generate predictive insights on water stress, pond productivity, and climate risks for adaptive aquaculture</t>
  </si>
  <si>
    <t xml:space="preserve">CA38_IWMI	Develop a scaling model for the integration of climate and nutrition indicators to enhance early warning and anticipatory decision-making in India . Reviewing existing analytics (e.g., rainfall, market, and dietary data) and platforms (AWARE, ac</t>
  </si>
  <si>
    <t xml:space="preserve">CA38_IWMI	National/Regional Multi-Stakeholder Knowledge Forum: Strengthen forums in South Asia A to engage governments, CGIAR centers, private firms, and farmer organizations in refining service design, identifying co-investment opportunities, and strengt</t>
  </si>
  <si>
    <t xml:space="preserve">CA38_IWMI	Public–Private Partnership (PPP) Models Formalized and Operationalized: Establishes and implements PPPs to sustain and expand climate service delivery in India. Finalizes MoUs with WRMS Pvt. Ltd, and MNCFC in India , enabling joint model rollout</t>
  </si>
  <si>
    <t xml:space="preserve">CA128_IWMI	 D3: Evaluate the socioeconomic viability and co-develop inclusive business models for scaling</t>
  </si>
  <si>
    <t xml:space="preserve">CA125_IWMI	Analyze technical, institutional, and operational mechanisms for integrating Feeder-Level Solarisation (FLS) with carbon markets.  
(a) Develop a Monitoring, Reporting, and Verification framework to ensure credible carbon credit accounting for </t>
  </si>
  <si>
    <t xml:space="preserve">CA121_IWMI: Institutionalize anticipatory finance and drought governance systems within national and subnational climate and finance institutions. Support the establishment of multi-ministerial Drought Governance and Planning Systems (DGPS) and develop gu</t>
  </si>
  <si>
    <t xml:space="preserve">CA121_IWMI: Investment-Ready Pipeline for Climate Resilience Finance : Develop a multi-country portfolio (initially 2–3 countries) of bankable pre- and post-drought investment projects at subnational level (e.g., provincial or basin scale). Each project w</t>
  </si>
  <si>
    <t xml:space="preserve">CA121_IWMI: Advanced Digital Risk and Finance Prioritization Tools - Deploy drought risk and finance-optimization platforms e.g. integrating AWARE, drought risk management tools, and others. Subnational drought finance tracker in the CGIAR Climate Smart G</t>
  </si>
  <si>
    <t xml:space="preserve">WF-CA-02-D3: Training modules tailored to small-scale fish-farmers in local languages and policy dialogues with government and private sector for integration of aquaculture climate services into national fisheries plans and other relevant sectoral policies
WF-CA-02-D4: A comprehensive report comprising a weather index–based insurance scan for aquaculture climate services, and an assessment of opportunities to integrate digital climate services with water accounting, forecasting, and productivity analytics across the aquaculture value chain.</t>
  </si>
  <si>
    <t xml:space="preserve">WF-CA-02-D1: IoT enabled water quality monitoring system for fish-species specific climate information and advisory services together with fish-farmers' database
WF-CA-02-D2: Aquaculture climate services dashboard interface for real time data driven information and advisories along with an AI integration plane </t>
  </si>
  <si>
    <t xml:space="preserve">CA127_WorldFish	4. Support the locally led implementation of selected co-developed climate adaptation actions within aquatic production systems in 2 coastal communities in Bangladesh and 2 inland fishing communities in Tanzania, using joint learning processes, capacity strengthening, and policy engagement, with explicit attention for the needs of marginalized groups</t>
  </si>
  <si>
    <t xml:space="preserve">CA128_WorldFish: Quantify the effects of mangrove restoration in shrimp ponds on ecosystem services, blue carbon potential, and aquaculture productivity.</t>
  </si>
  <si>
    <t xml:space="preserve">CA128_WorldFish: Develop community-adapted farm management guidelines for IMA systems, combining local ecological knowledge with scientific monitoring to enhance biodiversity and resilience. </t>
  </si>
  <si>
    <t xml:space="preserve">SP07</t>
  </si>
  <si>
    <t xml:space="preserve">1.3. Capacity Sharing Activities</t>
  </si>
  <si>
    <t xml:space="preserve">Transferring Modeling Assets and Expertise</t>
  </si>
  <si>
    <t xml:space="preserve">Indian Council of Agricultural Research (India) $25,000</t>
  </si>
  <si>
    <t xml:space="preserve">Policy Innovations</t>
  </si>
  <si>
    <t xml:space="preserve">2.2.  Policy response</t>
  </si>
  <si>
    <t xml:space="preserve">Identify and assess zone-specific policy recommendations for transitioning to sustainable rice production through smart practices and diversification with smart crops
</t>
  </si>
  <si>
    <t xml:space="preserve"> Policy recommendation</t>
  </si>
  <si>
    <t xml:space="preserve">NITI Ayog, Government of India (think Tank)
ICAR-Indian Institute of Rice Research
ICAR-Indian Institute of Millets Research
Budget to be added in Q1 2026</t>
  </si>
  <si>
    <t xml:space="preserve">5.1. Agenda Setting</t>
  </si>
  <si>
    <t xml:space="preserve">Policy recommendations in response to demand from governement demand using rapid response mechanism</t>
  </si>
  <si>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</si>
  <si>
    <t xml:space="preserve">Policy recommendations in response to demand from governement demand using rapid response mechanism
</t>
  </si>
  <si>
    <t xml:space="preserve">5.2. Policy response</t>
  </si>
  <si>
    <t xml:space="preserve">Country policy dialogues/seminars organized to inform policy makers about research based findings from AOW5 and other AOWs.</t>
  </si>
  <si>
    <t xml:space="preserve"> Policy informed</t>
  </si>
  <si>
    <t xml:space="preserve">Country policy dialogues/seminars. First policy dialogue will serve as launch event
</t>
  </si>
  <si>
    <t xml:space="preserve"> Policy demand, consultations &amp; dialogues</t>
  </si>
  <si>
    <t xml:space="preserve">5.3. Capacity sharing activities</t>
  </si>
  <si>
    <t xml:space="preserve">Capacity sharing engagements in collaboration with other AOWs to enhance the institutional capacity of key partner government think tanks</t>
  </si>
  <si>
    <t xml:space="preserve">Analysis and recommendations on public procurement to support diversification out of rice: Policy recommendations based on the report</t>
  </si>
  <si>
    <t xml:space="preserve">Partner and budget to be added in Q1 2026</t>
  </si>
  <si>
    <t xml:space="preserve">4.2. Policy response</t>
  </si>
  <si>
    <t xml:space="preserve">Integrated Hydrological model for assessing Tradeoff and synergy of WEFE policies in Ganges basin and Technical Report identifying groundwater hotspots and impact of various rice policies on future groundwater storage</t>
  </si>
  <si>
    <t xml:space="preserve">Central Groundwater Board
Budget add in Q1 2026</t>
  </si>
  <si>
    <t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t>
  </si>
  <si>
    <t xml:space="preserve"> Policy recommendations developed</t>
  </si>
  <si>
    <t xml:space="preserve">4.3. Capacity sharing activities</t>
  </si>
  <si>
    <t xml:space="preserve">Capacity sharing activities in India on policy modelling</t>
  </si>
  <si>
    <t xml:space="preserve">ICAR
Budget to add in Q1 2026</t>
  </si>
  <si>
    <t xml:space="preserve">Budget and partner to be added in Q1 2026</t>
  </si>
  <si>
    <t xml:space="preserve">Analysis of impacts of different subsidy policies on groundwater use and rice production in India. Policies informed based on policy recommendations.
</t>
  </si>
  <si>
    <t xml:space="preserve">National Institute of Agricultural Economics and Policy Research - $20,000 (All activities)
</t>
  </si>
  <si>
    <t xml:space="preserve">Trade modeling of impacts of future scenarios of India’s rice exports on global rice markets, especially import dependent countries (e.g. from among priority African and Asian countries for the program) (using the Global Rice Trade Model and MIRAGRODEP) : Policies informed based on policy recommendations.</t>
  </si>
  <si>
    <t xml:space="preserve">Country: India, Bangladesh, Uganda, Nepal, Ethiopia, Kenya, Nigeria</t>
  </si>
  <si>
    <t xml:space="preserve">Budget and partners to be added Q1 2026</t>
  </si>
  <si>
    <t xml:space="preserve">Analysis of the impacts of resulting future rice trade shifts as well as productivity shocks (improved seeds, fertiliser subsidy, etc.) on agricultural profits, poverty levels, and rural employment (using the Equilibrium Displacement Model).  Policy makers informed based on policy recommendations developed</t>
  </si>
  <si>
    <t xml:space="preserve">Country: Nigeria, Nepal, Kenya, Ethiopia, Uganda, India, Bangladesh</t>
  </si>
  <si>
    <t xml:space="preserve">Critical Capability - Tool - IRRI's Global Rice Model, which is a core element of its critical capabilities under the Policy Innovation Program, will be used for modeling of trade impacts of future scenarios of India’s rice exports on global rice markets, especially import dependent countries (e.g. from among priority African and Asian countries for the program). This will also directly contribute and related to other activities under the Innovative Rice Policy package conducted by IRRI, IFPRI, AfricaRice and ICRISAT, including on analysis of subsidies and opportunities for repurposing subsidies, poverty implications of future rice trade scenarios, as affected by various subsidy and trade regimes. Output - Slide deck Summarizing key results from rice model. </t>
  </si>
  <si>
    <t xml:space="preserve"> Policy Recommendation</t>
  </si>
  <si>
    <t xml:space="preserve">Country: Uganda, Nepal, Ethiopia, Bangladesh, Nigeria, India, Kenya</t>
  </si>
  <si>
    <t xml:space="preserve">Analysis of the impacts of resulting future rice trade shifts as well as productivity shocks (improved seeds, fertiliser subsidy, etc.) on agricultural profits, poverty levels, and rural employment (using the Equilibrium Displacement Model).  Policy recommendations produced  from country analyses
</t>
  </si>
  <si>
    <t xml:space="preserve">Country: Kenya, Nepal, Bangladesh, Uganda, Nigeria, Ethiopia, India</t>
  </si>
  <si>
    <t xml:space="preserve">Trade modeling of impacts of future scenarios of India’s rice exports on global rice markets, especially import dependent countries (e.g. from among priority African and Asian countries for the program) (using the Global Rice Trade Model and MIRAGRODEP). Policy brief with policy recommendations developed.
</t>
  </si>
  <si>
    <t xml:space="preserve">Country: Nigeria, Uganda, Kenya, Bangladesh, India, Nepal, Ethiopia</t>
  </si>
  <si>
    <t xml:space="preserve">Analysis of impacts of different subsidy policies on groundwater use and rice production in India. Policy recommendations summarized in reports
</t>
  </si>
  <si>
    <t xml:space="preserve">Budget and partner to be added Q1 2026</t>
  </si>
  <si>
    <t xml:space="preserve">3.2. Policy response</t>
  </si>
  <si>
    <t xml:space="preserve">PILA4WP analysis and policy landscape mapping study on India, with specific reference to the Ganges basin and irrigation sub-sector / improving agwater productivity, identifying ways of enhancing enabling environments at national, state, basin, and irrigation system</t>
  </si>
  <si>
    <t xml:space="preserve"> No. of policy recommendations</t>
  </si>
  <si>
    <t xml:space="preserve">4.1. Agenda Setting</t>
  </si>
  <si>
    <t xml:space="preserve">Global Water Policy Dialogue and National Seminars</t>
  </si>
  <si>
    <t xml:space="preserve">Country: Pakistan, Nepal, India, Nigeria, United States of America, Ethiopia, Sri Lanka, Canada</t>
  </si>
  <si>
    <t xml:space="preserve">Atlas of System Level Water Productivity (crop, livestock and fisheries) has informed policy makers to make decisions on water productivity investments</t>
  </si>
  <si>
    <t xml:space="preserve"> Policies informed</t>
  </si>
  <si>
    <t xml:space="preserve">ICAR - $15,000 (All activities)</t>
  </si>
  <si>
    <t xml:space="preserve">Atlas of System Level Water Productivity (crop, livestock and fisheries): Policy recommendations developed for enhancing system level water productivity</t>
  </si>
  <si>
    <t xml:space="preserve">Water recharge investment assessment and guidance India: Policymakers informed based on recommendations. </t>
  </si>
  <si>
    <t xml:space="preserve">Critical Capability - Tool- Estimation of Impact Indicator of Water Productivity in Agriculture</t>
  </si>
  <si>
    <t xml:space="preserve">Country: Nepal, Malawi, India, Ethiopia, Kenya, Pakistan, Nigeria</t>
  </si>
  <si>
    <t xml:space="preserve">Critical Capability - Policy Engagement - Estimation of Impact Indicator of Water Productivity in Agriculture</t>
  </si>
  <si>
    <t xml:space="preserve">Country: Kenya, Pakistan, Malawi, Nigeria, Nepal, India, Ethiopia</t>
  </si>
  <si>
    <t xml:space="preserve">Water recharge investment assessment and guidance India</t>
  </si>
  <si>
    <t xml:space="preserve">Water recharge investment assessment and guidance India: Policy recommendations developed </t>
  </si>
  <si>
    <t xml:space="preserve">Atlas of System Level Water Productivity (crop, livestock and fisheries)</t>
  </si>
  <si>
    <t xml:space="preserve">Atlas of System Level Water Productivity (crop, livestock and fisheries): Policy recommendation report developed for enhancing system level water productivity</t>
  </si>
  <si>
    <t xml:space="preserve">SP09</t>
  </si>
  <si>
    <t xml:space="preserve">HLO 2.2.1: Access climate services and smart water management tools that improve adaptation decisions and resource efficiency.</t>
  </si>
  <si>
    <t xml:space="preserve">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t>
  </si>
  <si>
    <t xml:space="preserve">Number of individuals</t>
  </si>
  <si>
    <t xml:space="preserve">Strong demand from farmers and institutional commitment of financial partners sustain service delivery and expansion.
</t>
  </si>
  <si>
    <t xml:space="preserve">Scaling for Impact</t>
  </si>
  <si>
    <t xml:space="preserve">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t>
  </si>
  <si>
    <t xml:space="preserve"> Amount in USD </t>
  </si>
  <si>
    <t xml:space="preserve">Continued market demand and partner commitment sustain growth in digital financial service uptake and co-investment levels.
</t>
  </si>
  <si>
    <t xml:space="preserve">HLO 2.2.2: Inclusive and efficient innovation delivery systems that support biodiverse, sustainable production, generate new jobs, and expand access for women, youth, and small and medium enterprises.</t>
  </si>
  <si>
    <t xml:space="preserve">A2P15.1: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10,000 hectares under climate-smart mechanized rice–wheat systems (DSR and ZT wheat) established by end-2026 in Eastern India through IRRI–CIMMYT collaboration. Indicator type: Other Output Unit: Number of hectares.
PoD Description: This PoD scales climate-smart mechanized dry direct-seeded rice (DSR) and zero-tillage (ZT) wheat systems to improve productivity, profitability, and resilience across the eastern Indo-Gangetic Plains. Through IRRI–CIMMYT collaboration and partnerships with private firms (Bayer, IOCL, Corteva) and public programs (UP-AGREES), it promotes adoption of DSR and ZT wheat through mechanization hubs, Custom Hiring Centers (CHCs), and Public–Private Service Platforms (PSPs). By 2026, 10,000 hectares will be under mechanized DSR and ZT wheat systems in Eastern India. Responsible Center: IRRI Partner: CIMMYT Partner modality: In-kind technical support, shared training, and aligned implementation through bilateral projects; no direct fund transfer. (no direct fund transfer). MELIA: Monitoring, evaluation, and learning plans will be developed in early 2026 in cooperation with the S4I PMU and/or AoW‑5, and where needed will include baseline assessments and indicator tracking and reporting in line with Program and CGIAR guidelines.</t>
  </si>
  <si>
    <t xml:space="preserve">Number of hectares </t>
  </si>
  <si>
    <t xml:space="preserve">Assumption: Continued policy commitment and co-financing from the Government of India and private partners to expand mechanized, low-emission rice–wheat systems.
</t>
  </si>
  <si>
    <t xml:space="preserve">A2P15.2: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1,330 jobs created or improved by end-2026 through mechanization, seed, and service delivery networks for rice–wheat systems in Eastern India. These include youth and women operators, entrepreneurs, and CHC staff benefiting from IRRI–CIMMYT collaboration. Indicator type: Other Output Unit: Number of jobs.
PoD Description: This PoD supports rural job creation through the establishment of mechanization service platforms, women-led seedling enterprises, and youth-operated CHCs across 21 districts of Eastern India. It builds technical and business capacities for youth and women operators, creating sustainable rural employment and entrepreneurship opportunities. By 2026, 1,330 jobs will be created or improved through mechanization, seed, and service delivery networks in rice–wheat systems. Responsible Center: IRRI Partner: CIMMYT Partner modality: In-kind collaboration on training and technology scaling; no direct fund transfers. MELIA: Monitoring, evaluation, and learning plans will be developed in early 2026 in cooperation with the S4I PMU and/or AoW‑5, and where needed will include baseline assessments and indicator tracking and reporting in line with Program and CGIAR guidelines.</t>
  </si>
  <si>
    <t xml:space="preserve">Number of Jobs</t>
  </si>
  <si>
    <t xml:space="preserve">Assumption: Continued commitment from state governments, World Bank project partners, and private sector to promote mechanization-led climate-smart agriculture.
</t>
  </si>
  <si>
    <t xml:space="preserve">A2P15.3: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3,333 individuals (≥40% women, ≥30% youth) trained and applying CGIAR-linked climate-smart mechanization, crop residue management, and seed entrepreneurship practices by end-2026 in Eastern India. Indicator type: Other Output Unit: Number of individuals.
PoD Description: This PoD trains and supports farmers, machinery operators, and entrepreneurs in adopting DSR, ZT wheat, crop residue management, and seed entrepreneurship practices. Implemented with CIMMYT and public–private partners, it enables inclusive participation of women and youth in mechanized, low-emission agriculture. By 2026, 3,333 individuals will be trained and actively applying CGIAR-linked climate-smart mechanization innovations. Responsible Center: IRRI Partner: CIMMYT Partner modality: In-kind technical collaboration through training and demonstration;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</si>
  <si>
    <t xml:space="preserve">Assumption: Continued state government commitment, partner co-financing, and private-sector engagement for scaling climate-smart mechanization.
</t>
  </si>
  <si>
    <t xml:space="preserve">A2P15.4: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1,350 jobs created or improved through the scaling of climate-smart mechanization and seed entrepreneurship models in Eastern India by end-2026. These include CHC staff, youth machine operators, and women entrepreneurs supported by IRRI–CIMMYT collaboration. Indicator type: Other Output Unit: Number of jobs.
PoD Description: This PoD builds on IRRI–CIMMYT collaboration to enhance employment in mechanization, repair, and seed value chains through PPPs, training programs, and entrepreneurship initiatives. By linking farmers and service providers with CHCs and PSPs, it strengthens local agribusiness ecosystems and rural livelihoods. By 2026, 1,350 jobs will be created or improved under mechanization and seed entrepreneurship models. Responsible Center: IRRI Partner: CIMMYT Partner modality: In-kind technical collaboration through shared implementation, training, and monitoring;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</si>
  <si>
    <t xml:space="preserve">Assumption: Sustained government and private-sector commitment to mechanization-based climate-smart agriculture and continued co-financing for service expansion.
</t>
  </si>
  <si>
    <t xml:space="preserve">A2P8.1: PoD name: Scaling Potato zero tillage and mulching in India. Lead Center: CIP. PoD KPI: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Other Output. Unit: Number of individuals.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t>
  </si>
  <si>
    <t xml:space="preserve">Assumption: Continued demand for cost-saving, labor-efficient, and climate-resilient potato cultivation practices among smallholders in Bihar.
Allocation for Partner: 90K
"Digital Green; ICAR-CPRI; Department of Horticulture; ICAR-CSSRI
"</t>
  </si>
  <si>
    <t xml:space="preserve">HLO 3.3.2: Scaling support services for enabling 
environments and institutions </t>
  </si>
  <si>
    <t xml:space="preserve">A3P9.5: PoD name: Mainstreaming Inclusive and Responsible Scaling. Lead Center: CIP. PoD KPI: 3 – Three organizations in India applying and institutionalizing Responsible Scaling Strategies for conservation agriculture innovations, embedding gender and equity in national and subnational agricultural scaling systems by the end of 2026. Suggested Disaggregation: Not applicable for this organization-level KPI (it tracks the number of organizations rather than individual beneficiaries). Indicator type: Capacity Sharing. Unit: Number of organizations.
PoD Description: This package will embed responsible and inclusive scaling across S4I, with a particular focus on AoW2 innovations and conservation agriculture packages in India’s rice–potato systems. Between 2026 and 2027 it will co-develop Responsible Scaling Strategies, diagnostics, and training tools with government agencies, research partners, and agribusiness actors, ensuring that equity, gender, and youth considerations are systematically integrated into innovation design, risk management, and scaling pathways. Evidence frameworks (base–mid–endline assessments, a shared monitoring database, and reporting mechanisms) will strengthen accountability and adaptive management, while gender scorecards, standardized indicators, and participatory workshops will support ministries and implementing partners to mainstream women’s empowerment and inclusion in agricultural policy and programs. Collectively, the package will generate strategies, toolkits, and institutional capacity that ensure conservation agriculture innovations are scaled in ways that are socially inclusive, minimize harm, and create lasting benefits for women, youth, and marginalized groups. Accountable Center leading this PoD: CIP. Anticipated partners: IFPRI; IITA; IWMI; ICAR–Central Institute for Women in Agriculture; Nature, Environment, Wildlife Society; and relevant government and agribusiness actors engaged in scaling conservation agriculture in India. MELIA: Monitoring, evaluation, and learning plans will be developed in early 2026 in cooperation with the S4I PMU and/or AoW‑5, and where needed will include baseline assessments and indicator tracking and reporting in line with Program and CGIAR guidelines.</t>
  </si>
  <si>
    <t xml:space="preserve">Assumption: Continued government and donor commitment to gender-responsive, inclusive agricultural transformation.
Allocation for Partner 10K
ICAR-Central Institute for Women In Agriculture; Nature, Environment, Wildlife Society
</t>
  </si>
  <si>
    <t xml:space="preserve">HLO 4.4.1: CGIAR Expertise and Solutions Embedded in Development Investments and Partnerships</t>
  </si>
  <si>
    <t xml:space="preserve">A4P4.5: PoD name: Global Coordinated Clearinghouse establised: New Frontier Lead Center: CIP, PoD KPI: 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 Suggested Disaggregation: 2 innovations benefiting women and youth (40%), 0.5 innovations targeting marginalized groups (10%), and 2.5 innovations for others (50%). Indicator type: Innovation Development Unit: Number of innovations integrated
PoD Description: This package delivers the development of a Globally Coordinated CGIAR Clearinghouse in partnership with major International Financial Institutions. It provides support to newly established regional Clearinghouses, such as the one hosted by IRRI at the Asian Development Bank, by sourcing and vetting scale-ready CGIAR innovations aligned with PRMS and marketing them through CGIAR e-catalogs. The work, with a horizon to 2026, involves forming committees with other CGIAR Centers to provide technical assistance and ensure innovations are integrated into future IFI investments across global priority countries. Accountable Center leading this PoD: CIP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</si>
  <si>
    <t xml:space="preserve">Country: Guatemala, Zambia, India, Philippines, Mexico, Bangladesh, Côte d'Ivoire, Nigeria, Kenya, Ethiopia, Colombia</t>
  </si>
  <si>
    <t xml:space="preserve">Assumptions: the Global Clearinghouse becomes functional under IITA coordination; PRMS integration across participating Centers remains consistent; and IFIs continue to express demand for CGIAR innovation portfolios for investment embedding under AoW 4.</t>
  </si>
  <si>
    <t xml:space="preserve">A4P4.1: PoD name: Global Coordinated Clearinghouse developed: New Frontier. Lead Center: ICARDA.  PoD KPI: 60 – Sixty cumulative partnerships formalized by the end of 2026 across global and regional Clearinghouses (Asia, MENA, Africa, and the Caribbean), connecting CGIAR Centers with IFIs, national governments, and development partners through structured co-investment, cataloguing, and technical assistance mechanisms under AoW 4 CoA 4.2. Suggested Disaggregation: Not applicable; KPI counts partnerships rather than numbers of individuals. Indicator type: Other output. Unit: Number of Partnerships.
PoD Description: This package develops a globally coordinated CGIAR Clearinghouse that connects ready-to-scale CGIAR innovations with investment pipelines of international financial institutions, governments, and other partners. By 2026, it will establish and support regional Clearinghouses with the Asian Development Bank and emerging platforms with the Islamic Development Bank and the Caribbean Development Bank, while laying the groundwork for a regional Clearinghouse for CGIAR innovations in MENA. Core functions include sourcing and vetting innovations aligned with PRMS, profiling them through CGIAR e-catalogues, integrating lessons from TAAT, and supporting CGIAR Centers to position their innovations in future IFI-financed investments. The work will form coordination mechanisms among CGIAR Centers and country partners, initiate pay-for-services arrangements with IFIs, and develop pathways for blended finance, contributing to 2030 outcomes by helping to leverage an estimated US$1.46 billion in investment across Africa, Asia, MENA,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and CGIAR Centers engaging in regional Clearinghouse coordination. MELIA: Monitoring, evaluation, and learning plans will be developed in early 2026 in cooperation with the S4I PMU and/or AoW‑5, and where needed will include baseline assessments and indicator tracking and reporting in line with Program and CGIAR guidelines.</t>
  </si>
  <si>
    <t xml:space="preserve"> Other Output</t>
  </si>
  <si>
    <t xml:space="preserve">Country: India, Colombia, Côte d'Ivoire, Ethiopia, Zambia, Bangladesh, Guatemala, Kenya, Philippines, Mexico, Nigeria</t>
  </si>
  <si>
    <t xml:space="preserve">ADB, IsDB, and CDB endorse CGIAR's Clearinghouse framework as a core component of regional investment design; CGIAR Centers commit staff time and technical inputs for coordination; PRMS and e-catalogue integration remain systemwide priorities; and IFIs pr</t>
  </si>
  <si>
    <t xml:space="preserve">A4P4.2: PoD name: Global Coordinated Clearinghouse developed: New Frontier. Lead Center: ICARDA. PoD KPI: 820,000,000 –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Other output. Unit: USD leveraged for scaling through CGIAR influence, technical assistance, and/or advisory support.
PoD Description: This package develops a globally coordinated CGIAR Clearinghouse that connects ready-to-scale CGIAR innovations with investment pipelines of international financial institutions, governments, and development partners. By the end of 2026, it will support the Asian Development Bank’s regional Clearinghouse (hosted by IRRI) and lay the groundwork for emerging regional Clearinghouses with the Islamic Development Bank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and mobilizing blended finance to sustain regional and global Clearinghouse operations. Collectively, these efforts will help leverage substantial IFI and partner investments and embed CGIAR science in development finance across Asia, MENA, Africa,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MELIA: Monitoring, evaluation, and learning plans will be developed in early 2026 in cooperation with the S4I PMU and/or AoW‑5, and where needed will include baseline assessments and indicator tracking and reporting in line with Program and CGIAR guidelines.</t>
  </si>
  <si>
    <t xml:space="preserve">Country: Colombia, Guatemala, Philippines, Ethiopia, Nigeria, Kenya, Bangladesh, India, Mexico, Côte d'Ivoire</t>
  </si>
  <si>
    <t xml:space="preserve">High-level endorsement of the Clearinghouse mechanism by partner IFIs; sustained CGIAR commitment to co-develop blended-finance pathways; and ongoing collaboration between ICARDA, IITA, IRRI, and the Alliance to align Clearinghouse functions, avoiding dup</t>
  </si>
  <si>
    <t xml:space="preserve">HLO 5.5.1: Enhancing scaling science for societal impact </t>
  </si>
  <si>
    <t xml:space="preserve">A5ICRISAT-CC-1.1: PoD name: Leveraging South–South Cooperation and Learning to Accelerate Scaling for Impact. Lead Center: ICRISAT. PoD KPI: 2 – Two global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Webinar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t>
  </si>
  <si>
    <t xml:space="preserve">Assumptions (1) Support for partners' engagement; (2) Partners learn and uptake shared lessons, experience and principles
Allocation for Partner:  2K- NARES institutions, Regional and development partners, private sector, and Donors
r </t>
  </si>
  <si>
    <t xml:space="preserve">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t>
  </si>
  <si>
    <t xml:space="preserve">Assumptions: Data on innovations allow assessment of their scalability; partners enable to use the organized data for decision-making
Allocation for Partner: 3K- CGIAR Centers, NARES institutions,and  Regional and development partners 
</t>
  </si>
  <si>
    <t xml:space="preserve">CRITICAL CAPABILITY: A5ICRISAT-CC-1.3: PoD name: Leveraging South–South Cooperation and Learning to Accelerate Scaling for Impact. Lead Center: ICRISAT. PoD KPI: 30 – Thirty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Partners.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t>
  </si>
  <si>
    <t xml:space="preserve">Assumptions (1) Support for partners' participation; (2) Partners learn and uptake shared lessons, experience and principles
Allocation for Partner: 5K- CGIAR Centers, NARES institutions,  Regional and development partners, and private secto</t>
  </si>
  <si>
    <t xml:space="preserve">HLO 1.1.1: Demand signaling </t>
  </si>
  <si>
    <t xml:space="preserve">A1P4.1: PoD name: Policy Entry Points to Improve Diets in South Asia. Lead Center: IFPRI. PoD KPI: 30 – Thirty organizations participating in the finalization and dissemination of at least three 3 CGIAR Innovation Demand Notes by the end of 2026 from structured national consultations inSouth Asia, together engaging at least 30 organizations and identifying priority policy levers and research needs for scaling healthy diets. Suggested Disaggregation: Not applicable (organization-level KPI focused on a defined set of participating institutions). Indicator type: Other Output. Unit: Number of organizations.
 PoD Description: This package facilitates structured national and subnational engagements with key food-system stakeholders in Bangladesh, India, and Nepal—including government, research institutions, civil society, private sector, development partners, and international finance institutions—to identify actionable policy levers for improving diet quality, affordability, and accessibility. Through semi-structured policy dialogues and South–South learning exchanges, participants will co-assess and rank solutions by effectiveness, scalability, fiscal cost, and political feasibility, distinguishing quick wins from medium-term priorities that require further evidence or coalition-building. These processes will pinpoint evidence gaps and innovations where CGIAR and national partners can generate new knowledge and investments, and will feed directly into aligning CGIAR Science Portfolios and Accelerators with country demand for food systems innovations that support healthy diets. The demand notes will be a culmination of a series of consultations and a desk review to identify partners’ demand for innovations to scale for improving demand, affordability, and accessibility of healthy diets. In developing the notes, IFPRI will draw on strong linkages with national policymakers and strategy think tanks, which give a clear and practical pathway for engaging key decision makers and supporting the uptake of the recommendations—especially given the growing momentum around healthy diets.
We anticipate several follow-on actions after the demand note, such as sharing the findings with key government and partner stakeholders, informing upcoming Science Program and Accelerator planning, and identifying opportunities for targeted policy engagement or support where appropriate. These steps will help ensure that the priorities identified through the consultations can translate into practical entry points for programmatic or policy uptake Accountable Center leading this PoD: IFPRI. Anticipated partners: NITI Aayog; MSSRF; BNNC; CIMMYT. MELIA: Monitoring, evaluation, and learning plans will be developed in early 2026 in cooperation with the S4I PMU and/or AoW‑5, and where needed will include baseline assessments and indicator tracking and reporting in line with Program and CGIAR guidelines.</t>
  </si>
  <si>
    <t xml:space="preserve"> Number of organizations</t>
  </si>
  <si>
    <t xml:space="preserve">Country: India, Bangladesh</t>
  </si>
  <si>
    <t xml:space="preserve">Assumptions: Governments remain committed to improving diet diversity and accessible nutrition through policy innovation.</t>
  </si>
  <si>
    <t xml:space="preserve">Assumption: Strong demand from farmers and institutional commitment of financial partners sustain service delivery and expansion.
Budget Allocation to Partner:US$-50703-ACRE, Dvara, HDFC Ergo General Insurance and Avanti Finance, Juhudi, NCBA
</t>
  </si>
  <si>
    <t xml:space="preserve">Assumption: Continued market demand and partner commitment sustain growth in digital financial service uptake and co-investment levels.
Budget Allocation to Partner:US$-50703-ACRE, Dvara, HDFC Ergo General Insurance and Avanti Finance, Juhudi, NCBA
</t>
  </si>
  <si>
    <t xml:space="preserve">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t>
  </si>
  <si>
    <t xml:space="preserve">Country: India, Bangladesh, Nigeria, Kenya, Ethiopia</t>
  </si>
  <si>
    <t xml:space="preserve">d sustainable irrigation access across Africa. PoD KPI: 150,000 – One hundred fifty thousand individuals adopting CGIAR-linked solar-powered irrigation innovations by the end of 2026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t>
  </si>
  <si>
    <t xml:space="preserve">A4P2.2: PoD name: ADB Clearinghouse Linkages Lead Center: IFPRI, PoD KPI: 20,000,000 –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Other output Unit: USD leveraged for scaling through CGIAR influence, technical assistance, and/or advisory support.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t>
  </si>
  <si>
    <t xml:space="preserve">Country: India, Philippines, Bangladesh</t>
  </si>
  <si>
    <t xml:space="preserve">ADB continues prioritizing CGIAR partnership for investment design; IRRI and IFPRI maintain complementary technical leadership for evidence generation and policy analysis; and demand from ADB's regional departments remains strong for integrating CGIAR inn</t>
  </si>
  <si>
    <t xml:space="preserve">A4P4.3: PoD name: Global Coordinated Clearinghouse developed: New Frontier. Lead Center: IITA. PoD KPI: 820,000,000 – Eight hundred twenty million U.S. dollars in cumulative investment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Other output. Unit: USD leveraged for scaling through CGIAR influence, technical assistance, and/or advisory support.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</si>
  <si>
    <t xml:space="preserve">Country: Colombia, Guatemala, Zambia, Bangladesh, Philippines, Mexico, Kenya, Nigeria, India, Ethiopia, Côte d'Ivoire</t>
  </si>
  <si>
    <t xml:space="preserve">IFIs maintain strong demand for science-based investment design support; CGIAR Centers commit vetted innovations to the global e-catalogue; blended finance mechanisms are endorsed to ensure sustainability; and inter-Center coordination mechanisms between </t>
  </si>
  <si>
    <t xml:space="preserve">A4P4.4: PoD name: Global Coordinated Clearinghouse developed: New Frontier. Lead Center: IITA. PoD KPI: 60 – Sixty cumulative CGIAR innovations integrated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innovations integrated into investments.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</si>
  <si>
    <t xml:space="preserve">Country: Bangladesh, Philippines, Kenya, Mexico, Côte d'Ivoire, Ethiopia, India, Zambia, Colombia, Guatemala, Nigeria</t>
  </si>
  <si>
    <t xml:space="preserve">CGIAR Centers actively contribute innovations and maintain alignment with PRMS; IFIs endorse CGIAR's Clearinghouse model as part of their investment design process; and blended-finance mechanisms are successfully structured to sustain technical assistance</t>
  </si>
  <si>
    <t xml:space="preserve">A5P1.1: PoD name: South–South University Partnership for Scaling. Lead Center: ILRI. PoD KPI: 20 – Twenty organizations engaged and applying scaling science curricula by end-2026. Suggested Disaggregation: 8 African universities (40%), 6 Asian universities (30%), 6 from other Global South regions (30%). Indicator type: Capacity Sharing. Unit: Number of organizations.
PoD Description: This PoD builds institutional capacity for scaling science across universities in the Global South through the creation of a Global South University Learning Alliance. Working with IWMI, IITA, and partners such as RUFORUM and AFAAS, the initiative promotes South–South collaboration to co-design and integrate scaling science curricula, develop certificate programs, and establish peer learning networks. Activities include co-creation workshops, curriculum accreditation support, and a 10-day certification course for practitioners. By embedding scaling science within higher education systems, the PoD strengthens local innovation ecosystems, enhances institutional capacity, and contributes directly to S4I’s 2030 outcomes on responsible scaling and sustained institutional adoption of CGIAR approaches. By 2026, 20 organizations (universities and training institutions) will be engaged through the Global South University Learning Alliance, each integrating scaling science into curricula and training programs. Accountable Center: ILRI. Partners: IWMI, IITA, RUFORUM, AFAAS. Partner modality: In-kind collaboration for curriculum co-design, training, and institutional engagement; no direct fund transfer. MELIA: Monitoring, evaluation, and learning plans will be developed in early 2026 in cooperation with the S4I PMU and/or AoW‑5, and where needed will include baseline assessments and indicator tracking and reporting in line with Program and CGIAR guidelines.</t>
  </si>
  <si>
    <t xml:space="preserve">Country: Kenya, Côte d'Ivoire, Nigeria, Zambia, India, Bangladesh, Ethiopia</t>
  </si>
  <si>
    <t xml:space="preserve">Consistent engagement from CGIAR and partner universities; alignment of training objectives with national education frameworks; and continued demand for capacity development in scaling among Global South institutions.
Budget allocation for  RUFORUM, AFAAS- 5K</t>
  </si>
  <si>
    <t xml:space="preserve">Assumption: Continued policy commitment and co-financing from the Government of India and private partners to expand mechanized, low-emission rice–wheat systems.</t>
  </si>
  <si>
    <t xml:space="preserve">Assumption: Continued commitment from state governments, World Bank project partners, and private sector to promote mechanization-led climate-smart agriculture.
Budget allocation to Partner:  10K 
Bayer, Savannah Seeds, Corteva, IOCL and SEAL
</t>
  </si>
  <si>
    <t xml:space="preserve">Assumption: Continued state government commitment, partner co-financing, and private-sector engagement for scaling climate-smart mechanization.
Budget allocation to Partner:  10K 
Bayer, Savannah Seeds, Corteva, IOCL and SEAL</t>
  </si>
  <si>
    <t xml:space="preserve">Assumption: Sustained government and private-sector commitment to mechanization-based climate-smart agriculture and continued co-financing for service expansion.
Budget allocation to Partner:  10K 
Bayer, Savannah Seeds, Corteva, IOCL and SEAL</t>
  </si>
  <si>
    <t xml:space="preserve">HLO 3.3.1: Enabling environment diagnostics </t>
  </si>
  <si>
    <t xml:space="preserve">A3P8.1: PoD name: Leveraging market and finance mechanisms to scale climate impact. Lead Center: IRRI. PoD KPI: 400,000,000 – Four hundred million U.S. dollars in cumulative climate finance and carbon-linked investments leveraged by 2026 across Bangladesh, India, Vietnam, the Philippines, and Cambodia through enabling-environment reforms and technical assistance that support scaling of agricultural mitigation technologies. Suggested Disaggregation: Not applicable – KPI measures investment volume (USD) rather than individuals. Indicator type: Capacity Sharing. Unit: Amount of investment in million USD.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and national actors to engage in carbon markets, define market standards for climate-certified products, and structure procurement commitments that create sustained demand for low-emission agricultural goods. The work includes linking suppliers of climate-certified products with buyers, offering expertise on carbon market methodologies and MRV requirements, and building the technical, political, and institutional skills of agriculture-focused COP negotiators so they can secure climate finance and embed agriculture more effectively in global climate policy. By 2026, the package will have operationalized a CGIAR convening framework that shares costs, risks, and claims across carbon-market actors, de-risks investments, and mobilizes large-scale climate and carbon-linked finance for mitigation and adaptation projects benefiting small-scale farmers in Bangladesh, India, Vietnam, the Philippines, and Cambodia. Accountable Center leading this PoD: IRRI. Anticipated partners: Ministries of Agriculture in Bangladesh, India, Vietnam, the Philippines, and Cambodia, alongside other national climate and finance institutions engaged in climate-market development. MELIA: Monitoring, evaluation, and learning plans will be developed in early 2026 in cooperation with the S4I PMU and/or AoW‑5, and where needed will include baseline assessments and indicator tracking and reporting in line with Program and CGIAR guidelines.</t>
  </si>
  <si>
    <t xml:space="preserve"> Amount of Investment in million USD</t>
  </si>
  <si>
    <t xml:space="preserve">Country: Cambodia, Bangladesh, Philippines, India, The Socialist Republic of Viet Nam</t>
  </si>
  <si>
    <t xml:space="preserve">Assumption: Continued government and private sector interest in climate markets for agriculture and stable carbon finance demand.
Budget allocation to Partner : 25K </t>
  </si>
  <si>
    <t xml:space="preserve">A4P2.1: PoD name: ADB Clearinghouse linkages Lead Center: IRRI, PoD KPI: 30 – Thirty formalized collaboration agreements and embedded innovations within ADB-supported agricultural investments, linking the ADB and Global Clearinghouses to streamline science-to-investment pathways by the end of 2026. Suggested Disaggregation: 12 agreements benefiting women and youth (40%), 3 agreements targeting marginalized groups (10%), and 15 agreements for others (50%). Indicator type: Capacity Sharing Unit: Number of agreements
PoD Description: This package delivers support for stronger alignment between the ADB and Global Clearinghouses, integrating scale-ready innovations and linking them with IPSR tools, databases, and analytics to inform investment design. It enables a cross-center CGIAR team to work with IRRI and the Asian Development Bank, engaging with programs and planning for investments up to 2026. The work targets priority countries including India, Bangladesh, and the Philippines, focusing on resilient, high-yield, and low-emission farming practices, sustainable water use, and inclusive value chains. Accountable Center leading this PoD: IRRI Anticipated partners: Asian Development Bank. MELIA: Monitoring, evaluation, and learning plans will be developed in early 2026 in cooperation with the S4I PMU and/or AoW‑5, and where needed will include baseline assessments and indicator tracking and reporting in line with Program and CGIAR guidelines.</t>
  </si>
  <si>
    <t xml:space="preserve">ADB remains committed to embedding CGIAR innovations in loan and grant programs; IRRI maintains leadership and operational capacity for Clearinghouse coordination; and cross-Center collaboration functions effectively to align with AoW 4's investment-integ</t>
  </si>
  <si>
    <t xml:space="preserve">Assumption: Private sector interest and co-investment commitments remain stable, supported by verified business models and viable farmer demand.
Budget Allocated to Partner: US$ 43500
"In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t>
  </si>
  <si>
    <t xml:space="preserve">A4P12.2: PoD name (Lead Center: IWMI): Water Tech Support to ImpactSF. PoD KPI: 320,000,000 – Cumulative investment value of USD 320 million influenced by the ImpactSF “Water and Climate Risk Module” by end-2026, embedding CGIAR water and climate analytics into financial products and investment decisions. Suggested Disaggregation: To be determined based on specific financial product integration and regional outreach. Indicator type: Other Output. Unit: USD leveraged for scaling through CGIAR influence, technical assistance, and/or advisory support.
PoD Description: Water Tech Support to ImpactSF is a crucial component of the ImpactSF initiative, focusing on embedding IWMI’s hydrological and climate datasets into the financial ecosystem. This collaboration integrates water and climate risk metrics—such as basin-level water stress indices, groundwater depletion, and drought probability forecasts—into the ImpactSF Finance Suite’s Analyzer platform. By doing so, IWMI’s data helps quantify water-related credit risk and informs climate-smart financial products designed to support agri-SMEs and value-chain actors. In 2026, the focus will be on integrating IWMI’s water and climate risk module into two partner banks, co-designing at least two climate-smart financial products targeting the agriculture sector across Ethiopia, Kenya, Nigeria, Nepal, India, Zambia, and Malawi. Accountable Center leading this PoD: IWMI. Anticipated partners: Solar Energy for Agricultural Resilience (SoLAR) Phase 2, financial institutions, and impact funds. MELIA: Monitoring, evaluation, and learning plans will be developed in early 2026 in cooperation with the S4I PMU and/or AoW‑5, and where needed will include baseline assessments and indicator tracking and reporting in line with Program and CGIAR guidelines.</t>
  </si>
  <si>
    <t xml:space="preserve">Country: India, Ethiopia, Zambia, Malawi, Nepal, Kenya, Nigeria</t>
  </si>
  <si>
    <t xml:space="preserve">Assumptions: financial partners maintain strong interest in climate-smart lending products; IWMI's data systems remain reliable and accessible for integration; CGIAR-wide coordination supports consistency of metrics and MRV standards; and supportive polic
Budget allocated to Partner - 5K</t>
  </si>
  <si>
    <t xml:space="preserve">A4P12.3: PoD name (Lead Center: IWMI): Water Tech Support to ImpactSF. PoD KPI: 10,000,000 – USD 10 million cumulative investment value influenced by the framework by the end of 2026. Suggested Disaggregation: To be determined. Indicator type: Other Output. Unit: USD leveraged for scaling through CGIAR influence, technical assistance, and/or advisory support.
PoD Description: Water Tech Support to ImpactSF will develop a Nature-Positive Investment Framework, integrating IWMI’s hydrological and climate data into the ImpactSF Finance Suite’s “Analyzer.” This framework will embed water-related metrics into climate-smart financial products, directly influencing the integration of nature-based solutions (NbS) in funding mechanisms. Focused on water efficiency, biodiversity, and resilience outcomes, the framework will be co-developed with ImpactSF partners to guide at least one financial institution in Ethiopia, Kenya, Nigeria, Nepal, India, Zambia, and Malawi. It will provide a solid foundation for investors, DFIs, and banks to utilize these NbS metrics for designing investment products targeting sustainable, nature-positive agrifood systems. Accountable Center leading this PoD: IWMI. Anticipated partners: ImpactSF, financial institutions, and impact funds. MELIA: Monitoring, evaluation, and learning plans will be developed in early 2026 in cooperation with the S4I PMU and/or AoW‑5, and where needed will include baseline assessments and indicator tracking and reporting in line with Program and CGIAR guidelines.</t>
  </si>
  <si>
    <t xml:space="preserve">Country: Zambia, India, Kenya, Ethiopia, Malawi, Nigeria, Nepal</t>
  </si>
  <si>
    <t xml:space="preserve">Assumptions: ImpactSF partners remain committed to co-developing and applying nature-positive metrics; IWMI maintains technical leadership on MRV and data analytics; and the co-created investment framework aligns with the reporting and fiduciary requireme
Budget allocated to Partner - 5,150 US$</t>
  </si>
  <si>
    <t xml:space="preserve">A5P3.3: PoD name: Scaling Forward: CAPSHA for Change. Lead Center: IWMI. PoD KPI: 5 – Five CGIAR programs/accelerators institutionalizing scaling training and tools by end-2026. Suggested Disaggregation: 3 programs (60%) and 2 accelerators (40%). Indicator type: Capacity Sharing. Unit: Number of CGIAR programs/accelerators.
PoD Description: This PoD institutionalizes the CGIAR Scaling Training and Certification Framework within CGIAR’s Capacity Development and HR systems to embed scaling science and adaptive management as part of organizational practice. Building on 2025 pilots, it develops modules on portfolio management and scaling tools and delivers them through the Scaling Hub Network. The PoD ensures sustained learning, coherence, and integration of scaling competencies across CGIAR programs and accelerators. By 2026, 5 CGIAR programs or accelerators will have embedded scaling and adaptive management tools within HR and capacity systems. Accountable Center: IWMI. Partners: CIP and the CGIAR System Organization. Partner modality: In-kind collaboration with HR and learning units for curriculum integration and training;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</si>
  <si>
    <t xml:space="preserve">Country: India, Ethiopia, Nigeria, Kenya</t>
  </si>
  <si>
    <t xml:space="preserve">Sustained institutional support from CGIAR HR and Capacity Development units; strong coordination through AoW 5 CoA 5.5; and continued engagement of Scaling Hub Network partners to ensure training relevance and quality.</t>
  </si>
  <si>
    <t xml:space="preserve">A5P6.1: PoD name: Scaling Hub - South Asia. Lead Center: IWMI. PoD KPI: 2,000,000 – Two million U.S. dollars co-funding and scaling finance mobilized through Hub partnerships by the end of 2026, supporting innovation scaling in national agrifood systems across Bangladesh, India, Nepal, and Uzbekistan. Suggested Disaggregation: 800,000 women and youth (40%), 200,000 marginalized groups (10%), 1,000,000 other individuals (50%). Indicator type: Other Output; Unit: USD leveraged for scaling through CGIAR influence, technical assistance, and/or advisory support.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governments; private sector actors; donor agencies. MELIA: Monitoring, evaluation, and learning plans will be developed in early 2026 in cooperation with the S4I PMU and/or AoW‑5, and where needed will include baseline assessments and indicator tracking and reporting in line with Program and CGIAR guidelines.</t>
  </si>
  <si>
    <t xml:space="preserve">Country: Nepal, Bangladesh, India</t>
  </si>
  <si>
    <t xml:space="preserve">Continued donor and government support for regional scaling efforts; effective coordination between CGIAR Centers operating in South and Central Asia; and alignment of Hub activities with ongoing national investment frameworks.</t>
  </si>
  <si>
    <t xml:space="preserve">A5P6.3: PoD name: Scaling Hub - South Asia. Lead Center: IWMI. PoD KPI: 75 – Seventy-five national and regional partner organizations (ministries, universities, NGOs, and agri-startups) across Bangladesh, India, Nepal, and Uzbekistan applying scaling science frameworks and responsible scaling practices through the South Asia Hub by the end of 2026. Suggested Disaggregation: 30 women and youth (40%), 7 marginalized groups (10%), 38 other individuals (50%). Indicator type: Capacity Sharing; Unit: Number of Organizations.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and regional investors. MELIA: Monitoring, evaluation, and learning plans will be developed in early 2026 in cooperation with the S4I PMU and/or AoW‑5, and where needed will include baseline assessments and indicator tracking and reporting in line with Program and CGIAR guidelines.</t>
  </si>
  <si>
    <t xml:space="preserve">Stable regional coordination through IWMI Nepal; strong institutional demand for scaling training; active participation from CGIAR Centers and partner organizations in Bangladesh, India, Nepal, and Uzbekistan.</t>
  </si>
  <si>
    <t xml:space="preserve">A5P6.4: PoD name: Scaling Hub - South Asia. Lead Center: IWMI. PoD KPI: 200 – Two hundred individuals (120 men, 80 women) from Bangladesh, India, Nepal, and Uzbekistan engaged in four South–South learning events on adaptive MELIA, scaling finance, and policy engagement under AoW 5 CoA 5.5 by the end of 2026. Suggested Disaggregation: 100 men (50%), 100 women (50%). Indicator type: Capacity Sharing; Unit: Number of individuals.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and regional investors. MELIA: Monitoring, evaluation, and learning plans will be developed in early 2026 in cooperation with the S4I PMU and/or AoW‑5, and where needed will include baseline assessments and indicator tracking and reporting in line with Program and CGIAR guidelines.</t>
  </si>
  <si>
    <t xml:space="preserve">Country: Nepal, India, Bangladesh</t>
  </si>
  <si>
    <t xml:space="preserve">Sustained collaboration among CGIAR Hubs; active participation from national partners; and donor support for regional knowledge exchange and adaptive management learning</t>
  </si>
  <si>
    <t xml:space="preserve">HLO 5.5.2: Insights for CGIAR scaling success through impact assessments</t>
  </si>
  <si>
    <t xml:space="preserve">A5P6.2: PoD name: Scaling Hub - South Asia. Lead Center: IWMI. PoD KPI: 10 – Ten CGIAR and partner projects across Bangladesh, India, Nepal, and Uzbekistan apply adaptive management and scaling frameworks generated by the South Asia Hub by the end of 2026. Suggested Disaggregation: 4,000 women and youth (40%), 1,000 marginalized groups (10%), 5,000 other individuals (50%). Indicator type: Capacity Sharing; Unit: Number of CGIAR programs, accelerators or projects.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regional investors. MELIA: Monitoring, evaluation, and learning plans will be developed in early 2026 in cooperation with the S4I PMU and/or AoW‑5, and where needed will include baseline assessments and indicator tracking and reporting in line with Program and CGIAR guidelines.</t>
  </si>
  <si>
    <t xml:space="preserve">Continued funding and institutional support for the South Asia Hub; strong collaboration among Centers and national partners in Bangladesh, India, Nepal, and Uzbekistan; and demand for adaptive scaling tools to strengthen investment planning and delivery.</t>
  </si>
  <si>
    <t xml:space="preserve">SP10</t>
  </si>
  <si>
    <t xml:space="preserve">1.4.3: Solutions for inclusive leadership </t>
  </si>
  <si>
    <t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t>
  </si>
  <si>
    <t xml:space="preserve">Country: India, Honduras</t>
  </si>
  <si>
    <t xml:space="preserve">Collaborating partners, non-contracted: Foundation for Ecological Security; International Coffee Organization</t>
  </si>
  <si>
    <t xml:space="preserve">Gender Equality and Inclusion</t>
  </si>
  <si>
    <t xml:space="preserve">Scoping study and cross-country analysis of social inclusion/exclusion dynamics, identifying successful models (solutions) and mechanisms for integrating marginalized women, and producing evidence-based recommendations co-validated with decision-makers to inform future interventions.</t>
  </si>
  <si>
    <t xml:space="preserve">Country: Honduras, India</t>
  </si>
  <si>
    <t xml:space="preserve">Evaluation report documenting good practices and lessons learned from the Foundation for Ecological Security’s women’s leadership programme in India </t>
  </si>
  <si>
    <t xml:space="preserve">Scoping study with CSOs on women's voice and leadership in biodiversity action - compilation of effective strategies of grassroots women's organization in biodiversity action, to inform the mid-term review of the Gender Plan of Action of the Convention on Biological Diversity.</t>
  </si>
  <si>
    <t xml:space="preserve">Country: India, Guatemala</t>
  </si>
  <si>
    <t xml:space="preserve">Collaborating partners, non-contracted: Foundation for Ecological Security, Associacion ASORECH, Associacion CDRO; Convention on Biological Diversity's Women's Caucus; Foundation for Ecological Security</t>
  </si>
  <si>
    <t xml:space="preserve">Data collection on corollary outcomes of women's leadership in two countries and analysis of cases of mechanisms promoting women's leadership in agroecology/biodiversity/climate action. </t>
  </si>
  <si>
    <t xml:space="preserve">Country: Guatemala, India</t>
  </si>
  <si>
    <t xml:space="preserve">1.1.2: Interventions for addressing restrictive norms</t>
  </si>
  <si>
    <t xml:space="preserve">Gender responsive value chain, market and enterprise assessments: evidence to guide equitable value-chain interventions and policy strategies for inclusive enterprise development</t>
  </si>
  <si>
    <t xml:space="preserve">Pilot models for inclusive nutrition-focused enterprises co-designed with women and youth </t>
  </si>
  <si>
    <t xml:space="preserve">4,000 USD will go to a partner once identified.</t>
  </si>
  <si>
    <t xml:space="preserve">2.3.1: Learning resources </t>
  </si>
  <si>
    <t xml:space="preserve">Contextualised GESI sensitization training package for farmers and communities on at least one priority theme (e.g. GBV, heat stress, empowerment, voice and leadership) developed, and finalized for use in India</t>
  </si>
  <si>
    <t xml:space="preserve">6,000 USD will go to a partner, but partners not identified yet.</t>
  </si>
  <si>
    <t xml:space="preserve">Published paper on impact of government programs on women's incomes and nutrition in India</t>
  </si>
  <si>
    <t xml:space="preserve">Evidence synthesis on one key GESI indicator (e.g. women's employment and wages; impact of government programs on women's incomes and nutrition)
</t>
  </si>
  <si>
    <t xml:space="preserve">1.3.2: Financial and extension systems for resources and livelihoods </t>
  </si>
  <si>
    <t xml:space="preserve">Impacts of picture-based crop insurance and credit on women's livelihoods, resilience, empowerment, and experience of intimate partner violence in India (RCT): discussion paper and presentation</t>
  </si>
  <si>
    <t xml:space="preserve">Collaborating partners, non-contracted: Dvara E-registry</t>
  </si>
  <si>
    <t xml:space="preserve">In-depth qualitative case studies that build theory and refine research instruments by identifying critical variables and causal pathways shaping participation, leadership and empowerment</t>
  </si>
  <si>
    <t xml:space="preserve">Collaborating partners, non-contracted: Rajasthan Unorganized Worker’s Union; Samaj Parivartan Shakti Sangathan; PRADAN; SEWA; Wageningen University and Research Centre</t>
  </si>
  <si>
    <t xml:space="preserve">Collaborating partner, non-contracted: Department Mission Shakti, Odisha</t>
  </si>
  <si>
    <t xml:space="preserve">1.2.2: Performance and cost effectiveness of socio-technical bundles</t>
  </si>
  <si>
    <t xml:space="preserve">Methodological and technical deliverables including STIBs evaluation toolkit and digital monitoring platform</t>
  </si>
  <si>
    <t xml:space="preserve">Staff FTE and operational cost for the platform; 20,000 of this to go to another partner when selected. 60,000 through partners already identified.</t>
  </si>
  <si>
    <t xml:space="preserve">2.2.2: Policy engagement and outreach for equality, youth, and resilience</t>
  </si>
  <si>
    <t xml:space="preserve">Published technical report that documents action research on how evidence informs policy decisions in India</t>
  </si>
  <si>
    <t xml:space="preserve">20,000 USD goes to CSA</t>
  </si>
  <si>
    <t xml:space="preserve">Policy dialogues with relevant stakeholders for dissemination of findings from the action research on evidence to policy and determining future learning needs</t>
  </si>
  <si>
    <t xml:space="preserve"> Number of stakeholders participating in policy dialogue</t>
  </si>
  <si>
    <t xml:space="preserve">Staff FTE and workshop; 20,000 USD goes to CSA</t>
  </si>
  <si>
    <t xml:space="preserve">2.2.3: Co-design with Science Programs and Partners for integrating evidence-based solutions for equality, youth, resilience, and nutrition</t>
  </si>
  <si>
    <t xml:space="preserve">Policy brief on causal pathways for evidence to policy</t>
  </si>
  <si>
    <t xml:space="preserve">SP11</t>
  </si>
  <si>
    <t xml:space="preserve">HLO 3.1.4: CapSha SSTC engagmenents</t>
  </si>
  <si>
    <t xml:space="preserve">CapSha actively supports the planning, implementation and learning from key SSTC engagements, including SSTC initiatives with Brazil (Embrapa), China (CAAS) and India (ICAR), targeting African regional and national agricultural research organisations</t>
  </si>
  <si>
    <t xml:space="preserve">Country: Kenya, Ethiopia, Nigeria, China, Brazil, India</t>
  </si>
  <si>
    <t xml:space="preserve">Coordination of CAAS-Africa SSTCs</t>
  </si>
  <si>
    <t xml:space="preserve">Capacity Sharing</t>
  </si>
  <si>
    <t xml:space="preserve">Facilitate connections between partners and organize and convene meetings and workshops. Support identification and prioritization of capacity gaps, training needs, and scaling-ready innovations across countries and institutions.</t>
  </si>
  <si>
    <t xml:space="preserve">Coordinate Embrapa-Africa SSTCs</t>
  </si>
  <si>
    <t xml:space="preserve">Coordinate the India–Africa collaboration track through ISSCA and DAKSHIN platforms.</t>
  </si>
  <si>
    <t xml:space="preserve">SP12</t>
  </si>
  <si>
    <t xml:space="preserve">HLO 1.1.2 Standards-compliant FAIR science data collection tools </t>
  </si>
  <si>
    <t xml:space="preserve">CIMMYT 6: Number of digital tools developed to collect FAIR-compliant data with standardized metadata and interoperability.</t>
  </si>
  <si>
    <t xml:space="preserve">Country: Bangladesh, Ethiopia, Kenya, India</t>
  </si>
  <si>
    <t xml:space="preserve">"Assumptions: 1. All centers have a budget allocated for collaboration. 2. Each center has an active representative to implement. 
Risk: There is a large gap between what the centers need and what the science programs need."</t>
  </si>
  <si>
    <t xml:space="preserve">Digital Transformation</t>
  </si>
  <si>
    <t xml:space="preserve">HLO 1.1.6 &amp; 1.2.6 Training on inclusive and ethical FAIR data, AI, and digital solution practices</t>
  </si>
  <si>
    <t xml:space="preserve">CIMMYT 5: Number of individuals trained on ethical and inclusive practices for FAIR data and AI in scientific domains (Training Cohort &amp; Adoption Monitoring). 
</t>
  </si>
  <si>
    <t xml:space="preserve">Country: Mexico, Kenya, Philippines, India</t>
  </si>
  <si>
    <t xml:space="preserve">HLO 1.2.3 Standards-compliant  FAIR data corpus </t>
  </si>
  <si>
    <t xml:space="preserve">CIMMYT 4: Number of datasets contributed by different  Science Programs and Centers are curated or produced under FAIR and standard-compliant protocols in scientific domains.
</t>
  </si>
  <si>
    <t xml:space="preserve">Country: India, Kenya, Mexico, Philippines</t>
  </si>
  <si>
    <t xml:space="preserve">HLO 1.3.8 &amp; 1.4.8 Governance,  incentives for data &amp; digital  management culture change </t>
  </si>
  <si>
    <t xml:space="preserve">CIMMYT 1: Number of strategies or frameworks developed to govern and incentivize data and digital management in scientific domains. </t>
  </si>
  <si>
    <t xml:space="preserve">Country: Mexico, Philippines, India, Kenya</t>
  </si>
  <si>
    <t xml:space="preserve">CIMMYT 2:  Number of strategies or frameworks (RACI matrix) developed to define and align roles and responsibilities across the data lifecycle.</t>
  </si>
  <si>
    <t xml:space="preserve">Country: Kenya, Mexico, Philippines, India</t>
  </si>
  <si>
    <t xml:space="preserve">HLO 2.1.1: Research integrates AI analytics and digital technologies to enhance modeling and evidence generation.​</t>
  </si>
  <si>
    <t xml:space="preserve">CIMMYT 7: Number of Wheat breeding research outputs integrated with AI-powered analytics.</t>
  </si>
  <si>
    <t xml:space="preserve">Country: Bangladesh, Kenya, Ethiopia, India</t>
  </si>
  <si>
    <t xml:space="preserve">Assumptions: 1. All logistics (pilot, drone/service provider) fully in place by mid-January for India and August for Africa. 2. W3 Google project data analysis infrastructure in place. Risks: Ethiopia infrastructure in place. </t>
  </si>
  <si>
    <t xml:space="preserve">ICARDA 8: Number of guidelines on implementing the Privacy &amp; Consent Kit in data collection and management activities produced.</t>
  </si>
  <si>
    <t xml:space="preserve">Country: Egypt, India</t>
  </si>
  <si>
    <t xml:space="preserve">Most of the budget will be dedicated to internal consultations, coordination meetings, and the preparation of policies and SOPs required to define roles across the data lifecycle. Additional resources will support harmonizing data practices across ICARDA’</t>
  </si>
  <si>
    <t xml:space="preserve">ICARDA 7: Number of Data Ownership and Stewardship RACI documents produced.</t>
  </si>
  <si>
    <t xml:space="preserve">ICARDA 6: Number of SOPs, knowledge products, reports, scoping studies produced  to operationalize the digital innovation nodes.</t>
  </si>
  <si>
    <t xml:space="preserve">ICARDA 5: Number of APIs developed for water information dissemination to stakeholders.</t>
  </si>
  <si>
    <t xml:space="preserve">Country: India, Egypt, Morocco</t>
  </si>
  <si>
    <t xml:space="preserve">Budget utilization will cover the staff time of digital scientists to design and implement the deep-learning–based  algorithm, integrating multi-temporal RS and historical climate data. It will also support operational costs for cloud servers, data acquis</t>
  </si>
  <si>
    <t xml:space="preserve">ICARDA 4: Number of Web Based Ag water Information Platforms deployed.</t>
  </si>
  <si>
    <t xml:space="preserve">Budget utilization will cover the staff time of digital scientists to design and implement the deep-learning–based  algorithm, integrating multi-temporal RS and historical climate data on water management issues in the global drylands. It will also suppor</t>
  </si>
  <si>
    <t xml:space="preserve">ICARDA 3: Number of  operational algorithms included on CIS platforms</t>
  </si>
  <si>
    <t xml:space="preserve">Budget utilization will cover the hiring of specialized consultants to design and implement the deep-learning–based drought forecasting algorithm, integrating multi-temporal RS and historical climate data. It will also support operational costs for cloud </t>
  </si>
  <si>
    <t xml:space="preserve">HLO 2.1.5 Advisory products use AI language models to improve relevance and user engagement.</t>
  </si>
  <si>
    <t xml:space="preserve">ICARDA 1: Number of  AI-enabled DCAS (Dgital climate Advisory Systems) customized for  Morocco, Egypt and India developed.</t>
  </si>
  <si>
    <t xml:space="preserve">Country: India, Egypt</t>
  </si>
  <si>
    <t xml:space="preserve">The allocated USD 45,000 will support the continued development of the GeoAgro platform to operationalize AI-enabled DCAS customized for Morocco, Egypt, and India. This requires hiring software developers to build and integrate the new country-specific fe</t>
  </si>
  <si>
    <t xml:space="preserve">HLO 2.1.6 Capacity sharing programs use AI-powered learning platforms to enhance reach and engagement.</t>
  </si>
  <si>
    <t xml:space="preserve">ICARDA 2: Number of people trained on using the AI-enabled DCAS.</t>
  </si>
  <si>
    <t xml:space="preserve">The USD 40,000 budget will support the design and delivery of comprehensive ToT programs on the AI-enabled DCAS for experts, farmers, and policymakers across the three target countries. It will cover training materials, expert facilitation, digital infras</t>
  </si>
  <si>
    <t xml:space="preserve">HLO 3.2.2 &amp; 3.3.2: Future case scenarios identified for digital transformation in FWL systems in addressing context-specific challenges and opportunities.</t>
  </si>
  <si>
    <t xml:space="preserve">ICARDA 10: Number of synthesis papers produced on on Frontier Digital Innovations and emerging digital technologies with potential towards Climate Information Systems, assessing applications, investment readiness, and ethical implications through systematic horizon scanning.</t>
  </si>
  <si>
    <t xml:space="preserve">Most of the budget will be dedicated to conducting a comprehensive situation analysis, including an intensive literature review, stakeholder consultations, and on-the-ground assessments. These activities are resource- and time-intensive, requiring special</t>
  </si>
  <si>
    <t xml:space="preserve">ICARDA 9: Number of  Synthesis papers produced on evaluating emerging digital technologies relevant to MRV  of C seqestration towards C trading and Low Emisions Development,  in the Global Drylands.</t>
  </si>
  <si>
    <t xml:space="preserve">HLO 4.1.1 Frameworks, methods, and guidelines to catalyze adoption of responsible and inclusive digital and data innovations across FLW systems</t>
  </si>
  <si>
    <t xml:space="preserve">ICARDA 12: Number of OS Algorithms  created and launched</t>
  </si>
  <si>
    <t xml:space="preserve">HLO 4.1.2 Robust, secure and flexible foundational digital infrastructure &amp; sustainable operating model across centers and hubs</t>
  </si>
  <si>
    <t xml:space="preserve">ICARDA 11: Number of  GEE Ui and  created</t>
  </si>
  <si>
    <t xml:space="preserve">HLO 4.2.6 AI-based Inclusive digital products/Innovations co-created in partnership with the digital innovation nodes​</t>
  </si>
  <si>
    <t xml:space="preserve">ICARDA 13: The number of new digital innovation nodes (hubs) created.</t>
  </si>
  <si>
    <t xml:space="preserve">The budget will support the establishment of a Living Lab (LL) demonstrating advanced digital sensors, IoT devices, drones, and proximal sensing technologies for high-efficiency dryland agriculture. Co-funding from several bilateral projects will compleme</t>
  </si>
  <si>
    <t xml:space="preserve">HLO 1.1.1 Common metadata and science data standards </t>
  </si>
  <si>
    <t xml:space="preserve">ICRISAT 9: Number of datasets curated or produced under FAIR and standard-compliant protocols in scientific domains.</t>
  </si>
  <si>
    <t xml:space="preserve">Assumes successful collection and harmonization of advisory datasets, crop calendars, and decision rules from national and state partners. Risks include incomplete historical datasets, inconsistent formats, and delays in FAIR-compliant data cleaning</t>
  </si>
  <si>
    <t xml:space="preserve">ICRISAT 1: Number of environmental variables identified and standardised to build a prediction framework that integrates data from multiple sources and has a high interpretive power.</t>
  </si>
  <si>
    <t xml:space="preserve">Data standardization established as a pilot work for ICRISAT's data at the first stage (2026). The framework will be expanded in the following years.</t>
  </si>
  <si>
    <t xml:space="preserve">HLO 1.2.4 Scalable, searchable Data ecosystem with analytics pipelines </t>
  </si>
  <si>
    <t xml:space="preserve"> ICRISAT 2: Number of infrastructure setups deployed for data storage and processing in target domains.</t>
  </si>
  <si>
    <t xml:space="preserve">** The functional analytical tool may be designed as a web package.                                                  ** The direction of work is subject to changes depending upon the output at each level.</t>
  </si>
  <si>
    <t xml:space="preserve">ICRISAT 13:  Number of digital tools developed to collect FAIR-compliant data with standardized metadata and interoperability  to creat the backend master data.</t>
  </si>
  <si>
    <t xml:space="preserve">This budget provision is for customizing the tools in collaboration with partners. Assumes $20,000 allocation to partner University of Cambridge. </t>
  </si>
  <si>
    <t xml:space="preserve">HLO 2.1.4 Genebanks integrate AI-powered tools to improve germplasm management and access.</t>
  </si>
  <si>
    <t xml:space="preserve">ICRISAT 11: Number of dashboards for genebanks are deploying AI-powered tools to automate germplasm management and access.</t>
  </si>
  <si>
    <t xml:space="preserve">The budget provisioned for working with ICRISAT's Genebank data to develop the Gen AI tools. </t>
  </si>
  <si>
    <t xml:space="preserve">ICRISAT 12: Number of genebanks deploying AI-powered tools to automate germplasm management and access.</t>
  </si>
  <si>
    <t xml:space="preserve">ICRISAT 10 Number of genebanks deployed AI-powered tools to automate germplasm management and access.</t>
  </si>
  <si>
    <t xml:space="preserve">ICRISAT 8: Number of advisory services integrating agriculture-focused AI language models.</t>
  </si>
  <si>
    <t xml:space="preserve">Assumes stable multilingual LLM performance, integration support from partners, and smooth user testing with ≥5,000 farmers. Assumes $4000 allocation to partner Crea2Sol Pvt Ltd. </t>
  </si>
  <si>
    <t xml:space="preserve">ICRISAT 7: Number of advisory services integrating agriculture-focused AI language models.</t>
  </si>
  <si>
    <t xml:space="preserve">Assumes timely availability of climate and crop datasets and continuous partner engagement (ICAR, IITM,IMD,ILRI, CRIDA). Risks include delays in ML model development, limited compute access, and reliance on external forecast APIs and regulatory clearances</t>
  </si>
  <si>
    <t xml:space="preserve">HLO 3.1.1:  Probes of a wide range of AI and/or other novel digital solutions  to support system-level scenario analysis of digital frontier technology impacts for decision-makers.</t>
  </si>
  <si>
    <t xml:space="preserve">ICRISAT 3.1: Number of probes on AI and digital solution supporting system-level scenario analysis for decision-makers.</t>
  </si>
  <si>
    <t xml:space="preserve">The budget is provisioned to work with DTA team on AI co-scientist use case. Simultaneously, ICRISAT team will also working on ICRISAT's LLM use case.</t>
  </si>
  <si>
    <t xml:space="preserve">ICRISAT 3: Number of AI and digital solution probes supporting system-level scenario analysis for decision-makers.</t>
  </si>
  <si>
    <t xml:space="preserve">This will include one probe on analytical tools under Digital MRV</t>
  </si>
  <si>
    <t xml:space="preserve">IFPRI 3: Number of AI and digital solution probes supporting system-level scenario analysis for decision-makers.</t>
  </si>
  <si>
    <t xml:space="preserve">Country: India, Nigeria, Ghana, Senegal, China, Bangladesh, Malawi, Ethiopia, Egypt, Kenya, United States of America</t>
  </si>
  <si>
    <t xml:space="preserve">This activity assumes that we will have data enabled on AI use for some use cases and have access to these data through different sources. The major risks are that we may need to rely on secondary data which we might not be openly accessible, especially p</t>
  </si>
  <si>
    <t xml:space="preserve">IFPRI 4: Number of reports and other ICT materials produced with Future case scenarios identified for digital transformation in FWL systems in addressing context-specific challenges, and opportunities.</t>
  </si>
  <si>
    <t xml:space="preserve">Country: Malawi, Egypt, China, Nigeria, Ghana, India, United States of America, Ethiopia, Senegal, Bangladesh, Kenya</t>
  </si>
  <si>
    <t xml:space="preserve">IFPRI 6:  Number of individuals who received training on Robust, secure and flexible foundational digital infrastructure &amp; sustainable operating model.</t>
  </si>
  <si>
    <t xml:space="preserve">Country: Ethiopia, Malawi, Kenya, Nigeria, Ghana, Egypt, India, United States of America, Bangladesh, China, Senegal</t>
  </si>
  <si>
    <t xml:space="preserve">The package assumes IFPRI and CGIAR Centers will have the resources, collaboration, and technical capacity needed to maintain secure, scalable digital tools and strengthen skills in AI, data science, and digital product management. Key risks include inade</t>
  </si>
  <si>
    <t xml:space="preserve">HLO 4.2.5 Capacity building &amp; training packages on human-centric digital product design, development, sustainability, and business models. </t>
  </si>
  <si>
    <t xml:space="preserve">IFPRI 5: Number of individuals are capacitated on digital transformation.</t>
  </si>
  <si>
    <t xml:space="preserve">Country: Kenya, China, Nigeria, Egypt, Malawi, United States of America, Ethiopia, India, Senegal, Bangladesh, Ghana</t>
  </si>
  <si>
    <t xml:space="preserve">The package assumes IFPRI can access the necessary resources and expertise to engage meaningfully in CGIAR Digital Transformation COPs and adopt improved policies and capacities in data, AI, and inclusive digital transformation. Key risks include limited </t>
  </si>
  <si>
    <t xml:space="preserve">ILRI 2: Number of individuals trained on ethical and inclusive practices for FAIR data and AI in scientific domains.</t>
  </si>
  <si>
    <t xml:space="preserve">Country: Ethiopia, India, Thailand, The Socialist Republic of Viet Nam, Kenya</t>
  </si>
  <si>
    <t xml:space="preserve">Contingent upon centers willingness to share datasets and publish them with shared ownership.</t>
  </si>
  <si>
    <t xml:space="preserve">HLO 2.1.2 Decision support systems integrate a digital twin approach to enable real-time data use.</t>
  </si>
  <si>
    <t xml:space="preserve">ILRI 10: Number of Digital platforms tested that connects with sensors to track animal health, movement and heat stress</t>
  </si>
  <si>
    <t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t>
  </si>
  <si>
    <t xml:space="preserve">ILRI 9: Number of Conference papers/working papers capturing the innovation development produced.</t>
  </si>
  <si>
    <t xml:space="preserve">Completion is contingent upon the deliverable demonstrating results to a point where it can be published. </t>
  </si>
  <si>
    <t xml:space="preserve">ILRI 8: Number of operational platforms into which innovations have been integrated</t>
  </si>
  <si>
    <t xml:space="preserve">Successful completion depends on approval from IMD's AAS division for integrating this model into their platform. </t>
  </si>
  <si>
    <t xml:space="preserve">ILRI 7: Number of RAG pipelines, vector databases, ML models developed for GenAI powered agro-met advisories</t>
  </si>
  <si>
    <t xml:space="preserve">Successful completion is based on data quality being of acceptable standards and it being largely machine readable and not requiring transcription from physical to digital forms.</t>
  </si>
  <si>
    <t xml:space="preserve">ILRI 6: Number of curated datasets and knowledge products collated for preparing AI powered language models.</t>
  </si>
  <si>
    <t xml:space="preserve"> Number of datasets</t>
  </si>
  <si>
    <t xml:space="preserve">Successful completion assumes data is accessible in public domain without needing long approval process. $7,500 will be allocated to as yet unidentified partner. </t>
  </si>
  <si>
    <t xml:space="preserve">ILRI 24: Number of conference papers/technical reports/policy briefs on AgDX and DPI produced.</t>
  </si>
  <si>
    <t xml:space="preserve">Successful completion is contingent upon planned activities taking place so that data is available to create a conference paper. </t>
  </si>
  <si>
    <t xml:space="preserve">ILRI 21: Number of AgDX frameworks  improved and tested in two locations</t>
  </si>
  <si>
    <t xml:space="preserve">Successful completion is based on availability and accessibility of data needed to test AgDX as well as support from partners in the selected geographies. $6k will be allocated to TAC as partner contract.</t>
  </si>
  <si>
    <t xml:space="preserve">ILRI 20: Number of working papers on the pilot project study in India</t>
  </si>
  <si>
    <t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t>
  </si>
  <si>
    <t xml:space="preserve">ILRI 19: Number of working papers on DPI in Livestock</t>
  </si>
  <si>
    <t xml:space="preserve">Getting the necessary stakeholders to have the necessary buy-in and formalize partnership with the Agri Collaboratory (TAC). $5k will be allocated to TAC as partner contract.</t>
  </si>
  <si>
    <t xml:space="preserve">ILRI 18: Number of journal papers on the Digital Innovation Landscape in the Livestock Sector in India.</t>
  </si>
  <si>
    <t xml:space="preserve">Successful completion is based on all necessary data available. </t>
  </si>
  <si>
    <t xml:space="preserve">IRRI 14: Number of AI-based integrated frameworks developed to design behavioural experiments.</t>
  </si>
  <si>
    <t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t>
  </si>
  <si>
    <t xml:space="preserve">IRRI 6: Number of genebanks deploying AI-powered tools to automate germplasm management and access.</t>
  </si>
  <si>
    <t xml:space="preserve">Country: Philippines, Egypt, India</t>
  </si>
  <si>
    <t xml:space="preserve">Assumptions: Availability of high-quality genomic, phenotypic, and environmental data across centers, successful integration of genome–phenome datasets, reliable access to legacy trial data, consistent data standards among IRRI, ICARDA, and ICRISAT, adequate computational infrastructure for AI pipelines, strong collaboration across centers and regions, stakeholder willingness to adopt AI-driven tools, stable funding and technical support from the Digital Transformation Accelerator.
Risks: Data gaps or inconsistencies across genebanks, difficulties integrating heterogeneous genomic and phenotypic datasets, limited quality or completeness of legacy trial data, algorithmic errors leading to misleading trait predictions, insufficient capacity to validate AI-identified donors in field conditions, variable adoption of AI tools by breeding programs, technical constraints in scaling models across crops and environments, delayed cross-center coordination, challenges in maintaining data security and governance. 
Assumes $40k budget allocation to partners Google and Amazon. </t>
  </si>
  <si>
    <t xml:space="preserve">IRRI 11: Number of module toolkits developed and piloted.</t>
  </si>
  <si>
    <t xml:space="preserve">Country: Philippines, India</t>
  </si>
  <si>
    <t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t>
  </si>
  <si>
    <t xml:space="preserve">IWMI 8: Number of operational platforms enabling access, search, and analytics of scientific datasets to enhance water productivity.</t>
  </si>
  <si>
    <t xml:space="preserve">Country: India, Sri Lanka, South Africa</t>
  </si>
  <si>
    <t xml:space="preserve">"Low partner engagement or incomplete data submissions.
Complexity in harmonizing diverse innovation datasets.
Risk of underutilization if adoption by stakeholders is slow."</t>
  </si>
  <si>
    <t xml:space="preserve">WF 19:   Number of individuals who received training on  Scalable, searchable Data ecosystem with analytics pipelines as a part of  onboarding for genetic program.</t>
  </si>
  <si>
    <t xml:space="preserve">Country: India, Egypt, Bangladesh, Malaysia</t>
  </si>
  <si>
    <t xml:space="preserve">Budget delivery assumes timely coordination with CGIAR Digital Core teams, smooth adoption of CGIAR-wide Access, Consent, Privacy, and Responsible AI guidance, and availability of center personnel for RACI development, data curation, and training. Product</t>
  </si>
  <si>
    <t xml:space="preserve">HLO 4.1.3 Networks of digital innovation nodes &amp; hubs creating an ecosystem for inclusive and FAIR compliant digital and data innovations </t>
  </si>
  <si>
    <t xml:space="preserve">WF 16: Number of SOPs, knowledge products, reports, scoping studies produced to operationalize the digital innovation nodes.</t>
  </si>
  <si>
    <t xml:space="preserve">Country: The Socialist Republic of Viet Nam, India, Indonesia, Bangladesh, Malaysia, Philippines</t>
  </si>
  <si>
    <t xml:space="preserve">WF 15: Number of individuals who received training on digital and data science, AI and cloud computing for WorldFish staff and regional partners.</t>
  </si>
  <si>
    <t xml:space="preserve">Country: Egypt, Kenya, India, Bangladesh</t>
  </si>
</sst>
</file>

<file path=xl/styles.xml><?xml version="1.0" encoding="utf-8"?>
<styleSheet xmlns="http://schemas.openxmlformats.org/spreadsheetml/2006/main">
  <numFmts count="3">
    <numFmt numFmtId="164" formatCode="General"/>
    <numFmt numFmtId="165" formatCode="#,##0"/>
    <numFmt numFmtId="166" formatCode="#,##0.00"/>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s>
  <fills count="3">
    <fill>
      <patternFill patternType="none"/>
    </fill>
    <fill>
      <patternFill patternType="gray125"/>
    </fill>
    <fill>
      <patternFill patternType="solid">
        <fgColor rgb="FF4472C4"/>
        <bgColor rgb="FF6666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4472C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9" min="1" style="0" width="20"/>
    <col collapsed="false" customWidth="true" hidden="false" outlineLevel="0" max="10" min="10" style="0" width="14"/>
    <col collapsed="false" customWidth="true" hidden="false" outlineLevel="0" max="11" min="11" style="0" width="24"/>
    <col collapsed="false" customWidth="true" hidden="false" outlineLevel="0" max="12" min="12" style="0" width="20"/>
  </cols>
  <sheetData>
    <row r="1" customFormat="false" ht="35.05" hidden="false" customHeight="false" outlineLevel="0" collapsed="false">
      <c r="A1" s="1" t="s">
        <v>0</v>
      </c>
      <c r="B1" s="1" t="s">
        <v>1</v>
      </c>
      <c r="C1" s="1" t="s">
        <v>2</v>
      </c>
      <c r="D1" s="1" t="s">
        <v>3</v>
      </c>
      <c r="E1" s="1" t="s">
        <v>4</v>
      </c>
      <c r="F1" s="1" t="s">
        <v>5</v>
      </c>
      <c r="G1" s="1" t="s">
        <v>6</v>
      </c>
      <c r="H1" s="1" t="s">
        <v>7</v>
      </c>
      <c r="I1" s="1" t="s">
        <v>8</v>
      </c>
      <c r="J1" s="2" t="s">
        <v>9</v>
      </c>
      <c r="K1" s="2" t="s">
        <v>10</v>
      </c>
      <c r="L1" s="1" t="s">
        <v>11</v>
      </c>
      <c r="M1" s="1" t="s">
        <v>12</v>
      </c>
      <c r="N1" s="1" t="s">
        <v>13</v>
      </c>
    </row>
    <row r="2" customFormat="false" ht="15" hidden="false" customHeight="false" outlineLevel="0" collapsed="false">
      <c r="A2" s="3" t="s">
        <v>14</v>
      </c>
      <c r="B2" s="3" t="s">
        <v>15</v>
      </c>
      <c r="C2" s="3" t="s">
        <v>16</v>
      </c>
      <c r="D2" s="3" t="s">
        <v>17</v>
      </c>
      <c r="E2" s="3" t="s">
        <v>18</v>
      </c>
      <c r="F2" s="3" t="s">
        <v>19</v>
      </c>
      <c r="G2" s="3" t="s">
        <v>20</v>
      </c>
      <c r="H2" s="3" t="n">
        <v>1</v>
      </c>
      <c r="I2" s="4" t="n">
        <v>56496</v>
      </c>
      <c r="J2" s="5" t="n">
        <v>4</v>
      </c>
      <c r="K2" s="6" t="n">
        <f aca="false">IF(J2=0,0,I2/J2)</f>
        <v>14124</v>
      </c>
      <c r="L2" s="4"/>
      <c r="M2" s="3" t="s">
        <v>21</v>
      </c>
      <c r="N2" s="3" t="s">
        <v>22</v>
      </c>
    </row>
    <row r="3" customFormat="false" ht="15" hidden="false" customHeight="false" outlineLevel="0" collapsed="false">
      <c r="A3" s="3" t="s">
        <v>14</v>
      </c>
      <c r="B3" s="3" t="s">
        <v>15</v>
      </c>
      <c r="C3" s="3" t="s">
        <v>16</v>
      </c>
      <c r="D3" s="3" t="s">
        <v>23</v>
      </c>
      <c r="E3" s="3" t="s">
        <v>24</v>
      </c>
      <c r="F3" s="3" t="s">
        <v>25</v>
      </c>
      <c r="G3" s="3" t="s">
        <v>26</v>
      </c>
      <c r="H3" s="3" t="n">
        <v>1</v>
      </c>
      <c r="I3" s="4" t="n">
        <v>100000</v>
      </c>
      <c r="J3" s="5" t="n">
        <v>4</v>
      </c>
      <c r="K3" s="6" t="n">
        <f aca="false">IF(J3=0,0,I3/J3)</f>
        <v>25000</v>
      </c>
      <c r="L3" s="4"/>
      <c r="M3" s="3" t="s">
        <v>27</v>
      </c>
      <c r="N3" s="3" t="s">
        <v>22</v>
      </c>
    </row>
    <row r="4" customFormat="false" ht="15" hidden="false" customHeight="false" outlineLevel="0" collapsed="false">
      <c r="A4" s="3" t="s">
        <v>14</v>
      </c>
      <c r="B4" s="3" t="s">
        <v>15</v>
      </c>
      <c r="C4" s="3" t="s">
        <v>16</v>
      </c>
      <c r="D4" s="3" t="s">
        <v>23</v>
      </c>
      <c r="E4" s="3" t="s">
        <v>28</v>
      </c>
      <c r="F4" s="3" t="s">
        <v>29</v>
      </c>
      <c r="G4" s="3" t="s">
        <v>30</v>
      </c>
      <c r="H4" s="3" t="n">
        <v>100</v>
      </c>
      <c r="I4" s="4" t="n">
        <v>87060</v>
      </c>
      <c r="J4" s="5" t="n">
        <v>4</v>
      </c>
      <c r="K4" s="6" t="n">
        <f aca="false">IF(J4=0,0,I4/J4)</f>
        <v>21765</v>
      </c>
      <c r="L4" s="4"/>
      <c r="M4" s="3" t="s">
        <v>31</v>
      </c>
      <c r="N4" s="3" t="s">
        <v>22</v>
      </c>
    </row>
    <row r="5" customFormat="false" ht="15" hidden="false" customHeight="false" outlineLevel="0" collapsed="false">
      <c r="A5" s="3" t="s">
        <v>14</v>
      </c>
      <c r="B5" s="3" t="s">
        <v>15</v>
      </c>
      <c r="C5" s="3" t="s">
        <v>32</v>
      </c>
      <c r="D5" s="3" t="s">
        <v>33</v>
      </c>
      <c r="E5" s="3" t="s">
        <v>34</v>
      </c>
      <c r="F5" s="3" t="s">
        <v>29</v>
      </c>
      <c r="G5" s="3" t="s">
        <v>35</v>
      </c>
      <c r="H5" s="3" t="n">
        <v>40</v>
      </c>
      <c r="I5" s="4" t="n">
        <v>64500</v>
      </c>
      <c r="J5" s="5" t="n">
        <v>7</v>
      </c>
      <c r="K5" s="6" t="n">
        <f aca="false">IF(J5=0,0,I5/J5)</f>
        <v>9214.28571428571</v>
      </c>
      <c r="L5" s="4"/>
      <c r="M5" s="3" t="s">
        <v>36</v>
      </c>
      <c r="N5" s="3" t="s">
        <v>22</v>
      </c>
    </row>
    <row r="6" customFormat="false" ht="15" hidden="false" customHeight="false" outlineLevel="0" collapsed="false">
      <c r="A6" s="3" t="s">
        <v>14</v>
      </c>
      <c r="B6" s="3" t="s">
        <v>15</v>
      </c>
      <c r="C6" s="3" t="s">
        <v>32</v>
      </c>
      <c r="D6" s="3" t="s">
        <v>33</v>
      </c>
      <c r="E6" s="3" t="s">
        <v>37</v>
      </c>
      <c r="F6" s="3" t="s">
        <v>29</v>
      </c>
      <c r="G6" s="3" t="s">
        <v>38</v>
      </c>
      <c r="H6" s="3" t="n">
        <v>40</v>
      </c>
      <c r="I6" s="4" t="n">
        <v>58500</v>
      </c>
      <c r="J6" s="5" t="n">
        <v>9</v>
      </c>
      <c r="K6" s="6" t="n">
        <f aca="false">IF(J6=0,0,I6/J6)</f>
        <v>6500</v>
      </c>
      <c r="L6" s="4"/>
      <c r="M6" s="3" t="s">
        <v>39</v>
      </c>
      <c r="N6" s="3" t="s">
        <v>22</v>
      </c>
    </row>
    <row r="7" customFormat="false" ht="15" hidden="false" customHeight="false" outlineLevel="0" collapsed="false">
      <c r="A7" s="3" t="s">
        <v>14</v>
      </c>
      <c r="B7" s="3" t="s">
        <v>40</v>
      </c>
      <c r="C7" s="3" t="s">
        <v>41</v>
      </c>
      <c r="D7" s="3" t="s">
        <v>42</v>
      </c>
      <c r="E7" s="3" t="s">
        <v>43</v>
      </c>
      <c r="F7" s="3" t="s">
        <v>44</v>
      </c>
      <c r="G7" s="3" t="s">
        <v>45</v>
      </c>
      <c r="H7" s="3" t="n">
        <v>3</v>
      </c>
      <c r="I7" s="4" t="n">
        <v>368177</v>
      </c>
      <c r="J7" s="5" t="n">
        <v>2</v>
      </c>
      <c r="K7" s="6" t="n">
        <f aca="false">IF(J7=0,0,I7/J7)</f>
        <v>184088.5</v>
      </c>
      <c r="L7" s="4"/>
      <c r="M7" s="3" t="s">
        <v>46</v>
      </c>
      <c r="N7" s="3" t="s">
        <v>22</v>
      </c>
    </row>
    <row r="8" customFormat="false" ht="15" hidden="false" customHeight="false" outlineLevel="0" collapsed="false">
      <c r="A8" s="3" t="s">
        <v>14</v>
      </c>
      <c r="B8" s="3" t="s">
        <v>47</v>
      </c>
      <c r="C8" s="3" t="s">
        <v>41</v>
      </c>
      <c r="D8" s="3" t="s">
        <v>48</v>
      </c>
      <c r="E8" s="3" t="s">
        <v>49</v>
      </c>
      <c r="F8" s="3" t="s">
        <v>44</v>
      </c>
      <c r="G8" s="3" t="s">
        <v>50</v>
      </c>
      <c r="H8" s="3" t="n">
        <v>4</v>
      </c>
      <c r="I8" s="4" t="n">
        <v>90000</v>
      </c>
      <c r="J8" s="5" t="n">
        <v>3</v>
      </c>
      <c r="K8" s="6" t="n">
        <f aca="false">IF(J8=0,0,I8/J8)</f>
        <v>30000</v>
      </c>
      <c r="L8" s="4"/>
      <c r="M8" s="3" t="s">
        <v>51</v>
      </c>
      <c r="N8" s="3" t="s">
        <v>22</v>
      </c>
    </row>
    <row r="9" customFormat="false" ht="15" hidden="false" customHeight="false" outlineLevel="0" collapsed="false">
      <c r="A9" s="3" t="s">
        <v>14</v>
      </c>
      <c r="B9" s="3" t="s">
        <v>47</v>
      </c>
      <c r="C9" s="3" t="s">
        <v>41</v>
      </c>
      <c r="D9" s="3" t="s">
        <v>48</v>
      </c>
      <c r="E9" s="3" t="s">
        <v>52</v>
      </c>
      <c r="F9" s="3" t="s">
        <v>44</v>
      </c>
      <c r="G9" s="3" t="s">
        <v>53</v>
      </c>
      <c r="H9" s="3" t="n">
        <v>3</v>
      </c>
      <c r="I9" s="4" t="n">
        <v>70000</v>
      </c>
      <c r="J9" s="5" t="n">
        <v>2</v>
      </c>
      <c r="K9" s="6" t="n">
        <f aca="false">IF(J9=0,0,I9/J9)</f>
        <v>35000</v>
      </c>
      <c r="L9" s="4"/>
      <c r="M9" s="3" t="s">
        <v>54</v>
      </c>
      <c r="N9" s="3" t="s">
        <v>22</v>
      </c>
    </row>
    <row r="10" customFormat="false" ht="15" hidden="false" customHeight="false" outlineLevel="0" collapsed="false">
      <c r="A10" s="3" t="s">
        <v>14</v>
      </c>
      <c r="B10" s="3" t="s">
        <v>47</v>
      </c>
      <c r="C10" s="3" t="s">
        <v>41</v>
      </c>
      <c r="D10" s="3" t="s">
        <v>48</v>
      </c>
      <c r="E10" s="3" t="s">
        <v>55</v>
      </c>
      <c r="F10" s="3" t="s">
        <v>44</v>
      </c>
      <c r="G10" s="3" t="s">
        <v>56</v>
      </c>
      <c r="H10" s="3" t="n">
        <v>5</v>
      </c>
      <c r="I10" s="4" t="n">
        <v>60000</v>
      </c>
      <c r="J10" s="5" t="n">
        <v>2</v>
      </c>
      <c r="K10" s="6" t="n">
        <f aca="false">IF(J10=0,0,I10/J10)</f>
        <v>30000</v>
      </c>
      <c r="L10" s="4"/>
      <c r="M10" s="3" t="s">
        <v>57</v>
      </c>
      <c r="N10" s="3" t="s">
        <v>22</v>
      </c>
    </row>
    <row r="11" customFormat="false" ht="15" hidden="false" customHeight="false" outlineLevel="0" collapsed="false">
      <c r="A11" s="3" t="s">
        <v>14</v>
      </c>
      <c r="B11" s="3" t="s">
        <v>47</v>
      </c>
      <c r="C11" s="3" t="s">
        <v>41</v>
      </c>
      <c r="D11" s="3" t="s">
        <v>48</v>
      </c>
      <c r="E11" s="3" t="s">
        <v>58</v>
      </c>
      <c r="F11" s="3" t="s">
        <v>44</v>
      </c>
      <c r="G11" s="3" t="s">
        <v>59</v>
      </c>
      <c r="H11" s="3" t="n">
        <v>4</v>
      </c>
      <c r="I11" s="4" t="n">
        <v>70000</v>
      </c>
      <c r="J11" s="5" t="n">
        <v>2</v>
      </c>
      <c r="K11" s="6" t="n">
        <f aca="false">IF(J11=0,0,I11/J11)</f>
        <v>35000</v>
      </c>
      <c r="L11" s="4"/>
      <c r="M11" s="3" t="s">
        <v>60</v>
      </c>
      <c r="N11" s="3" t="s">
        <v>22</v>
      </c>
    </row>
    <row r="12" customFormat="false" ht="15" hidden="false" customHeight="false" outlineLevel="0" collapsed="false">
      <c r="A12" s="3" t="s">
        <v>14</v>
      </c>
      <c r="B12" s="3" t="s">
        <v>47</v>
      </c>
      <c r="C12" s="3" t="s">
        <v>41</v>
      </c>
      <c r="D12" s="3" t="s">
        <v>48</v>
      </c>
      <c r="E12" s="3" t="s">
        <v>61</v>
      </c>
      <c r="F12" s="3" t="s">
        <v>44</v>
      </c>
      <c r="G12" s="3" t="s">
        <v>62</v>
      </c>
      <c r="H12" s="3" t="n">
        <v>50</v>
      </c>
      <c r="I12" s="4" t="n">
        <v>90000</v>
      </c>
      <c r="J12" s="5" t="n">
        <v>3</v>
      </c>
      <c r="K12" s="6" t="n">
        <f aca="false">IF(J12=0,0,I12/J12)</f>
        <v>30000</v>
      </c>
      <c r="L12" s="4"/>
      <c r="M12" s="3" t="s">
        <v>63</v>
      </c>
      <c r="N12" s="3" t="s">
        <v>22</v>
      </c>
    </row>
    <row r="13" customFormat="false" ht="15" hidden="false" customHeight="false" outlineLevel="0" collapsed="false">
      <c r="A13" s="3" t="s">
        <v>14</v>
      </c>
      <c r="B13" s="3" t="s">
        <v>47</v>
      </c>
      <c r="C13" s="3" t="s">
        <v>41</v>
      </c>
      <c r="D13" s="3" t="s">
        <v>48</v>
      </c>
      <c r="E13" s="3" t="s">
        <v>64</v>
      </c>
      <c r="F13" s="3" t="s">
        <v>44</v>
      </c>
      <c r="G13" s="3" t="s">
        <v>65</v>
      </c>
      <c r="H13" s="3" t="n">
        <v>100</v>
      </c>
      <c r="I13" s="4" t="n">
        <v>90000</v>
      </c>
      <c r="J13" s="5" t="n">
        <v>3</v>
      </c>
      <c r="K13" s="6" t="n">
        <f aca="false">IF(J13=0,0,I13/J13)</f>
        <v>30000</v>
      </c>
      <c r="L13" s="4"/>
      <c r="M13" s="3" t="s">
        <v>66</v>
      </c>
      <c r="N13" s="3" t="s">
        <v>22</v>
      </c>
    </row>
    <row r="14" customFormat="false" ht="15" hidden="false" customHeight="false" outlineLevel="0" collapsed="false">
      <c r="A14" s="3" t="s">
        <v>14</v>
      </c>
      <c r="B14" s="3" t="s">
        <v>47</v>
      </c>
      <c r="C14" s="3" t="s">
        <v>67</v>
      </c>
      <c r="D14" s="3" t="s">
        <v>68</v>
      </c>
      <c r="E14" s="3" t="s">
        <v>69</v>
      </c>
      <c r="F14" s="3" t="s">
        <v>44</v>
      </c>
      <c r="G14" s="3" t="s">
        <v>70</v>
      </c>
      <c r="H14" s="3" t="n">
        <v>110</v>
      </c>
      <c r="I14" s="4" t="n">
        <v>125000</v>
      </c>
      <c r="J14" s="5" t="n">
        <v>10</v>
      </c>
      <c r="K14" s="6" t="n">
        <f aca="false">IF(J14=0,0,I14/J14)</f>
        <v>12500</v>
      </c>
      <c r="L14" s="4"/>
      <c r="M14" s="3" t="s">
        <v>71</v>
      </c>
      <c r="N14" s="3" t="s">
        <v>22</v>
      </c>
    </row>
    <row r="15" customFormat="false" ht="15" hidden="false" customHeight="false" outlineLevel="0" collapsed="false">
      <c r="A15" s="3" t="s">
        <v>14</v>
      </c>
      <c r="B15" s="3" t="s">
        <v>47</v>
      </c>
      <c r="C15" s="3" t="s">
        <v>67</v>
      </c>
      <c r="D15" s="3" t="s">
        <v>72</v>
      </c>
      <c r="E15" s="3" t="s">
        <v>73</v>
      </c>
      <c r="F15" s="3" t="s">
        <v>29</v>
      </c>
      <c r="G15" s="3" t="s">
        <v>74</v>
      </c>
      <c r="H15" s="3" t="n">
        <v>500</v>
      </c>
      <c r="I15" s="4" t="n">
        <v>80000</v>
      </c>
      <c r="J15" s="5" t="n">
        <v>9</v>
      </c>
      <c r="K15" s="6" t="n">
        <f aca="false">IF(J15=0,0,I15/J15)</f>
        <v>8888.88888888889</v>
      </c>
      <c r="L15" s="4"/>
      <c r="M15" s="3" t="s">
        <v>75</v>
      </c>
      <c r="N15" s="3" t="s">
        <v>22</v>
      </c>
    </row>
    <row r="16" customFormat="false" ht="15" hidden="false" customHeight="false" outlineLevel="0" collapsed="false">
      <c r="A16" s="3" t="s">
        <v>14</v>
      </c>
      <c r="B16" s="3" t="s">
        <v>47</v>
      </c>
      <c r="C16" s="3" t="s">
        <v>67</v>
      </c>
      <c r="D16" s="3" t="s">
        <v>76</v>
      </c>
      <c r="E16" s="3" t="s">
        <v>77</v>
      </c>
      <c r="F16" s="3" t="s">
        <v>78</v>
      </c>
      <c r="G16" s="3" t="s">
        <v>79</v>
      </c>
      <c r="H16" s="3" t="n">
        <v>100</v>
      </c>
      <c r="I16" s="4" t="n">
        <v>75000</v>
      </c>
      <c r="J16" s="5" t="n">
        <v>10</v>
      </c>
      <c r="K16" s="6" t="n">
        <f aca="false">IF(J16=0,0,I16/J16)</f>
        <v>7500</v>
      </c>
      <c r="L16" s="4"/>
      <c r="M16" s="3" t="s">
        <v>80</v>
      </c>
      <c r="N16" s="3" t="s">
        <v>22</v>
      </c>
    </row>
    <row r="17" customFormat="false" ht="15" hidden="false" customHeight="false" outlineLevel="0" collapsed="false">
      <c r="A17" s="3" t="s">
        <v>14</v>
      </c>
      <c r="B17" s="3" t="s">
        <v>47</v>
      </c>
      <c r="C17" s="3" t="s">
        <v>16</v>
      </c>
      <c r="D17" s="3" t="s">
        <v>17</v>
      </c>
      <c r="E17" s="3" t="s">
        <v>81</v>
      </c>
      <c r="F17" s="3" t="s">
        <v>29</v>
      </c>
      <c r="G17" s="3" t="s">
        <v>56</v>
      </c>
      <c r="H17" s="3" t="n">
        <v>4</v>
      </c>
      <c r="I17" s="4" t="n">
        <v>50000</v>
      </c>
      <c r="J17" s="5" t="n">
        <v>2</v>
      </c>
      <c r="K17" s="6" t="n">
        <f aca="false">IF(J17=0,0,I17/J17)</f>
        <v>25000</v>
      </c>
      <c r="L17" s="4"/>
      <c r="M17" s="3" t="s">
        <v>82</v>
      </c>
      <c r="N17" s="3" t="s">
        <v>22</v>
      </c>
    </row>
    <row r="18" customFormat="false" ht="15" hidden="false" customHeight="false" outlineLevel="0" collapsed="false">
      <c r="A18" s="3" t="s">
        <v>14</v>
      </c>
      <c r="B18" s="3" t="s">
        <v>47</v>
      </c>
      <c r="C18" s="3" t="s">
        <v>16</v>
      </c>
      <c r="D18" s="3" t="s">
        <v>23</v>
      </c>
      <c r="E18" s="3" t="s">
        <v>83</v>
      </c>
      <c r="F18" s="3" t="s">
        <v>44</v>
      </c>
      <c r="G18" s="3" t="s">
        <v>56</v>
      </c>
      <c r="H18" s="3" t="n">
        <v>4</v>
      </c>
      <c r="I18" s="4" t="n">
        <v>50000</v>
      </c>
      <c r="J18" s="5" t="n">
        <v>2</v>
      </c>
      <c r="K18" s="6" t="n">
        <f aca="false">IF(J18=0,0,I18/J18)</f>
        <v>25000</v>
      </c>
      <c r="L18" s="4"/>
      <c r="M18" s="3" t="s">
        <v>84</v>
      </c>
      <c r="N18" s="3" t="s">
        <v>22</v>
      </c>
    </row>
    <row r="19" customFormat="false" ht="15" hidden="false" customHeight="false" outlineLevel="0" collapsed="false">
      <c r="A19" s="3" t="s">
        <v>14</v>
      </c>
      <c r="B19" s="3" t="s">
        <v>47</v>
      </c>
      <c r="C19" s="3" t="s">
        <v>16</v>
      </c>
      <c r="D19" s="3" t="s">
        <v>85</v>
      </c>
      <c r="E19" s="3" t="s">
        <v>86</v>
      </c>
      <c r="F19" s="3" t="s">
        <v>87</v>
      </c>
      <c r="G19" s="3" t="s">
        <v>88</v>
      </c>
      <c r="H19" s="3" t="n">
        <v>4</v>
      </c>
      <c r="I19" s="4" t="n">
        <v>30000</v>
      </c>
      <c r="J19" s="5" t="n">
        <v>3</v>
      </c>
      <c r="K19" s="6" t="n">
        <f aca="false">IF(J19=0,0,I19/J19)</f>
        <v>10000</v>
      </c>
      <c r="L19" s="4"/>
      <c r="M19" s="3" t="s">
        <v>89</v>
      </c>
      <c r="N19" s="3" t="s">
        <v>22</v>
      </c>
    </row>
    <row r="20" customFormat="false" ht="15" hidden="false" customHeight="false" outlineLevel="0" collapsed="false">
      <c r="A20" s="3" t="s">
        <v>14</v>
      </c>
      <c r="B20" s="3" t="s">
        <v>47</v>
      </c>
      <c r="C20" s="3" t="s">
        <v>32</v>
      </c>
      <c r="D20" s="3" t="s">
        <v>90</v>
      </c>
      <c r="E20" s="3" t="s">
        <v>91</v>
      </c>
      <c r="F20" s="3" t="s">
        <v>92</v>
      </c>
      <c r="G20" s="3" t="s">
        <v>93</v>
      </c>
      <c r="H20" s="3" t="n">
        <v>10</v>
      </c>
      <c r="I20" s="4" t="n">
        <v>30000</v>
      </c>
      <c r="J20" s="5" t="n">
        <v>1</v>
      </c>
      <c r="K20" s="6" t="n">
        <f aca="false">IF(J20=0,0,I20/J20)</f>
        <v>30000</v>
      </c>
      <c r="L20" s="4"/>
      <c r="M20" s="3" t="s">
        <v>94</v>
      </c>
      <c r="N20" s="3" t="s">
        <v>22</v>
      </c>
    </row>
    <row r="21" customFormat="false" ht="15" hidden="false" customHeight="false" outlineLevel="0" collapsed="false">
      <c r="A21" s="3" t="s">
        <v>14</v>
      </c>
      <c r="B21" s="3" t="s">
        <v>47</v>
      </c>
      <c r="C21" s="3" t="s">
        <v>32</v>
      </c>
      <c r="D21" s="3" t="s">
        <v>90</v>
      </c>
      <c r="E21" s="3" t="s">
        <v>95</v>
      </c>
      <c r="F21" s="3" t="s">
        <v>92</v>
      </c>
      <c r="G21" s="3" t="s">
        <v>93</v>
      </c>
      <c r="H21" s="3" t="n">
        <v>25</v>
      </c>
      <c r="I21" s="4" t="n">
        <v>25000</v>
      </c>
      <c r="J21" s="5" t="n">
        <v>1</v>
      </c>
      <c r="K21" s="6" t="n">
        <f aca="false">IF(J21=0,0,I21/J21)</f>
        <v>25000</v>
      </c>
      <c r="L21" s="4"/>
      <c r="M21" s="3" t="s">
        <v>96</v>
      </c>
      <c r="N21" s="3" t="s">
        <v>22</v>
      </c>
    </row>
    <row r="22" customFormat="false" ht="15" hidden="false" customHeight="false" outlineLevel="0" collapsed="false">
      <c r="A22" s="3" t="s">
        <v>14</v>
      </c>
      <c r="B22" s="3" t="s">
        <v>47</v>
      </c>
      <c r="C22" s="3" t="s">
        <v>32</v>
      </c>
      <c r="D22" s="3" t="s">
        <v>90</v>
      </c>
      <c r="E22" s="3" t="s">
        <v>97</v>
      </c>
      <c r="F22" s="3" t="s">
        <v>98</v>
      </c>
      <c r="G22" s="3" t="s">
        <v>99</v>
      </c>
      <c r="H22" s="3" t="n">
        <v>20</v>
      </c>
      <c r="I22" s="4" t="n">
        <v>50000</v>
      </c>
      <c r="J22" s="5" t="n">
        <v>5</v>
      </c>
      <c r="K22" s="6" t="n">
        <f aca="false">IF(J22=0,0,I22/J22)</f>
        <v>10000</v>
      </c>
      <c r="L22" s="4"/>
      <c r="M22" s="3" t="s">
        <v>100</v>
      </c>
      <c r="N22" s="3" t="s">
        <v>22</v>
      </c>
    </row>
    <row r="23" customFormat="false" ht="15" hidden="false" customHeight="false" outlineLevel="0" collapsed="false">
      <c r="A23" s="3" t="s">
        <v>14</v>
      </c>
      <c r="B23" s="3" t="s">
        <v>47</v>
      </c>
      <c r="C23" s="3" t="s">
        <v>32</v>
      </c>
      <c r="D23" s="3" t="s">
        <v>101</v>
      </c>
      <c r="E23" s="3" t="s">
        <v>102</v>
      </c>
      <c r="F23" s="3" t="s">
        <v>29</v>
      </c>
      <c r="G23" s="3" t="s">
        <v>93</v>
      </c>
      <c r="H23" s="3" t="n">
        <v>10</v>
      </c>
      <c r="I23" s="4" t="n">
        <v>20000</v>
      </c>
      <c r="J23" s="5" t="n">
        <v>1</v>
      </c>
      <c r="K23" s="6" t="n">
        <f aca="false">IF(J23=0,0,I23/J23)</f>
        <v>20000</v>
      </c>
      <c r="L23" s="4"/>
      <c r="M23" s="3" t="s">
        <v>103</v>
      </c>
      <c r="N23" s="3" t="s">
        <v>22</v>
      </c>
    </row>
    <row r="24" customFormat="false" ht="15" hidden="false" customHeight="false" outlineLevel="0" collapsed="false">
      <c r="A24" s="3" t="s">
        <v>14</v>
      </c>
      <c r="B24" s="3" t="s">
        <v>47</v>
      </c>
      <c r="C24" s="3" t="s">
        <v>32</v>
      </c>
      <c r="D24" s="3" t="s">
        <v>101</v>
      </c>
      <c r="E24" s="3" t="s">
        <v>104</v>
      </c>
      <c r="F24" s="3" t="s">
        <v>105</v>
      </c>
      <c r="G24" s="3" t="s">
        <v>93</v>
      </c>
      <c r="H24" s="3" t="n">
        <v>1</v>
      </c>
      <c r="I24" s="4" t="n">
        <v>19540</v>
      </c>
      <c r="J24" s="5" t="n">
        <v>1</v>
      </c>
      <c r="K24" s="6" t="n">
        <f aca="false">IF(J24=0,0,I24/J24)</f>
        <v>19540</v>
      </c>
      <c r="L24" s="4"/>
      <c r="M24" s="3" t="s">
        <v>106</v>
      </c>
      <c r="N24" s="3" t="s">
        <v>22</v>
      </c>
    </row>
    <row r="25" customFormat="false" ht="15" hidden="false" customHeight="false" outlineLevel="0" collapsed="false">
      <c r="A25" s="3" t="s">
        <v>14</v>
      </c>
      <c r="B25" s="3" t="s">
        <v>107</v>
      </c>
      <c r="C25" s="3" t="s">
        <v>108</v>
      </c>
      <c r="D25" s="3" t="s">
        <v>109</v>
      </c>
      <c r="E25" s="3" t="s">
        <v>110</v>
      </c>
      <c r="F25" s="3" t="s">
        <v>105</v>
      </c>
      <c r="G25" s="3" t="s">
        <v>111</v>
      </c>
      <c r="H25" s="3" t="n">
        <v>1</v>
      </c>
      <c r="I25" s="4" t="n">
        <v>70000</v>
      </c>
      <c r="J25" s="5" t="n">
        <v>2</v>
      </c>
      <c r="K25" s="6" t="n">
        <f aca="false">IF(J25=0,0,I25/J25)</f>
        <v>35000</v>
      </c>
      <c r="L25" s="4"/>
      <c r="M25" s="3" t="s">
        <v>112</v>
      </c>
      <c r="N25" s="3" t="s">
        <v>22</v>
      </c>
    </row>
    <row r="26" customFormat="false" ht="15" hidden="false" customHeight="false" outlineLevel="0" collapsed="false">
      <c r="A26" s="3" t="s">
        <v>14</v>
      </c>
      <c r="B26" s="3" t="s">
        <v>107</v>
      </c>
      <c r="C26" s="3" t="s">
        <v>108</v>
      </c>
      <c r="D26" s="3" t="s">
        <v>113</v>
      </c>
      <c r="E26" s="3" t="s">
        <v>114</v>
      </c>
      <c r="F26" s="3" t="s">
        <v>105</v>
      </c>
      <c r="G26" s="3" t="s">
        <v>115</v>
      </c>
      <c r="H26" s="3" t="n">
        <v>2</v>
      </c>
      <c r="I26" s="4" t="n">
        <v>125000</v>
      </c>
      <c r="J26" s="5" t="n">
        <v>3</v>
      </c>
      <c r="K26" s="6" t="n">
        <f aca="false">IF(J26=0,0,I26/J26)</f>
        <v>41666.6666666667</v>
      </c>
      <c r="L26" s="4"/>
      <c r="M26" s="3" t="s">
        <v>116</v>
      </c>
      <c r="N26" s="3" t="s">
        <v>22</v>
      </c>
    </row>
    <row r="27" customFormat="false" ht="15" hidden="false" customHeight="false" outlineLevel="0" collapsed="false">
      <c r="A27" s="3" t="s">
        <v>14</v>
      </c>
      <c r="B27" s="3" t="s">
        <v>107</v>
      </c>
      <c r="C27" s="3" t="s">
        <v>16</v>
      </c>
      <c r="D27" s="3" t="s">
        <v>17</v>
      </c>
      <c r="E27" s="3" t="s">
        <v>117</v>
      </c>
      <c r="F27" s="3" t="s">
        <v>118</v>
      </c>
      <c r="G27" s="3" t="s">
        <v>119</v>
      </c>
      <c r="H27" s="3" t="n">
        <v>4</v>
      </c>
      <c r="I27" s="4" t="n">
        <v>75000</v>
      </c>
      <c r="J27" s="5" t="n">
        <v>4</v>
      </c>
      <c r="K27" s="6" t="n">
        <f aca="false">IF(J27=0,0,I27/J27)</f>
        <v>18750</v>
      </c>
      <c r="L27" s="4"/>
      <c r="M27" s="3" t="s">
        <v>120</v>
      </c>
      <c r="N27" s="3" t="s">
        <v>22</v>
      </c>
    </row>
    <row r="28" customFormat="false" ht="15" hidden="false" customHeight="false" outlineLevel="0" collapsed="false">
      <c r="A28" s="3" t="s">
        <v>14</v>
      </c>
      <c r="B28" s="3" t="s">
        <v>107</v>
      </c>
      <c r="C28" s="3" t="s">
        <v>16</v>
      </c>
      <c r="D28" s="3" t="s">
        <v>23</v>
      </c>
      <c r="E28" s="3" t="s">
        <v>121</v>
      </c>
      <c r="F28" s="3" t="s">
        <v>44</v>
      </c>
      <c r="G28" s="3" t="s">
        <v>122</v>
      </c>
      <c r="H28" s="3" t="n">
        <v>6</v>
      </c>
      <c r="I28" s="4" t="n">
        <v>75000</v>
      </c>
      <c r="J28" s="5" t="n">
        <v>4</v>
      </c>
      <c r="K28" s="6" t="n">
        <f aca="false">IF(J28=0,0,I28/J28)</f>
        <v>18750</v>
      </c>
      <c r="L28" s="4"/>
      <c r="M28" s="3" t="s">
        <v>123</v>
      </c>
      <c r="N28" s="3" t="s">
        <v>22</v>
      </c>
    </row>
    <row r="29" customFormat="false" ht="15" hidden="false" customHeight="false" outlineLevel="0" collapsed="false">
      <c r="A29" s="3" t="s">
        <v>14</v>
      </c>
      <c r="B29" s="3" t="s">
        <v>124</v>
      </c>
      <c r="C29" s="3" t="s">
        <v>108</v>
      </c>
      <c r="D29" s="3" t="s">
        <v>109</v>
      </c>
      <c r="E29" s="3" t="s">
        <v>125</v>
      </c>
      <c r="F29" s="3" t="s">
        <v>105</v>
      </c>
      <c r="G29" s="3" t="s">
        <v>126</v>
      </c>
      <c r="H29" s="3" t="n">
        <v>2</v>
      </c>
      <c r="I29" s="4" t="n">
        <v>0</v>
      </c>
      <c r="J29" s="5" t="n">
        <v>2</v>
      </c>
      <c r="K29" s="6" t="n">
        <f aca="false">IF(J29=0,0,I29/J29)</f>
        <v>0</v>
      </c>
      <c r="L29" s="4"/>
      <c r="M29" s="3"/>
      <c r="N29" s="3" t="s">
        <v>22</v>
      </c>
    </row>
    <row r="30" customFormat="false" ht="15" hidden="false" customHeight="false" outlineLevel="0" collapsed="false">
      <c r="A30" s="3" t="s">
        <v>14</v>
      </c>
      <c r="B30" s="3" t="s">
        <v>124</v>
      </c>
      <c r="C30" s="3" t="s">
        <v>41</v>
      </c>
      <c r="D30" s="3" t="s">
        <v>127</v>
      </c>
      <c r="E30" s="3" t="s">
        <v>128</v>
      </c>
      <c r="F30" s="3" t="s">
        <v>44</v>
      </c>
      <c r="G30" s="3" t="s">
        <v>129</v>
      </c>
      <c r="H30" s="3" t="n">
        <v>9</v>
      </c>
      <c r="I30" s="4" t="n">
        <v>650000</v>
      </c>
      <c r="J30" s="5" t="n">
        <v>4</v>
      </c>
      <c r="K30" s="6" t="n">
        <f aca="false">IF(J30=0,0,I30/J30)</f>
        <v>162500</v>
      </c>
      <c r="L30" s="4"/>
      <c r="M30" s="3" t="s">
        <v>130</v>
      </c>
      <c r="N30" s="3" t="s">
        <v>22</v>
      </c>
    </row>
    <row r="31" customFormat="false" ht="15" hidden="false" customHeight="false" outlineLevel="0" collapsed="false">
      <c r="A31" s="3" t="s">
        <v>14</v>
      </c>
      <c r="B31" s="3" t="s">
        <v>124</v>
      </c>
      <c r="C31" s="3" t="s">
        <v>41</v>
      </c>
      <c r="D31" s="3" t="s">
        <v>48</v>
      </c>
      <c r="E31" s="3" t="s">
        <v>131</v>
      </c>
      <c r="F31" s="3" t="s">
        <v>44</v>
      </c>
      <c r="G31" s="3" t="s">
        <v>132</v>
      </c>
      <c r="H31" s="3" t="n">
        <v>9</v>
      </c>
      <c r="I31" s="4" t="n">
        <v>1723117</v>
      </c>
      <c r="J31" s="5" t="n">
        <v>5</v>
      </c>
      <c r="K31" s="6" t="n">
        <f aca="false">IF(J31=0,0,I31/J31)</f>
        <v>344623.4</v>
      </c>
      <c r="L31" s="4"/>
      <c r="M31" s="3" t="s">
        <v>130</v>
      </c>
      <c r="N31" s="3" t="s">
        <v>22</v>
      </c>
    </row>
    <row r="32" customFormat="false" ht="15" hidden="false" customHeight="false" outlineLevel="0" collapsed="false">
      <c r="A32" s="3" t="s">
        <v>14</v>
      </c>
      <c r="B32" s="3" t="s">
        <v>124</v>
      </c>
      <c r="C32" s="3" t="s">
        <v>67</v>
      </c>
      <c r="D32" s="3" t="s">
        <v>68</v>
      </c>
      <c r="E32" s="3" t="s">
        <v>133</v>
      </c>
      <c r="F32" s="3" t="s">
        <v>44</v>
      </c>
      <c r="G32" s="3" t="s">
        <v>134</v>
      </c>
      <c r="H32" s="3" t="n">
        <v>5</v>
      </c>
      <c r="I32" s="4" t="n">
        <v>188829</v>
      </c>
      <c r="J32" s="5" t="n">
        <v>3</v>
      </c>
      <c r="K32" s="6" t="n">
        <f aca="false">IF(J32=0,0,I32/J32)</f>
        <v>62943</v>
      </c>
      <c r="L32" s="4"/>
      <c r="M32" s="3" t="s">
        <v>135</v>
      </c>
      <c r="N32" s="3" t="s">
        <v>22</v>
      </c>
    </row>
    <row r="33" customFormat="false" ht="15" hidden="false" customHeight="false" outlineLevel="0" collapsed="false">
      <c r="A33" s="3" t="s">
        <v>14</v>
      </c>
      <c r="B33" s="3" t="s">
        <v>124</v>
      </c>
      <c r="C33" s="3" t="s">
        <v>16</v>
      </c>
      <c r="D33" s="3" t="s">
        <v>23</v>
      </c>
      <c r="E33" s="3" t="s">
        <v>136</v>
      </c>
      <c r="F33" s="3" t="s">
        <v>44</v>
      </c>
      <c r="G33" s="3" t="s">
        <v>137</v>
      </c>
      <c r="H33" s="3" t="n">
        <v>2</v>
      </c>
      <c r="I33" s="4" t="n">
        <v>100000</v>
      </c>
      <c r="J33" s="5" t="n">
        <v>3</v>
      </c>
      <c r="K33" s="6" t="n">
        <f aca="false">IF(J33=0,0,I33/J33)</f>
        <v>33333.3333333333</v>
      </c>
      <c r="L33" s="4"/>
      <c r="M33" s="3" t="s">
        <v>138</v>
      </c>
      <c r="N33" s="3" t="s">
        <v>22</v>
      </c>
    </row>
    <row r="34" customFormat="false" ht="15" hidden="false" customHeight="false" outlineLevel="0" collapsed="false">
      <c r="A34" s="3" t="s">
        <v>139</v>
      </c>
      <c r="B34" s="3" t="s">
        <v>140</v>
      </c>
      <c r="C34" s="3" t="s">
        <v>67</v>
      </c>
      <c r="D34" s="3" t="s">
        <v>141</v>
      </c>
      <c r="E34" s="3" t="s">
        <v>142</v>
      </c>
      <c r="F34" s="3" t="s">
        <v>44</v>
      </c>
      <c r="G34" s="3" t="s">
        <v>143</v>
      </c>
      <c r="H34" s="3" t="n">
        <v>1</v>
      </c>
      <c r="I34" s="4" t="n">
        <v>100000</v>
      </c>
      <c r="J34" s="5" t="n">
        <v>12</v>
      </c>
      <c r="K34" s="6" t="n">
        <f aca="false">IF(J34=0,0,I34/J34)</f>
        <v>8333.33333333333</v>
      </c>
      <c r="L34" s="4"/>
      <c r="M34" s="3" t="s">
        <v>144</v>
      </c>
      <c r="N34" s="3" t="s">
        <v>145</v>
      </c>
    </row>
    <row r="35" customFormat="false" ht="15" hidden="false" customHeight="false" outlineLevel="0" collapsed="false">
      <c r="A35" s="3" t="s">
        <v>139</v>
      </c>
      <c r="B35" s="3" t="s">
        <v>140</v>
      </c>
      <c r="C35" s="3" t="s">
        <v>32</v>
      </c>
      <c r="D35" s="3" t="s">
        <v>146</v>
      </c>
      <c r="E35" s="3" t="s">
        <v>147</v>
      </c>
      <c r="F35" s="3" t="s">
        <v>148</v>
      </c>
      <c r="G35" s="3" t="s">
        <v>149</v>
      </c>
      <c r="H35" s="3" t="n">
        <v>50</v>
      </c>
      <c r="I35" s="4" t="n">
        <v>50000</v>
      </c>
      <c r="J35" s="5" t="n">
        <v>11</v>
      </c>
      <c r="K35" s="6" t="n">
        <f aca="false">IF(J35=0,0,I35/J35)</f>
        <v>4545.45454545455</v>
      </c>
      <c r="L35" s="4"/>
      <c r="M35" s="3" t="s">
        <v>150</v>
      </c>
      <c r="N35" s="3" t="s">
        <v>145</v>
      </c>
    </row>
    <row r="36" customFormat="false" ht="15" hidden="false" customHeight="false" outlineLevel="0" collapsed="false">
      <c r="A36" s="3" t="s">
        <v>139</v>
      </c>
      <c r="B36" s="3" t="s">
        <v>151</v>
      </c>
      <c r="C36" s="3" t="s">
        <v>108</v>
      </c>
      <c r="D36" s="3" t="s">
        <v>152</v>
      </c>
      <c r="E36" s="3" t="s">
        <v>153</v>
      </c>
      <c r="F36" s="3" t="s">
        <v>105</v>
      </c>
      <c r="G36" s="3" t="s">
        <v>154</v>
      </c>
      <c r="H36" s="3" t="n">
        <v>1</v>
      </c>
      <c r="I36" s="4" t="n">
        <v>31820</v>
      </c>
      <c r="J36" s="5" t="n">
        <v>3</v>
      </c>
      <c r="K36" s="6" t="n">
        <f aca="false">IF(J36=0,0,I36/J36)</f>
        <v>10606.6666666667</v>
      </c>
      <c r="L36" s="4"/>
      <c r="M36" s="3" t="s">
        <v>155</v>
      </c>
      <c r="N36" s="3" t="s">
        <v>145</v>
      </c>
    </row>
    <row r="37" customFormat="false" ht="15" hidden="false" customHeight="false" outlineLevel="0" collapsed="false">
      <c r="A37" s="3" t="s">
        <v>139</v>
      </c>
      <c r="B37" s="3" t="s">
        <v>151</v>
      </c>
      <c r="C37" s="3" t="s">
        <v>67</v>
      </c>
      <c r="D37" s="3" t="s">
        <v>156</v>
      </c>
      <c r="E37" s="3" t="s">
        <v>157</v>
      </c>
      <c r="F37" s="3" t="s">
        <v>29</v>
      </c>
      <c r="G37" s="3" t="s">
        <v>158</v>
      </c>
      <c r="H37" s="3" t="n">
        <v>20000</v>
      </c>
      <c r="I37" s="4" t="n">
        <v>33293</v>
      </c>
      <c r="J37" s="5" t="n">
        <v>13</v>
      </c>
      <c r="K37" s="6" t="n">
        <f aca="false">IF(J37=0,0,I37/J37)</f>
        <v>2561</v>
      </c>
      <c r="L37" s="4"/>
      <c r="M37" s="3" t="s">
        <v>159</v>
      </c>
      <c r="N37" s="3" t="s">
        <v>145</v>
      </c>
    </row>
    <row r="38" customFormat="false" ht="15" hidden="false" customHeight="false" outlineLevel="0" collapsed="false">
      <c r="A38" s="3" t="s">
        <v>139</v>
      </c>
      <c r="B38" s="3" t="s">
        <v>160</v>
      </c>
      <c r="C38" s="3" t="s">
        <v>108</v>
      </c>
      <c r="D38" s="3" t="s">
        <v>161</v>
      </c>
      <c r="E38" s="3" t="s">
        <v>162</v>
      </c>
      <c r="F38" s="3" t="s">
        <v>44</v>
      </c>
      <c r="G38" s="3" t="s">
        <v>163</v>
      </c>
      <c r="H38" s="3" t="n">
        <v>1</v>
      </c>
      <c r="I38" s="4" t="n">
        <v>41820</v>
      </c>
      <c r="J38" s="5" t="n">
        <v>7</v>
      </c>
      <c r="K38" s="6" t="n">
        <f aca="false">IF(J38=0,0,I38/J38)</f>
        <v>5974.28571428572</v>
      </c>
      <c r="L38" s="4"/>
      <c r="M38" s="3" t="s">
        <v>164</v>
      </c>
      <c r="N38" s="3" t="s">
        <v>145</v>
      </c>
    </row>
    <row r="39" customFormat="false" ht="15" hidden="false" customHeight="false" outlineLevel="0" collapsed="false">
      <c r="A39" s="3" t="s">
        <v>139</v>
      </c>
      <c r="B39" s="3" t="s">
        <v>160</v>
      </c>
      <c r="C39" s="3" t="s">
        <v>41</v>
      </c>
      <c r="D39" s="3" t="s">
        <v>165</v>
      </c>
      <c r="E39" s="3" t="s">
        <v>166</v>
      </c>
      <c r="F39" s="3" t="s">
        <v>105</v>
      </c>
      <c r="G39" s="3" t="s">
        <v>167</v>
      </c>
      <c r="H39" s="3" t="n">
        <v>3</v>
      </c>
      <c r="I39" s="4" t="n">
        <v>71595</v>
      </c>
      <c r="J39" s="5" t="n">
        <v>19</v>
      </c>
      <c r="K39" s="6" t="n">
        <f aca="false">IF(J39=0,0,I39/J39)</f>
        <v>3768.15789473684</v>
      </c>
      <c r="L39" s="4"/>
      <c r="M39" s="3" t="s">
        <v>155</v>
      </c>
      <c r="N39" s="3" t="s">
        <v>145</v>
      </c>
    </row>
    <row r="40" customFormat="false" ht="15" hidden="false" customHeight="false" outlineLevel="0" collapsed="false">
      <c r="A40" s="3" t="s">
        <v>139</v>
      </c>
      <c r="B40" s="3" t="s">
        <v>160</v>
      </c>
      <c r="C40" s="3" t="s">
        <v>67</v>
      </c>
      <c r="D40" s="3" t="s">
        <v>168</v>
      </c>
      <c r="E40" s="3" t="s">
        <v>169</v>
      </c>
      <c r="F40" s="3" t="s">
        <v>105</v>
      </c>
      <c r="G40" s="3" t="s">
        <v>170</v>
      </c>
      <c r="H40" s="3" t="n">
        <v>2</v>
      </c>
      <c r="I40" s="4" t="n">
        <v>47731</v>
      </c>
      <c r="J40" s="5" t="n">
        <v>11</v>
      </c>
      <c r="K40" s="6" t="n">
        <f aca="false">IF(J40=0,0,I40/J40)</f>
        <v>4339.18181818182</v>
      </c>
      <c r="L40" s="4"/>
      <c r="M40" s="3" t="s">
        <v>155</v>
      </c>
      <c r="N40" s="3" t="s">
        <v>145</v>
      </c>
    </row>
    <row r="41" customFormat="false" ht="15" hidden="false" customHeight="false" outlineLevel="0" collapsed="false">
      <c r="A41" s="3" t="s">
        <v>139</v>
      </c>
      <c r="B41" s="3" t="s">
        <v>160</v>
      </c>
      <c r="C41" s="3" t="s">
        <v>67</v>
      </c>
      <c r="D41" s="3" t="s">
        <v>141</v>
      </c>
      <c r="E41" s="3" t="s">
        <v>171</v>
      </c>
      <c r="F41" s="3" t="s">
        <v>105</v>
      </c>
      <c r="G41" s="3" t="s">
        <v>172</v>
      </c>
      <c r="H41" s="3" t="n">
        <v>3</v>
      </c>
      <c r="I41" s="4" t="n">
        <v>131147</v>
      </c>
      <c r="J41" s="5" t="n">
        <v>7</v>
      </c>
      <c r="K41" s="6" t="n">
        <f aca="false">IF(J41=0,0,I41/J41)</f>
        <v>18735.2857142857</v>
      </c>
      <c r="L41" s="4"/>
      <c r="M41" s="3" t="s">
        <v>155</v>
      </c>
      <c r="N41" s="3" t="s">
        <v>145</v>
      </c>
    </row>
    <row r="42" customFormat="false" ht="15" hidden="false" customHeight="false" outlineLevel="0" collapsed="false">
      <c r="A42" s="3" t="s">
        <v>139</v>
      </c>
      <c r="B42" s="3" t="s">
        <v>160</v>
      </c>
      <c r="C42" s="3" t="s">
        <v>67</v>
      </c>
      <c r="D42" s="3" t="s">
        <v>141</v>
      </c>
      <c r="E42" s="3" t="s">
        <v>142</v>
      </c>
      <c r="F42" s="3" t="s">
        <v>105</v>
      </c>
      <c r="G42" s="3" t="s">
        <v>173</v>
      </c>
      <c r="H42" s="3" t="n">
        <v>3</v>
      </c>
      <c r="I42" s="4" t="n">
        <v>186371</v>
      </c>
      <c r="J42" s="5" t="n">
        <v>9</v>
      </c>
      <c r="K42" s="6" t="n">
        <f aca="false">IF(J42=0,0,I42/J42)</f>
        <v>20707.8888888889</v>
      </c>
      <c r="L42" s="4"/>
      <c r="M42" s="3" t="s">
        <v>155</v>
      </c>
      <c r="N42" s="3" t="s">
        <v>145</v>
      </c>
    </row>
    <row r="43" customFormat="false" ht="15" hidden="false" customHeight="false" outlineLevel="0" collapsed="false">
      <c r="A43" s="3" t="s">
        <v>139</v>
      </c>
      <c r="B43" s="3" t="s">
        <v>160</v>
      </c>
      <c r="C43" s="3" t="s">
        <v>32</v>
      </c>
      <c r="D43" s="3" t="s">
        <v>146</v>
      </c>
      <c r="E43" s="3" t="s">
        <v>174</v>
      </c>
      <c r="F43" s="3" t="s">
        <v>44</v>
      </c>
      <c r="G43" s="3" t="s">
        <v>175</v>
      </c>
      <c r="H43" s="3" t="n">
        <v>3</v>
      </c>
      <c r="I43" s="4" t="n">
        <v>93192</v>
      </c>
      <c r="J43" s="5" t="n">
        <v>14</v>
      </c>
      <c r="K43" s="6" t="n">
        <f aca="false">IF(J43=0,0,I43/J43)</f>
        <v>6656.57142857143</v>
      </c>
      <c r="L43" s="4"/>
      <c r="M43" s="3" t="s">
        <v>155</v>
      </c>
      <c r="N43" s="3" t="s">
        <v>145</v>
      </c>
    </row>
    <row r="44" customFormat="false" ht="15" hidden="false" customHeight="false" outlineLevel="0" collapsed="false">
      <c r="A44" s="3" t="s">
        <v>139</v>
      </c>
      <c r="B44" s="3" t="s">
        <v>160</v>
      </c>
      <c r="C44" s="3" t="s">
        <v>32</v>
      </c>
      <c r="D44" s="3" t="s">
        <v>146</v>
      </c>
      <c r="E44" s="3" t="s">
        <v>147</v>
      </c>
      <c r="F44" s="3" t="s">
        <v>148</v>
      </c>
      <c r="G44" s="3" t="s">
        <v>149</v>
      </c>
      <c r="H44" s="3" t="n">
        <v>30</v>
      </c>
      <c r="I44" s="4" t="n">
        <v>40000</v>
      </c>
      <c r="J44" s="5" t="n">
        <v>11</v>
      </c>
      <c r="K44" s="6" t="n">
        <f aca="false">IF(J44=0,0,I44/J44)</f>
        <v>3636.36363636364</v>
      </c>
      <c r="L44" s="4"/>
      <c r="M44" s="3" t="s">
        <v>155</v>
      </c>
      <c r="N44" s="3" t="s">
        <v>145</v>
      </c>
    </row>
    <row r="45" customFormat="false" ht="15" hidden="false" customHeight="false" outlineLevel="0" collapsed="false">
      <c r="A45" s="3" t="s">
        <v>139</v>
      </c>
      <c r="B45" s="3" t="s">
        <v>15</v>
      </c>
      <c r="C45" s="3" t="s">
        <v>108</v>
      </c>
      <c r="D45" s="3" t="s">
        <v>176</v>
      </c>
      <c r="E45" s="3" t="s">
        <v>177</v>
      </c>
      <c r="F45" s="3" t="s">
        <v>44</v>
      </c>
      <c r="G45" s="3" t="s">
        <v>178</v>
      </c>
      <c r="H45" s="3" t="n">
        <v>3</v>
      </c>
      <c r="I45" s="4" t="n">
        <v>69106</v>
      </c>
      <c r="J45" s="5" t="n">
        <v>6</v>
      </c>
      <c r="K45" s="6" t="n">
        <f aca="false">IF(J45=0,0,I45/J45)</f>
        <v>11517.6666666667</v>
      </c>
      <c r="L45" s="4"/>
      <c r="M45" s="3" t="s">
        <v>164</v>
      </c>
      <c r="N45" s="3" t="s">
        <v>145</v>
      </c>
    </row>
    <row r="46" customFormat="false" ht="15" hidden="false" customHeight="false" outlineLevel="0" collapsed="false">
      <c r="A46" s="3" t="s">
        <v>139</v>
      </c>
      <c r="B46" s="3" t="s">
        <v>15</v>
      </c>
      <c r="C46" s="3" t="s">
        <v>41</v>
      </c>
      <c r="D46" s="3" t="s">
        <v>165</v>
      </c>
      <c r="E46" s="3" t="s">
        <v>166</v>
      </c>
      <c r="F46" s="3" t="s">
        <v>44</v>
      </c>
      <c r="G46" s="3" t="s">
        <v>179</v>
      </c>
      <c r="H46" s="3" t="n">
        <v>10</v>
      </c>
      <c r="I46" s="4" t="n">
        <v>21006.25</v>
      </c>
      <c r="J46" s="5" t="n">
        <v>19</v>
      </c>
      <c r="K46" s="6" t="n">
        <f aca="false">IF(J46=0,0,I46/J46)</f>
        <v>1105.59210526316</v>
      </c>
      <c r="L46" s="4"/>
      <c r="M46" s="3" t="s">
        <v>159</v>
      </c>
      <c r="N46" s="3" t="s">
        <v>145</v>
      </c>
    </row>
    <row r="47" customFormat="false" ht="15" hidden="false" customHeight="false" outlineLevel="0" collapsed="false">
      <c r="A47" s="3" t="s">
        <v>139</v>
      </c>
      <c r="B47" s="3" t="s">
        <v>15</v>
      </c>
      <c r="C47" s="3" t="s">
        <v>41</v>
      </c>
      <c r="D47" s="3" t="s">
        <v>180</v>
      </c>
      <c r="E47" s="3" t="s">
        <v>181</v>
      </c>
      <c r="F47" s="3" t="s">
        <v>44</v>
      </c>
      <c r="G47" s="3" t="s">
        <v>182</v>
      </c>
      <c r="H47" s="3" t="n">
        <v>14</v>
      </c>
      <c r="I47" s="4" t="n">
        <v>338038.7</v>
      </c>
      <c r="J47" s="5" t="n">
        <v>7</v>
      </c>
      <c r="K47" s="6" t="n">
        <f aca="false">IF(J47=0,0,I47/J47)</f>
        <v>48291.2428571429</v>
      </c>
      <c r="L47" s="4"/>
      <c r="M47" s="3" t="s">
        <v>164</v>
      </c>
      <c r="N47" s="3" t="s">
        <v>145</v>
      </c>
    </row>
    <row r="48" customFormat="false" ht="15" hidden="false" customHeight="false" outlineLevel="0" collapsed="false">
      <c r="A48" s="3" t="s">
        <v>139</v>
      </c>
      <c r="B48" s="3" t="s">
        <v>15</v>
      </c>
      <c r="C48" s="3" t="s">
        <v>41</v>
      </c>
      <c r="D48" s="3" t="s">
        <v>180</v>
      </c>
      <c r="E48" s="3" t="s">
        <v>181</v>
      </c>
      <c r="F48" s="3" t="s">
        <v>183</v>
      </c>
      <c r="G48" s="3" t="s">
        <v>184</v>
      </c>
      <c r="H48" s="3" t="n">
        <v>5</v>
      </c>
      <c r="I48" s="4" t="n">
        <v>119326.59</v>
      </c>
      <c r="J48" s="5" t="n">
        <v>7</v>
      </c>
      <c r="K48" s="6" t="n">
        <f aca="false">IF(J48=0,0,I48/J48)</f>
        <v>17046.6557142857</v>
      </c>
      <c r="L48" s="4"/>
      <c r="M48" s="3" t="s">
        <v>164</v>
      </c>
      <c r="N48" s="3" t="s">
        <v>145</v>
      </c>
    </row>
    <row r="49" customFormat="false" ht="15" hidden="false" customHeight="false" outlineLevel="0" collapsed="false">
      <c r="A49" s="3" t="s">
        <v>139</v>
      </c>
      <c r="B49" s="3" t="s">
        <v>15</v>
      </c>
      <c r="C49" s="3" t="s">
        <v>67</v>
      </c>
      <c r="D49" s="3" t="s">
        <v>168</v>
      </c>
      <c r="E49" s="3" t="s">
        <v>169</v>
      </c>
      <c r="F49" s="3" t="s">
        <v>105</v>
      </c>
      <c r="G49" s="3" t="s">
        <v>170</v>
      </c>
      <c r="H49" s="3" t="n">
        <v>3</v>
      </c>
      <c r="I49" s="4" t="n">
        <v>278429</v>
      </c>
      <c r="J49" s="5" t="n">
        <v>11</v>
      </c>
      <c r="K49" s="6" t="n">
        <f aca="false">IF(J49=0,0,I49/J49)</f>
        <v>25311.7272727273</v>
      </c>
      <c r="L49" s="4"/>
      <c r="M49" s="3" t="s">
        <v>159</v>
      </c>
      <c r="N49" s="3" t="s">
        <v>145</v>
      </c>
    </row>
    <row r="50" customFormat="false" ht="15" hidden="false" customHeight="false" outlineLevel="0" collapsed="false">
      <c r="A50" s="3" t="s">
        <v>139</v>
      </c>
      <c r="B50" s="3" t="s">
        <v>15</v>
      </c>
      <c r="C50" s="3" t="s">
        <v>67</v>
      </c>
      <c r="D50" s="3" t="s">
        <v>141</v>
      </c>
      <c r="E50" s="3" t="s">
        <v>142</v>
      </c>
      <c r="F50" s="3" t="s">
        <v>44</v>
      </c>
      <c r="G50" s="3" t="s">
        <v>143</v>
      </c>
      <c r="H50" s="3" t="n">
        <v>1</v>
      </c>
      <c r="I50" s="4" t="n">
        <v>168107.88</v>
      </c>
      <c r="J50" s="5" t="n">
        <v>12</v>
      </c>
      <c r="K50" s="6" t="n">
        <f aca="false">IF(J50=0,0,I50/J50)</f>
        <v>14008.99</v>
      </c>
      <c r="L50" s="4"/>
      <c r="M50" s="3" t="s">
        <v>159</v>
      </c>
      <c r="N50" s="3" t="s">
        <v>145</v>
      </c>
    </row>
    <row r="51" customFormat="false" ht="15" hidden="false" customHeight="false" outlineLevel="0" collapsed="false">
      <c r="A51" s="3" t="s">
        <v>139</v>
      </c>
      <c r="B51" s="3" t="s">
        <v>15</v>
      </c>
      <c r="C51" s="3" t="s">
        <v>67</v>
      </c>
      <c r="D51" s="3" t="s">
        <v>156</v>
      </c>
      <c r="E51" s="3" t="s">
        <v>157</v>
      </c>
      <c r="F51" s="3" t="s">
        <v>29</v>
      </c>
      <c r="G51" s="3" t="s">
        <v>158</v>
      </c>
      <c r="H51" s="3" t="n">
        <v>360000</v>
      </c>
      <c r="I51" s="4" t="n">
        <v>359586.45</v>
      </c>
      <c r="J51" s="5" t="n">
        <v>13</v>
      </c>
      <c r="K51" s="6" t="n">
        <f aca="false">IF(J51=0,0,I51/J51)</f>
        <v>27660.4961538462</v>
      </c>
      <c r="L51" s="4"/>
      <c r="M51" s="3" t="s">
        <v>159</v>
      </c>
      <c r="N51" s="3" t="s">
        <v>145</v>
      </c>
    </row>
    <row r="52" customFormat="false" ht="15" hidden="false" customHeight="false" outlineLevel="0" collapsed="false">
      <c r="A52" s="3" t="s">
        <v>139</v>
      </c>
      <c r="B52" s="3" t="s">
        <v>15</v>
      </c>
      <c r="C52" s="3" t="s">
        <v>32</v>
      </c>
      <c r="D52" s="3" t="s">
        <v>185</v>
      </c>
      <c r="E52" s="3" t="s">
        <v>186</v>
      </c>
      <c r="F52" s="3" t="s">
        <v>44</v>
      </c>
      <c r="G52" s="3" t="s">
        <v>187</v>
      </c>
      <c r="H52" s="3" t="n">
        <v>2</v>
      </c>
      <c r="I52" s="4" t="n">
        <v>99605.49</v>
      </c>
      <c r="J52" s="5" t="n">
        <v>5</v>
      </c>
      <c r="K52" s="6" t="n">
        <f aca="false">IF(J52=0,0,I52/J52)</f>
        <v>19921.098</v>
      </c>
      <c r="L52" s="4"/>
      <c r="M52" s="3" t="s">
        <v>188</v>
      </c>
      <c r="N52" s="3" t="s">
        <v>145</v>
      </c>
    </row>
    <row r="53" customFormat="false" ht="15" hidden="false" customHeight="false" outlineLevel="0" collapsed="false">
      <c r="A53" s="3" t="s">
        <v>139</v>
      </c>
      <c r="B53" s="3" t="s">
        <v>15</v>
      </c>
      <c r="C53" s="3" t="s">
        <v>32</v>
      </c>
      <c r="D53" s="3" t="s">
        <v>185</v>
      </c>
      <c r="E53" s="3" t="s">
        <v>189</v>
      </c>
      <c r="F53" s="3" t="s">
        <v>44</v>
      </c>
      <c r="G53" s="3" t="s">
        <v>190</v>
      </c>
      <c r="H53" s="3" t="n">
        <v>1</v>
      </c>
      <c r="I53" s="4" t="n">
        <v>80616.24</v>
      </c>
      <c r="J53" s="5" t="n">
        <v>12</v>
      </c>
      <c r="K53" s="6" t="n">
        <f aca="false">IF(J53=0,0,I53/J53)</f>
        <v>6718.02</v>
      </c>
      <c r="L53" s="4"/>
      <c r="M53" s="3" t="s">
        <v>164</v>
      </c>
      <c r="N53" s="3" t="s">
        <v>145</v>
      </c>
    </row>
    <row r="54" customFormat="false" ht="15" hidden="false" customHeight="false" outlineLevel="0" collapsed="false">
      <c r="A54" s="3" t="s">
        <v>139</v>
      </c>
      <c r="B54" s="3" t="s">
        <v>15</v>
      </c>
      <c r="C54" s="3" t="s">
        <v>32</v>
      </c>
      <c r="D54" s="3" t="s">
        <v>146</v>
      </c>
      <c r="E54" s="3" t="s">
        <v>186</v>
      </c>
      <c r="F54" s="3" t="s">
        <v>44</v>
      </c>
      <c r="G54" s="3" t="s">
        <v>187</v>
      </c>
      <c r="H54" s="3" t="n">
        <v>2</v>
      </c>
      <c r="I54" s="4" t="n">
        <v>99605</v>
      </c>
      <c r="J54" s="5" t="n">
        <v>5</v>
      </c>
      <c r="K54" s="6" t="n">
        <f aca="false">IF(J54=0,0,I54/J54)</f>
        <v>19921</v>
      </c>
      <c r="L54" s="4"/>
      <c r="M54" s="3" t="s">
        <v>188</v>
      </c>
      <c r="N54" s="3" t="s">
        <v>145</v>
      </c>
    </row>
    <row r="55" customFormat="false" ht="15" hidden="false" customHeight="false" outlineLevel="0" collapsed="false">
      <c r="A55" s="3" t="s">
        <v>139</v>
      </c>
      <c r="B55" s="3" t="s">
        <v>15</v>
      </c>
      <c r="C55" s="3" t="s">
        <v>32</v>
      </c>
      <c r="D55" s="3" t="s">
        <v>146</v>
      </c>
      <c r="E55" s="3" t="s">
        <v>191</v>
      </c>
      <c r="F55" s="3" t="s">
        <v>44</v>
      </c>
      <c r="G55" s="3" t="s">
        <v>192</v>
      </c>
      <c r="H55" s="3" t="n">
        <v>6</v>
      </c>
      <c r="I55" s="4" t="n">
        <v>238853</v>
      </c>
      <c r="J55" s="5" t="n">
        <v>4</v>
      </c>
      <c r="K55" s="6" t="n">
        <f aca="false">IF(J55=0,0,I55/J55)</f>
        <v>59713.25</v>
      </c>
      <c r="L55" s="4"/>
      <c r="M55" s="3" t="s">
        <v>164</v>
      </c>
      <c r="N55" s="3" t="s">
        <v>145</v>
      </c>
    </row>
    <row r="56" customFormat="false" ht="15" hidden="false" customHeight="false" outlineLevel="0" collapsed="false">
      <c r="A56" s="3" t="s">
        <v>139</v>
      </c>
      <c r="B56" s="3" t="s">
        <v>15</v>
      </c>
      <c r="C56" s="3" t="s">
        <v>32</v>
      </c>
      <c r="D56" s="3" t="s">
        <v>146</v>
      </c>
      <c r="E56" s="3" t="s">
        <v>193</v>
      </c>
      <c r="F56" s="3" t="s">
        <v>44</v>
      </c>
      <c r="G56" s="3" t="s">
        <v>194</v>
      </c>
      <c r="H56" s="3" t="n">
        <v>10</v>
      </c>
      <c r="I56" s="4" t="n">
        <v>99605</v>
      </c>
      <c r="J56" s="5" t="n">
        <v>4</v>
      </c>
      <c r="K56" s="6" t="n">
        <f aca="false">IF(J56=0,0,I56/J56)</f>
        <v>24901.25</v>
      </c>
      <c r="L56" s="4"/>
      <c r="M56" s="3" t="s">
        <v>188</v>
      </c>
      <c r="N56" s="3" t="s">
        <v>145</v>
      </c>
    </row>
    <row r="57" customFormat="false" ht="15" hidden="false" customHeight="false" outlineLevel="0" collapsed="false">
      <c r="A57" s="3" t="s">
        <v>139</v>
      </c>
      <c r="B57" s="3" t="s">
        <v>15</v>
      </c>
      <c r="C57" s="3" t="s">
        <v>32</v>
      </c>
      <c r="D57" s="3" t="s">
        <v>146</v>
      </c>
      <c r="E57" s="3" t="s">
        <v>174</v>
      </c>
      <c r="F57" s="3" t="s">
        <v>44</v>
      </c>
      <c r="G57" s="3" t="s">
        <v>175</v>
      </c>
      <c r="H57" s="3" t="n">
        <v>4</v>
      </c>
      <c r="I57" s="4" t="n">
        <v>173947.12</v>
      </c>
      <c r="J57" s="5" t="n">
        <v>14</v>
      </c>
      <c r="K57" s="6" t="n">
        <f aca="false">IF(J57=0,0,I57/J57)</f>
        <v>12424.7942857143</v>
      </c>
      <c r="L57" s="4"/>
      <c r="M57" s="3" t="s">
        <v>164</v>
      </c>
      <c r="N57" s="3" t="s">
        <v>145</v>
      </c>
    </row>
    <row r="58" customFormat="false" ht="15" hidden="false" customHeight="false" outlineLevel="0" collapsed="false">
      <c r="A58" s="3" t="s">
        <v>139</v>
      </c>
      <c r="B58" s="3" t="s">
        <v>15</v>
      </c>
      <c r="C58" s="3" t="s">
        <v>32</v>
      </c>
      <c r="D58" s="3" t="s">
        <v>146</v>
      </c>
      <c r="E58" s="3" t="s">
        <v>147</v>
      </c>
      <c r="F58" s="3" t="s">
        <v>148</v>
      </c>
      <c r="G58" s="3" t="s">
        <v>149</v>
      </c>
      <c r="H58" s="3" t="n">
        <v>48</v>
      </c>
      <c r="I58" s="4" t="n">
        <v>175012.31</v>
      </c>
      <c r="J58" s="5" t="n">
        <v>11</v>
      </c>
      <c r="K58" s="6" t="n">
        <f aca="false">IF(J58=0,0,I58/J58)</f>
        <v>15910.21</v>
      </c>
      <c r="L58" s="4"/>
      <c r="M58" s="3" t="s">
        <v>164</v>
      </c>
      <c r="N58" s="3" t="s">
        <v>145</v>
      </c>
    </row>
    <row r="59" customFormat="false" ht="15" hidden="false" customHeight="false" outlineLevel="0" collapsed="false">
      <c r="A59" s="3" t="s">
        <v>139</v>
      </c>
      <c r="B59" s="3" t="s">
        <v>40</v>
      </c>
      <c r="C59" s="3" t="s">
        <v>67</v>
      </c>
      <c r="D59" s="3" t="s">
        <v>168</v>
      </c>
      <c r="E59" s="3" t="s">
        <v>169</v>
      </c>
      <c r="F59" s="3" t="s">
        <v>105</v>
      </c>
      <c r="G59" s="3" t="s">
        <v>170</v>
      </c>
      <c r="H59" s="3" t="n">
        <v>2</v>
      </c>
      <c r="I59" s="4" t="n">
        <v>18711.96</v>
      </c>
      <c r="J59" s="5" t="n">
        <v>11</v>
      </c>
      <c r="K59" s="6" t="n">
        <f aca="false">IF(J59=0,0,I59/J59)</f>
        <v>1701.08727272727</v>
      </c>
      <c r="L59" s="4"/>
      <c r="M59" s="3" t="s">
        <v>195</v>
      </c>
      <c r="N59" s="3" t="s">
        <v>145</v>
      </c>
    </row>
    <row r="60" customFormat="false" ht="15" hidden="false" customHeight="false" outlineLevel="0" collapsed="false">
      <c r="A60" s="3" t="s">
        <v>139</v>
      </c>
      <c r="B60" s="3" t="s">
        <v>40</v>
      </c>
      <c r="C60" s="3" t="s">
        <v>67</v>
      </c>
      <c r="D60" s="3" t="s">
        <v>141</v>
      </c>
      <c r="E60" s="3" t="s">
        <v>157</v>
      </c>
      <c r="F60" s="3" t="s">
        <v>44</v>
      </c>
      <c r="G60" s="3" t="s">
        <v>196</v>
      </c>
      <c r="H60" s="3" t="n">
        <v>3</v>
      </c>
      <c r="I60" s="4" t="n">
        <v>7339.55</v>
      </c>
      <c r="J60" s="5" t="n">
        <v>6</v>
      </c>
      <c r="K60" s="6" t="n">
        <f aca="false">IF(J60=0,0,I60/J60)</f>
        <v>1223.25833333333</v>
      </c>
      <c r="L60" s="4"/>
      <c r="M60" s="3" t="s">
        <v>195</v>
      </c>
      <c r="N60" s="3" t="s">
        <v>145</v>
      </c>
    </row>
    <row r="61" customFormat="false" ht="15" hidden="false" customHeight="false" outlineLevel="0" collapsed="false">
      <c r="A61" s="3" t="s">
        <v>139</v>
      </c>
      <c r="B61" s="3" t="s">
        <v>40</v>
      </c>
      <c r="C61" s="3" t="s">
        <v>32</v>
      </c>
      <c r="D61" s="3" t="s">
        <v>185</v>
      </c>
      <c r="E61" s="3" t="s">
        <v>189</v>
      </c>
      <c r="F61" s="3" t="s">
        <v>44</v>
      </c>
      <c r="G61" s="3" t="s">
        <v>190</v>
      </c>
      <c r="H61" s="3" t="n">
        <v>1</v>
      </c>
      <c r="I61" s="4" t="n">
        <v>13174.12</v>
      </c>
      <c r="J61" s="5" t="n">
        <v>12</v>
      </c>
      <c r="K61" s="6" t="n">
        <f aca="false">IF(J61=0,0,I61/J61)</f>
        <v>1097.84333333333</v>
      </c>
      <c r="L61" s="4"/>
      <c r="M61" s="3" t="s">
        <v>195</v>
      </c>
      <c r="N61" s="3" t="s">
        <v>145</v>
      </c>
    </row>
    <row r="62" customFormat="false" ht="15" hidden="false" customHeight="false" outlineLevel="0" collapsed="false">
      <c r="A62" s="3" t="s">
        <v>139</v>
      </c>
      <c r="B62" s="3" t="s">
        <v>197</v>
      </c>
      <c r="C62" s="3" t="s">
        <v>108</v>
      </c>
      <c r="D62" s="3" t="s">
        <v>161</v>
      </c>
      <c r="E62" s="3" t="s">
        <v>198</v>
      </c>
      <c r="F62" s="3" t="s">
        <v>105</v>
      </c>
      <c r="G62" s="3" t="s">
        <v>199</v>
      </c>
      <c r="H62" s="3" t="n">
        <v>1</v>
      </c>
      <c r="I62" s="4" t="n">
        <v>55663.95</v>
      </c>
      <c r="J62" s="5" t="n">
        <v>3</v>
      </c>
      <c r="K62" s="6" t="n">
        <f aca="false">IF(J62=0,0,I62/J62)</f>
        <v>18554.65</v>
      </c>
      <c r="L62" s="4"/>
      <c r="M62" s="3" t="s">
        <v>200</v>
      </c>
      <c r="N62" s="3" t="s">
        <v>145</v>
      </c>
    </row>
    <row r="63" customFormat="false" ht="15" hidden="false" customHeight="false" outlineLevel="0" collapsed="false">
      <c r="A63" s="3" t="s">
        <v>139</v>
      </c>
      <c r="B63" s="3" t="s">
        <v>197</v>
      </c>
      <c r="C63" s="3" t="s">
        <v>108</v>
      </c>
      <c r="D63" s="3" t="s">
        <v>176</v>
      </c>
      <c r="E63" s="3" t="s">
        <v>201</v>
      </c>
      <c r="F63" s="3" t="s">
        <v>44</v>
      </c>
      <c r="G63" s="3" t="s">
        <v>202</v>
      </c>
      <c r="H63" s="3" t="n">
        <v>2</v>
      </c>
      <c r="I63" s="4" t="n">
        <v>30000</v>
      </c>
      <c r="J63" s="5" t="n">
        <v>4</v>
      </c>
      <c r="K63" s="6" t="n">
        <f aca="false">IF(J63=0,0,I63/J63)</f>
        <v>7500</v>
      </c>
      <c r="L63" s="4"/>
      <c r="M63" s="3" t="s">
        <v>203</v>
      </c>
      <c r="N63" s="3" t="s">
        <v>145</v>
      </c>
    </row>
    <row r="64" customFormat="false" ht="15" hidden="false" customHeight="false" outlineLevel="0" collapsed="false">
      <c r="A64" s="3" t="s">
        <v>139</v>
      </c>
      <c r="B64" s="3" t="s">
        <v>197</v>
      </c>
      <c r="C64" s="3" t="s">
        <v>108</v>
      </c>
      <c r="D64" s="3" t="s">
        <v>176</v>
      </c>
      <c r="E64" s="3" t="s">
        <v>201</v>
      </c>
      <c r="F64" s="3" t="s">
        <v>105</v>
      </c>
      <c r="G64" s="3" t="s">
        <v>204</v>
      </c>
      <c r="H64" s="3" t="n">
        <v>2</v>
      </c>
      <c r="I64" s="4" t="n">
        <v>37506.21</v>
      </c>
      <c r="J64" s="5" t="n">
        <v>4</v>
      </c>
      <c r="K64" s="6" t="n">
        <f aca="false">IF(J64=0,0,I64/J64)</f>
        <v>9376.5525</v>
      </c>
      <c r="L64" s="4"/>
      <c r="M64" s="3" t="s">
        <v>205</v>
      </c>
      <c r="N64" s="3" t="s">
        <v>145</v>
      </c>
    </row>
    <row r="65" customFormat="false" ht="15" hidden="false" customHeight="false" outlineLevel="0" collapsed="false">
      <c r="A65" s="3" t="s">
        <v>139</v>
      </c>
      <c r="B65" s="3" t="s">
        <v>197</v>
      </c>
      <c r="C65" s="3" t="s">
        <v>41</v>
      </c>
      <c r="D65" s="3" t="s">
        <v>180</v>
      </c>
      <c r="E65" s="3" t="s">
        <v>206</v>
      </c>
      <c r="F65" s="3" t="s">
        <v>44</v>
      </c>
      <c r="G65" s="3" t="s">
        <v>207</v>
      </c>
      <c r="H65" s="3" t="n">
        <v>1</v>
      </c>
      <c r="I65" s="4" t="n">
        <v>20000</v>
      </c>
      <c r="J65" s="5" t="n">
        <v>11</v>
      </c>
      <c r="K65" s="6" t="n">
        <f aca="false">IF(J65=0,0,I65/J65)</f>
        <v>1818.18181818182</v>
      </c>
      <c r="L65" s="4"/>
      <c r="M65" s="3" t="s">
        <v>205</v>
      </c>
      <c r="N65" s="3" t="s">
        <v>145</v>
      </c>
    </row>
    <row r="66" customFormat="false" ht="15" hidden="false" customHeight="false" outlineLevel="0" collapsed="false">
      <c r="A66" s="3" t="s">
        <v>139</v>
      </c>
      <c r="B66" s="3" t="s">
        <v>197</v>
      </c>
      <c r="C66" s="3" t="s">
        <v>41</v>
      </c>
      <c r="D66" s="3" t="s">
        <v>180</v>
      </c>
      <c r="E66" s="3" t="s">
        <v>208</v>
      </c>
      <c r="F66" s="3" t="s">
        <v>105</v>
      </c>
      <c r="G66" s="3" t="s">
        <v>209</v>
      </c>
      <c r="H66" s="3" t="n">
        <v>1</v>
      </c>
      <c r="I66" s="4" t="n">
        <v>19775.52</v>
      </c>
      <c r="J66" s="5" t="n">
        <v>11</v>
      </c>
      <c r="K66" s="6" t="n">
        <f aca="false">IF(J66=0,0,I66/J66)</f>
        <v>1797.77454545455</v>
      </c>
      <c r="L66" s="4"/>
      <c r="M66" s="3" t="s">
        <v>205</v>
      </c>
      <c r="N66" s="3" t="s">
        <v>145</v>
      </c>
    </row>
    <row r="67" customFormat="false" ht="15" hidden="false" customHeight="false" outlineLevel="0" collapsed="false">
      <c r="A67" s="3" t="s">
        <v>139</v>
      </c>
      <c r="B67" s="3" t="s">
        <v>197</v>
      </c>
      <c r="C67" s="3" t="s">
        <v>67</v>
      </c>
      <c r="D67" s="3" t="s">
        <v>141</v>
      </c>
      <c r="E67" s="3" t="s">
        <v>210</v>
      </c>
      <c r="F67" s="3" t="s">
        <v>105</v>
      </c>
      <c r="G67" s="3" t="s">
        <v>211</v>
      </c>
      <c r="H67" s="3" t="n">
        <v>1</v>
      </c>
      <c r="I67" s="4" t="n">
        <v>106680.25</v>
      </c>
      <c r="J67" s="5" t="n">
        <v>12</v>
      </c>
      <c r="K67" s="6" t="n">
        <f aca="false">IF(J67=0,0,I67/J67)</f>
        <v>8890.02083333333</v>
      </c>
      <c r="L67" s="4"/>
      <c r="M67" s="3" t="s">
        <v>155</v>
      </c>
      <c r="N67" s="3" t="s">
        <v>145</v>
      </c>
    </row>
    <row r="68" customFormat="false" ht="15" hidden="false" customHeight="false" outlineLevel="0" collapsed="false">
      <c r="A68" s="3" t="s">
        <v>139</v>
      </c>
      <c r="B68" s="3" t="s">
        <v>197</v>
      </c>
      <c r="C68" s="3" t="s">
        <v>67</v>
      </c>
      <c r="D68" s="3" t="s">
        <v>141</v>
      </c>
      <c r="E68" s="3" t="s">
        <v>171</v>
      </c>
      <c r="F68" s="3" t="s">
        <v>105</v>
      </c>
      <c r="G68" s="3" t="s">
        <v>172</v>
      </c>
      <c r="H68" s="3" t="n">
        <v>2</v>
      </c>
      <c r="I68" s="4" t="n">
        <v>43685.77</v>
      </c>
      <c r="J68" s="5" t="n">
        <v>7</v>
      </c>
      <c r="K68" s="6" t="n">
        <f aca="false">IF(J68=0,0,I68/J68)</f>
        <v>6240.82428571429</v>
      </c>
      <c r="L68" s="4"/>
      <c r="M68" s="3" t="s">
        <v>205</v>
      </c>
      <c r="N68" s="3" t="s">
        <v>145</v>
      </c>
    </row>
    <row r="69" customFormat="false" ht="15" hidden="false" customHeight="false" outlineLevel="0" collapsed="false">
      <c r="A69" s="3" t="s">
        <v>139</v>
      </c>
      <c r="B69" s="3" t="s">
        <v>197</v>
      </c>
      <c r="C69" s="3" t="s">
        <v>67</v>
      </c>
      <c r="D69" s="3" t="s">
        <v>141</v>
      </c>
      <c r="E69" s="3" t="s">
        <v>142</v>
      </c>
      <c r="F69" s="3" t="s">
        <v>105</v>
      </c>
      <c r="G69" s="3" t="s">
        <v>173</v>
      </c>
      <c r="H69" s="3" t="n">
        <v>1</v>
      </c>
      <c r="I69" s="4" t="n">
        <v>36593.51</v>
      </c>
      <c r="J69" s="5" t="n">
        <v>9</v>
      </c>
      <c r="K69" s="6" t="n">
        <f aca="false">IF(J69=0,0,I69/J69)</f>
        <v>4065.94555555556</v>
      </c>
      <c r="L69" s="4"/>
      <c r="M69" s="3" t="s">
        <v>205</v>
      </c>
      <c r="N69" s="3" t="s">
        <v>145</v>
      </c>
    </row>
    <row r="70" customFormat="false" ht="15" hidden="false" customHeight="false" outlineLevel="0" collapsed="false">
      <c r="A70" s="3" t="s">
        <v>139</v>
      </c>
      <c r="B70" s="3" t="s">
        <v>197</v>
      </c>
      <c r="C70" s="3" t="s">
        <v>67</v>
      </c>
      <c r="D70" s="3" t="s">
        <v>141</v>
      </c>
      <c r="E70" s="3" t="s">
        <v>142</v>
      </c>
      <c r="F70" s="3" t="s">
        <v>44</v>
      </c>
      <c r="G70" s="3" t="s">
        <v>143</v>
      </c>
      <c r="H70" s="3" t="n">
        <v>5</v>
      </c>
      <c r="I70" s="4" t="n">
        <v>165589.98</v>
      </c>
      <c r="J70" s="5" t="n">
        <v>12</v>
      </c>
      <c r="K70" s="6" t="n">
        <f aca="false">IF(J70=0,0,I70/J70)</f>
        <v>13799.165</v>
      </c>
      <c r="L70" s="4"/>
      <c r="M70" s="3" t="s">
        <v>205</v>
      </c>
      <c r="N70" s="3" t="s">
        <v>145</v>
      </c>
    </row>
    <row r="71" customFormat="false" ht="15" hidden="false" customHeight="false" outlineLevel="0" collapsed="false">
      <c r="A71" s="3" t="s">
        <v>139</v>
      </c>
      <c r="B71" s="3" t="s">
        <v>197</v>
      </c>
      <c r="C71" s="3" t="s">
        <v>32</v>
      </c>
      <c r="D71" s="3" t="s">
        <v>146</v>
      </c>
      <c r="E71" s="3" t="s">
        <v>174</v>
      </c>
      <c r="F71" s="3" t="s">
        <v>44</v>
      </c>
      <c r="G71" s="3" t="s">
        <v>175</v>
      </c>
      <c r="H71" s="3" t="n">
        <v>2</v>
      </c>
      <c r="I71" s="4" t="n">
        <v>25000</v>
      </c>
      <c r="J71" s="5" t="n">
        <v>14</v>
      </c>
      <c r="K71" s="6" t="n">
        <f aca="false">IF(J71=0,0,I71/J71)</f>
        <v>1785.71428571429</v>
      </c>
      <c r="L71" s="4"/>
      <c r="M71" s="3" t="s">
        <v>205</v>
      </c>
      <c r="N71" s="3" t="s">
        <v>145</v>
      </c>
    </row>
    <row r="72" customFormat="false" ht="15" hidden="false" customHeight="false" outlineLevel="0" collapsed="false">
      <c r="A72" s="3" t="s">
        <v>139</v>
      </c>
      <c r="B72" s="3" t="s">
        <v>197</v>
      </c>
      <c r="C72" s="3" t="s">
        <v>32</v>
      </c>
      <c r="D72" s="3" t="s">
        <v>146</v>
      </c>
      <c r="E72" s="3" t="s">
        <v>147</v>
      </c>
      <c r="F72" s="3" t="s">
        <v>148</v>
      </c>
      <c r="G72" s="3" t="s">
        <v>149</v>
      </c>
      <c r="H72" s="3" t="n">
        <v>15</v>
      </c>
      <c r="I72" s="4" t="n">
        <v>25000</v>
      </c>
      <c r="J72" s="5" t="n">
        <v>11</v>
      </c>
      <c r="K72" s="6" t="n">
        <f aca="false">IF(J72=0,0,I72/J72)</f>
        <v>2272.72727272727</v>
      </c>
      <c r="L72" s="4"/>
      <c r="M72" s="3" t="s">
        <v>205</v>
      </c>
      <c r="N72" s="3" t="s">
        <v>145</v>
      </c>
    </row>
    <row r="73" customFormat="false" ht="15" hidden="false" customHeight="false" outlineLevel="0" collapsed="false">
      <c r="A73" s="3" t="s">
        <v>139</v>
      </c>
      <c r="B73" s="3" t="s">
        <v>47</v>
      </c>
      <c r="C73" s="3" t="s">
        <v>108</v>
      </c>
      <c r="D73" s="3" t="s">
        <v>161</v>
      </c>
      <c r="E73" s="3" t="s">
        <v>162</v>
      </c>
      <c r="F73" s="3" t="s">
        <v>44</v>
      </c>
      <c r="G73" s="3" t="s">
        <v>163</v>
      </c>
      <c r="H73" s="3" t="n">
        <v>2</v>
      </c>
      <c r="I73" s="4" t="n">
        <v>16000</v>
      </c>
      <c r="J73" s="5" t="n">
        <v>7</v>
      </c>
      <c r="K73" s="6" t="n">
        <f aca="false">IF(J73=0,0,I73/J73)</f>
        <v>2285.71428571429</v>
      </c>
      <c r="L73" s="4"/>
      <c r="M73" s="3" t="s">
        <v>212</v>
      </c>
      <c r="N73" s="3" t="s">
        <v>145</v>
      </c>
    </row>
    <row r="74" customFormat="false" ht="15" hidden="false" customHeight="false" outlineLevel="0" collapsed="false">
      <c r="A74" s="3" t="s">
        <v>139</v>
      </c>
      <c r="B74" s="3" t="s">
        <v>47</v>
      </c>
      <c r="C74" s="3" t="s">
        <v>67</v>
      </c>
      <c r="D74" s="3" t="s">
        <v>168</v>
      </c>
      <c r="E74" s="3" t="s">
        <v>169</v>
      </c>
      <c r="F74" s="3" t="s">
        <v>105</v>
      </c>
      <c r="G74" s="3" t="s">
        <v>170</v>
      </c>
      <c r="H74" s="3" t="n">
        <v>3</v>
      </c>
      <c r="I74" s="4" t="n">
        <v>7500</v>
      </c>
      <c r="J74" s="5" t="n">
        <v>11</v>
      </c>
      <c r="K74" s="6" t="n">
        <f aca="false">IF(J74=0,0,I74/J74)</f>
        <v>681.818181818182</v>
      </c>
      <c r="L74" s="4"/>
      <c r="M74" s="3" t="s">
        <v>213</v>
      </c>
      <c r="N74" s="3" t="s">
        <v>145</v>
      </c>
    </row>
    <row r="75" customFormat="false" ht="15" hidden="false" customHeight="false" outlineLevel="0" collapsed="false">
      <c r="A75" s="3" t="s">
        <v>139</v>
      </c>
      <c r="B75" s="3" t="s">
        <v>47</v>
      </c>
      <c r="C75" s="3" t="s">
        <v>67</v>
      </c>
      <c r="D75" s="3" t="s">
        <v>141</v>
      </c>
      <c r="E75" s="3" t="s">
        <v>210</v>
      </c>
      <c r="F75" s="3" t="s">
        <v>105</v>
      </c>
      <c r="G75" s="3" t="s">
        <v>211</v>
      </c>
      <c r="H75" s="3" t="n">
        <v>1</v>
      </c>
      <c r="I75" s="4" t="n">
        <v>8000</v>
      </c>
      <c r="J75" s="5" t="n">
        <v>12</v>
      </c>
      <c r="K75" s="6" t="n">
        <f aca="false">IF(J75=0,0,I75/J75)</f>
        <v>666.666666666667</v>
      </c>
      <c r="L75" s="4"/>
      <c r="M75" s="3" t="s">
        <v>214</v>
      </c>
      <c r="N75" s="3" t="s">
        <v>145</v>
      </c>
    </row>
    <row r="76" customFormat="false" ht="15" hidden="false" customHeight="false" outlineLevel="0" collapsed="false">
      <c r="A76" s="3" t="s">
        <v>139</v>
      </c>
      <c r="B76" s="3" t="s">
        <v>47</v>
      </c>
      <c r="C76" s="3" t="s">
        <v>67</v>
      </c>
      <c r="D76" s="3" t="s">
        <v>141</v>
      </c>
      <c r="E76" s="3" t="s">
        <v>142</v>
      </c>
      <c r="F76" s="3" t="s">
        <v>105</v>
      </c>
      <c r="G76" s="3" t="s">
        <v>173</v>
      </c>
      <c r="H76" s="3" t="n">
        <v>3</v>
      </c>
      <c r="I76" s="4" t="n">
        <v>12000</v>
      </c>
      <c r="J76" s="5" t="n">
        <v>9</v>
      </c>
      <c r="K76" s="6" t="n">
        <f aca="false">IF(J76=0,0,I76/J76)</f>
        <v>1333.33333333333</v>
      </c>
      <c r="L76" s="4"/>
      <c r="M76" s="3" t="s">
        <v>215</v>
      </c>
      <c r="N76" s="3" t="s">
        <v>145</v>
      </c>
    </row>
    <row r="77" customFormat="false" ht="15" hidden="false" customHeight="false" outlineLevel="0" collapsed="false">
      <c r="A77" s="3" t="s">
        <v>139</v>
      </c>
      <c r="B77" s="3" t="s">
        <v>47</v>
      </c>
      <c r="C77" s="3" t="s">
        <v>67</v>
      </c>
      <c r="D77" s="3" t="s">
        <v>141</v>
      </c>
      <c r="E77" s="3" t="s">
        <v>142</v>
      </c>
      <c r="F77" s="3" t="s">
        <v>44</v>
      </c>
      <c r="G77" s="3" t="s">
        <v>143</v>
      </c>
      <c r="H77" s="3" t="n">
        <v>7</v>
      </c>
      <c r="I77" s="4" t="n">
        <v>77237</v>
      </c>
      <c r="J77" s="5" t="n">
        <v>12</v>
      </c>
      <c r="K77" s="6" t="n">
        <f aca="false">IF(J77=0,0,I77/J77)</f>
        <v>6436.41666666667</v>
      </c>
      <c r="L77" s="4"/>
      <c r="M77" s="3" t="s">
        <v>216</v>
      </c>
      <c r="N77" s="3" t="s">
        <v>145</v>
      </c>
    </row>
    <row r="78" customFormat="false" ht="15" hidden="false" customHeight="false" outlineLevel="0" collapsed="false">
      <c r="A78" s="3" t="s">
        <v>139</v>
      </c>
      <c r="B78" s="3" t="s">
        <v>47</v>
      </c>
      <c r="C78" s="3" t="s">
        <v>67</v>
      </c>
      <c r="D78" s="3" t="s">
        <v>156</v>
      </c>
      <c r="E78" s="3" t="s">
        <v>157</v>
      </c>
      <c r="F78" s="3" t="s">
        <v>29</v>
      </c>
      <c r="G78" s="3" t="s">
        <v>158</v>
      </c>
      <c r="H78" s="3" t="n">
        <v>100</v>
      </c>
      <c r="I78" s="4" t="n">
        <v>8000</v>
      </c>
      <c r="J78" s="5" t="n">
        <v>13</v>
      </c>
      <c r="K78" s="6" t="n">
        <f aca="false">IF(J78=0,0,I78/J78)</f>
        <v>615.384615384615</v>
      </c>
      <c r="L78" s="4"/>
      <c r="M78" s="3" t="s">
        <v>159</v>
      </c>
      <c r="N78" s="3" t="s">
        <v>145</v>
      </c>
    </row>
    <row r="79" customFormat="false" ht="15" hidden="false" customHeight="false" outlineLevel="0" collapsed="false">
      <c r="A79" s="3" t="s">
        <v>139</v>
      </c>
      <c r="B79" s="3" t="s">
        <v>47</v>
      </c>
      <c r="C79" s="3" t="s">
        <v>32</v>
      </c>
      <c r="D79" s="3" t="s">
        <v>146</v>
      </c>
      <c r="E79" s="3" t="s">
        <v>174</v>
      </c>
      <c r="F79" s="3" t="s">
        <v>44</v>
      </c>
      <c r="G79" s="3" t="s">
        <v>175</v>
      </c>
      <c r="H79" s="3" t="n">
        <v>1</v>
      </c>
      <c r="I79" s="4" t="n">
        <v>5000</v>
      </c>
      <c r="J79" s="5" t="n">
        <v>14</v>
      </c>
      <c r="K79" s="6" t="n">
        <f aca="false">IF(J79=0,0,I79/J79)</f>
        <v>357.142857142857</v>
      </c>
      <c r="L79" s="4"/>
      <c r="M79" s="3" t="s">
        <v>217</v>
      </c>
      <c r="N79" s="3" t="s">
        <v>145</v>
      </c>
    </row>
    <row r="80" customFormat="false" ht="15" hidden="false" customHeight="false" outlineLevel="0" collapsed="false">
      <c r="A80" s="3" t="s">
        <v>139</v>
      </c>
      <c r="B80" s="3" t="s">
        <v>47</v>
      </c>
      <c r="C80" s="3" t="s">
        <v>32</v>
      </c>
      <c r="D80" s="3" t="s">
        <v>146</v>
      </c>
      <c r="E80" s="3" t="s">
        <v>147</v>
      </c>
      <c r="F80" s="3" t="s">
        <v>148</v>
      </c>
      <c r="G80" s="3" t="s">
        <v>149</v>
      </c>
      <c r="H80" s="3" t="n">
        <v>13</v>
      </c>
      <c r="I80" s="4" t="n">
        <v>12000</v>
      </c>
      <c r="J80" s="5" t="n">
        <v>11</v>
      </c>
      <c r="K80" s="6" t="n">
        <f aca="false">IF(J80=0,0,I80/J80)</f>
        <v>1090.90909090909</v>
      </c>
      <c r="L80" s="4"/>
      <c r="M80" s="3" t="s">
        <v>218</v>
      </c>
      <c r="N80" s="3" t="s">
        <v>145</v>
      </c>
    </row>
    <row r="81" customFormat="false" ht="15" hidden="false" customHeight="false" outlineLevel="0" collapsed="false">
      <c r="A81" s="3" t="s">
        <v>139</v>
      </c>
      <c r="B81" s="3" t="s">
        <v>107</v>
      </c>
      <c r="C81" s="3" t="s">
        <v>108</v>
      </c>
      <c r="D81" s="3" t="s">
        <v>152</v>
      </c>
      <c r="E81" s="3" t="s">
        <v>153</v>
      </c>
      <c r="F81" s="3" t="s">
        <v>105</v>
      </c>
      <c r="G81" s="3" t="s">
        <v>154</v>
      </c>
      <c r="H81" s="3" t="n">
        <v>2</v>
      </c>
      <c r="I81" s="4" t="n">
        <v>62341</v>
      </c>
      <c r="J81" s="5" t="n">
        <v>3</v>
      </c>
      <c r="K81" s="6" t="n">
        <f aca="false">IF(J81=0,0,I81/J81)</f>
        <v>20780.3333333333</v>
      </c>
      <c r="L81" s="4"/>
      <c r="M81" s="3" t="s">
        <v>159</v>
      </c>
      <c r="N81" s="3" t="s">
        <v>145</v>
      </c>
    </row>
    <row r="82" customFormat="false" ht="15" hidden="false" customHeight="false" outlineLevel="0" collapsed="false">
      <c r="A82" s="3" t="s">
        <v>139</v>
      </c>
      <c r="B82" s="3" t="s">
        <v>107</v>
      </c>
      <c r="C82" s="3" t="s">
        <v>41</v>
      </c>
      <c r="D82" s="3" t="s">
        <v>165</v>
      </c>
      <c r="E82" s="3" t="s">
        <v>166</v>
      </c>
      <c r="F82" s="3" t="s">
        <v>105</v>
      </c>
      <c r="G82" s="3" t="s">
        <v>167</v>
      </c>
      <c r="H82" s="3" t="n">
        <v>1</v>
      </c>
      <c r="I82" s="4" t="n">
        <v>33254</v>
      </c>
      <c r="J82" s="5" t="n">
        <v>19</v>
      </c>
      <c r="K82" s="6" t="n">
        <f aca="false">IF(J82=0,0,I82/J82)</f>
        <v>1750.21052631579</v>
      </c>
      <c r="L82" s="4"/>
      <c r="M82" s="3" t="s">
        <v>159</v>
      </c>
      <c r="N82" s="3" t="s">
        <v>145</v>
      </c>
    </row>
    <row r="83" customFormat="false" ht="15" hidden="false" customHeight="false" outlineLevel="0" collapsed="false">
      <c r="A83" s="3" t="s">
        <v>139</v>
      </c>
      <c r="B83" s="3" t="s">
        <v>219</v>
      </c>
      <c r="C83" s="3" t="s">
        <v>108</v>
      </c>
      <c r="D83" s="3" t="s">
        <v>161</v>
      </c>
      <c r="E83" s="3" t="s">
        <v>162</v>
      </c>
      <c r="F83" s="3" t="s">
        <v>44</v>
      </c>
      <c r="G83" s="3" t="s">
        <v>163</v>
      </c>
      <c r="H83" s="3" t="n">
        <v>1</v>
      </c>
      <c r="I83" s="4" t="n">
        <v>73000</v>
      </c>
      <c r="J83" s="5" t="n">
        <v>7</v>
      </c>
      <c r="K83" s="6" t="n">
        <f aca="false">IF(J83=0,0,I83/J83)</f>
        <v>10428.5714285714</v>
      </c>
      <c r="L83" s="4"/>
      <c r="M83" s="3" t="s">
        <v>159</v>
      </c>
      <c r="N83" s="3" t="s">
        <v>145</v>
      </c>
    </row>
    <row r="84" customFormat="false" ht="15" hidden="false" customHeight="false" outlineLevel="0" collapsed="false">
      <c r="A84" s="3" t="s">
        <v>139</v>
      </c>
      <c r="B84" s="3" t="s">
        <v>219</v>
      </c>
      <c r="C84" s="3" t="s">
        <v>108</v>
      </c>
      <c r="D84" s="3" t="s">
        <v>152</v>
      </c>
      <c r="E84" s="3" t="s">
        <v>153</v>
      </c>
      <c r="F84" s="3" t="s">
        <v>105</v>
      </c>
      <c r="G84" s="3" t="s">
        <v>154</v>
      </c>
      <c r="H84" s="3" t="n">
        <v>1</v>
      </c>
      <c r="I84" s="4" t="n">
        <v>21000</v>
      </c>
      <c r="J84" s="5" t="n">
        <v>3</v>
      </c>
      <c r="K84" s="6" t="n">
        <f aca="false">IF(J84=0,0,I84/J84)</f>
        <v>7000</v>
      </c>
      <c r="L84" s="4"/>
      <c r="M84" s="3" t="s">
        <v>164</v>
      </c>
      <c r="N84" s="3" t="s">
        <v>145</v>
      </c>
    </row>
    <row r="85" customFormat="false" ht="15" hidden="false" customHeight="false" outlineLevel="0" collapsed="false">
      <c r="A85" s="3" t="s">
        <v>139</v>
      </c>
      <c r="B85" s="3" t="s">
        <v>219</v>
      </c>
      <c r="C85" s="3" t="s">
        <v>41</v>
      </c>
      <c r="D85" s="3" t="s">
        <v>165</v>
      </c>
      <c r="E85" s="3" t="s">
        <v>166</v>
      </c>
      <c r="F85" s="3" t="s">
        <v>105</v>
      </c>
      <c r="G85" s="3" t="s">
        <v>167</v>
      </c>
      <c r="H85" s="3" t="n">
        <v>1</v>
      </c>
      <c r="I85" s="4" t="n">
        <v>39775.53</v>
      </c>
      <c r="J85" s="5" t="n">
        <v>19</v>
      </c>
      <c r="K85" s="6" t="n">
        <f aca="false">IF(J85=0,0,I85/J85)</f>
        <v>2093.44894736842</v>
      </c>
      <c r="L85" s="4"/>
      <c r="M85" s="3" t="s">
        <v>164</v>
      </c>
      <c r="N85" s="3" t="s">
        <v>145</v>
      </c>
    </row>
    <row r="86" customFormat="false" ht="15" hidden="false" customHeight="false" outlineLevel="0" collapsed="false">
      <c r="A86" s="3" t="s">
        <v>139</v>
      </c>
      <c r="B86" s="3" t="s">
        <v>219</v>
      </c>
      <c r="C86" s="3" t="s">
        <v>41</v>
      </c>
      <c r="D86" s="3" t="s">
        <v>180</v>
      </c>
      <c r="E86" s="3" t="s">
        <v>206</v>
      </c>
      <c r="F86" s="3" t="s">
        <v>44</v>
      </c>
      <c r="G86" s="3" t="s">
        <v>207</v>
      </c>
      <c r="H86" s="3" t="n">
        <v>3</v>
      </c>
      <c r="I86" s="4" t="n">
        <v>231046.01</v>
      </c>
      <c r="J86" s="5" t="n">
        <v>11</v>
      </c>
      <c r="K86" s="6" t="n">
        <f aca="false">IF(J86=0,0,I86/J86)</f>
        <v>21004.1827272727</v>
      </c>
      <c r="L86" s="4"/>
      <c r="M86" s="3" t="s">
        <v>159</v>
      </c>
      <c r="N86" s="3" t="s">
        <v>145</v>
      </c>
    </row>
    <row r="87" customFormat="false" ht="15" hidden="false" customHeight="false" outlineLevel="0" collapsed="false">
      <c r="A87" s="3" t="s">
        <v>139</v>
      </c>
      <c r="B87" s="3" t="s">
        <v>219</v>
      </c>
      <c r="C87" s="3" t="s">
        <v>67</v>
      </c>
      <c r="D87" s="3" t="s">
        <v>168</v>
      </c>
      <c r="E87" s="3" t="s">
        <v>169</v>
      </c>
      <c r="F87" s="3" t="s">
        <v>105</v>
      </c>
      <c r="G87" s="3" t="s">
        <v>170</v>
      </c>
      <c r="H87" s="3" t="n">
        <v>3</v>
      </c>
      <c r="I87" s="4" t="n">
        <v>222742.98</v>
      </c>
      <c r="J87" s="5" t="n">
        <v>11</v>
      </c>
      <c r="K87" s="6" t="n">
        <f aca="false">IF(J87=0,0,I87/J87)</f>
        <v>20249.3618181818</v>
      </c>
      <c r="L87" s="4"/>
      <c r="M87" s="3" t="s">
        <v>164</v>
      </c>
      <c r="N87" s="3" t="s">
        <v>145</v>
      </c>
    </row>
    <row r="88" customFormat="false" ht="15" hidden="false" customHeight="false" outlineLevel="0" collapsed="false">
      <c r="A88" s="3" t="s">
        <v>139</v>
      </c>
      <c r="B88" s="3" t="s">
        <v>219</v>
      </c>
      <c r="C88" s="3" t="s">
        <v>67</v>
      </c>
      <c r="D88" s="3" t="s">
        <v>141</v>
      </c>
      <c r="E88" s="3" t="s">
        <v>210</v>
      </c>
      <c r="F88" s="3" t="s">
        <v>105</v>
      </c>
      <c r="G88" s="3" t="s">
        <v>211</v>
      </c>
      <c r="H88" s="3" t="n">
        <v>10</v>
      </c>
      <c r="I88" s="4" t="n">
        <v>139586.86</v>
      </c>
      <c r="J88" s="5" t="n">
        <v>12</v>
      </c>
      <c r="K88" s="6" t="n">
        <f aca="false">IF(J88=0,0,I88/J88)</f>
        <v>11632.2383333333</v>
      </c>
      <c r="L88" s="4"/>
      <c r="M88" s="3" t="s">
        <v>164</v>
      </c>
      <c r="N88" s="3" t="s">
        <v>145</v>
      </c>
    </row>
    <row r="89" customFormat="false" ht="15" hidden="false" customHeight="false" outlineLevel="0" collapsed="false">
      <c r="A89" s="3" t="s">
        <v>139</v>
      </c>
      <c r="B89" s="3" t="s">
        <v>219</v>
      </c>
      <c r="C89" s="3" t="s">
        <v>67</v>
      </c>
      <c r="D89" s="3" t="s">
        <v>141</v>
      </c>
      <c r="E89" s="3" t="s">
        <v>171</v>
      </c>
      <c r="F89" s="3" t="s">
        <v>105</v>
      </c>
      <c r="G89" s="3" t="s">
        <v>172</v>
      </c>
      <c r="H89" s="3" t="n">
        <v>2</v>
      </c>
      <c r="I89" s="4" t="n">
        <v>78416.38</v>
      </c>
      <c r="J89" s="5" t="n">
        <v>7</v>
      </c>
      <c r="K89" s="6" t="n">
        <f aca="false">IF(J89=0,0,I89/J89)</f>
        <v>11202.34</v>
      </c>
      <c r="L89" s="4"/>
      <c r="M89" s="3" t="s">
        <v>164</v>
      </c>
      <c r="N89" s="3" t="s">
        <v>145</v>
      </c>
    </row>
    <row r="90" customFormat="false" ht="15" hidden="false" customHeight="false" outlineLevel="0" collapsed="false">
      <c r="A90" s="3" t="s">
        <v>139</v>
      </c>
      <c r="B90" s="3" t="s">
        <v>219</v>
      </c>
      <c r="C90" s="3" t="s">
        <v>67</v>
      </c>
      <c r="D90" s="3" t="s">
        <v>141</v>
      </c>
      <c r="E90" s="3" t="s">
        <v>142</v>
      </c>
      <c r="F90" s="3" t="s">
        <v>105</v>
      </c>
      <c r="G90" s="3" t="s">
        <v>173</v>
      </c>
      <c r="H90" s="3" t="n">
        <v>3</v>
      </c>
      <c r="I90" s="4" t="n">
        <v>45349.04</v>
      </c>
      <c r="J90" s="5" t="n">
        <v>9</v>
      </c>
      <c r="K90" s="6" t="n">
        <f aca="false">IF(J90=0,0,I90/J90)</f>
        <v>5038.78222222222</v>
      </c>
      <c r="L90" s="4"/>
      <c r="M90" s="3" t="s">
        <v>164</v>
      </c>
      <c r="N90" s="3" t="s">
        <v>145</v>
      </c>
    </row>
    <row r="91" customFormat="false" ht="15" hidden="false" customHeight="false" outlineLevel="0" collapsed="false">
      <c r="A91" s="3" t="s">
        <v>139</v>
      </c>
      <c r="B91" s="3" t="s">
        <v>219</v>
      </c>
      <c r="C91" s="3" t="s">
        <v>32</v>
      </c>
      <c r="D91" s="3" t="s">
        <v>185</v>
      </c>
      <c r="E91" s="3" t="s">
        <v>189</v>
      </c>
      <c r="F91" s="3" t="s">
        <v>44</v>
      </c>
      <c r="G91" s="3" t="s">
        <v>190</v>
      </c>
      <c r="H91" s="3" t="n">
        <v>4</v>
      </c>
      <c r="I91" s="4" t="n">
        <v>111305</v>
      </c>
      <c r="J91" s="5" t="n">
        <v>12</v>
      </c>
      <c r="K91" s="6" t="n">
        <f aca="false">IF(J91=0,0,I91/J91)</f>
        <v>9275.41666666667</v>
      </c>
      <c r="L91" s="4"/>
      <c r="M91" s="3" t="s">
        <v>164</v>
      </c>
      <c r="N91" s="3" t="s">
        <v>145</v>
      </c>
    </row>
    <row r="92" customFormat="false" ht="15" hidden="false" customHeight="false" outlineLevel="0" collapsed="false">
      <c r="A92" s="3" t="s">
        <v>139</v>
      </c>
      <c r="B92" s="3" t="s">
        <v>219</v>
      </c>
      <c r="C92" s="3" t="s">
        <v>32</v>
      </c>
      <c r="D92" s="3" t="s">
        <v>146</v>
      </c>
      <c r="E92" s="3" t="s">
        <v>174</v>
      </c>
      <c r="F92" s="3" t="s">
        <v>44</v>
      </c>
      <c r="G92" s="3" t="s">
        <v>175</v>
      </c>
      <c r="H92" s="3" t="n">
        <v>5</v>
      </c>
      <c r="I92" s="4" t="n">
        <v>60000</v>
      </c>
      <c r="J92" s="5" t="n">
        <v>14</v>
      </c>
      <c r="K92" s="6" t="n">
        <f aca="false">IF(J92=0,0,I92/J92)</f>
        <v>4285.71428571429</v>
      </c>
      <c r="L92" s="4"/>
      <c r="M92" s="3" t="s">
        <v>159</v>
      </c>
      <c r="N92" s="3" t="s">
        <v>145</v>
      </c>
    </row>
    <row r="93" customFormat="false" ht="15" hidden="false" customHeight="false" outlineLevel="0" collapsed="false">
      <c r="A93" s="3" t="s">
        <v>139</v>
      </c>
      <c r="B93" s="3" t="s">
        <v>219</v>
      </c>
      <c r="C93" s="3" t="s">
        <v>32</v>
      </c>
      <c r="D93" s="3" t="s">
        <v>146</v>
      </c>
      <c r="E93" s="3" t="s">
        <v>147</v>
      </c>
      <c r="F93" s="3" t="s">
        <v>148</v>
      </c>
      <c r="G93" s="3" t="s">
        <v>149</v>
      </c>
      <c r="H93" s="3" t="n">
        <v>60</v>
      </c>
      <c r="I93" s="4" t="n">
        <v>55910</v>
      </c>
      <c r="J93" s="5" t="n">
        <v>11</v>
      </c>
      <c r="K93" s="6" t="n">
        <f aca="false">IF(J93=0,0,I93/J93)</f>
        <v>5082.72727272727</v>
      </c>
      <c r="L93" s="4"/>
      <c r="M93" s="3" t="s">
        <v>164</v>
      </c>
      <c r="N93" s="3" t="s">
        <v>145</v>
      </c>
    </row>
    <row r="94" customFormat="false" ht="15" hidden="false" customHeight="false" outlineLevel="0" collapsed="false">
      <c r="A94" s="3" t="s">
        <v>139</v>
      </c>
      <c r="B94" s="3" t="s">
        <v>220</v>
      </c>
      <c r="C94" s="3" t="s">
        <v>67</v>
      </c>
      <c r="D94" s="3" t="s">
        <v>168</v>
      </c>
      <c r="E94" s="3" t="s">
        <v>169</v>
      </c>
      <c r="F94" s="3" t="s">
        <v>105</v>
      </c>
      <c r="G94" s="3" t="s">
        <v>170</v>
      </c>
      <c r="H94" s="3" t="n">
        <v>3</v>
      </c>
      <c r="I94" s="4" t="n">
        <v>83388.63</v>
      </c>
      <c r="J94" s="5" t="n">
        <v>11</v>
      </c>
      <c r="K94" s="6" t="n">
        <f aca="false">IF(J94=0,0,I94/J94)</f>
        <v>7580.78454545455</v>
      </c>
      <c r="L94" s="4"/>
      <c r="M94" s="3" t="s">
        <v>221</v>
      </c>
      <c r="N94" s="3" t="s">
        <v>145</v>
      </c>
    </row>
    <row r="95" customFormat="false" ht="15" hidden="false" customHeight="false" outlineLevel="0" collapsed="false">
      <c r="A95" s="3" t="s">
        <v>139</v>
      </c>
      <c r="B95" s="3" t="s">
        <v>220</v>
      </c>
      <c r="C95" s="3" t="s">
        <v>32</v>
      </c>
      <c r="D95" s="3" t="s">
        <v>146</v>
      </c>
      <c r="E95" s="3" t="s">
        <v>147</v>
      </c>
      <c r="F95" s="3" t="s">
        <v>148</v>
      </c>
      <c r="G95" s="3" t="s">
        <v>149</v>
      </c>
      <c r="H95" s="3" t="n">
        <v>2</v>
      </c>
      <c r="I95" s="4" t="n">
        <v>55592.56</v>
      </c>
      <c r="J95" s="5" t="n">
        <v>11</v>
      </c>
      <c r="K95" s="6" t="n">
        <f aca="false">IF(J95=0,0,I95/J95)</f>
        <v>5053.86909090909</v>
      </c>
      <c r="L95" s="4"/>
      <c r="M95" s="3" t="s">
        <v>221</v>
      </c>
      <c r="N95" s="3" t="s">
        <v>145</v>
      </c>
    </row>
    <row r="96" customFormat="false" ht="15" hidden="false" customHeight="false" outlineLevel="0" collapsed="false">
      <c r="A96" s="3" t="s">
        <v>139</v>
      </c>
      <c r="B96" s="3" t="s">
        <v>124</v>
      </c>
      <c r="C96" s="3" t="s">
        <v>108</v>
      </c>
      <c r="D96" s="3" t="s">
        <v>161</v>
      </c>
      <c r="E96" s="3" t="s">
        <v>222</v>
      </c>
      <c r="F96" s="3" t="s">
        <v>105</v>
      </c>
      <c r="G96" s="3" t="s">
        <v>223</v>
      </c>
      <c r="H96" s="3" t="n">
        <v>2</v>
      </c>
      <c r="I96" s="4" t="n">
        <v>50854</v>
      </c>
      <c r="J96" s="5" t="n">
        <v>3</v>
      </c>
      <c r="K96" s="6" t="n">
        <f aca="false">IF(J96=0,0,I96/J96)</f>
        <v>16951.3333333333</v>
      </c>
      <c r="L96" s="4"/>
      <c r="M96" s="3" t="s">
        <v>224</v>
      </c>
      <c r="N96" s="3" t="s">
        <v>145</v>
      </c>
    </row>
    <row r="97" customFormat="false" ht="15" hidden="false" customHeight="false" outlineLevel="0" collapsed="false">
      <c r="A97" s="3" t="s">
        <v>139</v>
      </c>
      <c r="B97" s="3" t="s">
        <v>124</v>
      </c>
      <c r="C97" s="3" t="s">
        <v>67</v>
      </c>
      <c r="D97" s="3" t="s">
        <v>168</v>
      </c>
      <c r="E97" s="3" t="s">
        <v>169</v>
      </c>
      <c r="F97" s="3" t="s">
        <v>105</v>
      </c>
      <c r="G97" s="3" t="s">
        <v>170</v>
      </c>
      <c r="H97" s="3" t="n">
        <v>2</v>
      </c>
      <c r="I97" s="4" t="n">
        <v>120000</v>
      </c>
      <c r="J97" s="5" t="n">
        <v>11</v>
      </c>
      <c r="K97" s="6" t="n">
        <f aca="false">IF(J97=0,0,I97/J97)</f>
        <v>10909.0909090909</v>
      </c>
      <c r="L97" s="4"/>
      <c r="M97" s="3" t="s">
        <v>225</v>
      </c>
      <c r="N97" s="3" t="s">
        <v>145</v>
      </c>
    </row>
    <row r="98" customFormat="false" ht="15" hidden="false" customHeight="false" outlineLevel="0" collapsed="false">
      <c r="A98" s="3" t="s">
        <v>139</v>
      </c>
      <c r="B98" s="3" t="s">
        <v>124</v>
      </c>
      <c r="C98" s="3" t="s">
        <v>67</v>
      </c>
      <c r="D98" s="3" t="s">
        <v>141</v>
      </c>
      <c r="E98" s="3" t="s">
        <v>210</v>
      </c>
      <c r="F98" s="3" t="s">
        <v>105</v>
      </c>
      <c r="G98" s="3" t="s">
        <v>211</v>
      </c>
      <c r="H98" s="3" t="n">
        <v>3</v>
      </c>
      <c r="I98" s="4" t="n">
        <v>188605.35</v>
      </c>
      <c r="J98" s="5" t="n">
        <v>12</v>
      </c>
      <c r="K98" s="6" t="n">
        <f aca="false">IF(J98=0,0,I98/J98)</f>
        <v>15717.1125</v>
      </c>
      <c r="L98" s="4"/>
      <c r="M98" s="3" t="s">
        <v>226</v>
      </c>
      <c r="N98" s="3" t="s">
        <v>145</v>
      </c>
    </row>
    <row r="99" customFormat="false" ht="15" hidden="false" customHeight="false" outlineLevel="0" collapsed="false">
      <c r="A99" s="3" t="s">
        <v>139</v>
      </c>
      <c r="B99" s="3" t="s">
        <v>124</v>
      </c>
      <c r="C99" s="3" t="s">
        <v>67</v>
      </c>
      <c r="D99" s="3" t="s">
        <v>141</v>
      </c>
      <c r="E99" s="3" t="s">
        <v>157</v>
      </c>
      <c r="F99" s="3" t="s">
        <v>44</v>
      </c>
      <c r="G99" s="3" t="s">
        <v>196</v>
      </c>
      <c r="H99" s="3" t="n">
        <v>3</v>
      </c>
      <c r="I99" s="4" t="n">
        <v>180547</v>
      </c>
      <c r="J99" s="5" t="n">
        <v>6</v>
      </c>
      <c r="K99" s="6" t="n">
        <f aca="false">IF(J99=0,0,I99/J99)</f>
        <v>30091.1666666667</v>
      </c>
      <c r="L99" s="4"/>
      <c r="M99" s="3" t="s">
        <v>227</v>
      </c>
      <c r="N99" s="3" t="s">
        <v>145</v>
      </c>
    </row>
    <row r="100" customFormat="false" ht="15" hidden="false" customHeight="false" outlineLevel="0" collapsed="false">
      <c r="A100" s="3" t="s">
        <v>139</v>
      </c>
      <c r="B100" s="3" t="s">
        <v>124</v>
      </c>
      <c r="C100" s="3" t="s">
        <v>67</v>
      </c>
      <c r="D100" s="3" t="s">
        <v>141</v>
      </c>
      <c r="E100" s="3" t="s">
        <v>142</v>
      </c>
      <c r="F100" s="3" t="s">
        <v>44</v>
      </c>
      <c r="G100" s="3" t="s">
        <v>143</v>
      </c>
      <c r="H100" s="3" t="n">
        <v>1</v>
      </c>
      <c r="I100" s="4" t="n">
        <v>70333</v>
      </c>
      <c r="J100" s="5" t="n">
        <v>12</v>
      </c>
      <c r="K100" s="6" t="n">
        <f aca="false">IF(J100=0,0,I100/J100)</f>
        <v>5861.08333333333</v>
      </c>
      <c r="L100" s="4"/>
      <c r="M100" s="3" t="s">
        <v>228</v>
      </c>
      <c r="N100" s="3" t="s">
        <v>145</v>
      </c>
    </row>
    <row r="101" customFormat="false" ht="15" hidden="false" customHeight="false" outlineLevel="0" collapsed="false">
      <c r="A101" s="3" t="s">
        <v>139</v>
      </c>
      <c r="B101" s="3" t="s">
        <v>124</v>
      </c>
      <c r="C101" s="3" t="s">
        <v>32</v>
      </c>
      <c r="D101" s="3" t="s">
        <v>146</v>
      </c>
      <c r="E101" s="3" t="s">
        <v>174</v>
      </c>
      <c r="F101" s="3" t="s">
        <v>44</v>
      </c>
      <c r="G101" s="3" t="s">
        <v>175</v>
      </c>
      <c r="H101" s="3" t="n">
        <v>2</v>
      </c>
      <c r="I101" s="4" t="n">
        <v>20000</v>
      </c>
      <c r="J101" s="5" t="n">
        <v>14</v>
      </c>
      <c r="K101" s="6" t="n">
        <f aca="false">IF(J101=0,0,I101/J101)</f>
        <v>1428.57142857143</v>
      </c>
      <c r="L101" s="4"/>
      <c r="M101" s="3" t="s">
        <v>229</v>
      </c>
      <c r="N101" s="3" t="s">
        <v>145</v>
      </c>
    </row>
    <row r="102" customFormat="false" ht="15" hidden="false" customHeight="false" outlineLevel="0" collapsed="false">
      <c r="A102" s="3" t="s">
        <v>139</v>
      </c>
      <c r="B102" s="3" t="s">
        <v>124</v>
      </c>
      <c r="C102" s="3" t="s">
        <v>32</v>
      </c>
      <c r="D102" s="3" t="s">
        <v>146</v>
      </c>
      <c r="E102" s="3" t="s">
        <v>147</v>
      </c>
      <c r="F102" s="3" t="s">
        <v>148</v>
      </c>
      <c r="G102" s="3" t="s">
        <v>149</v>
      </c>
      <c r="H102" s="3" t="n">
        <v>20</v>
      </c>
      <c r="I102" s="4" t="n">
        <v>65385</v>
      </c>
      <c r="J102" s="5" t="n">
        <v>11</v>
      </c>
      <c r="K102" s="6" t="n">
        <f aca="false">IF(J102=0,0,I102/J102)</f>
        <v>5944.09090909091</v>
      </c>
      <c r="L102" s="4"/>
      <c r="M102" s="3" t="s">
        <v>230</v>
      </c>
      <c r="N102" s="3" t="s">
        <v>145</v>
      </c>
    </row>
    <row r="103" customFormat="false" ht="15" hidden="false" customHeight="false" outlineLevel="0" collapsed="false">
      <c r="A103" s="3" t="s">
        <v>139</v>
      </c>
      <c r="B103" s="3" t="s">
        <v>231</v>
      </c>
      <c r="C103" s="3" t="s">
        <v>41</v>
      </c>
      <c r="D103" s="3" t="s">
        <v>180</v>
      </c>
      <c r="E103" s="3" t="s">
        <v>206</v>
      </c>
      <c r="F103" s="3" t="s">
        <v>44</v>
      </c>
      <c r="G103" s="3" t="s">
        <v>207</v>
      </c>
      <c r="H103" s="3" t="n">
        <v>1</v>
      </c>
      <c r="I103" s="4" t="n">
        <v>91027.84</v>
      </c>
      <c r="J103" s="5" t="n">
        <v>11</v>
      </c>
      <c r="K103" s="6" t="n">
        <f aca="false">IF(J103=0,0,I103/J103)</f>
        <v>8275.25818181818</v>
      </c>
      <c r="L103" s="4"/>
      <c r="M103" s="3" t="s">
        <v>232</v>
      </c>
      <c r="N103" s="3" t="s">
        <v>145</v>
      </c>
    </row>
    <row r="104" customFormat="false" ht="15" hidden="false" customHeight="false" outlineLevel="0" collapsed="false">
      <c r="A104" s="3" t="s">
        <v>139</v>
      </c>
      <c r="B104" s="3" t="s">
        <v>231</v>
      </c>
      <c r="C104" s="3" t="s">
        <v>41</v>
      </c>
      <c r="D104" s="3" t="s">
        <v>180</v>
      </c>
      <c r="E104" s="3" t="s">
        <v>233</v>
      </c>
      <c r="F104" s="3" t="s">
        <v>105</v>
      </c>
      <c r="G104" s="3" t="s">
        <v>234</v>
      </c>
      <c r="H104" s="3" t="n">
        <v>2</v>
      </c>
      <c r="I104" s="4" t="n">
        <v>55506.13</v>
      </c>
      <c r="J104" s="5" t="n">
        <v>7</v>
      </c>
      <c r="K104" s="6" t="n">
        <f aca="false">IF(J104=0,0,I104/J104)</f>
        <v>7929.44714285714</v>
      </c>
      <c r="L104" s="4"/>
      <c r="M104" s="3" t="s">
        <v>235</v>
      </c>
      <c r="N104" s="3" t="s">
        <v>145</v>
      </c>
    </row>
    <row r="105" customFormat="false" ht="15" hidden="false" customHeight="false" outlineLevel="0" collapsed="false">
      <c r="A105" s="3" t="s">
        <v>139</v>
      </c>
      <c r="B105" s="3" t="s">
        <v>231</v>
      </c>
      <c r="C105" s="3" t="s">
        <v>41</v>
      </c>
      <c r="D105" s="3" t="s">
        <v>180</v>
      </c>
      <c r="E105" s="3" t="s">
        <v>208</v>
      </c>
      <c r="F105" s="3" t="s">
        <v>105</v>
      </c>
      <c r="G105" s="3" t="s">
        <v>209</v>
      </c>
      <c r="H105" s="3" t="n">
        <v>1</v>
      </c>
      <c r="I105" s="4" t="n">
        <v>10114.2</v>
      </c>
      <c r="J105" s="5" t="n">
        <v>11</v>
      </c>
      <c r="K105" s="6" t="n">
        <f aca="false">IF(J105=0,0,I105/J105)</f>
        <v>919.472727272727</v>
      </c>
      <c r="L105" s="4"/>
      <c r="M105" s="3" t="s">
        <v>236</v>
      </c>
      <c r="N105" s="3" t="s">
        <v>145</v>
      </c>
    </row>
    <row r="106" customFormat="false" ht="15" hidden="false" customHeight="false" outlineLevel="0" collapsed="false">
      <c r="A106" s="3" t="s">
        <v>139</v>
      </c>
      <c r="B106" s="3" t="s">
        <v>231</v>
      </c>
      <c r="C106" s="3" t="s">
        <v>67</v>
      </c>
      <c r="D106" s="3" t="s">
        <v>141</v>
      </c>
      <c r="E106" s="3" t="s">
        <v>210</v>
      </c>
      <c r="F106" s="3" t="s">
        <v>105</v>
      </c>
      <c r="G106" s="3" t="s">
        <v>211</v>
      </c>
      <c r="H106" s="3" t="n">
        <v>1</v>
      </c>
      <c r="I106" s="4" t="n">
        <v>42004.3</v>
      </c>
      <c r="J106" s="5" t="n">
        <v>12</v>
      </c>
      <c r="K106" s="6" t="n">
        <f aca="false">IF(J106=0,0,I106/J106)</f>
        <v>3500.35833333333</v>
      </c>
      <c r="L106" s="4"/>
      <c r="M106" s="3" t="s">
        <v>237</v>
      </c>
      <c r="N106" s="3" t="s">
        <v>145</v>
      </c>
    </row>
    <row r="107" customFormat="false" ht="15" hidden="false" customHeight="false" outlineLevel="0" collapsed="false">
      <c r="A107" s="3" t="s">
        <v>139</v>
      </c>
      <c r="B107" s="3" t="s">
        <v>231</v>
      </c>
      <c r="C107" s="3" t="s">
        <v>67</v>
      </c>
      <c r="D107" s="3" t="s">
        <v>141</v>
      </c>
      <c r="E107" s="3" t="s">
        <v>142</v>
      </c>
      <c r="F107" s="3" t="s">
        <v>44</v>
      </c>
      <c r="G107" s="3" t="s">
        <v>143</v>
      </c>
      <c r="H107" s="3" t="n">
        <v>1</v>
      </c>
      <c r="I107" s="4" t="n">
        <v>87506.13</v>
      </c>
      <c r="J107" s="5" t="n">
        <v>12</v>
      </c>
      <c r="K107" s="6" t="n">
        <f aca="false">IF(J107=0,0,I107/J107)</f>
        <v>7292.1775</v>
      </c>
      <c r="L107" s="4"/>
      <c r="M107" s="3" t="s">
        <v>238</v>
      </c>
      <c r="N107" s="3" t="s">
        <v>145</v>
      </c>
    </row>
    <row r="108" customFormat="false" ht="15" hidden="false" customHeight="false" outlineLevel="0" collapsed="false">
      <c r="A108" s="3" t="s">
        <v>239</v>
      </c>
      <c r="B108" s="3" t="s">
        <v>220</v>
      </c>
      <c r="C108" s="3" t="s">
        <v>108</v>
      </c>
      <c r="D108" s="3" t="s">
        <v>240</v>
      </c>
      <c r="E108" s="3" t="s">
        <v>241</v>
      </c>
      <c r="F108" s="3" t="s">
        <v>242</v>
      </c>
      <c r="G108" s="3" t="s">
        <v>56</v>
      </c>
      <c r="H108" s="3" t="n">
        <v>18</v>
      </c>
      <c r="I108" s="4" t="n">
        <v>54000</v>
      </c>
      <c r="J108" s="5" t="n">
        <v>2</v>
      </c>
      <c r="K108" s="6" t="n">
        <f aca="false">IF(J108=0,0,I108/J108)</f>
        <v>27000</v>
      </c>
      <c r="L108" s="4"/>
      <c r="M108" s="3" t="s">
        <v>243</v>
      </c>
      <c r="N108" s="3" t="s">
        <v>244</v>
      </c>
    </row>
    <row r="109" customFormat="false" ht="15" hidden="false" customHeight="false" outlineLevel="0" collapsed="false">
      <c r="A109" s="3" t="s">
        <v>239</v>
      </c>
      <c r="B109" s="3" t="s">
        <v>220</v>
      </c>
      <c r="C109" s="3" t="s">
        <v>108</v>
      </c>
      <c r="D109" s="3" t="s">
        <v>240</v>
      </c>
      <c r="E109" s="3" t="s">
        <v>245</v>
      </c>
      <c r="F109" s="3" t="s">
        <v>242</v>
      </c>
      <c r="G109" s="3" t="s">
        <v>59</v>
      </c>
      <c r="H109" s="3" t="n">
        <v>15</v>
      </c>
      <c r="I109" s="4" t="n">
        <v>150000</v>
      </c>
      <c r="J109" s="5" t="n">
        <v>2</v>
      </c>
      <c r="K109" s="6" t="n">
        <f aca="false">IF(J109=0,0,I109/J109)</f>
        <v>75000</v>
      </c>
      <c r="L109" s="4"/>
      <c r="M109" s="3" t="s">
        <v>243</v>
      </c>
      <c r="N109" s="3" t="s">
        <v>244</v>
      </c>
    </row>
    <row r="110" customFormat="false" ht="15" hidden="false" customHeight="false" outlineLevel="0" collapsed="false">
      <c r="A110" s="3" t="s">
        <v>239</v>
      </c>
      <c r="B110" s="3" t="s">
        <v>231</v>
      </c>
      <c r="C110" s="3" t="s">
        <v>67</v>
      </c>
      <c r="D110" s="3" t="s">
        <v>246</v>
      </c>
      <c r="E110" s="3" t="s">
        <v>247</v>
      </c>
      <c r="F110" s="3" t="s">
        <v>29</v>
      </c>
      <c r="G110" s="3" t="s">
        <v>53</v>
      </c>
      <c r="H110" s="3" t="n">
        <v>40</v>
      </c>
      <c r="I110" s="4" t="n">
        <v>75067</v>
      </c>
      <c r="J110" s="5" t="n">
        <v>2</v>
      </c>
      <c r="K110" s="6" t="n">
        <f aca="false">IF(J110=0,0,I110/J110)</f>
        <v>37533.5</v>
      </c>
      <c r="L110" s="4"/>
      <c r="M110" s="3" t="s">
        <v>248</v>
      </c>
      <c r="N110" s="3" t="s">
        <v>244</v>
      </c>
    </row>
    <row r="111" customFormat="false" ht="15" hidden="false" customHeight="false" outlineLevel="0" collapsed="false">
      <c r="A111" s="3" t="s">
        <v>239</v>
      </c>
      <c r="B111" s="3" t="s">
        <v>231</v>
      </c>
      <c r="C111" s="3" t="s">
        <v>67</v>
      </c>
      <c r="D111" s="3" t="s">
        <v>246</v>
      </c>
      <c r="E111" s="3" t="s">
        <v>249</v>
      </c>
      <c r="F111" s="3" t="s">
        <v>44</v>
      </c>
      <c r="G111" s="3" t="s">
        <v>53</v>
      </c>
      <c r="H111" s="3" t="n">
        <v>2</v>
      </c>
      <c r="I111" s="4" t="n">
        <v>60649</v>
      </c>
      <c r="J111" s="5" t="n">
        <v>2</v>
      </c>
      <c r="K111" s="6" t="n">
        <f aca="false">IF(J111=0,0,I111/J111)</f>
        <v>30324.5</v>
      </c>
      <c r="L111" s="4"/>
      <c r="M111" s="3" t="s">
        <v>248</v>
      </c>
      <c r="N111" s="3" t="s">
        <v>244</v>
      </c>
    </row>
    <row r="112" customFormat="false" ht="15" hidden="false" customHeight="false" outlineLevel="0" collapsed="false">
      <c r="A112" s="3" t="s">
        <v>239</v>
      </c>
      <c r="B112" s="3" t="s">
        <v>231</v>
      </c>
      <c r="C112" s="3" t="s">
        <v>67</v>
      </c>
      <c r="D112" s="3" t="s">
        <v>246</v>
      </c>
      <c r="E112" s="3" t="s">
        <v>250</v>
      </c>
      <c r="F112" s="3" t="s">
        <v>105</v>
      </c>
      <c r="G112" s="3" t="s">
        <v>251</v>
      </c>
      <c r="H112" s="3" t="n">
        <v>2</v>
      </c>
      <c r="I112" s="4" t="n">
        <v>76285</v>
      </c>
      <c r="J112" s="5" t="n">
        <v>2</v>
      </c>
      <c r="K112" s="6" t="n">
        <f aca="false">IF(J112=0,0,I112/J112)</f>
        <v>38142.5</v>
      </c>
      <c r="L112" s="4"/>
      <c r="M112" s="3" t="s">
        <v>248</v>
      </c>
      <c r="N112" s="3" t="s">
        <v>244</v>
      </c>
    </row>
    <row r="113" customFormat="false" ht="15" hidden="false" customHeight="false" outlineLevel="0" collapsed="false">
      <c r="A113" s="3" t="s">
        <v>239</v>
      </c>
      <c r="B113" s="3" t="s">
        <v>231</v>
      </c>
      <c r="C113" s="3" t="s">
        <v>16</v>
      </c>
      <c r="D113" s="3" t="s">
        <v>252</v>
      </c>
      <c r="E113" s="3" t="s">
        <v>253</v>
      </c>
      <c r="F113" s="3" t="s">
        <v>105</v>
      </c>
      <c r="G113" s="3" t="s">
        <v>93</v>
      </c>
      <c r="H113" s="3" t="n">
        <v>2</v>
      </c>
      <c r="I113" s="4" t="n">
        <v>38358</v>
      </c>
      <c r="J113" s="5" t="n">
        <v>1</v>
      </c>
      <c r="K113" s="6" t="n">
        <f aca="false">IF(J113=0,0,I113/J113)</f>
        <v>38358</v>
      </c>
      <c r="L113" s="4"/>
      <c r="M113" s="3" t="s">
        <v>254</v>
      </c>
      <c r="N113" s="3" t="s">
        <v>244</v>
      </c>
    </row>
    <row r="114" customFormat="false" ht="15" hidden="false" customHeight="false" outlineLevel="0" collapsed="false">
      <c r="A114" s="3" t="s">
        <v>239</v>
      </c>
      <c r="B114" s="3" t="s">
        <v>255</v>
      </c>
      <c r="C114" s="3" t="s">
        <v>16</v>
      </c>
      <c r="D114" s="3" t="s">
        <v>256</v>
      </c>
      <c r="E114" s="3" t="s">
        <v>257</v>
      </c>
      <c r="F114" s="3" t="s">
        <v>105</v>
      </c>
      <c r="G114" s="3" t="s">
        <v>93</v>
      </c>
      <c r="H114" s="3" t="n">
        <v>1</v>
      </c>
      <c r="I114" s="4" t="n">
        <v>97261</v>
      </c>
      <c r="J114" s="5" t="n">
        <v>1</v>
      </c>
      <c r="K114" s="6" t="n">
        <f aca="false">IF(J114=0,0,I114/J114)</f>
        <v>97261</v>
      </c>
      <c r="L114" s="4"/>
      <c r="M114" s="3" t="s">
        <v>258</v>
      </c>
      <c r="N114" s="3" t="s">
        <v>244</v>
      </c>
    </row>
    <row r="115" customFormat="false" ht="15" hidden="false" customHeight="false" outlineLevel="0" collapsed="false">
      <c r="A115" s="3" t="s">
        <v>259</v>
      </c>
      <c r="B115" s="3" t="s">
        <v>151</v>
      </c>
      <c r="C115" s="3" t="s">
        <v>108</v>
      </c>
      <c r="D115" s="3" t="s">
        <v>260</v>
      </c>
      <c r="E115" s="3" t="s">
        <v>261</v>
      </c>
      <c r="F115" s="3" t="s">
        <v>29</v>
      </c>
      <c r="G115" s="3" t="s">
        <v>262</v>
      </c>
      <c r="H115" s="3" t="n">
        <v>50</v>
      </c>
      <c r="I115" s="4" t="n">
        <v>35500</v>
      </c>
      <c r="J115" s="5" t="n">
        <v>3</v>
      </c>
      <c r="K115" s="6" t="n">
        <f aca="false">IF(J115=0,0,I115/J115)</f>
        <v>11833.3333333333</v>
      </c>
      <c r="L115" s="4"/>
      <c r="M115" s="3" t="s">
        <v>263</v>
      </c>
      <c r="N115" s="3" t="s">
        <v>264</v>
      </c>
    </row>
    <row r="116" customFormat="false" ht="15" hidden="false" customHeight="false" outlineLevel="0" collapsed="false">
      <c r="A116" s="3" t="s">
        <v>259</v>
      </c>
      <c r="B116" s="3" t="s">
        <v>151</v>
      </c>
      <c r="C116" s="3" t="s">
        <v>108</v>
      </c>
      <c r="D116" s="3" t="s">
        <v>260</v>
      </c>
      <c r="E116" s="3" t="s">
        <v>265</v>
      </c>
      <c r="F116" s="3" t="s">
        <v>105</v>
      </c>
      <c r="G116" s="3" t="s">
        <v>266</v>
      </c>
      <c r="H116" s="3" t="n">
        <v>3</v>
      </c>
      <c r="I116" s="4" t="n">
        <v>156200</v>
      </c>
      <c r="J116" s="5" t="n">
        <v>6</v>
      </c>
      <c r="K116" s="6" t="n">
        <f aca="false">IF(J116=0,0,I116/J116)</f>
        <v>26033.3333333333</v>
      </c>
      <c r="L116" s="4"/>
      <c r="M116" s="3" t="s">
        <v>263</v>
      </c>
      <c r="N116" s="3" t="s">
        <v>264</v>
      </c>
    </row>
    <row r="117" customFormat="false" ht="15" hidden="false" customHeight="false" outlineLevel="0" collapsed="false">
      <c r="A117" s="3" t="s">
        <v>259</v>
      </c>
      <c r="B117" s="3" t="s">
        <v>151</v>
      </c>
      <c r="C117" s="3" t="s">
        <v>41</v>
      </c>
      <c r="D117" s="3" t="s">
        <v>267</v>
      </c>
      <c r="E117" s="3" t="s">
        <v>268</v>
      </c>
      <c r="F117" s="3" t="s">
        <v>105</v>
      </c>
      <c r="G117" s="3" t="s">
        <v>93</v>
      </c>
      <c r="H117" s="3" t="n">
        <v>1</v>
      </c>
      <c r="I117" s="4" t="n">
        <v>7292</v>
      </c>
      <c r="J117" s="5" t="n">
        <v>1</v>
      </c>
      <c r="K117" s="6" t="n">
        <f aca="false">IF(J117=0,0,I117/J117)</f>
        <v>7292</v>
      </c>
      <c r="L117" s="4"/>
      <c r="M117" s="3" t="s">
        <v>263</v>
      </c>
      <c r="N117" s="3" t="s">
        <v>264</v>
      </c>
    </row>
    <row r="118" customFormat="false" ht="15" hidden="false" customHeight="false" outlineLevel="0" collapsed="false">
      <c r="A118" s="3" t="s">
        <v>259</v>
      </c>
      <c r="B118" s="3" t="s">
        <v>151</v>
      </c>
      <c r="C118" s="3" t="s">
        <v>41</v>
      </c>
      <c r="D118" s="3" t="s">
        <v>267</v>
      </c>
      <c r="E118" s="3" t="s">
        <v>269</v>
      </c>
      <c r="F118" s="3" t="s">
        <v>105</v>
      </c>
      <c r="G118" s="3" t="s">
        <v>93</v>
      </c>
      <c r="H118" s="3" t="n">
        <v>10</v>
      </c>
      <c r="I118" s="4" t="n">
        <v>12153</v>
      </c>
      <c r="J118" s="5" t="n">
        <v>1</v>
      </c>
      <c r="K118" s="6" t="n">
        <f aca="false">IF(J118=0,0,I118/J118)</f>
        <v>12153</v>
      </c>
      <c r="L118" s="4"/>
      <c r="M118" s="3" t="s">
        <v>263</v>
      </c>
      <c r="N118" s="3" t="s">
        <v>264</v>
      </c>
    </row>
    <row r="119" customFormat="false" ht="15" hidden="false" customHeight="false" outlineLevel="0" collapsed="false">
      <c r="A119" s="3" t="s">
        <v>259</v>
      </c>
      <c r="B119" s="3" t="s">
        <v>151</v>
      </c>
      <c r="C119" s="3" t="s">
        <v>41</v>
      </c>
      <c r="D119" s="3" t="s">
        <v>267</v>
      </c>
      <c r="E119" s="3" t="s">
        <v>270</v>
      </c>
      <c r="F119" s="3" t="s">
        <v>44</v>
      </c>
      <c r="G119" s="3" t="s">
        <v>271</v>
      </c>
      <c r="H119" s="3" t="n">
        <v>4</v>
      </c>
      <c r="I119" s="4" t="n">
        <v>87504</v>
      </c>
      <c r="J119" s="5" t="n">
        <v>5</v>
      </c>
      <c r="K119" s="6" t="n">
        <f aca="false">IF(J119=0,0,I119/J119)</f>
        <v>17500.8</v>
      </c>
      <c r="L119" s="4"/>
      <c r="M119" s="3" t="s">
        <v>263</v>
      </c>
      <c r="N119" s="3" t="s">
        <v>264</v>
      </c>
    </row>
    <row r="120" customFormat="false" ht="15" hidden="false" customHeight="false" outlineLevel="0" collapsed="false">
      <c r="A120" s="3" t="s">
        <v>259</v>
      </c>
      <c r="B120" s="3" t="s">
        <v>151</v>
      </c>
      <c r="C120" s="3" t="s">
        <v>41</v>
      </c>
      <c r="D120" s="3" t="s">
        <v>267</v>
      </c>
      <c r="E120" s="3" t="s">
        <v>272</v>
      </c>
      <c r="F120" s="3" t="s">
        <v>105</v>
      </c>
      <c r="G120" s="3" t="s">
        <v>59</v>
      </c>
      <c r="H120" s="3" t="n">
        <v>1</v>
      </c>
      <c r="I120" s="4" t="n">
        <v>8993</v>
      </c>
      <c r="J120" s="5" t="n">
        <v>2</v>
      </c>
      <c r="K120" s="6" t="n">
        <f aca="false">IF(J120=0,0,I120/J120)</f>
        <v>4496.5</v>
      </c>
      <c r="L120" s="4"/>
      <c r="M120" s="3" t="s">
        <v>263</v>
      </c>
      <c r="N120" s="3" t="s">
        <v>264</v>
      </c>
    </row>
    <row r="121" customFormat="false" ht="15" hidden="false" customHeight="false" outlineLevel="0" collapsed="false">
      <c r="A121" s="3" t="s">
        <v>259</v>
      </c>
      <c r="B121" s="3" t="s">
        <v>151</v>
      </c>
      <c r="C121" s="3" t="s">
        <v>41</v>
      </c>
      <c r="D121" s="3" t="s">
        <v>273</v>
      </c>
      <c r="E121" s="3" t="s">
        <v>274</v>
      </c>
      <c r="F121" s="3" t="s">
        <v>275</v>
      </c>
      <c r="G121" s="3" t="s">
        <v>276</v>
      </c>
      <c r="H121" s="3" t="n">
        <v>10</v>
      </c>
      <c r="I121" s="4" t="n">
        <v>21420</v>
      </c>
      <c r="J121" s="5" t="n">
        <v>8</v>
      </c>
      <c r="K121" s="6" t="n">
        <f aca="false">IF(J121=0,0,I121/J121)</f>
        <v>2677.5</v>
      </c>
      <c r="L121" s="4"/>
      <c r="M121" s="3" t="s">
        <v>263</v>
      </c>
      <c r="N121" s="3" t="s">
        <v>264</v>
      </c>
    </row>
    <row r="122" customFormat="false" ht="15" hidden="false" customHeight="false" outlineLevel="0" collapsed="false">
      <c r="A122" s="3" t="s">
        <v>259</v>
      </c>
      <c r="B122" s="3" t="s">
        <v>151</v>
      </c>
      <c r="C122" s="3" t="s">
        <v>41</v>
      </c>
      <c r="D122" s="3" t="s">
        <v>273</v>
      </c>
      <c r="E122" s="3" t="s">
        <v>277</v>
      </c>
      <c r="F122" s="3" t="s">
        <v>278</v>
      </c>
      <c r="G122" s="3" t="s">
        <v>279</v>
      </c>
      <c r="H122" s="3" t="n">
        <v>10000</v>
      </c>
      <c r="I122" s="4" t="n">
        <v>21420</v>
      </c>
      <c r="J122" s="5" t="n">
        <v>8</v>
      </c>
      <c r="K122" s="6" t="n">
        <f aca="false">IF(J122=0,0,I122/J122)</f>
        <v>2677.5</v>
      </c>
      <c r="L122" s="4"/>
      <c r="M122" s="3" t="s">
        <v>263</v>
      </c>
      <c r="N122" s="3" t="s">
        <v>264</v>
      </c>
    </row>
    <row r="123" customFormat="false" ht="15" hidden="false" customHeight="false" outlineLevel="0" collapsed="false">
      <c r="A123" s="3" t="s">
        <v>259</v>
      </c>
      <c r="B123" s="3" t="s">
        <v>151</v>
      </c>
      <c r="C123" s="3" t="s">
        <v>41</v>
      </c>
      <c r="D123" s="3" t="s">
        <v>273</v>
      </c>
      <c r="E123" s="3" t="s">
        <v>280</v>
      </c>
      <c r="F123" s="3" t="s">
        <v>29</v>
      </c>
      <c r="G123" s="3" t="s">
        <v>281</v>
      </c>
      <c r="H123" s="3" t="n">
        <v>8</v>
      </c>
      <c r="I123" s="4" t="n">
        <v>21421</v>
      </c>
      <c r="J123" s="5" t="n">
        <v>8</v>
      </c>
      <c r="K123" s="6" t="n">
        <f aca="false">IF(J123=0,0,I123/J123)</f>
        <v>2677.625</v>
      </c>
      <c r="L123" s="4"/>
      <c r="M123" s="3" t="s">
        <v>263</v>
      </c>
      <c r="N123" s="3" t="s">
        <v>264</v>
      </c>
    </row>
    <row r="124" customFormat="false" ht="15" hidden="false" customHeight="false" outlineLevel="0" collapsed="false">
      <c r="A124" s="3" t="s">
        <v>259</v>
      </c>
      <c r="B124" s="3" t="s">
        <v>151</v>
      </c>
      <c r="C124" s="3" t="s">
        <v>41</v>
      </c>
      <c r="D124" s="3" t="s">
        <v>273</v>
      </c>
      <c r="E124" s="3" t="s">
        <v>282</v>
      </c>
      <c r="F124" s="3" t="s">
        <v>44</v>
      </c>
      <c r="G124" s="3" t="s">
        <v>283</v>
      </c>
      <c r="H124" s="3" t="n">
        <v>2</v>
      </c>
      <c r="I124" s="4" t="n">
        <v>100000</v>
      </c>
      <c r="J124" s="5" t="n">
        <v>6</v>
      </c>
      <c r="K124" s="6" t="n">
        <f aca="false">IF(J124=0,0,I124/J124)</f>
        <v>16666.6666666667</v>
      </c>
      <c r="L124" s="4"/>
      <c r="M124" s="3" t="s">
        <v>263</v>
      </c>
      <c r="N124" s="3" t="s">
        <v>264</v>
      </c>
    </row>
    <row r="125" customFormat="false" ht="15" hidden="false" customHeight="false" outlineLevel="0" collapsed="false">
      <c r="A125" s="3" t="s">
        <v>259</v>
      </c>
      <c r="B125" s="3" t="s">
        <v>151</v>
      </c>
      <c r="C125" s="3" t="s">
        <v>41</v>
      </c>
      <c r="D125" s="3" t="s">
        <v>273</v>
      </c>
      <c r="E125" s="3" t="s">
        <v>284</v>
      </c>
      <c r="F125" s="3" t="s">
        <v>44</v>
      </c>
      <c r="G125" s="3" t="s">
        <v>285</v>
      </c>
      <c r="H125" s="3" t="n">
        <v>1</v>
      </c>
      <c r="I125" s="4" t="n">
        <v>21876</v>
      </c>
      <c r="J125" s="5" t="n">
        <v>4</v>
      </c>
      <c r="K125" s="6" t="n">
        <f aca="false">IF(J125=0,0,I125/J125)</f>
        <v>5469</v>
      </c>
      <c r="L125" s="4"/>
      <c r="M125" s="3" t="s">
        <v>263</v>
      </c>
      <c r="N125" s="3" t="s">
        <v>264</v>
      </c>
    </row>
    <row r="126" customFormat="false" ht="15" hidden="false" customHeight="false" outlineLevel="0" collapsed="false">
      <c r="A126" s="3" t="s">
        <v>259</v>
      </c>
      <c r="B126" s="3" t="s">
        <v>151</v>
      </c>
      <c r="C126" s="3" t="s">
        <v>41</v>
      </c>
      <c r="D126" s="3" t="s">
        <v>273</v>
      </c>
      <c r="E126" s="3" t="s">
        <v>286</v>
      </c>
      <c r="F126" s="3" t="s">
        <v>287</v>
      </c>
      <c r="G126" s="3" t="s">
        <v>288</v>
      </c>
      <c r="H126" s="3" t="n">
        <v>10</v>
      </c>
      <c r="I126" s="4" t="n">
        <v>21876</v>
      </c>
      <c r="J126" s="5" t="n">
        <v>4</v>
      </c>
      <c r="K126" s="6" t="n">
        <f aca="false">IF(J126=0,0,I126/J126)</f>
        <v>5469</v>
      </c>
      <c r="L126" s="4"/>
      <c r="M126" s="3" t="s">
        <v>263</v>
      </c>
      <c r="N126" s="3" t="s">
        <v>264</v>
      </c>
    </row>
    <row r="127" customFormat="false" ht="15" hidden="false" customHeight="false" outlineLevel="0" collapsed="false">
      <c r="A127" s="3" t="s">
        <v>259</v>
      </c>
      <c r="B127" s="3" t="s">
        <v>151</v>
      </c>
      <c r="C127" s="3" t="s">
        <v>41</v>
      </c>
      <c r="D127" s="3" t="s">
        <v>273</v>
      </c>
      <c r="E127" s="3" t="s">
        <v>289</v>
      </c>
      <c r="F127" s="3" t="s">
        <v>105</v>
      </c>
      <c r="G127" s="3" t="s">
        <v>290</v>
      </c>
      <c r="H127" s="3" t="n">
        <v>2</v>
      </c>
      <c r="I127" s="4" t="n">
        <v>43752</v>
      </c>
      <c r="J127" s="5" t="n">
        <v>4</v>
      </c>
      <c r="K127" s="6" t="n">
        <f aca="false">IF(J127=0,0,I127/J127)</f>
        <v>10938</v>
      </c>
      <c r="L127" s="4"/>
      <c r="M127" s="3" t="s">
        <v>263</v>
      </c>
      <c r="N127" s="3" t="s">
        <v>264</v>
      </c>
    </row>
    <row r="128" customFormat="false" ht="15" hidden="false" customHeight="false" outlineLevel="0" collapsed="false">
      <c r="A128" s="3" t="s">
        <v>259</v>
      </c>
      <c r="B128" s="3" t="s">
        <v>151</v>
      </c>
      <c r="C128" s="3" t="s">
        <v>67</v>
      </c>
      <c r="D128" s="3" t="s">
        <v>291</v>
      </c>
      <c r="E128" s="3" t="s">
        <v>292</v>
      </c>
      <c r="F128" s="3" t="s">
        <v>105</v>
      </c>
      <c r="G128" s="3" t="s">
        <v>93</v>
      </c>
      <c r="H128" s="3" t="n">
        <v>1</v>
      </c>
      <c r="I128" s="4" t="n">
        <v>21876</v>
      </c>
      <c r="J128" s="5" t="n">
        <v>1</v>
      </c>
      <c r="K128" s="6" t="n">
        <f aca="false">IF(J128=0,0,I128/J128)</f>
        <v>21876</v>
      </c>
      <c r="L128" s="4"/>
      <c r="M128" s="3" t="s">
        <v>263</v>
      </c>
      <c r="N128" s="3" t="s">
        <v>264</v>
      </c>
    </row>
    <row r="129" customFormat="false" ht="15" hidden="false" customHeight="false" outlineLevel="0" collapsed="false">
      <c r="A129" s="3" t="s">
        <v>259</v>
      </c>
      <c r="B129" s="3" t="s">
        <v>151</v>
      </c>
      <c r="C129" s="3" t="s">
        <v>32</v>
      </c>
      <c r="D129" s="3" t="s">
        <v>293</v>
      </c>
      <c r="E129" s="3" t="s">
        <v>294</v>
      </c>
      <c r="F129" s="3" t="s">
        <v>44</v>
      </c>
      <c r="G129" s="3" t="s">
        <v>93</v>
      </c>
      <c r="H129" s="3" t="n">
        <v>1</v>
      </c>
      <c r="I129" s="4" t="n">
        <v>80212</v>
      </c>
      <c r="J129" s="5" t="n">
        <v>1</v>
      </c>
      <c r="K129" s="6" t="n">
        <f aca="false">IF(J129=0,0,I129/J129)</f>
        <v>80212</v>
      </c>
      <c r="L129" s="4"/>
      <c r="M129" s="3" t="s">
        <v>263</v>
      </c>
      <c r="N129" s="3" t="s">
        <v>264</v>
      </c>
    </row>
    <row r="130" customFormat="false" ht="15" hidden="false" customHeight="false" outlineLevel="0" collapsed="false">
      <c r="A130" s="3" t="s">
        <v>259</v>
      </c>
      <c r="B130" s="3" t="s">
        <v>151</v>
      </c>
      <c r="C130" s="3" t="s">
        <v>32</v>
      </c>
      <c r="D130" s="3" t="s">
        <v>293</v>
      </c>
      <c r="E130" s="3" t="s">
        <v>295</v>
      </c>
      <c r="F130" s="3" t="s">
        <v>105</v>
      </c>
      <c r="G130" s="3" t="s">
        <v>296</v>
      </c>
      <c r="H130" s="3" t="n">
        <v>3</v>
      </c>
      <c r="I130" s="4" t="n">
        <v>58336</v>
      </c>
      <c r="J130" s="5" t="n">
        <v>4</v>
      </c>
      <c r="K130" s="6" t="n">
        <f aca="false">IF(J130=0,0,I130/J130)</f>
        <v>14584</v>
      </c>
      <c r="L130" s="4"/>
      <c r="M130" s="3" t="s">
        <v>263</v>
      </c>
      <c r="N130" s="3" t="s">
        <v>264</v>
      </c>
    </row>
    <row r="131" customFormat="false" ht="15" hidden="false" customHeight="false" outlineLevel="0" collapsed="false">
      <c r="A131" s="3" t="s">
        <v>259</v>
      </c>
      <c r="B131" s="3" t="s">
        <v>151</v>
      </c>
      <c r="C131" s="3" t="s">
        <v>32</v>
      </c>
      <c r="D131" s="3" t="s">
        <v>293</v>
      </c>
      <c r="E131" s="3" t="s">
        <v>297</v>
      </c>
      <c r="F131" s="3" t="s">
        <v>44</v>
      </c>
      <c r="G131" s="3" t="s">
        <v>298</v>
      </c>
      <c r="H131" s="3" t="n">
        <v>1</v>
      </c>
      <c r="I131" s="4" t="n">
        <v>43752</v>
      </c>
      <c r="J131" s="5" t="n">
        <v>3</v>
      </c>
      <c r="K131" s="6" t="n">
        <f aca="false">IF(J131=0,0,I131/J131)</f>
        <v>14584</v>
      </c>
      <c r="L131" s="4"/>
      <c r="M131" s="3" t="s">
        <v>263</v>
      </c>
      <c r="N131" s="3" t="s">
        <v>264</v>
      </c>
    </row>
    <row r="132" customFormat="false" ht="15" hidden="false" customHeight="false" outlineLevel="0" collapsed="false">
      <c r="A132" s="3" t="s">
        <v>259</v>
      </c>
      <c r="B132" s="3" t="s">
        <v>151</v>
      </c>
      <c r="C132" s="3" t="s">
        <v>32</v>
      </c>
      <c r="D132" s="3" t="s">
        <v>299</v>
      </c>
      <c r="E132" s="3" t="s">
        <v>300</v>
      </c>
      <c r="F132" s="3" t="s">
        <v>44</v>
      </c>
      <c r="G132" s="3" t="s">
        <v>301</v>
      </c>
      <c r="H132" s="3" t="n">
        <v>1</v>
      </c>
      <c r="I132" s="4" t="n">
        <v>145840</v>
      </c>
      <c r="J132" s="5" t="n">
        <v>12</v>
      </c>
      <c r="K132" s="6" t="n">
        <f aca="false">IF(J132=0,0,I132/J132)</f>
        <v>12153.3333333333</v>
      </c>
      <c r="L132" s="4"/>
      <c r="M132" s="3" t="s">
        <v>263</v>
      </c>
      <c r="N132" s="3" t="s">
        <v>264</v>
      </c>
    </row>
    <row r="133" customFormat="false" ht="15" hidden="false" customHeight="false" outlineLevel="0" collapsed="false">
      <c r="A133" s="3" t="s">
        <v>259</v>
      </c>
      <c r="B133" s="3" t="s">
        <v>151</v>
      </c>
      <c r="C133" s="3" t="s">
        <v>32</v>
      </c>
      <c r="D133" s="3" t="s">
        <v>299</v>
      </c>
      <c r="E133" s="3" t="s">
        <v>302</v>
      </c>
      <c r="F133" s="3" t="s">
        <v>44</v>
      </c>
      <c r="G133" s="3" t="s">
        <v>303</v>
      </c>
      <c r="H133" s="3" t="n">
        <v>1</v>
      </c>
      <c r="I133" s="4" t="n">
        <v>159488</v>
      </c>
      <c r="J133" s="5" t="n">
        <v>12</v>
      </c>
      <c r="K133" s="6" t="n">
        <f aca="false">IF(J133=0,0,I133/J133)</f>
        <v>13290.6666666667</v>
      </c>
      <c r="L133" s="4"/>
      <c r="M133" s="3" t="s">
        <v>263</v>
      </c>
      <c r="N133" s="3" t="s">
        <v>264</v>
      </c>
    </row>
    <row r="134" customFormat="false" ht="15" hidden="false" customHeight="false" outlineLevel="0" collapsed="false">
      <c r="A134" s="3" t="s">
        <v>259</v>
      </c>
      <c r="B134" s="3" t="s">
        <v>160</v>
      </c>
      <c r="C134" s="3" t="s">
        <v>108</v>
      </c>
      <c r="D134" s="3" t="s">
        <v>304</v>
      </c>
      <c r="E134" s="3" t="s">
        <v>305</v>
      </c>
      <c r="F134" s="3" t="s">
        <v>29</v>
      </c>
      <c r="G134" s="3" t="s">
        <v>306</v>
      </c>
      <c r="H134" s="3" t="n">
        <v>4</v>
      </c>
      <c r="I134" s="4" t="n">
        <v>30000</v>
      </c>
      <c r="J134" s="5" t="n">
        <v>5</v>
      </c>
      <c r="K134" s="6" t="n">
        <f aca="false">IF(J134=0,0,I134/J134)</f>
        <v>6000</v>
      </c>
      <c r="L134" s="4"/>
      <c r="M134" s="3" t="s">
        <v>263</v>
      </c>
      <c r="N134" s="3" t="s">
        <v>264</v>
      </c>
    </row>
    <row r="135" customFormat="false" ht="15" hidden="false" customHeight="false" outlineLevel="0" collapsed="false">
      <c r="A135" s="3" t="s">
        <v>259</v>
      </c>
      <c r="B135" s="3" t="s">
        <v>160</v>
      </c>
      <c r="C135" s="3" t="s">
        <v>41</v>
      </c>
      <c r="D135" s="3" t="s">
        <v>307</v>
      </c>
      <c r="E135" s="3" t="s">
        <v>308</v>
      </c>
      <c r="F135" s="3" t="s">
        <v>44</v>
      </c>
      <c r="G135" s="3" t="s">
        <v>309</v>
      </c>
      <c r="H135" s="3" t="n">
        <v>1</v>
      </c>
      <c r="I135" s="4" t="n">
        <v>36824</v>
      </c>
      <c r="J135" s="5" t="n">
        <v>7</v>
      </c>
      <c r="K135" s="6" t="n">
        <f aca="false">IF(J135=0,0,I135/J135)</f>
        <v>5260.57142857143</v>
      </c>
      <c r="L135" s="4"/>
      <c r="M135" s="3" t="s">
        <v>263</v>
      </c>
      <c r="N135" s="3" t="s">
        <v>264</v>
      </c>
    </row>
    <row r="136" customFormat="false" ht="15" hidden="false" customHeight="false" outlineLevel="0" collapsed="false">
      <c r="A136" s="3" t="s">
        <v>259</v>
      </c>
      <c r="B136" s="3" t="s">
        <v>160</v>
      </c>
      <c r="C136" s="3" t="s">
        <v>41</v>
      </c>
      <c r="D136" s="3" t="s">
        <v>310</v>
      </c>
      <c r="E136" s="3" t="s">
        <v>311</v>
      </c>
      <c r="F136" s="3" t="s">
        <v>44</v>
      </c>
      <c r="G136" s="3" t="s">
        <v>312</v>
      </c>
      <c r="H136" s="3" t="n">
        <v>3</v>
      </c>
      <c r="I136" s="4" t="n">
        <v>137784</v>
      </c>
      <c r="J136" s="5" t="n">
        <v>7</v>
      </c>
      <c r="K136" s="6" t="n">
        <f aca="false">IF(J136=0,0,I136/J136)</f>
        <v>19683.4285714286</v>
      </c>
      <c r="L136" s="4"/>
      <c r="M136" s="3" t="s">
        <v>263</v>
      </c>
      <c r="N136" s="3" t="s">
        <v>264</v>
      </c>
    </row>
    <row r="137" customFormat="false" ht="15" hidden="false" customHeight="false" outlineLevel="0" collapsed="false">
      <c r="A137" s="3" t="s">
        <v>259</v>
      </c>
      <c r="B137" s="3" t="s">
        <v>160</v>
      </c>
      <c r="C137" s="3" t="s">
        <v>67</v>
      </c>
      <c r="D137" s="3" t="s">
        <v>313</v>
      </c>
      <c r="E137" s="3" t="s">
        <v>314</v>
      </c>
      <c r="F137" s="3" t="s">
        <v>44</v>
      </c>
      <c r="G137" s="3" t="s">
        <v>315</v>
      </c>
      <c r="H137" s="3" t="n">
        <v>5</v>
      </c>
      <c r="I137" s="4" t="n">
        <v>102920</v>
      </c>
      <c r="J137" s="5" t="n">
        <v>8</v>
      </c>
      <c r="K137" s="6" t="n">
        <f aca="false">IF(J137=0,0,I137/J137)</f>
        <v>12865</v>
      </c>
      <c r="L137" s="4"/>
      <c r="M137" s="3" t="s">
        <v>263</v>
      </c>
      <c r="N137" s="3" t="s">
        <v>264</v>
      </c>
    </row>
    <row r="138" customFormat="false" ht="15" hidden="false" customHeight="false" outlineLevel="0" collapsed="false">
      <c r="A138" s="3" t="s">
        <v>259</v>
      </c>
      <c r="B138" s="3" t="s">
        <v>160</v>
      </c>
      <c r="C138" s="3" t="s">
        <v>16</v>
      </c>
      <c r="D138" s="3" t="s">
        <v>316</v>
      </c>
      <c r="E138" s="3" t="s">
        <v>317</v>
      </c>
      <c r="F138" s="3" t="s">
        <v>105</v>
      </c>
      <c r="G138" s="3" t="s">
        <v>318</v>
      </c>
      <c r="H138" s="3" t="n">
        <v>1</v>
      </c>
      <c r="I138" s="4" t="n">
        <v>29168</v>
      </c>
      <c r="J138" s="5" t="n">
        <v>6</v>
      </c>
      <c r="K138" s="6" t="n">
        <f aca="false">IF(J138=0,0,I138/J138)</f>
        <v>4861.33333333333</v>
      </c>
      <c r="L138" s="4"/>
      <c r="M138" s="3" t="s">
        <v>263</v>
      </c>
      <c r="N138" s="3" t="s">
        <v>264</v>
      </c>
    </row>
    <row r="139" customFormat="false" ht="15" hidden="false" customHeight="false" outlineLevel="0" collapsed="false">
      <c r="A139" s="3" t="s">
        <v>259</v>
      </c>
      <c r="B139" s="3" t="s">
        <v>160</v>
      </c>
      <c r="C139" s="3" t="s">
        <v>16</v>
      </c>
      <c r="D139" s="3" t="s">
        <v>319</v>
      </c>
      <c r="E139" s="3" t="s">
        <v>320</v>
      </c>
      <c r="F139" s="3" t="s">
        <v>105</v>
      </c>
      <c r="G139" s="3" t="s">
        <v>321</v>
      </c>
      <c r="H139" s="3" t="n">
        <v>3</v>
      </c>
      <c r="I139" s="4" t="n">
        <v>69301</v>
      </c>
      <c r="J139" s="5" t="n">
        <v>3</v>
      </c>
      <c r="K139" s="6" t="n">
        <f aca="false">IF(J139=0,0,I139/J139)</f>
        <v>23100.3333333333</v>
      </c>
      <c r="L139" s="4"/>
      <c r="M139" s="3" t="s">
        <v>263</v>
      </c>
      <c r="N139" s="3" t="s">
        <v>264</v>
      </c>
    </row>
    <row r="140" customFormat="false" ht="15" hidden="false" customHeight="false" outlineLevel="0" collapsed="false">
      <c r="A140" s="3" t="s">
        <v>259</v>
      </c>
      <c r="B140" s="3" t="s">
        <v>160</v>
      </c>
      <c r="C140" s="3" t="s">
        <v>16</v>
      </c>
      <c r="D140" s="3" t="s">
        <v>319</v>
      </c>
      <c r="E140" s="3" t="s">
        <v>322</v>
      </c>
      <c r="F140" s="3" t="s">
        <v>105</v>
      </c>
      <c r="G140" s="3" t="s">
        <v>323</v>
      </c>
      <c r="H140" s="3" t="n">
        <v>5</v>
      </c>
      <c r="I140" s="4" t="n">
        <v>68661</v>
      </c>
      <c r="J140" s="5" t="n">
        <v>4</v>
      </c>
      <c r="K140" s="6" t="n">
        <f aca="false">IF(J140=0,0,I140/J140)</f>
        <v>17165.25</v>
      </c>
      <c r="L140" s="4"/>
      <c r="M140" s="3" t="s">
        <v>263</v>
      </c>
      <c r="N140" s="3" t="s">
        <v>264</v>
      </c>
    </row>
    <row r="141" customFormat="false" ht="15" hidden="false" customHeight="false" outlineLevel="0" collapsed="false">
      <c r="A141" s="3" t="s">
        <v>259</v>
      </c>
      <c r="B141" s="3" t="s">
        <v>160</v>
      </c>
      <c r="C141" s="3" t="s">
        <v>16</v>
      </c>
      <c r="D141" s="3" t="s">
        <v>319</v>
      </c>
      <c r="E141" s="3" t="s">
        <v>324</v>
      </c>
      <c r="F141" s="3" t="s">
        <v>105</v>
      </c>
      <c r="G141" s="3" t="s">
        <v>325</v>
      </c>
      <c r="H141" s="3" t="n">
        <v>2</v>
      </c>
      <c r="I141" s="4" t="n">
        <v>29168</v>
      </c>
      <c r="J141" s="5" t="n">
        <v>4</v>
      </c>
      <c r="K141" s="6" t="n">
        <f aca="false">IF(J141=0,0,I141/J141)</f>
        <v>7292</v>
      </c>
      <c r="L141" s="4"/>
      <c r="M141" s="3" t="s">
        <v>263</v>
      </c>
      <c r="N141" s="3" t="s">
        <v>264</v>
      </c>
    </row>
    <row r="142" customFormat="false" ht="15" hidden="false" customHeight="false" outlineLevel="0" collapsed="false">
      <c r="A142" s="3" t="s">
        <v>259</v>
      </c>
      <c r="B142" s="3" t="s">
        <v>160</v>
      </c>
      <c r="C142" s="3" t="s">
        <v>16</v>
      </c>
      <c r="D142" s="3" t="s">
        <v>319</v>
      </c>
      <c r="E142" s="3" t="s">
        <v>326</v>
      </c>
      <c r="F142" s="3" t="s">
        <v>105</v>
      </c>
      <c r="G142" s="3" t="s">
        <v>327</v>
      </c>
      <c r="H142" s="3" t="n">
        <v>2</v>
      </c>
      <c r="I142" s="4" t="n">
        <v>55628</v>
      </c>
      <c r="J142" s="5" t="n">
        <v>3</v>
      </c>
      <c r="K142" s="6" t="n">
        <f aca="false">IF(J142=0,0,I142/J142)</f>
        <v>18542.6666666667</v>
      </c>
      <c r="L142" s="4"/>
      <c r="M142" s="3" t="s">
        <v>263</v>
      </c>
      <c r="N142" s="3" t="s">
        <v>264</v>
      </c>
    </row>
    <row r="143" customFormat="false" ht="15" hidden="false" customHeight="false" outlineLevel="0" collapsed="false">
      <c r="A143" s="3" t="s">
        <v>259</v>
      </c>
      <c r="B143" s="3" t="s">
        <v>160</v>
      </c>
      <c r="C143" s="3" t="s">
        <v>16</v>
      </c>
      <c r="D143" s="3" t="s">
        <v>328</v>
      </c>
      <c r="E143" s="3" t="s">
        <v>329</v>
      </c>
      <c r="F143" s="3" t="s">
        <v>44</v>
      </c>
      <c r="G143" s="3" t="s">
        <v>321</v>
      </c>
      <c r="H143" s="3" t="n">
        <v>1</v>
      </c>
      <c r="I143" s="4" t="n">
        <v>32814</v>
      </c>
      <c r="J143" s="5" t="n">
        <v>3</v>
      </c>
      <c r="K143" s="6" t="n">
        <f aca="false">IF(J143=0,0,I143/J143)</f>
        <v>10938</v>
      </c>
      <c r="L143" s="4"/>
      <c r="M143" s="3" t="s">
        <v>263</v>
      </c>
      <c r="N143" s="3" t="s">
        <v>264</v>
      </c>
    </row>
    <row r="144" customFormat="false" ht="15" hidden="false" customHeight="false" outlineLevel="0" collapsed="false">
      <c r="A144" s="3" t="s">
        <v>259</v>
      </c>
      <c r="B144" s="3" t="s">
        <v>160</v>
      </c>
      <c r="C144" s="3" t="s">
        <v>32</v>
      </c>
      <c r="D144" s="3" t="s">
        <v>330</v>
      </c>
      <c r="E144" s="3" t="s">
        <v>331</v>
      </c>
      <c r="F144" s="3" t="s">
        <v>332</v>
      </c>
      <c r="G144" s="3" t="s">
        <v>333</v>
      </c>
      <c r="H144" s="3" t="n">
        <v>1</v>
      </c>
      <c r="I144" s="4" t="n">
        <v>204176</v>
      </c>
      <c r="J144" s="5" t="n">
        <v>12</v>
      </c>
      <c r="K144" s="6" t="n">
        <f aca="false">IF(J144=0,0,I144/J144)</f>
        <v>17014.6666666667</v>
      </c>
      <c r="L144" s="4"/>
      <c r="M144" s="3" t="s">
        <v>263</v>
      </c>
      <c r="N144" s="3" t="s">
        <v>264</v>
      </c>
    </row>
    <row r="145" customFormat="false" ht="15" hidden="false" customHeight="false" outlineLevel="0" collapsed="false">
      <c r="A145" s="3" t="s">
        <v>259</v>
      </c>
      <c r="B145" s="3" t="s">
        <v>160</v>
      </c>
      <c r="C145" s="3" t="s">
        <v>32</v>
      </c>
      <c r="D145" s="3" t="s">
        <v>293</v>
      </c>
      <c r="E145" s="3" t="s">
        <v>334</v>
      </c>
      <c r="F145" s="3" t="s">
        <v>44</v>
      </c>
      <c r="G145" s="3" t="s">
        <v>335</v>
      </c>
      <c r="H145" s="3" t="n">
        <v>2</v>
      </c>
      <c r="I145" s="4" t="n">
        <v>0</v>
      </c>
      <c r="J145" s="5" t="n">
        <v>5</v>
      </c>
      <c r="K145" s="6" t="n">
        <f aca="false">IF(J145=0,0,I145/J145)</f>
        <v>0</v>
      </c>
      <c r="L145" s="4"/>
      <c r="M145" s="3"/>
      <c r="N145" s="3" t="s">
        <v>264</v>
      </c>
    </row>
    <row r="146" customFormat="false" ht="15" hidden="false" customHeight="false" outlineLevel="0" collapsed="false">
      <c r="A146" s="3" t="s">
        <v>259</v>
      </c>
      <c r="B146" s="3" t="s">
        <v>15</v>
      </c>
      <c r="C146" s="3" t="s">
        <v>108</v>
      </c>
      <c r="D146" s="3" t="s">
        <v>260</v>
      </c>
      <c r="E146" s="3" t="s">
        <v>336</v>
      </c>
      <c r="F146" s="3" t="s">
        <v>44</v>
      </c>
      <c r="G146" s="3" t="s">
        <v>337</v>
      </c>
      <c r="H146" s="3" t="n">
        <v>1</v>
      </c>
      <c r="I146" s="4" t="n">
        <v>35500</v>
      </c>
      <c r="J146" s="5" t="n">
        <v>9</v>
      </c>
      <c r="K146" s="6" t="n">
        <f aca="false">IF(J146=0,0,I146/J146)</f>
        <v>3944.44444444444</v>
      </c>
      <c r="L146" s="4"/>
      <c r="M146" s="3" t="s">
        <v>263</v>
      </c>
      <c r="N146" s="3" t="s">
        <v>264</v>
      </c>
    </row>
    <row r="147" customFormat="false" ht="15" hidden="false" customHeight="false" outlineLevel="0" collapsed="false">
      <c r="A147" s="3" t="s">
        <v>259</v>
      </c>
      <c r="B147" s="3" t="s">
        <v>15</v>
      </c>
      <c r="C147" s="3" t="s">
        <v>108</v>
      </c>
      <c r="D147" s="3" t="s">
        <v>338</v>
      </c>
      <c r="E147" s="3" t="s">
        <v>339</v>
      </c>
      <c r="F147" s="3" t="s">
        <v>105</v>
      </c>
      <c r="G147" s="3" t="s">
        <v>340</v>
      </c>
      <c r="H147" s="3" t="n">
        <v>5</v>
      </c>
      <c r="I147" s="4" t="n">
        <v>0</v>
      </c>
      <c r="J147" s="5" t="n">
        <v>11</v>
      </c>
      <c r="K147" s="6" t="n">
        <f aca="false">IF(J147=0,0,I147/J147)</f>
        <v>0</v>
      </c>
      <c r="L147" s="4"/>
      <c r="M147" s="3"/>
      <c r="N147" s="3" t="s">
        <v>264</v>
      </c>
    </row>
    <row r="148" customFormat="false" ht="15" hidden="false" customHeight="false" outlineLevel="0" collapsed="false">
      <c r="A148" s="3" t="s">
        <v>259</v>
      </c>
      <c r="B148" s="3" t="s">
        <v>40</v>
      </c>
      <c r="C148" s="3" t="s">
        <v>108</v>
      </c>
      <c r="D148" s="3" t="s">
        <v>341</v>
      </c>
      <c r="E148" s="3" t="s">
        <v>342</v>
      </c>
      <c r="F148" s="3" t="s">
        <v>44</v>
      </c>
      <c r="G148" s="3" t="s">
        <v>343</v>
      </c>
      <c r="H148" s="3" t="n">
        <v>2</v>
      </c>
      <c r="I148" s="4" t="n">
        <v>0</v>
      </c>
      <c r="J148" s="5" t="n">
        <v>11</v>
      </c>
      <c r="K148" s="6" t="n">
        <f aca="false">IF(J148=0,0,I148/J148)</f>
        <v>0</v>
      </c>
      <c r="L148" s="4"/>
      <c r="M148" s="3"/>
      <c r="N148" s="3" t="s">
        <v>264</v>
      </c>
    </row>
    <row r="149" customFormat="false" ht="15" hidden="false" customHeight="false" outlineLevel="0" collapsed="false">
      <c r="A149" s="3" t="s">
        <v>259</v>
      </c>
      <c r="B149" s="3" t="s">
        <v>40</v>
      </c>
      <c r="C149" s="3" t="s">
        <v>108</v>
      </c>
      <c r="D149" s="3" t="s">
        <v>344</v>
      </c>
      <c r="E149" s="3" t="s">
        <v>345</v>
      </c>
      <c r="F149" s="3" t="s">
        <v>44</v>
      </c>
      <c r="G149" s="3" t="s">
        <v>346</v>
      </c>
      <c r="H149" s="3" t="n">
        <v>2</v>
      </c>
      <c r="I149" s="4" t="n">
        <v>0</v>
      </c>
      <c r="J149" s="5" t="n">
        <v>11</v>
      </c>
      <c r="K149" s="6" t="n">
        <f aca="false">IF(J149=0,0,I149/J149)</f>
        <v>0</v>
      </c>
      <c r="L149" s="4"/>
      <c r="M149" s="3"/>
      <c r="N149" s="3" t="s">
        <v>264</v>
      </c>
    </row>
    <row r="150" customFormat="false" ht="15" hidden="false" customHeight="false" outlineLevel="0" collapsed="false">
      <c r="A150" s="3" t="s">
        <v>259</v>
      </c>
      <c r="B150" s="3" t="s">
        <v>40</v>
      </c>
      <c r="C150" s="3" t="s">
        <v>16</v>
      </c>
      <c r="D150" s="3" t="s">
        <v>328</v>
      </c>
      <c r="E150" s="3" t="s">
        <v>347</v>
      </c>
      <c r="F150" s="3" t="s">
        <v>348</v>
      </c>
      <c r="G150" s="3" t="s">
        <v>349</v>
      </c>
      <c r="H150" s="3" t="n">
        <v>1</v>
      </c>
      <c r="I150" s="4" t="n">
        <v>14584</v>
      </c>
      <c r="J150" s="5" t="n">
        <v>4</v>
      </c>
      <c r="K150" s="6" t="n">
        <f aca="false">IF(J150=0,0,I150/J150)</f>
        <v>3646</v>
      </c>
      <c r="L150" s="4"/>
      <c r="M150" s="3" t="s">
        <v>263</v>
      </c>
      <c r="N150" s="3" t="s">
        <v>264</v>
      </c>
    </row>
    <row r="151" customFormat="false" ht="15" hidden="false" customHeight="false" outlineLevel="0" collapsed="false">
      <c r="A151" s="3" t="s">
        <v>259</v>
      </c>
      <c r="B151" s="3" t="s">
        <v>197</v>
      </c>
      <c r="C151" s="3" t="s">
        <v>108</v>
      </c>
      <c r="D151" s="3" t="s">
        <v>260</v>
      </c>
      <c r="E151" s="3" t="s">
        <v>350</v>
      </c>
      <c r="F151" s="3" t="s">
        <v>105</v>
      </c>
      <c r="G151" s="3" t="s">
        <v>351</v>
      </c>
      <c r="H151" s="3" t="n">
        <v>3</v>
      </c>
      <c r="I151" s="4" t="n">
        <v>40000</v>
      </c>
      <c r="J151" s="5" t="n">
        <v>3</v>
      </c>
      <c r="K151" s="6" t="n">
        <f aca="false">IF(J151=0,0,I151/J151)</f>
        <v>13333.3333333333</v>
      </c>
      <c r="L151" s="4"/>
      <c r="M151" s="3" t="s">
        <v>263</v>
      </c>
      <c r="N151" s="3" t="s">
        <v>264</v>
      </c>
    </row>
    <row r="152" customFormat="false" ht="15" hidden="false" customHeight="false" outlineLevel="0" collapsed="false">
      <c r="A152" s="3" t="s">
        <v>259</v>
      </c>
      <c r="B152" s="3" t="s">
        <v>197</v>
      </c>
      <c r="C152" s="3" t="s">
        <v>108</v>
      </c>
      <c r="D152" s="3" t="s">
        <v>352</v>
      </c>
      <c r="E152" s="3" t="s">
        <v>353</v>
      </c>
      <c r="F152" s="3" t="s">
        <v>44</v>
      </c>
      <c r="G152" s="3" t="s">
        <v>354</v>
      </c>
      <c r="H152" s="3" t="n">
        <v>4</v>
      </c>
      <c r="I152" s="4" t="n">
        <v>35500</v>
      </c>
      <c r="J152" s="5" t="n">
        <v>4</v>
      </c>
      <c r="K152" s="6" t="n">
        <f aca="false">IF(J152=0,0,I152/J152)</f>
        <v>8875</v>
      </c>
      <c r="L152" s="4"/>
      <c r="M152" s="3" t="s">
        <v>263</v>
      </c>
      <c r="N152" s="3" t="s">
        <v>264</v>
      </c>
    </row>
    <row r="153" customFormat="false" ht="15" hidden="false" customHeight="false" outlineLevel="0" collapsed="false">
      <c r="A153" s="3" t="s">
        <v>259</v>
      </c>
      <c r="B153" s="3" t="s">
        <v>197</v>
      </c>
      <c r="C153" s="3" t="s">
        <v>41</v>
      </c>
      <c r="D153" s="3" t="s">
        <v>307</v>
      </c>
      <c r="E153" s="3" t="s">
        <v>355</v>
      </c>
      <c r="F153" s="3" t="s">
        <v>44</v>
      </c>
      <c r="G153" s="3" t="s">
        <v>356</v>
      </c>
      <c r="H153" s="3" t="n">
        <v>4</v>
      </c>
      <c r="I153" s="4" t="n">
        <v>39371</v>
      </c>
      <c r="J153" s="5" t="n">
        <v>8</v>
      </c>
      <c r="K153" s="6" t="n">
        <f aca="false">IF(J153=0,0,I153/J153)</f>
        <v>4921.375</v>
      </c>
      <c r="L153" s="4"/>
      <c r="M153" s="3" t="s">
        <v>263</v>
      </c>
      <c r="N153" s="3" t="s">
        <v>264</v>
      </c>
    </row>
    <row r="154" customFormat="false" ht="15" hidden="false" customHeight="false" outlineLevel="0" collapsed="false">
      <c r="A154" s="3" t="s">
        <v>259</v>
      </c>
      <c r="B154" s="3" t="s">
        <v>197</v>
      </c>
      <c r="C154" s="3" t="s">
        <v>41</v>
      </c>
      <c r="D154" s="3" t="s">
        <v>307</v>
      </c>
      <c r="E154" s="3" t="s">
        <v>357</v>
      </c>
      <c r="F154" s="3" t="s">
        <v>358</v>
      </c>
      <c r="G154" s="3" t="s">
        <v>359</v>
      </c>
      <c r="H154" s="3" t="n">
        <v>1</v>
      </c>
      <c r="I154" s="4" t="n">
        <v>18412</v>
      </c>
      <c r="J154" s="5" t="n">
        <v>8</v>
      </c>
      <c r="K154" s="6" t="n">
        <f aca="false">IF(J154=0,0,I154/J154)</f>
        <v>2301.5</v>
      </c>
      <c r="L154" s="4"/>
      <c r="M154" s="3" t="s">
        <v>263</v>
      </c>
      <c r="N154" s="3" t="s">
        <v>264</v>
      </c>
    </row>
    <row r="155" customFormat="false" ht="15" hidden="false" customHeight="false" outlineLevel="0" collapsed="false">
      <c r="A155" s="3" t="s">
        <v>259</v>
      </c>
      <c r="B155" s="3" t="s">
        <v>197</v>
      </c>
      <c r="C155" s="3" t="s">
        <v>41</v>
      </c>
      <c r="D155" s="3" t="s">
        <v>273</v>
      </c>
      <c r="E155" s="3" t="s">
        <v>360</v>
      </c>
      <c r="F155" s="3" t="s">
        <v>44</v>
      </c>
      <c r="G155" s="3" t="s">
        <v>361</v>
      </c>
      <c r="H155" s="3" t="n">
        <v>3</v>
      </c>
      <c r="I155" s="4" t="n">
        <v>39551</v>
      </c>
      <c r="J155" s="5" t="n">
        <v>4</v>
      </c>
      <c r="K155" s="6" t="n">
        <f aca="false">IF(J155=0,0,I155/J155)</f>
        <v>9887.75</v>
      </c>
      <c r="L155" s="4"/>
      <c r="M155" s="3" t="s">
        <v>263</v>
      </c>
      <c r="N155" s="3" t="s">
        <v>264</v>
      </c>
    </row>
    <row r="156" customFormat="false" ht="15" hidden="false" customHeight="false" outlineLevel="0" collapsed="false">
      <c r="A156" s="3" t="s">
        <v>259</v>
      </c>
      <c r="B156" s="3" t="s">
        <v>197</v>
      </c>
      <c r="C156" s="3" t="s">
        <v>16</v>
      </c>
      <c r="D156" s="3" t="s">
        <v>328</v>
      </c>
      <c r="E156" s="3" t="s">
        <v>347</v>
      </c>
      <c r="F156" s="3" t="s">
        <v>348</v>
      </c>
      <c r="G156" s="3" t="s">
        <v>349</v>
      </c>
      <c r="H156" s="3" t="n">
        <v>1</v>
      </c>
      <c r="I156" s="4" t="n">
        <v>36460</v>
      </c>
      <c r="J156" s="5" t="n">
        <v>4</v>
      </c>
      <c r="K156" s="6" t="n">
        <f aca="false">IF(J156=0,0,I156/J156)</f>
        <v>9115</v>
      </c>
      <c r="L156" s="4"/>
      <c r="M156" s="3" t="s">
        <v>263</v>
      </c>
      <c r="N156" s="3" t="s">
        <v>264</v>
      </c>
    </row>
    <row r="157" customFormat="false" ht="15" hidden="false" customHeight="false" outlineLevel="0" collapsed="false">
      <c r="A157" s="3" t="s">
        <v>259</v>
      </c>
      <c r="B157" s="3" t="s">
        <v>197</v>
      </c>
      <c r="C157" s="3" t="s">
        <v>16</v>
      </c>
      <c r="D157" s="3" t="s">
        <v>362</v>
      </c>
      <c r="E157" s="3" t="s">
        <v>363</v>
      </c>
      <c r="F157" s="3" t="s">
        <v>105</v>
      </c>
      <c r="G157" s="3" t="s">
        <v>364</v>
      </c>
      <c r="H157" s="3" t="n">
        <v>5</v>
      </c>
      <c r="I157" s="4" t="n">
        <v>15799</v>
      </c>
      <c r="J157" s="5" t="n">
        <v>11</v>
      </c>
      <c r="K157" s="6" t="n">
        <f aca="false">IF(J157=0,0,I157/J157)</f>
        <v>1436.27272727273</v>
      </c>
      <c r="L157" s="4"/>
      <c r="M157" s="3" t="s">
        <v>263</v>
      </c>
      <c r="N157" s="3" t="s">
        <v>264</v>
      </c>
    </row>
    <row r="158" customFormat="false" ht="15" hidden="false" customHeight="false" outlineLevel="0" collapsed="false">
      <c r="A158" s="3" t="s">
        <v>259</v>
      </c>
      <c r="B158" s="3" t="s">
        <v>197</v>
      </c>
      <c r="C158" s="3" t="s">
        <v>16</v>
      </c>
      <c r="D158" s="3" t="s">
        <v>362</v>
      </c>
      <c r="E158" s="3" t="s">
        <v>365</v>
      </c>
      <c r="F158" s="3" t="s">
        <v>105</v>
      </c>
      <c r="G158" s="3" t="s">
        <v>366</v>
      </c>
      <c r="H158" s="3" t="n">
        <v>4</v>
      </c>
      <c r="I158" s="4" t="n">
        <v>0</v>
      </c>
      <c r="J158" s="5" t="n">
        <v>11</v>
      </c>
      <c r="K158" s="6" t="n">
        <f aca="false">IF(J158=0,0,I158/J158)</f>
        <v>0</v>
      </c>
      <c r="L158" s="4"/>
      <c r="M158" s="3"/>
      <c r="N158" s="3" t="s">
        <v>264</v>
      </c>
    </row>
    <row r="159" customFormat="false" ht="15" hidden="false" customHeight="false" outlineLevel="0" collapsed="false">
      <c r="A159" s="3" t="s">
        <v>259</v>
      </c>
      <c r="B159" s="3" t="s">
        <v>197</v>
      </c>
      <c r="C159" s="3" t="s">
        <v>32</v>
      </c>
      <c r="D159" s="3" t="s">
        <v>367</v>
      </c>
      <c r="E159" s="3" t="s">
        <v>368</v>
      </c>
      <c r="F159" s="3" t="s">
        <v>105</v>
      </c>
      <c r="G159" s="3" t="s">
        <v>369</v>
      </c>
      <c r="H159" s="3" t="n">
        <v>3</v>
      </c>
      <c r="I159" s="4" t="n">
        <v>11900</v>
      </c>
      <c r="J159" s="5" t="n">
        <v>12</v>
      </c>
      <c r="K159" s="6" t="n">
        <f aca="false">IF(J159=0,0,I159/J159)</f>
        <v>991.666666666667</v>
      </c>
      <c r="L159" s="4"/>
      <c r="M159" s="3" t="s">
        <v>263</v>
      </c>
      <c r="N159" s="3" t="s">
        <v>264</v>
      </c>
    </row>
    <row r="160" customFormat="false" ht="15" hidden="false" customHeight="false" outlineLevel="0" collapsed="false">
      <c r="A160" s="3" t="s">
        <v>259</v>
      </c>
      <c r="B160" s="3" t="s">
        <v>47</v>
      </c>
      <c r="C160" s="3" t="s">
        <v>108</v>
      </c>
      <c r="D160" s="3" t="s">
        <v>260</v>
      </c>
      <c r="E160" s="3" t="s">
        <v>370</v>
      </c>
      <c r="F160" s="3" t="s">
        <v>44</v>
      </c>
      <c r="G160" s="3" t="s">
        <v>371</v>
      </c>
      <c r="H160" s="3" t="n">
        <v>3</v>
      </c>
      <c r="I160" s="4" t="n">
        <v>124250</v>
      </c>
      <c r="J160" s="5" t="n">
        <v>3</v>
      </c>
      <c r="K160" s="6" t="n">
        <f aca="false">IF(J160=0,0,I160/J160)</f>
        <v>41416.6666666667</v>
      </c>
      <c r="L160" s="4"/>
      <c r="M160" s="3" t="s">
        <v>263</v>
      </c>
      <c r="N160" s="3" t="s">
        <v>264</v>
      </c>
    </row>
    <row r="161" customFormat="false" ht="15" hidden="false" customHeight="false" outlineLevel="0" collapsed="false">
      <c r="A161" s="3" t="s">
        <v>259</v>
      </c>
      <c r="B161" s="3" t="s">
        <v>47</v>
      </c>
      <c r="C161" s="3" t="s">
        <v>108</v>
      </c>
      <c r="D161" s="3" t="s">
        <v>341</v>
      </c>
      <c r="E161" s="3" t="s">
        <v>372</v>
      </c>
      <c r="F161" s="3" t="s">
        <v>105</v>
      </c>
      <c r="G161" s="3" t="s">
        <v>93</v>
      </c>
      <c r="H161" s="3" t="n">
        <v>3</v>
      </c>
      <c r="I161" s="4" t="n">
        <v>68250</v>
      </c>
      <c r="J161" s="5" t="n">
        <v>1</v>
      </c>
      <c r="K161" s="6" t="n">
        <f aca="false">IF(J161=0,0,I161/J161)</f>
        <v>68250</v>
      </c>
      <c r="L161" s="4"/>
      <c r="M161" s="3" t="s">
        <v>263</v>
      </c>
      <c r="N161" s="3" t="s">
        <v>264</v>
      </c>
    </row>
    <row r="162" customFormat="false" ht="15" hidden="false" customHeight="false" outlineLevel="0" collapsed="false">
      <c r="A162" s="3" t="s">
        <v>259</v>
      </c>
      <c r="B162" s="3" t="s">
        <v>47</v>
      </c>
      <c r="C162" s="3" t="s">
        <v>67</v>
      </c>
      <c r="D162" s="3" t="s">
        <v>373</v>
      </c>
      <c r="E162" s="3" t="s">
        <v>374</v>
      </c>
      <c r="F162" s="3" t="s">
        <v>375</v>
      </c>
      <c r="G162" s="3" t="s">
        <v>93</v>
      </c>
      <c r="H162" s="3" t="n">
        <v>2</v>
      </c>
      <c r="I162" s="4" t="n">
        <v>80212</v>
      </c>
      <c r="J162" s="5" t="n">
        <v>1</v>
      </c>
      <c r="K162" s="6" t="n">
        <f aca="false">IF(J162=0,0,I162/J162)</f>
        <v>80212</v>
      </c>
      <c r="L162" s="4"/>
      <c r="M162" s="3" t="s">
        <v>263</v>
      </c>
      <c r="N162" s="3" t="s">
        <v>264</v>
      </c>
    </row>
    <row r="163" customFormat="false" ht="15" hidden="false" customHeight="false" outlineLevel="0" collapsed="false">
      <c r="A163" s="3" t="s">
        <v>259</v>
      </c>
      <c r="B163" s="3" t="s">
        <v>47</v>
      </c>
      <c r="C163" s="3" t="s">
        <v>16</v>
      </c>
      <c r="D163" s="3" t="s">
        <v>362</v>
      </c>
      <c r="E163" s="3" t="s">
        <v>363</v>
      </c>
      <c r="F163" s="3" t="s">
        <v>105</v>
      </c>
      <c r="G163" s="3" t="s">
        <v>364</v>
      </c>
      <c r="H163" s="3" t="n">
        <v>10</v>
      </c>
      <c r="I163" s="4" t="n">
        <v>42119</v>
      </c>
      <c r="J163" s="5" t="n">
        <v>11</v>
      </c>
      <c r="K163" s="6" t="n">
        <f aca="false">IF(J163=0,0,I163/J163)</f>
        <v>3829</v>
      </c>
      <c r="L163" s="4"/>
      <c r="M163" s="3" t="s">
        <v>263</v>
      </c>
      <c r="N163" s="3" t="s">
        <v>264</v>
      </c>
    </row>
    <row r="164" customFormat="false" ht="15" hidden="false" customHeight="false" outlineLevel="0" collapsed="false">
      <c r="A164" s="3" t="s">
        <v>259</v>
      </c>
      <c r="B164" s="3" t="s">
        <v>47</v>
      </c>
      <c r="C164" s="3" t="s">
        <v>32</v>
      </c>
      <c r="D164" s="3" t="s">
        <v>293</v>
      </c>
      <c r="E164" s="3" t="s">
        <v>376</v>
      </c>
      <c r="F164" s="3" t="s">
        <v>105</v>
      </c>
      <c r="G164" s="3" t="s">
        <v>377</v>
      </c>
      <c r="H164" s="3" t="n">
        <v>1</v>
      </c>
      <c r="I164" s="4" t="n">
        <v>36460</v>
      </c>
      <c r="J164" s="5" t="n">
        <v>5</v>
      </c>
      <c r="K164" s="6" t="n">
        <f aca="false">IF(J164=0,0,I164/J164)</f>
        <v>7292</v>
      </c>
      <c r="L164" s="4"/>
      <c r="M164" s="3" t="s">
        <v>263</v>
      </c>
      <c r="N164" s="3" t="s">
        <v>264</v>
      </c>
    </row>
    <row r="165" customFormat="false" ht="15" hidden="false" customHeight="false" outlineLevel="0" collapsed="false">
      <c r="A165" s="3" t="s">
        <v>259</v>
      </c>
      <c r="B165" s="3" t="s">
        <v>47</v>
      </c>
      <c r="C165" s="3" t="s">
        <v>32</v>
      </c>
      <c r="D165" s="3" t="s">
        <v>367</v>
      </c>
      <c r="E165" s="3" t="s">
        <v>368</v>
      </c>
      <c r="F165" s="3" t="s">
        <v>105</v>
      </c>
      <c r="G165" s="3" t="s">
        <v>369</v>
      </c>
      <c r="H165" s="3" t="n">
        <v>3</v>
      </c>
      <c r="I165" s="4" t="n">
        <v>40000</v>
      </c>
      <c r="J165" s="5" t="n">
        <v>12</v>
      </c>
      <c r="K165" s="6" t="n">
        <f aca="false">IF(J165=0,0,I165/J165)</f>
        <v>3333.33333333333</v>
      </c>
      <c r="L165" s="4"/>
      <c r="M165" s="3" t="s">
        <v>263</v>
      </c>
      <c r="N165" s="3" t="s">
        <v>264</v>
      </c>
    </row>
    <row r="166" customFormat="false" ht="15" hidden="false" customHeight="false" outlineLevel="0" collapsed="false">
      <c r="A166" s="3" t="s">
        <v>259</v>
      </c>
      <c r="B166" s="3" t="s">
        <v>107</v>
      </c>
      <c r="C166" s="3" t="s">
        <v>108</v>
      </c>
      <c r="D166" s="3" t="s">
        <v>341</v>
      </c>
      <c r="E166" s="3" t="s">
        <v>378</v>
      </c>
      <c r="F166" s="3" t="s">
        <v>105</v>
      </c>
      <c r="G166" s="3" t="s">
        <v>379</v>
      </c>
      <c r="H166" s="3" t="n">
        <v>3</v>
      </c>
      <c r="I166" s="4" t="n">
        <v>106500</v>
      </c>
      <c r="J166" s="5" t="n">
        <v>3</v>
      </c>
      <c r="K166" s="6" t="n">
        <f aca="false">IF(J166=0,0,I166/J166)</f>
        <v>35500</v>
      </c>
      <c r="L166" s="4"/>
      <c r="M166" s="3" t="s">
        <v>263</v>
      </c>
      <c r="N166" s="3" t="s">
        <v>264</v>
      </c>
    </row>
    <row r="167" customFormat="false" ht="15" hidden="false" customHeight="false" outlineLevel="0" collapsed="false">
      <c r="A167" s="3" t="s">
        <v>259</v>
      </c>
      <c r="B167" s="3" t="s">
        <v>107</v>
      </c>
      <c r="C167" s="3" t="s">
        <v>41</v>
      </c>
      <c r="D167" s="3" t="s">
        <v>307</v>
      </c>
      <c r="E167" s="3" t="s">
        <v>380</v>
      </c>
      <c r="F167" s="3" t="s">
        <v>105</v>
      </c>
      <c r="G167" s="3" t="s">
        <v>381</v>
      </c>
      <c r="H167" s="3" t="n">
        <v>5</v>
      </c>
      <c r="I167" s="4" t="n">
        <v>18412</v>
      </c>
      <c r="J167" s="5" t="n">
        <v>8</v>
      </c>
      <c r="K167" s="6" t="n">
        <f aca="false">IF(J167=0,0,I167/J167)</f>
        <v>2301.5</v>
      </c>
      <c r="L167" s="4"/>
      <c r="M167" s="3" t="s">
        <v>263</v>
      </c>
      <c r="N167" s="3" t="s">
        <v>264</v>
      </c>
    </row>
    <row r="168" customFormat="false" ht="15" hidden="false" customHeight="false" outlineLevel="0" collapsed="false">
      <c r="A168" s="3" t="s">
        <v>259</v>
      </c>
      <c r="B168" s="3" t="s">
        <v>107</v>
      </c>
      <c r="C168" s="3" t="s">
        <v>41</v>
      </c>
      <c r="D168" s="3" t="s">
        <v>307</v>
      </c>
      <c r="E168" s="3" t="s">
        <v>382</v>
      </c>
      <c r="F168" s="3" t="s">
        <v>358</v>
      </c>
      <c r="G168" s="3" t="s">
        <v>93</v>
      </c>
      <c r="H168" s="3" t="n">
        <v>1</v>
      </c>
      <c r="I168" s="4" t="n">
        <v>36825</v>
      </c>
      <c r="J168" s="5" t="n">
        <v>1</v>
      </c>
      <c r="K168" s="6" t="n">
        <f aca="false">IF(J168=0,0,I168/J168)</f>
        <v>36825</v>
      </c>
      <c r="L168" s="4"/>
      <c r="M168" s="3" t="s">
        <v>263</v>
      </c>
      <c r="N168" s="3" t="s">
        <v>264</v>
      </c>
    </row>
    <row r="169" customFormat="false" ht="15" hidden="false" customHeight="false" outlineLevel="0" collapsed="false">
      <c r="A169" s="3" t="s">
        <v>259</v>
      </c>
      <c r="B169" s="3" t="s">
        <v>107</v>
      </c>
      <c r="C169" s="3" t="s">
        <v>41</v>
      </c>
      <c r="D169" s="3" t="s">
        <v>273</v>
      </c>
      <c r="E169" s="3" t="s">
        <v>383</v>
      </c>
      <c r="F169" s="3" t="s">
        <v>384</v>
      </c>
      <c r="G169" s="3" t="s">
        <v>93</v>
      </c>
      <c r="H169" s="3" t="n">
        <v>10</v>
      </c>
      <c r="I169" s="4" t="n">
        <v>27362</v>
      </c>
      <c r="J169" s="5" t="n">
        <v>1</v>
      </c>
      <c r="K169" s="6" t="n">
        <f aca="false">IF(J169=0,0,I169/J169)</f>
        <v>27362</v>
      </c>
      <c r="L169" s="4"/>
      <c r="M169" s="3" t="s">
        <v>263</v>
      </c>
      <c r="N169" s="3" t="s">
        <v>264</v>
      </c>
    </row>
    <row r="170" customFormat="false" ht="15" hidden="false" customHeight="false" outlineLevel="0" collapsed="false">
      <c r="A170" s="3" t="s">
        <v>259</v>
      </c>
      <c r="B170" s="3" t="s">
        <v>107</v>
      </c>
      <c r="C170" s="3" t="s">
        <v>67</v>
      </c>
      <c r="D170" s="3" t="s">
        <v>373</v>
      </c>
      <c r="E170" s="3" t="s">
        <v>385</v>
      </c>
      <c r="F170" s="3" t="s">
        <v>105</v>
      </c>
      <c r="G170" s="3" t="s">
        <v>93</v>
      </c>
      <c r="H170" s="3" t="n">
        <v>6</v>
      </c>
      <c r="I170" s="4" t="n">
        <v>104106</v>
      </c>
      <c r="J170" s="5" t="n">
        <v>1</v>
      </c>
      <c r="K170" s="6" t="n">
        <f aca="false">IF(J170=0,0,I170/J170)</f>
        <v>104106</v>
      </c>
      <c r="L170" s="4"/>
      <c r="M170" s="3" t="s">
        <v>263</v>
      </c>
      <c r="N170" s="3" t="s">
        <v>264</v>
      </c>
    </row>
    <row r="171" customFormat="false" ht="15" hidden="false" customHeight="false" outlineLevel="0" collapsed="false">
      <c r="A171" s="3" t="s">
        <v>259</v>
      </c>
      <c r="B171" s="3" t="s">
        <v>107</v>
      </c>
      <c r="C171" s="3" t="s">
        <v>16</v>
      </c>
      <c r="D171" s="3" t="s">
        <v>316</v>
      </c>
      <c r="E171" s="3" t="s">
        <v>386</v>
      </c>
      <c r="F171" s="3" t="s">
        <v>105</v>
      </c>
      <c r="G171" s="3" t="s">
        <v>93</v>
      </c>
      <c r="H171" s="3" t="n">
        <v>2</v>
      </c>
      <c r="I171" s="4" t="n">
        <v>29168</v>
      </c>
      <c r="J171" s="5" t="n">
        <v>1</v>
      </c>
      <c r="K171" s="6" t="n">
        <f aca="false">IF(J171=0,0,I171/J171)</f>
        <v>29168</v>
      </c>
      <c r="L171" s="4"/>
      <c r="M171" s="3" t="s">
        <v>263</v>
      </c>
      <c r="N171" s="3" t="s">
        <v>264</v>
      </c>
    </row>
    <row r="172" customFormat="false" ht="15" hidden="false" customHeight="false" outlineLevel="0" collapsed="false">
      <c r="A172" s="3" t="s">
        <v>259</v>
      </c>
      <c r="B172" s="3" t="s">
        <v>107</v>
      </c>
      <c r="C172" s="3" t="s">
        <v>16</v>
      </c>
      <c r="D172" s="3" t="s">
        <v>316</v>
      </c>
      <c r="E172" s="3" t="s">
        <v>387</v>
      </c>
      <c r="F172" s="3" t="s">
        <v>105</v>
      </c>
      <c r="G172" s="3" t="s">
        <v>93</v>
      </c>
      <c r="H172" s="3" t="n">
        <v>3</v>
      </c>
      <c r="I172" s="4" t="n">
        <v>44168</v>
      </c>
      <c r="J172" s="5" t="n">
        <v>1</v>
      </c>
      <c r="K172" s="6" t="n">
        <f aca="false">IF(J172=0,0,I172/J172)</f>
        <v>44168</v>
      </c>
      <c r="L172" s="4"/>
      <c r="M172" s="3" t="s">
        <v>263</v>
      </c>
      <c r="N172" s="3" t="s">
        <v>264</v>
      </c>
    </row>
    <row r="173" customFormat="false" ht="15" hidden="false" customHeight="false" outlineLevel="0" collapsed="false">
      <c r="A173" s="3" t="s">
        <v>259</v>
      </c>
      <c r="B173" s="3" t="s">
        <v>107</v>
      </c>
      <c r="C173" s="3" t="s">
        <v>16</v>
      </c>
      <c r="D173" s="3" t="s">
        <v>328</v>
      </c>
      <c r="E173" s="3" t="s">
        <v>347</v>
      </c>
      <c r="F173" s="3" t="s">
        <v>348</v>
      </c>
      <c r="G173" s="3" t="s">
        <v>349</v>
      </c>
      <c r="H173" s="3" t="n">
        <v>4</v>
      </c>
      <c r="I173" s="4" t="n">
        <v>55784</v>
      </c>
      <c r="J173" s="5" t="n">
        <v>4</v>
      </c>
      <c r="K173" s="6" t="n">
        <f aca="false">IF(J173=0,0,I173/J173)</f>
        <v>13946</v>
      </c>
      <c r="L173" s="4"/>
      <c r="M173" s="3" t="s">
        <v>263</v>
      </c>
      <c r="N173" s="3" t="s">
        <v>264</v>
      </c>
    </row>
    <row r="174" customFormat="false" ht="15" hidden="false" customHeight="false" outlineLevel="0" collapsed="false">
      <c r="A174" s="3" t="s">
        <v>259</v>
      </c>
      <c r="B174" s="3" t="s">
        <v>107</v>
      </c>
      <c r="C174" s="3" t="s">
        <v>16</v>
      </c>
      <c r="D174" s="3" t="s">
        <v>328</v>
      </c>
      <c r="E174" s="3" t="s">
        <v>388</v>
      </c>
      <c r="F174" s="3" t="s">
        <v>105</v>
      </c>
      <c r="G174" s="3" t="s">
        <v>389</v>
      </c>
      <c r="H174" s="3" t="n">
        <v>4</v>
      </c>
      <c r="I174" s="4" t="n">
        <v>0</v>
      </c>
      <c r="J174" s="5" t="n">
        <v>11</v>
      </c>
      <c r="K174" s="6" t="n">
        <f aca="false">IF(J174=0,0,I174/J174)</f>
        <v>0</v>
      </c>
      <c r="L174" s="4"/>
      <c r="M174" s="3"/>
      <c r="N174" s="3" t="s">
        <v>264</v>
      </c>
    </row>
    <row r="175" customFormat="false" ht="15" hidden="false" customHeight="false" outlineLevel="0" collapsed="false">
      <c r="A175" s="3" t="s">
        <v>259</v>
      </c>
      <c r="B175" s="3" t="s">
        <v>107</v>
      </c>
      <c r="C175" s="3" t="s">
        <v>16</v>
      </c>
      <c r="D175" s="3" t="s">
        <v>390</v>
      </c>
      <c r="E175" s="3" t="s">
        <v>391</v>
      </c>
      <c r="F175" s="3" t="s">
        <v>392</v>
      </c>
      <c r="G175" s="3" t="s">
        <v>393</v>
      </c>
      <c r="H175" s="3" t="n">
        <v>4</v>
      </c>
      <c r="I175" s="4" t="n">
        <v>0</v>
      </c>
      <c r="J175" s="5" t="n">
        <v>11</v>
      </c>
      <c r="K175" s="6" t="n">
        <f aca="false">IF(J175=0,0,I175/J175)</f>
        <v>0</v>
      </c>
      <c r="L175" s="4"/>
      <c r="M175" s="3"/>
      <c r="N175" s="3" t="s">
        <v>264</v>
      </c>
    </row>
    <row r="176" customFormat="false" ht="15" hidden="false" customHeight="false" outlineLevel="0" collapsed="false">
      <c r="A176" s="3" t="s">
        <v>259</v>
      </c>
      <c r="B176" s="3" t="s">
        <v>107</v>
      </c>
      <c r="C176" s="3" t="s">
        <v>16</v>
      </c>
      <c r="D176" s="3" t="s">
        <v>394</v>
      </c>
      <c r="E176" s="3" t="s">
        <v>395</v>
      </c>
      <c r="F176" s="3" t="s">
        <v>105</v>
      </c>
      <c r="G176" s="3" t="s">
        <v>396</v>
      </c>
      <c r="H176" s="3" t="n">
        <v>10</v>
      </c>
      <c r="I176" s="4" t="n">
        <v>0</v>
      </c>
      <c r="J176" s="5" t="n">
        <v>11</v>
      </c>
      <c r="K176" s="6" t="n">
        <f aca="false">IF(J176=0,0,I176/J176)</f>
        <v>0</v>
      </c>
      <c r="L176" s="4"/>
      <c r="M176" s="3"/>
      <c r="N176" s="3" t="s">
        <v>264</v>
      </c>
    </row>
    <row r="177" customFormat="false" ht="15" hidden="false" customHeight="false" outlineLevel="0" collapsed="false">
      <c r="A177" s="3" t="s">
        <v>259</v>
      </c>
      <c r="B177" s="3" t="s">
        <v>107</v>
      </c>
      <c r="C177" s="3" t="s">
        <v>16</v>
      </c>
      <c r="D177" s="3" t="s">
        <v>362</v>
      </c>
      <c r="E177" s="3" t="s">
        <v>397</v>
      </c>
      <c r="F177" s="3" t="s">
        <v>105</v>
      </c>
      <c r="G177" s="3" t="s">
        <v>398</v>
      </c>
      <c r="H177" s="3" t="n">
        <v>3</v>
      </c>
      <c r="I177" s="4" t="n">
        <v>65628</v>
      </c>
      <c r="J177" s="5" t="n">
        <v>5</v>
      </c>
      <c r="K177" s="6" t="n">
        <f aca="false">IF(J177=0,0,I177/J177)</f>
        <v>13125.6</v>
      </c>
      <c r="L177" s="4"/>
      <c r="M177" s="3" t="s">
        <v>263</v>
      </c>
      <c r="N177" s="3" t="s">
        <v>264</v>
      </c>
    </row>
    <row r="178" customFormat="false" ht="15" hidden="false" customHeight="false" outlineLevel="0" collapsed="false">
      <c r="A178" s="3" t="s">
        <v>259</v>
      </c>
      <c r="B178" s="3" t="s">
        <v>107</v>
      </c>
      <c r="C178" s="3" t="s">
        <v>32</v>
      </c>
      <c r="D178" s="3" t="s">
        <v>293</v>
      </c>
      <c r="E178" s="3" t="s">
        <v>399</v>
      </c>
      <c r="F178" s="3" t="s">
        <v>105</v>
      </c>
      <c r="G178" s="3" t="s">
        <v>93</v>
      </c>
      <c r="H178" s="3" t="n">
        <v>1</v>
      </c>
      <c r="I178" s="4" t="n">
        <v>0</v>
      </c>
      <c r="J178" s="5" t="n">
        <v>1</v>
      </c>
      <c r="K178" s="6" t="n">
        <f aca="false">IF(J178=0,0,I178/J178)</f>
        <v>0</v>
      </c>
      <c r="L178" s="4"/>
      <c r="M178" s="3"/>
      <c r="N178" s="3" t="s">
        <v>264</v>
      </c>
    </row>
    <row r="179" customFormat="false" ht="15" hidden="false" customHeight="false" outlineLevel="0" collapsed="false">
      <c r="A179" s="3" t="s">
        <v>259</v>
      </c>
      <c r="B179" s="3" t="s">
        <v>219</v>
      </c>
      <c r="C179" s="3" t="s">
        <v>41</v>
      </c>
      <c r="D179" s="3" t="s">
        <v>307</v>
      </c>
      <c r="E179" s="3" t="s">
        <v>400</v>
      </c>
      <c r="F179" s="3" t="s">
        <v>44</v>
      </c>
      <c r="G179" s="3" t="s">
        <v>401</v>
      </c>
      <c r="H179" s="3" t="n">
        <v>1</v>
      </c>
      <c r="I179" s="4" t="n">
        <v>36825</v>
      </c>
      <c r="J179" s="5" t="n">
        <v>7</v>
      </c>
      <c r="K179" s="6" t="n">
        <f aca="false">IF(J179=0,0,I179/J179)</f>
        <v>5260.71428571429</v>
      </c>
      <c r="L179" s="4"/>
      <c r="M179" s="3" t="s">
        <v>263</v>
      </c>
      <c r="N179" s="3" t="s">
        <v>264</v>
      </c>
    </row>
    <row r="180" customFormat="false" ht="15" hidden="false" customHeight="false" outlineLevel="0" collapsed="false">
      <c r="A180" s="3" t="s">
        <v>259</v>
      </c>
      <c r="B180" s="3" t="s">
        <v>220</v>
      </c>
      <c r="C180" s="3" t="s">
        <v>41</v>
      </c>
      <c r="D180" s="3" t="s">
        <v>307</v>
      </c>
      <c r="E180" s="3" t="s">
        <v>402</v>
      </c>
      <c r="F180" s="3" t="s">
        <v>44</v>
      </c>
      <c r="G180" s="3" t="s">
        <v>403</v>
      </c>
      <c r="H180" s="3" t="n">
        <v>3</v>
      </c>
      <c r="I180" s="4" t="n">
        <v>0</v>
      </c>
      <c r="J180" s="5" t="n">
        <v>12</v>
      </c>
      <c r="K180" s="6" t="n">
        <f aca="false">IF(J180=0,0,I180/J180)</f>
        <v>0</v>
      </c>
      <c r="L180" s="4"/>
      <c r="M180" s="3"/>
      <c r="N180" s="3" t="s">
        <v>264</v>
      </c>
    </row>
    <row r="181" customFormat="false" ht="15" hidden="false" customHeight="false" outlineLevel="0" collapsed="false">
      <c r="A181" s="3" t="s">
        <v>259</v>
      </c>
      <c r="B181" s="3" t="s">
        <v>220</v>
      </c>
      <c r="C181" s="3" t="s">
        <v>16</v>
      </c>
      <c r="D181" s="3" t="s">
        <v>316</v>
      </c>
      <c r="E181" s="3" t="s">
        <v>404</v>
      </c>
      <c r="F181" s="3" t="s">
        <v>44</v>
      </c>
      <c r="G181" s="3" t="s">
        <v>405</v>
      </c>
      <c r="H181" s="3" t="n">
        <v>3</v>
      </c>
      <c r="I181" s="4" t="n">
        <v>0</v>
      </c>
      <c r="J181" s="5" t="n">
        <v>8</v>
      </c>
      <c r="K181" s="6" t="n">
        <f aca="false">IF(J181=0,0,I181/J181)</f>
        <v>0</v>
      </c>
      <c r="L181" s="4"/>
      <c r="M181" s="3"/>
      <c r="N181" s="3" t="s">
        <v>264</v>
      </c>
    </row>
    <row r="182" customFormat="false" ht="15" hidden="false" customHeight="false" outlineLevel="0" collapsed="false">
      <c r="A182" s="3" t="s">
        <v>259</v>
      </c>
      <c r="B182" s="3" t="s">
        <v>220</v>
      </c>
      <c r="C182" s="3" t="s">
        <v>16</v>
      </c>
      <c r="D182" s="3" t="s">
        <v>390</v>
      </c>
      <c r="E182" s="3" t="s">
        <v>406</v>
      </c>
      <c r="F182" s="3" t="s">
        <v>29</v>
      </c>
      <c r="G182" s="3" t="s">
        <v>407</v>
      </c>
      <c r="H182" s="3" t="n">
        <v>200</v>
      </c>
      <c r="I182" s="4" t="n">
        <v>0</v>
      </c>
      <c r="J182" s="5" t="n">
        <v>11</v>
      </c>
      <c r="K182" s="6" t="n">
        <f aca="false">IF(J182=0,0,I182/J182)</f>
        <v>0</v>
      </c>
      <c r="L182" s="4"/>
      <c r="M182" s="3"/>
      <c r="N182" s="3" t="s">
        <v>264</v>
      </c>
    </row>
    <row r="183" customFormat="false" ht="15" hidden="false" customHeight="false" outlineLevel="0" collapsed="false">
      <c r="A183" s="3" t="s">
        <v>259</v>
      </c>
      <c r="B183" s="3" t="s">
        <v>220</v>
      </c>
      <c r="C183" s="3" t="s">
        <v>16</v>
      </c>
      <c r="D183" s="3" t="s">
        <v>362</v>
      </c>
      <c r="E183" s="3" t="s">
        <v>363</v>
      </c>
      <c r="F183" s="3" t="s">
        <v>105</v>
      </c>
      <c r="G183" s="3" t="s">
        <v>364</v>
      </c>
      <c r="H183" s="3" t="n">
        <v>8</v>
      </c>
      <c r="I183" s="4" t="n">
        <v>124257</v>
      </c>
      <c r="J183" s="5" t="n">
        <v>11</v>
      </c>
      <c r="K183" s="6" t="n">
        <f aca="false">IF(J183=0,0,I183/J183)</f>
        <v>11296.0909090909</v>
      </c>
      <c r="L183" s="4"/>
      <c r="M183" s="3" t="s">
        <v>263</v>
      </c>
      <c r="N183" s="3" t="s">
        <v>264</v>
      </c>
    </row>
    <row r="184" customFormat="false" ht="15" hidden="false" customHeight="false" outlineLevel="0" collapsed="false">
      <c r="A184" s="3" t="s">
        <v>259</v>
      </c>
      <c r="B184" s="3" t="s">
        <v>220</v>
      </c>
      <c r="C184" s="3" t="s">
        <v>16</v>
      </c>
      <c r="D184" s="3" t="s">
        <v>362</v>
      </c>
      <c r="E184" s="3" t="s">
        <v>408</v>
      </c>
      <c r="F184" s="3" t="s">
        <v>29</v>
      </c>
      <c r="G184" s="3" t="s">
        <v>409</v>
      </c>
      <c r="H184" s="3" t="n">
        <v>6</v>
      </c>
      <c r="I184" s="4" t="n">
        <v>0</v>
      </c>
      <c r="J184" s="5" t="n">
        <v>11</v>
      </c>
      <c r="K184" s="6" t="n">
        <f aca="false">IF(J184=0,0,I184/J184)</f>
        <v>0</v>
      </c>
      <c r="L184" s="4"/>
      <c r="M184" s="3"/>
      <c r="N184" s="3" t="s">
        <v>264</v>
      </c>
    </row>
    <row r="185" customFormat="false" ht="15" hidden="false" customHeight="false" outlineLevel="0" collapsed="false">
      <c r="A185" s="3" t="s">
        <v>259</v>
      </c>
      <c r="B185" s="3" t="s">
        <v>220</v>
      </c>
      <c r="C185" s="3" t="s">
        <v>32</v>
      </c>
      <c r="D185" s="3" t="s">
        <v>367</v>
      </c>
      <c r="E185" s="3" t="s">
        <v>410</v>
      </c>
      <c r="F185" s="3" t="s">
        <v>411</v>
      </c>
      <c r="G185" s="3" t="s">
        <v>412</v>
      </c>
      <c r="H185" s="3" t="n">
        <v>2</v>
      </c>
      <c r="I185" s="4" t="n">
        <v>49057</v>
      </c>
      <c r="J185" s="5" t="n">
        <v>4</v>
      </c>
      <c r="K185" s="6" t="n">
        <f aca="false">IF(J185=0,0,I185/J185)</f>
        <v>12264.25</v>
      </c>
      <c r="L185" s="4"/>
      <c r="M185" s="3" t="s">
        <v>263</v>
      </c>
      <c r="N185" s="3" t="s">
        <v>264</v>
      </c>
    </row>
    <row r="186" customFormat="false" ht="15" hidden="false" customHeight="false" outlineLevel="0" collapsed="false">
      <c r="A186" s="3" t="s">
        <v>259</v>
      </c>
      <c r="B186" s="3" t="s">
        <v>220</v>
      </c>
      <c r="C186" s="3" t="s">
        <v>32</v>
      </c>
      <c r="D186" s="3" t="s">
        <v>367</v>
      </c>
      <c r="E186" s="3" t="s">
        <v>368</v>
      </c>
      <c r="F186" s="3" t="s">
        <v>105</v>
      </c>
      <c r="G186" s="3" t="s">
        <v>369</v>
      </c>
      <c r="H186" s="3" t="n">
        <v>2</v>
      </c>
      <c r="I186" s="4" t="n">
        <v>94010</v>
      </c>
      <c r="J186" s="5" t="n">
        <v>12</v>
      </c>
      <c r="K186" s="6" t="n">
        <f aca="false">IF(J186=0,0,I186/J186)</f>
        <v>7834.16666666667</v>
      </c>
      <c r="L186" s="4"/>
      <c r="M186" s="3" t="s">
        <v>263</v>
      </c>
      <c r="N186" s="3" t="s">
        <v>264</v>
      </c>
    </row>
    <row r="187" customFormat="false" ht="15" hidden="false" customHeight="false" outlineLevel="0" collapsed="false">
      <c r="A187" s="3" t="s">
        <v>259</v>
      </c>
      <c r="B187" s="3" t="s">
        <v>231</v>
      </c>
      <c r="C187" s="3" t="s">
        <v>108</v>
      </c>
      <c r="D187" s="3" t="s">
        <v>260</v>
      </c>
      <c r="E187" s="3" t="s">
        <v>413</v>
      </c>
      <c r="F187" s="3" t="s">
        <v>414</v>
      </c>
      <c r="G187" s="3" t="s">
        <v>415</v>
      </c>
      <c r="H187" s="3" t="n">
        <v>150</v>
      </c>
      <c r="I187" s="4" t="n">
        <v>105668</v>
      </c>
      <c r="J187" s="5" t="n">
        <v>3</v>
      </c>
      <c r="K187" s="6" t="n">
        <f aca="false">IF(J187=0,0,I187/J187)</f>
        <v>35222.6666666667</v>
      </c>
      <c r="L187" s="4"/>
      <c r="M187" s="3" t="s">
        <v>263</v>
      </c>
      <c r="N187" s="3" t="s">
        <v>264</v>
      </c>
    </row>
    <row r="188" customFormat="false" ht="15" hidden="false" customHeight="false" outlineLevel="0" collapsed="false">
      <c r="A188" s="3" t="s">
        <v>259</v>
      </c>
      <c r="B188" s="3" t="s">
        <v>231</v>
      </c>
      <c r="C188" s="3" t="s">
        <v>108</v>
      </c>
      <c r="D188" s="3" t="s">
        <v>260</v>
      </c>
      <c r="E188" s="3" t="s">
        <v>416</v>
      </c>
      <c r="F188" s="3" t="s">
        <v>417</v>
      </c>
      <c r="G188" s="3" t="s">
        <v>415</v>
      </c>
      <c r="H188" s="3" t="n">
        <v>100</v>
      </c>
      <c r="I188" s="4" t="n">
        <v>37068</v>
      </c>
      <c r="J188" s="5" t="n">
        <v>3</v>
      </c>
      <c r="K188" s="6" t="n">
        <f aca="false">IF(J188=0,0,I188/J188)</f>
        <v>12356</v>
      </c>
      <c r="L188" s="4"/>
      <c r="M188" s="3" t="s">
        <v>263</v>
      </c>
      <c r="N188" s="3" t="s">
        <v>264</v>
      </c>
    </row>
    <row r="189" customFormat="false" ht="15" hidden="false" customHeight="false" outlineLevel="0" collapsed="false">
      <c r="A189" s="3" t="s">
        <v>259</v>
      </c>
      <c r="B189" s="3" t="s">
        <v>231</v>
      </c>
      <c r="C189" s="3" t="s">
        <v>108</v>
      </c>
      <c r="D189" s="3" t="s">
        <v>260</v>
      </c>
      <c r="E189" s="3" t="s">
        <v>418</v>
      </c>
      <c r="F189" s="3" t="s">
        <v>105</v>
      </c>
      <c r="G189" s="3" t="s">
        <v>419</v>
      </c>
      <c r="H189" s="3" t="n">
        <v>2</v>
      </c>
      <c r="I189" s="4" t="n">
        <v>10650</v>
      </c>
      <c r="J189" s="5" t="n">
        <v>2</v>
      </c>
      <c r="K189" s="6" t="n">
        <f aca="false">IF(J189=0,0,I189/J189)</f>
        <v>5325</v>
      </c>
      <c r="L189" s="4"/>
      <c r="M189" s="3" t="s">
        <v>263</v>
      </c>
      <c r="N189" s="3" t="s">
        <v>264</v>
      </c>
    </row>
    <row r="190" customFormat="false" ht="15" hidden="false" customHeight="false" outlineLevel="0" collapsed="false">
      <c r="A190" s="3" t="s">
        <v>259</v>
      </c>
      <c r="B190" s="3" t="s">
        <v>231</v>
      </c>
      <c r="C190" s="3" t="s">
        <v>108</v>
      </c>
      <c r="D190" s="3" t="s">
        <v>260</v>
      </c>
      <c r="E190" s="3" t="s">
        <v>420</v>
      </c>
      <c r="F190" s="3" t="s">
        <v>421</v>
      </c>
      <c r="G190" s="3" t="s">
        <v>56</v>
      </c>
      <c r="H190" s="3" t="n">
        <v>100</v>
      </c>
      <c r="I190" s="4" t="n">
        <v>101738</v>
      </c>
      <c r="J190" s="5" t="n">
        <v>2</v>
      </c>
      <c r="K190" s="6" t="n">
        <f aca="false">IF(J190=0,0,I190/J190)</f>
        <v>50869</v>
      </c>
      <c r="L190" s="4"/>
      <c r="M190" s="3" t="s">
        <v>263</v>
      </c>
      <c r="N190" s="3" t="s">
        <v>264</v>
      </c>
    </row>
    <row r="191" customFormat="false" ht="15" hidden="false" customHeight="false" outlineLevel="0" collapsed="false">
      <c r="A191" s="3" t="s">
        <v>259</v>
      </c>
      <c r="B191" s="3" t="s">
        <v>231</v>
      </c>
      <c r="C191" s="3" t="s">
        <v>108</v>
      </c>
      <c r="D191" s="3" t="s">
        <v>260</v>
      </c>
      <c r="E191" s="3" t="s">
        <v>261</v>
      </c>
      <c r="F191" s="3" t="s">
        <v>29</v>
      </c>
      <c r="G191" s="3" t="s">
        <v>262</v>
      </c>
      <c r="H191" s="3" t="n">
        <v>100</v>
      </c>
      <c r="I191" s="4" t="n">
        <v>55000</v>
      </c>
      <c r="J191" s="5" t="n">
        <v>3</v>
      </c>
      <c r="K191" s="6" t="n">
        <f aca="false">IF(J191=0,0,I191/J191)</f>
        <v>18333.3333333333</v>
      </c>
      <c r="L191" s="4"/>
      <c r="M191" s="3" t="s">
        <v>263</v>
      </c>
      <c r="N191" s="3" t="s">
        <v>264</v>
      </c>
    </row>
    <row r="192" customFormat="false" ht="15" hidden="false" customHeight="false" outlineLevel="0" collapsed="false">
      <c r="A192" s="3" t="s">
        <v>259</v>
      </c>
      <c r="B192" s="3" t="s">
        <v>231</v>
      </c>
      <c r="C192" s="3" t="s">
        <v>108</v>
      </c>
      <c r="D192" s="3" t="s">
        <v>260</v>
      </c>
      <c r="E192" s="3" t="s">
        <v>422</v>
      </c>
      <c r="F192" s="3" t="s">
        <v>29</v>
      </c>
      <c r="G192" s="3" t="s">
        <v>423</v>
      </c>
      <c r="H192" s="3" t="n">
        <v>300</v>
      </c>
      <c r="I192" s="4" t="n">
        <v>53250</v>
      </c>
      <c r="J192" s="5" t="n">
        <v>4</v>
      </c>
      <c r="K192" s="6" t="n">
        <f aca="false">IF(J192=0,0,I192/J192)</f>
        <v>13312.5</v>
      </c>
      <c r="L192" s="4"/>
      <c r="M192" s="3" t="s">
        <v>263</v>
      </c>
      <c r="N192" s="3" t="s">
        <v>264</v>
      </c>
    </row>
    <row r="193" customFormat="false" ht="15" hidden="false" customHeight="false" outlineLevel="0" collapsed="false">
      <c r="A193" s="3" t="s">
        <v>259</v>
      </c>
      <c r="B193" s="3" t="s">
        <v>231</v>
      </c>
      <c r="C193" s="3" t="s">
        <v>108</v>
      </c>
      <c r="D193" s="3" t="s">
        <v>338</v>
      </c>
      <c r="E193" s="3" t="s">
        <v>424</v>
      </c>
      <c r="F193" s="3" t="s">
        <v>44</v>
      </c>
      <c r="G193" s="3" t="s">
        <v>425</v>
      </c>
      <c r="H193" s="3" t="n">
        <v>2</v>
      </c>
      <c r="I193" s="4" t="n">
        <v>61344</v>
      </c>
      <c r="J193" s="5" t="n">
        <v>4</v>
      </c>
      <c r="K193" s="6" t="n">
        <f aca="false">IF(J193=0,0,I193/J193)</f>
        <v>15336</v>
      </c>
      <c r="L193" s="4"/>
      <c r="M193" s="3" t="s">
        <v>263</v>
      </c>
      <c r="N193" s="3" t="s">
        <v>264</v>
      </c>
    </row>
    <row r="194" customFormat="false" ht="15" hidden="false" customHeight="false" outlineLevel="0" collapsed="false">
      <c r="A194" s="3" t="s">
        <v>259</v>
      </c>
      <c r="B194" s="3" t="s">
        <v>231</v>
      </c>
      <c r="C194" s="3" t="s">
        <v>108</v>
      </c>
      <c r="D194" s="3" t="s">
        <v>338</v>
      </c>
      <c r="E194" s="3" t="s">
        <v>426</v>
      </c>
      <c r="F194" s="3" t="s">
        <v>44</v>
      </c>
      <c r="G194" s="3" t="s">
        <v>59</v>
      </c>
      <c r="H194" s="3" t="n">
        <v>2</v>
      </c>
      <c r="I194" s="4" t="n">
        <v>59640</v>
      </c>
      <c r="J194" s="5" t="n">
        <v>2</v>
      </c>
      <c r="K194" s="6" t="n">
        <f aca="false">IF(J194=0,0,I194/J194)</f>
        <v>29820</v>
      </c>
      <c r="L194" s="4"/>
      <c r="M194" s="3" t="s">
        <v>263</v>
      </c>
      <c r="N194" s="3" t="s">
        <v>264</v>
      </c>
    </row>
    <row r="195" customFormat="false" ht="15" hidden="false" customHeight="false" outlineLevel="0" collapsed="false">
      <c r="A195" s="3" t="s">
        <v>259</v>
      </c>
      <c r="B195" s="3" t="s">
        <v>231</v>
      </c>
      <c r="C195" s="3" t="s">
        <v>108</v>
      </c>
      <c r="D195" s="3" t="s">
        <v>338</v>
      </c>
      <c r="E195" s="3" t="s">
        <v>427</v>
      </c>
      <c r="F195" s="3" t="s">
        <v>428</v>
      </c>
      <c r="G195" s="3" t="s">
        <v>429</v>
      </c>
      <c r="H195" s="3" t="n">
        <v>100</v>
      </c>
      <c r="I195" s="4" t="n">
        <v>29572</v>
      </c>
      <c r="J195" s="5" t="n">
        <v>3</v>
      </c>
      <c r="K195" s="6" t="n">
        <f aca="false">IF(J195=0,0,I195/J195)</f>
        <v>9857.33333333333</v>
      </c>
      <c r="L195" s="4"/>
      <c r="M195" s="3" t="s">
        <v>263</v>
      </c>
      <c r="N195" s="3" t="s">
        <v>264</v>
      </c>
    </row>
    <row r="196" customFormat="false" ht="15" hidden="false" customHeight="false" outlineLevel="0" collapsed="false">
      <c r="A196" s="3" t="s">
        <v>259</v>
      </c>
      <c r="B196" s="3" t="s">
        <v>231</v>
      </c>
      <c r="C196" s="3" t="s">
        <v>108</v>
      </c>
      <c r="D196" s="3" t="s">
        <v>352</v>
      </c>
      <c r="E196" s="3" t="s">
        <v>430</v>
      </c>
      <c r="F196" s="3" t="s">
        <v>431</v>
      </c>
      <c r="G196" s="3" t="s">
        <v>429</v>
      </c>
      <c r="H196" s="3" t="n">
        <v>5</v>
      </c>
      <c r="I196" s="4" t="n">
        <v>29249</v>
      </c>
      <c r="J196" s="5" t="n">
        <v>3</v>
      </c>
      <c r="K196" s="6" t="n">
        <f aca="false">IF(J196=0,0,I196/J196)</f>
        <v>9749.66666666667</v>
      </c>
      <c r="L196" s="4"/>
      <c r="M196" s="3" t="s">
        <v>263</v>
      </c>
      <c r="N196" s="3" t="s">
        <v>264</v>
      </c>
    </row>
    <row r="197" customFormat="false" ht="15" hidden="false" customHeight="false" outlineLevel="0" collapsed="false">
      <c r="A197" s="3" t="s">
        <v>259</v>
      </c>
      <c r="B197" s="3" t="s">
        <v>231</v>
      </c>
      <c r="C197" s="3" t="s">
        <v>108</v>
      </c>
      <c r="D197" s="3" t="s">
        <v>304</v>
      </c>
      <c r="E197" s="3" t="s">
        <v>432</v>
      </c>
      <c r="F197" s="3" t="s">
        <v>44</v>
      </c>
      <c r="G197" s="3" t="s">
        <v>433</v>
      </c>
      <c r="H197" s="3" t="n">
        <v>2</v>
      </c>
      <c r="I197" s="4" t="n">
        <v>0</v>
      </c>
      <c r="J197" s="5" t="n">
        <v>11</v>
      </c>
      <c r="K197" s="6" t="n">
        <f aca="false">IF(J197=0,0,I197/J197)</f>
        <v>0</v>
      </c>
      <c r="L197" s="4"/>
      <c r="M197" s="3"/>
      <c r="N197" s="3" t="s">
        <v>264</v>
      </c>
    </row>
    <row r="198" customFormat="false" ht="15" hidden="false" customHeight="false" outlineLevel="0" collapsed="false">
      <c r="A198" s="3" t="s">
        <v>259</v>
      </c>
      <c r="B198" s="3" t="s">
        <v>231</v>
      </c>
      <c r="C198" s="3" t="s">
        <v>41</v>
      </c>
      <c r="D198" s="3" t="s">
        <v>267</v>
      </c>
      <c r="E198" s="3" t="s">
        <v>268</v>
      </c>
      <c r="F198" s="3" t="s">
        <v>105</v>
      </c>
      <c r="G198" s="3" t="s">
        <v>93</v>
      </c>
      <c r="H198" s="3" t="n">
        <v>1</v>
      </c>
      <c r="I198" s="4" t="n">
        <v>9479</v>
      </c>
      <c r="J198" s="5" t="n">
        <v>1</v>
      </c>
      <c r="K198" s="6" t="n">
        <f aca="false">IF(J198=0,0,I198/J198)</f>
        <v>9479</v>
      </c>
      <c r="L198" s="4"/>
      <c r="M198" s="3" t="s">
        <v>263</v>
      </c>
      <c r="N198" s="3" t="s">
        <v>264</v>
      </c>
    </row>
    <row r="199" customFormat="false" ht="15" hidden="false" customHeight="false" outlineLevel="0" collapsed="false">
      <c r="A199" s="3" t="s">
        <v>259</v>
      </c>
      <c r="B199" s="3" t="s">
        <v>231</v>
      </c>
      <c r="C199" s="3" t="s">
        <v>41</v>
      </c>
      <c r="D199" s="3" t="s">
        <v>267</v>
      </c>
      <c r="E199" s="3" t="s">
        <v>434</v>
      </c>
      <c r="F199" s="3" t="s">
        <v>105</v>
      </c>
      <c r="G199" s="3" t="s">
        <v>93</v>
      </c>
      <c r="H199" s="3" t="n">
        <v>1</v>
      </c>
      <c r="I199" s="4" t="n">
        <v>14098</v>
      </c>
      <c r="J199" s="5" t="n">
        <v>1</v>
      </c>
      <c r="K199" s="6" t="n">
        <f aca="false">IF(J199=0,0,I199/J199)</f>
        <v>14098</v>
      </c>
      <c r="L199" s="4"/>
      <c r="M199" s="3" t="s">
        <v>263</v>
      </c>
      <c r="N199" s="3" t="s">
        <v>264</v>
      </c>
    </row>
    <row r="200" customFormat="false" ht="15" hidden="false" customHeight="false" outlineLevel="0" collapsed="false">
      <c r="A200" s="3" t="s">
        <v>259</v>
      </c>
      <c r="B200" s="3" t="s">
        <v>231</v>
      </c>
      <c r="C200" s="3" t="s">
        <v>41</v>
      </c>
      <c r="D200" s="3" t="s">
        <v>267</v>
      </c>
      <c r="E200" s="3" t="s">
        <v>435</v>
      </c>
      <c r="F200" s="3" t="s">
        <v>105</v>
      </c>
      <c r="G200" s="3" t="s">
        <v>93</v>
      </c>
      <c r="H200" s="3" t="n">
        <v>2</v>
      </c>
      <c r="I200" s="4" t="n">
        <v>10938</v>
      </c>
      <c r="J200" s="5" t="n">
        <v>1</v>
      </c>
      <c r="K200" s="6" t="n">
        <f aca="false">IF(J200=0,0,I200/J200)</f>
        <v>10938</v>
      </c>
      <c r="L200" s="4"/>
      <c r="M200" s="3" t="s">
        <v>263</v>
      </c>
      <c r="N200" s="3" t="s">
        <v>264</v>
      </c>
    </row>
    <row r="201" customFormat="false" ht="15" hidden="false" customHeight="false" outlineLevel="0" collapsed="false">
      <c r="A201" s="3" t="s">
        <v>259</v>
      </c>
      <c r="B201" s="3" t="s">
        <v>231</v>
      </c>
      <c r="C201" s="3" t="s">
        <v>41</v>
      </c>
      <c r="D201" s="3" t="s">
        <v>273</v>
      </c>
      <c r="E201" s="3" t="s">
        <v>436</v>
      </c>
      <c r="F201" s="3" t="s">
        <v>44</v>
      </c>
      <c r="G201" s="3" t="s">
        <v>93</v>
      </c>
      <c r="H201" s="3" t="n">
        <v>1</v>
      </c>
      <c r="I201" s="4" t="n">
        <v>8264</v>
      </c>
      <c r="J201" s="5" t="n">
        <v>1</v>
      </c>
      <c r="K201" s="6" t="n">
        <f aca="false">IF(J201=0,0,I201/J201)</f>
        <v>8264</v>
      </c>
      <c r="L201" s="4"/>
      <c r="M201" s="3" t="s">
        <v>263</v>
      </c>
      <c r="N201" s="3" t="s">
        <v>264</v>
      </c>
    </row>
    <row r="202" customFormat="false" ht="15" hidden="false" customHeight="false" outlineLevel="0" collapsed="false">
      <c r="A202" s="3" t="s">
        <v>259</v>
      </c>
      <c r="B202" s="3" t="s">
        <v>231</v>
      </c>
      <c r="C202" s="3" t="s">
        <v>67</v>
      </c>
      <c r="D202" s="3" t="s">
        <v>437</v>
      </c>
      <c r="E202" s="3" t="s">
        <v>438</v>
      </c>
      <c r="F202" s="3" t="s">
        <v>29</v>
      </c>
      <c r="G202" s="3" t="s">
        <v>439</v>
      </c>
      <c r="H202" s="3" t="n">
        <v>100</v>
      </c>
      <c r="I202" s="4" t="n">
        <v>95100</v>
      </c>
      <c r="J202" s="5" t="n">
        <v>3</v>
      </c>
      <c r="K202" s="6" t="n">
        <f aca="false">IF(J202=0,0,I202/J202)</f>
        <v>31700</v>
      </c>
      <c r="L202" s="4"/>
      <c r="M202" s="3" t="s">
        <v>263</v>
      </c>
      <c r="N202" s="3" t="s">
        <v>264</v>
      </c>
    </row>
    <row r="203" customFormat="false" ht="15" hidden="false" customHeight="false" outlineLevel="0" collapsed="false">
      <c r="A203" s="3" t="s">
        <v>259</v>
      </c>
      <c r="B203" s="3" t="s">
        <v>231</v>
      </c>
      <c r="C203" s="3" t="s">
        <v>67</v>
      </c>
      <c r="D203" s="3" t="s">
        <v>291</v>
      </c>
      <c r="E203" s="3" t="s">
        <v>440</v>
      </c>
      <c r="F203" s="3" t="s">
        <v>44</v>
      </c>
      <c r="G203" s="3" t="s">
        <v>93</v>
      </c>
      <c r="H203" s="3" t="n">
        <v>3</v>
      </c>
      <c r="I203" s="4" t="n">
        <v>84707</v>
      </c>
      <c r="J203" s="5" t="n">
        <v>1</v>
      </c>
      <c r="K203" s="6" t="n">
        <f aca="false">IF(J203=0,0,I203/J203)</f>
        <v>84707</v>
      </c>
      <c r="L203" s="4"/>
      <c r="M203" s="3" t="s">
        <v>263</v>
      </c>
      <c r="N203" s="3" t="s">
        <v>264</v>
      </c>
    </row>
    <row r="204" customFormat="false" ht="15" hidden="false" customHeight="false" outlineLevel="0" collapsed="false">
      <c r="A204" s="3" t="s">
        <v>259</v>
      </c>
      <c r="B204" s="3" t="s">
        <v>231</v>
      </c>
      <c r="C204" s="3" t="s">
        <v>67</v>
      </c>
      <c r="D204" s="3" t="s">
        <v>291</v>
      </c>
      <c r="E204" s="3" t="s">
        <v>441</v>
      </c>
      <c r="F204" s="3" t="s">
        <v>105</v>
      </c>
      <c r="G204" s="3" t="s">
        <v>442</v>
      </c>
      <c r="H204" s="3" t="n">
        <v>7</v>
      </c>
      <c r="I204" s="4" t="n">
        <v>109380</v>
      </c>
      <c r="J204" s="5" t="n">
        <v>3</v>
      </c>
      <c r="K204" s="6" t="n">
        <f aca="false">IF(J204=0,0,I204/J204)</f>
        <v>36460</v>
      </c>
      <c r="L204" s="4"/>
      <c r="M204" s="3" t="s">
        <v>263</v>
      </c>
      <c r="N204" s="3" t="s">
        <v>264</v>
      </c>
    </row>
    <row r="205" customFormat="false" ht="15" hidden="false" customHeight="false" outlineLevel="0" collapsed="false">
      <c r="A205" s="3" t="s">
        <v>259</v>
      </c>
      <c r="B205" s="3" t="s">
        <v>231</v>
      </c>
      <c r="C205" s="3" t="s">
        <v>67</v>
      </c>
      <c r="D205" s="3" t="s">
        <v>291</v>
      </c>
      <c r="E205" s="3" t="s">
        <v>443</v>
      </c>
      <c r="F205" s="3" t="s">
        <v>44</v>
      </c>
      <c r="G205" s="3" t="s">
        <v>444</v>
      </c>
      <c r="H205" s="3" t="n">
        <v>2</v>
      </c>
      <c r="I205" s="4" t="n">
        <v>0</v>
      </c>
      <c r="J205" s="5" t="n">
        <v>11</v>
      </c>
      <c r="K205" s="6" t="n">
        <f aca="false">IF(J205=0,0,I205/J205)</f>
        <v>0</v>
      </c>
      <c r="L205" s="4"/>
      <c r="M205" s="3"/>
      <c r="N205" s="3" t="s">
        <v>264</v>
      </c>
    </row>
    <row r="206" customFormat="false" ht="15" hidden="false" customHeight="false" outlineLevel="0" collapsed="false">
      <c r="A206" s="3" t="s">
        <v>259</v>
      </c>
      <c r="B206" s="3" t="s">
        <v>231</v>
      </c>
      <c r="C206" s="3" t="s">
        <v>67</v>
      </c>
      <c r="D206" s="3" t="s">
        <v>313</v>
      </c>
      <c r="E206" s="3" t="s">
        <v>445</v>
      </c>
      <c r="F206" s="3" t="s">
        <v>44</v>
      </c>
      <c r="G206" s="3" t="s">
        <v>446</v>
      </c>
      <c r="H206" s="3" t="n">
        <v>5</v>
      </c>
      <c r="I206" s="4" t="n">
        <v>56742</v>
      </c>
      <c r="J206" s="5" t="n">
        <v>3</v>
      </c>
      <c r="K206" s="6" t="n">
        <f aca="false">IF(J206=0,0,I206/J206)</f>
        <v>18914</v>
      </c>
      <c r="L206" s="4"/>
      <c r="M206" s="3" t="s">
        <v>263</v>
      </c>
      <c r="N206" s="3" t="s">
        <v>264</v>
      </c>
    </row>
    <row r="207" customFormat="false" ht="15" hidden="false" customHeight="false" outlineLevel="0" collapsed="false">
      <c r="A207" s="3" t="s">
        <v>259</v>
      </c>
      <c r="B207" s="3" t="s">
        <v>231</v>
      </c>
      <c r="C207" s="3" t="s">
        <v>67</v>
      </c>
      <c r="D207" s="3" t="s">
        <v>313</v>
      </c>
      <c r="E207" s="3" t="s">
        <v>447</v>
      </c>
      <c r="F207" s="3" t="s">
        <v>105</v>
      </c>
      <c r="G207" s="3" t="s">
        <v>446</v>
      </c>
      <c r="H207" s="3" t="n">
        <v>4</v>
      </c>
      <c r="I207" s="4" t="n">
        <v>51460</v>
      </c>
      <c r="J207" s="5" t="n">
        <v>3</v>
      </c>
      <c r="K207" s="6" t="n">
        <f aca="false">IF(J207=0,0,I207/J207)</f>
        <v>17153.3333333333</v>
      </c>
      <c r="L207" s="4"/>
      <c r="M207" s="3" t="s">
        <v>263</v>
      </c>
      <c r="N207" s="3" t="s">
        <v>264</v>
      </c>
    </row>
    <row r="208" customFormat="false" ht="15" hidden="false" customHeight="false" outlineLevel="0" collapsed="false">
      <c r="A208" s="3" t="s">
        <v>259</v>
      </c>
      <c r="B208" s="3" t="s">
        <v>231</v>
      </c>
      <c r="C208" s="3" t="s">
        <v>67</v>
      </c>
      <c r="D208" s="3" t="s">
        <v>313</v>
      </c>
      <c r="E208" s="3" t="s">
        <v>448</v>
      </c>
      <c r="F208" s="3" t="s">
        <v>105</v>
      </c>
      <c r="G208" s="3" t="s">
        <v>442</v>
      </c>
      <c r="H208" s="3" t="n">
        <v>4</v>
      </c>
      <c r="I208" s="4" t="n">
        <v>145840</v>
      </c>
      <c r="J208" s="5" t="n">
        <v>3</v>
      </c>
      <c r="K208" s="6" t="n">
        <f aca="false">IF(J208=0,0,I208/J208)</f>
        <v>48613.3333333333</v>
      </c>
      <c r="L208" s="4"/>
      <c r="M208" s="3" t="s">
        <v>263</v>
      </c>
      <c r="N208" s="3" t="s">
        <v>264</v>
      </c>
    </row>
    <row r="209" customFormat="false" ht="15" hidden="false" customHeight="false" outlineLevel="0" collapsed="false">
      <c r="A209" s="3" t="s">
        <v>259</v>
      </c>
      <c r="B209" s="3" t="s">
        <v>231</v>
      </c>
      <c r="C209" s="3" t="s">
        <v>67</v>
      </c>
      <c r="D209" s="3" t="s">
        <v>313</v>
      </c>
      <c r="E209" s="3" t="s">
        <v>449</v>
      </c>
      <c r="F209" s="3" t="s">
        <v>44</v>
      </c>
      <c r="G209" s="3" t="s">
        <v>450</v>
      </c>
      <c r="H209" s="3" t="n">
        <v>0</v>
      </c>
      <c r="I209" s="4" t="n">
        <v>0</v>
      </c>
      <c r="J209" s="5" t="n">
        <v>11</v>
      </c>
      <c r="K209" s="6" t="n">
        <f aca="false">IF(J209=0,0,I209/J209)</f>
        <v>0</v>
      </c>
      <c r="L209" s="4"/>
      <c r="M209" s="3"/>
      <c r="N209" s="3" t="s">
        <v>264</v>
      </c>
    </row>
    <row r="210" customFormat="false" ht="15" hidden="false" customHeight="false" outlineLevel="0" collapsed="false">
      <c r="A210" s="3" t="s">
        <v>259</v>
      </c>
      <c r="B210" s="3" t="s">
        <v>231</v>
      </c>
      <c r="C210" s="3" t="s">
        <v>67</v>
      </c>
      <c r="D210" s="3" t="s">
        <v>451</v>
      </c>
      <c r="E210" s="3" t="s">
        <v>452</v>
      </c>
      <c r="F210" s="3" t="s">
        <v>44</v>
      </c>
      <c r="G210" s="3" t="s">
        <v>442</v>
      </c>
      <c r="H210" s="3" t="n">
        <v>1</v>
      </c>
      <c r="I210" s="4" t="n">
        <v>53961</v>
      </c>
      <c r="J210" s="5" t="n">
        <v>3</v>
      </c>
      <c r="K210" s="6" t="n">
        <f aca="false">IF(J210=0,0,I210/J210)</f>
        <v>17987</v>
      </c>
      <c r="L210" s="4"/>
      <c r="M210" s="3" t="s">
        <v>263</v>
      </c>
      <c r="N210" s="3" t="s">
        <v>264</v>
      </c>
    </row>
    <row r="211" customFormat="false" ht="15" hidden="false" customHeight="false" outlineLevel="0" collapsed="false">
      <c r="A211" s="3" t="s">
        <v>259</v>
      </c>
      <c r="B211" s="3" t="s">
        <v>255</v>
      </c>
      <c r="C211" s="3" t="s">
        <v>108</v>
      </c>
      <c r="D211" s="3" t="s">
        <v>341</v>
      </c>
      <c r="E211" s="3" t="s">
        <v>453</v>
      </c>
      <c r="F211" s="3" t="s">
        <v>105</v>
      </c>
      <c r="G211" s="3" t="s">
        <v>93</v>
      </c>
      <c r="H211" s="3" t="n">
        <v>1</v>
      </c>
      <c r="I211" s="4" t="n">
        <v>42245</v>
      </c>
      <c r="J211" s="5" t="n">
        <v>1</v>
      </c>
      <c r="K211" s="6" t="n">
        <f aca="false">IF(J211=0,0,I211/J211)</f>
        <v>42245</v>
      </c>
      <c r="L211" s="4"/>
      <c r="M211" s="3" t="s">
        <v>263</v>
      </c>
      <c r="N211" s="3" t="s">
        <v>264</v>
      </c>
    </row>
    <row r="212" customFormat="false" ht="15" hidden="false" customHeight="false" outlineLevel="0" collapsed="false">
      <c r="A212" s="3" t="s">
        <v>259</v>
      </c>
      <c r="B212" s="3" t="s">
        <v>255</v>
      </c>
      <c r="C212" s="3" t="s">
        <v>41</v>
      </c>
      <c r="D212" s="3" t="s">
        <v>273</v>
      </c>
      <c r="E212" s="3" t="s">
        <v>454</v>
      </c>
      <c r="F212" s="3" t="s">
        <v>455</v>
      </c>
      <c r="G212" s="3" t="s">
        <v>93</v>
      </c>
      <c r="H212" s="3" t="n">
        <v>15</v>
      </c>
      <c r="I212" s="4" t="n">
        <v>74690</v>
      </c>
      <c r="J212" s="5" t="n">
        <v>1</v>
      </c>
      <c r="K212" s="6" t="n">
        <f aca="false">IF(J212=0,0,I212/J212)</f>
        <v>74690</v>
      </c>
      <c r="L212" s="4"/>
      <c r="M212" s="3" t="s">
        <v>263</v>
      </c>
      <c r="N212" s="3" t="s">
        <v>264</v>
      </c>
    </row>
    <row r="213" customFormat="false" ht="15" hidden="false" customHeight="false" outlineLevel="0" collapsed="false">
      <c r="A213" s="3" t="s">
        <v>259</v>
      </c>
      <c r="B213" s="3" t="s">
        <v>255</v>
      </c>
      <c r="C213" s="3" t="s">
        <v>67</v>
      </c>
      <c r="D213" s="3" t="s">
        <v>291</v>
      </c>
      <c r="E213" s="3" t="s">
        <v>456</v>
      </c>
      <c r="F213" s="3" t="s">
        <v>105</v>
      </c>
      <c r="G213" s="3" t="s">
        <v>93</v>
      </c>
      <c r="H213" s="3" t="n">
        <v>3</v>
      </c>
      <c r="I213" s="4" t="n">
        <v>56652</v>
      </c>
      <c r="J213" s="5" t="n">
        <v>1</v>
      </c>
      <c r="K213" s="6" t="n">
        <f aca="false">IF(J213=0,0,I213/J213)</f>
        <v>56652</v>
      </c>
      <c r="L213" s="4"/>
      <c r="M213" s="3" t="s">
        <v>263</v>
      </c>
      <c r="N213" s="3" t="s">
        <v>264</v>
      </c>
    </row>
    <row r="214" customFormat="false" ht="15" hidden="false" customHeight="false" outlineLevel="0" collapsed="false">
      <c r="A214" s="3" t="s">
        <v>259</v>
      </c>
      <c r="B214" s="3" t="s">
        <v>255</v>
      </c>
      <c r="C214" s="3" t="s">
        <v>32</v>
      </c>
      <c r="D214" s="3" t="s">
        <v>299</v>
      </c>
      <c r="E214" s="3" t="s">
        <v>457</v>
      </c>
      <c r="F214" s="3" t="s">
        <v>458</v>
      </c>
      <c r="G214" s="3" t="s">
        <v>459</v>
      </c>
      <c r="H214" s="3" t="n">
        <v>2</v>
      </c>
      <c r="I214" s="4" t="n">
        <v>36460</v>
      </c>
      <c r="J214" s="5" t="n">
        <v>12</v>
      </c>
      <c r="K214" s="6" t="n">
        <f aca="false">IF(J214=0,0,I214/J214)</f>
        <v>3038.33333333333</v>
      </c>
      <c r="L214" s="4"/>
      <c r="M214" s="3" t="s">
        <v>263</v>
      </c>
      <c r="N214" s="3" t="s">
        <v>264</v>
      </c>
    </row>
    <row r="215" customFormat="false" ht="15" hidden="false" customHeight="false" outlineLevel="0" collapsed="false">
      <c r="A215" s="3" t="s">
        <v>259</v>
      </c>
      <c r="B215" s="3" t="s">
        <v>255</v>
      </c>
      <c r="C215" s="3" t="s">
        <v>32</v>
      </c>
      <c r="D215" s="3" t="s">
        <v>299</v>
      </c>
      <c r="E215" s="3" t="s">
        <v>460</v>
      </c>
      <c r="F215" s="3" t="s">
        <v>44</v>
      </c>
      <c r="G215" s="3" t="s">
        <v>461</v>
      </c>
      <c r="H215" s="3" t="n">
        <v>2</v>
      </c>
      <c r="I215" s="4" t="n">
        <v>48247</v>
      </c>
      <c r="J215" s="5" t="n">
        <v>12</v>
      </c>
      <c r="K215" s="6" t="n">
        <f aca="false">IF(J215=0,0,I215/J215)</f>
        <v>4020.58333333333</v>
      </c>
      <c r="L215" s="4"/>
      <c r="M215" s="3" t="s">
        <v>263</v>
      </c>
      <c r="N215" s="3" t="s">
        <v>264</v>
      </c>
    </row>
    <row r="216" customFormat="false" ht="15" hidden="false" customHeight="false" outlineLevel="0" collapsed="false">
      <c r="A216" s="3" t="s">
        <v>259</v>
      </c>
      <c r="B216" s="3" t="s">
        <v>255</v>
      </c>
      <c r="C216" s="3" t="s">
        <v>32</v>
      </c>
      <c r="D216" s="3" t="s">
        <v>299</v>
      </c>
      <c r="E216" s="3" t="s">
        <v>462</v>
      </c>
      <c r="F216" s="3" t="s">
        <v>105</v>
      </c>
      <c r="G216" s="3" t="s">
        <v>463</v>
      </c>
      <c r="H216" s="3" t="n">
        <v>1</v>
      </c>
      <c r="I216" s="4" t="n">
        <v>36460</v>
      </c>
      <c r="J216" s="5" t="n">
        <v>12</v>
      </c>
      <c r="K216" s="6" t="n">
        <f aca="false">IF(J216=0,0,I216/J216)</f>
        <v>3038.33333333333</v>
      </c>
      <c r="L216" s="4"/>
      <c r="M216" s="3" t="s">
        <v>263</v>
      </c>
      <c r="N216" s="3" t="s">
        <v>264</v>
      </c>
    </row>
    <row r="217" customFormat="false" ht="15" hidden="false" customHeight="false" outlineLevel="0" collapsed="false">
      <c r="A217" s="3" t="s">
        <v>259</v>
      </c>
      <c r="B217" s="3" t="s">
        <v>255</v>
      </c>
      <c r="C217" s="3" t="s">
        <v>32</v>
      </c>
      <c r="D217" s="3" t="s">
        <v>299</v>
      </c>
      <c r="E217" s="3" t="s">
        <v>464</v>
      </c>
      <c r="F217" s="3" t="s">
        <v>44</v>
      </c>
      <c r="G217" s="3" t="s">
        <v>465</v>
      </c>
      <c r="H217" s="3" t="n">
        <v>1</v>
      </c>
      <c r="I217" s="4" t="n">
        <v>36460</v>
      </c>
      <c r="J217" s="5" t="n">
        <v>12</v>
      </c>
      <c r="K217" s="6" t="n">
        <f aca="false">IF(J217=0,0,I217/J217)</f>
        <v>3038.33333333333</v>
      </c>
      <c r="L217" s="4"/>
      <c r="M217" s="3" t="s">
        <v>263</v>
      </c>
      <c r="N217" s="3" t="s">
        <v>264</v>
      </c>
    </row>
    <row r="218" customFormat="false" ht="15" hidden="false" customHeight="false" outlineLevel="0" collapsed="false">
      <c r="A218" s="3" t="s">
        <v>259</v>
      </c>
      <c r="B218" s="3" t="s">
        <v>255</v>
      </c>
      <c r="C218" s="3" t="s">
        <v>32</v>
      </c>
      <c r="D218" s="3" t="s">
        <v>299</v>
      </c>
      <c r="E218" s="3" t="s">
        <v>466</v>
      </c>
      <c r="F218" s="3" t="s">
        <v>105</v>
      </c>
      <c r="G218" s="3" t="s">
        <v>467</v>
      </c>
      <c r="H218" s="3" t="n">
        <v>1</v>
      </c>
      <c r="I218" s="4" t="n">
        <v>0</v>
      </c>
      <c r="J218" s="5" t="n">
        <v>11</v>
      </c>
      <c r="K218" s="6" t="n">
        <f aca="false">IF(J218=0,0,I218/J218)</f>
        <v>0</v>
      </c>
      <c r="L218" s="4"/>
      <c r="M218" s="3"/>
      <c r="N218" s="3" t="s">
        <v>264</v>
      </c>
    </row>
    <row r="219" customFormat="false" ht="15" hidden="false" customHeight="false" outlineLevel="0" collapsed="false">
      <c r="A219" s="3" t="s">
        <v>468</v>
      </c>
      <c r="B219" s="3" t="s">
        <v>124</v>
      </c>
      <c r="C219" s="3" t="s">
        <v>16</v>
      </c>
      <c r="D219" s="3" t="s">
        <v>469</v>
      </c>
      <c r="E219" s="3" t="s">
        <v>470</v>
      </c>
      <c r="F219" s="3" t="s">
        <v>105</v>
      </c>
      <c r="G219" s="3" t="s">
        <v>471</v>
      </c>
      <c r="H219" s="3" t="n">
        <v>2</v>
      </c>
      <c r="I219" s="4" t="n">
        <v>104053</v>
      </c>
      <c r="J219" s="5" t="n">
        <v>3</v>
      </c>
      <c r="K219" s="6" t="n">
        <f aca="false">IF(J219=0,0,I219/J219)</f>
        <v>34684.3333333333</v>
      </c>
      <c r="L219" s="4"/>
      <c r="M219" s="3" t="s">
        <v>472</v>
      </c>
      <c r="N219" s="3" t="s">
        <v>473</v>
      </c>
    </row>
    <row r="220" customFormat="false" ht="15" hidden="false" customHeight="false" outlineLevel="0" collapsed="false">
      <c r="A220" s="3" t="s">
        <v>474</v>
      </c>
      <c r="B220" s="3" t="s">
        <v>140</v>
      </c>
      <c r="C220" s="3" t="s">
        <v>41</v>
      </c>
      <c r="D220" s="3" t="s">
        <v>475</v>
      </c>
      <c r="E220" s="3" t="s">
        <v>476</v>
      </c>
      <c r="F220" s="3" t="s">
        <v>105</v>
      </c>
      <c r="G220" s="3" t="s">
        <v>477</v>
      </c>
      <c r="H220" s="3" t="n">
        <v>1</v>
      </c>
      <c r="I220" s="4" t="n">
        <v>55000</v>
      </c>
      <c r="J220" s="5" t="n">
        <v>10</v>
      </c>
      <c r="K220" s="6" t="n">
        <f aca="false">IF(J220=0,0,I220/J220)</f>
        <v>5500</v>
      </c>
      <c r="L220" s="4"/>
      <c r="M220" s="3" t="s">
        <v>478</v>
      </c>
      <c r="N220" s="3" t="s">
        <v>479</v>
      </c>
    </row>
    <row r="221" customFormat="false" ht="15" hidden="false" customHeight="false" outlineLevel="0" collapsed="false">
      <c r="A221" s="3" t="s">
        <v>474</v>
      </c>
      <c r="B221" s="3" t="s">
        <v>140</v>
      </c>
      <c r="C221" s="3" t="s">
        <v>41</v>
      </c>
      <c r="D221" s="3" t="s">
        <v>475</v>
      </c>
      <c r="E221" s="3" t="s">
        <v>480</v>
      </c>
      <c r="F221" s="3" t="s">
        <v>44</v>
      </c>
      <c r="G221" s="3" t="s">
        <v>481</v>
      </c>
      <c r="H221" s="3" t="n">
        <v>2</v>
      </c>
      <c r="I221" s="4" t="n">
        <v>65000</v>
      </c>
      <c r="J221" s="5" t="n">
        <v>10</v>
      </c>
      <c r="K221" s="6" t="n">
        <f aca="false">IF(J221=0,0,I221/J221)</f>
        <v>6500</v>
      </c>
      <c r="L221" s="4"/>
      <c r="M221" s="3" t="s">
        <v>482</v>
      </c>
      <c r="N221" s="3" t="s">
        <v>479</v>
      </c>
    </row>
    <row r="222" customFormat="false" ht="15" hidden="false" customHeight="false" outlineLevel="0" collapsed="false">
      <c r="A222" s="3" t="s">
        <v>474</v>
      </c>
      <c r="B222" s="3" t="s">
        <v>140</v>
      </c>
      <c r="C222" s="3" t="s">
        <v>67</v>
      </c>
      <c r="D222" s="3" t="s">
        <v>483</v>
      </c>
      <c r="E222" s="3" t="s">
        <v>484</v>
      </c>
      <c r="F222" s="3" t="s">
        <v>44</v>
      </c>
      <c r="G222" s="3" t="s">
        <v>485</v>
      </c>
      <c r="H222" s="3" t="n">
        <v>3</v>
      </c>
      <c r="I222" s="4" t="n">
        <v>75000</v>
      </c>
      <c r="J222" s="5" t="n">
        <v>9</v>
      </c>
      <c r="K222" s="6" t="n">
        <f aca="false">IF(J222=0,0,I222/J222)</f>
        <v>8333.33333333333</v>
      </c>
      <c r="L222" s="4"/>
      <c r="M222" s="3" t="s">
        <v>486</v>
      </c>
      <c r="N222" s="3" t="s">
        <v>479</v>
      </c>
    </row>
    <row r="223" customFormat="false" ht="15" hidden="false" customHeight="false" outlineLevel="0" collapsed="false">
      <c r="A223" s="3" t="s">
        <v>474</v>
      </c>
      <c r="B223" s="3" t="s">
        <v>140</v>
      </c>
      <c r="C223" s="3" t="s">
        <v>16</v>
      </c>
      <c r="D223" s="3" t="s">
        <v>487</v>
      </c>
      <c r="E223" s="3" t="s">
        <v>488</v>
      </c>
      <c r="F223" s="3" t="s">
        <v>44</v>
      </c>
      <c r="G223" s="3" t="s">
        <v>489</v>
      </c>
      <c r="H223" s="3" t="n">
        <v>1</v>
      </c>
      <c r="I223" s="4" t="n">
        <v>80000</v>
      </c>
      <c r="J223" s="5" t="n">
        <v>7</v>
      </c>
      <c r="K223" s="6" t="n">
        <f aca="false">IF(J223=0,0,I223/J223)</f>
        <v>11428.5714285714</v>
      </c>
      <c r="L223" s="4"/>
      <c r="M223" s="3" t="s">
        <v>490</v>
      </c>
      <c r="N223" s="3" t="s">
        <v>479</v>
      </c>
    </row>
    <row r="224" customFormat="false" ht="15" hidden="false" customHeight="false" outlineLevel="0" collapsed="false">
      <c r="A224" s="3" t="s">
        <v>474</v>
      </c>
      <c r="B224" s="3" t="s">
        <v>151</v>
      </c>
      <c r="C224" s="3" t="s">
        <v>41</v>
      </c>
      <c r="D224" s="3" t="s">
        <v>475</v>
      </c>
      <c r="E224" s="3" t="s">
        <v>480</v>
      </c>
      <c r="F224" s="3" t="s">
        <v>44</v>
      </c>
      <c r="G224" s="3" t="s">
        <v>481</v>
      </c>
      <c r="H224" s="3" t="n">
        <v>3</v>
      </c>
      <c r="I224" s="4" t="n">
        <v>48810</v>
      </c>
      <c r="J224" s="5" t="n">
        <v>10</v>
      </c>
      <c r="K224" s="6" t="n">
        <f aca="false">IF(J224=0,0,I224/J224)</f>
        <v>4881</v>
      </c>
      <c r="L224" s="4"/>
      <c r="M224" s="3" t="s">
        <v>491</v>
      </c>
      <c r="N224" s="3" t="s">
        <v>479</v>
      </c>
    </row>
    <row r="225" customFormat="false" ht="15" hidden="false" customHeight="false" outlineLevel="0" collapsed="false">
      <c r="A225" s="3" t="s">
        <v>474</v>
      </c>
      <c r="B225" s="3" t="s">
        <v>151</v>
      </c>
      <c r="C225" s="3" t="s">
        <v>41</v>
      </c>
      <c r="D225" s="3" t="s">
        <v>492</v>
      </c>
      <c r="E225" s="3" t="s">
        <v>493</v>
      </c>
      <c r="F225" s="3" t="s">
        <v>44</v>
      </c>
      <c r="G225" s="3" t="s">
        <v>494</v>
      </c>
      <c r="H225" s="3" t="n">
        <v>3</v>
      </c>
      <c r="I225" s="4" t="n">
        <v>14022</v>
      </c>
      <c r="J225" s="5" t="n">
        <v>5</v>
      </c>
      <c r="K225" s="6" t="n">
        <f aca="false">IF(J225=0,0,I225/J225)</f>
        <v>2804.4</v>
      </c>
      <c r="L225" s="4"/>
      <c r="M225" s="3" t="s">
        <v>495</v>
      </c>
      <c r="N225" s="3" t="s">
        <v>479</v>
      </c>
    </row>
    <row r="226" customFormat="false" ht="15" hidden="false" customHeight="false" outlineLevel="0" collapsed="false">
      <c r="A226" s="3" t="s">
        <v>474</v>
      </c>
      <c r="B226" s="3" t="s">
        <v>160</v>
      </c>
      <c r="C226" s="3" t="s">
        <v>41</v>
      </c>
      <c r="D226" s="3" t="s">
        <v>475</v>
      </c>
      <c r="E226" s="3" t="s">
        <v>476</v>
      </c>
      <c r="F226" s="3" t="s">
        <v>105</v>
      </c>
      <c r="G226" s="3" t="s">
        <v>477</v>
      </c>
      <c r="H226" s="3" t="n">
        <v>27</v>
      </c>
      <c r="I226" s="4" t="n">
        <v>110000</v>
      </c>
      <c r="J226" s="5" t="n">
        <v>10</v>
      </c>
      <c r="K226" s="6" t="n">
        <f aca="false">IF(J226=0,0,I226/J226)</f>
        <v>11000</v>
      </c>
      <c r="L226" s="4"/>
      <c r="M226" s="3" t="s">
        <v>496</v>
      </c>
      <c r="N226" s="3" t="s">
        <v>479</v>
      </c>
    </row>
    <row r="227" customFormat="false" ht="15" hidden="false" customHeight="false" outlineLevel="0" collapsed="false">
      <c r="A227" s="3" t="s">
        <v>474</v>
      </c>
      <c r="B227" s="3" t="s">
        <v>160</v>
      </c>
      <c r="C227" s="3" t="s">
        <v>41</v>
      </c>
      <c r="D227" s="3" t="s">
        <v>475</v>
      </c>
      <c r="E227" s="3" t="s">
        <v>480</v>
      </c>
      <c r="F227" s="3" t="s">
        <v>44</v>
      </c>
      <c r="G227" s="3" t="s">
        <v>481</v>
      </c>
      <c r="H227" s="3" t="n">
        <v>3</v>
      </c>
      <c r="I227" s="4" t="n">
        <v>206190</v>
      </c>
      <c r="J227" s="5" t="n">
        <v>10</v>
      </c>
      <c r="K227" s="6" t="n">
        <f aca="false">IF(J227=0,0,I227/J227)</f>
        <v>20619</v>
      </c>
      <c r="L227" s="4"/>
      <c r="M227" s="3" t="s">
        <v>497</v>
      </c>
      <c r="N227" s="3" t="s">
        <v>479</v>
      </c>
    </row>
    <row r="228" customFormat="false" ht="15" hidden="false" customHeight="false" outlineLevel="0" collapsed="false">
      <c r="A228" s="3" t="s">
        <v>474</v>
      </c>
      <c r="B228" s="3" t="s">
        <v>160</v>
      </c>
      <c r="C228" s="3" t="s">
        <v>41</v>
      </c>
      <c r="D228" s="3" t="s">
        <v>492</v>
      </c>
      <c r="E228" s="3" t="s">
        <v>493</v>
      </c>
      <c r="F228" s="3" t="s">
        <v>44</v>
      </c>
      <c r="G228" s="3" t="s">
        <v>494</v>
      </c>
      <c r="H228" s="3" t="n">
        <v>3</v>
      </c>
      <c r="I228" s="4" t="n">
        <v>120978</v>
      </c>
      <c r="J228" s="5" t="n">
        <v>5</v>
      </c>
      <c r="K228" s="6" t="n">
        <f aca="false">IF(J228=0,0,I228/J228)</f>
        <v>24195.6</v>
      </c>
      <c r="L228" s="4"/>
      <c r="M228" s="3" t="s">
        <v>498</v>
      </c>
      <c r="N228" s="3" t="s">
        <v>479</v>
      </c>
    </row>
    <row r="229" customFormat="false" ht="15" hidden="false" customHeight="false" outlineLevel="0" collapsed="false">
      <c r="A229" s="3" t="s">
        <v>474</v>
      </c>
      <c r="B229" s="3" t="s">
        <v>160</v>
      </c>
      <c r="C229" s="3" t="s">
        <v>41</v>
      </c>
      <c r="D229" s="3" t="s">
        <v>499</v>
      </c>
      <c r="E229" s="3" t="s">
        <v>500</v>
      </c>
      <c r="F229" s="3" t="s">
        <v>501</v>
      </c>
      <c r="G229" s="3" t="s">
        <v>502</v>
      </c>
      <c r="H229" s="3" t="n">
        <v>28</v>
      </c>
      <c r="I229" s="4" t="n">
        <v>125000</v>
      </c>
      <c r="J229" s="5" t="n">
        <v>5</v>
      </c>
      <c r="K229" s="6" t="n">
        <f aca="false">IF(J229=0,0,I229/J229)</f>
        <v>25000</v>
      </c>
      <c r="L229" s="4"/>
      <c r="M229" s="3" t="s">
        <v>503</v>
      </c>
      <c r="N229" s="3" t="s">
        <v>479</v>
      </c>
    </row>
    <row r="230" customFormat="false" ht="15" hidden="false" customHeight="false" outlineLevel="0" collapsed="false">
      <c r="A230" s="3" t="s">
        <v>474</v>
      </c>
      <c r="B230" s="3" t="s">
        <v>160</v>
      </c>
      <c r="C230" s="3" t="s">
        <v>41</v>
      </c>
      <c r="D230" s="3" t="s">
        <v>499</v>
      </c>
      <c r="E230" s="3" t="s">
        <v>504</v>
      </c>
      <c r="F230" s="3" t="s">
        <v>505</v>
      </c>
      <c r="G230" s="3" t="s">
        <v>506</v>
      </c>
      <c r="H230" s="3" t="n">
        <v>2</v>
      </c>
      <c r="I230" s="4" t="n">
        <v>40000</v>
      </c>
      <c r="J230" s="5" t="n">
        <v>4</v>
      </c>
      <c r="K230" s="6" t="n">
        <f aca="false">IF(J230=0,0,I230/J230)</f>
        <v>10000</v>
      </c>
      <c r="L230" s="4"/>
      <c r="M230" s="3" t="s">
        <v>507</v>
      </c>
      <c r="N230" s="3" t="s">
        <v>479</v>
      </c>
    </row>
    <row r="231" customFormat="false" ht="15" hidden="false" customHeight="false" outlineLevel="0" collapsed="false">
      <c r="A231" s="3" t="s">
        <v>474</v>
      </c>
      <c r="B231" s="3" t="s">
        <v>160</v>
      </c>
      <c r="C231" s="3" t="s">
        <v>16</v>
      </c>
      <c r="D231" s="3" t="s">
        <v>508</v>
      </c>
      <c r="E231" s="3" t="s">
        <v>509</v>
      </c>
      <c r="F231" s="3" t="s">
        <v>44</v>
      </c>
      <c r="G231" s="3" t="s">
        <v>510</v>
      </c>
      <c r="H231" s="3" t="n">
        <v>2</v>
      </c>
      <c r="I231" s="4" t="n">
        <v>115000</v>
      </c>
      <c r="J231" s="5" t="n">
        <v>6</v>
      </c>
      <c r="K231" s="6" t="n">
        <f aca="false">IF(J231=0,0,I231/J231)</f>
        <v>19166.6666666667</v>
      </c>
      <c r="L231" s="4"/>
      <c r="M231" s="3" t="s">
        <v>511</v>
      </c>
      <c r="N231" s="3" t="s">
        <v>479</v>
      </c>
    </row>
    <row r="232" customFormat="false" ht="15" hidden="false" customHeight="false" outlineLevel="0" collapsed="false">
      <c r="A232" s="3" t="s">
        <v>474</v>
      </c>
      <c r="B232" s="3" t="s">
        <v>160</v>
      </c>
      <c r="C232" s="3" t="s">
        <v>16</v>
      </c>
      <c r="D232" s="3" t="s">
        <v>508</v>
      </c>
      <c r="E232" s="3" t="s">
        <v>512</v>
      </c>
      <c r="F232" s="3" t="s">
        <v>105</v>
      </c>
      <c r="G232" s="3" t="s">
        <v>513</v>
      </c>
      <c r="H232" s="3" t="n">
        <v>3</v>
      </c>
      <c r="I232" s="4" t="n">
        <v>155000</v>
      </c>
      <c r="J232" s="5" t="n">
        <v>5</v>
      </c>
      <c r="K232" s="6" t="n">
        <f aca="false">IF(J232=0,0,I232/J232)</f>
        <v>31000</v>
      </c>
      <c r="L232" s="4"/>
      <c r="M232" s="3" t="s">
        <v>514</v>
      </c>
      <c r="N232" s="3" t="s">
        <v>479</v>
      </c>
    </row>
    <row r="233" customFormat="false" ht="15" hidden="false" customHeight="false" outlineLevel="0" collapsed="false">
      <c r="A233" s="3" t="s">
        <v>474</v>
      </c>
      <c r="B233" s="3" t="s">
        <v>160</v>
      </c>
      <c r="C233" s="3" t="s">
        <v>16</v>
      </c>
      <c r="D233" s="3" t="s">
        <v>487</v>
      </c>
      <c r="E233" s="3" t="s">
        <v>488</v>
      </c>
      <c r="F233" s="3" t="s">
        <v>44</v>
      </c>
      <c r="G233" s="3" t="s">
        <v>489</v>
      </c>
      <c r="H233" s="3" t="n">
        <v>8</v>
      </c>
      <c r="I233" s="4" t="n">
        <v>275000</v>
      </c>
      <c r="J233" s="5" t="n">
        <v>7</v>
      </c>
      <c r="K233" s="6" t="n">
        <f aca="false">IF(J233=0,0,I233/J233)</f>
        <v>39285.7142857143</v>
      </c>
      <c r="L233" s="4"/>
      <c r="M233" s="3" t="s">
        <v>515</v>
      </c>
      <c r="N233" s="3" t="s">
        <v>479</v>
      </c>
    </row>
    <row r="234" customFormat="false" ht="15" hidden="false" customHeight="false" outlineLevel="0" collapsed="false">
      <c r="A234" s="3" t="s">
        <v>474</v>
      </c>
      <c r="B234" s="3" t="s">
        <v>160</v>
      </c>
      <c r="C234" s="3" t="s">
        <v>32</v>
      </c>
      <c r="D234" s="3" t="s">
        <v>516</v>
      </c>
      <c r="E234" s="3" t="s">
        <v>517</v>
      </c>
      <c r="F234" s="3" t="s">
        <v>518</v>
      </c>
      <c r="G234" s="3" t="s">
        <v>519</v>
      </c>
      <c r="H234" s="3" t="n">
        <v>23</v>
      </c>
      <c r="I234" s="4" t="n">
        <v>305000</v>
      </c>
      <c r="J234" s="5" t="n">
        <v>6</v>
      </c>
      <c r="K234" s="6" t="n">
        <f aca="false">IF(J234=0,0,I234/J234)</f>
        <v>50833.3333333333</v>
      </c>
      <c r="L234" s="4"/>
      <c r="M234" s="3" t="s">
        <v>520</v>
      </c>
      <c r="N234" s="3" t="s">
        <v>479</v>
      </c>
    </row>
    <row r="235" customFormat="false" ht="15" hidden="false" customHeight="false" outlineLevel="0" collapsed="false">
      <c r="A235" s="3" t="s">
        <v>474</v>
      </c>
      <c r="B235" s="3" t="s">
        <v>160</v>
      </c>
      <c r="C235" s="3" t="s">
        <v>32</v>
      </c>
      <c r="D235" s="3" t="s">
        <v>516</v>
      </c>
      <c r="E235" s="3" t="s">
        <v>521</v>
      </c>
      <c r="F235" s="3" t="s">
        <v>105</v>
      </c>
      <c r="G235" s="3" t="s">
        <v>522</v>
      </c>
      <c r="H235" s="3" t="n">
        <v>4</v>
      </c>
      <c r="I235" s="4" t="n">
        <v>80000</v>
      </c>
      <c r="J235" s="5" t="n">
        <v>7</v>
      </c>
      <c r="K235" s="6" t="n">
        <f aca="false">IF(J235=0,0,I235/J235)</f>
        <v>11428.5714285714</v>
      </c>
      <c r="L235" s="4"/>
      <c r="M235" s="3" t="s">
        <v>523</v>
      </c>
      <c r="N235" s="3" t="s">
        <v>479</v>
      </c>
    </row>
    <row r="236" customFormat="false" ht="15" hidden="false" customHeight="false" outlineLevel="0" collapsed="false">
      <c r="A236" s="3" t="s">
        <v>474</v>
      </c>
      <c r="B236" s="3" t="s">
        <v>160</v>
      </c>
      <c r="C236" s="3" t="s">
        <v>32</v>
      </c>
      <c r="D236" s="3" t="s">
        <v>516</v>
      </c>
      <c r="E236" s="3" t="s">
        <v>524</v>
      </c>
      <c r="F236" s="3" t="s">
        <v>44</v>
      </c>
      <c r="G236" s="3" t="s">
        <v>525</v>
      </c>
      <c r="H236" s="3" t="n">
        <v>9</v>
      </c>
      <c r="I236" s="4" t="n">
        <v>194768</v>
      </c>
      <c r="J236" s="5" t="n">
        <v>9</v>
      </c>
      <c r="K236" s="6" t="n">
        <f aca="false">IF(J236=0,0,I236/J236)</f>
        <v>21640.8888888889</v>
      </c>
      <c r="L236" s="4"/>
      <c r="M236" s="3" t="s">
        <v>526</v>
      </c>
      <c r="N236" s="3" t="s">
        <v>479</v>
      </c>
    </row>
    <row r="237" customFormat="false" ht="15" hidden="false" customHeight="false" outlineLevel="0" collapsed="false">
      <c r="A237" s="3" t="s">
        <v>474</v>
      </c>
      <c r="B237" s="3" t="s">
        <v>15</v>
      </c>
      <c r="C237" s="3" t="s">
        <v>41</v>
      </c>
      <c r="D237" s="3" t="s">
        <v>475</v>
      </c>
      <c r="E237" s="3" t="s">
        <v>480</v>
      </c>
      <c r="F237" s="3" t="s">
        <v>44</v>
      </c>
      <c r="G237" s="3" t="s">
        <v>481</v>
      </c>
      <c r="H237" s="3" t="n">
        <v>1</v>
      </c>
      <c r="I237" s="4" t="n">
        <v>150000</v>
      </c>
      <c r="J237" s="5" t="n">
        <v>10</v>
      </c>
      <c r="K237" s="6" t="n">
        <f aca="false">IF(J237=0,0,I237/J237)</f>
        <v>15000</v>
      </c>
      <c r="L237" s="4"/>
      <c r="M237" s="3" t="s">
        <v>527</v>
      </c>
      <c r="N237" s="3" t="s">
        <v>479</v>
      </c>
    </row>
    <row r="238" customFormat="false" ht="15" hidden="false" customHeight="false" outlineLevel="0" collapsed="false">
      <c r="A238" s="3" t="s">
        <v>474</v>
      </c>
      <c r="B238" s="3" t="s">
        <v>15</v>
      </c>
      <c r="C238" s="3" t="s">
        <v>16</v>
      </c>
      <c r="D238" s="3" t="s">
        <v>528</v>
      </c>
      <c r="E238" s="3" t="s">
        <v>529</v>
      </c>
      <c r="F238" s="3" t="s">
        <v>44</v>
      </c>
      <c r="G238" s="3" t="s">
        <v>530</v>
      </c>
      <c r="H238" s="3" t="n">
        <v>5</v>
      </c>
      <c r="I238" s="4" t="n">
        <v>50000</v>
      </c>
      <c r="J238" s="5" t="n">
        <v>4</v>
      </c>
      <c r="K238" s="6" t="n">
        <f aca="false">IF(J238=0,0,I238/J238)</f>
        <v>12500</v>
      </c>
      <c r="L238" s="4"/>
      <c r="M238" s="3" t="s">
        <v>531</v>
      </c>
      <c r="N238" s="3" t="s">
        <v>479</v>
      </c>
    </row>
    <row r="239" customFormat="false" ht="15" hidden="false" customHeight="false" outlineLevel="0" collapsed="false">
      <c r="A239" s="3" t="s">
        <v>474</v>
      </c>
      <c r="B239" s="3" t="s">
        <v>15</v>
      </c>
      <c r="C239" s="3" t="s">
        <v>16</v>
      </c>
      <c r="D239" s="3" t="s">
        <v>487</v>
      </c>
      <c r="E239" s="3" t="s">
        <v>488</v>
      </c>
      <c r="F239" s="3" t="s">
        <v>44</v>
      </c>
      <c r="G239" s="3" t="s">
        <v>489</v>
      </c>
      <c r="H239" s="3" t="n">
        <v>2</v>
      </c>
      <c r="I239" s="4" t="n">
        <v>125000</v>
      </c>
      <c r="J239" s="5" t="n">
        <v>7</v>
      </c>
      <c r="K239" s="6" t="n">
        <f aca="false">IF(J239=0,0,I239/J239)</f>
        <v>17857.1428571429</v>
      </c>
      <c r="L239" s="4"/>
      <c r="M239" s="3" t="s">
        <v>532</v>
      </c>
      <c r="N239" s="3" t="s">
        <v>479</v>
      </c>
    </row>
    <row r="240" customFormat="false" ht="15" hidden="false" customHeight="false" outlineLevel="0" collapsed="false">
      <c r="A240" s="3" t="s">
        <v>474</v>
      </c>
      <c r="B240" s="3" t="s">
        <v>197</v>
      </c>
      <c r="C240" s="3" t="s">
        <v>41</v>
      </c>
      <c r="D240" s="3" t="s">
        <v>475</v>
      </c>
      <c r="E240" s="3" t="s">
        <v>476</v>
      </c>
      <c r="F240" s="3" t="s">
        <v>105</v>
      </c>
      <c r="G240" s="3" t="s">
        <v>477</v>
      </c>
      <c r="H240" s="3" t="n">
        <v>1</v>
      </c>
      <c r="I240" s="4" t="n">
        <v>0</v>
      </c>
      <c r="J240" s="5" t="n">
        <v>10</v>
      </c>
      <c r="K240" s="6" t="n">
        <f aca="false">IF(J240=0,0,I240/J240)</f>
        <v>0</v>
      </c>
      <c r="L240" s="4"/>
      <c r="M240" s="3"/>
      <c r="N240" s="3" t="s">
        <v>479</v>
      </c>
    </row>
    <row r="241" customFormat="false" ht="15" hidden="false" customHeight="false" outlineLevel="0" collapsed="false">
      <c r="A241" s="3" t="s">
        <v>474</v>
      </c>
      <c r="B241" s="3" t="s">
        <v>197</v>
      </c>
      <c r="C241" s="3" t="s">
        <v>41</v>
      </c>
      <c r="D241" s="3" t="s">
        <v>475</v>
      </c>
      <c r="E241" s="3" t="s">
        <v>480</v>
      </c>
      <c r="F241" s="3" t="s">
        <v>44</v>
      </c>
      <c r="G241" s="3" t="s">
        <v>481</v>
      </c>
      <c r="H241" s="3" t="n">
        <v>1</v>
      </c>
      <c r="I241" s="4" t="n">
        <v>39863</v>
      </c>
      <c r="J241" s="5" t="n">
        <v>10</v>
      </c>
      <c r="K241" s="6" t="n">
        <f aca="false">IF(J241=0,0,I241/J241)</f>
        <v>3986.3</v>
      </c>
      <c r="L241" s="4"/>
      <c r="M241" s="3" t="s">
        <v>533</v>
      </c>
      <c r="N241" s="3" t="s">
        <v>479</v>
      </c>
    </row>
    <row r="242" customFormat="false" ht="15" hidden="false" customHeight="false" outlineLevel="0" collapsed="false">
      <c r="A242" s="3" t="s">
        <v>474</v>
      </c>
      <c r="B242" s="3" t="s">
        <v>197</v>
      </c>
      <c r="C242" s="3" t="s">
        <v>41</v>
      </c>
      <c r="D242" s="3" t="s">
        <v>499</v>
      </c>
      <c r="E242" s="3" t="s">
        <v>504</v>
      </c>
      <c r="F242" s="3" t="s">
        <v>505</v>
      </c>
      <c r="G242" s="3" t="s">
        <v>506</v>
      </c>
      <c r="H242" s="3" t="n">
        <v>5</v>
      </c>
      <c r="I242" s="4" t="n">
        <v>19863</v>
      </c>
      <c r="J242" s="5" t="n">
        <v>4</v>
      </c>
      <c r="K242" s="6" t="n">
        <f aca="false">IF(J242=0,0,I242/J242)</f>
        <v>4965.75</v>
      </c>
      <c r="L242" s="4"/>
      <c r="M242" s="3" t="s">
        <v>534</v>
      </c>
      <c r="N242" s="3" t="s">
        <v>479</v>
      </c>
    </row>
    <row r="243" customFormat="false" ht="15" hidden="false" customHeight="false" outlineLevel="0" collapsed="false">
      <c r="A243" s="3" t="s">
        <v>474</v>
      </c>
      <c r="B243" s="3" t="s">
        <v>197</v>
      </c>
      <c r="C243" s="3" t="s">
        <v>16</v>
      </c>
      <c r="D243" s="3" t="s">
        <v>508</v>
      </c>
      <c r="E243" s="3" t="s">
        <v>509</v>
      </c>
      <c r="F243" s="3" t="s">
        <v>44</v>
      </c>
      <c r="G243" s="3" t="s">
        <v>510</v>
      </c>
      <c r="H243" s="3" t="n">
        <v>1</v>
      </c>
      <c r="I243" s="4" t="n">
        <v>43000</v>
      </c>
      <c r="J243" s="5" t="n">
        <v>6</v>
      </c>
      <c r="K243" s="6" t="n">
        <f aca="false">IF(J243=0,0,I243/J243)</f>
        <v>7166.66666666667</v>
      </c>
      <c r="L243" s="4"/>
      <c r="M243" s="3" t="s">
        <v>535</v>
      </c>
      <c r="N243" s="3" t="s">
        <v>479</v>
      </c>
    </row>
    <row r="244" customFormat="false" ht="15" hidden="false" customHeight="false" outlineLevel="0" collapsed="false">
      <c r="A244" s="3" t="s">
        <v>474</v>
      </c>
      <c r="B244" s="3" t="s">
        <v>197</v>
      </c>
      <c r="C244" s="3" t="s">
        <v>16</v>
      </c>
      <c r="D244" s="3" t="s">
        <v>508</v>
      </c>
      <c r="E244" s="3" t="s">
        <v>512</v>
      </c>
      <c r="F244" s="3" t="s">
        <v>105</v>
      </c>
      <c r="G244" s="3" t="s">
        <v>513</v>
      </c>
      <c r="H244" s="3" t="n">
        <v>1</v>
      </c>
      <c r="I244" s="4" t="n">
        <v>33000</v>
      </c>
      <c r="J244" s="5" t="n">
        <v>5</v>
      </c>
      <c r="K244" s="6" t="n">
        <f aca="false">IF(J244=0,0,I244/J244)</f>
        <v>6600</v>
      </c>
      <c r="L244" s="4"/>
      <c r="M244" s="3" t="s">
        <v>536</v>
      </c>
      <c r="N244" s="3" t="s">
        <v>479</v>
      </c>
    </row>
    <row r="245" customFormat="false" ht="15" hidden="false" customHeight="false" outlineLevel="0" collapsed="false">
      <c r="A245" s="3" t="s">
        <v>474</v>
      </c>
      <c r="B245" s="3" t="s">
        <v>197</v>
      </c>
      <c r="C245" s="3" t="s">
        <v>16</v>
      </c>
      <c r="D245" s="3" t="s">
        <v>487</v>
      </c>
      <c r="E245" s="3" t="s">
        <v>488</v>
      </c>
      <c r="F245" s="3" t="s">
        <v>44</v>
      </c>
      <c r="G245" s="3" t="s">
        <v>489</v>
      </c>
      <c r="H245" s="3" t="n">
        <v>5</v>
      </c>
      <c r="I245" s="4" t="n">
        <v>25785</v>
      </c>
      <c r="J245" s="5" t="n">
        <v>7</v>
      </c>
      <c r="K245" s="6" t="n">
        <f aca="false">IF(J245=0,0,I245/J245)</f>
        <v>3683.57142857143</v>
      </c>
      <c r="L245" s="4"/>
      <c r="M245" s="3" t="s">
        <v>537</v>
      </c>
      <c r="N245" s="3" t="s">
        <v>479</v>
      </c>
    </row>
    <row r="246" customFormat="false" ht="15" hidden="false" customHeight="false" outlineLevel="0" collapsed="false">
      <c r="A246" s="3" t="s">
        <v>474</v>
      </c>
      <c r="B246" s="3" t="s">
        <v>47</v>
      </c>
      <c r="C246" s="3" t="s">
        <v>41</v>
      </c>
      <c r="D246" s="3" t="s">
        <v>475</v>
      </c>
      <c r="E246" s="3" t="s">
        <v>480</v>
      </c>
      <c r="F246" s="3" t="s">
        <v>44</v>
      </c>
      <c r="G246" s="3" t="s">
        <v>481</v>
      </c>
      <c r="H246" s="3" t="n">
        <v>2</v>
      </c>
      <c r="I246" s="4" t="n">
        <v>100000</v>
      </c>
      <c r="J246" s="5" t="n">
        <v>10</v>
      </c>
      <c r="K246" s="6" t="n">
        <f aca="false">IF(J246=0,0,I246/J246)</f>
        <v>10000</v>
      </c>
      <c r="L246" s="4"/>
      <c r="M246" s="3" t="s">
        <v>538</v>
      </c>
      <c r="N246" s="3" t="s">
        <v>479</v>
      </c>
    </row>
    <row r="247" customFormat="false" ht="15" hidden="false" customHeight="false" outlineLevel="0" collapsed="false">
      <c r="A247" s="3" t="s">
        <v>474</v>
      </c>
      <c r="B247" s="3" t="s">
        <v>107</v>
      </c>
      <c r="C247" s="3" t="s">
        <v>67</v>
      </c>
      <c r="D247" s="3" t="s">
        <v>483</v>
      </c>
      <c r="E247" s="3" t="s">
        <v>484</v>
      </c>
      <c r="F247" s="3" t="s">
        <v>44</v>
      </c>
      <c r="G247" s="3" t="s">
        <v>485</v>
      </c>
      <c r="H247" s="3" t="n">
        <v>6</v>
      </c>
      <c r="I247" s="4" t="n">
        <v>84706</v>
      </c>
      <c r="J247" s="5" t="n">
        <v>9</v>
      </c>
      <c r="K247" s="6" t="n">
        <f aca="false">IF(J247=0,0,I247/J247)</f>
        <v>9411.77777777778</v>
      </c>
      <c r="L247" s="4"/>
      <c r="M247" s="3" t="s">
        <v>539</v>
      </c>
      <c r="N247" s="3" t="s">
        <v>479</v>
      </c>
    </row>
    <row r="248" customFormat="false" ht="15" hidden="false" customHeight="false" outlineLevel="0" collapsed="false">
      <c r="A248" s="3" t="s">
        <v>474</v>
      </c>
      <c r="B248" s="3" t="s">
        <v>107</v>
      </c>
      <c r="C248" s="3" t="s">
        <v>67</v>
      </c>
      <c r="D248" s="3" t="s">
        <v>540</v>
      </c>
      <c r="E248" s="3" t="s">
        <v>541</v>
      </c>
      <c r="F248" s="3" t="s">
        <v>105</v>
      </c>
      <c r="G248" s="3" t="s">
        <v>542</v>
      </c>
      <c r="H248" s="3" t="n">
        <v>4</v>
      </c>
      <c r="I248" s="4" t="n">
        <v>130000</v>
      </c>
      <c r="J248" s="5" t="n">
        <v>6</v>
      </c>
      <c r="K248" s="6" t="n">
        <f aca="false">IF(J248=0,0,I248/J248)</f>
        <v>21666.6666666667</v>
      </c>
      <c r="L248" s="4"/>
      <c r="M248" s="3" t="s">
        <v>543</v>
      </c>
      <c r="N248" s="3" t="s">
        <v>479</v>
      </c>
    </row>
    <row r="249" customFormat="false" ht="15" hidden="false" customHeight="false" outlineLevel="0" collapsed="false">
      <c r="A249" s="3" t="s">
        <v>474</v>
      </c>
      <c r="B249" s="3" t="s">
        <v>107</v>
      </c>
      <c r="C249" s="3" t="s">
        <v>16</v>
      </c>
      <c r="D249" s="3" t="s">
        <v>528</v>
      </c>
      <c r="E249" s="3" t="s">
        <v>529</v>
      </c>
      <c r="F249" s="3" t="s">
        <v>44</v>
      </c>
      <c r="G249" s="3" t="s">
        <v>530</v>
      </c>
      <c r="H249" s="3" t="n">
        <v>2</v>
      </c>
      <c r="I249" s="4" t="n">
        <v>160000</v>
      </c>
      <c r="J249" s="5" t="n">
        <v>4</v>
      </c>
      <c r="K249" s="6" t="n">
        <f aca="false">IF(J249=0,0,I249/J249)</f>
        <v>40000</v>
      </c>
      <c r="L249" s="4"/>
      <c r="M249" s="3" t="s">
        <v>544</v>
      </c>
      <c r="N249" s="3" t="s">
        <v>479</v>
      </c>
    </row>
    <row r="250" customFormat="false" ht="15" hidden="false" customHeight="false" outlineLevel="0" collapsed="false">
      <c r="A250" s="3" t="s">
        <v>474</v>
      </c>
      <c r="B250" s="3" t="s">
        <v>107</v>
      </c>
      <c r="C250" s="3" t="s">
        <v>32</v>
      </c>
      <c r="D250" s="3" t="s">
        <v>516</v>
      </c>
      <c r="E250" s="3" t="s">
        <v>517</v>
      </c>
      <c r="F250" s="3" t="s">
        <v>518</v>
      </c>
      <c r="G250" s="3" t="s">
        <v>519</v>
      </c>
      <c r="H250" s="3" t="n">
        <v>13</v>
      </c>
      <c r="I250" s="4" t="n">
        <v>300000</v>
      </c>
      <c r="J250" s="5" t="n">
        <v>6</v>
      </c>
      <c r="K250" s="6" t="n">
        <f aca="false">IF(J250=0,0,I250/J250)</f>
        <v>50000</v>
      </c>
      <c r="L250" s="4"/>
      <c r="M250" s="3" t="s">
        <v>545</v>
      </c>
      <c r="N250" s="3" t="s">
        <v>479</v>
      </c>
    </row>
    <row r="251" customFormat="false" ht="15" hidden="false" customHeight="false" outlineLevel="0" collapsed="false">
      <c r="A251" s="3" t="s">
        <v>474</v>
      </c>
      <c r="B251" s="3" t="s">
        <v>107</v>
      </c>
      <c r="C251" s="3" t="s">
        <v>32</v>
      </c>
      <c r="D251" s="3" t="s">
        <v>516</v>
      </c>
      <c r="E251" s="3" t="s">
        <v>524</v>
      </c>
      <c r="F251" s="3" t="s">
        <v>44</v>
      </c>
      <c r="G251" s="3" t="s">
        <v>525</v>
      </c>
      <c r="H251" s="3" t="n">
        <v>6</v>
      </c>
      <c r="I251" s="4" t="n">
        <v>100000</v>
      </c>
      <c r="J251" s="5" t="n">
        <v>9</v>
      </c>
      <c r="K251" s="6" t="n">
        <f aca="false">IF(J251=0,0,I251/J251)</f>
        <v>11111.1111111111</v>
      </c>
      <c r="L251" s="4"/>
      <c r="M251" s="3" t="s">
        <v>546</v>
      </c>
      <c r="N251" s="3" t="s">
        <v>479</v>
      </c>
    </row>
    <row r="252" customFormat="false" ht="15" hidden="false" customHeight="false" outlineLevel="0" collapsed="false">
      <c r="A252" s="3" t="s">
        <v>474</v>
      </c>
      <c r="B252" s="3" t="s">
        <v>107</v>
      </c>
      <c r="C252" s="3" t="s">
        <v>32</v>
      </c>
      <c r="D252" s="3" t="s">
        <v>547</v>
      </c>
      <c r="E252" s="3" t="s">
        <v>548</v>
      </c>
      <c r="F252" s="3" t="s">
        <v>105</v>
      </c>
      <c r="G252" s="3" t="s">
        <v>59</v>
      </c>
      <c r="H252" s="3" t="n">
        <v>2</v>
      </c>
      <c r="I252" s="4" t="n">
        <v>50000</v>
      </c>
      <c r="J252" s="5" t="n">
        <v>2</v>
      </c>
      <c r="K252" s="6" t="n">
        <f aca="false">IF(J252=0,0,I252/J252)</f>
        <v>25000</v>
      </c>
      <c r="L252" s="4"/>
      <c r="M252" s="3" t="s">
        <v>549</v>
      </c>
      <c r="N252" s="3" t="s">
        <v>479</v>
      </c>
    </row>
    <row r="253" customFormat="false" ht="15" hidden="false" customHeight="false" outlineLevel="0" collapsed="false">
      <c r="A253" s="3" t="s">
        <v>474</v>
      </c>
      <c r="B253" s="3" t="s">
        <v>107</v>
      </c>
      <c r="C253" s="3" t="s">
        <v>32</v>
      </c>
      <c r="D253" s="3" t="s">
        <v>547</v>
      </c>
      <c r="E253" s="3" t="s">
        <v>550</v>
      </c>
      <c r="F253" s="3" t="s">
        <v>44</v>
      </c>
      <c r="G253" s="3" t="s">
        <v>59</v>
      </c>
      <c r="H253" s="3" t="n">
        <v>3</v>
      </c>
      <c r="I253" s="4" t="n">
        <v>150000</v>
      </c>
      <c r="J253" s="5" t="n">
        <v>2</v>
      </c>
      <c r="K253" s="6" t="n">
        <f aca="false">IF(J253=0,0,I253/J253)</f>
        <v>75000</v>
      </c>
      <c r="L253" s="4"/>
      <c r="M253" s="3" t="s">
        <v>551</v>
      </c>
      <c r="N253" s="3" t="s">
        <v>479</v>
      </c>
    </row>
    <row r="254" customFormat="false" ht="15" hidden="false" customHeight="false" outlineLevel="0" collapsed="false">
      <c r="A254" s="3" t="s">
        <v>474</v>
      </c>
      <c r="B254" s="3" t="s">
        <v>107</v>
      </c>
      <c r="C254" s="3" t="s">
        <v>32</v>
      </c>
      <c r="D254" s="3" t="s">
        <v>547</v>
      </c>
      <c r="E254" s="3" t="s">
        <v>552</v>
      </c>
      <c r="F254" s="3" t="s">
        <v>553</v>
      </c>
      <c r="G254" s="3" t="s">
        <v>59</v>
      </c>
      <c r="H254" s="3" t="n">
        <v>2</v>
      </c>
      <c r="I254" s="4" t="n">
        <v>0</v>
      </c>
      <c r="J254" s="5" t="n">
        <v>2</v>
      </c>
      <c r="K254" s="6" t="n">
        <f aca="false">IF(J254=0,0,I254/J254)</f>
        <v>0</v>
      </c>
      <c r="L254" s="4"/>
      <c r="M254" s="3"/>
      <c r="N254" s="3" t="s">
        <v>479</v>
      </c>
    </row>
    <row r="255" customFormat="false" ht="15" hidden="false" customHeight="false" outlineLevel="0" collapsed="false">
      <c r="A255" s="3" t="s">
        <v>474</v>
      </c>
      <c r="B255" s="3" t="s">
        <v>219</v>
      </c>
      <c r="C255" s="3" t="s">
        <v>16</v>
      </c>
      <c r="D255" s="3" t="s">
        <v>487</v>
      </c>
      <c r="E255" s="3" t="s">
        <v>488</v>
      </c>
      <c r="F255" s="3" t="s">
        <v>44</v>
      </c>
      <c r="G255" s="3" t="s">
        <v>489</v>
      </c>
      <c r="H255" s="3" t="n">
        <v>5</v>
      </c>
      <c r="I255" s="4" t="n">
        <v>305000</v>
      </c>
      <c r="J255" s="5" t="n">
        <v>7</v>
      </c>
      <c r="K255" s="6" t="n">
        <f aca="false">IF(J255=0,0,I255/J255)</f>
        <v>43571.4285714286</v>
      </c>
      <c r="L255" s="4"/>
      <c r="M255" s="3" t="s">
        <v>554</v>
      </c>
      <c r="N255" s="3" t="s">
        <v>479</v>
      </c>
    </row>
    <row r="256" customFormat="false" ht="15" hidden="false" customHeight="false" outlineLevel="0" collapsed="false">
      <c r="A256" s="3" t="s">
        <v>474</v>
      </c>
      <c r="B256" s="3" t="s">
        <v>220</v>
      </c>
      <c r="C256" s="3" t="s">
        <v>41</v>
      </c>
      <c r="D256" s="3" t="s">
        <v>475</v>
      </c>
      <c r="E256" s="3" t="s">
        <v>480</v>
      </c>
      <c r="F256" s="3" t="s">
        <v>44</v>
      </c>
      <c r="G256" s="3" t="s">
        <v>481</v>
      </c>
      <c r="H256" s="3" t="n">
        <v>8</v>
      </c>
      <c r="I256" s="4" t="n">
        <v>325000</v>
      </c>
      <c r="J256" s="5" t="n">
        <v>10</v>
      </c>
      <c r="K256" s="6" t="n">
        <f aca="false">IF(J256=0,0,I256/J256)</f>
        <v>32500</v>
      </c>
      <c r="L256" s="4"/>
      <c r="M256" s="3" t="s">
        <v>555</v>
      </c>
      <c r="N256" s="3" t="s">
        <v>479</v>
      </c>
    </row>
    <row r="257" customFormat="false" ht="15" hidden="false" customHeight="false" outlineLevel="0" collapsed="false">
      <c r="A257" s="3" t="s">
        <v>474</v>
      </c>
      <c r="B257" s="3" t="s">
        <v>220</v>
      </c>
      <c r="C257" s="3" t="s">
        <v>41</v>
      </c>
      <c r="D257" s="3" t="s">
        <v>499</v>
      </c>
      <c r="E257" s="3" t="s">
        <v>500</v>
      </c>
      <c r="F257" s="3" t="s">
        <v>501</v>
      </c>
      <c r="G257" s="3" t="s">
        <v>502</v>
      </c>
      <c r="H257" s="3" t="n">
        <v>2500</v>
      </c>
      <c r="I257" s="4" t="n">
        <v>100000</v>
      </c>
      <c r="J257" s="5" t="n">
        <v>5</v>
      </c>
      <c r="K257" s="6" t="n">
        <f aca="false">IF(J257=0,0,I257/J257)</f>
        <v>20000</v>
      </c>
      <c r="L257" s="4"/>
      <c r="M257" s="3" t="s">
        <v>556</v>
      </c>
      <c r="N257" s="3" t="s">
        <v>479</v>
      </c>
    </row>
    <row r="258" customFormat="false" ht="15" hidden="false" customHeight="false" outlineLevel="0" collapsed="false">
      <c r="A258" s="3" t="s">
        <v>474</v>
      </c>
      <c r="B258" s="3" t="s">
        <v>220</v>
      </c>
      <c r="C258" s="3" t="s">
        <v>41</v>
      </c>
      <c r="D258" s="3" t="s">
        <v>499</v>
      </c>
      <c r="E258" s="3" t="s">
        <v>504</v>
      </c>
      <c r="F258" s="3" t="s">
        <v>505</v>
      </c>
      <c r="G258" s="3" t="s">
        <v>506</v>
      </c>
      <c r="H258" s="3" t="n">
        <v>10</v>
      </c>
      <c r="I258" s="4" t="n">
        <v>50000</v>
      </c>
      <c r="J258" s="5" t="n">
        <v>4</v>
      </c>
      <c r="K258" s="6" t="n">
        <f aca="false">IF(J258=0,0,I258/J258)</f>
        <v>12500</v>
      </c>
      <c r="L258" s="4"/>
      <c r="M258" s="3" t="s">
        <v>557</v>
      </c>
      <c r="N258" s="3" t="s">
        <v>479</v>
      </c>
    </row>
    <row r="259" customFormat="false" ht="15" hidden="false" customHeight="false" outlineLevel="0" collapsed="false">
      <c r="A259" s="3" t="s">
        <v>474</v>
      </c>
      <c r="B259" s="3" t="s">
        <v>220</v>
      </c>
      <c r="C259" s="3" t="s">
        <v>67</v>
      </c>
      <c r="D259" s="3" t="s">
        <v>483</v>
      </c>
      <c r="E259" s="3" t="s">
        <v>484</v>
      </c>
      <c r="F259" s="3" t="s">
        <v>44</v>
      </c>
      <c r="G259" s="3" t="s">
        <v>485</v>
      </c>
      <c r="H259" s="3" t="n">
        <v>6</v>
      </c>
      <c r="I259" s="4" t="n">
        <v>101250</v>
      </c>
      <c r="J259" s="5" t="n">
        <v>9</v>
      </c>
      <c r="K259" s="6" t="n">
        <f aca="false">IF(J259=0,0,I259/J259)</f>
        <v>11250</v>
      </c>
      <c r="L259" s="4"/>
      <c r="M259" s="3" t="s">
        <v>558</v>
      </c>
      <c r="N259" s="3" t="s">
        <v>479</v>
      </c>
    </row>
    <row r="260" customFormat="false" ht="15" hidden="false" customHeight="false" outlineLevel="0" collapsed="false">
      <c r="A260" s="3" t="s">
        <v>474</v>
      </c>
      <c r="B260" s="3" t="s">
        <v>220</v>
      </c>
      <c r="C260" s="3" t="s">
        <v>67</v>
      </c>
      <c r="D260" s="3" t="s">
        <v>540</v>
      </c>
      <c r="E260" s="3" t="s">
        <v>541</v>
      </c>
      <c r="F260" s="3" t="s">
        <v>105</v>
      </c>
      <c r="G260" s="3" t="s">
        <v>542</v>
      </c>
      <c r="H260" s="3" t="n">
        <v>2</v>
      </c>
      <c r="I260" s="4" t="n">
        <v>61250</v>
      </c>
      <c r="J260" s="5" t="n">
        <v>6</v>
      </c>
      <c r="K260" s="6" t="n">
        <f aca="false">IF(J260=0,0,I260/J260)</f>
        <v>10208.3333333333</v>
      </c>
      <c r="L260" s="4"/>
      <c r="M260" s="3" t="s">
        <v>559</v>
      </c>
      <c r="N260" s="3" t="s">
        <v>479</v>
      </c>
    </row>
    <row r="261" customFormat="false" ht="15" hidden="false" customHeight="false" outlineLevel="0" collapsed="false">
      <c r="A261" s="3" t="s">
        <v>474</v>
      </c>
      <c r="B261" s="3" t="s">
        <v>220</v>
      </c>
      <c r="C261" s="3" t="s">
        <v>16</v>
      </c>
      <c r="D261" s="3" t="s">
        <v>508</v>
      </c>
      <c r="E261" s="3" t="s">
        <v>509</v>
      </c>
      <c r="F261" s="3" t="s">
        <v>44</v>
      </c>
      <c r="G261" s="3" t="s">
        <v>510</v>
      </c>
      <c r="H261" s="3" t="n">
        <v>7</v>
      </c>
      <c r="I261" s="4" t="n">
        <v>150000</v>
      </c>
      <c r="J261" s="5" t="n">
        <v>6</v>
      </c>
      <c r="K261" s="6" t="n">
        <f aca="false">IF(J261=0,0,I261/J261)</f>
        <v>25000</v>
      </c>
      <c r="L261" s="4"/>
      <c r="M261" s="3" t="s">
        <v>560</v>
      </c>
      <c r="N261" s="3" t="s">
        <v>479</v>
      </c>
    </row>
    <row r="262" customFormat="false" ht="15" hidden="false" customHeight="false" outlineLevel="0" collapsed="false">
      <c r="A262" s="3" t="s">
        <v>474</v>
      </c>
      <c r="B262" s="3" t="s">
        <v>220</v>
      </c>
      <c r="C262" s="3" t="s">
        <v>16</v>
      </c>
      <c r="D262" s="3" t="s">
        <v>487</v>
      </c>
      <c r="E262" s="3" t="s">
        <v>488</v>
      </c>
      <c r="F262" s="3" t="s">
        <v>44</v>
      </c>
      <c r="G262" s="3" t="s">
        <v>489</v>
      </c>
      <c r="H262" s="3" t="n">
        <v>2</v>
      </c>
      <c r="I262" s="4" t="n">
        <v>75000</v>
      </c>
      <c r="J262" s="5" t="n">
        <v>7</v>
      </c>
      <c r="K262" s="6" t="n">
        <f aca="false">IF(J262=0,0,I262/J262)</f>
        <v>10714.2857142857</v>
      </c>
      <c r="L262" s="4"/>
      <c r="M262" s="3" t="s">
        <v>561</v>
      </c>
      <c r="N262" s="3" t="s">
        <v>479</v>
      </c>
    </row>
    <row r="263" customFormat="false" ht="15" hidden="false" customHeight="false" outlineLevel="0" collapsed="false">
      <c r="A263" s="3" t="s">
        <v>474</v>
      </c>
      <c r="B263" s="3" t="s">
        <v>220</v>
      </c>
      <c r="C263" s="3" t="s">
        <v>32</v>
      </c>
      <c r="D263" s="3" t="s">
        <v>516</v>
      </c>
      <c r="E263" s="3" t="s">
        <v>521</v>
      </c>
      <c r="F263" s="3" t="s">
        <v>105</v>
      </c>
      <c r="G263" s="3" t="s">
        <v>522</v>
      </c>
      <c r="H263" s="3" t="n">
        <v>1</v>
      </c>
      <c r="I263" s="4" t="n">
        <v>30000</v>
      </c>
      <c r="J263" s="5" t="n">
        <v>7</v>
      </c>
      <c r="K263" s="6" t="n">
        <f aca="false">IF(J263=0,0,I263/J263)</f>
        <v>4285.71428571429</v>
      </c>
      <c r="L263" s="4"/>
      <c r="M263" s="3" t="s">
        <v>562</v>
      </c>
      <c r="N263" s="3" t="s">
        <v>479</v>
      </c>
    </row>
    <row r="264" customFormat="false" ht="15" hidden="false" customHeight="false" outlineLevel="0" collapsed="false">
      <c r="A264" s="3" t="s">
        <v>474</v>
      </c>
      <c r="B264" s="3" t="s">
        <v>124</v>
      </c>
      <c r="C264" s="3" t="s">
        <v>41</v>
      </c>
      <c r="D264" s="3" t="s">
        <v>475</v>
      </c>
      <c r="E264" s="3" t="s">
        <v>476</v>
      </c>
      <c r="F264" s="3" t="s">
        <v>105</v>
      </c>
      <c r="G264" s="3" t="s">
        <v>477</v>
      </c>
      <c r="H264" s="3" t="n">
        <v>1</v>
      </c>
      <c r="I264" s="4" t="n">
        <v>0</v>
      </c>
      <c r="J264" s="5" t="n">
        <v>10</v>
      </c>
      <c r="K264" s="6" t="n">
        <f aca="false">IF(J264=0,0,I264/J264)</f>
        <v>0</v>
      </c>
      <c r="L264" s="4"/>
      <c r="M264" s="3"/>
      <c r="N264" s="3" t="s">
        <v>479</v>
      </c>
    </row>
    <row r="265" customFormat="false" ht="15" hidden="false" customHeight="false" outlineLevel="0" collapsed="false">
      <c r="A265" s="3" t="s">
        <v>474</v>
      </c>
      <c r="B265" s="3" t="s">
        <v>124</v>
      </c>
      <c r="C265" s="3" t="s">
        <v>41</v>
      </c>
      <c r="D265" s="3" t="s">
        <v>475</v>
      </c>
      <c r="E265" s="3" t="s">
        <v>480</v>
      </c>
      <c r="F265" s="3" t="s">
        <v>44</v>
      </c>
      <c r="G265" s="3" t="s">
        <v>481</v>
      </c>
      <c r="H265" s="3" t="n">
        <v>1</v>
      </c>
      <c r="I265" s="4" t="n">
        <v>100000</v>
      </c>
      <c r="J265" s="5" t="n">
        <v>10</v>
      </c>
      <c r="K265" s="6" t="n">
        <f aca="false">IF(J265=0,0,I265/J265)</f>
        <v>10000</v>
      </c>
      <c r="L265" s="4"/>
      <c r="M265" s="3" t="s">
        <v>563</v>
      </c>
      <c r="N265" s="3" t="s">
        <v>479</v>
      </c>
    </row>
    <row r="266" customFormat="false" ht="15" hidden="false" customHeight="false" outlineLevel="0" collapsed="false">
      <c r="A266" s="3" t="s">
        <v>474</v>
      </c>
      <c r="B266" s="3" t="s">
        <v>124</v>
      </c>
      <c r="C266" s="3" t="s">
        <v>67</v>
      </c>
      <c r="D266" s="3" t="s">
        <v>540</v>
      </c>
      <c r="E266" s="3" t="s">
        <v>541</v>
      </c>
      <c r="F266" s="3" t="s">
        <v>105</v>
      </c>
      <c r="G266" s="3" t="s">
        <v>542</v>
      </c>
      <c r="H266" s="3" t="n">
        <v>5</v>
      </c>
      <c r="I266" s="4" t="n">
        <v>335294</v>
      </c>
      <c r="J266" s="5" t="n">
        <v>6</v>
      </c>
      <c r="K266" s="6" t="n">
        <f aca="false">IF(J266=0,0,I266/J266)</f>
        <v>55882.3333333333</v>
      </c>
      <c r="L266" s="4"/>
      <c r="M266" s="3" t="s">
        <v>564</v>
      </c>
      <c r="N266" s="3" t="s">
        <v>479</v>
      </c>
    </row>
    <row r="267" customFormat="false" ht="15" hidden="false" customHeight="false" outlineLevel="0" collapsed="false">
      <c r="A267" s="3" t="s">
        <v>474</v>
      </c>
      <c r="B267" s="3" t="s">
        <v>124</v>
      </c>
      <c r="C267" s="3" t="s">
        <v>67</v>
      </c>
      <c r="D267" s="3" t="s">
        <v>565</v>
      </c>
      <c r="E267" s="3" t="s">
        <v>566</v>
      </c>
      <c r="F267" s="3" t="s">
        <v>567</v>
      </c>
      <c r="G267" s="3" t="s">
        <v>568</v>
      </c>
      <c r="H267" s="3" t="n">
        <v>8</v>
      </c>
      <c r="I267" s="4" t="n">
        <v>50000</v>
      </c>
      <c r="J267" s="5" t="n">
        <v>4</v>
      </c>
      <c r="K267" s="6" t="n">
        <f aca="false">IF(J267=0,0,I267/J267)</f>
        <v>12500</v>
      </c>
      <c r="L267" s="4"/>
      <c r="M267" s="3" t="s">
        <v>569</v>
      </c>
      <c r="N267" s="3" t="s">
        <v>479</v>
      </c>
    </row>
    <row r="268" customFormat="false" ht="15" hidden="false" customHeight="false" outlineLevel="0" collapsed="false">
      <c r="A268" s="3" t="s">
        <v>474</v>
      </c>
      <c r="B268" s="3" t="s">
        <v>124</v>
      </c>
      <c r="C268" s="3" t="s">
        <v>16</v>
      </c>
      <c r="D268" s="3" t="s">
        <v>508</v>
      </c>
      <c r="E268" s="3" t="s">
        <v>509</v>
      </c>
      <c r="F268" s="3" t="s">
        <v>44</v>
      </c>
      <c r="G268" s="3" t="s">
        <v>510</v>
      </c>
      <c r="H268" s="3" t="n">
        <v>2</v>
      </c>
      <c r="I268" s="4" t="n">
        <v>120000</v>
      </c>
      <c r="J268" s="5" t="n">
        <v>6</v>
      </c>
      <c r="K268" s="6" t="n">
        <f aca="false">IF(J268=0,0,I268/J268)</f>
        <v>20000</v>
      </c>
      <c r="L268" s="4"/>
      <c r="M268" s="3" t="s">
        <v>570</v>
      </c>
      <c r="N268" s="3" t="s">
        <v>479</v>
      </c>
    </row>
    <row r="269" customFormat="false" ht="15" hidden="false" customHeight="false" outlineLevel="0" collapsed="false">
      <c r="A269" s="3" t="s">
        <v>474</v>
      </c>
      <c r="B269" s="3" t="s">
        <v>124</v>
      </c>
      <c r="C269" s="3" t="s">
        <v>16</v>
      </c>
      <c r="D269" s="3" t="s">
        <v>571</v>
      </c>
      <c r="E269" s="3" t="s">
        <v>572</v>
      </c>
      <c r="F269" s="3" t="s">
        <v>44</v>
      </c>
      <c r="G269" s="3" t="s">
        <v>573</v>
      </c>
      <c r="H269" s="3" t="n">
        <v>0</v>
      </c>
      <c r="I269" s="4" t="n">
        <v>0</v>
      </c>
      <c r="J269" s="5" t="n">
        <v>15</v>
      </c>
      <c r="K269" s="6" t="n">
        <f aca="false">IF(J269=0,0,I269/J269)</f>
        <v>0</v>
      </c>
      <c r="L269" s="4"/>
      <c r="M269" s="3"/>
      <c r="N269" s="3" t="s">
        <v>479</v>
      </c>
    </row>
    <row r="270" customFormat="false" ht="15" hidden="false" customHeight="false" outlineLevel="0" collapsed="false">
      <c r="A270" s="3" t="s">
        <v>474</v>
      </c>
      <c r="B270" s="3" t="s">
        <v>124</v>
      </c>
      <c r="C270" s="3" t="s">
        <v>16</v>
      </c>
      <c r="D270" s="3" t="s">
        <v>571</v>
      </c>
      <c r="E270" s="3" t="s">
        <v>574</v>
      </c>
      <c r="F270" s="3" t="s">
        <v>518</v>
      </c>
      <c r="G270" s="3" t="s">
        <v>575</v>
      </c>
      <c r="H270" s="3" t="n">
        <v>0</v>
      </c>
      <c r="I270" s="4" t="n">
        <v>0</v>
      </c>
      <c r="J270" s="5" t="n">
        <v>15</v>
      </c>
      <c r="K270" s="6" t="n">
        <f aca="false">IF(J270=0,0,I270/J270)</f>
        <v>0</v>
      </c>
      <c r="L270" s="4"/>
      <c r="M270" s="3"/>
      <c r="N270" s="3" t="s">
        <v>479</v>
      </c>
    </row>
    <row r="271" customFormat="false" ht="15" hidden="false" customHeight="false" outlineLevel="0" collapsed="false">
      <c r="A271" s="3" t="s">
        <v>474</v>
      </c>
      <c r="B271" s="3" t="s">
        <v>124</v>
      </c>
      <c r="C271" s="3" t="s">
        <v>16</v>
      </c>
      <c r="D271" s="3" t="s">
        <v>487</v>
      </c>
      <c r="E271" s="3" t="s">
        <v>488</v>
      </c>
      <c r="F271" s="3" t="s">
        <v>44</v>
      </c>
      <c r="G271" s="3" t="s">
        <v>489</v>
      </c>
      <c r="H271" s="3" t="n">
        <v>3</v>
      </c>
      <c r="I271" s="4" t="n">
        <v>205000</v>
      </c>
      <c r="J271" s="5" t="n">
        <v>7</v>
      </c>
      <c r="K271" s="6" t="n">
        <f aca="false">IF(J271=0,0,I271/J271)</f>
        <v>29285.7142857143</v>
      </c>
      <c r="L271" s="4"/>
      <c r="M271" s="3" t="s">
        <v>576</v>
      </c>
      <c r="N271" s="3" t="s">
        <v>479</v>
      </c>
    </row>
    <row r="272" customFormat="false" ht="15" hidden="false" customHeight="false" outlineLevel="0" collapsed="false">
      <c r="A272" s="3" t="s">
        <v>474</v>
      </c>
      <c r="B272" s="3" t="s">
        <v>231</v>
      </c>
      <c r="C272" s="3" t="s">
        <v>41</v>
      </c>
      <c r="D272" s="3" t="s">
        <v>475</v>
      </c>
      <c r="E272" s="3" t="s">
        <v>577</v>
      </c>
      <c r="F272" s="3" t="s">
        <v>29</v>
      </c>
      <c r="G272" s="3" t="s">
        <v>578</v>
      </c>
      <c r="H272" s="3" t="n">
        <v>500</v>
      </c>
      <c r="I272" s="4" t="n">
        <v>53181</v>
      </c>
      <c r="J272" s="5" t="n">
        <v>6</v>
      </c>
      <c r="K272" s="6" t="n">
        <f aca="false">IF(J272=0,0,I272/J272)</f>
        <v>8863.5</v>
      </c>
      <c r="L272" s="4"/>
      <c r="M272" s="3" t="s">
        <v>579</v>
      </c>
      <c r="N272" s="3" t="s">
        <v>479</v>
      </c>
    </row>
    <row r="273" customFormat="false" ht="15" hidden="false" customHeight="false" outlineLevel="0" collapsed="false">
      <c r="A273" s="3" t="s">
        <v>474</v>
      </c>
      <c r="B273" s="3" t="s">
        <v>231</v>
      </c>
      <c r="C273" s="3" t="s">
        <v>41</v>
      </c>
      <c r="D273" s="3" t="s">
        <v>475</v>
      </c>
      <c r="E273" s="3" t="s">
        <v>580</v>
      </c>
      <c r="F273" s="3" t="s">
        <v>105</v>
      </c>
      <c r="G273" s="3" t="s">
        <v>581</v>
      </c>
      <c r="H273" s="3" t="n">
        <v>10</v>
      </c>
      <c r="I273" s="4" t="n">
        <v>230452</v>
      </c>
      <c r="J273" s="5" t="n">
        <v>6</v>
      </c>
      <c r="K273" s="6" t="n">
        <f aca="false">IF(J273=0,0,I273/J273)</f>
        <v>38408.6666666667</v>
      </c>
      <c r="L273" s="4"/>
      <c r="M273" s="3" t="s">
        <v>582</v>
      </c>
      <c r="N273" s="3" t="s">
        <v>479</v>
      </c>
    </row>
    <row r="274" customFormat="false" ht="15" hidden="false" customHeight="false" outlineLevel="0" collapsed="false">
      <c r="A274" s="3" t="s">
        <v>474</v>
      </c>
      <c r="B274" s="3" t="s">
        <v>231</v>
      </c>
      <c r="C274" s="3" t="s">
        <v>41</v>
      </c>
      <c r="D274" s="3" t="s">
        <v>475</v>
      </c>
      <c r="E274" s="3" t="s">
        <v>583</v>
      </c>
      <c r="F274" s="3" t="s">
        <v>44</v>
      </c>
      <c r="G274" s="3" t="s">
        <v>584</v>
      </c>
      <c r="H274" s="3" t="n">
        <v>6</v>
      </c>
      <c r="I274" s="4" t="n">
        <v>70908</v>
      </c>
      <c r="J274" s="5" t="n">
        <v>6</v>
      </c>
      <c r="K274" s="6" t="n">
        <f aca="false">IF(J274=0,0,I274/J274)</f>
        <v>11818</v>
      </c>
      <c r="L274" s="4"/>
      <c r="M274" s="3" t="s">
        <v>579</v>
      </c>
      <c r="N274" s="3" t="s">
        <v>479</v>
      </c>
    </row>
    <row r="275" customFormat="false" ht="15" hidden="false" customHeight="false" outlineLevel="0" collapsed="false">
      <c r="A275" s="3" t="s">
        <v>474</v>
      </c>
      <c r="B275" s="3" t="s">
        <v>231</v>
      </c>
      <c r="C275" s="3" t="s">
        <v>41</v>
      </c>
      <c r="D275" s="3" t="s">
        <v>475</v>
      </c>
      <c r="E275" s="3" t="s">
        <v>476</v>
      </c>
      <c r="F275" s="3" t="s">
        <v>105</v>
      </c>
      <c r="G275" s="3" t="s">
        <v>477</v>
      </c>
      <c r="H275" s="3" t="n">
        <v>2</v>
      </c>
      <c r="I275" s="4" t="n">
        <v>20000</v>
      </c>
      <c r="J275" s="5" t="n">
        <v>10</v>
      </c>
      <c r="K275" s="6" t="n">
        <f aca="false">IF(J275=0,0,I275/J275)</f>
        <v>2000</v>
      </c>
      <c r="L275" s="4"/>
      <c r="M275" s="3" t="s">
        <v>585</v>
      </c>
      <c r="N275" s="3" t="s">
        <v>479</v>
      </c>
    </row>
    <row r="276" customFormat="false" ht="15" hidden="false" customHeight="false" outlineLevel="0" collapsed="false">
      <c r="A276" s="3" t="s">
        <v>474</v>
      </c>
      <c r="B276" s="3" t="s">
        <v>231</v>
      </c>
      <c r="C276" s="3" t="s">
        <v>41</v>
      </c>
      <c r="D276" s="3" t="s">
        <v>475</v>
      </c>
      <c r="E276" s="3" t="s">
        <v>480</v>
      </c>
      <c r="F276" s="3" t="s">
        <v>44</v>
      </c>
      <c r="G276" s="3" t="s">
        <v>481</v>
      </c>
      <c r="H276" s="3" t="n">
        <v>2</v>
      </c>
      <c r="I276" s="4" t="n">
        <v>74000</v>
      </c>
      <c r="J276" s="5" t="n">
        <v>10</v>
      </c>
      <c r="K276" s="6" t="n">
        <f aca="false">IF(J276=0,0,I276/J276)</f>
        <v>7400</v>
      </c>
      <c r="L276" s="4"/>
      <c r="M276" s="3" t="s">
        <v>586</v>
      </c>
      <c r="N276" s="3" t="s">
        <v>479</v>
      </c>
    </row>
    <row r="277" customFormat="false" ht="15" hidden="false" customHeight="false" outlineLevel="0" collapsed="false">
      <c r="A277" s="3" t="s">
        <v>474</v>
      </c>
      <c r="B277" s="3" t="s">
        <v>231</v>
      </c>
      <c r="C277" s="3" t="s">
        <v>41</v>
      </c>
      <c r="D277" s="3" t="s">
        <v>492</v>
      </c>
      <c r="E277" s="3" t="s">
        <v>493</v>
      </c>
      <c r="F277" s="3" t="s">
        <v>44</v>
      </c>
      <c r="G277" s="3" t="s">
        <v>494</v>
      </c>
      <c r="H277" s="3" t="n">
        <v>1</v>
      </c>
      <c r="I277" s="4" t="n">
        <v>80000</v>
      </c>
      <c r="J277" s="5" t="n">
        <v>5</v>
      </c>
      <c r="K277" s="6" t="n">
        <f aca="false">IF(J277=0,0,I277/J277)</f>
        <v>16000</v>
      </c>
      <c r="L277" s="4"/>
      <c r="M277" s="3" t="s">
        <v>587</v>
      </c>
      <c r="N277" s="3" t="s">
        <v>479</v>
      </c>
    </row>
    <row r="278" customFormat="false" ht="15" hidden="false" customHeight="false" outlineLevel="0" collapsed="false">
      <c r="A278" s="3" t="s">
        <v>474</v>
      </c>
      <c r="B278" s="3" t="s">
        <v>231</v>
      </c>
      <c r="C278" s="3" t="s">
        <v>41</v>
      </c>
      <c r="D278" s="3" t="s">
        <v>499</v>
      </c>
      <c r="E278" s="3" t="s">
        <v>500</v>
      </c>
      <c r="F278" s="3" t="s">
        <v>501</v>
      </c>
      <c r="G278" s="3" t="s">
        <v>502</v>
      </c>
      <c r="H278" s="3" t="n">
        <v>8</v>
      </c>
      <c r="I278" s="4" t="n">
        <v>30000</v>
      </c>
      <c r="J278" s="5" t="n">
        <v>5</v>
      </c>
      <c r="K278" s="6" t="n">
        <f aca="false">IF(J278=0,0,I278/J278)</f>
        <v>6000</v>
      </c>
      <c r="L278" s="4"/>
      <c r="M278" s="3" t="s">
        <v>588</v>
      </c>
      <c r="N278" s="3" t="s">
        <v>479</v>
      </c>
    </row>
    <row r="279" customFormat="false" ht="15" hidden="false" customHeight="false" outlineLevel="0" collapsed="false">
      <c r="A279" s="3" t="s">
        <v>474</v>
      </c>
      <c r="B279" s="3" t="s">
        <v>231</v>
      </c>
      <c r="C279" s="3" t="s">
        <v>41</v>
      </c>
      <c r="D279" s="3" t="s">
        <v>499</v>
      </c>
      <c r="E279" s="3" t="s">
        <v>504</v>
      </c>
      <c r="F279" s="3" t="s">
        <v>505</v>
      </c>
      <c r="G279" s="3" t="s">
        <v>506</v>
      </c>
      <c r="H279" s="3" t="n">
        <v>2</v>
      </c>
      <c r="I279" s="4" t="n">
        <v>50000</v>
      </c>
      <c r="J279" s="5" t="n">
        <v>4</v>
      </c>
      <c r="K279" s="6" t="n">
        <f aca="false">IF(J279=0,0,I279/J279)</f>
        <v>12500</v>
      </c>
      <c r="L279" s="4"/>
      <c r="M279" s="3" t="s">
        <v>589</v>
      </c>
      <c r="N279" s="3" t="s">
        <v>479</v>
      </c>
    </row>
    <row r="280" customFormat="false" ht="15" hidden="false" customHeight="false" outlineLevel="0" collapsed="false">
      <c r="A280" s="3" t="s">
        <v>474</v>
      </c>
      <c r="B280" s="3" t="s">
        <v>231</v>
      </c>
      <c r="C280" s="3" t="s">
        <v>16</v>
      </c>
      <c r="D280" s="3" t="s">
        <v>508</v>
      </c>
      <c r="E280" s="3" t="s">
        <v>509</v>
      </c>
      <c r="F280" s="3" t="s">
        <v>44</v>
      </c>
      <c r="G280" s="3" t="s">
        <v>510</v>
      </c>
      <c r="H280" s="3" t="n">
        <v>1</v>
      </c>
      <c r="I280" s="4" t="n">
        <v>53000</v>
      </c>
      <c r="J280" s="5" t="n">
        <v>6</v>
      </c>
      <c r="K280" s="6" t="n">
        <f aca="false">IF(J280=0,0,I280/J280)</f>
        <v>8833.33333333333</v>
      </c>
      <c r="L280" s="4"/>
      <c r="M280" s="3" t="s">
        <v>590</v>
      </c>
      <c r="N280" s="3" t="s">
        <v>479</v>
      </c>
    </row>
    <row r="281" customFormat="false" ht="15" hidden="false" customHeight="false" outlineLevel="0" collapsed="false">
      <c r="A281" s="3" t="s">
        <v>474</v>
      </c>
      <c r="B281" s="3" t="s">
        <v>231</v>
      </c>
      <c r="C281" s="3" t="s">
        <v>16</v>
      </c>
      <c r="D281" s="3" t="s">
        <v>487</v>
      </c>
      <c r="E281" s="3" t="s">
        <v>488</v>
      </c>
      <c r="F281" s="3" t="s">
        <v>44</v>
      </c>
      <c r="G281" s="3" t="s">
        <v>489</v>
      </c>
      <c r="H281" s="3" t="n">
        <v>4</v>
      </c>
      <c r="I281" s="4" t="n">
        <v>135000</v>
      </c>
      <c r="J281" s="5" t="n">
        <v>7</v>
      </c>
      <c r="K281" s="6" t="n">
        <f aca="false">IF(J281=0,0,I281/J281)</f>
        <v>19285.7142857143</v>
      </c>
      <c r="L281" s="4"/>
      <c r="M281" s="3" t="s">
        <v>591</v>
      </c>
      <c r="N281" s="3" t="s">
        <v>479</v>
      </c>
    </row>
    <row r="282" customFormat="false" ht="15" hidden="false" customHeight="false" outlineLevel="0" collapsed="false">
      <c r="A282" s="3" t="s">
        <v>474</v>
      </c>
      <c r="B282" s="3" t="s">
        <v>231</v>
      </c>
      <c r="C282" s="3" t="s">
        <v>32</v>
      </c>
      <c r="D282" s="3" t="s">
        <v>516</v>
      </c>
      <c r="E282" s="3" t="s">
        <v>517</v>
      </c>
      <c r="F282" s="3" t="s">
        <v>518</v>
      </c>
      <c r="G282" s="3" t="s">
        <v>519</v>
      </c>
      <c r="H282" s="3" t="n">
        <v>5</v>
      </c>
      <c r="I282" s="4" t="n">
        <v>140000</v>
      </c>
      <c r="J282" s="5" t="n">
        <v>6</v>
      </c>
      <c r="K282" s="6" t="n">
        <f aca="false">IF(J282=0,0,I282/J282)</f>
        <v>23333.3333333333</v>
      </c>
      <c r="L282" s="4"/>
      <c r="M282" s="3" t="s">
        <v>592</v>
      </c>
      <c r="N282" s="3" t="s">
        <v>479</v>
      </c>
    </row>
    <row r="283" customFormat="false" ht="15" hidden="false" customHeight="false" outlineLevel="0" collapsed="false">
      <c r="A283" s="3" t="s">
        <v>474</v>
      </c>
      <c r="B283" s="3" t="s">
        <v>231</v>
      </c>
      <c r="C283" s="3" t="s">
        <v>32</v>
      </c>
      <c r="D283" s="3" t="s">
        <v>516</v>
      </c>
      <c r="E283" s="3" t="s">
        <v>521</v>
      </c>
      <c r="F283" s="3" t="s">
        <v>105</v>
      </c>
      <c r="G283" s="3" t="s">
        <v>522</v>
      </c>
      <c r="H283" s="3" t="n">
        <v>5</v>
      </c>
      <c r="I283" s="4" t="n">
        <v>35000</v>
      </c>
      <c r="J283" s="5" t="n">
        <v>7</v>
      </c>
      <c r="K283" s="6" t="n">
        <f aca="false">IF(J283=0,0,I283/J283)</f>
        <v>5000</v>
      </c>
      <c r="L283" s="4"/>
      <c r="M283" s="3" t="s">
        <v>593</v>
      </c>
      <c r="N283" s="3" t="s">
        <v>479</v>
      </c>
    </row>
    <row r="284" customFormat="false" ht="15" hidden="false" customHeight="false" outlineLevel="0" collapsed="false">
      <c r="A284" s="3" t="s">
        <v>474</v>
      </c>
      <c r="B284" s="3" t="s">
        <v>231</v>
      </c>
      <c r="C284" s="3" t="s">
        <v>32</v>
      </c>
      <c r="D284" s="3" t="s">
        <v>516</v>
      </c>
      <c r="E284" s="3" t="s">
        <v>524</v>
      </c>
      <c r="F284" s="3" t="s">
        <v>44</v>
      </c>
      <c r="G284" s="3" t="s">
        <v>525</v>
      </c>
      <c r="H284" s="3" t="n">
        <v>1</v>
      </c>
      <c r="I284" s="4" t="n">
        <v>80000</v>
      </c>
      <c r="J284" s="5" t="n">
        <v>9</v>
      </c>
      <c r="K284" s="6" t="n">
        <f aca="false">IF(J284=0,0,I284/J284)</f>
        <v>8888.88888888889</v>
      </c>
      <c r="L284" s="4"/>
      <c r="M284" s="3" t="s">
        <v>594</v>
      </c>
      <c r="N284" s="3" t="s">
        <v>479</v>
      </c>
    </row>
    <row r="285" customFormat="false" ht="15" hidden="false" customHeight="false" outlineLevel="0" collapsed="false">
      <c r="A285" s="3" t="s">
        <v>474</v>
      </c>
      <c r="B285" s="3" t="s">
        <v>255</v>
      </c>
      <c r="C285" s="3" t="s">
        <v>41</v>
      </c>
      <c r="D285" s="3" t="s">
        <v>475</v>
      </c>
      <c r="E285" s="3" t="s">
        <v>476</v>
      </c>
      <c r="F285" s="3" t="s">
        <v>105</v>
      </c>
      <c r="G285" s="3" t="s">
        <v>477</v>
      </c>
      <c r="H285" s="3" t="n">
        <v>3</v>
      </c>
      <c r="I285" s="4" t="n">
        <v>95000</v>
      </c>
      <c r="J285" s="5" t="n">
        <v>10</v>
      </c>
      <c r="K285" s="6" t="n">
        <f aca="false">IF(J285=0,0,I285/J285)</f>
        <v>9500</v>
      </c>
      <c r="L285" s="4"/>
      <c r="M285" s="3" t="s">
        <v>595</v>
      </c>
      <c r="N285" s="3" t="s">
        <v>479</v>
      </c>
    </row>
    <row r="286" customFormat="false" ht="15" hidden="false" customHeight="false" outlineLevel="0" collapsed="false">
      <c r="A286" s="3" t="s">
        <v>474</v>
      </c>
      <c r="B286" s="3" t="s">
        <v>255</v>
      </c>
      <c r="C286" s="3" t="s">
        <v>41</v>
      </c>
      <c r="D286" s="3" t="s">
        <v>475</v>
      </c>
      <c r="E286" s="3" t="s">
        <v>480</v>
      </c>
      <c r="F286" s="3" t="s">
        <v>44</v>
      </c>
      <c r="G286" s="3" t="s">
        <v>481</v>
      </c>
      <c r="H286" s="3" t="n">
        <v>4</v>
      </c>
      <c r="I286" s="4" t="n">
        <v>140000</v>
      </c>
      <c r="J286" s="5" t="n">
        <v>10</v>
      </c>
      <c r="K286" s="6" t="n">
        <f aca="false">IF(J286=0,0,I286/J286)</f>
        <v>14000</v>
      </c>
      <c r="L286" s="4"/>
      <c r="M286" s="3" t="s">
        <v>596</v>
      </c>
      <c r="N286" s="3" t="s">
        <v>479</v>
      </c>
    </row>
    <row r="287" customFormat="false" ht="15" hidden="false" customHeight="false" outlineLevel="0" collapsed="false">
      <c r="A287" s="3" t="s">
        <v>474</v>
      </c>
      <c r="B287" s="3" t="s">
        <v>255</v>
      </c>
      <c r="C287" s="3" t="s">
        <v>67</v>
      </c>
      <c r="D287" s="3" t="s">
        <v>483</v>
      </c>
      <c r="E287" s="3" t="s">
        <v>484</v>
      </c>
      <c r="F287" s="3" t="s">
        <v>44</v>
      </c>
      <c r="G287" s="3" t="s">
        <v>485</v>
      </c>
      <c r="H287" s="3" t="n">
        <v>8</v>
      </c>
      <c r="I287" s="4" t="n">
        <v>95000</v>
      </c>
      <c r="J287" s="5" t="n">
        <v>9</v>
      </c>
      <c r="K287" s="6" t="n">
        <f aca="false">IF(J287=0,0,I287/J287)</f>
        <v>10555.5555555556</v>
      </c>
      <c r="L287" s="4"/>
      <c r="M287" s="3" t="s">
        <v>597</v>
      </c>
      <c r="N287" s="3" t="s">
        <v>479</v>
      </c>
    </row>
    <row r="288" customFormat="false" ht="15" hidden="false" customHeight="false" outlineLevel="0" collapsed="false">
      <c r="A288" s="3" t="s">
        <v>474</v>
      </c>
      <c r="B288" s="3" t="s">
        <v>255</v>
      </c>
      <c r="C288" s="3" t="s">
        <v>16</v>
      </c>
      <c r="D288" s="3" t="s">
        <v>508</v>
      </c>
      <c r="E288" s="3" t="s">
        <v>509</v>
      </c>
      <c r="F288" s="3" t="s">
        <v>44</v>
      </c>
      <c r="G288" s="3" t="s">
        <v>510</v>
      </c>
      <c r="H288" s="3" t="n">
        <v>2</v>
      </c>
      <c r="I288" s="4" t="n">
        <v>40000</v>
      </c>
      <c r="J288" s="5" t="n">
        <v>6</v>
      </c>
      <c r="K288" s="6" t="n">
        <f aca="false">IF(J288=0,0,I288/J288)</f>
        <v>6666.66666666667</v>
      </c>
      <c r="L288" s="4"/>
      <c r="M288" s="3" t="s">
        <v>598</v>
      </c>
      <c r="N288" s="3" t="s">
        <v>479</v>
      </c>
    </row>
    <row r="289" customFormat="false" ht="15" hidden="false" customHeight="false" outlineLevel="0" collapsed="false">
      <c r="A289" s="3" t="s">
        <v>474</v>
      </c>
      <c r="B289" s="3" t="s">
        <v>255</v>
      </c>
      <c r="C289" s="3" t="s">
        <v>16</v>
      </c>
      <c r="D289" s="3" t="s">
        <v>508</v>
      </c>
      <c r="E289" s="3" t="s">
        <v>512</v>
      </c>
      <c r="F289" s="3" t="s">
        <v>105</v>
      </c>
      <c r="G289" s="3" t="s">
        <v>513</v>
      </c>
      <c r="H289" s="3" t="n">
        <v>2</v>
      </c>
      <c r="I289" s="4" t="n">
        <v>35000</v>
      </c>
      <c r="J289" s="5" t="n">
        <v>5</v>
      </c>
      <c r="K289" s="6" t="n">
        <f aca="false">IF(J289=0,0,I289/J289)</f>
        <v>7000</v>
      </c>
      <c r="L289" s="4"/>
      <c r="M289" s="3" t="s">
        <v>599</v>
      </c>
      <c r="N289" s="3" t="s">
        <v>479</v>
      </c>
    </row>
    <row r="290" customFormat="false" ht="15" hidden="false" customHeight="false" outlineLevel="0" collapsed="false">
      <c r="A290" s="3" t="s">
        <v>600</v>
      </c>
      <c r="B290" s="3" t="s">
        <v>151</v>
      </c>
      <c r="C290" s="3" t="s">
        <v>108</v>
      </c>
      <c r="D290" s="3" t="s">
        <v>601</v>
      </c>
      <c r="E290" s="3" t="s">
        <v>602</v>
      </c>
      <c r="F290" s="3" t="s">
        <v>29</v>
      </c>
      <c r="G290" s="3" t="s">
        <v>93</v>
      </c>
      <c r="H290" s="3" t="n">
        <v>5</v>
      </c>
      <c r="I290" s="4" t="n">
        <v>15000</v>
      </c>
      <c r="J290" s="5" t="n">
        <v>1</v>
      </c>
      <c r="K290" s="6" t="n">
        <f aca="false">IF(J290=0,0,I290/J290)</f>
        <v>15000</v>
      </c>
      <c r="L290" s="4"/>
      <c r="M290" s="3" t="s">
        <v>603</v>
      </c>
      <c r="N290" s="3" t="s">
        <v>604</v>
      </c>
    </row>
    <row r="291" customFormat="false" ht="15" hidden="false" customHeight="false" outlineLevel="0" collapsed="false">
      <c r="A291" s="3" t="s">
        <v>600</v>
      </c>
      <c r="B291" s="3" t="s">
        <v>47</v>
      </c>
      <c r="C291" s="3" t="s">
        <v>41</v>
      </c>
      <c r="D291" s="3" t="s">
        <v>605</v>
      </c>
      <c r="E291" s="3" t="s">
        <v>606</v>
      </c>
      <c r="F291" s="3" t="s">
        <v>607</v>
      </c>
      <c r="G291" s="3" t="s">
        <v>93</v>
      </c>
      <c r="H291" s="3" t="n">
        <v>2</v>
      </c>
      <c r="I291" s="4" t="n">
        <v>74601</v>
      </c>
      <c r="J291" s="5" t="n">
        <v>1</v>
      </c>
      <c r="K291" s="6" t="n">
        <f aca="false">IF(J291=0,0,I291/J291)</f>
        <v>74601</v>
      </c>
      <c r="L291" s="4"/>
      <c r="M291" s="3" t="s">
        <v>608</v>
      </c>
      <c r="N291" s="3" t="s">
        <v>604</v>
      </c>
    </row>
    <row r="292" customFormat="false" ht="15" hidden="false" customHeight="false" outlineLevel="0" collapsed="false">
      <c r="A292" s="3" t="s">
        <v>600</v>
      </c>
      <c r="B292" s="3" t="s">
        <v>47</v>
      </c>
      <c r="C292" s="3" t="s">
        <v>32</v>
      </c>
      <c r="D292" s="3" t="s">
        <v>609</v>
      </c>
      <c r="E292" s="3" t="s">
        <v>610</v>
      </c>
      <c r="F292" s="3" t="s">
        <v>607</v>
      </c>
      <c r="G292" s="3" t="s">
        <v>93</v>
      </c>
      <c r="H292" s="3" t="n">
        <v>4</v>
      </c>
      <c r="I292" s="4" t="n">
        <v>23276</v>
      </c>
      <c r="J292" s="5" t="n">
        <v>1</v>
      </c>
      <c r="K292" s="6" t="n">
        <f aca="false">IF(J292=0,0,I292/J292)</f>
        <v>23276</v>
      </c>
      <c r="L292" s="4"/>
      <c r="M292" s="3" t="s">
        <v>611</v>
      </c>
      <c r="N292" s="3" t="s">
        <v>604</v>
      </c>
    </row>
    <row r="293" customFormat="false" ht="15" hidden="false" customHeight="false" outlineLevel="0" collapsed="false">
      <c r="A293" s="3" t="s">
        <v>600</v>
      </c>
      <c r="B293" s="3" t="s">
        <v>47</v>
      </c>
      <c r="C293" s="3" t="s">
        <v>32</v>
      </c>
      <c r="D293" s="3" t="s">
        <v>609</v>
      </c>
      <c r="E293" s="3" t="s">
        <v>612</v>
      </c>
      <c r="F293" s="3" t="s">
        <v>105</v>
      </c>
      <c r="G293" s="3" t="s">
        <v>93</v>
      </c>
      <c r="H293" s="3" t="n">
        <v>2</v>
      </c>
      <c r="I293" s="4" t="n">
        <v>23276</v>
      </c>
      <c r="J293" s="5" t="n">
        <v>1</v>
      </c>
      <c r="K293" s="6" t="n">
        <f aca="false">IF(J293=0,0,I293/J293)</f>
        <v>23276</v>
      </c>
      <c r="L293" s="4"/>
      <c r="M293" s="3" t="s">
        <v>611</v>
      </c>
      <c r="N293" s="3" t="s">
        <v>604</v>
      </c>
    </row>
    <row r="294" customFormat="false" ht="15" hidden="false" customHeight="false" outlineLevel="0" collapsed="false">
      <c r="A294" s="3" t="s">
        <v>600</v>
      </c>
      <c r="B294" s="3" t="s">
        <v>47</v>
      </c>
      <c r="C294" s="3" t="s">
        <v>32</v>
      </c>
      <c r="D294" s="3" t="s">
        <v>613</v>
      </c>
      <c r="E294" s="3" t="s">
        <v>614</v>
      </c>
      <c r="F294" s="3" t="s">
        <v>615</v>
      </c>
      <c r="G294" s="3" t="s">
        <v>93</v>
      </c>
      <c r="H294" s="3" t="n">
        <v>2</v>
      </c>
      <c r="I294" s="4" t="n">
        <v>23276</v>
      </c>
      <c r="J294" s="5" t="n">
        <v>1</v>
      </c>
      <c r="K294" s="6" t="n">
        <f aca="false">IF(J294=0,0,I294/J294)</f>
        <v>23276</v>
      </c>
      <c r="L294" s="4"/>
      <c r="M294" s="3" t="s">
        <v>611</v>
      </c>
      <c r="N294" s="3" t="s">
        <v>604</v>
      </c>
    </row>
    <row r="295" customFormat="false" ht="15" hidden="false" customHeight="false" outlineLevel="0" collapsed="false">
      <c r="A295" s="3" t="s">
        <v>600</v>
      </c>
      <c r="B295" s="3" t="s">
        <v>47</v>
      </c>
      <c r="C295" s="3" t="s">
        <v>32</v>
      </c>
      <c r="D295" s="3" t="s">
        <v>613</v>
      </c>
      <c r="E295" s="3" t="s">
        <v>616</v>
      </c>
      <c r="F295" s="3" t="s">
        <v>617</v>
      </c>
      <c r="G295" s="3" t="s">
        <v>93</v>
      </c>
      <c r="H295" s="3" t="n">
        <v>2</v>
      </c>
      <c r="I295" s="4" t="n">
        <v>23276</v>
      </c>
      <c r="J295" s="5" t="n">
        <v>1</v>
      </c>
      <c r="K295" s="6" t="n">
        <f aca="false">IF(J295=0,0,I295/J295)</f>
        <v>23276</v>
      </c>
      <c r="L295" s="4"/>
      <c r="M295" s="3" t="s">
        <v>611</v>
      </c>
      <c r="N295" s="3" t="s">
        <v>604</v>
      </c>
    </row>
    <row r="296" customFormat="false" ht="15" hidden="false" customHeight="false" outlineLevel="0" collapsed="false">
      <c r="A296" s="3" t="s">
        <v>600</v>
      </c>
      <c r="B296" s="3" t="s">
        <v>47</v>
      </c>
      <c r="C296" s="3" t="s">
        <v>32</v>
      </c>
      <c r="D296" s="3" t="s">
        <v>618</v>
      </c>
      <c r="E296" s="3" t="s">
        <v>619</v>
      </c>
      <c r="F296" s="3" t="s">
        <v>29</v>
      </c>
      <c r="G296" s="3" t="s">
        <v>93</v>
      </c>
      <c r="H296" s="3" t="n">
        <v>1</v>
      </c>
      <c r="I296" s="4" t="n">
        <v>23274</v>
      </c>
      <c r="J296" s="5" t="n">
        <v>1</v>
      </c>
      <c r="K296" s="6" t="n">
        <f aca="false">IF(J296=0,0,I296/J296)</f>
        <v>23274</v>
      </c>
      <c r="L296" s="4"/>
      <c r="M296" s="3" t="s">
        <v>611</v>
      </c>
      <c r="N296" s="3" t="s">
        <v>604</v>
      </c>
    </row>
    <row r="297" customFormat="false" ht="15" hidden="false" customHeight="false" outlineLevel="0" collapsed="false">
      <c r="A297" s="3" t="s">
        <v>600</v>
      </c>
      <c r="B297" s="3" t="s">
        <v>107</v>
      </c>
      <c r="C297" s="3" t="s">
        <v>41</v>
      </c>
      <c r="D297" s="3" t="s">
        <v>605</v>
      </c>
      <c r="E297" s="3" t="s">
        <v>620</v>
      </c>
      <c r="F297" s="3" t="s">
        <v>607</v>
      </c>
      <c r="G297" s="3" t="s">
        <v>93</v>
      </c>
      <c r="H297" s="3" t="n">
        <v>2</v>
      </c>
      <c r="I297" s="4" t="n">
        <v>95490</v>
      </c>
      <c r="J297" s="5" t="n">
        <v>1</v>
      </c>
      <c r="K297" s="6" t="n">
        <f aca="false">IF(J297=0,0,I297/J297)</f>
        <v>95490</v>
      </c>
      <c r="L297" s="4"/>
      <c r="M297" s="3" t="s">
        <v>621</v>
      </c>
      <c r="N297" s="3" t="s">
        <v>604</v>
      </c>
    </row>
    <row r="298" customFormat="false" ht="15" hidden="false" customHeight="false" outlineLevel="0" collapsed="false">
      <c r="A298" s="3" t="s">
        <v>600</v>
      </c>
      <c r="B298" s="3" t="s">
        <v>107</v>
      </c>
      <c r="C298" s="3" t="s">
        <v>16</v>
      </c>
      <c r="D298" s="3" t="s">
        <v>622</v>
      </c>
      <c r="E298" s="3" t="s">
        <v>623</v>
      </c>
      <c r="F298" s="3" t="s">
        <v>105</v>
      </c>
      <c r="G298" s="3" t="s">
        <v>93</v>
      </c>
      <c r="H298" s="3" t="n">
        <v>1</v>
      </c>
      <c r="I298" s="4" t="n">
        <v>24892</v>
      </c>
      <c r="J298" s="5" t="n">
        <v>1</v>
      </c>
      <c r="K298" s="6" t="n">
        <f aca="false">IF(J298=0,0,I298/J298)</f>
        <v>24892</v>
      </c>
      <c r="L298" s="4"/>
      <c r="M298" s="3" t="s">
        <v>624</v>
      </c>
      <c r="N298" s="3" t="s">
        <v>604</v>
      </c>
    </row>
    <row r="299" customFormat="false" ht="15" hidden="false" customHeight="false" outlineLevel="0" collapsed="false">
      <c r="A299" s="3" t="s">
        <v>600</v>
      </c>
      <c r="B299" s="3" t="s">
        <v>107</v>
      </c>
      <c r="C299" s="3" t="s">
        <v>16</v>
      </c>
      <c r="D299" s="3" t="s">
        <v>622</v>
      </c>
      <c r="E299" s="3" t="s">
        <v>625</v>
      </c>
      <c r="F299" s="3" t="s">
        <v>626</v>
      </c>
      <c r="G299" s="3" t="s">
        <v>93</v>
      </c>
      <c r="H299" s="3" t="n">
        <v>1</v>
      </c>
      <c r="I299" s="4" t="n">
        <v>24891</v>
      </c>
      <c r="J299" s="5" t="n">
        <v>1</v>
      </c>
      <c r="K299" s="6" t="n">
        <f aca="false">IF(J299=0,0,I299/J299)</f>
        <v>24891</v>
      </c>
      <c r="L299" s="4"/>
      <c r="M299" s="3" t="s">
        <v>624</v>
      </c>
      <c r="N299" s="3" t="s">
        <v>604</v>
      </c>
    </row>
    <row r="300" customFormat="false" ht="15" hidden="false" customHeight="false" outlineLevel="0" collapsed="false">
      <c r="A300" s="3" t="s">
        <v>600</v>
      </c>
      <c r="B300" s="3" t="s">
        <v>107</v>
      </c>
      <c r="C300" s="3" t="s">
        <v>16</v>
      </c>
      <c r="D300" s="3" t="s">
        <v>627</v>
      </c>
      <c r="E300" s="3" t="s">
        <v>628</v>
      </c>
      <c r="F300" s="3" t="s">
        <v>29</v>
      </c>
      <c r="G300" s="3" t="s">
        <v>93</v>
      </c>
      <c r="H300" s="3" t="n">
        <v>1</v>
      </c>
      <c r="I300" s="4" t="n">
        <v>19594</v>
      </c>
      <c r="J300" s="5" t="n">
        <v>1</v>
      </c>
      <c r="K300" s="6" t="n">
        <f aca="false">IF(J300=0,0,I300/J300)</f>
        <v>19594</v>
      </c>
      <c r="L300" s="4"/>
      <c r="M300" s="3" t="s">
        <v>629</v>
      </c>
      <c r="N300" s="3" t="s">
        <v>604</v>
      </c>
    </row>
    <row r="301" customFormat="false" ht="15" hidden="false" customHeight="false" outlineLevel="0" collapsed="false">
      <c r="A301" s="3" t="s">
        <v>600</v>
      </c>
      <c r="B301" s="3" t="s">
        <v>107</v>
      </c>
      <c r="C301" s="3" t="s">
        <v>32</v>
      </c>
      <c r="D301" s="3" t="s">
        <v>609</v>
      </c>
      <c r="E301" s="3" t="s">
        <v>610</v>
      </c>
      <c r="F301" s="3" t="s">
        <v>607</v>
      </c>
      <c r="G301" s="3" t="s">
        <v>93</v>
      </c>
      <c r="H301" s="3" t="n">
        <v>6</v>
      </c>
      <c r="I301" s="4" t="n">
        <v>33176</v>
      </c>
      <c r="J301" s="5" t="n">
        <v>1</v>
      </c>
      <c r="K301" s="6" t="n">
        <f aca="false">IF(J301=0,0,I301/J301)</f>
        <v>33176</v>
      </c>
      <c r="L301" s="4"/>
      <c r="M301" s="3" t="s">
        <v>630</v>
      </c>
      <c r="N301" s="3" t="s">
        <v>604</v>
      </c>
    </row>
    <row r="302" customFormat="false" ht="15" hidden="false" customHeight="false" outlineLevel="0" collapsed="false">
      <c r="A302" s="3" t="s">
        <v>600</v>
      </c>
      <c r="B302" s="3" t="s">
        <v>107</v>
      </c>
      <c r="C302" s="3" t="s">
        <v>32</v>
      </c>
      <c r="D302" s="3" t="s">
        <v>609</v>
      </c>
      <c r="E302" s="3" t="s">
        <v>612</v>
      </c>
      <c r="F302" s="3" t="s">
        <v>105</v>
      </c>
      <c r="G302" s="3" t="s">
        <v>93</v>
      </c>
      <c r="H302" s="3" t="n">
        <v>3</v>
      </c>
      <c r="I302" s="4" t="n">
        <v>33176</v>
      </c>
      <c r="J302" s="5" t="n">
        <v>1</v>
      </c>
      <c r="K302" s="6" t="n">
        <f aca="false">IF(J302=0,0,I302/J302)</f>
        <v>33176</v>
      </c>
      <c r="L302" s="4"/>
      <c r="M302" s="3" t="s">
        <v>630</v>
      </c>
      <c r="N302" s="3" t="s">
        <v>604</v>
      </c>
    </row>
    <row r="303" customFormat="false" ht="15" hidden="false" customHeight="false" outlineLevel="0" collapsed="false">
      <c r="A303" s="3" t="s">
        <v>600</v>
      </c>
      <c r="B303" s="3" t="s">
        <v>107</v>
      </c>
      <c r="C303" s="3" t="s">
        <v>32</v>
      </c>
      <c r="D303" s="3" t="s">
        <v>613</v>
      </c>
      <c r="E303" s="3" t="s">
        <v>614</v>
      </c>
      <c r="F303" s="3" t="s">
        <v>615</v>
      </c>
      <c r="G303" s="3" t="s">
        <v>93</v>
      </c>
      <c r="H303" s="3" t="n">
        <v>3</v>
      </c>
      <c r="I303" s="4" t="n">
        <v>33176</v>
      </c>
      <c r="J303" s="5" t="n">
        <v>1</v>
      </c>
      <c r="K303" s="6" t="n">
        <f aca="false">IF(J303=0,0,I303/J303)</f>
        <v>33176</v>
      </c>
      <c r="L303" s="4"/>
      <c r="M303" s="3" t="s">
        <v>630</v>
      </c>
      <c r="N303" s="3" t="s">
        <v>604</v>
      </c>
    </row>
    <row r="304" customFormat="false" ht="15" hidden="false" customHeight="false" outlineLevel="0" collapsed="false">
      <c r="A304" s="3" t="s">
        <v>600</v>
      </c>
      <c r="B304" s="3" t="s">
        <v>107</v>
      </c>
      <c r="C304" s="3" t="s">
        <v>32</v>
      </c>
      <c r="D304" s="3" t="s">
        <v>613</v>
      </c>
      <c r="E304" s="3" t="s">
        <v>616</v>
      </c>
      <c r="F304" s="3" t="s">
        <v>617</v>
      </c>
      <c r="G304" s="3" t="s">
        <v>93</v>
      </c>
      <c r="H304" s="3" t="n">
        <v>3</v>
      </c>
      <c r="I304" s="4" t="n">
        <v>33176</v>
      </c>
      <c r="J304" s="5" t="n">
        <v>1</v>
      </c>
      <c r="K304" s="6" t="n">
        <f aca="false">IF(J304=0,0,I304/J304)</f>
        <v>33176</v>
      </c>
      <c r="L304" s="4"/>
      <c r="M304" s="3" t="s">
        <v>630</v>
      </c>
      <c r="N304" s="3" t="s">
        <v>604</v>
      </c>
    </row>
    <row r="305" customFormat="false" ht="15" hidden="false" customHeight="false" outlineLevel="0" collapsed="false">
      <c r="A305" s="3" t="s">
        <v>600</v>
      </c>
      <c r="B305" s="3" t="s">
        <v>107</v>
      </c>
      <c r="C305" s="3" t="s">
        <v>32</v>
      </c>
      <c r="D305" s="3" t="s">
        <v>618</v>
      </c>
      <c r="E305" s="3" t="s">
        <v>619</v>
      </c>
      <c r="F305" s="3" t="s">
        <v>29</v>
      </c>
      <c r="G305" s="3" t="s">
        <v>93</v>
      </c>
      <c r="H305" s="3" t="n">
        <v>2</v>
      </c>
      <c r="I305" s="4" t="n">
        <v>33176</v>
      </c>
      <c r="J305" s="5" t="n">
        <v>1</v>
      </c>
      <c r="K305" s="6" t="n">
        <f aca="false">IF(J305=0,0,I305/J305)</f>
        <v>33176</v>
      </c>
      <c r="L305" s="4"/>
      <c r="M305" s="3" t="s">
        <v>630</v>
      </c>
      <c r="N305" s="3" t="s">
        <v>604</v>
      </c>
    </row>
    <row r="306" customFormat="false" ht="15" hidden="false" customHeight="false" outlineLevel="0" collapsed="false">
      <c r="A306" s="3" t="s">
        <v>600</v>
      </c>
      <c r="B306" s="3" t="s">
        <v>124</v>
      </c>
      <c r="C306" s="3" t="s">
        <v>41</v>
      </c>
      <c r="D306" s="3" t="s">
        <v>605</v>
      </c>
      <c r="E306" s="3" t="s">
        <v>631</v>
      </c>
      <c r="F306" s="3" t="s">
        <v>615</v>
      </c>
      <c r="G306" s="3" t="s">
        <v>93</v>
      </c>
      <c r="H306" s="3" t="n">
        <v>1</v>
      </c>
      <c r="I306" s="4" t="n">
        <v>20981</v>
      </c>
      <c r="J306" s="5" t="n">
        <v>1</v>
      </c>
      <c r="K306" s="6" t="n">
        <f aca="false">IF(J306=0,0,I306/J306)</f>
        <v>20981</v>
      </c>
      <c r="L306" s="4"/>
      <c r="M306" s="3" t="s">
        <v>632</v>
      </c>
      <c r="N306" s="3" t="s">
        <v>604</v>
      </c>
    </row>
    <row r="307" customFormat="false" ht="15" hidden="false" customHeight="false" outlineLevel="0" collapsed="false">
      <c r="A307" s="3" t="s">
        <v>600</v>
      </c>
      <c r="B307" s="3" t="s">
        <v>124</v>
      </c>
      <c r="C307" s="3" t="s">
        <v>41</v>
      </c>
      <c r="D307" s="3" t="s">
        <v>605</v>
      </c>
      <c r="E307" s="3" t="s">
        <v>633</v>
      </c>
      <c r="F307" s="3" t="s">
        <v>615</v>
      </c>
      <c r="G307" s="3" t="s">
        <v>634</v>
      </c>
      <c r="H307" s="3" t="n">
        <v>1</v>
      </c>
      <c r="I307" s="4" t="n">
        <v>32639</v>
      </c>
      <c r="J307" s="5" t="n">
        <v>7</v>
      </c>
      <c r="K307" s="6" t="n">
        <f aca="false">IF(J307=0,0,I307/J307)</f>
        <v>4662.71428571429</v>
      </c>
      <c r="L307" s="4"/>
      <c r="M307" s="3" t="s">
        <v>635</v>
      </c>
      <c r="N307" s="3" t="s">
        <v>604</v>
      </c>
    </row>
    <row r="308" customFormat="false" ht="15" hidden="false" customHeight="false" outlineLevel="0" collapsed="false">
      <c r="A308" s="3" t="s">
        <v>600</v>
      </c>
      <c r="B308" s="3" t="s">
        <v>124</v>
      </c>
      <c r="C308" s="3" t="s">
        <v>41</v>
      </c>
      <c r="D308" s="3" t="s">
        <v>605</v>
      </c>
      <c r="E308" s="3" t="s">
        <v>636</v>
      </c>
      <c r="F308" s="3" t="s">
        <v>615</v>
      </c>
      <c r="G308" s="3" t="s">
        <v>637</v>
      </c>
      <c r="H308" s="3" t="n">
        <v>1</v>
      </c>
      <c r="I308" s="4" t="n">
        <v>20981</v>
      </c>
      <c r="J308" s="5" t="n">
        <v>7</v>
      </c>
      <c r="K308" s="6" t="n">
        <f aca="false">IF(J308=0,0,I308/J308)</f>
        <v>2997.28571428571</v>
      </c>
      <c r="L308" s="4"/>
      <c r="M308" s="3" t="s">
        <v>635</v>
      </c>
      <c r="N308" s="3" t="s">
        <v>604</v>
      </c>
    </row>
    <row r="309" customFormat="false" ht="15" hidden="false" customHeight="false" outlineLevel="0" collapsed="false">
      <c r="A309" s="3" t="s">
        <v>600</v>
      </c>
      <c r="B309" s="3" t="s">
        <v>124</v>
      </c>
      <c r="C309" s="3" t="s">
        <v>41</v>
      </c>
      <c r="D309" s="3" t="s">
        <v>605</v>
      </c>
      <c r="E309" s="3" t="s">
        <v>638</v>
      </c>
      <c r="F309" s="3" t="s">
        <v>639</v>
      </c>
      <c r="G309" s="3" t="s">
        <v>640</v>
      </c>
      <c r="H309" s="3" t="n">
        <v>2</v>
      </c>
      <c r="I309" s="4" t="n">
        <v>167087</v>
      </c>
      <c r="J309" s="5" t="n">
        <v>7</v>
      </c>
      <c r="K309" s="6" t="n">
        <f aca="false">IF(J309=0,0,I309/J309)</f>
        <v>23869.5714285714</v>
      </c>
      <c r="L309" s="4"/>
      <c r="M309" s="3" t="s">
        <v>635</v>
      </c>
      <c r="N309" s="3" t="s">
        <v>604</v>
      </c>
    </row>
    <row r="310" customFormat="false" ht="15" hidden="false" customHeight="false" outlineLevel="0" collapsed="false">
      <c r="A310" s="3" t="s">
        <v>600</v>
      </c>
      <c r="B310" s="3" t="s">
        <v>124</v>
      </c>
      <c r="C310" s="3" t="s">
        <v>41</v>
      </c>
      <c r="D310" s="3" t="s">
        <v>605</v>
      </c>
      <c r="E310" s="3" t="s">
        <v>641</v>
      </c>
      <c r="F310" s="3" t="s">
        <v>607</v>
      </c>
      <c r="G310" s="3" t="s">
        <v>642</v>
      </c>
      <c r="H310" s="3" t="n">
        <v>2</v>
      </c>
      <c r="I310" s="4" t="n">
        <v>20981</v>
      </c>
      <c r="J310" s="5" t="n">
        <v>7</v>
      </c>
      <c r="K310" s="6" t="n">
        <f aca="false">IF(J310=0,0,I310/J310)</f>
        <v>2997.28571428571</v>
      </c>
      <c r="L310" s="4"/>
      <c r="M310" s="3" t="s">
        <v>635</v>
      </c>
      <c r="N310" s="3" t="s">
        <v>604</v>
      </c>
    </row>
    <row r="311" customFormat="false" ht="15" hidden="false" customHeight="false" outlineLevel="0" collapsed="false">
      <c r="A311" s="3" t="s">
        <v>600</v>
      </c>
      <c r="B311" s="3" t="s">
        <v>124</v>
      </c>
      <c r="C311" s="3" t="s">
        <v>41</v>
      </c>
      <c r="D311" s="3" t="s">
        <v>605</v>
      </c>
      <c r="E311" s="3" t="s">
        <v>643</v>
      </c>
      <c r="F311" s="3" t="s">
        <v>607</v>
      </c>
      <c r="G311" s="3" t="s">
        <v>644</v>
      </c>
      <c r="H311" s="3" t="n">
        <v>2</v>
      </c>
      <c r="I311" s="4" t="n">
        <v>32640</v>
      </c>
      <c r="J311" s="5" t="n">
        <v>7</v>
      </c>
      <c r="K311" s="6" t="n">
        <f aca="false">IF(J311=0,0,I311/J311)</f>
        <v>4662.85714285714</v>
      </c>
      <c r="L311" s="4"/>
      <c r="M311" s="3" t="s">
        <v>635</v>
      </c>
      <c r="N311" s="3" t="s">
        <v>604</v>
      </c>
    </row>
    <row r="312" customFormat="false" ht="15" hidden="false" customHeight="false" outlineLevel="0" collapsed="false">
      <c r="A312" s="3" t="s">
        <v>600</v>
      </c>
      <c r="B312" s="3" t="s">
        <v>124</v>
      </c>
      <c r="C312" s="3" t="s">
        <v>41</v>
      </c>
      <c r="D312" s="3" t="s">
        <v>605</v>
      </c>
      <c r="E312" s="3" t="s">
        <v>645</v>
      </c>
      <c r="F312" s="3" t="s">
        <v>607</v>
      </c>
      <c r="G312" s="3" t="s">
        <v>93</v>
      </c>
      <c r="H312" s="3" t="n">
        <v>2</v>
      </c>
      <c r="I312" s="4" t="n">
        <v>20981</v>
      </c>
      <c r="J312" s="5" t="n">
        <v>1</v>
      </c>
      <c r="K312" s="6" t="n">
        <f aca="false">IF(J312=0,0,I312/J312)</f>
        <v>20981</v>
      </c>
      <c r="L312" s="4"/>
      <c r="M312" s="3" t="s">
        <v>632</v>
      </c>
      <c r="N312" s="3" t="s">
        <v>604</v>
      </c>
    </row>
    <row r="313" customFormat="false" ht="15" hidden="false" customHeight="false" outlineLevel="0" collapsed="false">
      <c r="A313" s="3" t="s">
        <v>600</v>
      </c>
      <c r="B313" s="3" t="s">
        <v>124</v>
      </c>
      <c r="C313" s="3" t="s">
        <v>16</v>
      </c>
      <c r="D313" s="3" t="s">
        <v>622</v>
      </c>
      <c r="E313" s="3" t="s">
        <v>623</v>
      </c>
      <c r="F313" s="3" t="s">
        <v>105</v>
      </c>
      <c r="G313" s="3" t="s">
        <v>93</v>
      </c>
      <c r="H313" s="3" t="n">
        <v>1</v>
      </c>
      <c r="I313" s="4" t="n">
        <v>74601</v>
      </c>
      <c r="J313" s="5" t="n">
        <v>1</v>
      </c>
      <c r="K313" s="6" t="n">
        <f aca="false">IF(J313=0,0,I313/J313)</f>
        <v>74601</v>
      </c>
      <c r="L313" s="4"/>
      <c r="M313" s="3" t="s">
        <v>646</v>
      </c>
      <c r="N313" s="3" t="s">
        <v>604</v>
      </c>
    </row>
    <row r="314" customFormat="false" ht="15" hidden="false" customHeight="false" outlineLevel="0" collapsed="false">
      <c r="A314" s="3" t="s">
        <v>600</v>
      </c>
      <c r="B314" s="3" t="s">
        <v>231</v>
      </c>
      <c r="C314" s="3" t="s">
        <v>67</v>
      </c>
      <c r="D314" s="3" t="s">
        <v>647</v>
      </c>
      <c r="E314" s="3" t="s">
        <v>648</v>
      </c>
      <c r="F314" s="3" t="s">
        <v>649</v>
      </c>
      <c r="G314" s="3" t="s">
        <v>93</v>
      </c>
      <c r="H314" s="3" t="n">
        <v>2</v>
      </c>
      <c r="I314" s="4" t="n">
        <v>44854</v>
      </c>
      <c r="J314" s="5" t="n">
        <v>1</v>
      </c>
      <c r="K314" s="6" t="n">
        <f aca="false">IF(J314=0,0,I314/J314)</f>
        <v>44854</v>
      </c>
      <c r="L314" s="4"/>
      <c r="M314" s="3" t="s">
        <v>635</v>
      </c>
      <c r="N314" s="3" t="s">
        <v>604</v>
      </c>
    </row>
    <row r="315" customFormat="false" ht="15" hidden="false" customHeight="false" outlineLevel="0" collapsed="false">
      <c r="A315" s="3" t="s">
        <v>600</v>
      </c>
      <c r="B315" s="3" t="s">
        <v>231</v>
      </c>
      <c r="C315" s="3" t="s">
        <v>67</v>
      </c>
      <c r="D315" s="3" t="s">
        <v>647</v>
      </c>
      <c r="E315" s="3" t="s">
        <v>648</v>
      </c>
      <c r="F315" s="3" t="s">
        <v>105</v>
      </c>
      <c r="G315" s="3" t="s">
        <v>93</v>
      </c>
      <c r="H315" s="3" t="n">
        <v>1</v>
      </c>
      <c r="I315" s="4" t="n">
        <v>44854</v>
      </c>
      <c r="J315" s="5" t="n">
        <v>1</v>
      </c>
      <c r="K315" s="6" t="n">
        <f aca="false">IF(J315=0,0,I315/J315)</f>
        <v>44854</v>
      </c>
      <c r="L315" s="4"/>
      <c r="M315" s="3" t="s">
        <v>635</v>
      </c>
      <c r="N315" s="3" t="s">
        <v>604</v>
      </c>
    </row>
    <row r="316" customFormat="false" ht="15" hidden="false" customHeight="false" outlineLevel="0" collapsed="false">
      <c r="A316" s="3" t="s">
        <v>600</v>
      </c>
      <c r="B316" s="3" t="s">
        <v>231</v>
      </c>
      <c r="C316" s="3" t="s">
        <v>16</v>
      </c>
      <c r="D316" s="3" t="s">
        <v>650</v>
      </c>
      <c r="E316" s="3" t="s">
        <v>651</v>
      </c>
      <c r="F316" s="3" t="s">
        <v>29</v>
      </c>
      <c r="G316" s="3" t="s">
        <v>652</v>
      </c>
      <c r="H316" s="3" t="n">
        <v>8</v>
      </c>
      <c r="I316" s="4" t="n">
        <v>45000</v>
      </c>
      <c r="J316" s="5" t="n">
        <v>8</v>
      </c>
      <c r="K316" s="6" t="n">
        <f aca="false">IF(J316=0,0,I316/J316)</f>
        <v>5625</v>
      </c>
      <c r="L316" s="4"/>
      <c r="M316" s="3" t="s">
        <v>646</v>
      </c>
      <c r="N316" s="3" t="s">
        <v>604</v>
      </c>
    </row>
    <row r="317" customFormat="false" ht="15" hidden="false" customHeight="false" outlineLevel="0" collapsed="false">
      <c r="A317" s="3" t="s">
        <v>600</v>
      </c>
      <c r="B317" s="3" t="s">
        <v>231</v>
      </c>
      <c r="C317" s="3" t="s">
        <v>16</v>
      </c>
      <c r="D317" s="3" t="s">
        <v>622</v>
      </c>
      <c r="E317" s="3" t="s">
        <v>653</v>
      </c>
      <c r="F317" s="3" t="s">
        <v>654</v>
      </c>
      <c r="G317" s="3" t="s">
        <v>93</v>
      </c>
      <c r="H317" s="3" t="n">
        <v>1</v>
      </c>
      <c r="I317" s="4" t="n">
        <v>25501</v>
      </c>
      <c r="J317" s="5" t="n">
        <v>1</v>
      </c>
      <c r="K317" s="6" t="n">
        <f aca="false">IF(J317=0,0,I317/J317)</f>
        <v>25501</v>
      </c>
      <c r="L317" s="4"/>
      <c r="M317" s="3" t="s">
        <v>655</v>
      </c>
      <c r="N317" s="3" t="s">
        <v>604</v>
      </c>
    </row>
    <row r="318" customFormat="false" ht="15" hidden="false" customHeight="false" outlineLevel="0" collapsed="false">
      <c r="A318" s="3" t="s">
        <v>600</v>
      </c>
      <c r="B318" s="3" t="s">
        <v>231</v>
      </c>
      <c r="C318" s="3" t="s">
        <v>16</v>
      </c>
      <c r="D318" s="3" t="s">
        <v>622</v>
      </c>
      <c r="E318" s="3" t="s">
        <v>656</v>
      </c>
      <c r="F318" s="3" t="s">
        <v>607</v>
      </c>
      <c r="G318" s="3" t="s">
        <v>93</v>
      </c>
      <c r="H318" s="3" t="n">
        <v>2</v>
      </c>
      <c r="I318" s="4" t="n">
        <v>25501</v>
      </c>
      <c r="J318" s="5" t="n">
        <v>1</v>
      </c>
      <c r="K318" s="6" t="n">
        <f aca="false">IF(J318=0,0,I318/J318)</f>
        <v>25501</v>
      </c>
      <c r="L318" s="4"/>
      <c r="M318" s="3" t="s">
        <v>655</v>
      </c>
      <c r="N318" s="3" t="s">
        <v>604</v>
      </c>
    </row>
    <row r="319" customFormat="false" ht="15" hidden="false" customHeight="false" outlineLevel="0" collapsed="false">
      <c r="A319" s="3" t="s">
        <v>600</v>
      </c>
      <c r="B319" s="3" t="s">
        <v>231</v>
      </c>
      <c r="C319" s="3" t="s">
        <v>16</v>
      </c>
      <c r="D319" s="3" t="s">
        <v>622</v>
      </c>
      <c r="E319" s="3" t="s">
        <v>657</v>
      </c>
      <c r="F319" s="3" t="s">
        <v>615</v>
      </c>
      <c r="G319" s="3" t="s">
        <v>93</v>
      </c>
      <c r="H319" s="3" t="n">
        <v>1</v>
      </c>
      <c r="I319" s="4" t="n">
        <v>33768</v>
      </c>
      <c r="J319" s="5" t="n">
        <v>1</v>
      </c>
      <c r="K319" s="6" t="n">
        <f aca="false">IF(J319=0,0,I319/J319)</f>
        <v>33768</v>
      </c>
      <c r="L319" s="4"/>
      <c r="M319" s="3" t="s">
        <v>655</v>
      </c>
      <c r="N319" s="3" t="s">
        <v>604</v>
      </c>
    </row>
    <row r="320" customFormat="false" ht="15" hidden="false" customHeight="false" outlineLevel="0" collapsed="false">
      <c r="A320" s="3" t="s">
        <v>600</v>
      </c>
      <c r="B320" s="3" t="s">
        <v>231</v>
      </c>
      <c r="C320" s="3" t="s">
        <v>16</v>
      </c>
      <c r="D320" s="3" t="s">
        <v>622</v>
      </c>
      <c r="E320" s="3" t="s">
        <v>623</v>
      </c>
      <c r="F320" s="3" t="s">
        <v>615</v>
      </c>
      <c r="G320" s="3" t="s">
        <v>93</v>
      </c>
      <c r="H320" s="3" t="n">
        <v>1</v>
      </c>
      <c r="I320" s="4" t="n">
        <v>42397</v>
      </c>
      <c r="J320" s="5" t="n">
        <v>1</v>
      </c>
      <c r="K320" s="6" t="n">
        <f aca="false">IF(J320=0,0,I320/J320)</f>
        <v>42397</v>
      </c>
      <c r="L320" s="4"/>
      <c r="M320" s="3" t="s">
        <v>655</v>
      </c>
      <c r="N320" s="3" t="s">
        <v>604</v>
      </c>
    </row>
    <row r="321" customFormat="false" ht="15" hidden="false" customHeight="false" outlineLevel="0" collapsed="false">
      <c r="A321" s="3" t="s">
        <v>600</v>
      </c>
      <c r="B321" s="3" t="s">
        <v>231</v>
      </c>
      <c r="C321" s="3" t="s">
        <v>16</v>
      </c>
      <c r="D321" s="3" t="s">
        <v>622</v>
      </c>
      <c r="E321" s="3" t="s">
        <v>658</v>
      </c>
      <c r="F321" s="3" t="s">
        <v>44</v>
      </c>
      <c r="G321" s="3" t="s">
        <v>659</v>
      </c>
      <c r="H321" s="3" t="n">
        <v>1</v>
      </c>
      <c r="I321" s="4" t="n">
        <v>50487</v>
      </c>
      <c r="J321" s="5" t="n">
        <v>7</v>
      </c>
      <c r="K321" s="6" t="n">
        <f aca="false">IF(J321=0,0,I321/J321)</f>
        <v>7212.42857142857</v>
      </c>
      <c r="L321" s="4"/>
      <c r="M321" s="3" t="s">
        <v>646</v>
      </c>
      <c r="N321" s="3" t="s">
        <v>604</v>
      </c>
    </row>
    <row r="322" customFormat="false" ht="15" hidden="false" customHeight="false" outlineLevel="0" collapsed="false">
      <c r="A322" s="3" t="s">
        <v>600</v>
      </c>
      <c r="B322" s="3" t="s">
        <v>231</v>
      </c>
      <c r="C322" s="3" t="s">
        <v>16</v>
      </c>
      <c r="D322" s="3" t="s">
        <v>622</v>
      </c>
      <c r="E322" s="3" t="s">
        <v>660</v>
      </c>
      <c r="F322" s="3" t="s">
        <v>105</v>
      </c>
      <c r="G322" s="3" t="s">
        <v>661</v>
      </c>
      <c r="H322" s="3" t="n">
        <v>1</v>
      </c>
      <c r="I322" s="4" t="n">
        <v>189823</v>
      </c>
      <c r="J322" s="5" t="n">
        <v>7</v>
      </c>
      <c r="K322" s="6" t="n">
        <f aca="false">IF(J322=0,0,I322/J322)</f>
        <v>27117.5714285714</v>
      </c>
      <c r="L322" s="4"/>
      <c r="M322" s="3" t="s">
        <v>646</v>
      </c>
      <c r="N322" s="3" t="s">
        <v>604</v>
      </c>
    </row>
    <row r="323" customFormat="false" ht="15" hidden="false" customHeight="false" outlineLevel="0" collapsed="false">
      <c r="A323" s="3" t="s">
        <v>600</v>
      </c>
      <c r="B323" s="3" t="s">
        <v>231</v>
      </c>
      <c r="C323" s="3" t="s">
        <v>16</v>
      </c>
      <c r="D323" s="3" t="s">
        <v>622</v>
      </c>
      <c r="E323" s="3" t="s">
        <v>623</v>
      </c>
      <c r="F323" s="3" t="s">
        <v>105</v>
      </c>
      <c r="G323" s="3" t="s">
        <v>93</v>
      </c>
      <c r="H323" s="3" t="n">
        <v>1</v>
      </c>
      <c r="I323" s="4" t="n">
        <v>42397</v>
      </c>
      <c r="J323" s="5" t="n">
        <v>1</v>
      </c>
      <c r="K323" s="6" t="n">
        <f aca="false">IF(J323=0,0,I323/J323)</f>
        <v>42397</v>
      </c>
      <c r="L323" s="4"/>
      <c r="M323" s="3" t="s">
        <v>655</v>
      </c>
      <c r="N323" s="3" t="s">
        <v>604</v>
      </c>
    </row>
    <row r="324" customFormat="false" ht="15" hidden="false" customHeight="false" outlineLevel="0" collapsed="false">
      <c r="A324" s="3" t="s">
        <v>600</v>
      </c>
      <c r="B324" s="3" t="s">
        <v>231</v>
      </c>
      <c r="C324" s="3" t="s">
        <v>16</v>
      </c>
      <c r="D324" s="3" t="s">
        <v>622</v>
      </c>
      <c r="E324" s="3" t="s">
        <v>625</v>
      </c>
      <c r="F324" s="3" t="s">
        <v>626</v>
      </c>
      <c r="G324" s="3" t="s">
        <v>93</v>
      </c>
      <c r="H324" s="3" t="n">
        <v>4</v>
      </c>
      <c r="I324" s="4" t="n">
        <v>42397</v>
      </c>
      <c r="J324" s="5" t="n">
        <v>1</v>
      </c>
      <c r="K324" s="6" t="n">
        <f aca="false">IF(J324=0,0,I324/J324)</f>
        <v>42397</v>
      </c>
      <c r="L324" s="4"/>
      <c r="M324" s="3" t="s">
        <v>655</v>
      </c>
      <c r="N324" s="3" t="s">
        <v>604</v>
      </c>
    </row>
    <row r="325" customFormat="false" ht="15" hidden="false" customHeight="false" outlineLevel="0" collapsed="false">
      <c r="A325" s="3" t="s">
        <v>600</v>
      </c>
      <c r="B325" s="3" t="s">
        <v>231</v>
      </c>
      <c r="C325" s="3" t="s">
        <v>16</v>
      </c>
      <c r="D325" s="3" t="s">
        <v>622</v>
      </c>
      <c r="E325" s="3" t="s">
        <v>662</v>
      </c>
      <c r="F325" s="3" t="s">
        <v>105</v>
      </c>
      <c r="G325" s="3" t="s">
        <v>93</v>
      </c>
      <c r="H325" s="3" t="n">
        <v>1</v>
      </c>
      <c r="I325" s="4" t="n">
        <v>33768</v>
      </c>
      <c r="J325" s="5" t="n">
        <v>1</v>
      </c>
      <c r="K325" s="6" t="n">
        <f aca="false">IF(J325=0,0,I325/J325)</f>
        <v>33768</v>
      </c>
      <c r="L325" s="4"/>
      <c r="M325" s="3" t="s">
        <v>655</v>
      </c>
      <c r="N325" s="3" t="s">
        <v>604</v>
      </c>
    </row>
    <row r="326" customFormat="false" ht="15" hidden="false" customHeight="false" outlineLevel="0" collapsed="false">
      <c r="A326" s="3" t="s">
        <v>600</v>
      </c>
      <c r="B326" s="3" t="s">
        <v>231</v>
      </c>
      <c r="C326" s="3" t="s">
        <v>16</v>
      </c>
      <c r="D326" s="3" t="s">
        <v>622</v>
      </c>
      <c r="E326" s="3" t="s">
        <v>663</v>
      </c>
      <c r="F326" s="3" t="s">
        <v>626</v>
      </c>
      <c r="G326" s="3" t="s">
        <v>93</v>
      </c>
      <c r="H326" s="3" t="n">
        <v>2</v>
      </c>
      <c r="I326" s="4" t="n">
        <v>33768</v>
      </c>
      <c r="J326" s="5" t="n">
        <v>1</v>
      </c>
      <c r="K326" s="6" t="n">
        <f aca="false">IF(J326=0,0,I326/J326)</f>
        <v>33768</v>
      </c>
      <c r="L326" s="4"/>
      <c r="M326" s="3" t="s">
        <v>655</v>
      </c>
      <c r="N326" s="3" t="s">
        <v>604</v>
      </c>
    </row>
    <row r="327" customFormat="false" ht="15" hidden="false" customHeight="false" outlineLevel="0" collapsed="false">
      <c r="A327" s="3" t="s">
        <v>600</v>
      </c>
      <c r="B327" s="3" t="s">
        <v>231</v>
      </c>
      <c r="C327" s="3" t="s">
        <v>16</v>
      </c>
      <c r="D327" s="3" t="s">
        <v>622</v>
      </c>
      <c r="E327" s="3" t="s">
        <v>664</v>
      </c>
      <c r="F327" s="3" t="s">
        <v>44</v>
      </c>
      <c r="G327" s="3" t="s">
        <v>93</v>
      </c>
      <c r="H327" s="3" t="n">
        <v>1</v>
      </c>
      <c r="I327" s="4" t="n">
        <v>25501</v>
      </c>
      <c r="J327" s="5" t="n">
        <v>1</v>
      </c>
      <c r="K327" s="6" t="n">
        <f aca="false">IF(J327=0,0,I327/J327)</f>
        <v>25501</v>
      </c>
      <c r="L327" s="4"/>
      <c r="M327" s="3" t="s">
        <v>655</v>
      </c>
      <c r="N327" s="3" t="s">
        <v>604</v>
      </c>
    </row>
    <row r="328" customFormat="false" ht="15" hidden="false" customHeight="false" outlineLevel="0" collapsed="false">
      <c r="A328" s="3" t="s">
        <v>600</v>
      </c>
      <c r="B328" s="3" t="s">
        <v>231</v>
      </c>
      <c r="C328" s="3" t="s">
        <v>16</v>
      </c>
      <c r="D328" s="3" t="s">
        <v>622</v>
      </c>
      <c r="E328" s="3" t="s">
        <v>665</v>
      </c>
      <c r="F328" s="3" t="s">
        <v>105</v>
      </c>
      <c r="G328" s="3" t="s">
        <v>93</v>
      </c>
      <c r="H328" s="3" t="n">
        <v>1</v>
      </c>
      <c r="I328" s="4" t="n">
        <v>25501</v>
      </c>
      <c r="J328" s="5" t="n">
        <v>1</v>
      </c>
      <c r="K328" s="6" t="n">
        <f aca="false">IF(J328=0,0,I328/J328)</f>
        <v>25501</v>
      </c>
      <c r="L328" s="4"/>
      <c r="M328" s="3" t="s">
        <v>655</v>
      </c>
      <c r="N328" s="3" t="s">
        <v>604</v>
      </c>
    </row>
    <row r="329" customFormat="false" ht="15" hidden="false" customHeight="false" outlineLevel="0" collapsed="false">
      <c r="A329" s="3" t="s">
        <v>600</v>
      </c>
      <c r="B329" s="3" t="s">
        <v>231</v>
      </c>
      <c r="C329" s="3" t="s">
        <v>16</v>
      </c>
      <c r="D329" s="3" t="s">
        <v>627</v>
      </c>
      <c r="E329" s="3" t="s">
        <v>628</v>
      </c>
      <c r="F329" s="3" t="s">
        <v>29</v>
      </c>
      <c r="G329" s="3" t="s">
        <v>93</v>
      </c>
      <c r="H329" s="3" t="n">
        <v>3</v>
      </c>
      <c r="I329" s="4" t="n">
        <v>56377</v>
      </c>
      <c r="J329" s="5" t="n">
        <v>1</v>
      </c>
      <c r="K329" s="6" t="n">
        <f aca="false">IF(J329=0,0,I329/J329)</f>
        <v>56377</v>
      </c>
      <c r="L329" s="4"/>
      <c r="M329" s="3" t="s">
        <v>655</v>
      </c>
      <c r="N329" s="3" t="s">
        <v>604</v>
      </c>
    </row>
    <row r="330" customFormat="false" ht="15" hidden="false" customHeight="false" outlineLevel="0" collapsed="false">
      <c r="A330" s="3" t="s">
        <v>666</v>
      </c>
      <c r="B330" s="3" t="s">
        <v>151</v>
      </c>
      <c r="C330" s="3" t="s">
        <v>41</v>
      </c>
      <c r="D330" s="3" t="s">
        <v>667</v>
      </c>
      <c r="E330" s="3" t="s">
        <v>668</v>
      </c>
      <c r="F330" s="3" t="s">
        <v>669</v>
      </c>
      <c r="G330" s="3" t="s">
        <v>59</v>
      </c>
      <c r="H330" s="3" t="n">
        <v>25000</v>
      </c>
      <c r="I330" s="4" t="n">
        <v>44362</v>
      </c>
      <c r="J330" s="5" t="n">
        <v>2</v>
      </c>
      <c r="K330" s="6" t="n">
        <f aca="false">IF(J330=0,0,I330/J330)</f>
        <v>22181</v>
      </c>
      <c r="L330" s="4"/>
      <c r="M330" s="3" t="s">
        <v>670</v>
      </c>
      <c r="N330" s="3" t="s">
        <v>671</v>
      </c>
    </row>
    <row r="331" customFormat="false" ht="15" hidden="false" customHeight="false" outlineLevel="0" collapsed="false">
      <c r="A331" s="3" t="s">
        <v>666</v>
      </c>
      <c r="B331" s="3" t="s">
        <v>151</v>
      </c>
      <c r="C331" s="3" t="s">
        <v>41</v>
      </c>
      <c r="D331" s="3" t="s">
        <v>667</v>
      </c>
      <c r="E331" s="3" t="s">
        <v>672</v>
      </c>
      <c r="F331" s="3" t="s">
        <v>673</v>
      </c>
      <c r="G331" s="3" t="s">
        <v>59</v>
      </c>
      <c r="H331" s="3" t="n">
        <v>6000000</v>
      </c>
      <c r="I331" s="4" t="n">
        <v>44362</v>
      </c>
      <c r="J331" s="5" t="n">
        <v>2</v>
      </c>
      <c r="K331" s="6" t="n">
        <f aca="false">IF(J331=0,0,I331/J331)</f>
        <v>22181</v>
      </c>
      <c r="L331" s="4"/>
      <c r="M331" s="3" t="s">
        <v>674</v>
      </c>
      <c r="N331" s="3" t="s">
        <v>671</v>
      </c>
    </row>
    <row r="332" customFormat="false" ht="15" hidden="false" customHeight="false" outlineLevel="0" collapsed="false">
      <c r="A332" s="3" t="s">
        <v>666</v>
      </c>
      <c r="B332" s="3" t="s">
        <v>15</v>
      </c>
      <c r="C332" s="3" t="s">
        <v>41</v>
      </c>
      <c r="D332" s="3" t="s">
        <v>675</v>
      </c>
      <c r="E332" s="3" t="s">
        <v>676</v>
      </c>
      <c r="F332" s="3" t="s">
        <v>677</v>
      </c>
      <c r="G332" s="3" t="s">
        <v>93</v>
      </c>
      <c r="H332" s="3" t="n">
        <v>10000</v>
      </c>
      <c r="I332" s="4" t="n">
        <v>22181</v>
      </c>
      <c r="J332" s="5" t="n">
        <v>1</v>
      </c>
      <c r="K332" s="6" t="n">
        <f aca="false">IF(J332=0,0,I332/J332)</f>
        <v>22181</v>
      </c>
      <c r="L332" s="4"/>
      <c r="M332" s="3" t="s">
        <v>678</v>
      </c>
      <c r="N332" s="3" t="s">
        <v>671</v>
      </c>
    </row>
    <row r="333" customFormat="false" ht="15" hidden="false" customHeight="false" outlineLevel="0" collapsed="false">
      <c r="A333" s="3" t="s">
        <v>666</v>
      </c>
      <c r="B333" s="3" t="s">
        <v>15</v>
      </c>
      <c r="C333" s="3" t="s">
        <v>41</v>
      </c>
      <c r="D333" s="3" t="s">
        <v>675</v>
      </c>
      <c r="E333" s="3" t="s">
        <v>679</v>
      </c>
      <c r="F333" s="3" t="s">
        <v>680</v>
      </c>
      <c r="G333" s="3" t="s">
        <v>93</v>
      </c>
      <c r="H333" s="3" t="n">
        <v>1330</v>
      </c>
      <c r="I333" s="4" t="n">
        <v>22181</v>
      </c>
      <c r="J333" s="5" t="n">
        <v>1</v>
      </c>
      <c r="K333" s="6" t="n">
        <f aca="false">IF(J333=0,0,I333/J333)</f>
        <v>22181</v>
      </c>
      <c r="L333" s="4"/>
      <c r="M333" s="3" t="s">
        <v>681</v>
      </c>
      <c r="N333" s="3" t="s">
        <v>671</v>
      </c>
    </row>
    <row r="334" customFormat="false" ht="15" hidden="false" customHeight="false" outlineLevel="0" collapsed="false">
      <c r="A334" s="3" t="s">
        <v>666</v>
      </c>
      <c r="B334" s="3" t="s">
        <v>15</v>
      </c>
      <c r="C334" s="3" t="s">
        <v>41</v>
      </c>
      <c r="D334" s="3" t="s">
        <v>675</v>
      </c>
      <c r="E334" s="3" t="s">
        <v>682</v>
      </c>
      <c r="F334" s="3" t="s">
        <v>669</v>
      </c>
      <c r="G334" s="3" t="s">
        <v>93</v>
      </c>
      <c r="H334" s="3" t="n">
        <v>3333</v>
      </c>
      <c r="I334" s="4" t="n">
        <v>22181</v>
      </c>
      <c r="J334" s="5" t="n">
        <v>1</v>
      </c>
      <c r="K334" s="6" t="n">
        <f aca="false">IF(J334=0,0,I334/J334)</f>
        <v>22181</v>
      </c>
      <c r="L334" s="4"/>
      <c r="M334" s="3" t="s">
        <v>683</v>
      </c>
      <c r="N334" s="3" t="s">
        <v>671</v>
      </c>
    </row>
    <row r="335" customFormat="false" ht="15" hidden="false" customHeight="false" outlineLevel="0" collapsed="false">
      <c r="A335" s="3" t="s">
        <v>666</v>
      </c>
      <c r="B335" s="3" t="s">
        <v>15</v>
      </c>
      <c r="C335" s="3" t="s">
        <v>41</v>
      </c>
      <c r="D335" s="3" t="s">
        <v>675</v>
      </c>
      <c r="E335" s="3" t="s">
        <v>684</v>
      </c>
      <c r="F335" s="3" t="s">
        <v>680</v>
      </c>
      <c r="G335" s="3" t="s">
        <v>93</v>
      </c>
      <c r="H335" s="3" t="n">
        <v>1350</v>
      </c>
      <c r="I335" s="4" t="n">
        <v>22181</v>
      </c>
      <c r="J335" s="5" t="n">
        <v>1</v>
      </c>
      <c r="K335" s="6" t="n">
        <f aca="false">IF(J335=0,0,I335/J335)</f>
        <v>22181</v>
      </c>
      <c r="L335" s="4"/>
      <c r="M335" s="3" t="s">
        <v>685</v>
      </c>
      <c r="N335" s="3" t="s">
        <v>671</v>
      </c>
    </row>
    <row r="336" customFormat="false" ht="15" hidden="false" customHeight="false" outlineLevel="0" collapsed="false">
      <c r="A336" s="3" t="s">
        <v>666</v>
      </c>
      <c r="B336" s="3" t="s">
        <v>40</v>
      </c>
      <c r="C336" s="3" t="s">
        <v>41</v>
      </c>
      <c r="D336" s="3" t="s">
        <v>675</v>
      </c>
      <c r="E336" s="3" t="s">
        <v>686</v>
      </c>
      <c r="F336" s="3" t="s">
        <v>669</v>
      </c>
      <c r="G336" s="3" t="s">
        <v>93</v>
      </c>
      <c r="H336" s="3" t="n">
        <v>10000</v>
      </c>
      <c r="I336" s="4" t="n">
        <v>264891</v>
      </c>
      <c r="J336" s="5" t="n">
        <v>1</v>
      </c>
      <c r="K336" s="6" t="n">
        <f aca="false">IF(J336=0,0,I336/J336)</f>
        <v>264891</v>
      </c>
      <c r="L336" s="4"/>
      <c r="M336" s="3" t="s">
        <v>687</v>
      </c>
      <c r="N336" s="3" t="s">
        <v>671</v>
      </c>
    </row>
    <row r="337" customFormat="false" ht="15" hidden="false" customHeight="false" outlineLevel="0" collapsed="false">
      <c r="A337" s="3" t="s">
        <v>666</v>
      </c>
      <c r="B337" s="3" t="s">
        <v>40</v>
      </c>
      <c r="C337" s="3" t="s">
        <v>67</v>
      </c>
      <c r="D337" s="3" t="s">
        <v>688</v>
      </c>
      <c r="E337" s="3" t="s">
        <v>689</v>
      </c>
      <c r="F337" s="3" t="s">
        <v>29</v>
      </c>
      <c r="G337" s="3" t="s">
        <v>93</v>
      </c>
      <c r="H337" s="3" t="n">
        <v>3</v>
      </c>
      <c r="I337" s="4" t="n">
        <v>40000</v>
      </c>
      <c r="J337" s="5" t="n">
        <v>1</v>
      </c>
      <c r="K337" s="6" t="n">
        <f aca="false">IF(J337=0,0,I337/J337)</f>
        <v>40000</v>
      </c>
      <c r="L337" s="4"/>
      <c r="M337" s="3" t="s">
        <v>690</v>
      </c>
      <c r="N337" s="3" t="s">
        <v>671</v>
      </c>
    </row>
    <row r="338" customFormat="false" ht="15" hidden="false" customHeight="false" outlineLevel="0" collapsed="false">
      <c r="A338" s="3" t="s">
        <v>666</v>
      </c>
      <c r="B338" s="3" t="s">
        <v>40</v>
      </c>
      <c r="C338" s="3" t="s">
        <v>16</v>
      </c>
      <c r="D338" s="3" t="s">
        <v>691</v>
      </c>
      <c r="E338" s="3" t="s">
        <v>692</v>
      </c>
      <c r="F338" s="3" t="s">
        <v>44</v>
      </c>
      <c r="G338" s="3" t="s">
        <v>693</v>
      </c>
      <c r="H338" s="3" t="n">
        <v>5</v>
      </c>
      <c r="I338" s="4" t="n">
        <v>50000</v>
      </c>
      <c r="J338" s="5" t="n">
        <v>11</v>
      </c>
      <c r="K338" s="6" t="n">
        <f aca="false">IF(J338=0,0,I338/J338)</f>
        <v>4545.45454545455</v>
      </c>
      <c r="L338" s="4"/>
      <c r="M338" s="3" t="s">
        <v>694</v>
      </c>
      <c r="N338" s="3" t="s">
        <v>671</v>
      </c>
    </row>
    <row r="339" customFormat="false" ht="15" hidden="false" customHeight="false" outlineLevel="0" collapsed="false">
      <c r="A339" s="3" t="s">
        <v>666</v>
      </c>
      <c r="B339" s="3" t="s">
        <v>197</v>
      </c>
      <c r="C339" s="3" t="s">
        <v>16</v>
      </c>
      <c r="D339" s="3" t="s">
        <v>691</v>
      </c>
      <c r="E339" s="3" t="s">
        <v>695</v>
      </c>
      <c r="F339" s="3" t="s">
        <v>696</v>
      </c>
      <c r="G339" s="3" t="s">
        <v>697</v>
      </c>
      <c r="H339" s="3" t="n">
        <v>60</v>
      </c>
      <c r="I339" s="4" t="n">
        <v>8152</v>
      </c>
      <c r="J339" s="5" t="n">
        <v>11</v>
      </c>
      <c r="K339" s="6" t="n">
        <f aca="false">IF(J339=0,0,I339/J339)</f>
        <v>741.090909090909</v>
      </c>
      <c r="L339" s="4"/>
      <c r="M339" s="3" t="s">
        <v>698</v>
      </c>
      <c r="N339" s="3" t="s">
        <v>671</v>
      </c>
    </row>
    <row r="340" customFormat="false" ht="15" hidden="false" customHeight="false" outlineLevel="0" collapsed="false">
      <c r="A340" s="3" t="s">
        <v>666</v>
      </c>
      <c r="B340" s="3" t="s">
        <v>197</v>
      </c>
      <c r="C340" s="3" t="s">
        <v>16</v>
      </c>
      <c r="D340" s="3" t="s">
        <v>691</v>
      </c>
      <c r="E340" s="3" t="s">
        <v>699</v>
      </c>
      <c r="F340" s="3" t="s">
        <v>696</v>
      </c>
      <c r="G340" s="3" t="s">
        <v>700</v>
      </c>
      <c r="H340" s="3" t="n">
        <v>820000000</v>
      </c>
      <c r="I340" s="4" t="n">
        <v>8967</v>
      </c>
      <c r="J340" s="5" t="n">
        <v>10</v>
      </c>
      <c r="K340" s="6" t="n">
        <f aca="false">IF(J340=0,0,I340/J340)</f>
        <v>896.7</v>
      </c>
      <c r="L340" s="4"/>
      <c r="M340" s="3" t="s">
        <v>701</v>
      </c>
      <c r="N340" s="3" t="s">
        <v>671</v>
      </c>
    </row>
    <row r="341" customFormat="false" ht="15" hidden="false" customHeight="false" outlineLevel="0" collapsed="false">
      <c r="A341" s="3" t="s">
        <v>666</v>
      </c>
      <c r="B341" s="3" t="s">
        <v>47</v>
      </c>
      <c r="C341" s="3" t="s">
        <v>32</v>
      </c>
      <c r="D341" s="3" t="s">
        <v>702</v>
      </c>
      <c r="E341" s="3" t="s">
        <v>703</v>
      </c>
      <c r="F341" s="3" t="s">
        <v>105</v>
      </c>
      <c r="G341" s="3" t="s">
        <v>59</v>
      </c>
      <c r="H341" s="3" t="n">
        <v>2</v>
      </c>
      <c r="I341" s="4" t="n">
        <v>10838</v>
      </c>
      <c r="J341" s="5" t="n">
        <v>2</v>
      </c>
      <c r="K341" s="6" t="n">
        <f aca="false">IF(J341=0,0,I341/J341)</f>
        <v>5419</v>
      </c>
      <c r="L341" s="4"/>
      <c r="M341" s="3" t="s">
        <v>704</v>
      </c>
      <c r="N341" s="3" t="s">
        <v>671</v>
      </c>
    </row>
    <row r="342" customFormat="false" ht="15" hidden="false" customHeight="false" outlineLevel="0" collapsed="false">
      <c r="A342" s="3" t="s">
        <v>666</v>
      </c>
      <c r="B342" s="3" t="s">
        <v>47</v>
      </c>
      <c r="C342" s="3" t="s">
        <v>32</v>
      </c>
      <c r="D342" s="3" t="s">
        <v>702</v>
      </c>
      <c r="E342" s="3" t="s">
        <v>705</v>
      </c>
      <c r="F342" s="3" t="s">
        <v>105</v>
      </c>
      <c r="G342" s="3" t="s">
        <v>56</v>
      </c>
      <c r="H342" s="3" t="n">
        <v>150</v>
      </c>
      <c r="I342" s="4" t="n">
        <v>40000</v>
      </c>
      <c r="J342" s="5" t="n">
        <v>2</v>
      </c>
      <c r="K342" s="6" t="n">
        <f aca="false">IF(J342=0,0,I342/J342)</f>
        <v>20000</v>
      </c>
      <c r="L342" s="4"/>
      <c r="M342" s="3" t="s">
        <v>706</v>
      </c>
      <c r="N342" s="3" t="s">
        <v>671</v>
      </c>
    </row>
    <row r="343" customFormat="false" ht="15" hidden="false" customHeight="false" outlineLevel="0" collapsed="false">
      <c r="A343" s="3" t="s">
        <v>666</v>
      </c>
      <c r="B343" s="3" t="s">
        <v>47</v>
      </c>
      <c r="C343" s="3" t="s">
        <v>32</v>
      </c>
      <c r="D343" s="3" t="s">
        <v>702</v>
      </c>
      <c r="E343" s="3" t="s">
        <v>707</v>
      </c>
      <c r="F343" s="3" t="s">
        <v>29</v>
      </c>
      <c r="G343" s="3" t="s">
        <v>56</v>
      </c>
      <c r="H343" s="3" t="n">
        <v>30</v>
      </c>
      <c r="I343" s="4" t="n">
        <v>43382</v>
      </c>
      <c r="J343" s="5" t="n">
        <v>2</v>
      </c>
      <c r="K343" s="6" t="n">
        <f aca="false">IF(J343=0,0,I343/J343)</f>
        <v>21691</v>
      </c>
      <c r="L343" s="4"/>
      <c r="M343" s="3" t="s">
        <v>708</v>
      </c>
      <c r="N343" s="3" t="s">
        <v>671</v>
      </c>
    </row>
    <row r="344" customFormat="false" ht="15" hidden="false" customHeight="false" outlineLevel="0" collapsed="false">
      <c r="A344" s="3" t="s">
        <v>666</v>
      </c>
      <c r="B344" s="3" t="s">
        <v>107</v>
      </c>
      <c r="C344" s="3" t="s">
        <v>108</v>
      </c>
      <c r="D344" s="3" t="s">
        <v>709</v>
      </c>
      <c r="E344" s="3" t="s">
        <v>710</v>
      </c>
      <c r="F344" s="3" t="s">
        <v>711</v>
      </c>
      <c r="G344" s="3" t="s">
        <v>712</v>
      </c>
      <c r="H344" s="3" t="n">
        <v>30</v>
      </c>
      <c r="I344" s="4" t="n">
        <v>60000</v>
      </c>
      <c r="J344" s="5" t="n">
        <v>2</v>
      </c>
      <c r="K344" s="6" t="n">
        <f aca="false">IF(J344=0,0,I344/J344)</f>
        <v>30000</v>
      </c>
      <c r="L344" s="4"/>
      <c r="M344" s="3" t="s">
        <v>713</v>
      </c>
      <c r="N344" s="3" t="s">
        <v>671</v>
      </c>
    </row>
    <row r="345" customFormat="false" ht="15" hidden="false" customHeight="false" outlineLevel="0" collapsed="false">
      <c r="A345" s="3" t="s">
        <v>666</v>
      </c>
      <c r="B345" s="3" t="s">
        <v>107</v>
      </c>
      <c r="C345" s="3" t="s">
        <v>41</v>
      </c>
      <c r="D345" s="3" t="s">
        <v>667</v>
      </c>
      <c r="E345" s="3" t="s">
        <v>668</v>
      </c>
      <c r="F345" s="3" t="s">
        <v>669</v>
      </c>
      <c r="G345" s="3" t="s">
        <v>59</v>
      </c>
      <c r="H345" s="3" t="n">
        <v>25000</v>
      </c>
      <c r="I345" s="4" t="n">
        <v>82382</v>
      </c>
      <c r="J345" s="5" t="n">
        <v>2</v>
      </c>
      <c r="K345" s="6" t="n">
        <f aca="false">IF(J345=0,0,I345/J345)</f>
        <v>41191</v>
      </c>
      <c r="L345" s="4"/>
      <c r="M345" s="3" t="s">
        <v>714</v>
      </c>
      <c r="N345" s="3" t="s">
        <v>671</v>
      </c>
    </row>
    <row r="346" customFormat="false" ht="15" hidden="false" customHeight="false" outlineLevel="0" collapsed="false">
      <c r="A346" s="3" t="s">
        <v>666</v>
      </c>
      <c r="B346" s="3" t="s">
        <v>107</v>
      </c>
      <c r="C346" s="3" t="s">
        <v>41</v>
      </c>
      <c r="D346" s="3" t="s">
        <v>667</v>
      </c>
      <c r="E346" s="3" t="s">
        <v>672</v>
      </c>
      <c r="F346" s="3" t="s">
        <v>673</v>
      </c>
      <c r="G346" s="3" t="s">
        <v>59</v>
      </c>
      <c r="H346" s="3" t="n">
        <v>6000000</v>
      </c>
      <c r="I346" s="4" t="n">
        <v>82382</v>
      </c>
      <c r="J346" s="5" t="n">
        <v>2</v>
      </c>
      <c r="K346" s="6" t="n">
        <f aca="false">IF(J346=0,0,I346/J346)</f>
        <v>41191</v>
      </c>
      <c r="L346" s="4"/>
      <c r="M346" s="3" t="s">
        <v>715</v>
      </c>
      <c r="N346" s="3" t="s">
        <v>671</v>
      </c>
    </row>
    <row r="347" customFormat="false" ht="15" hidden="false" customHeight="false" outlineLevel="0" collapsed="false">
      <c r="A347" s="3" t="s">
        <v>666</v>
      </c>
      <c r="B347" s="3" t="s">
        <v>107</v>
      </c>
      <c r="C347" s="3" t="s">
        <v>41</v>
      </c>
      <c r="D347" s="3" t="s">
        <v>667</v>
      </c>
      <c r="E347" s="3" t="s">
        <v>716</v>
      </c>
      <c r="F347" s="3" t="s">
        <v>696</v>
      </c>
      <c r="G347" s="3" t="s">
        <v>717</v>
      </c>
      <c r="H347" s="3" t="n">
        <v>150000</v>
      </c>
      <c r="I347" s="4" t="n">
        <v>58723</v>
      </c>
      <c r="J347" s="5" t="n">
        <v>5</v>
      </c>
      <c r="K347" s="6" t="n">
        <f aca="false">IF(J347=0,0,I347/J347)</f>
        <v>11744.6</v>
      </c>
      <c r="L347" s="4"/>
      <c r="M347" s="3" t="s">
        <v>718</v>
      </c>
      <c r="N347" s="3" t="s">
        <v>671</v>
      </c>
    </row>
    <row r="348" customFormat="false" ht="15" hidden="false" customHeight="false" outlineLevel="0" collapsed="false">
      <c r="A348" s="3" t="s">
        <v>666</v>
      </c>
      <c r="B348" s="3" t="s">
        <v>107</v>
      </c>
      <c r="C348" s="3" t="s">
        <v>16</v>
      </c>
      <c r="D348" s="3" t="s">
        <v>691</v>
      </c>
      <c r="E348" s="3" t="s">
        <v>719</v>
      </c>
      <c r="F348" s="3" t="s">
        <v>696</v>
      </c>
      <c r="G348" s="3" t="s">
        <v>720</v>
      </c>
      <c r="H348" s="3" t="n">
        <v>20000000</v>
      </c>
      <c r="I348" s="4" t="n">
        <v>40760</v>
      </c>
      <c r="J348" s="5" t="n">
        <v>3</v>
      </c>
      <c r="K348" s="6" t="n">
        <f aca="false">IF(J348=0,0,I348/J348)</f>
        <v>13586.6666666667</v>
      </c>
      <c r="L348" s="4"/>
      <c r="M348" s="3" t="s">
        <v>721</v>
      </c>
      <c r="N348" s="3" t="s">
        <v>671</v>
      </c>
    </row>
    <row r="349" customFormat="false" ht="15" hidden="false" customHeight="false" outlineLevel="0" collapsed="false">
      <c r="A349" s="3" t="s">
        <v>666</v>
      </c>
      <c r="B349" s="3" t="s">
        <v>219</v>
      </c>
      <c r="C349" s="3" t="s">
        <v>16</v>
      </c>
      <c r="D349" s="3" t="s">
        <v>691</v>
      </c>
      <c r="E349" s="3" t="s">
        <v>722</v>
      </c>
      <c r="F349" s="3" t="s">
        <v>696</v>
      </c>
      <c r="G349" s="3" t="s">
        <v>723</v>
      </c>
      <c r="H349" s="3" t="n">
        <v>820000000</v>
      </c>
      <c r="I349" s="4" t="n">
        <v>150000</v>
      </c>
      <c r="J349" s="5" t="n">
        <v>11</v>
      </c>
      <c r="K349" s="6" t="n">
        <f aca="false">IF(J349=0,0,I349/J349)</f>
        <v>13636.3636363636</v>
      </c>
      <c r="L349" s="4"/>
      <c r="M349" s="3" t="s">
        <v>724</v>
      </c>
      <c r="N349" s="3" t="s">
        <v>671</v>
      </c>
    </row>
    <row r="350" customFormat="false" ht="15" hidden="false" customHeight="false" outlineLevel="0" collapsed="false">
      <c r="A350" s="3" t="s">
        <v>666</v>
      </c>
      <c r="B350" s="3" t="s">
        <v>219</v>
      </c>
      <c r="C350" s="3" t="s">
        <v>16</v>
      </c>
      <c r="D350" s="3" t="s">
        <v>691</v>
      </c>
      <c r="E350" s="3" t="s">
        <v>725</v>
      </c>
      <c r="F350" s="3" t="s">
        <v>44</v>
      </c>
      <c r="G350" s="3" t="s">
        <v>726</v>
      </c>
      <c r="H350" s="3" t="n">
        <v>60</v>
      </c>
      <c r="I350" s="4" t="n">
        <v>125000</v>
      </c>
      <c r="J350" s="5" t="n">
        <v>11</v>
      </c>
      <c r="K350" s="6" t="n">
        <f aca="false">IF(J350=0,0,I350/J350)</f>
        <v>11363.6363636364</v>
      </c>
      <c r="L350" s="4"/>
      <c r="M350" s="3" t="s">
        <v>727</v>
      </c>
      <c r="N350" s="3" t="s">
        <v>671</v>
      </c>
    </row>
    <row r="351" customFormat="false" ht="15" hidden="false" customHeight="false" outlineLevel="0" collapsed="false">
      <c r="A351" s="3" t="s">
        <v>666</v>
      </c>
      <c r="B351" s="3" t="s">
        <v>220</v>
      </c>
      <c r="C351" s="3" t="s">
        <v>32</v>
      </c>
      <c r="D351" s="3" t="s">
        <v>702</v>
      </c>
      <c r="E351" s="3" t="s">
        <v>728</v>
      </c>
      <c r="F351" s="3" t="s">
        <v>29</v>
      </c>
      <c r="G351" s="3" t="s">
        <v>729</v>
      </c>
      <c r="H351" s="3" t="n">
        <v>20</v>
      </c>
      <c r="I351" s="4" t="n">
        <v>40000</v>
      </c>
      <c r="J351" s="5" t="n">
        <v>7</v>
      </c>
      <c r="K351" s="6" t="n">
        <f aca="false">IF(J351=0,0,I351/J351)</f>
        <v>5714.28571428572</v>
      </c>
      <c r="L351" s="4"/>
      <c r="M351" s="3" t="s">
        <v>730</v>
      </c>
      <c r="N351" s="3" t="s">
        <v>671</v>
      </c>
    </row>
    <row r="352" customFormat="false" ht="15" hidden="false" customHeight="false" outlineLevel="0" collapsed="false">
      <c r="A352" s="3" t="s">
        <v>666</v>
      </c>
      <c r="B352" s="3" t="s">
        <v>124</v>
      </c>
      <c r="C352" s="3" t="s">
        <v>41</v>
      </c>
      <c r="D352" s="3" t="s">
        <v>675</v>
      </c>
      <c r="E352" s="3" t="s">
        <v>676</v>
      </c>
      <c r="F352" s="3" t="s">
        <v>677</v>
      </c>
      <c r="G352" s="3" t="s">
        <v>93</v>
      </c>
      <c r="H352" s="3" t="n">
        <v>10000</v>
      </c>
      <c r="I352" s="4" t="n">
        <v>66542</v>
      </c>
      <c r="J352" s="5" t="n">
        <v>1</v>
      </c>
      <c r="K352" s="6" t="n">
        <f aca="false">IF(J352=0,0,I352/J352)</f>
        <v>66542</v>
      </c>
      <c r="L352" s="4"/>
      <c r="M352" s="3" t="s">
        <v>731</v>
      </c>
      <c r="N352" s="3" t="s">
        <v>671</v>
      </c>
    </row>
    <row r="353" customFormat="false" ht="15" hidden="false" customHeight="false" outlineLevel="0" collapsed="false">
      <c r="A353" s="3" t="s">
        <v>666</v>
      </c>
      <c r="B353" s="3" t="s">
        <v>124</v>
      </c>
      <c r="C353" s="3" t="s">
        <v>41</v>
      </c>
      <c r="D353" s="3" t="s">
        <v>675</v>
      </c>
      <c r="E353" s="3" t="s">
        <v>679</v>
      </c>
      <c r="F353" s="3" t="s">
        <v>680</v>
      </c>
      <c r="G353" s="3" t="s">
        <v>93</v>
      </c>
      <c r="H353" s="3" t="n">
        <v>1330</v>
      </c>
      <c r="I353" s="4" t="n">
        <v>56542</v>
      </c>
      <c r="J353" s="5" t="n">
        <v>1</v>
      </c>
      <c r="K353" s="6" t="n">
        <f aca="false">IF(J353=0,0,I353/J353)</f>
        <v>56542</v>
      </c>
      <c r="L353" s="4"/>
      <c r="M353" s="3" t="s">
        <v>732</v>
      </c>
      <c r="N353" s="3" t="s">
        <v>671</v>
      </c>
    </row>
    <row r="354" customFormat="false" ht="15" hidden="false" customHeight="false" outlineLevel="0" collapsed="false">
      <c r="A354" s="3" t="s">
        <v>666</v>
      </c>
      <c r="B354" s="3" t="s">
        <v>124</v>
      </c>
      <c r="C354" s="3" t="s">
        <v>41</v>
      </c>
      <c r="D354" s="3" t="s">
        <v>675</v>
      </c>
      <c r="E354" s="3" t="s">
        <v>682</v>
      </c>
      <c r="F354" s="3" t="s">
        <v>669</v>
      </c>
      <c r="G354" s="3" t="s">
        <v>93</v>
      </c>
      <c r="H354" s="3" t="n">
        <v>3333</v>
      </c>
      <c r="I354" s="4" t="n">
        <v>56542</v>
      </c>
      <c r="J354" s="5" t="n">
        <v>1</v>
      </c>
      <c r="K354" s="6" t="n">
        <f aca="false">IF(J354=0,0,I354/J354)</f>
        <v>56542</v>
      </c>
      <c r="L354" s="4"/>
      <c r="M354" s="3" t="s">
        <v>733</v>
      </c>
      <c r="N354" s="3" t="s">
        <v>671</v>
      </c>
    </row>
    <row r="355" customFormat="false" ht="15" hidden="false" customHeight="false" outlineLevel="0" collapsed="false">
      <c r="A355" s="3" t="s">
        <v>666</v>
      </c>
      <c r="B355" s="3" t="s">
        <v>124</v>
      </c>
      <c r="C355" s="3" t="s">
        <v>41</v>
      </c>
      <c r="D355" s="3" t="s">
        <v>675</v>
      </c>
      <c r="E355" s="3" t="s">
        <v>684</v>
      </c>
      <c r="F355" s="3" t="s">
        <v>680</v>
      </c>
      <c r="G355" s="3" t="s">
        <v>93</v>
      </c>
      <c r="H355" s="3" t="n">
        <v>1350</v>
      </c>
      <c r="I355" s="4" t="n">
        <v>56542</v>
      </c>
      <c r="J355" s="5" t="n">
        <v>1</v>
      </c>
      <c r="K355" s="6" t="n">
        <f aca="false">IF(J355=0,0,I355/J355)</f>
        <v>56542</v>
      </c>
      <c r="L355" s="4"/>
      <c r="M355" s="3" t="s">
        <v>734</v>
      </c>
      <c r="N355" s="3" t="s">
        <v>671</v>
      </c>
    </row>
    <row r="356" customFormat="false" ht="15" hidden="false" customHeight="false" outlineLevel="0" collapsed="false">
      <c r="A356" s="3" t="s">
        <v>666</v>
      </c>
      <c r="B356" s="3" t="s">
        <v>124</v>
      </c>
      <c r="C356" s="3" t="s">
        <v>67</v>
      </c>
      <c r="D356" s="3" t="s">
        <v>735</v>
      </c>
      <c r="E356" s="3" t="s">
        <v>736</v>
      </c>
      <c r="F356" s="3" t="s">
        <v>737</v>
      </c>
      <c r="G356" s="3" t="s">
        <v>738</v>
      </c>
      <c r="H356" s="3" t="n">
        <v>400000000</v>
      </c>
      <c r="I356" s="4" t="n">
        <v>25000</v>
      </c>
      <c r="J356" s="5" t="n">
        <v>5</v>
      </c>
      <c r="K356" s="6" t="n">
        <f aca="false">IF(J356=0,0,I356/J356)</f>
        <v>5000</v>
      </c>
      <c r="L356" s="4"/>
      <c r="M356" s="3" t="s">
        <v>739</v>
      </c>
      <c r="N356" s="3" t="s">
        <v>671</v>
      </c>
    </row>
    <row r="357" customFormat="false" ht="15" hidden="false" customHeight="false" outlineLevel="0" collapsed="false">
      <c r="A357" s="3" t="s">
        <v>666</v>
      </c>
      <c r="B357" s="3" t="s">
        <v>124</v>
      </c>
      <c r="C357" s="3" t="s">
        <v>16</v>
      </c>
      <c r="D357" s="3" t="s">
        <v>691</v>
      </c>
      <c r="E357" s="3" t="s">
        <v>740</v>
      </c>
      <c r="F357" s="3" t="s">
        <v>29</v>
      </c>
      <c r="G357" s="3" t="s">
        <v>720</v>
      </c>
      <c r="H357" s="3" t="n">
        <v>30</v>
      </c>
      <c r="I357" s="4" t="n">
        <v>147271</v>
      </c>
      <c r="J357" s="5" t="n">
        <v>3</v>
      </c>
      <c r="K357" s="6" t="n">
        <f aca="false">IF(J357=0,0,I357/J357)</f>
        <v>49090.3333333333</v>
      </c>
      <c r="L357" s="4"/>
      <c r="M357" s="3" t="s">
        <v>741</v>
      </c>
      <c r="N357" s="3" t="s">
        <v>671</v>
      </c>
    </row>
    <row r="358" customFormat="false" ht="15" hidden="false" customHeight="false" outlineLevel="0" collapsed="false">
      <c r="A358" s="3" t="s">
        <v>666</v>
      </c>
      <c r="B358" s="3" t="s">
        <v>231</v>
      </c>
      <c r="C358" s="3" t="s">
        <v>41</v>
      </c>
      <c r="D358" s="3" t="s">
        <v>667</v>
      </c>
      <c r="E358" s="3" t="s">
        <v>716</v>
      </c>
      <c r="F358" s="3" t="s">
        <v>696</v>
      </c>
      <c r="G358" s="3" t="s">
        <v>717</v>
      </c>
      <c r="H358" s="3" t="n">
        <v>150000</v>
      </c>
      <c r="I358" s="4" t="n">
        <v>222669</v>
      </c>
      <c r="J358" s="5" t="n">
        <v>5</v>
      </c>
      <c r="K358" s="6" t="n">
        <f aca="false">IF(J358=0,0,I358/J358)</f>
        <v>44533.8</v>
      </c>
      <c r="L358" s="4"/>
      <c r="M358" s="3" t="s">
        <v>742</v>
      </c>
      <c r="N358" s="3" t="s">
        <v>671</v>
      </c>
    </row>
    <row r="359" customFormat="false" ht="15" hidden="false" customHeight="false" outlineLevel="0" collapsed="false">
      <c r="A359" s="3" t="s">
        <v>666</v>
      </c>
      <c r="B359" s="3" t="s">
        <v>231</v>
      </c>
      <c r="C359" s="3" t="s">
        <v>16</v>
      </c>
      <c r="D359" s="3" t="s">
        <v>691</v>
      </c>
      <c r="E359" s="3" t="s">
        <v>743</v>
      </c>
      <c r="F359" s="3" t="s">
        <v>696</v>
      </c>
      <c r="G359" s="3" t="s">
        <v>744</v>
      </c>
      <c r="H359" s="3" t="n">
        <v>320000000</v>
      </c>
      <c r="I359" s="4" t="n">
        <v>27608</v>
      </c>
      <c r="J359" s="5" t="n">
        <v>7</v>
      </c>
      <c r="K359" s="6" t="n">
        <f aca="false">IF(J359=0,0,I359/J359)</f>
        <v>3944</v>
      </c>
      <c r="L359" s="4"/>
      <c r="M359" s="3" t="s">
        <v>745</v>
      </c>
      <c r="N359" s="3" t="s">
        <v>671</v>
      </c>
    </row>
    <row r="360" customFormat="false" ht="15" hidden="false" customHeight="false" outlineLevel="0" collapsed="false">
      <c r="A360" s="3" t="s">
        <v>666</v>
      </c>
      <c r="B360" s="3" t="s">
        <v>231</v>
      </c>
      <c r="C360" s="3" t="s">
        <v>16</v>
      </c>
      <c r="D360" s="3" t="s">
        <v>691</v>
      </c>
      <c r="E360" s="3" t="s">
        <v>746</v>
      </c>
      <c r="F360" s="3" t="s">
        <v>696</v>
      </c>
      <c r="G360" s="3" t="s">
        <v>747</v>
      </c>
      <c r="H360" s="3" t="n">
        <v>10000000</v>
      </c>
      <c r="I360" s="4" t="n">
        <v>27458</v>
      </c>
      <c r="J360" s="5" t="n">
        <v>7</v>
      </c>
      <c r="K360" s="6" t="n">
        <f aca="false">IF(J360=0,0,I360/J360)</f>
        <v>3922.57142857143</v>
      </c>
      <c r="L360" s="4"/>
      <c r="M360" s="3" t="s">
        <v>748</v>
      </c>
      <c r="N360" s="3" t="s">
        <v>671</v>
      </c>
    </row>
    <row r="361" customFormat="false" ht="15" hidden="false" customHeight="false" outlineLevel="0" collapsed="false">
      <c r="A361" s="3" t="s">
        <v>666</v>
      </c>
      <c r="B361" s="3" t="s">
        <v>231</v>
      </c>
      <c r="C361" s="3" t="s">
        <v>32</v>
      </c>
      <c r="D361" s="3" t="s">
        <v>702</v>
      </c>
      <c r="E361" s="3" t="s">
        <v>749</v>
      </c>
      <c r="F361" s="3" t="s">
        <v>29</v>
      </c>
      <c r="G361" s="3" t="s">
        <v>750</v>
      </c>
      <c r="H361" s="3" t="n">
        <v>5</v>
      </c>
      <c r="I361" s="4" t="n">
        <v>18000</v>
      </c>
      <c r="J361" s="5" t="n">
        <v>4</v>
      </c>
      <c r="K361" s="6" t="n">
        <f aca="false">IF(J361=0,0,I361/J361)</f>
        <v>4500</v>
      </c>
      <c r="L361" s="4"/>
      <c r="M361" s="3" t="s">
        <v>751</v>
      </c>
      <c r="N361" s="3" t="s">
        <v>671</v>
      </c>
    </row>
    <row r="362" customFormat="false" ht="15" hidden="false" customHeight="false" outlineLevel="0" collapsed="false">
      <c r="A362" s="3" t="s">
        <v>666</v>
      </c>
      <c r="B362" s="3" t="s">
        <v>231</v>
      </c>
      <c r="C362" s="3" t="s">
        <v>32</v>
      </c>
      <c r="D362" s="3" t="s">
        <v>702</v>
      </c>
      <c r="E362" s="3" t="s">
        <v>752</v>
      </c>
      <c r="F362" s="3" t="s">
        <v>696</v>
      </c>
      <c r="G362" s="3" t="s">
        <v>753</v>
      </c>
      <c r="H362" s="3" t="n">
        <v>2000000</v>
      </c>
      <c r="I362" s="4" t="n">
        <v>25000</v>
      </c>
      <c r="J362" s="5" t="n">
        <v>3</v>
      </c>
      <c r="K362" s="6" t="n">
        <f aca="false">IF(J362=0,0,I362/J362)</f>
        <v>8333.33333333333</v>
      </c>
      <c r="L362" s="4"/>
      <c r="M362" s="3" t="s">
        <v>754</v>
      </c>
      <c r="N362" s="3" t="s">
        <v>671</v>
      </c>
    </row>
    <row r="363" customFormat="false" ht="15" hidden="false" customHeight="false" outlineLevel="0" collapsed="false">
      <c r="A363" s="3" t="s">
        <v>666</v>
      </c>
      <c r="B363" s="3" t="s">
        <v>231</v>
      </c>
      <c r="C363" s="3" t="s">
        <v>32</v>
      </c>
      <c r="D363" s="3" t="s">
        <v>702</v>
      </c>
      <c r="E363" s="3" t="s">
        <v>755</v>
      </c>
      <c r="F363" s="3" t="s">
        <v>29</v>
      </c>
      <c r="G363" s="3" t="s">
        <v>753</v>
      </c>
      <c r="H363" s="3" t="n">
        <v>75</v>
      </c>
      <c r="I363" s="4" t="n">
        <v>24000</v>
      </c>
      <c r="J363" s="5" t="n">
        <v>3</v>
      </c>
      <c r="K363" s="6" t="n">
        <f aca="false">IF(J363=0,0,I363/J363)</f>
        <v>8000</v>
      </c>
      <c r="L363" s="4"/>
      <c r="M363" s="3" t="s">
        <v>756</v>
      </c>
      <c r="N363" s="3" t="s">
        <v>671</v>
      </c>
    </row>
    <row r="364" customFormat="false" ht="15" hidden="false" customHeight="false" outlineLevel="0" collapsed="false">
      <c r="A364" s="3" t="s">
        <v>666</v>
      </c>
      <c r="B364" s="3" t="s">
        <v>231</v>
      </c>
      <c r="C364" s="3" t="s">
        <v>32</v>
      </c>
      <c r="D364" s="3" t="s">
        <v>702</v>
      </c>
      <c r="E364" s="3" t="s">
        <v>757</v>
      </c>
      <c r="F364" s="3" t="s">
        <v>29</v>
      </c>
      <c r="G364" s="3" t="s">
        <v>758</v>
      </c>
      <c r="H364" s="3" t="n">
        <v>200</v>
      </c>
      <c r="I364" s="4" t="n">
        <v>24000</v>
      </c>
      <c r="J364" s="5" t="n">
        <v>3</v>
      </c>
      <c r="K364" s="6" t="n">
        <f aca="false">IF(J364=0,0,I364/J364)</f>
        <v>8000</v>
      </c>
      <c r="L364" s="4"/>
      <c r="M364" s="3" t="s">
        <v>759</v>
      </c>
      <c r="N364" s="3" t="s">
        <v>671</v>
      </c>
    </row>
    <row r="365" customFormat="false" ht="15" hidden="false" customHeight="false" outlineLevel="0" collapsed="false">
      <c r="A365" s="3" t="s">
        <v>666</v>
      </c>
      <c r="B365" s="3" t="s">
        <v>231</v>
      </c>
      <c r="C365" s="3" t="s">
        <v>32</v>
      </c>
      <c r="D365" s="3" t="s">
        <v>760</v>
      </c>
      <c r="E365" s="3" t="s">
        <v>761</v>
      </c>
      <c r="F365" s="3" t="s">
        <v>29</v>
      </c>
      <c r="G365" s="3" t="s">
        <v>753</v>
      </c>
      <c r="H365" s="3" t="n">
        <v>10</v>
      </c>
      <c r="I365" s="4" t="n">
        <v>24000</v>
      </c>
      <c r="J365" s="5" t="n">
        <v>3</v>
      </c>
      <c r="K365" s="6" t="n">
        <f aca="false">IF(J365=0,0,I365/J365)</f>
        <v>8000</v>
      </c>
      <c r="L365" s="4"/>
      <c r="M365" s="3" t="s">
        <v>762</v>
      </c>
      <c r="N365" s="3" t="s">
        <v>671</v>
      </c>
    </row>
    <row r="366" customFormat="false" ht="15" hidden="false" customHeight="false" outlineLevel="0" collapsed="false">
      <c r="A366" s="3" t="s">
        <v>763</v>
      </c>
      <c r="B366" s="3" t="s">
        <v>151</v>
      </c>
      <c r="C366" s="3" t="s">
        <v>108</v>
      </c>
      <c r="D366" s="3" t="s">
        <v>764</v>
      </c>
      <c r="E366" s="3" t="s">
        <v>765</v>
      </c>
      <c r="F366" s="3" t="s">
        <v>105</v>
      </c>
      <c r="G366" s="3" t="s">
        <v>766</v>
      </c>
      <c r="H366" s="3" t="n">
        <v>2</v>
      </c>
      <c r="I366" s="4" t="n">
        <v>50000</v>
      </c>
      <c r="J366" s="5" t="n">
        <v>2</v>
      </c>
      <c r="K366" s="6" t="n">
        <f aca="false">IF(J366=0,0,I366/J366)</f>
        <v>25000</v>
      </c>
      <c r="L366" s="4"/>
      <c r="M366" s="3" t="s">
        <v>767</v>
      </c>
      <c r="N366" s="3" t="s">
        <v>768</v>
      </c>
    </row>
    <row r="367" customFormat="false" ht="15" hidden="false" customHeight="false" outlineLevel="0" collapsed="false">
      <c r="A367" s="3" t="s">
        <v>763</v>
      </c>
      <c r="B367" s="3" t="s">
        <v>151</v>
      </c>
      <c r="C367" s="3" t="s">
        <v>108</v>
      </c>
      <c r="D367" s="3" t="s">
        <v>764</v>
      </c>
      <c r="E367" s="3" t="s">
        <v>769</v>
      </c>
      <c r="F367" s="3" t="s">
        <v>105</v>
      </c>
      <c r="G367" s="3" t="s">
        <v>770</v>
      </c>
      <c r="H367" s="3" t="n">
        <v>1</v>
      </c>
      <c r="I367" s="4" t="n">
        <v>42500</v>
      </c>
      <c r="J367" s="5" t="n">
        <v>2</v>
      </c>
      <c r="K367" s="6" t="n">
        <f aca="false">IF(J367=0,0,I367/J367)</f>
        <v>21250</v>
      </c>
      <c r="L367" s="4"/>
      <c r="M367" s="3" t="s">
        <v>767</v>
      </c>
      <c r="N367" s="3" t="s">
        <v>768</v>
      </c>
    </row>
    <row r="368" customFormat="false" ht="15" hidden="false" customHeight="false" outlineLevel="0" collapsed="false">
      <c r="A368" s="3" t="s">
        <v>763</v>
      </c>
      <c r="B368" s="3" t="s">
        <v>151</v>
      </c>
      <c r="C368" s="3" t="s">
        <v>108</v>
      </c>
      <c r="D368" s="3" t="s">
        <v>764</v>
      </c>
      <c r="E368" s="3" t="s">
        <v>771</v>
      </c>
      <c r="F368" s="3" t="s">
        <v>105</v>
      </c>
      <c r="G368" s="3" t="s">
        <v>93</v>
      </c>
      <c r="H368" s="3" t="n">
        <v>1</v>
      </c>
      <c r="I368" s="4" t="n">
        <v>50000</v>
      </c>
      <c r="J368" s="5" t="n">
        <v>1</v>
      </c>
      <c r="K368" s="6" t="n">
        <f aca="false">IF(J368=0,0,I368/J368)</f>
        <v>50000</v>
      </c>
      <c r="L368" s="4"/>
      <c r="M368" s="3"/>
      <c r="N368" s="3" t="s">
        <v>768</v>
      </c>
    </row>
    <row r="369" customFormat="false" ht="15" hidden="false" customHeight="false" outlineLevel="0" collapsed="false">
      <c r="A369" s="3" t="s">
        <v>763</v>
      </c>
      <c r="B369" s="3" t="s">
        <v>151</v>
      </c>
      <c r="C369" s="3" t="s">
        <v>108</v>
      </c>
      <c r="D369" s="3" t="s">
        <v>764</v>
      </c>
      <c r="E369" s="3" t="s">
        <v>772</v>
      </c>
      <c r="F369" s="3" t="s">
        <v>105</v>
      </c>
      <c r="G369" s="3" t="s">
        <v>773</v>
      </c>
      <c r="H369" s="3" t="n">
        <v>1</v>
      </c>
      <c r="I369" s="4" t="n">
        <v>38750</v>
      </c>
      <c r="J369" s="5" t="n">
        <v>2</v>
      </c>
      <c r="K369" s="6" t="n">
        <f aca="false">IF(J369=0,0,I369/J369)</f>
        <v>19375</v>
      </c>
      <c r="L369" s="4"/>
      <c r="M369" s="3" t="s">
        <v>774</v>
      </c>
      <c r="N369" s="3" t="s">
        <v>768</v>
      </c>
    </row>
    <row r="370" customFormat="false" ht="15" hidden="false" customHeight="false" outlineLevel="0" collapsed="false">
      <c r="A370" s="3" t="s">
        <v>763</v>
      </c>
      <c r="B370" s="3" t="s">
        <v>151</v>
      </c>
      <c r="C370" s="3" t="s">
        <v>108</v>
      </c>
      <c r="D370" s="3" t="s">
        <v>764</v>
      </c>
      <c r="E370" s="3" t="s">
        <v>775</v>
      </c>
      <c r="F370" s="3" t="s">
        <v>105</v>
      </c>
      <c r="G370" s="3" t="s">
        <v>776</v>
      </c>
      <c r="H370" s="3" t="n">
        <v>3</v>
      </c>
      <c r="I370" s="4" t="n">
        <v>50000</v>
      </c>
      <c r="J370" s="5" t="n">
        <v>2</v>
      </c>
      <c r="K370" s="6" t="n">
        <f aca="false">IF(J370=0,0,I370/J370)</f>
        <v>25000</v>
      </c>
      <c r="L370" s="4"/>
      <c r="M370" s="3"/>
      <c r="N370" s="3" t="s">
        <v>768</v>
      </c>
    </row>
    <row r="371" customFormat="false" ht="15" hidden="false" customHeight="false" outlineLevel="0" collapsed="false">
      <c r="A371" s="3" t="s">
        <v>763</v>
      </c>
      <c r="B371" s="3" t="s">
        <v>47</v>
      </c>
      <c r="C371" s="3" t="s">
        <v>108</v>
      </c>
      <c r="D371" s="3" t="s">
        <v>777</v>
      </c>
      <c r="E371" s="3" t="s">
        <v>778</v>
      </c>
      <c r="F371" s="3" t="s">
        <v>105</v>
      </c>
      <c r="G371" s="3" t="s">
        <v>93</v>
      </c>
      <c r="H371" s="3" t="n">
        <v>1</v>
      </c>
      <c r="I371" s="4" t="n">
        <v>50000</v>
      </c>
      <c r="J371" s="5" t="n">
        <v>1</v>
      </c>
      <c r="K371" s="6" t="n">
        <f aca="false">IF(J371=0,0,I371/J371)</f>
        <v>50000</v>
      </c>
      <c r="L371" s="4"/>
      <c r="M371" s="3"/>
      <c r="N371" s="3" t="s">
        <v>768</v>
      </c>
    </row>
    <row r="372" customFormat="false" ht="15" hidden="false" customHeight="false" outlineLevel="0" collapsed="false">
      <c r="A372" s="3" t="s">
        <v>763</v>
      </c>
      <c r="B372" s="3" t="s">
        <v>47</v>
      </c>
      <c r="C372" s="3" t="s">
        <v>108</v>
      </c>
      <c r="D372" s="3" t="s">
        <v>777</v>
      </c>
      <c r="E372" s="3" t="s">
        <v>779</v>
      </c>
      <c r="F372" s="3" t="s">
        <v>44</v>
      </c>
      <c r="G372" s="3" t="s">
        <v>93</v>
      </c>
      <c r="H372" s="3" t="n">
        <v>2</v>
      </c>
      <c r="I372" s="4" t="n">
        <v>50000</v>
      </c>
      <c r="J372" s="5" t="n">
        <v>1</v>
      </c>
      <c r="K372" s="6" t="n">
        <f aca="false">IF(J372=0,0,I372/J372)</f>
        <v>50000</v>
      </c>
      <c r="L372" s="4"/>
      <c r="M372" s="3" t="s">
        <v>780</v>
      </c>
      <c r="N372" s="3" t="s">
        <v>768</v>
      </c>
    </row>
    <row r="373" customFormat="false" ht="15" hidden="false" customHeight="false" outlineLevel="0" collapsed="false">
      <c r="A373" s="3" t="s">
        <v>763</v>
      </c>
      <c r="B373" s="3" t="s">
        <v>47</v>
      </c>
      <c r="C373" s="3" t="s">
        <v>41</v>
      </c>
      <c r="D373" s="3" t="s">
        <v>781</v>
      </c>
      <c r="E373" s="3" t="s">
        <v>782</v>
      </c>
      <c r="F373" s="3" t="s">
        <v>105</v>
      </c>
      <c r="G373" s="3" t="s">
        <v>93</v>
      </c>
      <c r="H373" s="3" t="n">
        <v>1</v>
      </c>
      <c r="I373" s="4" t="n">
        <v>38000</v>
      </c>
      <c r="J373" s="5" t="n">
        <v>1</v>
      </c>
      <c r="K373" s="6" t="n">
        <f aca="false">IF(J373=0,0,I373/J373)</f>
        <v>38000</v>
      </c>
      <c r="L373" s="4"/>
      <c r="M373" s="3" t="s">
        <v>783</v>
      </c>
      <c r="N373" s="3" t="s">
        <v>768</v>
      </c>
    </row>
    <row r="374" customFormat="false" ht="15" hidden="false" customHeight="false" outlineLevel="0" collapsed="false">
      <c r="A374" s="3" t="s">
        <v>763</v>
      </c>
      <c r="B374" s="3" t="s">
        <v>47</v>
      </c>
      <c r="C374" s="3" t="s">
        <v>41</v>
      </c>
      <c r="D374" s="3" t="s">
        <v>781</v>
      </c>
      <c r="E374" s="3" t="s">
        <v>784</v>
      </c>
      <c r="F374" s="3" t="s">
        <v>105</v>
      </c>
      <c r="G374" s="3" t="s">
        <v>93</v>
      </c>
      <c r="H374" s="3" t="n">
        <v>1</v>
      </c>
      <c r="I374" s="4" t="n">
        <v>45000</v>
      </c>
      <c r="J374" s="5" t="n">
        <v>1</v>
      </c>
      <c r="K374" s="6" t="n">
        <f aca="false">IF(J374=0,0,I374/J374)</f>
        <v>45000</v>
      </c>
      <c r="L374" s="4"/>
      <c r="M374" s="3"/>
      <c r="N374" s="3" t="s">
        <v>768</v>
      </c>
    </row>
    <row r="375" customFormat="false" ht="15" hidden="false" customHeight="false" outlineLevel="0" collapsed="false">
      <c r="A375" s="3" t="s">
        <v>763</v>
      </c>
      <c r="B375" s="3" t="s">
        <v>47</v>
      </c>
      <c r="C375" s="3" t="s">
        <v>41</v>
      </c>
      <c r="D375" s="3" t="s">
        <v>781</v>
      </c>
      <c r="E375" s="3" t="s">
        <v>785</v>
      </c>
      <c r="F375" s="3" t="s">
        <v>105</v>
      </c>
      <c r="G375" s="3" t="s">
        <v>93</v>
      </c>
      <c r="H375" s="3" t="n">
        <v>1</v>
      </c>
      <c r="I375" s="4" t="n">
        <v>48250</v>
      </c>
      <c r="J375" s="5" t="n">
        <v>1</v>
      </c>
      <c r="K375" s="6" t="n">
        <f aca="false">IF(J375=0,0,I375/J375)</f>
        <v>48250</v>
      </c>
      <c r="L375" s="4"/>
      <c r="M375" s="3"/>
      <c r="N375" s="3" t="s">
        <v>768</v>
      </c>
    </row>
    <row r="376" customFormat="false" ht="15" hidden="false" customHeight="false" outlineLevel="0" collapsed="false">
      <c r="A376" s="3" t="s">
        <v>763</v>
      </c>
      <c r="B376" s="3" t="s">
        <v>107</v>
      </c>
      <c r="C376" s="3" t="s">
        <v>108</v>
      </c>
      <c r="D376" s="3" t="s">
        <v>786</v>
      </c>
      <c r="E376" s="3" t="s">
        <v>787</v>
      </c>
      <c r="F376" s="3" t="s">
        <v>105</v>
      </c>
      <c r="G376" s="3" t="s">
        <v>93</v>
      </c>
      <c r="H376" s="3" t="n">
        <v>2</v>
      </c>
      <c r="I376" s="4" t="n">
        <v>70000</v>
      </c>
      <c r="J376" s="5" t="n">
        <v>1</v>
      </c>
      <c r="K376" s="6" t="n">
        <f aca="false">IF(J376=0,0,I376/J376)</f>
        <v>70000</v>
      </c>
      <c r="L376" s="4"/>
      <c r="M376" s="3" t="s">
        <v>788</v>
      </c>
      <c r="N376" s="3" t="s">
        <v>768</v>
      </c>
    </row>
    <row r="377" customFormat="false" ht="15" hidden="false" customHeight="false" outlineLevel="0" collapsed="false">
      <c r="A377" s="3" t="s">
        <v>763</v>
      </c>
      <c r="B377" s="3" t="s">
        <v>107</v>
      </c>
      <c r="C377" s="3" t="s">
        <v>108</v>
      </c>
      <c r="D377" s="3" t="s">
        <v>764</v>
      </c>
      <c r="E377" s="3" t="s">
        <v>789</v>
      </c>
      <c r="F377" s="3" t="s">
        <v>105</v>
      </c>
      <c r="G377" s="3" t="s">
        <v>93</v>
      </c>
      <c r="H377" s="3" t="n">
        <v>3</v>
      </c>
      <c r="I377" s="4" t="n">
        <v>66000</v>
      </c>
      <c r="J377" s="5" t="n">
        <v>1</v>
      </c>
      <c r="K377" s="6" t="n">
        <f aca="false">IF(J377=0,0,I377/J377)</f>
        <v>66000</v>
      </c>
      <c r="L377" s="4"/>
      <c r="M377" s="3" t="s">
        <v>790</v>
      </c>
      <c r="N377" s="3" t="s">
        <v>768</v>
      </c>
    </row>
    <row r="378" customFormat="false" ht="15" hidden="false" customHeight="false" outlineLevel="0" collapsed="false">
      <c r="A378" s="3" t="s">
        <v>763</v>
      </c>
      <c r="B378" s="3" t="s">
        <v>124</v>
      </c>
      <c r="C378" s="3" t="s">
        <v>108</v>
      </c>
      <c r="D378" s="3" t="s">
        <v>777</v>
      </c>
      <c r="E378" s="3" t="s">
        <v>779</v>
      </c>
      <c r="F378" s="3" t="s">
        <v>44</v>
      </c>
      <c r="G378" s="3" t="s">
        <v>93</v>
      </c>
      <c r="H378" s="3" t="n">
        <v>1</v>
      </c>
      <c r="I378" s="4" t="n">
        <v>50000</v>
      </c>
      <c r="J378" s="5" t="n">
        <v>1</v>
      </c>
      <c r="K378" s="6" t="n">
        <f aca="false">IF(J378=0,0,I378/J378)</f>
        <v>50000</v>
      </c>
      <c r="L378" s="4"/>
      <c r="M378" s="3" t="s">
        <v>791</v>
      </c>
      <c r="N378" s="3" t="s">
        <v>768</v>
      </c>
    </row>
    <row r="379" customFormat="false" ht="15" hidden="false" customHeight="false" outlineLevel="0" collapsed="false">
      <c r="A379" s="3" t="s">
        <v>763</v>
      </c>
      <c r="B379" s="3" t="s">
        <v>124</v>
      </c>
      <c r="C379" s="3" t="s">
        <v>108</v>
      </c>
      <c r="D379" s="3" t="s">
        <v>792</v>
      </c>
      <c r="E379" s="3" t="s">
        <v>793</v>
      </c>
      <c r="F379" s="3" t="s">
        <v>105</v>
      </c>
      <c r="G379" s="3" t="s">
        <v>93</v>
      </c>
      <c r="H379" s="3" t="n">
        <v>1</v>
      </c>
      <c r="I379" s="4" t="n">
        <v>20000</v>
      </c>
      <c r="J379" s="5" t="n">
        <v>1</v>
      </c>
      <c r="K379" s="6" t="n">
        <f aca="false">IF(J379=0,0,I379/J379)</f>
        <v>20000</v>
      </c>
      <c r="L379" s="4"/>
      <c r="M379" s="3" t="s">
        <v>794</v>
      </c>
      <c r="N379" s="3" t="s">
        <v>768</v>
      </c>
    </row>
    <row r="380" customFormat="false" ht="15" hidden="false" customHeight="false" outlineLevel="0" collapsed="false">
      <c r="A380" s="3" t="s">
        <v>763</v>
      </c>
      <c r="B380" s="3" t="s">
        <v>124</v>
      </c>
      <c r="C380" s="3" t="s">
        <v>41</v>
      </c>
      <c r="D380" s="3" t="s">
        <v>795</v>
      </c>
      <c r="E380" s="3" t="s">
        <v>796</v>
      </c>
      <c r="F380" s="3" t="s">
        <v>105</v>
      </c>
      <c r="G380" s="3" t="s">
        <v>93</v>
      </c>
      <c r="H380" s="3" t="n">
        <v>1</v>
      </c>
      <c r="I380" s="4" t="n">
        <v>86916</v>
      </c>
      <c r="J380" s="5" t="n">
        <v>1</v>
      </c>
      <c r="K380" s="6" t="n">
        <f aca="false">IF(J380=0,0,I380/J380)</f>
        <v>86916</v>
      </c>
      <c r="L380" s="4"/>
      <c r="M380" s="3" t="s">
        <v>797</v>
      </c>
      <c r="N380" s="3" t="s">
        <v>768</v>
      </c>
    </row>
    <row r="381" customFormat="false" ht="15" hidden="false" customHeight="false" outlineLevel="0" collapsed="false">
      <c r="A381" s="3" t="s">
        <v>763</v>
      </c>
      <c r="B381" s="3" t="s">
        <v>124</v>
      </c>
      <c r="C381" s="3" t="s">
        <v>41</v>
      </c>
      <c r="D381" s="3" t="s">
        <v>795</v>
      </c>
      <c r="E381" s="3" t="s">
        <v>798</v>
      </c>
      <c r="F381" s="3" t="s">
        <v>799</v>
      </c>
      <c r="G381" s="3" t="s">
        <v>93</v>
      </c>
      <c r="H381" s="3" t="n">
        <v>20</v>
      </c>
      <c r="I381" s="4" t="n">
        <v>86917</v>
      </c>
      <c r="J381" s="5" t="n">
        <v>1</v>
      </c>
      <c r="K381" s="6" t="n">
        <f aca="false">IF(J381=0,0,I381/J381)</f>
        <v>86917</v>
      </c>
      <c r="L381" s="4"/>
      <c r="M381" s="3" t="s">
        <v>800</v>
      </c>
      <c r="N381" s="3" t="s">
        <v>768</v>
      </c>
    </row>
    <row r="382" customFormat="false" ht="15" hidden="false" customHeight="false" outlineLevel="0" collapsed="false">
      <c r="A382" s="3" t="s">
        <v>763</v>
      </c>
      <c r="B382" s="3" t="s">
        <v>124</v>
      </c>
      <c r="C382" s="3" t="s">
        <v>41</v>
      </c>
      <c r="D382" s="3" t="s">
        <v>801</v>
      </c>
      <c r="E382" s="3" t="s">
        <v>802</v>
      </c>
      <c r="F382" s="3" t="s">
        <v>105</v>
      </c>
      <c r="G382" s="3" t="s">
        <v>93</v>
      </c>
      <c r="H382" s="3" t="n">
        <v>1</v>
      </c>
      <c r="I382" s="4" t="n">
        <v>86917</v>
      </c>
      <c r="J382" s="5" t="n">
        <v>1</v>
      </c>
      <c r="K382" s="6" t="n">
        <f aca="false">IF(J382=0,0,I382/J382)</f>
        <v>86917</v>
      </c>
      <c r="L382" s="4"/>
      <c r="M382" s="3" t="s">
        <v>797</v>
      </c>
      <c r="N382" s="3" t="s">
        <v>768</v>
      </c>
    </row>
    <row r="383" customFormat="false" ht="15" hidden="false" customHeight="false" outlineLevel="0" collapsed="false">
      <c r="A383" s="3" t="s">
        <v>803</v>
      </c>
      <c r="B383" s="3" t="s">
        <v>140</v>
      </c>
      <c r="C383" s="3" t="s">
        <v>67</v>
      </c>
      <c r="D383" s="3" t="s">
        <v>804</v>
      </c>
      <c r="E383" s="3" t="s">
        <v>805</v>
      </c>
      <c r="F383" s="3" t="s">
        <v>29</v>
      </c>
      <c r="G383" s="3" t="s">
        <v>806</v>
      </c>
      <c r="H383" s="3" t="n">
        <v>200</v>
      </c>
      <c r="I383" s="4" t="n">
        <v>123250</v>
      </c>
      <c r="J383" s="5" t="n">
        <v>6</v>
      </c>
      <c r="K383" s="6" t="n">
        <f aca="false">IF(J383=0,0,I383/J383)</f>
        <v>20541.6666666667</v>
      </c>
      <c r="L383" s="4"/>
      <c r="M383" s="3" t="s">
        <v>807</v>
      </c>
      <c r="N383" s="3" t="s">
        <v>808</v>
      </c>
    </row>
    <row r="384" customFormat="false" ht="15" hidden="false" customHeight="false" outlineLevel="0" collapsed="false">
      <c r="A384" s="3" t="s">
        <v>803</v>
      </c>
      <c r="B384" s="3" t="s">
        <v>151</v>
      </c>
      <c r="C384" s="3" t="s">
        <v>67</v>
      </c>
      <c r="D384" s="3" t="s">
        <v>804</v>
      </c>
      <c r="E384" s="3" t="s">
        <v>805</v>
      </c>
      <c r="F384" s="3" t="s">
        <v>29</v>
      </c>
      <c r="G384" s="3" t="s">
        <v>806</v>
      </c>
      <c r="H384" s="3" t="n">
        <v>200</v>
      </c>
      <c r="I384" s="4" t="n">
        <v>60000</v>
      </c>
      <c r="J384" s="5" t="n">
        <v>6</v>
      </c>
      <c r="K384" s="6" t="n">
        <f aca="false">IF(J384=0,0,I384/J384)</f>
        <v>10000</v>
      </c>
      <c r="L384" s="4"/>
      <c r="M384" s="3" t="s">
        <v>809</v>
      </c>
      <c r="N384" s="3" t="s">
        <v>808</v>
      </c>
    </row>
    <row r="385" customFormat="false" ht="15" hidden="false" customHeight="false" outlineLevel="0" collapsed="false">
      <c r="A385" s="3" t="s">
        <v>803</v>
      </c>
      <c r="B385" s="3" t="s">
        <v>160</v>
      </c>
      <c r="C385" s="3" t="s">
        <v>67</v>
      </c>
      <c r="D385" s="3" t="s">
        <v>804</v>
      </c>
      <c r="E385" s="3" t="s">
        <v>805</v>
      </c>
      <c r="F385" s="3" t="s">
        <v>29</v>
      </c>
      <c r="G385" s="3" t="s">
        <v>806</v>
      </c>
      <c r="H385" s="3" t="n">
        <v>200</v>
      </c>
      <c r="I385" s="4" t="n">
        <v>0</v>
      </c>
      <c r="J385" s="5" t="n">
        <v>6</v>
      </c>
      <c r="K385" s="6" t="n">
        <f aca="false">IF(J385=0,0,I385/J385)</f>
        <v>0</v>
      </c>
      <c r="L385" s="4"/>
      <c r="M385" s="3"/>
      <c r="N385" s="3" t="s">
        <v>808</v>
      </c>
    </row>
    <row r="386" customFormat="false" ht="15" hidden="false" customHeight="false" outlineLevel="0" collapsed="false">
      <c r="A386" s="3" t="s">
        <v>803</v>
      </c>
      <c r="B386" s="3" t="s">
        <v>15</v>
      </c>
      <c r="C386" s="3" t="s">
        <v>67</v>
      </c>
      <c r="D386" s="3" t="s">
        <v>804</v>
      </c>
      <c r="E386" s="3" t="s">
        <v>805</v>
      </c>
      <c r="F386" s="3" t="s">
        <v>29</v>
      </c>
      <c r="G386" s="3" t="s">
        <v>806</v>
      </c>
      <c r="H386" s="3" t="n">
        <v>200</v>
      </c>
      <c r="I386" s="4" t="n">
        <v>123250</v>
      </c>
      <c r="J386" s="5" t="n">
        <v>6</v>
      </c>
      <c r="K386" s="6" t="n">
        <f aca="false">IF(J386=0,0,I386/J386)</f>
        <v>20541.6666666667</v>
      </c>
      <c r="L386" s="4"/>
      <c r="M386" s="3" t="s">
        <v>810</v>
      </c>
      <c r="N386" s="3" t="s">
        <v>808</v>
      </c>
    </row>
    <row r="387" customFormat="false" ht="15" hidden="false" customHeight="false" outlineLevel="0" collapsed="false">
      <c r="A387" s="3" t="s">
        <v>803</v>
      </c>
      <c r="B387" s="3" t="s">
        <v>197</v>
      </c>
      <c r="C387" s="3" t="s">
        <v>67</v>
      </c>
      <c r="D387" s="3" t="s">
        <v>804</v>
      </c>
      <c r="E387" s="3" t="s">
        <v>805</v>
      </c>
      <c r="F387" s="3" t="s">
        <v>29</v>
      </c>
      <c r="G387" s="3" t="s">
        <v>806</v>
      </c>
      <c r="H387" s="3" t="n">
        <v>200</v>
      </c>
      <c r="I387" s="4" t="n">
        <v>0</v>
      </c>
      <c r="J387" s="5" t="n">
        <v>6</v>
      </c>
      <c r="K387" s="6" t="n">
        <f aca="false">IF(J387=0,0,I387/J387)</f>
        <v>0</v>
      </c>
      <c r="L387" s="4"/>
      <c r="M387" s="3"/>
      <c r="N387" s="3" t="s">
        <v>808</v>
      </c>
    </row>
    <row r="388" customFormat="false" ht="15" hidden="false" customHeight="false" outlineLevel="0" collapsed="false">
      <c r="A388" s="3" t="s">
        <v>803</v>
      </c>
      <c r="B388" s="3" t="s">
        <v>47</v>
      </c>
      <c r="C388" s="3" t="s">
        <v>67</v>
      </c>
      <c r="D388" s="3" t="s">
        <v>804</v>
      </c>
      <c r="E388" s="3" t="s">
        <v>805</v>
      </c>
      <c r="F388" s="3" t="s">
        <v>29</v>
      </c>
      <c r="G388" s="3" t="s">
        <v>806</v>
      </c>
      <c r="H388" s="3" t="n">
        <v>200</v>
      </c>
      <c r="I388" s="4" t="n">
        <v>123250</v>
      </c>
      <c r="J388" s="5" t="n">
        <v>6</v>
      </c>
      <c r="K388" s="6" t="n">
        <f aca="false">IF(J388=0,0,I388/J388)</f>
        <v>20541.6666666667</v>
      </c>
      <c r="L388" s="4"/>
      <c r="M388" s="3" t="s">
        <v>811</v>
      </c>
      <c r="N388" s="3" t="s">
        <v>808</v>
      </c>
    </row>
    <row r="389" customFormat="false" ht="15" hidden="false" customHeight="false" outlineLevel="0" collapsed="false">
      <c r="A389" s="3" t="s">
        <v>803</v>
      </c>
      <c r="B389" s="3" t="s">
        <v>107</v>
      </c>
      <c r="C389" s="3" t="s">
        <v>67</v>
      </c>
      <c r="D389" s="3" t="s">
        <v>804</v>
      </c>
      <c r="E389" s="3" t="s">
        <v>805</v>
      </c>
      <c r="F389" s="3" t="s">
        <v>29</v>
      </c>
      <c r="G389" s="3" t="s">
        <v>806</v>
      </c>
      <c r="H389" s="3" t="n">
        <v>200</v>
      </c>
      <c r="I389" s="4" t="n">
        <v>0</v>
      </c>
      <c r="J389" s="5" t="n">
        <v>6</v>
      </c>
      <c r="K389" s="6" t="n">
        <f aca="false">IF(J389=0,0,I389/J389)</f>
        <v>0</v>
      </c>
      <c r="L389" s="4"/>
      <c r="M389" s="3"/>
      <c r="N389" s="3" t="s">
        <v>808</v>
      </c>
    </row>
    <row r="390" customFormat="false" ht="15" hidden="false" customHeight="false" outlineLevel="0" collapsed="false">
      <c r="A390" s="3" t="s">
        <v>812</v>
      </c>
      <c r="B390" s="3" t="s">
        <v>15</v>
      </c>
      <c r="C390" s="3" t="s">
        <v>108</v>
      </c>
      <c r="D390" s="3" t="s">
        <v>813</v>
      </c>
      <c r="E390" s="3" t="s">
        <v>814</v>
      </c>
      <c r="F390" s="3" t="s">
        <v>44</v>
      </c>
      <c r="G390" s="3" t="s">
        <v>815</v>
      </c>
      <c r="H390" s="3" t="n">
        <v>2</v>
      </c>
      <c r="I390" s="4" t="n">
        <v>50000</v>
      </c>
      <c r="J390" s="5" t="n">
        <v>4</v>
      </c>
      <c r="K390" s="6" t="n">
        <f aca="false">IF(J390=0,0,I390/J390)</f>
        <v>12500</v>
      </c>
      <c r="L390" s="4"/>
      <c r="M390" s="3" t="s">
        <v>816</v>
      </c>
      <c r="N390" s="3" t="s">
        <v>817</v>
      </c>
    </row>
    <row r="391" customFormat="false" ht="15" hidden="false" customHeight="false" outlineLevel="0" collapsed="false">
      <c r="A391" s="3" t="s">
        <v>812</v>
      </c>
      <c r="B391" s="3" t="s">
        <v>15</v>
      </c>
      <c r="C391" s="3" t="s">
        <v>108</v>
      </c>
      <c r="D391" s="3" t="s">
        <v>818</v>
      </c>
      <c r="E391" s="3" t="s">
        <v>819</v>
      </c>
      <c r="F391" s="3" t="s">
        <v>29</v>
      </c>
      <c r="G391" s="3" t="s">
        <v>820</v>
      </c>
      <c r="H391" s="3" t="n">
        <v>50</v>
      </c>
      <c r="I391" s="4" t="n">
        <v>50000</v>
      </c>
      <c r="J391" s="5" t="n">
        <v>4</v>
      </c>
      <c r="K391" s="6" t="n">
        <f aca="false">IF(J391=0,0,I391/J391)</f>
        <v>12500</v>
      </c>
      <c r="L391" s="4"/>
      <c r="M391" s="3" t="s">
        <v>816</v>
      </c>
      <c r="N391" s="3" t="s">
        <v>817</v>
      </c>
    </row>
    <row r="392" customFormat="false" ht="15" hidden="false" customHeight="false" outlineLevel="0" collapsed="false">
      <c r="A392" s="3" t="s">
        <v>812</v>
      </c>
      <c r="B392" s="3" t="s">
        <v>15</v>
      </c>
      <c r="C392" s="3" t="s">
        <v>108</v>
      </c>
      <c r="D392" s="3" t="s">
        <v>821</v>
      </c>
      <c r="E392" s="3" t="s">
        <v>822</v>
      </c>
      <c r="F392" s="3" t="s">
        <v>105</v>
      </c>
      <c r="G392" s="3" t="s">
        <v>823</v>
      </c>
      <c r="H392" s="3" t="n">
        <v>20</v>
      </c>
      <c r="I392" s="4" t="n">
        <v>70000</v>
      </c>
      <c r="J392" s="5" t="n">
        <v>4</v>
      </c>
      <c r="K392" s="6" t="n">
        <f aca="false">IF(J392=0,0,I392/J392)</f>
        <v>17500</v>
      </c>
      <c r="L392" s="4"/>
      <c r="M392" s="3" t="s">
        <v>816</v>
      </c>
      <c r="N392" s="3" t="s">
        <v>817</v>
      </c>
    </row>
    <row r="393" customFormat="false" ht="15" hidden="false" customHeight="false" outlineLevel="0" collapsed="false">
      <c r="A393" s="3" t="s">
        <v>812</v>
      </c>
      <c r="B393" s="3" t="s">
        <v>15</v>
      </c>
      <c r="C393" s="3" t="s">
        <v>108</v>
      </c>
      <c r="D393" s="3" t="s">
        <v>824</v>
      </c>
      <c r="E393" s="3" t="s">
        <v>825</v>
      </c>
      <c r="F393" s="3" t="s">
        <v>105</v>
      </c>
      <c r="G393" s="3" t="s">
        <v>826</v>
      </c>
      <c r="H393" s="3" t="n">
        <v>1</v>
      </c>
      <c r="I393" s="4" t="n">
        <v>42986</v>
      </c>
      <c r="J393" s="5" t="n">
        <v>4</v>
      </c>
      <c r="K393" s="6" t="n">
        <f aca="false">IF(J393=0,0,I393/J393)</f>
        <v>10746.5</v>
      </c>
      <c r="L393" s="4"/>
      <c r="M393" s="3" t="s">
        <v>816</v>
      </c>
      <c r="N393" s="3" t="s">
        <v>817</v>
      </c>
    </row>
    <row r="394" customFormat="false" ht="15" hidden="false" customHeight="false" outlineLevel="0" collapsed="false">
      <c r="A394" s="3" t="s">
        <v>812</v>
      </c>
      <c r="B394" s="3" t="s">
        <v>15</v>
      </c>
      <c r="C394" s="3" t="s">
        <v>108</v>
      </c>
      <c r="D394" s="3" t="s">
        <v>824</v>
      </c>
      <c r="E394" s="3" t="s">
        <v>827</v>
      </c>
      <c r="F394" s="3" t="s">
        <v>105</v>
      </c>
      <c r="G394" s="3" t="s">
        <v>828</v>
      </c>
      <c r="H394" s="3" t="n">
        <v>1</v>
      </c>
      <c r="I394" s="4" t="n">
        <v>50000</v>
      </c>
      <c r="J394" s="5" t="n">
        <v>4</v>
      </c>
      <c r="K394" s="6" t="n">
        <f aca="false">IF(J394=0,0,I394/J394)</f>
        <v>12500</v>
      </c>
      <c r="L394" s="4"/>
      <c r="M394" s="3" t="s">
        <v>816</v>
      </c>
      <c r="N394" s="3" t="s">
        <v>817</v>
      </c>
    </row>
    <row r="395" customFormat="false" ht="15" hidden="false" customHeight="false" outlineLevel="0" collapsed="false">
      <c r="A395" s="3" t="s">
        <v>812</v>
      </c>
      <c r="B395" s="3" t="s">
        <v>15</v>
      </c>
      <c r="C395" s="3" t="s">
        <v>41</v>
      </c>
      <c r="D395" s="3" t="s">
        <v>829</v>
      </c>
      <c r="E395" s="3" t="s">
        <v>830</v>
      </c>
      <c r="F395" s="3" t="s">
        <v>105</v>
      </c>
      <c r="G395" s="3" t="s">
        <v>831</v>
      </c>
      <c r="H395" s="3" t="n">
        <v>4</v>
      </c>
      <c r="I395" s="4" t="n">
        <v>204489</v>
      </c>
      <c r="J395" s="5" t="n">
        <v>4</v>
      </c>
      <c r="K395" s="6" t="n">
        <f aca="false">IF(J395=0,0,I395/J395)</f>
        <v>51122.25</v>
      </c>
      <c r="L395" s="4"/>
      <c r="M395" s="3" t="s">
        <v>832</v>
      </c>
      <c r="N395" s="3" t="s">
        <v>817</v>
      </c>
    </row>
    <row r="396" customFormat="false" ht="15" hidden="false" customHeight="false" outlineLevel="0" collapsed="false">
      <c r="A396" s="3" t="s">
        <v>812</v>
      </c>
      <c r="B396" s="3" t="s">
        <v>197</v>
      </c>
      <c r="C396" s="3" t="s">
        <v>108</v>
      </c>
      <c r="D396" s="3" t="s">
        <v>824</v>
      </c>
      <c r="E396" s="3" t="s">
        <v>833</v>
      </c>
      <c r="F396" s="3" t="s">
        <v>105</v>
      </c>
      <c r="G396" s="3" t="s">
        <v>834</v>
      </c>
      <c r="H396" s="3" t="n">
        <v>4</v>
      </c>
      <c r="I396" s="4" t="n">
        <v>20000</v>
      </c>
      <c r="J396" s="5" t="n">
        <v>2</v>
      </c>
      <c r="K396" s="6" t="n">
        <f aca="false">IF(J396=0,0,I396/J396)</f>
        <v>10000</v>
      </c>
      <c r="L396" s="4"/>
      <c r="M396" s="3" t="s">
        <v>835</v>
      </c>
      <c r="N396" s="3" t="s">
        <v>817</v>
      </c>
    </row>
    <row r="397" customFormat="false" ht="15" hidden="false" customHeight="false" outlineLevel="0" collapsed="false">
      <c r="A397" s="3" t="s">
        <v>812</v>
      </c>
      <c r="B397" s="3" t="s">
        <v>197</v>
      </c>
      <c r="C397" s="3" t="s">
        <v>108</v>
      </c>
      <c r="D397" s="3" t="s">
        <v>824</v>
      </c>
      <c r="E397" s="3" t="s">
        <v>836</v>
      </c>
      <c r="F397" s="3" t="s">
        <v>105</v>
      </c>
      <c r="G397" s="3" t="s">
        <v>834</v>
      </c>
      <c r="H397" s="3" t="n">
        <v>4</v>
      </c>
      <c r="I397" s="4" t="n">
        <v>20000</v>
      </c>
      <c r="J397" s="5" t="n">
        <v>2</v>
      </c>
      <c r="K397" s="6" t="n">
        <f aca="false">IF(J397=0,0,I397/J397)</f>
        <v>10000</v>
      </c>
      <c r="L397" s="4"/>
      <c r="M397" s="3" t="s">
        <v>835</v>
      </c>
      <c r="N397" s="3" t="s">
        <v>817</v>
      </c>
    </row>
    <row r="398" customFormat="false" ht="15" hidden="false" customHeight="false" outlineLevel="0" collapsed="false">
      <c r="A398" s="3" t="s">
        <v>812</v>
      </c>
      <c r="B398" s="3" t="s">
        <v>197</v>
      </c>
      <c r="C398" s="3" t="s">
        <v>108</v>
      </c>
      <c r="D398" s="3" t="s">
        <v>824</v>
      </c>
      <c r="E398" s="3" t="s">
        <v>837</v>
      </c>
      <c r="F398" s="3" t="s">
        <v>105</v>
      </c>
      <c r="G398" s="3" t="s">
        <v>834</v>
      </c>
      <c r="H398" s="3" t="n">
        <v>4</v>
      </c>
      <c r="I398" s="4" t="n">
        <v>10000</v>
      </c>
      <c r="J398" s="5" t="n">
        <v>2</v>
      </c>
      <c r="K398" s="6" t="n">
        <f aca="false">IF(J398=0,0,I398/J398)</f>
        <v>5000</v>
      </c>
      <c r="L398" s="4"/>
      <c r="M398" s="3" t="s">
        <v>835</v>
      </c>
      <c r="N398" s="3" t="s">
        <v>817</v>
      </c>
    </row>
    <row r="399" customFormat="false" ht="15" hidden="false" customHeight="false" outlineLevel="0" collapsed="false">
      <c r="A399" s="3" t="s">
        <v>812</v>
      </c>
      <c r="B399" s="3" t="s">
        <v>197</v>
      </c>
      <c r="C399" s="3" t="s">
        <v>41</v>
      </c>
      <c r="D399" s="3" t="s">
        <v>829</v>
      </c>
      <c r="E399" s="3" t="s">
        <v>838</v>
      </c>
      <c r="F399" s="3" t="s">
        <v>44</v>
      </c>
      <c r="G399" s="3" t="s">
        <v>839</v>
      </c>
      <c r="H399" s="3" t="n">
        <v>4</v>
      </c>
      <c r="I399" s="4" t="n">
        <v>20000</v>
      </c>
      <c r="J399" s="5" t="n">
        <v>3</v>
      </c>
      <c r="K399" s="6" t="n">
        <f aca="false">IF(J399=0,0,I399/J399)</f>
        <v>6666.66666666667</v>
      </c>
      <c r="L399" s="4"/>
      <c r="M399" s="3" t="s">
        <v>840</v>
      </c>
      <c r="N399" s="3" t="s">
        <v>817</v>
      </c>
    </row>
    <row r="400" customFormat="false" ht="15" hidden="false" customHeight="false" outlineLevel="0" collapsed="false">
      <c r="A400" s="3" t="s">
        <v>812</v>
      </c>
      <c r="B400" s="3" t="s">
        <v>197</v>
      </c>
      <c r="C400" s="3" t="s">
        <v>41</v>
      </c>
      <c r="D400" s="3" t="s">
        <v>829</v>
      </c>
      <c r="E400" s="3" t="s">
        <v>841</v>
      </c>
      <c r="F400" s="3" t="s">
        <v>44</v>
      </c>
      <c r="G400" s="3" t="s">
        <v>839</v>
      </c>
      <c r="H400" s="3" t="n">
        <v>1</v>
      </c>
      <c r="I400" s="4" t="n">
        <v>28395</v>
      </c>
      <c r="J400" s="5" t="n">
        <v>3</v>
      </c>
      <c r="K400" s="6" t="n">
        <f aca="false">IF(J400=0,0,I400/J400)</f>
        <v>9465</v>
      </c>
      <c r="L400" s="4"/>
      <c r="M400" s="3" t="s">
        <v>842</v>
      </c>
      <c r="N400" s="3" t="s">
        <v>817</v>
      </c>
    </row>
    <row r="401" customFormat="false" ht="15" hidden="false" customHeight="false" outlineLevel="0" collapsed="false">
      <c r="A401" s="3" t="s">
        <v>812</v>
      </c>
      <c r="B401" s="3" t="s">
        <v>197</v>
      </c>
      <c r="C401" s="3" t="s">
        <v>41</v>
      </c>
      <c r="D401" s="3" t="s">
        <v>829</v>
      </c>
      <c r="E401" s="3" t="s">
        <v>843</v>
      </c>
      <c r="F401" s="3" t="s">
        <v>105</v>
      </c>
      <c r="G401" s="3" t="s">
        <v>834</v>
      </c>
      <c r="H401" s="3" t="n">
        <v>1</v>
      </c>
      <c r="I401" s="4" t="n">
        <v>35000</v>
      </c>
      <c r="J401" s="5" t="n">
        <v>2</v>
      </c>
      <c r="K401" s="6" t="n">
        <f aca="false">IF(J401=0,0,I401/J401)</f>
        <v>17500</v>
      </c>
      <c r="L401" s="4"/>
      <c r="M401" s="3" t="s">
        <v>844</v>
      </c>
      <c r="N401" s="3" t="s">
        <v>817</v>
      </c>
    </row>
    <row r="402" customFormat="false" ht="15" hidden="false" customHeight="false" outlineLevel="0" collapsed="false">
      <c r="A402" s="3" t="s">
        <v>812</v>
      </c>
      <c r="B402" s="3" t="s">
        <v>197</v>
      </c>
      <c r="C402" s="3" t="s">
        <v>41</v>
      </c>
      <c r="D402" s="3" t="s">
        <v>845</v>
      </c>
      <c r="E402" s="3" t="s">
        <v>846</v>
      </c>
      <c r="F402" s="3" t="s">
        <v>44</v>
      </c>
      <c r="G402" s="3" t="s">
        <v>847</v>
      </c>
      <c r="H402" s="3" t="n">
        <v>3</v>
      </c>
      <c r="I402" s="4" t="n">
        <v>45000</v>
      </c>
      <c r="J402" s="5" t="n">
        <v>2</v>
      </c>
      <c r="K402" s="6" t="n">
        <f aca="false">IF(J402=0,0,I402/J402)</f>
        <v>22500</v>
      </c>
      <c r="L402" s="4"/>
      <c r="M402" s="3" t="s">
        <v>848</v>
      </c>
      <c r="N402" s="3" t="s">
        <v>817</v>
      </c>
    </row>
    <row r="403" customFormat="false" ht="15" hidden="false" customHeight="false" outlineLevel="0" collapsed="false">
      <c r="A403" s="3" t="s">
        <v>812</v>
      </c>
      <c r="B403" s="3" t="s">
        <v>197</v>
      </c>
      <c r="C403" s="3" t="s">
        <v>41</v>
      </c>
      <c r="D403" s="3" t="s">
        <v>849</v>
      </c>
      <c r="E403" s="3" t="s">
        <v>850</v>
      </c>
      <c r="F403" s="3" t="s">
        <v>29</v>
      </c>
      <c r="G403" s="3" t="s">
        <v>834</v>
      </c>
      <c r="H403" s="3" t="n">
        <v>600</v>
      </c>
      <c r="I403" s="4" t="n">
        <v>40000</v>
      </c>
      <c r="J403" s="5" t="n">
        <v>2</v>
      </c>
      <c r="K403" s="6" t="n">
        <f aca="false">IF(J403=0,0,I403/J403)</f>
        <v>20000</v>
      </c>
      <c r="L403" s="4"/>
      <c r="M403" s="3" t="s">
        <v>851</v>
      </c>
      <c r="N403" s="3" t="s">
        <v>817</v>
      </c>
    </row>
    <row r="404" customFormat="false" ht="15" hidden="false" customHeight="false" outlineLevel="0" collapsed="false">
      <c r="A404" s="3" t="s">
        <v>812</v>
      </c>
      <c r="B404" s="3" t="s">
        <v>197</v>
      </c>
      <c r="C404" s="3" t="s">
        <v>67</v>
      </c>
      <c r="D404" s="3" t="s">
        <v>852</v>
      </c>
      <c r="E404" s="3" t="s">
        <v>853</v>
      </c>
      <c r="F404" s="3" t="s">
        <v>105</v>
      </c>
      <c r="G404" s="3" t="s">
        <v>847</v>
      </c>
      <c r="H404" s="3" t="n">
        <v>1</v>
      </c>
      <c r="I404" s="4" t="n">
        <v>25000</v>
      </c>
      <c r="J404" s="5" t="n">
        <v>2</v>
      </c>
      <c r="K404" s="6" t="n">
        <f aca="false">IF(J404=0,0,I404/J404)</f>
        <v>12500</v>
      </c>
      <c r="L404" s="4"/>
      <c r="M404" s="3" t="s">
        <v>854</v>
      </c>
      <c r="N404" s="3" t="s">
        <v>817</v>
      </c>
    </row>
    <row r="405" customFormat="false" ht="15" hidden="false" customHeight="false" outlineLevel="0" collapsed="false">
      <c r="A405" s="3" t="s">
        <v>812</v>
      </c>
      <c r="B405" s="3" t="s">
        <v>197</v>
      </c>
      <c r="C405" s="3" t="s">
        <v>67</v>
      </c>
      <c r="D405" s="3" t="s">
        <v>852</v>
      </c>
      <c r="E405" s="3" t="s">
        <v>855</v>
      </c>
      <c r="F405" s="3" t="s">
        <v>105</v>
      </c>
      <c r="G405" s="3" t="s">
        <v>847</v>
      </c>
      <c r="H405" s="3" t="n">
        <v>1</v>
      </c>
      <c r="I405" s="4" t="n">
        <v>25000</v>
      </c>
      <c r="J405" s="5" t="n">
        <v>2</v>
      </c>
      <c r="K405" s="6" t="n">
        <f aca="false">IF(J405=0,0,I405/J405)</f>
        <v>12500</v>
      </c>
      <c r="L405" s="4"/>
      <c r="M405" s="3" t="s">
        <v>854</v>
      </c>
      <c r="N405" s="3" t="s">
        <v>817</v>
      </c>
    </row>
    <row r="406" customFormat="false" ht="15" hidden="false" customHeight="false" outlineLevel="0" collapsed="false">
      <c r="A406" s="3" t="s">
        <v>812</v>
      </c>
      <c r="B406" s="3" t="s">
        <v>197</v>
      </c>
      <c r="C406" s="3" t="s">
        <v>16</v>
      </c>
      <c r="D406" s="3" t="s">
        <v>856</v>
      </c>
      <c r="E406" s="3" t="s">
        <v>857</v>
      </c>
      <c r="F406" s="3" t="s">
        <v>105</v>
      </c>
      <c r="G406" s="3" t="s">
        <v>847</v>
      </c>
      <c r="H406" s="3" t="n">
        <v>6</v>
      </c>
      <c r="I406" s="4" t="n">
        <v>30000</v>
      </c>
      <c r="J406" s="5" t="n">
        <v>2</v>
      </c>
      <c r="K406" s="6" t="n">
        <f aca="false">IF(J406=0,0,I406/J406)</f>
        <v>15000</v>
      </c>
      <c r="L406" s="4"/>
      <c r="M406" s="3" t="s">
        <v>840</v>
      </c>
      <c r="N406" s="3" t="s">
        <v>817</v>
      </c>
    </row>
    <row r="407" customFormat="false" ht="15" hidden="false" customHeight="false" outlineLevel="0" collapsed="false">
      <c r="A407" s="3" t="s">
        <v>812</v>
      </c>
      <c r="B407" s="3" t="s">
        <v>197</v>
      </c>
      <c r="C407" s="3" t="s">
        <v>16</v>
      </c>
      <c r="D407" s="3" t="s">
        <v>858</v>
      </c>
      <c r="E407" s="3" t="s">
        <v>859</v>
      </c>
      <c r="F407" s="3" t="s">
        <v>44</v>
      </c>
      <c r="G407" s="3" t="s">
        <v>834</v>
      </c>
      <c r="H407" s="3" t="n">
        <v>5</v>
      </c>
      <c r="I407" s="4" t="n">
        <v>34000</v>
      </c>
      <c r="J407" s="5" t="n">
        <v>2</v>
      </c>
      <c r="K407" s="6" t="n">
        <f aca="false">IF(J407=0,0,I407/J407)</f>
        <v>17000</v>
      </c>
      <c r="L407" s="4"/>
      <c r="M407" s="3" t="s">
        <v>840</v>
      </c>
      <c r="N407" s="3" t="s">
        <v>817</v>
      </c>
    </row>
    <row r="408" customFormat="false" ht="15" hidden="false" customHeight="false" outlineLevel="0" collapsed="false">
      <c r="A408" s="3" t="s">
        <v>812</v>
      </c>
      <c r="B408" s="3" t="s">
        <v>197</v>
      </c>
      <c r="C408" s="3" t="s">
        <v>16</v>
      </c>
      <c r="D408" s="3" t="s">
        <v>860</v>
      </c>
      <c r="E408" s="3" t="s">
        <v>861</v>
      </c>
      <c r="F408" s="3" t="s">
        <v>44</v>
      </c>
      <c r="G408" s="3" t="s">
        <v>847</v>
      </c>
      <c r="H408" s="3" t="n">
        <v>1</v>
      </c>
      <c r="I408" s="4" t="n">
        <v>45000</v>
      </c>
      <c r="J408" s="5" t="n">
        <v>2</v>
      </c>
      <c r="K408" s="6" t="n">
        <f aca="false">IF(J408=0,0,I408/J408)</f>
        <v>22500</v>
      </c>
      <c r="L408" s="4"/>
      <c r="M408" s="3" t="s">
        <v>862</v>
      </c>
      <c r="N408" s="3" t="s">
        <v>817</v>
      </c>
    </row>
    <row r="409" customFormat="false" ht="15" hidden="false" customHeight="false" outlineLevel="0" collapsed="false">
      <c r="A409" s="3" t="s">
        <v>812</v>
      </c>
      <c r="B409" s="3" t="s">
        <v>47</v>
      </c>
      <c r="C409" s="3" t="s">
        <v>108</v>
      </c>
      <c r="D409" s="3" t="s">
        <v>863</v>
      </c>
      <c r="E409" s="3" t="s">
        <v>864</v>
      </c>
      <c r="F409" s="3" t="s">
        <v>105</v>
      </c>
      <c r="G409" s="3" t="s">
        <v>93</v>
      </c>
      <c r="H409" s="3" t="n">
        <v>1</v>
      </c>
      <c r="I409" s="4" t="n">
        <v>25000</v>
      </c>
      <c r="J409" s="5" t="n">
        <v>1</v>
      </c>
      <c r="K409" s="6" t="n">
        <f aca="false">IF(J409=0,0,I409/J409)</f>
        <v>25000</v>
      </c>
      <c r="L409" s="4"/>
      <c r="M409" s="3" t="s">
        <v>865</v>
      </c>
      <c r="N409" s="3" t="s">
        <v>817</v>
      </c>
    </row>
    <row r="410" customFormat="false" ht="15" hidden="false" customHeight="false" outlineLevel="0" collapsed="false">
      <c r="A410" s="3" t="s">
        <v>812</v>
      </c>
      <c r="B410" s="3" t="s">
        <v>47</v>
      </c>
      <c r="C410" s="3" t="s">
        <v>108</v>
      </c>
      <c r="D410" s="3" t="s">
        <v>821</v>
      </c>
      <c r="E410" s="3" t="s">
        <v>866</v>
      </c>
      <c r="F410" s="3" t="s">
        <v>105</v>
      </c>
      <c r="G410" s="3" t="s">
        <v>93</v>
      </c>
      <c r="H410" s="3" t="n">
        <v>10</v>
      </c>
      <c r="I410" s="4" t="n">
        <v>50000</v>
      </c>
      <c r="J410" s="5" t="n">
        <v>1</v>
      </c>
      <c r="K410" s="6" t="n">
        <f aca="false">IF(J410=0,0,I410/J410)</f>
        <v>50000</v>
      </c>
      <c r="L410" s="4"/>
      <c r="M410" s="3" t="s">
        <v>867</v>
      </c>
      <c r="N410" s="3" t="s">
        <v>817</v>
      </c>
    </row>
    <row r="411" customFormat="false" ht="15" hidden="false" customHeight="false" outlineLevel="0" collapsed="false">
      <c r="A411" s="3" t="s">
        <v>812</v>
      </c>
      <c r="B411" s="3" t="s">
        <v>47</v>
      </c>
      <c r="C411" s="3" t="s">
        <v>108</v>
      </c>
      <c r="D411" s="3" t="s">
        <v>868</v>
      </c>
      <c r="E411" s="3" t="s">
        <v>869</v>
      </c>
      <c r="F411" s="3" t="s">
        <v>44</v>
      </c>
      <c r="G411" s="3" t="s">
        <v>93</v>
      </c>
      <c r="H411" s="3" t="n">
        <v>2</v>
      </c>
      <c r="I411" s="4" t="n">
        <v>50000</v>
      </c>
      <c r="J411" s="5" t="n">
        <v>1</v>
      </c>
      <c r="K411" s="6" t="n">
        <f aca="false">IF(J411=0,0,I411/J411)</f>
        <v>50000</v>
      </c>
      <c r="L411" s="4"/>
      <c r="M411" s="3" t="s">
        <v>870</v>
      </c>
      <c r="N411" s="3" t="s">
        <v>817</v>
      </c>
    </row>
    <row r="412" customFormat="false" ht="15" hidden="false" customHeight="false" outlineLevel="0" collapsed="false">
      <c r="A412" s="3" t="s">
        <v>812</v>
      </c>
      <c r="B412" s="3" t="s">
        <v>47</v>
      </c>
      <c r="C412" s="3" t="s">
        <v>41</v>
      </c>
      <c r="D412" s="3" t="s">
        <v>829</v>
      </c>
      <c r="E412" s="3" t="s">
        <v>871</v>
      </c>
      <c r="F412" s="3" t="s">
        <v>44</v>
      </c>
      <c r="G412" s="3" t="s">
        <v>93</v>
      </c>
      <c r="H412" s="3" t="n">
        <v>1</v>
      </c>
      <c r="I412" s="4" t="n">
        <v>63066</v>
      </c>
      <c r="J412" s="5" t="n">
        <v>1</v>
      </c>
      <c r="K412" s="6" t="n">
        <f aca="false">IF(J412=0,0,I412/J412)</f>
        <v>63066</v>
      </c>
      <c r="L412" s="4"/>
      <c r="M412" s="3" t="s">
        <v>872</v>
      </c>
      <c r="N412" s="3" t="s">
        <v>817</v>
      </c>
    </row>
    <row r="413" customFormat="false" ht="15" hidden="false" customHeight="false" outlineLevel="0" collapsed="false">
      <c r="A413" s="3" t="s">
        <v>812</v>
      </c>
      <c r="B413" s="3" t="s">
        <v>47</v>
      </c>
      <c r="C413" s="3" t="s">
        <v>41</v>
      </c>
      <c r="D413" s="3" t="s">
        <v>873</v>
      </c>
      <c r="E413" s="3" t="s">
        <v>874</v>
      </c>
      <c r="F413" s="3" t="s">
        <v>44</v>
      </c>
      <c r="G413" s="3" t="s">
        <v>93</v>
      </c>
      <c r="H413" s="3" t="n">
        <v>1</v>
      </c>
      <c r="I413" s="4" t="n">
        <v>40000</v>
      </c>
      <c r="J413" s="5" t="n">
        <v>1</v>
      </c>
      <c r="K413" s="6" t="n">
        <f aca="false">IF(J413=0,0,I413/J413)</f>
        <v>40000</v>
      </c>
      <c r="L413" s="4"/>
      <c r="M413" s="3" t="s">
        <v>875</v>
      </c>
      <c r="N413" s="3" t="s">
        <v>817</v>
      </c>
    </row>
    <row r="414" customFormat="false" ht="15" hidden="false" customHeight="false" outlineLevel="0" collapsed="false">
      <c r="A414" s="3" t="s">
        <v>812</v>
      </c>
      <c r="B414" s="3" t="s">
        <v>47</v>
      </c>
      <c r="C414" s="3" t="s">
        <v>41</v>
      </c>
      <c r="D414" s="3" t="s">
        <v>873</v>
      </c>
      <c r="E414" s="3" t="s">
        <v>876</v>
      </c>
      <c r="F414" s="3" t="s">
        <v>44</v>
      </c>
      <c r="G414" s="3" t="s">
        <v>93</v>
      </c>
      <c r="H414" s="3" t="n">
        <v>1</v>
      </c>
      <c r="I414" s="4" t="n">
        <v>10000</v>
      </c>
      <c r="J414" s="5" t="n">
        <v>1</v>
      </c>
      <c r="K414" s="6" t="n">
        <f aca="false">IF(J414=0,0,I414/J414)</f>
        <v>10000</v>
      </c>
      <c r="L414" s="4"/>
      <c r="M414" s="3" t="s">
        <v>875</v>
      </c>
      <c r="N414" s="3" t="s">
        <v>817</v>
      </c>
    </row>
    <row r="415" customFormat="false" ht="15" hidden="false" customHeight="false" outlineLevel="0" collapsed="false">
      <c r="A415" s="3" t="s">
        <v>812</v>
      </c>
      <c r="B415" s="3" t="s">
        <v>47</v>
      </c>
      <c r="C415" s="3" t="s">
        <v>41</v>
      </c>
      <c r="D415" s="3" t="s">
        <v>873</v>
      </c>
      <c r="E415" s="3" t="s">
        <v>877</v>
      </c>
      <c r="F415" s="3" t="s">
        <v>44</v>
      </c>
      <c r="G415" s="3" t="s">
        <v>93</v>
      </c>
      <c r="H415" s="3" t="n">
        <v>6</v>
      </c>
      <c r="I415" s="4" t="n">
        <v>30000</v>
      </c>
      <c r="J415" s="5" t="n">
        <v>1</v>
      </c>
      <c r="K415" s="6" t="n">
        <f aca="false">IF(J415=0,0,I415/J415)</f>
        <v>30000</v>
      </c>
      <c r="L415" s="4"/>
      <c r="M415" s="3" t="s">
        <v>875</v>
      </c>
      <c r="N415" s="3" t="s">
        <v>817</v>
      </c>
    </row>
    <row r="416" customFormat="false" ht="15" hidden="false" customHeight="false" outlineLevel="0" collapsed="false">
      <c r="A416" s="3" t="s">
        <v>812</v>
      </c>
      <c r="B416" s="3" t="s">
        <v>47</v>
      </c>
      <c r="C416" s="3" t="s">
        <v>41</v>
      </c>
      <c r="D416" s="3" t="s">
        <v>845</v>
      </c>
      <c r="E416" s="3" t="s">
        <v>878</v>
      </c>
      <c r="F416" s="3" t="s">
        <v>44</v>
      </c>
      <c r="G416" s="3" t="s">
        <v>93</v>
      </c>
      <c r="H416" s="3" t="n">
        <v>1</v>
      </c>
      <c r="I416" s="4" t="n">
        <v>10000</v>
      </c>
      <c r="J416" s="5" t="n">
        <v>1</v>
      </c>
      <c r="K416" s="6" t="n">
        <f aca="false">IF(J416=0,0,I416/J416)</f>
        <v>10000</v>
      </c>
      <c r="L416" s="4"/>
      <c r="M416" s="3" t="s">
        <v>879</v>
      </c>
      <c r="N416" s="3" t="s">
        <v>817</v>
      </c>
    </row>
    <row r="417" customFormat="false" ht="15" hidden="false" customHeight="false" outlineLevel="0" collapsed="false">
      <c r="A417" s="3" t="s">
        <v>812</v>
      </c>
      <c r="B417" s="3" t="s">
        <v>47</v>
      </c>
      <c r="C417" s="3" t="s">
        <v>41</v>
      </c>
      <c r="D417" s="3" t="s">
        <v>845</v>
      </c>
      <c r="E417" s="3" t="s">
        <v>880</v>
      </c>
      <c r="F417" s="3" t="s">
        <v>44</v>
      </c>
      <c r="G417" s="3" t="s">
        <v>93</v>
      </c>
      <c r="H417" s="3" t="n">
        <v>1</v>
      </c>
      <c r="I417" s="4" t="n">
        <v>35000</v>
      </c>
      <c r="J417" s="5" t="n">
        <v>1</v>
      </c>
      <c r="K417" s="6" t="n">
        <f aca="false">IF(J417=0,0,I417/J417)</f>
        <v>35000</v>
      </c>
      <c r="L417" s="4"/>
      <c r="M417" s="3" t="s">
        <v>881</v>
      </c>
      <c r="N417" s="3" t="s">
        <v>817</v>
      </c>
    </row>
    <row r="418" customFormat="false" ht="15" hidden="false" customHeight="false" outlineLevel="0" collapsed="false">
      <c r="A418" s="3" t="s">
        <v>812</v>
      </c>
      <c r="B418" s="3" t="s">
        <v>47</v>
      </c>
      <c r="C418" s="3" t="s">
        <v>67</v>
      </c>
      <c r="D418" s="3" t="s">
        <v>882</v>
      </c>
      <c r="E418" s="3" t="s">
        <v>883</v>
      </c>
      <c r="F418" s="3" t="s">
        <v>105</v>
      </c>
      <c r="G418" s="3" t="s">
        <v>93</v>
      </c>
      <c r="H418" s="3" t="n">
        <v>1</v>
      </c>
      <c r="I418" s="4" t="n">
        <v>46493</v>
      </c>
      <c r="J418" s="5" t="n">
        <v>1</v>
      </c>
      <c r="K418" s="6" t="n">
        <f aca="false">IF(J418=0,0,I418/J418)</f>
        <v>46493</v>
      </c>
      <c r="L418" s="4"/>
      <c r="M418" s="3" t="s">
        <v>884</v>
      </c>
      <c r="N418" s="3" t="s">
        <v>817</v>
      </c>
    </row>
    <row r="419" customFormat="false" ht="15" hidden="false" customHeight="false" outlineLevel="0" collapsed="false">
      <c r="A419" s="3" t="s">
        <v>812</v>
      </c>
      <c r="B419" s="3" t="s">
        <v>47</v>
      </c>
      <c r="C419" s="3" t="s">
        <v>67</v>
      </c>
      <c r="D419" s="3" t="s">
        <v>882</v>
      </c>
      <c r="E419" s="3" t="s">
        <v>885</v>
      </c>
      <c r="F419" s="3" t="s">
        <v>44</v>
      </c>
      <c r="G419" s="3" t="s">
        <v>93</v>
      </c>
      <c r="H419" s="3" t="n">
        <v>1</v>
      </c>
      <c r="I419" s="4" t="n">
        <v>46493</v>
      </c>
      <c r="J419" s="5" t="n">
        <v>1</v>
      </c>
      <c r="K419" s="6" t="n">
        <f aca="false">IF(J419=0,0,I419/J419)</f>
        <v>46493</v>
      </c>
      <c r="L419" s="4"/>
      <c r="M419" s="3" t="s">
        <v>886</v>
      </c>
      <c r="N419" s="3" t="s">
        <v>817</v>
      </c>
    </row>
    <row r="420" customFormat="false" ht="15" hidden="false" customHeight="false" outlineLevel="0" collapsed="false">
      <c r="A420" s="3" t="s">
        <v>812</v>
      </c>
      <c r="B420" s="3" t="s">
        <v>107</v>
      </c>
      <c r="C420" s="3" t="s">
        <v>67</v>
      </c>
      <c r="D420" s="3" t="s">
        <v>882</v>
      </c>
      <c r="E420" s="3" t="s">
        <v>887</v>
      </c>
      <c r="F420" s="3" t="s">
        <v>105</v>
      </c>
      <c r="G420" s="3" t="s">
        <v>888</v>
      </c>
      <c r="H420" s="3" t="n">
        <v>1</v>
      </c>
      <c r="I420" s="4" t="n">
        <v>30000</v>
      </c>
      <c r="J420" s="5" t="n">
        <v>11</v>
      </c>
      <c r="K420" s="6" t="n">
        <f aca="false">IF(J420=0,0,I420/J420)</f>
        <v>2727.27272727273</v>
      </c>
      <c r="L420" s="4"/>
      <c r="M420" s="3" t="s">
        <v>889</v>
      </c>
      <c r="N420" s="3" t="s">
        <v>817</v>
      </c>
    </row>
    <row r="421" customFormat="false" ht="15" hidden="false" customHeight="false" outlineLevel="0" collapsed="false">
      <c r="A421" s="3" t="s">
        <v>812</v>
      </c>
      <c r="B421" s="3" t="s">
        <v>107</v>
      </c>
      <c r="C421" s="3" t="s">
        <v>67</v>
      </c>
      <c r="D421" s="3" t="s">
        <v>852</v>
      </c>
      <c r="E421" s="3" t="s">
        <v>890</v>
      </c>
      <c r="F421" s="3" t="s">
        <v>105</v>
      </c>
      <c r="G421" s="3" t="s">
        <v>891</v>
      </c>
      <c r="H421" s="3" t="n">
        <v>1</v>
      </c>
      <c r="I421" s="4" t="n">
        <v>30000</v>
      </c>
      <c r="J421" s="5" t="n">
        <v>11</v>
      </c>
      <c r="K421" s="6" t="n">
        <f aca="false">IF(J421=0,0,I421/J421)</f>
        <v>2727.27272727273</v>
      </c>
      <c r="L421" s="4"/>
      <c r="M421" s="3" t="s">
        <v>889</v>
      </c>
      <c r="N421" s="3" t="s">
        <v>817</v>
      </c>
    </row>
    <row r="422" customFormat="false" ht="15" hidden="false" customHeight="false" outlineLevel="0" collapsed="false">
      <c r="A422" s="3" t="s">
        <v>812</v>
      </c>
      <c r="B422" s="3" t="s">
        <v>107</v>
      </c>
      <c r="C422" s="3" t="s">
        <v>16</v>
      </c>
      <c r="D422" s="3" t="s">
        <v>858</v>
      </c>
      <c r="E422" s="3" t="s">
        <v>892</v>
      </c>
      <c r="F422" s="3" t="s">
        <v>29</v>
      </c>
      <c r="G422" s="3" t="s">
        <v>893</v>
      </c>
      <c r="H422" s="3" t="n">
        <v>50</v>
      </c>
      <c r="I422" s="4" t="n">
        <v>50000</v>
      </c>
      <c r="J422" s="5" t="n">
        <v>11</v>
      </c>
      <c r="K422" s="6" t="n">
        <f aca="false">IF(J422=0,0,I422/J422)</f>
        <v>4545.45454545455</v>
      </c>
      <c r="L422" s="4"/>
      <c r="M422" s="3" t="s">
        <v>894</v>
      </c>
      <c r="N422" s="3" t="s">
        <v>817</v>
      </c>
    </row>
    <row r="423" customFormat="false" ht="15" hidden="false" customHeight="false" outlineLevel="0" collapsed="false">
      <c r="A423" s="3" t="s">
        <v>812</v>
      </c>
      <c r="B423" s="3" t="s">
        <v>107</v>
      </c>
      <c r="C423" s="3" t="s">
        <v>16</v>
      </c>
      <c r="D423" s="3" t="s">
        <v>895</v>
      </c>
      <c r="E423" s="3" t="s">
        <v>896</v>
      </c>
      <c r="F423" s="3" t="s">
        <v>29</v>
      </c>
      <c r="G423" s="3" t="s">
        <v>897</v>
      </c>
      <c r="H423" s="3" t="n">
        <v>50</v>
      </c>
      <c r="I423" s="4" t="n">
        <v>50000</v>
      </c>
      <c r="J423" s="5" t="n">
        <v>11</v>
      </c>
      <c r="K423" s="6" t="n">
        <f aca="false">IF(J423=0,0,I423/J423)</f>
        <v>4545.45454545455</v>
      </c>
      <c r="L423" s="4"/>
      <c r="M423" s="3" t="s">
        <v>898</v>
      </c>
      <c r="N423" s="3" t="s">
        <v>817</v>
      </c>
    </row>
    <row r="424" customFormat="false" ht="15" hidden="false" customHeight="false" outlineLevel="0" collapsed="false">
      <c r="A424" s="3" t="s">
        <v>812</v>
      </c>
      <c r="B424" s="3" t="s">
        <v>220</v>
      </c>
      <c r="C424" s="3" t="s">
        <v>108</v>
      </c>
      <c r="D424" s="3" t="s">
        <v>818</v>
      </c>
      <c r="E424" s="3" t="s">
        <v>899</v>
      </c>
      <c r="F424" s="3" t="s">
        <v>29</v>
      </c>
      <c r="G424" s="3" t="s">
        <v>900</v>
      </c>
      <c r="H424" s="3" t="n">
        <v>30</v>
      </c>
      <c r="I424" s="4" t="n">
        <v>10000</v>
      </c>
      <c r="J424" s="5" t="n">
        <v>5</v>
      </c>
      <c r="K424" s="6" t="n">
        <f aca="false">IF(J424=0,0,I424/J424)</f>
        <v>2000</v>
      </c>
      <c r="L424" s="4"/>
      <c r="M424" s="3" t="s">
        <v>901</v>
      </c>
      <c r="N424" s="3" t="s">
        <v>817</v>
      </c>
    </row>
    <row r="425" customFormat="false" ht="15" hidden="false" customHeight="false" outlineLevel="0" collapsed="false">
      <c r="A425" s="3" t="s">
        <v>812</v>
      </c>
      <c r="B425" s="3" t="s">
        <v>220</v>
      </c>
      <c r="C425" s="3" t="s">
        <v>41</v>
      </c>
      <c r="D425" s="3" t="s">
        <v>902</v>
      </c>
      <c r="E425" s="3" t="s">
        <v>903</v>
      </c>
      <c r="F425" s="3" t="s">
        <v>44</v>
      </c>
      <c r="G425" s="3" t="s">
        <v>59</v>
      </c>
      <c r="H425" s="3" t="n">
        <v>1</v>
      </c>
      <c r="I425" s="4" t="n">
        <v>50000</v>
      </c>
      <c r="J425" s="5" t="n">
        <v>2</v>
      </c>
      <c r="K425" s="6" t="n">
        <f aca="false">IF(J425=0,0,I425/J425)</f>
        <v>25000</v>
      </c>
      <c r="L425" s="4"/>
      <c r="M425" s="3" t="s">
        <v>904</v>
      </c>
      <c r="N425" s="3" t="s">
        <v>817</v>
      </c>
    </row>
    <row r="426" customFormat="false" ht="15" hidden="false" customHeight="false" outlineLevel="0" collapsed="false">
      <c r="A426" s="3" t="s">
        <v>812</v>
      </c>
      <c r="B426" s="3" t="s">
        <v>220</v>
      </c>
      <c r="C426" s="3" t="s">
        <v>41</v>
      </c>
      <c r="D426" s="3" t="s">
        <v>845</v>
      </c>
      <c r="E426" s="3" t="s">
        <v>905</v>
      </c>
      <c r="F426" s="3" t="s">
        <v>105</v>
      </c>
      <c r="G426" s="3" t="s">
        <v>56</v>
      </c>
      <c r="H426" s="3" t="n">
        <v>1</v>
      </c>
      <c r="I426" s="4" t="n">
        <v>10000</v>
      </c>
      <c r="J426" s="5" t="n">
        <v>2</v>
      </c>
      <c r="K426" s="6" t="n">
        <f aca="false">IF(J426=0,0,I426/J426)</f>
        <v>5000</v>
      </c>
      <c r="L426" s="4"/>
      <c r="M426" s="3" t="s">
        <v>906</v>
      </c>
      <c r="N426" s="3" t="s">
        <v>817</v>
      </c>
    </row>
    <row r="427" customFormat="false" ht="15" hidden="false" customHeight="false" outlineLevel="0" collapsed="false">
      <c r="A427" s="3" t="s">
        <v>812</v>
      </c>
      <c r="B427" s="3" t="s">
        <v>220</v>
      </c>
      <c r="C427" s="3" t="s">
        <v>41</v>
      </c>
      <c r="D427" s="3" t="s">
        <v>845</v>
      </c>
      <c r="E427" s="3" t="s">
        <v>907</v>
      </c>
      <c r="F427" s="3" t="s">
        <v>44</v>
      </c>
      <c r="G427" s="3" t="s">
        <v>56</v>
      </c>
      <c r="H427" s="3" t="n">
        <v>1</v>
      </c>
      <c r="I427" s="4" t="n">
        <v>20000</v>
      </c>
      <c r="J427" s="5" t="n">
        <v>2</v>
      </c>
      <c r="K427" s="6" t="n">
        <f aca="false">IF(J427=0,0,I427/J427)</f>
        <v>10000</v>
      </c>
      <c r="L427" s="4"/>
      <c r="M427" s="3" t="s">
        <v>908</v>
      </c>
      <c r="N427" s="3" t="s">
        <v>817</v>
      </c>
    </row>
    <row r="428" customFormat="false" ht="15" hidden="false" customHeight="false" outlineLevel="0" collapsed="false">
      <c r="A428" s="3" t="s">
        <v>812</v>
      </c>
      <c r="B428" s="3" t="s">
        <v>220</v>
      </c>
      <c r="C428" s="3" t="s">
        <v>41</v>
      </c>
      <c r="D428" s="3" t="s">
        <v>845</v>
      </c>
      <c r="E428" s="3" t="s">
        <v>909</v>
      </c>
      <c r="F428" s="3" t="s">
        <v>44</v>
      </c>
      <c r="G428" s="3" t="s">
        <v>59</v>
      </c>
      <c r="H428" s="3" t="n">
        <v>2</v>
      </c>
      <c r="I428" s="4" t="n">
        <v>25000</v>
      </c>
      <c r="J428" s="5" t="n">
        <v>2</v>
      </c>
      <c r="K428" s="6" t="n">
        <f aca="false">IF(J428=0,0,I428/J428)</f>
        <v>12500</v>
      </c>
      <c r="L428" s="4"/>
      <c r="M428" s="3" t="s">
        <v>910</v>
      </c>
      <c r="N428" s="3" t="s">
        <v>817</v>
      </c>
    </row>
    <row r="429" customFormat="false" ht="15" hidden="false" customHeight="false" outlineLevel="0" collapsed="false">
      <c r="A429" s="3" t="s">
        <v>812</v>
      </c>
      <c r="B429" s="3" t="s">
        <v>220</v>
      </c>
      <c r="C429" s="3" t="s">
        <v>41</v>
      </c>
      <c r="D429" s="3" t="s">
        <v>845</v>
      </c>
      <c r="E429" s="3" t="s">
        <v>911</v>
      </c>
      <c r="F429" s="3" t="s">
        <v>912</v>
      </c>
      <c r="G429" s="3" t="s">
        <v>59</v>
      </c>
      <c r="H429" s="3" t="n">
        <v>10</v>
      </c>
      <c r="I429" s="4" t="n">
        <v>25000</v>
      </c>
      <c r="J429" s="5" t="n">
        <v>2</v>
      </c>
      <c r="K429" s="6" t="n">
        <f aca="false">IF(J429=0,0,I429/J429)</f>
        <v>12500</v>
      </c>
      <c r="L429" s="4"/>
      <c r="M429" s="3" t="s">
        <v>913</v>
      </c>
      <c r="N429" s="3" t="s">
        <v>817</v>
      </c>
    </row>
    <row r="430" customFormat="false" ht="15" hidden="false" customHeight="false" outlineLevel="0" collapsed="false">
      <c r="A430" s="3" t="s">
        <v>812</v>
      </c>
      <c r="B430" s="3" t="s">
        <v>220</v>
      </c>
      <c r="C430" s="3" t="s">
        <v>16</v>
      </c>
      <c r="D430" s="3" t="s">
        <v>856</v>
      </c>
      <c r="E430" s="3" t="s">
        <v>914</v>
      </c>
      <c r="F430" s="3" t="s">
        <v>105</v>
      </c>
      <c r="G430" s="3" t="s">
        <v>56</v>
      </c>
      <c r="H430" s="3" t="n">
        <v>2</v>
      </c>
      <c r="I430" s="4" t="n">
        <v>12000</v>
      </c>
      <c r="J430" s="5" t="n">
        <v>2</v>
      </c>
      <c r="K430" s="6" t="n">
        <f aca="false">IF(J430=0,0,I430/J430)</f>
        <v>6000</v>
      </c>
      <c r="L430" s="4"/>
      <c r="M430" s="3" t="s">
        <v>915</v>
      </c>
      <c r="N430" s="3" t="s">
        <v>817</v>
      </c>
    </row>
    <row r="431" customFormat="false" ht="15" hidden="false" customHeight="false" outlineLevel="0" collapsed="false">
      <c r="A431" s="3" t="s">
        <v>812</v>
      </c>
      <c r="B431" s="3" t="s">
        <v>220</v>
      </c>
      <c r="C431" s="3" t="s">
        <v>16</v>
      </c>
      <c r="D431" s="3" t="s">
        <v>856</v>
      </c>
      <c r="E431" s="3" t="s">
        <v>916</v>
      </c>
      <c r="F431" s="3" t="s">
        <v>44</v>
      </c>
      <c r="G431" s="3" t="s">
        <v>56</v>
      </c>
      <c r="H431" s="3" t="n">
        <v>2</v>
      </c>
      <c r="I431" s="4" t="n">
        <v>35986</v>
      </c>
      <c r="J431" s="5" t="n">
        <v>2</v>
      </c>
      <c r="K431" s="6" t="n">
        <f aca="false">IF(J431=0,0,I431/J431)</f>
        <v>17993</v>
      </c>
      <c r="L431" s="4"/>
      <c r="M431" s="3" t="s">
        <v>917</v>
      </c>
      <c r="N431" s="3" t="s">
        <v>817</v>
      </c>
    </row>
    <row r="432" customFormat="false" ht="15" hidden="false" customHeight="false" outlineLevel="0" collapsed="false">
      <c r="A432" s="3" t="s">
        <v>812</v>
      </c>
      <c r="B432" s="3" t="s">
        <v>220</v>
      </c>
      <c r="C432" s="3" t="s">
        <v>16</v>
      </c>
      <c r="D432" s="3" t="s">
        <v>856</v>
      </c>
      <c r="E432" s="3" t="s">
        <v>918</v>
      </c>
      <c r="F432" s="3" t="s">
        <v>105</v>
      </c>
      <c r="G432" s="3" t="s">
        <v>93</v>
      </c>
      <c r="H432" s="3" t="n">
        <v>1</v>
      </c>
      <c r="I432" s="4" t="n">
        <v>35000</v>
      </c>
      <c r="J432" s="5" t="n">
        <v>1</v>
      </c>
      <c r="K432" s="6" t="n">
        <f aca="false">IF(J432=0,0,I432/J432)</f>
        <v>35000</v>
      </c>
      <c r="L432" s="4"/>
      <c r="M432" s="3" t="s">
        <v>919</v>
      </c>
      <c r="N432" s="3" t="s">
        <v>817</v>
      </c>
    </row>
    <row r="433" customFormat="false" ht="15" hidden="false" customHeight="false" outlineLevel="0" collapsed="false">
      <c r="A433" s="3" t="s">
        <v>812</v>
      </c>
      <c r="B433" s="3" t="s">
        <v>220</v>
      </c>
      <c r="C433" s="3" t="s">
        <v>16</v>
      </c>
      <c r="D433" s="3" t="s">
        <v>856</v>
      </c>
      <c r="E433" s="3" t="s">
        <v>920</v>
      </c>
      <c r="F433" s="3" t="s">
        <v>105</v>
      </c>
      <c r="G433" s="3" t="s">
        <v>93</v>
      </c>
      <c r="H433" s="3" t="n">
        <v>1</v>
      </c>
      <c r="I433" s="4" t="n">
        <v>20000</v>
      </c>
      <c r="J433" s="5" t="n">
        <v>1</v>
      </c>
      <c r="K433" s="6" t="n">
        <f aca="false">IF(J433=0,0,I433/J433)</f>
        <v>20000</v>
      </c>
      <c r="L433" s="4"/>
      <c r="M433" s="3" t="s">
        <v>921</v>
      </c>
      <c r="N433" s="3" t="s">
        <v>817</v>
      </c>
    </row>
    <row r="434" customFormat="false" ht="15" hidden="false" customHeight="false" outlineLevel="0" collapsed="false">
      <c r="A434" s="3" t="s">
        <v>812</v>
      </c>
      <c r="B434" s="3" t="s">
        <v>220</v>
      </c>
      <c r="C434" s="3" t="s">
        <v>16</v>
      </c>
      <c r="D434" s="3" t="s">
        <v>856</v>
      </c>
      <c r="E434" s="3" t="s">
        <v>922</v>
      </c>
      <c r="F434" s="3" t="s">
        <v>105</v>
      </c>
      <c r="G434" s="3" t="s">
        <v>93</v>
      </c>
      <c r="H434" s="3" t="n">
        <v>1</v>
      </c>
      <c r="I434" s="4" t="n">
        <v>10000</v>
      </c>
      <c r="J434" s="5" t="n">
        <v>1</v>
      </c>
      <c r="K434" s="6" t="n">
        <f aca="false">IF(J434=0,0,I434/J434)</f>
        <v>10000</v>
      </c>
      <c r="L434" s="4"/>
      <c r="M434" s="3" t="s">
        <v>923</v>
      </c>
      <c r="N434" s="3" t="s">
        <v>817</v>
      </c>
    </row>
    <row r="435" customFormat="false" ht="15" hidden="false" customHeight="false" outlineLevel="0" collapsed="false">
      <c r="A435" s="3" t="s">
        <v>812</v>
      </c>
      <c r="B435" s="3" t="s">
        <v>124</v>
      </c>
      <c r="C435" s="3" t="s">
        <v>41</v>
      </c>
      <c r="D435" s="3" t="s">
        <v>829</v>
      </c>
      <c r="E435" s="3" t="s">
        <v>924</v>
      </c>
      <c r="F435" s="3" t="s">
        <v>105</v>
      </c>
      <c r="G435" s="3" t="s">
        <v>93</v>
      </c>
      <c r="H435" s="3" t="n">
        <v>2</v>
      </c>
      <c r="I435" s="4" t="n">
        <v>100000</v>
      </c>
      <c r="J435" s="5" t="n">
        <v>1</v>
      </c>
      <c r="K435" s="6" t="n">
        <f aca="false">IF(J435=0,0,I435/J435)</f>
        <v>100000</v>
      </c>
      <c r="L435" s="4"/>
      <c r="M435" s="3" t="s">
        <v>925</v>
      </c>
      <c r="N435" s="3" t="s">
        <v>817</v>
      </c>
    </row>
    <row r="436" customFormat="false" ht="15" hidden="false" customHeight="false" outlineLevel="0" collapsed="false">
      <c r="A436" s="3" t="s">
        <v>812</v>
      </c>
      <c r="B436" s="3" t="s">
        <v>124</v>
      </c>
      <c r="C436" s="3" t="s">
        <v>41</v>
      </c>
      <c r="D436" s="3" t="s">
        <v>873</v>
      </c>
      <c r="E436" s="3" t="s">
        <v>926</v>
      </c>
      <c r="F436" s="3" t="s">
        <v>44</v>
      </c>
      <c r="G436" s="3" t="s">
        <v>927</v>
      </c>
      <c r="H436" s="3" t="n">
        <v>30</v>
      </c>
      <c r="I436" s="4" t="n">
        <v>95348</v>
      </c>
      <c r="J436" s="5" t="n">
        <v>3</v>
      </c>
      <c r="K436" s="6" t="n">
        <f aca="false">IF(J436=0,0,I436/J436)</f>
        <v>31782.6666666667</v>
      </c>
      <c r="L436" s="4"/>
      <c r="M436" s="3" t="s">
        <v>928</v>
      </c>
      <c r="N436" s="3" t="s">
        <v>817</v>
      </c>
    </row>
    <row r="437" customFormat="false" ht="15" hidden="false" customHeight="false" outlineLevel="0" collapsed="false">
      <c r="A437" s="3" t="s">
        <v>812</v>
      </c>
      <c r="B437" s="3" t="s">
        <v>124</v>
      </c>
      <c r="C437" s="3" t="s">
        <v>16</v>
      </c>
      <c r="D437" s="3" t="s">
        <v>856</v>
      </c>
      <c r="E437" s="3" t="s">
        <v>929</v>
      </c>
      <c r="F437" s="3" t="s">
        <v>44</v>
      </c>
      <c r="G437" s="3" t="s">
        <v>930</v>
      </c>
      <c r="H437" s="3" t="n">
        <v>2</v>
      </c>
      <c r="I437" s="4" t="n">
        <v>50000</v>
      </c>
      <c r="J437" s="5" t="n">
        <v>2</v>
      </c>
      <c r="K437" s="6" t="n">
        <f aca="false">IF(J437=0,0,I437/J437)</f>
        <v>25000</v>
      </c>
      <c r="L437" s="4"/>
      <c r="M437" s="3" t="s">
        <v>931</v>
      </c>
      <c r="N437" s="3" t="s">
        <v>817</v>
      </c>
    </row>
    <row r="438" customFormat="false" ht="15" hidden="false" customHeight="false" outlineLevel="0" collapsed="false">
      <c r="A438" s="3" t="s">
        <v>812</v>
      </c>
      <c r="B438" s="3" t="s">
        <v>231</v>
      </c>
      <c r="C438" s="3" t="s">
        <v>41</v>
      </c>
      <c r="D438" s="3" t="s">
        <v>829</v>
      </c>
      <c r="E438" s="3" t="s">
        <v>932</v>
      </c>
      <c r="F438" s="3" t="s">
        <v>105</v>
      </c>
      <c r="G438" s="3" t="s">
        <v>933</v>
      </c>
      <c r="H438" s="3" t="n">
        <v>1</v>
      </c>
      <c r="I438" s="4" t="n">
        <v>100261</v>
      </c>
      <c r="J438" s="5" t="n">
        <v>3</v>
      </c>
      <c r="K438" s="6" t="n">
        <f aca="false">IF(J438=0,0,I438/J438)</f>
        <v>33420.3333333333</v>
      </c>
      <c r="L438" s="4"/>
      <c r="M438" s="3" t="s">
        <v>934</v>
      </c>
      <c r="N438" s="3" t="s">
        <v>817</v>
      </c>
    </row>
    <row r="439" customFormat="false" ht="15" hidden="false" customHeight="false" outlineLevel="0" collapsed="false">
      <c r="A439" s="3" t="s">
        <v>812</v>
      </c>
      <c r="B439" s="3" t="s">
        <v>255</v>
      </c>
      <c r="C439" s="3" t="s">
        <v>108</v>
      </c>
      <c r="D439" s="3" t="s">
        <v>868</v>
      </c>
      <c r="E439" s="3" t="s">
        <v>935</v>
      </c>
      <c r="F439" s="3" t="s">
        <v>29</v>
      </c>
      <c r="G439" s="3" t="s">
        <v>936</v>
      </c>
      <c r="H439" s="3" t="n">
        <v>20</v>
      </c>
      <c r="I439" s="4" t="n">
        <v>10000</v>
      </c>
      <c r="J439" s="5" t="n">
        <v>4</v>
      </c>
      <c r="K439" s="6" t="n">
        <f aca="false">IF(J439=0,0,I439/J439)</f>
        <v>2500</v>
      </c>
      <c r="L439" s="4"/>
      <c r="M439" s="3" t="s">
        <v>937</v>
      </c>
      <c r="N439" s="3" t="s">
        <v>817</v>
      </c>
    </row>
    <row r="440" customFormat="false" ht="15" hidden="false" customHeight="false" outlineLevel="0" collapsed="false">
      <c r="A440" s="3" t="s">
        <v>812</v>
      </c>
      <c r="B440" s="3" t="s">
        <v>255</v>
      </c>
      <c r="C440" s="3" t="s">
        <v>16</v>
      </c>
      <c r="D440" s="3" t="s">
        <v>938</v>
      </c>
      <c r="E440" s="3" t="s">
        <v>939</v>
      </c>
      <c r="F440" s="3" t="s">
        <v>105</v>
      </c>
      <c r="G440" s="3" t="s">
        <v>940</v>
      </c>
      <c r="H440" s="3" t="n">
        <v>1</v>
      </c>
      <c r="I440" s="4" t="n">
        <v>30000</v>
      </c>
      <c r="J440" s="5" t="n">
        <v>6</v>
      </c>
      <c r="K440" s="6" t="n">
        <f aca="false">IF(J440=0,0,I440/J440)</f>
        <v>5000</v>
      </c>
      <c r="L440" s="4"/>
      <c r="M440" s="3" t="s">
        <v>937</v>
      </c>
      <c r="N440" s="3" t="s">
        <v>817</v>
      </c>
    </row>
    <row r="441" customFormat="false" ht="15" hidden="false" customHeight="false" outlineLevel="0" collapsed="false">
      <c r="A441" s="3" t="s">
        <v>812</v>
      </c>
      <c r="B441" s="3" t="s">
        <v>255</v>
      </c>
      <c r="C441" s="3" t="s">
        <v>16</v>
      </c>
      <c r="D441" s="3" t="s">
        <v>895</v>
      </c>
      <c r="E441" s="3" t="s">
        <v>941</v>
      </c>
      <c r="F441" s="3" t="s">
        <v>29</v>
      </c>
      <c r="G441" s="3" t="s">
        <v>942</v>
      </c>
      <c r="H441" s="3" t="n">
        <v>20</v>
      </c>
      <c r="I441" s="4" t="n">
        <v>15000</v>
      </c>
      <c r="J441" s="5" t="n">
        <v>4</v>
      </c>
      <c r="K441" s="6" t="n">
        <f aca="false">IF(J441=0,0,I441/J441)</f>
        <v>3750</v>
      </c>
      <c r="L441" s="4"/>
      <c r="M441" s="3" t="s">
        <v>937</v>
      </c>
      <c r="N441" s="3" t="s">
        <v>817</v>
      </c>
    </row>
  </sheetData>
  <autoFilter ref="A1:L4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2026-02-06T11:20:19Z</dcterms:created>
  <dc:creator>openpyxl</dc:creator>
  <dc:description/>
  <dc:language>en-US</dc:language>
  <cp:lastModifiedBy/>
  <dcterms:modified xsi:type="dcterms:W3CDTF">2026-02-06T11:53:37Z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