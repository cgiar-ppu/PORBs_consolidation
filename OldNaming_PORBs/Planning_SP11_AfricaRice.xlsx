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mmary" sheetId="1" r:id="rId1"/>
    <sheet name="Cross-Cutting" sheetId="2" r:id="rId2"/>
    <sheet name="HLO" sheetId="3" r:id="rId3"/>
    <sheet name="Partner" sheetId="4" r:id="rId4"/>
    <sheet name="W3-Bilateral projects" sheetId="5" r:id="rId5"/>
    <sheet name="MELIA" sheetId="6" r:id="rId6"/>
    <sheet name="Anaplan" sheetId="7" r:id="rId7"/>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18" x14ac:knownFonts="1">
    <font>
      <sz val="11"/>
      <name val="Calibri"/>
    </font>
    <font>
      <sz val="11"/>
      <name val="Calibri"/>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000000"/>
    </font>
    <font>
      <sz val="11"/>
      <name val="Calibri"/>
      <b/>
      <color rgb="000000"/>
    </font>
    <font>
      <sz val="11"/>
      <name val="Calibri"/>
      <b/>
      <color rgb="FFFFFF"/>
    </font>
    <font>
      <sz val="11"/>
      <name val="Calibri"/>
      <b/>
      <color rgb="FFFFFF"/>
    </font>
    <font>
      <sz val="11"/>
      <name val="Calibri"/>
      <b/>
      <color rgb="FFFFFF"/>
    </font>
    <font>
      <sz val="11"/>
      <name val="Calibri"/>
      <b/>
      <color rgb="FFFFFF"/>
    </font>
    <font>
      <sz val="11"/>
      <name val="Calibri"/>
      <b/>
      <color rgb="FFFFFF"/>
    </font>
  </fonts>
  <fills count="18">
    <fill>
      <patternFill patternType="none">
        <bgColor/>
      </patternFill>
    </fill>
    <fill>
      <patternFill patternType="gray125">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E6E6E6"/>
        <bgColor/>
      </patternFill>
    </fill>
    <fill>
      <patternFill patternType="solid">
        <fgColor rgb="FFE6E6E6"/>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s>
  <borders count="19">
    <border>
      <left/>
      <right/>
      <top/>
      <bottom/>
      <diagonal/>
    </border>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medium"/>
      <bottom style="thin"/>
      <diagonal/>
    </border>
    <border>
      <left style="thin"/>
      <right style="thin"/>
      <top style="medium"/>
      <bottom style="thin"/>
      <diagonal/>
    </border>
  </borders>
  <cellStyleXfs>
    <xf numFmtId="0" fontId="0" fillId="0" borderId="0"/>
  </cellStyleXfs>
  <cellXfs count="24">
    <xf numFmtId="0" fontId="0" fillId="0" borderId="0" xfId="0"/>
    <xf numFmtId="0" fontId="1" fillId="1" borderId="1" xfId="0" applyFont="1" applyFill="1" applyBorder="1"/>
    <xf numFmtId="0" fontId="0" fillId="0" borderId="0" xfId="0"/>
    <xf numFmtId="0" fontId="2" fillId="2" borderId="2" xfId="0" applyFont="1" applyFill="1" applyBorder="1" applyAlignment="1">
      <alignment horizontal="center" vertical="center"/>
    </xf>
    <xf numFmtId="0" fontId="3" fillId="3" borderId="3" xfId="0" applyFont="1" applyFill="1" applyBorder="1" applyAlignment="1">
      <alignment horizontal="center" vertical="center"/>
    </xf>
    <xf numFmtId="0" fontId="0" fillId="0" borderId="0" xfId="0" applyAlignment="1">
      <alignment horizontal="center" vertical="center"/>
    </xf>
    <xf numFmtId="0" fontId="4" fillId="4" borderId="0" xfId="0" applyFont="1" applyFill="1" applyAlignment="1">
      <alignment horizontal="center" vertical="center"/>
    </xf>
    <xf numFmtId="0" fontId="5" fillId="5" borderId="0" xfId="0" applyFont="1" applyFill="1" applyAlignment="1">
      <alignment horizontal="center" vertical="center"/>
    </xf>
    <xf numFmtId="0" fontId="6" fillId="6" borderId="4" xfId="0" applyFont="1" applyFill="1" applyBorder="1" applyAlignment="1">
      <alignment horizontal="center" vertical="center" wrapText="true"/>
    </xf>
    <xf numFmtId="0" fontId="7" fillId="7" borderId="5" xfId="0" applyFont="1" applyFill="1" applyBorder="1" applyAlignment="1">
      <alignment horizontal="center" vertical="center" wrapText="true"/>
    </xf>
    <xf numFmtId="0" fontId="8" fillId="8" borderId="6" xfId="0" applyFont="1" applyFill="1" applyBorder="1" applyAlignment="1">
      <alignment horizontal="center" vertical="center" wrapText="true"/>
    </xf>
    <xf numFmtId="0" fontId="0" fillId="0" borderId="7" xfId="0" applyBorder="1" applyAlignment="1">
      <alignment horizontal="center" vertical="center" wrapText="true"/>
    </xf>
    <xf numFmtId="0" fontId="9" fillId="9" borderId="8" xfId="0" applyFont="1" applyFill="1" applyBorder="1" applyAlignment="1">
      <alignment horizontal="center" vertical="center"/>
    </xf>
    <xf numFmtId="0" fontId="10" fillId="10" borderId="9" xfId="0" applyFont="1" applyFill="1" applyBorder="1" applyAlignment="1">
      <alignment horizontal="center" vertical="center"/>
    </xf>
    <xf numFmtId="0" fontId="11" fillId="11" borderId="10" xfId="0" applyFont="1" applyFill="1" applyBorder="1" applyAlignment="1">
      <alignment horizontal="center" vertical="center" wrapText="true"/>
    </xf>
    <xf numFmtId="0" fontId="12" fillId="12" borderId="11" xfId="0" applyFont="1" applyFill="1" applyBorder="1" applyAlignment="1">
      <alignment horizontal="center" vertical="center" wrapText="true"/>
    </xf>
    <xf numFmtId="0" fontId="13" fillId="13" borderId="12" xfId="0" applyFont="1" applyFill="1" applyBorder="1" applyAlignment="1">
      <alignment horizontal="center" vertical="center" wrapText="true"/>
    </xf>
    <xf numFmtId="0" fontId="14" fillId="14" borderId="13" xfId="0" applyFont="1" applyFill="1" applyBorder="1" applyAlignment="1">
      <alignment horizontal="center" vertical="center" wrapText="true"/>
    </xf>
    <xf numFmtId="0" fontId="0" fillId="0" borderId="14" xfId="0" applyBorder="1" applyAlignment="1">
      <alignment vertical="center" wrapText="true"/>
    </xf>
    <xf numFmtId="0" fontId="0" fillId="0" borderId="15" xfId="0" applyBorder="1" applyAlignment="1">
      <alignment horizontal="center" vertical="center" wrapText="true"/>
    </xf>
    <xf numFmtId="1" fontId="0" fillId="0" borderId="16" xfId="0" applyBorder="1" applyNumberFormat="1" applyAlignment="1">
      <alignment horizontal="center" vertical="center"/>
    </xf>
    <xf numFmtId="0" fontId="15" fillId="15" borderId="0" xfId="0" applyFont="1" applyFill="1" applyAlignment="1">
      <alignment horizontal="center" vertical="center"/>
    </xf>
    <xf numFmtId="1" fontId="16" fillId="16" borderId="17" xfId="0" applyFont="1" applyFill="1" applyBorder="1" applyNumberFormat="1" applyAlignment="1">
      <alignment horizontal="center" vertical="center"/>
    </xf>
    <xf numFmtId="1" fontId="17" fillId="17" borderId="18" xfId="0" applyFont="1" applyFill="1" applyBorder="1" applyNumberFormat="1" applyAlignment="1">
      <alignment horizontal="center" vertical="center"/>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theme" Target="theme/theme1.xml"/><Relationship Id="rId9" Type="http://schemas.openxmlformats.org/officeDocument/2006/relationships/styles" Target="styles.xml"/><Relationship Id="rId10"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M8"/>
  <sheetViews>
    <sheetView workbookViewId="0"/>
  </sheetViews>
  <cols>
    <col min="1" max="1" width="30.83203125" customWidth="1"/>
    <col min="2" max="2" width="12.83203125" customWidth="1"/>
    <col min="3" max="3" width="15.83203125" customWidth="1"/>
    <col min="4" max="4" width="12.83203125" customWidth="1"/>
    <col min="5" max="5" width="15.83203125" customWidth="1"/>
    <col min="6" max="6" width="12.83203125" customWidth="1"/>
    <col min="7" max="7" width="15.83203125" customWidth="1"/>
    <col min="8" max="8" width="12.83203125" customWidth="1"/>
    <col min="9" max="9" width="15.83203125" customWidth="1"/>
    <col min="10" max="10" width="25.83203125" customWidth="1"/>
    <col min="11" max="11" width="25.83203125" customWidth="1"/>
    <col min="12" max="12" width="35.83203125" customWidth="1"/>
    <col min="13" max="13" width="30.83203125" customWidth="1"/>
  </cols>
  <sheetData>
    <row r="1" ht="15" customHeight="1">
      <c r="A1" s="3" t="str">
        <v>Area of Work</v>
      </c>
      <c r="B1" s="4" t="str">
        <v>Pooled Funding</v>
      </c>
      <c r="M1" s="4" t="str">
        <v>W3/ Bilateral Project (USD)</v>
      </c>
    </row>
    <row r="2" ht="15" customHeight="1">
      <c r="B2" s="4" t="str">
        <v>Innovation Development</v>
      </c>
      <c r="D2" s="4" t="str">
        <v>Knowledge product</v>
      </c>
      <c r="F2" s="4" t="str">
        <v>Capacity Sharing</v>
      </c>
      <c r="H2" s="4" t="str">
        <v>Others outputs</v>
      </c>
      <c r="J2" s="4" t="str">
        <v>Partner budget</v>
      </c>
      <c r="K2" s="4" t="str">
        <v>MELIA Studies budget</v>
      </c>
      <c r="L2" s="4" t="str">
        <v>Total Pooled Funding budget (USD)</v>
      </c>
    </row>
    <row r="3" ht="15" customHeight="1">
      <c r="B3" s="4" t="str">
        <v>Target</v>
      </c>
      <c r="C3" s="4" t="str">
        <v>Budget</v>
      </c>
      <c r="D3" s="4" t="str">
        <v>Target</v>
      </c>
      <c r="E3" s="4" t="str">
        <v>Budget</v>
      </c>
      <c r="F3" s="4" t="str">
        <v>Target</v>
      </c>
      <c r="G3" s="4" t="str">
        <v>Budget</v>
      </c>
      <c r="H3" s="4" t="str">
        <v>Target</v>
      </c>
      <c r="I3" s="4" t="str">
        <v>Budget</v>
      </c>
    </row>
    <row r="4" ht="20" customHeight="1">
      <c r="A4" s="2" t="str">
        <v>AOW00: Cross-Cutting and Management</v>
      </c>
      <c r="B4" s="2">
        <v>0</v>
      </c>
      <c r="C4" s="5">
        <v>0</v>
      </c>
      <c r="D4" s="2">
        <v>0</v>
      </c>
      <c r="E4" s="5">
        <v>0</v>
      </c>
      <c r="F4" s="2">
        <v>0</v>
      </c>
      <c r="G4" s="5">
        <v>0</v>
      </c>
      <c r="H4" s="2">
        <v>0</v>
      </c>
      <c r="I4" s="5">
        <v>0</v>
      </c>
      <c r="J4" s="5">
        <v>0</v>
      </c>
      <c r="K4" s="5">
        <v>0</v>
      </c>
      <c r="L4" s="5">
        <v>0</v>
      </c>
      <c r="M4" s="5">
        <v>987121</v>
      </c>
    </row>
    <row r="5" ht="20" customHeight="1">
      <c r="A5" s="2" t="str">
        <v>AOW01: CapSha Innovation Laboratory</v>
      </c>
      <c r="B5" s="2">
        <v>0</v>
      </c>
      <c r="C5" s="5">
        <v>0</v>
      </c>
      <c r="D5" s="2">
        <v>0</v>
      </c>
      <c r="E5" s="5">
        <v>0</v>
      </c>
      <c r="F5" s="2">
        <v>0</v>
      </c>
      <c r="G5" s="5">
        <v>0</v>
      </c>
      <c r="H5" s="2">
        <v>0</v>
      </c>
      <c r="I5" s="5">
        <v>0</v>
      </c>
      <c r="J5" s="5">
        <v>0</v>
      </c>
      <c r="K5" s="5">
        <v>0</v>
      </c>
      <c r="L5" s="5">
        <v>0</v>
      </c>
      <c r="M5" s="5">
        <v>0</v>
      </c>
    </row>
    <row r="6" ht="20" customHeight="1">
      <c r="A6" s="2" t="str">
        <v>AOW02: CapSha Marketplace</v>
      </c>
      <c r="B6" s="2">
        <v>0</v>
      </c>
      <c r="C6" s="5">
        <v>0</v>
      </c>
      <c r="D6" s="2">
        <v>0</v>
      </c>
      <c r="E6" s="5">
        <v>0</v>
      </c>
      <c r="F6" s="2">
        <v>0</v>
      </c>
      <c r="G6" s="5">
        <v>0</v>
      </c>
      <c r="H6" s="2">
        <v>0</v>
      </c>
      <c r="I6" s="5">
        <v>0</v>
      </c>
      <c r="J6" s="5">
        <v>0</v>
      </c>
      <c r="K6" s="5">
        <v>0</v>
      </c>
      <c r="L6" s="5">
        <v>0</v>
      </c>
      <c r="M6" s="5">
        <v>0</v>
      </c>
    </row>
    <row r="7" ht="20" customHeight="1">
      <c r="A7" s="2" t="str">
        <v>AOW03: CapSha South-South and Triangular Cooperation</v>
      </c>
      <c r="B7" s="2">
        <v>0</v>
      </c>
      <c r="C7" s="5">
        <v>0</v>
      </c>
      <c r="D7" s="2">
        <v>0</v>
      </c>
      <c r="E7" s="5">
        <v>20000</v>
      </c>
      <c r="F7" s="2">
        <v>100</v>
      </c>
      <c r="G7" s="5">
        <v>153250</v>
      </c>
      <c r="H7" s="2">
        <v>0</v>
      </c>
      <c r="I7" s="5">
        <v>0</v>
      </c>
      <c r="J7" s="5">
        <v>0</v>
      </c>
      <c r="K7" s="5">
        <v>0</v>
      </c>
      <c r="L7" s="5">
        <v>173250</v>
      </c>
      <c r="M7" s="5">
        <v>0</v>
      </c>
    </row>
    <row r="8" ht="25" customHeight="1">
      <c r="A8" s="6" t="str">
        <v>Total</v>
      </c>
      <c r="B8" s="7">
        <f>SUM(B4:B7)</f>
      </c>
      <c r="C8" s="7">
        <f>SUM(C4:C7)</f>
      </c>
      <c r="D8" s="7">
        <f>SUM(D4:D7)</f>
      </c>
      <c r="E8" s="7">
        <f>SUM(E4:E7)</f>
      </c>
      <c r="F8" s="7">
        <f>SUM(F4:F7)</f>
      </c>
      <c r="G8" s="7">
        <f>SUM(G4:G7)</f>
      </c>
      <c r="H8" s="7">
        <f>SUM(H4:H7)</f>
      </c>
      <c r="I8" s="7">
        <f>SUM(I4:I7)</f>
      </c>
      <c r="J8" s="7">
        <f>SUM(J4:J7)</f>
      </c>
      <c r="K8" s="7">
        <f>SUM(K4:K7)</f>
      </c>
      <c r="L8" s="7">
        <f>SUM(L4:L7)</f>
      </c>
      <c r="M8" s="7">
        <f>SUM(M4:M7)</f>
      </c>
    </row>
  </sheetData>
  <mergeCells count="10">
    <mergeCell ref="A1:A3"/>
    <mergeCell ref="B1:L1"/>
    <mergeCell ref="M1:M3"/>
    <mergeCell ref="B2:C2"/>
    <mergeCell ref="D2:E2"/>
    <mergeCell ref="F2:G2"/>
    <mergeCell ref="H2:I2"/>
    <mergeCell ref="J2:J3"/>
    <mergeCell ref="K2:K3"/>
    <mergeCell ref="L2:L3"/>
  </mergeCells>
  <ignoredErrors>
    <ignoredError numberStoredAsText="1" sqref="A1:M8"/>
  </ignoredErrors>
</worksheet>
</file>

<file path=xl/worksheets/sheet2.xml><?xml version="1.0" encoding="utf-8"?>
<worksheet xmlns="http://schemas.openxmlformats.org/spreadsheetml/2006/main" xmlns:r="http://schemas.openxmlformats.org/officeDocument/2006/relationships">
  <dimension ref="A1:E6"/>
  <sheetViews>
    <sheetView workbookViewId="0"/>
  </sheetViews>
  <cols>
    <col min="1" max="1" width="10.83203125" customWidth="1"/>
    <col min="2" max="2" width="40.83203125" customWidth="1"/>
    <col min="3" max="3" width="25.83203125" customWidth="1"/>
  </cols>
  <sheetData>
    <row r="1" ht="60" customHeight="1">
      <c r="A1" s="8" t="str">
        <v>AOW</v>
      </c>
      <c r="B1" s="9" t="str">
        <v>Cross-Cutting</v>
      </c>
      <c r="C1" s="9" t="str">
        <v>Description</v>
      </c>
      <c r="D1" s="9" t="str">
        <v>Pooled Funded (USD)</v>
      </c>
      <c r="E1" s="9" t="str">
        <v>Budget Assumptions</v>
      </c>
    </row>
    <row r="2" ht="45" customHeight="1">
      <c r="A2" s="10" t="str">
        <v>AOW00</v>
      </c>
      <c r="B2" s="11" t="str">
        <v>Shared Finance Support</v>
      </c>
      <c r="D2" s="11">
        <v>0</v>
      </c>
    </row>
    <row r="3" ht="45" customHeight="1">
      <c r="A3" s="11" t="str">
        <v>AOW00</v>
      </c>
      <c r="B3" s="11" t="str">
        <v>PMU (shared with other Accelerators)</v>
      </c>
      <c r="C3" s="11" t="str">
        <v/>
      </c>
      <c r="D3" s="11">
        <v>0</v>
      </c>
    </row>
    <row r="4" ht="45" customHeight="1">
      <c r="A4" s="11" t="str">
        <v>AOW00</v>
      </c>
      <c r="B4" s="11" t="str">
        <v>Leads for AoW1-3</v>
      </c>
      <c r="D4" s="11">
        <v>0</v>
      </c>
    </row>
    <row r="5" ht="45" customHeight="1">
      <c r="A5" s="11" t="str">
        <v>AOW00</v>
      </c>
      <c r="B5" s="11" t="str">
        <v>Operational funds for the CapSha Lead</v>
      </c>
      <c r="D5" s="11">
        <v>0</v>
      </c>
    </row>
    <row r="6" ht="45" customHeight="1">
      <c r="A6" s="11" t="str">
        <v>AOW00</v>
      </c>
      <c r="B6" s="11" t="str">
        <v>CapSha Accelerator Lead</v>
      </c>
      <c r="D6" s="11">
        <v>0</v>
      </c>
    </row>
  </sheetData>
  <mergeCells count="1">
    <mergeCell ref="A2:A6"/>
  </mergeCells>
  <ignoredErrors>
    <ignoredError numberStoredAsText="1" sqref="A1:E6"/>
  </ignoredErrors>
</worksheet>
</file>

<file path=xl/worksheets/sheet3.xml><?xml version="1.0" encoding="utf-8"?>
<worksheet xmlns="http://schemas.openxmlformats.org/spreadsheetml/2006/main" xmlns:r="http://schemas.openxmlformats.org/officeDocument/2006/relationships">
  <dimension ref="A1:I9"/>
  <sheetViews>
    <sheetView workbookViewId="0"/>
  </sheetViews>
  <cols>
    <col min="1" max="1" width="8.83203125" customWidth="1"/>
    <col min="2" max="2" width="40.83203125" customWidth="1"/>
    <col min="3" max="3" width="30.83203125" customWidth="1"/>
    <col min="4" max="4" width="30.83203125" customWidth="1"/>
    <col min="5" max="5" width="30.83203125" customWidth="1"/>
    <col min="6" max="6" width="10.83203125" customWidth="1"/>
    <col min="7" max="7" width="15.83203125" customWidth="1"/>
    <col min="8" max="8" width="20.83203125" customWidth="1"/>
    <col min="9" max="9" width="30.83203125" customWidth="1"/>
  </cols>
  <sheetData>
    <row r="1" ht="30" customHeight="1">
      <c r="A1" s="12" t="str">
        <v>AOW</v>
      </c>
      <c r="B1" s="8" t="str">
        <v>High Level Output</v>
      </c>
      <c r="C1" s="8" t="str">
        <v>Key Performance Indicators</v>
      </c>
      <c r="H1" s="8" t="str">
        <v>Total Budget (USD)</v>
      </c>
      <c r="I1" s="8" t="str">
        <v>Budget Assumptions</v>
      </c>
    </row>
    <row r="2" ht="30" customHeight="1">
      <c r="C2" s="8" t="str">
        <v>Description</v>
      </c>
      <c r="D2" s="8" t="str">
        <v>Type</v>
      </c>
      <c r="E2" s="8" t="str">
        <v>Geographic Location</v>
      </c>
      <c r="F2" s="8" t="str">
        <v>Target</v>
      </c>
      <c r="G2" s="8" t="str">
        <v>Budget (USD)</v>
      </c>
    </row>
    <row r="3" ht="50" customHeight="1">
      <c r="A3" s="13" t="str">
        <v>AOW03</v>
      </c>
      <c r="B3" s="11" t="str">
        <v>HLO 3.1.1: Partnership engagement mechanisms</v>
      </c>
      <c r="C3" s="11" t="str">
        <v>SSTC activities between ICAR, Embrapa, CAAS, CGIAR Centers/SPs and African NARIS are aligned, including CapSha support to institutional strenghtening for continental and regional institutions involved in CAADP</v>
      </c>
      <c r="D3" s="11" t="str">
        <v>Number of innovations (innovation development)</v>
      </c>
      <c r="E3" s="11" t="str">
        <v>Regional: Africa</v>
      </c>
      <c r="F3" s="11">
        <v>5</v>
      </c>
      <c r="G3" s="11">
        <v>0</v>
      </c>
      <c r="H3" s="11">
        <f>SUM(G3:G6)</f>
      </c>
    </row>
    <row r="4" ht="50" customHeight="1">
      <c r="A4" s="11" t="str">
        <v>AOW03</v>
      </c>
      <c r="C4" s="11" t="str">
        <v>The next generation of scientists is supported by dedicated programs (including e.g., CGIAR Germany CapSha PhD/MSc Program, CGIAR UM6P CapSha Hub, NL-CGIAR Senior Expert Program, UK-CGIAR Centre Collaboration in Science and Innovation)</v>
      </c>
      <c r="D4" s="11" t="str">
        <v>Number of people trained (capacity sharing for development)</v>
      </c>
      <c r="E4" s="11" t="str">
        <v>Global</v>
      </c>
      <c r="F4" s="11">
        <v>100</v>
      </c>
      <c r="G4" s="11">
        <v>0</v>
      </c>
    </row>
    <row r="5" ht="50" customHeight="1">
      <c r="A5" s="11" t="str">
        <v>AOW03</v>
      </c>
      <c r="C5" s="11" t="str">
        <v>The CapSha CoP is successfully established, connecting and enabling learning among an increasing number of key professinals involved in planning, implementing and evaluating capacity development activities in their respective SP/As and Centers and, successively also in NARI/ES and relevant regional organisations. The CoP is actively managed and moderated by the CapSha team through membership management and organisation of dedicated meetings and online sessions</v>
      </c>
      <c r="D5" s="11" t="str">
        <v>Number of people trained (capacity sharing for development)</v>
      </c>
      <c r="E5" s="11" t="str">
        <v>Global</v>
      </c>
      <c r="F5" s="11">
        <v>30</v>
      </c>
      <c r="G5" s="11">
        <v>10000</v>
      </c>
      <c r="I5" s="11" t="str">
        <v>Establish and support the CapSha CoP in close coordination with other AoWs and with a regional perspective.</v>
      </c>
    </row>
    <row r="6" ht="50" customHeight="1">
      <c r="A6" s="11" t="str">
        <v>AOW03</v>
      </c>
      <c r="C6" s="11" t="str">
        <v>CapSha conferences and/or other forms of online and offline engagmenent are organised and held by the CapSha team, serving to build a core group of CapSha CoP members (see HLO 3.1.1) but also to inform a successively broader audience of professionals with interest in capacity development about the CapSha Accelerator and to enable them to make effective use of the services it offers</v>
      </c>
      <c r="D6" s="11" t="str">
        <v>Number of people trained (capacity sharing for development)</v>
      </c>
      <c r="E6" s="11" t="str">
        <v>Global</v>
      </c>
      <c r="F6" s="11">
        <v>100</v>
      </c>
      <c r="G6" s="11">
        <v>20000</v>
      </c>
      <c r="I6" s="11" t="str">
        <v>Support to bilateral workshops with institutions engaged in SSTC programs and promoting the collaboration within the CGIAR Portfolio and the CapSha SSTC Program between China and Africa</v>
      </c>
    </row>
    <row r="7" ht="50" customHeight="1">
      <c r="A7" s="11" t="str">
        <v>AOW03</v>
      </c>
      <c r="B7" s="11" t="str">
        <v>HLO 3.1.3: SSTC cases analyzed</v>
      </c>
      <c r="C7" s="11" t="str">
        <v>Research on SSTC actors and on selected SSTC cases is conducted and published</v>
      </c>
      <c r="D7" s="11" t="str">
        <v>Number of knowledge products</v>
      </c>
      <c r="E7" s="11" t="str">
        <v>Global</v>
      </c>
      <c r="F7" s="11">
        <v>6</v>
      </c>
      <c r="G7" s="11">
        <v>20000</v>
      </c>
      <c r="H7" s="11">
        <f>SUM(G7:G7)</f>
      </c>
      <c r="I7" s="11" t="str">
        <v>Lessons learned publications on China-Africa SSTC cases.</v>
      </c>
    </row>
    <row r="8" ht="50" customHeight="1">
      <c r="A8" s="11" t="str">
        <v>AOW03</v>
      </c>
      <c r="B8" s="11" t="str">
        <v>HLO 3.1.4: CapSha SSTC engagmenents</v>
      </c>
      <c r="C8" s="11" t="str">
        <v>CapSha actively supports the planning, implementation and learning from key SSTC engagements, including SSTC initiatives with Brazil (Embrapa), China (CAAS) and India (ICAR), targeting African regional and national agricultural research organisations</v>
      </c>
      <c r="D8" s="11" t="str">
        <v>Number of people trained (capacity sharing for development)</v>
      </c>
      <c r="E8" s="11" t="str">
        <v>Country: Kenya, Ethiopia, Nigeria, China, Brazil, India</v>
      </c>
      <c r="F8" s="11">
        <v>200</v>
      </c>
      <c r="G8" s="11">
        <v>123250</v>
      </c>
      <c r="H8" s="11">
        <f>SUM(G8:G8)</f>
      </c>
      <c r="I8" s="11" t="str">
        <v>Coordination of CAAS-Africa SSTCs</v>
      </c>
    </row>
    <row r="9" ht="25" customHeight="1">
      <c r="B9" s="14" t="str">
        <v>HLO budget subtotal</v>
      </c>
      <c r="H9" s="15">
        <f>SUM(H3:H8)</f>
      </c>
    </row>
  </sheetData>
  <mergeCells count="9">
    <mergeCell ref="A1:A2"/>
    <mergeCell ref="B1:B2"/>
    <mergeCell ref="C1:G1"/>
    <mergeCell ref="H1:H2"/>
    <mergeCell ref="I1:I2"/>
    <mergeCell ref="B3:B6"/>
    <mergeCell ref="H3:H6"/>
    <mergeCell ref="B9:G9"/>
    <mergeCell ref="A3:A9"/>
  </mergeCells>
  <ignoredErrors>
    <ignoredError numberStoredAsText="1" sqref="A1:I9"/>
  </ignoredErrors>
</worksheet>
</file>

<file path=xl/worksheets/sheet4.xml><?xml version="1.0" encoding="utf-8"?>
<worksheet xmlns="http://schemas.openxmlformats.org/spreadsheetml/2006/main" xmlns:r="http://schemas.openxmlformats.org/officeDocument/2006/relationships">
  <dimension ref="A1:F1"/>
  <sheetViews>
    <sheetView workbookViewId="0"/>
  </sheetViews>
  <cols>
    <col min="1" max="1" width="8.83203125" customWidth="1"/>
    <col min="2" max="2" width="40.83203125" customWidth="1"/>
    <col min="3" max="3" width="60.83203125" customWidth="1"/>
    <col min="4" max="4" width="30.83203125" customWidth="1"/>
    <col min="5" max="5" width="15.83203125" customWidth="1"/>
  </cols>
  <sheetData>
    <row r="1" ht="30" customHeight="1">
      <c r="A1" s="8" t="str">
        <v>AOW</v>
      </c>
      <c r="B1" s="8" t="str">
        <v>Partner</v>
      </c>
      <c r="C1" s="8" t="str">
        <v>High level outputs</v>
      </c>
      <c r="D1" s="8" t="str">
        <v>Geographic location</v>
      </c>
      <c r="E1" s="8" t="str">
        <v>Total Budget (USD)</v>
      </c>
      <c r="F1" s="8" t="str">
        <v>Budeget Assumptions</v>
      </c>
    </row>
  </sheetData>
  <ignoredErrors>
    <ignoredError numberStoredAsText="1" sqref="A1:F1"/>
  </ignoredErrors>
</worksheet>
</file>

<file path=xl/worksheets/sheet5.xml><?xml version="1.0" encoding="utf-8"?>
<worksheet xmlns="http://schemas.openxmlformats.org/spreadsheetml/2006/main" xmlns:r="http://schemas.openxmlformats.org/officeDocument/2006/relationships">
  <dimension ref="A1:F4"/>
  <sheetViews>
    <sheetView workbookViewId="0"/>
  </sheetViews>
  <cols>
    <col min="1" max="1" width="41.6640625" customWidth="1"/>
    <col min="2" max="2" width="10.00390625" customWidth="1"/>
    <col min="3" max="3" width="58.33203125" customWidth="1"/>
    <col min="4" max="4" width="16.6640625" customWidth="1"/>
    <col min="5" max="5" width="20.00390625" customWidth="1"/>
  </cols>
  <sheetData>
    <row r="1" ht="75" customHeight="1">
      <c r="A1" s="16" t="str">
        <v>Project title</v>
      </c>
      <c r="B1" s="17" t="str">
        <v>AOW</v>
      </c>
      <c r="C1" s="17" t="str">
        <v>High Level Outputs</v>
      </c>
      <c r="D1" s="17" t="str">
        <v>Budget (USD)</v>
      </c>
      <c r="E1" s="17" t="str">
        <v>Total budget (USD)</v>
      </c>
      <c r="F1" s="17" t="str">
        <v>Budget Assumptions</v>
      </c>
    </row>
    <row r="2" ht="30" customHeight="1">
      <c r="A2" s="18" t="str">
        <v>A-HP2023-002-MasterCard - WAEMU</v>
      </c>
      <c r="B2" s="19" t="str">
        <v>AOW00</v>
      </c>
      <c r="C2" s="18" t="str">
        <v>CapSha mainstreamed</v>
      </c>
      <c r="D2" s="19">
        <v>322730</v>
      </c>
      <c r="E2" s="19" t="str">
        <f>=SUM(D2:D2)</f>
        <v>0</v>
      </c>
    </row>
    <row r="3" ht="30" customHeight="1">
      <c r="A3" s="18" t="str">
        <v>A-AG10171-ARISE PDRCC</v>
      </c>
      <c r="B3" s="19" t="str">
        <v>AOW00</v>
      </c>
      <c r="C3" s="18" t="str">
        <v>CapSha mainstreamed</v>
      </c>
      <c r="D3" s="19">
        <v>664391</v>
      </c>
      <c r="E3" s="19" t="str">
        <f>=SUM(D3:D3)</f>
        <v>0</v>
      </c>
    </row>
    <row r="4" ht="30" customHeight="1">
      <c r="A4" s="3" t="str">
        <v>W3/Bilateral projects subtotal</v>
      </c>
      <c r="E4" s="3">
        <f>SUM(E2:E3)</f>
      </c>
    </row>
  </sheetData>
  <mergeCells count="1">
    <mergeCell ref="A4:D4"/>
  </mergeCells>
  <ignoredErrors>
    <ignoredError numberStoredAsText="1" sqref="A1:F4"/>
  </ignoredErrors>
</worksheet>
</file>

<file path=xl/worksheets/sheet6.xml><?xml version="1.0" encoding="utf-8"?>
<worksheet xmlns="http://schemas.openxmlformats.org/spreadsheetml/2006/main" xmlns:r="http://schemas.openxmlformats.org/officeDocument/2006/relationships">
  <dimension ref="A1:F18"/>
  <sheetViews>
    <sheetView workbookViewId="0"/>
  </sheetViews>
  <cols>
    <col min="1" max="1" width="41.6640625" customWidth="1"/>
    <col min="2" max="2" width="10.00390625" customWidth="1"/>
    <col min="3" max="3" width="58.33203125" customWidth="1"/>
    <col min="4" max="4" width="16.6640625" customWidth="1"/>
    <col min="5" max="5" width="20.00390625" customWidth="1"/>
  </cols>
  <sheetData>
    <row r="1" ht="75" customHeight="1">
      <c r="A1" s="16" t="str">
        <v>MELIA study</v>
      </c>
      <c r="B1" s="16" t="str">
        <v>AOW</v>
      </c>
      <c r="C1" s="16" t="str">
        <v>Supported outcomes</v>
      </c>
      <c r="D1" s="16" t="str">
        <v>AOW budget (USD)</v>
      </c>
      <c r="E1" s="16" t="str">
        <v>Total budget (USD)</v>
      </c>
      <c r="F1" s="16" t="str">
        <v>Budget Assumptions</v>
      </c>
    </row>
    <row r="2" ht="30" customHeight="1">
      <c r="A2" s="18" t="str">
        <v>Implementation monitoring and corrective action</v>
      </c>
      <c r="B2" s="19" t="str">
        <v>AOW03</v>
      </c>
      <c r="C2" s="18" t="str">
        <v>HLO 3.1.1: Partnership engagement mechanisms</v>
      </c>
      <c r="D2" s="19">
        <v>0</v>
      </c>
      <c r="E2" s="19" t="str">
        <f>=SUM(D2:D5)</f>
        <v>0</v>
      </c>
    </row>
    <row r="3" ht="30" customHeight="1">
      <c r="A3" s="18" t="str">
        <v>Implementation monitoring and corrective action</v>
      </c>
      <c r="B3" s="19" t="str">
        <v>AOW00</v>
      </c>
      <c r="C3" s="18" t="str">
        <v>CapSha mainstreamed</v>
      </c>
      <c r="D3" s="19">
        <v>0</v>
      </c>
    </row>
    <row r="4" ht="30" customHeight="1">
      <c r="A4" s="18" t="str">
        <v>Implementation monitoring and corrective action</v>
      </c>
      <c r="B4" s="19" t="str">
        <v>AOW01</v>
      </c>
      <c r="C4" s="18" t="str">
        <v>HLO 1.1.1: CapSha research</v>
      </c>
      <c r="D4" s="19">
        <v>0</v>
      </c>
    </row>
    <row r="5" ht="30" customHeight="1">
      <c r="A5" s="18" t="str">
        <v>Implementation monitoring and corrective action</v>
      </c>
      <c r="B5" s="19" t="str">
        <v>AOW02</v>
      </c>
      <c r="C5" s="18" t="str">
        <v>HLO 2.1.1: Supply mapped</v>
      </c>
      <c r="D5" s="19">
        <v>0</v>
      </c>
    </row>
    <row r="6" ht="30" customHeight="1">
      <c r="A6" s="18" t="str">
        <v>Stakeholder consultation and collaborative learning</v>
      </c>
      <c r="B6" s="19" t="str">
        <v>AOW03</v>
      </c>
      <c r="C6" s="18" t="str">
        <v>HLO 3.1.1: Partnership engagement mechanisms</v>
      </c>
      <c r="D6" s="19">
        <v>0</v>
      </c>
      <c r="E6" s="19" t="str">
        <f>=SUM(D6:D9)</f>
        <v>0</v>
      </c>
    </row>
    <row r="7" ht="30" customHeight="1">
      <c r="A7" s="18" t="str">
        <v>Stakeholder consultation and collaborative learning</v>
      </c>
      <c r="B7" s="19" t="str">
        <v>AOW00</v>
      </c>
      <c r="C7" s="18" t="str">
        <v>CapSha mainstreamed</v>
      </c>
      <c r="D7" s="19">
        <v>0</v>
      </c>
    </row>
    <row r="8" ht="30" customHeight="1">
      <c r="A8" s="18" t="str">
        <v>Stakeholder consultation and collaborative learning</v>
      </c>
      <c r="B8" s="19" t="str">
        <v>AOW01</v>
      </c>
      <c r="C8" s="18" t="str">
        <v>HLO 1.1.1: CapSha research</v>
      </c>
      <c r="D8" s="19">
        <v>0</v>
      </c>
    </row>
    <row r="9" ht="30" customHeight="1">
      <c r="A9" s="18" t="str">
        <v>Stakeholder consultation and collaborative learning</v>
      </c>
      <c r="B9" s="19" t="str">
        <v>AOW02</v>
      </c>
      <c r="C9" s="18" t="str">
        <v>HLO 2.1.1: Supply mapped</v>
      </c>
      <c r="D9" s="19">
        <v>0</v>
      </c>
    </row>
    <row r="10" ht="30" customHeight="1">
      <c r="A10" s="18" t="str">
        <v>Independent mid-term evaluation of the CapSha Accelerator</v>
      </c>
      <c r="B10" s="19" t="str">
        <v>AOW03</v>
      </c>
      <c r="C10" s="18" t="str">
        <v>IOC 0.1: CapSha CoP successful</v>
      </c>
      <c r="D10" s="19">
        <v>0</v>
      </c>
      <c r="E10" s="19" t="str">
        <f>=SUM(D10:D13)</f>
        <v>0</v>
      </c>
    </row>
    <row r="11" ht="30" customHeight="1">
      <c r="A11" s="18" t="str">
        <v>Independent mid-term evaluation of the CapSha Accelerator</v>
      </c>
      <c r="B11" s="19" t="str">
        <v>AOW00</v>
      </c>
      <c r="C11" s="18" t="str">
        <v>CapSha mainstreamed</v>
      </c>
      <c r="D11" s="19">
        <v>0</v>
      </c>
    </row>
    <row r="12" ht="30" customHeight="1">
      <c r="A12" s="18" t="str">
        <v>Independent mid-term evaluation of the CapSha Accelerator</v>
      </c>
      <c r="B12" s="19" t="str">
        <v>AOW01</v>
      </c>
      <c r="C12" s="18" t="str">
        <v>IOC 1.1: CapSha adopted</v>
      </c>
      <c r="D12" s="19">
        <v>0</v>
      </c>
    </row>
    <row r="13" ht="30" customHeight="1">
      <c r="A13" s="18" t="str">
        <v>Independent mid-term evaluation of the CapSha Accelerator</v>
      </c>
      <c r="B13" s="19" t="str">
        <v>AOW02</v>
      </c>
      <c r="C13" s="18" t="str">
        <v>IOC 2.1: CapSha Marketplace used</v>
      </c>
      <c r="D13" s="19">
        <v>0</v>
      </c>
    </row>
    <row r="14" ht="30" customHeight="1">
      <c r="A14" s="18" t="str">
        <v>Independent evaluation of the CapSha Accelerator</v>
      </c>
      <c r="B14" s="19" t="str">
        <v>AOW03</v>
      </c>
      <c r="C14" s="18" t="str">
        <v>IOC 0.1: CapSha CoP successful</v>
      </c>
      <c r="D14" s="19">
        <v>0</v>
      </c>
      <c r="E14" s="19" t="str">
        <f>=SUM(D14:D17)</f>
        <v>0</v>
      </c>
    </row>
    <row r="15" ht="30" customHeight="1">
      <c r="A15" s="18" t="str">
        <v>Independent evaluation of the CapSha Accelerator</v>
      </c>
      <c r="B15" s="19" t="str">
        <v>AOW00</v>
      </c>
      <c r="C15" s="18" t="str">
        <v>CapSha mainstreamed</v>
      </c>
      <c r="D15" s="19">
        <v>0</v>
      </c>
    </row>
    <row r="16" ht="30" customHeight="1">
      <c r="A16" s="18" t="str">
        <v>Independent evaluation of the CapSha Accelerator</v>
      </c>
      <c r="B16" s="19" t="str">
        <v>AOW01</v>
      </c>
      <c r="C16" s="18" t="str">
        <v>IOC 1.1: CapSha adopted</v>
      </c>
      <c r="D16" s="19">
        <v>0</v>
      </c>
    </row>
    <row r="17" ht="30" customHeight="1">
      <c r="A17" s="18" t="str">
        <v>Independent evaluation of the CapSha Accelerator</v>
      </c>
      <c r="B17" s="19" t="str">
        <v>AOW02</v>
      </c>
      <c r="C17" s="18" t="str">
        <v>IOC 2.1: CapSha Marketplace used</v>
      </c>
      <c r="D17" s="19">
        <v>0</v>
      </c>
    </row>
    <row r="18" ht="30" customHeight="1">
      <c r="A18" s="3" t="str">
        <v>MELIA Studies Budget subtotal</v>
      </c>
      <c r="E18" s="3">
        <f>SUM(E2:E17)</f>
      </c>
    </row>
  </sheetData>
  <mergeCells count="9">
    <mergeCell ref="A2:A5"/>
    <mergeCell ref="A6:A9"/>
    <mergeCell ref="A10:A13"/>
    <mergeCell ref="A14:A17"/>
    <mergeCell ref="E2:E5"/>
    <mergeCell ref="E6:E9"/>
    <mergeCell ref="E10:E13"/>
    <mergeCell ref="E14:E17"/>
    <mergeCell ref="A18:D18"/>
  </mergeCells>
  <ignoredErrors>
    <ignoredError numberStoredAsText="1" sqref="A1:F18"/>
  </ignoredErrors>
</worksheet>
</file>

<file path=xl/worksheets/sheet7.xml><?xml version="1.0" encoding="utf-8"?>
<worksheet xmlns="http://schemas.openxmlformats.org/spreadsheetml/2006/main" xmlns:r="http://schemas.openxmlformats.org/officeDocument/2006/relationships">
  <dimension ref="A1:F5"/>
  <sheetViews>
    <sheetView workbookViewId="0"/>
  </sheetViews>
  <cols>
    <col min="1" max="1" width="25.83203125" customWidth="1"/>
    <col min="2" max="2" width="10.83203125" customWidth="1"/>
    <col min="3" max="3" width="10.83203125" customWidth="1"/>
    <col min="4" max="4" width="10.83203125" customWidth="1"/>
    <col min="5" max="5" width="10.83203125" customWidth="1"/>
    <col min="6" max="6" width="20.83203125" customWidth="1"/>
  </cols>
  <sheetData>
    <row r="1" ht="25" customHeight="1">
      <c r="A1" s="3" t="str">
        <v>Main Accounts</v>
      </c>
      <c r="B1" s="3" t="str">
        <v>AOW00</v>
      </c>
      <c r="C1" s="3" t="str">
        <v>AOW01</v>
      </c>
      <c r="D1" s="3" t="str">
        <v>AOW02</v>
      </c>
      <c r="E1" s="3" t="str">
        <v>AOW03</v>
      </c>
      <c r="F1" s="3" t="str">
        <v>Total budget (USD)</v>
      </c>
    </row>
    <row r="2" ht="20" customHeight="1">
      <c r="A2" s="20" t="str">
        <v>Collaborators non-CGIAR centers</v>
      </c>
      <c r="B2" s="20">
        <v>0</v>
      </c>
      <c r="C2" s="20">
        <v>0</v>
      </c>
      <c r="D2" s="20">
        <v>0</v>
      </c>
      <c r="E2" s="20">
        <v>10000</v>
      </c>
      <c r="F2" s="20" t="str">
        <f>=SUM(B2:E2)</f>
        <v>0</v>
      </c>
    </row>
    <row r="3" ht="20" customHeight="1">
      <c r="A3" s="20" t="str">
        <v>Operations (supplies, consultants, travels, workshops, other)</v>
      </c>
      <c r="B3" s="20">
        <v>0</v>
      </c>
      <c r="C3" s="20">
        <v>0</v>
      </c>
      <c r="D3" s="20">
        <v>0</v>
      </c>
      <c r="E3" s="20">
        <v>70000</v>
      </c>
      <c r="F3" s="20" t="str">
        <f>=SUM(B3:E3)</f>
        <v>0</v>
      </c>
    </row>
    <row r="4" ht="20" customHeight="1">
      <c r="A4" s="20" t="str">
        <v>Staffing, Chargebacks and Indirect</v>
      </c>
      <c r="B4" s="20">
        <v>0</v>
      </c>
      <c r="C4" s="20">
        <v>0</v>
      </c>
      <c r="D4" s="20">
        <v>0</v>
      </c>
      <c r="E4" s="20">
        <v>93250</v>
      </c>
      <c r="F4" s="20" t="str">
        <f>=SUM(B4:E4)</f>
        <v>0</v>
      </c>
    </row>
    <row r="5" ht="20" customHeight="1">
      <c r="A5" s="21" t="str">
        <v>Subtotal</v>
      </c>
      <c r="B5" s="22" t="str">
        <f>=SUM(B2:B4)</f>
        <v>0</v>
      </c>
      <c r="C5" s="23" t="str">
        <f>=SUM(C2:C4)</f>
        <v>0</v>
      </c>
      <c r="D5" s="23" t="str">
        <f>=SUM(D2:D4)</f>
        <v>0</v>
      </c>
      <c r="E5" s="23" t="str">
        <f>=SUM(E2:E4)</f>
        <v>0</v>
      </c>
      <c r="F5" s="23" t="str">
        <f>=SUM(F2:F4)</f>
        <v>0</v>
      </c>
    </row>
  </sheetData>
  <ignoredErrors>
    <ignoredError numberStoredAsText="1" sqref="A1:F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7</vt:i4>
      </vt:variant>
    </vt:vector>
  </HeadingPairs>
  <TitlesOfParts>
    <vt:vector size="7" baseType="lpstr">
      <vt:lpstr>Summary</vt:lpstr>
      <vt:lpstr>Cross-Cutting</vt:lpstr>
      <vt:lpstr>HLO</vt:lpstr>
      <vt:lpstr>Partner</vt:lpstr>
      <vt:lpstr>W3-Bilateral projects</vt:lpstr>
      <vt:lpstr>MELIA</vt:lpstr>
      <vt:lpstr>Anaplan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