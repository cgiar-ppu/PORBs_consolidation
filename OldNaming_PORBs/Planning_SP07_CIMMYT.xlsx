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Foresight and Prioritization 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7</v>
      </c>
      <c r="I6" s="5">
        <v>178870</v>
      </c>
      <c r="J6" s="5">
        <v>0</v>
      </c>
      <c r="K6" s="5">
        <v>0</v>
      </c>
      <c r="L6" s="5">
        <v>178870</v>
      </c>
      <c r="M6" s="5">
        <v>0</v>
      </c>
    </row>
    <row r="7" ht="20" customHeight="1">
      <c r="A7" s="2" t="str">
        <v xml:space="preserve">AOW03: Governance and Political Economy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0</v>
      </c>
      <c r="C10" s="5">
        <v>0</v>
      </c>
      <c r="D10" s="2">
        <v>2</v>
      </c>
      <c r="E10" s="5">
        <v>37301</v>
      </c>
      <c r="F10" s="2">
        <v>0</v>
      </c>
      <c r="G10" s="5">
        <v>0</v>
      </c>
      <c r="H10" s="2">
        <v>6</v>
      </c>
      <c r="I10" s="5">
        <v>141570</v>
      </c>
      <c r="J10" s="5">
        <v>0</v>
      </c>
      <c r="K10" s="5">
        <v>0</v>
      </c>
      <c r="L10" s="5">
        <v>178871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0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0</v>
      </c>
    </row>
    <row r="5" ht="45" customHeight="1">
      <c r="A5" s="11" t="str">
        <v>AOW00</v>
      </c>
      <c r="B5" s="11" t="str">
        <v>AoW Leads</v>
      </c>
      <c r="D5" s="11">
        <v>0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AOW02</v>
      </c>
      <c r="B3" s="11" t="str">
        <v>2.2.  Policy response</v>
      </c>
      <c r="C3" s="11" t="str">
        <v>Public information good workflow to enable innovations in communicating ROI risk for farm management investments: Policy makers are informed based on policy recommendations</v>
      </c>
      <c r="D3" s="11" t="str">
        <v xml:space="preserve"> No. of policies informed</v>
      </c>
      <c r="E3" s="11" t="str">
        <v>Country: Nigeria</v>
      </c>
      <c r="F3" s="11">
        <v>2</v>
      </c>
      <c r="G3" s="11">
        <v>37300</v>
      </c>
      <c r="H3" s="11">
        <f>SUM(G3:G5)</f>
      </c>
      <c r="I3" s="11" t="str" xml:space="preserve">
        <v xml:space="preserve">Partner: CDA
Budget: $1,903.65 
</v>
      </c>
    </row>
    <row r="4" ht="50" customHeight="1" xml:space="preserve">
      <c r="A4" s="11" t="str">
        <v>AOW02</v>
      </c>
      <c r="C4" s="11" t="str">
        <v>Critical Capability - Other - Impact evaluation on the cognitive and behavioral impacts of innovations in communicating ROI risk for farm management investments</v>
      </c>
      <c r="D4" s="11" t="str">
        <v xml:space="preserve"> Policy recommendation</v>
      </c>
      <c r="E4" s="11" t="str">
        <v>Country: Nigeria</v>
      </c>
      <c r="F4" s="11">
        <v>2</v>
      </c>
      <c r="G4" s="11">
        <v>104268</v>
      </c>
      <c r="I4" s="11" t="str" xml:space="preserve">
        <v xml:space="preserve">Partner: Center for Dryland Agriculture
Budget: $ 4258.56
</v>
      </c>
    </row>
    <row r="5" ht="50" customHeight="1" xml:space="preserve">
      <c r="A5" s="11" t="str">
        <v>AOW02</v>
      </c>
      <c r="C5" s="11" t="str">
        <v xml:space="preserve">Public information good workflow to enable innovations in communicating ROI risk for farm management investments: Policy recommendations developed </v>
      </c>
      <c r="D5" s="11" t="str">
        <v xml:space="preserve"> Policy recommendation</v>
      </c>
      <c r="E5" s="11" t="str">
        <v>Country: Nigeria</v>
      </c>
      <c r="F5" s="11">
        <v>3</v>
      </c>
      <c r="G5" s="11">
        <v>37302</v>
      </c>
      <c r="I5" s="11" t="str" xml:space="preserve">
        <v xml:space="preserve">Partner: CDA - 
Budget: $1,903.65 </v>
      </c>
    </row>
    <row r="6" ht="25" customHeight="1">
      <c r="B6" s="14" t="str">
        <v>HLO budget subtotal</v>
      </c>
      <c r="H6" s="15">
        <f>SUM(H3:H5)</f>
      </c>
    </row>
    <row r="7" ht="50" customHeight="1" xml:space="preserve">
      <c r="A7" s="13" t="str">
        <v>AOW06</v>
      </c>
      <c r="B7" s="11" t="str">
        <v>6.2. Policy response</v>
      </c>
      <c r="C7" s="11" t="str" xml:space="preserve">
        <v xml:space="preserve">Critical Capability - Other - Impact evaluation paper with policy recommendation  on stimulating demand for youth services in Nigeria
</v>
      </c>
      <c r="D7" s="11" t="str">
        <v xml:space="preserve"> Policy recommendation</v>
      </c>
      <c r="E7" s="11" t="str">
        <v>Country: Nigeria</v>
      </c>
      <c r="F7" s="11">
        <v>2</v>
      </c>
      <c r="G7" s="11">
        <v>61211</v>
      </c>
      <c r="H7" s="11">
        <f>SUM(G7:G12)</f>
      </c>
      <c r="I7" s="11" t="str" xml:space="preserve">
        <v xml:space="preserve">Partner: CropLife International
Budget $5,000.00
</v>
      </c>
    </row>
    <row r="8" ht="50" customHeight="1" xml:space="preserve">
      <c r="A8" s="11" t="str">
        <v>AOW06</v>
      </c>
      <c r="C8" s="11" t="str" xml:space="preserve">
        <v xml:space="preserve">Critical Capability - Other - Policy recommendations for targeting entrepreneurial support to rural youth in Ethiopia
</v>
      </c>
      <c r="D8" s="11" t="str">
        <v xml:space="preserve"> Policy recommendation</v>
      </c>
      <c r="E8" s="11" t="str">
        <v>Country: Ethiopia</v>
      </c>
      <c r="F8" s="11">
        <v>2</v>
      </c>
      <c r="G8" s="11">
        <v>43058</v>
      </c>
      <c r="I8" s="11" t="str" xml:space="preserve">
        <v xml:space="preserve">Partner: Policy Studies Institute
Budget: $1,758.56
</v>
      </c>
    </row>
    <row r="9" ht="50" customHeight="1">
      <c r="A9" s="11" t="str">
        <v>AOW06</v>
      </c>
      <c r="C9" s="11" t="str">
        <v>"Targeting agriprenuers" to support government policy in Ethiopia: Technical report</v>
      </c>
      <c r="D9" s="11" t="str">
        <v>Number of knowledge products</v>
      </c>
      <c r="E9" s="11" t="str">
        <v>Country: Ethiopia</v>
      </c>
      <c r="F9" s="11">
        <v>1</v>
      </c>
      <c r="G9" s="11">
        <v>23346</v>
      </c>
      <c r="I9" s="11" t="str">
        <v>Partner and budget to be added in Q1 2026</v>
      </c>
    </row>
    <row r="10" ht="50" customHeight="1">
      <c r="A10" s="11" t="str">
        <v>AOW06</v>
      </c>
      <c r="C10" s="11" t="str">
        <v>"Targeting agriprenuers" to support government policy in Ethiopia: Policy recommendations based on technical report</v>
      </c>
      <c r="D10" s="11" t="str">
        <v xml:space="preserve"> Policy recommendations</v>
      </c>
      <c r="E10" s="11" t="str">
        <v>Country: Ethiopia</v>
      </c>
      <c r="F10" s="11">
        <v>1</v>
      </c>
      <c r="G10" s="11">
        <v>23346</v>
      </c>
      <c r="I10" s="11" t="str">
        <v>Partner and budget to be added in Q1 2026</v>
      </c>
    </row>
    <row r="11" ht="50" customHeight="1">
      <c r="A11" s="11" t="str">
        <v>AOW06</v>
      </c>
      <c r="C11" s="11" t="str">
        <v>Quantifying demand for youth-focused specialized agricultural services</v>
      </c>
      <c r="D11" s="11" t="str">
        <v>Number of knowledge products</v>
      </c>
      <c r="E11" s="11" t="str">
        <v>Country: Nigeria</v>
      </c>
      <c r="F11" s="11">
        <v>1</v>
      </c>
      <c r="G11" s="11">
        <v>13955</v>
      </c>
      <c r="I11" s="11" t="str">
        <v>Partner and budget to be added in Q1 2026</v>
      </c>
    </row>
    <row r="12" ht="50" customHeight="1">
      <c r="A12" s="11" t="str">
        <v>AOW06</v>
      </c>
      <c r="C12" s="11" t="str">
        <v>Quantifying demand for youth-focused specialized agricultural services: Policy recommendations based on report</v>
      </c>
      <c r="D12" s="11" t="str">
        <v xml:space="preserve"> Policy recommendations</v>
      </c>
      <c r="E12" s="11" t="str">
        <v>Country: Nigeria</v>
      </c>
      <c r="F12" s="11">
        <v>1</v>
      </c>
      <c r="G12" s="11">
        <v>13955</v>
      </c>
      <c r="I12" s="11" t="str">
        <v>Partner and budget to be added in Q1 2026</v>
      </c>
    </row>
    <row r="13" ht="25" customHeight="1">
      <c r="B13" s="15" t="str">
        <v>HLO budget subtotal</v>
      </c>
      <c r="H13" s="15">
        <f>SUM(H7:H12)</f>
      </c>
    </row>
  </sheetData>
  <mergeCells count="13">
    <mergeCell ref="A1:A2"/>
    <mergeCell ref="B1:B2"/>
    <mergeCell ref="C1:G1"/>
    <mergeCell ref="H1:H2"/>
    <mergeCell ref="I1:I2"/>
    <mergeCell ref="B3:B5"/>
    <mergeCell ref="H3:H5"/>
    <mergeCell ref="B6:G6"/>
    <mergeCell ref="A3:A6"/>
    <mergeCell ref="B7:B12"/>
    <mergeCell ref="H7:H12"/>
    <mergeCell ref="B13:G13"/>
    <mergeCell ref="A7:A13"/>
  </mergeCells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8701</v>
      </c>
      <c r="E2" s="18">
        <v>0</v>
      </c>
      <c r="F2" s="18">
        <v>0</v>
      </c>
      <c r="G2" s="18">
        <v>0</v>
      </c>
      <c r="H2" s="18">
        <v>8702</v>
      </c>
      <c r="I2" s="18" t="str">
        <f>=SUM(B2:H2)</f>
        <v>0</v>
      </c>
    </row>
    <row r="3" ht="20" customHeight="1">
      <c r="A3" s="18" t="str">
        <v>Operations (supplies, consultants, travels, workshops, other)</v>
      </c>
      <c r="B3" s="18">
        <v>150000</v>
      </c>
      <c r="C3" s="18">
        <v>0</v>
      </c>
      <c r="D3" s="18">
        <v>76576</v>
      </c>
      <c r="E3" s="18">
        <v>0</v>
      </c>
      <c r="F3" s="18">
        <v>0</v>
      </c>
      <c r="G3" s="18">
        <v>0</v>
      </c>
      <c r="H3" s="18">
        <v>76576</v>
      </c>
      <c r="I3" s="18" t="str">
        <f>=SUM(B3:H3)</f>
        <v>0</v>
      </c>
    </row>
    <row r="4" ht="20" customHeight="1">
      <c r="A4" s="18" t="str">
        <v>Staffing, Chargebacks and Indirect</v>
      </c>
      <c r="B4" s="18">
        <v>110000</v>
      </c>
      <c r="C4" s="18">
        <v>0</v>
      </c>
      <c r="D4" s="18">
        <v>93593</v>
      </c>
      <c r="E4" s="18">
        <v>0</v>
      </c>
      <c r="F4" s="18">
        <v>0</v>
      </c>
      <c r="G4" s="18">
        <v>0</v>
      </c>
      <c r="H4" s="18">
        <v>93593</v>
      </c>
      <c r="I4" s="18" t="str">
        <f>=SUM(B4:H4)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  <c r="I5" s="21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