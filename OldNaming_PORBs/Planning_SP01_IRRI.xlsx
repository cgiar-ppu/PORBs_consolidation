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Market Intelligence</v>
      </c>
      <c r="B5" s="2">
        <v>0</v>
      </c>
      <c r="C5" s="5">
        <v>0</v>
      </c>
      <c r="D5" s="2">
        <v>16</v>
      </c>
      <c r="E5" s="5">
        <v>290000</v>
      </c>
      <c r="F5" s="2">
        <v>0</v>
      </c>
      <c r="G5" s="5">
        <v>0</v>
      </c>
      <c r="H5" s="2">
        <v>0</v>
      </c>
      <c r="I5" s="5">
        <v>0</v>
      </c>
      <c r="J5" s="5">
        <v>0</v>
      </c>
      <c r="K5" s="5">
        <v>0</v>
      </c>
      <c r="L5" s="5">
        <v>290000</v>
      </c>
      <c r="M5" s="5">
        <v>0</v>
      </c>
    </row>
    <row r="6" ht="20" customHeight="1">
      <c r="A6" s="2" t="str">
        <v>AOW02: Accelerated Breeding</v>
      </c>
      <c r="B6" s="2">
        <v>18</v>
      </c>
      <c r="C6" s="5">
        <v>2373117</v>
      </c>
      <c r="D6" s="2">
        <v>0</v>
      </c>
      <c r="E6" s="5">
        <v>0</v>
      </c>
      <c r="F6" s="2">
        <v>0</v>
      </c>
      <c r="G6" s="5">
        <v>0</v>
      </c>
      <c r="H6" s="2">
        <v>0</v>
      </c>
      <c r="I6" s="5">
        <v>0</v>
      </c>
      <c r="J6" s="5">
        <v>0</v>
      </c>
      <c r="K6" s="5">
        <v>0</v>
      </c>
      <c r="L6" s="5">
        <v>2373117</v>
      </c>
      <c r="M6" s="5">
        <v>0</v>
      </c>
    </row>
    <row r="7" ht="20" customHeight="1">
      <c r="A7" s="2" t="str">
        <v>AOW03: Inclusive Delivery</v>
      </c>
      <c r="B7" s="2">
        <v>5</v>
      </c>
      <c r="C7" s="5">
        <v>188829</v>
      </c>
      <c r="D7" s="2">
        <v>0</v>
      </c>
      <c r="E7" s="5">
        <v>0</v>
      </c>
      <c r="F7" s="2">
        <v>0</v>
      </c>
      <c r="G7" s="5">
        <v>0</v>
      </c>
      <c r="H7" s="2">
        <v>0</v>
      </c>
      <c r="I7" s="5">
        <v>0</v>
      </c>
      <c r="J7" s="5">
        <v>0</v>
      </c>
      <c r="K7" s="5">
        <v>0</v>
      </c>
      <c r="L7" s="5">
        <v>188829</v>
      </c>
      <c r="M7" s="5">
        <v>0</v>
      </c>
    </row>
    <row r="8" ht="20" customHeight="1">
      <c r="A8" s="2" t="str">
        <v>AOW04: Breeding Resources</v>
      </c>
      <c r="B8" s="2">
        <v>4</v>
      </c>
      <c r="C8" s="5">
        <v>335000</v>
      </c>
      <c r="D8" s="2">
        <v>0</v>
      </c>
      <c r="E8" s="5">
        <v>0</v>
      </c>
      <c r="F8" s="2">
        <v>0</v>
      </c>
      <c r="G8" s="5">
        <v>0</v>
      </c>
      <c r="H8" s="2">
        <v>2</v>
      </c>
      <c r="I8" s="5">
        <v>610000</v>
      </c>
      <c r="J8" s="5">
        <v>0</v>
      </c>
      <c r="K8" s="5">
        <v>0</v>
      </c>
      <c r="L8" s="5">
        <v>945000</v>
      </c>
      <c r="M8" s="5">
        <v>0</v>
      </c>
    </row>
    <row r="9" ht="20" customHeight="1">
      <c r="A9" s="2" t="str">
        <v>AOW05: Enable</v>
      </c>
      <c r="B9" s="2">
        <v>1</v>
      </c>
      <c r="C9" s="5">
        <v>35000</v>
      </c>
      <c r="D9" s="2">
        <v>0</v>
      </c>
      <c r="E9" s="5">
        <v>0</v>
      </c>
      <c r="F9" s="2">
        <v>0</v>
      </c>
      <c r="G9" s="5">
        <v>0</v>
      </c>
      <c r="H9" s="2">
        <v>0</v>
      </c>
      <c r="I9" s="5">
        <v>0</v>
      </c>
      <c r="J9" s="5">
        <v>0</v>
      </c>
      <c r="K9" s="5">
        <v>0</v>
      </c>
      <c r="L9" s="5">
        <v>35000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NARES leadership team meeting</v>
      </c>
      <c r="C2" s="11" t="str">
        <v>For High level NARES meeting under ENABLE (150k)</v>
      </c>
      <c r="D2" s="11">
        <v>0</v>
      </c>
    </row>
    <row r="3" ht="45" customHeight="1">
      <c r="A3" s="11" t="str">
        <v>AOW00</v>
      </c>
      <c r="B3" s="11" t="str">
        <v>DIscretionary funds</v>
      </c>
      <c r="C3" s="11" t="str">
        <v xml:space="preserve">To be allocated </v>
      </c>
      <c r="D3" s="11">
        <v>0</v>
      </c>
    </row>
    <row r="4" ht="45" customHeight="1">
      <c r="A4" s="11" t="str">
        <v>AOW00</v>
      </c>
      <c r="B4" s="11" t="str">
        <v>To be allocated to research</v>
      </c>
      <c r="C4" s="11" t="str">
        <v>PODs pending</v>
      </c>
      <c r="D4" s="11">
        <v>0</v>
      </c>
    </row>
    <row r="5" ht="45" customHeight="1">
      <c r="A5" s="11" t="str">
        <v>AOW00</v>
      </c>
      <c r="B5" s="11" t="str">
        <v>Director Salary and costs</v>
      </c>
      <c r="C5" s="11" t="str">
        <v>510k for the Director's salary + relevant costs, as outlined by instructions</v>
      </c>
      <c r="D5" s="11">
        <v>0</v>
      </c>
    </row>
    <row r="6" ht="45" customHeight="1">
      <c r="A6" s="11" t="str">
        <v>AOW00</v>
      </c>
      <c r="B6" s="11" t="str">
        <v>Finance Focal point</v>
      </c>
      <c r="C6" s="11" t="str">
        <v>Mandated by Finance for 36.5k</v>
      </c>
      <c r="D6" s="11">
        <v>0</v>
      </c>
    </row>
    <row r="7" ht="45" customHeight="1" xml:space="preserve">
      <c r="A7" s="11" t="str">
        <v>AOW00</v>
      </c>
      <c r="B7" s="11" t="str">
        <v xml:space="preserve">Travel costs </v>
      </c>
      <c r="C7" s="11" t="str" xml:space="preserve">
        <v xml:space="preserve">Budget for two meetings of 75k costs each
</v>
      </c>
      <c r="D7" s="11">
        <v>0</v>
      </c>
    </row>
    <row r="8" ht="45" customHeight="1">
      <c r="A8" s="11" t="str">
        <v>AOW00</v>
      </c>
      <c r="B8" s="11" t="str">
        <v>AoW lead total salary costs at up to 50% of time</v>
      </c>
      <c r="C8" s="11" t="str">
        <v>For four AoW leads at 50% and two at 25%</v>
      </c>
      <c r="D8" s="11">
        <v>0</v>
      </c>
    </row>
    <row r="9" ht="45" customHeight="1">
      <c r="A9" s="11" t="str">
        <v>AOW00</v>
      </c>
      <c r="B9" s="11" t="str">
        <v>PMU costs (Program Coordinator; Communications Focal Point;  MELIA Focal Point)</v>
      </c>
      <c r="C9" s="11" t="str">
        <v>All at 50% FTE</v>
      </c>
      <c r="D9" s="11">
        <v>0</v>
      </c>
    </row>
    <row r="10" ht="45" customHeight="1">
      <c r="A10" s="11" t="str">
        <v>AOW00</v>
      </c>
      <c r="B10" s="11" t="str">
        <v>Consultants</v>
      </c>
      <c r="C10" s="11" t="str">
        <v>Primary consultants for B4T</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1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HLO1.AOW1.IO1 Steer to impact</v>
      </c>
      <c r="C3" s="11" t="str">
        <v>Market intelligence is packaged into decision-support tools to guide investment decisions in breeding and other science programs------IRRI (New and improved functionalities in GloMIP) - Multi-Crop, Multi-Country ---- Number of new market intelligence briefs</v>
      </c>
      <c r="D3" s="11" t="str">
        <v>Number of knowledge products</v>
      </c>
      <c r="E3" s="11" t="str">
        <v>Global</v>
      </c>
      <c r="F3" s="11">
        <v>6</v>
      </c>
      <c r="G3" s="11">
        <v>54644</v>
      </c>
      <c r="H3" s="11">
        <f>SUM(G3:G5)</f>
      </c>
      <c r="I3" s="11" t="str">
        <v>The budget is for the production of the Market Intelligence Briefs. This publication series caters to all crops, institutions and geographies, The publication team is in IRRI.</v>
      </c>
    </row>
    <row r="4" ht="50" customHeight="1">
      <c r="A4" s="11" t="str">
        <v>AOW01</v>
      </c>
      <c r="C4" s="11" t="str">
        <v>Market intelligence is packaged into decision-support tools to guide investment decisions in breeding and other science programs ------ IRRI (New and improved functionalities in GloMIP) ---- Multi-Crop, Multi-Country -- Number of GloMIP tools with Market Intelligence data/information</v>
      </c>
      <c r="D4" s="11" t="str">
        <v>Number of knowledge products</v>
      </c>
      <c r="E4" s="11" t="str">
        <v>Global</v>
      </c>
      <c r="F4" s="11">
        <v>3</v>
      </c>
      <c r="G4" s="11">
        <v>203427</v>
      </c>
      <c r="I4" s="11" t="str">
        <v>This is for continuing the development of tools within GloMIP, for the regular maintenance of the platform and for scaling/ promotional activities.</v>
      </c>
    </row>
    <row r="5" ht="50" customHeight="1">
      <c r="A5" s="11" t="str">
        <v>AOW01</v>
      </c>
      <c r="C5" s="11" t="str">
        <v>Market intelligence is packaged into decision-support tools to guide investment decisions in breeding and other science programs --- IRRI - (New and improved functionalities in GloMIP) ------ Multi-Crop, Multi-Country -- Number of reports documenting new market Segments and TPPs presented in GloMIP</v>
      </c>
      <c r="D5" s="11" t="str">
        <v>Number of knowledge products</v>
      </c>
      <c r="E5" s="11" t="str">
        <v>Global</v>
      </c>
      <c r="F5" s="11">
        <v>3</v>
      </c>
      <c r="G5" s="11">
        <v>10000</v>
      </c>
      <c r="I5" s="11" t="str">
        <v>The budget is for the development of an annual GloMIP report showing the updates and progress made for the whole year.</v>
      </c>
    </row>
    <row r="6" ht="50" customHeight="1">
      <c r="A6" s="11" t="str">
        <v>AOW01</v>
      </c>
      <c r="B6" s="11" t="str">
        <v>HLO3.AOW1.IO1 Design concepts</v>
      </c>
      <c r="C6" s="11" t="str">
        <v>New product concepts are designed for demand-led and foresight opportunities, that can be used by breeders to meet the Product Design Standard. ---- IRRI-RICE (Feasible and impactful rice product concepts for new or existing market segments in India and Tanzania) -----Number of knowledge products featuring new product concepts</v>
      </c>
      <c r="D6" s="11" t="str">
        <v>Number of knowledge products</v>
      </c>
      <c r="E6" s="11" t="str">
        <v>Country: Tanzania, United Republic, India</v>
      </c>
      <c r="F6" s="11">
        <v>2</v>
      </c>
      <c r="G6" s="11">
        <v>0</v>
      </c>
      <c r="H6" s="11">
        <f>SUM(G6:G6)</f>
      </c>
    </row>
    <row r="7" ht="50" customHeight="1">
      <c r="A7" s="11" t="str">
        <v>AOW01</v>
      </c>
      <c r="B7" s="11" t="str">
        <v>HLO5.AOW1.IO3 Investment cases</v>
      </c>
      <c r="C7" s="11" t="str">
        <v xml:space="preserve">Investment case studies are developed to inform investments for maximized impact (change in targeted SDGs) ----IRRI CROP AGNOSTIC (Assessment and Prioritization of Nutrition Traits in Target Product Profiles (TPPs), AND a validated model that predicts labor savings for women across crops)- Number of case studies that inform investments for maximized impact developed	</v>
      </c>
      <c r="D7" s="11" t="str">
        <v>Number of knowledge products</v>
      </c>
      <c r="E7" s="11" t="str">
        <v>Global</v>
      </c>
      <c r="F7" s="11">
        <v>2</v>
      </c>
      <c r="G7" s="11">
        <v>21929</v>
      </c>
      <c r="H7" s="11">
        <f>SUM(G7:G7)</f>
      </c>
      <c r="I7" s="11" t="str">
        <v>This is for the two activities with IFPRI (nutrition) and CIP (gender)</v>
      </c>
    </row>
    <row r="8" ht="25" customHeight="1">
      <c r="B8" s="14" t="str">
        <v>HLO budget subtotal</v>
      </c>
      <c r="H8" s="15">
        <f>SUM(H3:H7)</f>
      </c>
    </row>
    <row r="9" ht="50" customHeight="1" xml:space="preserve">
      <c r="A9" s="13" t="str">
        <v>AOW02</v>
      </c>
      <c r="B9" s="11" t="str">
        <v>HLO7.AOW2.IO2 Accelerating genetic gain</v>
      </c>
      <c r="C9" s="11" t="str" xml:space="preserve">
        <v xml:space="preserve">Further improvise breeding schemes in consultation with B4T quantitative genetics experts aligned with unified OneRice breeding strategy. ----- IRRI - RICE (Optimized OneRice Breeding strategy further to enhance genetic gain for targeted market segments)----- Number of breeding schemes and pipelines designed with optimized breeding cycle time as compared to 2025
</v>
      </c>
      <c r="D9" s="11" t="str">
        <v>Number of innovations (innovation development)</v>
      </c>
      <c r="E9" s="11" t="str">
        <v>Country: Bangladesh, India, Tanzania, United Republic, Philippines</v>
      </c>
      <c r="F9" s="11">
        <v>9</v>
      </c>
      <c r="G9" s="11">
        <v>650000</v>
      </c>
      <c r="H9" s="11">
        <f>SUM(G9:G9)</f>
      </c>
      <c r="I9" s="11" t="str">
        <v>Targets based on low funding scenario</v>
      </c>
    </row>
    <row r="10" ht="50" customHeight="1">
      <c r="A10" s="11" t="str">
        <v>AOW02</v>
      </c>
      <c r="B10" s="11" t="str">
        <v>HLO9.AOW2.IO2 Create products</v>
      </c>
      <c r="C10" s="11" t="str">
        <v xml:space="preserve">Breeding networks collaborate on the development of targeted products. ----IRRI - RICE -  Number of varieties released to partners for scaling	</v>
      </c>
      <c r="D10" s="11" t="str">
        <v>Number of innovations (innovation development)</v>
      </c>
      <c r="E10" s="11" t="str">
        <v>Country: Bangladesh, The Socialist Republic of Viet Nam, Tanzania, United Republic, India, Philippines</v>
      </c>
      <c r="F10" s="11">
        <v>9</v>
      </c>
      <c r="G10" s="11">
        <v>1723117</v>
      </c>
      <c r="H10" s="11">
        <f>SUM(G10:G10)</f>
      </c>
      <c r="I10" s="11" t="str">
        <v>Targets based on low funding scenario</v>
      </c>
    </row>
    <row r="11" ht="25" customHeight="1">
      <c r="B11" s="15" t="str">
        <v>HLO budget subtotal</v>
      </c>
      <c r="H11" s="15">
        <f>SUM(H9:H10)</f>
      </c>
    </row>
    <row r="12" ht="50" customHeight="1">
      <c r="A12" s="13" t="str">
        <v>AOW03</v>
      </c>
      <c r="B12" s="11" t="str">
        <v>HLO11.AOW3.IO4 Position for demand</v>
      </c>
      <c r="C12" s="11" t="str">
        <v>Strategies to position quality seed and increase scaling partner demand for new varieties, encouraging variety replacement and Product Lifecycle Management. -----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Number of new products per segments validated or introduced</v>
      </c>
      <c r="D12" s="11" t="str">
        <v>Number of innovations (innovation development)</v>
      </c>
      <c r="E12" s="11" t="str">
        <v>Country: India, Tanzania, United Republic, Bangladesh</v>
      </c>
      <c r="F12" s="11">
        <v>5</v>
      </c>
      <c r="G12" s="11">
        <v>188829</v>
      </c>
      <c r="H12" s="11">
        <f>SUM(G12:G12)</f>
      </c>
      <c r="I12" s="11" t="str">
        <v>Will prioritize one KPI with the revised funding</v>
      </c>
    </row>
    <row r="13" ht="25" customHeight="1">
      <c r="B13" s="15" t="str">
        <v>HLO budget subtotal</v>
      </c>
      <c r="H13" s="15">
        <f>SUM(H12:H12)</f>
      </c>
    </row>
    <row r="14" ht="50" customHeight="1" xml:space="preserve">
      <c r="A14" s="13" t="str">
        <v>AOW04</v>
      </c>
      <c r="B14" s="11" t="str">
        <v>HLO16.AOW4.IO3 Shared services</v>
      </c>
      <c r="C14" s="11" t="str">
        <v>A portfolio of connected tools and services that collectively meet current and emerging needs for modernized breeding is made available to breeding networks ---- IRRI - RICE ---- Number of tools and services offered as a result of the operations assessment (such as infrastructure improvement, digitalization, continuous improvement, etc)</v>
      </c>
      <c r="D14" s="11" t="str">
        <v>Number of innovations (innovation development)</v>
      </c>
      <c r="E14" s="11" t="str">
        <v>Country: Philippines, India, Tanzania, United Republic</v>
      </c>
      <c r="F14" s="11">
        <v>2</v>
      </c>
      <c r="G14" s="11">
        <v>100000</v>
      </c>
      <c r="H14" s="11">
        <f>SUM(G14:G15)</f>
      </c>
      <c r="I14" s="11" t="str" xml:space="preserve">
        <v xml:space="preserve">Target based on low funding scenario
Critical capability</v>
      </c>
    </row>
    <row r="15" ht="50" customHeight="1" xml:space="preserve">
      <c r="A15" s="11" t="str">
        <v>AOW04</v>
      </c>
      <c r="C15" s="11" t="str">
        <v>A portfolio of connected tools and services that collectively meet current and emerging needs for modernized breeding is made available to breeding networks ---- IRRI -CROP AGNOSTIC - Number of additional or enhanced modules offered in BioFlow</v>
      </c>
      <c r="D15" s="11" t="str">
        <v>Number of innovations (innovation development)</v>
      </c>
      <c r="E15" s="11" t="str">
        <v>Country: Philippines</v>
      </c>
      <c r="F15" s="11">
        <v>2</v>
      </c>
      <c r="G15" s="11">
        <v>235000</v>
      </c>
      <c r="I15" s="11" t="str" xml:space="preserve">
        <v xml:space="preserve">Target based on low funding scenario
Critical capability</v>
      </c>
    </row>
    <row r="16" ht="50" customHeight="1">
      <c r="A16" s="11" t="str">
        <v>AOW04</v>
      </c>
      <c r="B16" s="11" t="str">
        <v>HLO17.AOW4.IO3 FAIR principles</v>
      </c>
      <c r="C16" s="11" t="str">
        <v>All breeding programs are supported to maximize alignment with FAIR principles ---- IRRI - CROP AGNOSTIC - Number of Centers that make EBS data API accessible</v>
      </c>
      <c r="D16" s="11" t="str">
        <v xml:space="preserve"> Number of Centers that make EBS data API accessible	</v>
      </c>
      <c r="E16" s="11" t="str">
        <v>Country: Philippines</v>
      </c>
      <c r="F16" s="11">
        <v>2</v>
      </c>
      <c r="G16" s="11">
        <v>610000</v>
      </c>
      <c r="H16" s="11">
        <f>SUM(G16:G16)</f>
      </c>
      <c r="I16" s="11" t="str">
        <v>Target based on low funding scenario</v>
      </c>
    </row>
    <row r="17" ht="25" customHeight="1">
      <c r="B17" s="15" t="str">
        <v>HLO budget subtotal</v>
      </c>
      <c r="H17" s="15">
        <f>SUM(H14:H16)</f>
      </c>
    </row>
    <row r="18" ht="50" customHeight="1">
      <c r="A18" s="13" t="str">
        <v>AOW05</v>
      </c>
      <c r="B18" s="11" t="str">
        <v>HLO20.AOW5.IO3 Assess performance</v>
      </c>
      <c r="C18" s="11" t="str">
        <v>The expected output is the global evidence portal, which is in fact the innovation to be developed (number of tool). Number of AoWs, with MELIA performance reports completed, addressing identified data gaps. ---- IRRI - CROP AGNOSTIC - (development of a global portal that centralizes and curates evidence on the impacts of breeding innovations) ----- Number of innovations developed</v>
      </c>
      <c r="D18" s="11" t="str">
        <v>Number of innovations (innovation development)</v>
      </c>
      <c r="E18" s="11" t="str">
        <v>Country: Philippines</v>
      </c>
      <c r="F18" s="11">
        <v>1</v>
      </c>
      <c r="G18" s="11">
        <v>35000</v>
      </c>
      <c r="H18" s="11">
        <f>SUM(G18:G18)</f>
      </c>
      <c r="I18" s="11" t="str">
        <v>Target based on low funding scenario; Will work with CIMMYT on this POD</v>
      </c>
    </row>
    <row r="19" ht="25" customHeight="1">
      <c r="B19" s="15" t="str">
        <v>HLO budget subtotal</v>
      </c>
      <c r="H19" s="15">
        <f>SUM(H18:H18)</f>
      </c>
    </row>
  </sheetData>
  <mergeCells count="19">
    <mergeCell ref="A1:A2"/>
    <mergeCell ref="B1:B2"/>
    <mergeCell ref="C1:G1"/>
    <mergeCell ref="H1:H2"/>
    <mergeCell ref="I1:I2"/>
    <mergeCell ref="B3:B5"/>
    <mergeCell ref="H3:H5"/>
    <mergeCell ref="B8:G8"/>
    <mergeCell ref="A3:A8"/>
    <mergeCell ref="B11:G11"/>
    <mergeCell ref="A9:A11"/>
    <mergeCell ref="B13:G13"/>
    <mergeCell ref="A12:A13"/>
    <mergeCell ref="B14:B15"/>
    <mergeCell ref="H14:H15"/>
    <mergeCell ref="B17:G17"/>
    <mergeCell ref="A14:A17"/>
    <mergeCell ref="B19:G19"/>
    <mergeCell ref="A18:A19"/>
  </mergeCells>
  <ignoredErrors>
    <ignoredError numberStoredAsText="1" sqref="A1:I19"/>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9"/>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R-A-2024-145-Healthier Rice</v>
      </c>
      <c r="B2" s="19" t="str">
        <v>AOW00</v>
      </c>
      <c r="C2" s="18" t="str">
        <v xml:space="preserve">IOC5 Equitable access to improved varieties </v>
      </c>
      <c r="D2" s="19">
        <v>0</v>
      </c>
      <c r="E2" s="19" t="str">
        <f>=SUM(D2:D3)</f>
        <v>0</v>
      </c>
    </row>
    <row r="3" ht="30" customHeight="1">
      <c r="A3" s="18" t="str">
        <v>R-A-2024-145-Healthier Rice</v>
      </c>
      <c r="B3" s="19" t="str">
        <v>AOW02</v>
      </c>
      <c r="C3" s="18" t="str">
        <v>HLO8.AOW2.IO2 Discover genetic potential</v>
      </c>
      <c r="D3" s="19">
        <v>0</v>
      </c>
    </row>
    <row r="4" ht="30" customHeight="1">
      <c r="A4" s="18" t="str">
        <v>R-A-2023-67-MHRA</v>
      </c>
      <c r="B4" s="19" t="str">
        <v>AOW00</v>
      </c>
      <c r="C4" s="18" t="str">
        <v xml:space="preserve">IOC5 Equitable access to improved varieties </v>
      </c>
      <c r="D4" s="19">
        <v>0</v>
      </c>
      <c r="E4" s="19" t="str">
        <f>=SUM(D4:D6)</f>
        <v>0</v>
      </c>
    </row>
    <row r="5" ht="30" customHeight="1">
      <c r="A5" s="18" t="str">
        <v>R-A-2023-67-MHRA</v>
      </c>
      <c r="B5" s="19" t="str">
        <v>AOW02</v>
      </c>
      <c r="C5" s="18" t="str">
        <v>HLO9.AOW2.IO2 Create products</v>
      </c>
      <c r="D5" s="19">
        <v>0</v>
      </c>
    </row>
    <row r="6" ht="30" customHeight="1">
      <c r="A6" s="18" t="str">
        <v>R-A-2023-67-MHRA</v>
      </c>
      <c r="B6" s="19" t="str">
        <v>AOW03</v>
      </c>
      <c r="C6" s="18" t="str">
        <v>HLO11.AOW3.IO4 Position for demand</v>
      </c>
      <c r="D6" s="19">
        <v>0</v>
      </c>
    </row>
    <row r="7" ht="30" customHeight="1">
      <c r="A7" s="18" t="str">
        <v>R-A-2023-11-Specialty Rice</v>
      </c>
      <c r="B7" s="19" t="str">
        <v>AOW00</v>
      </c>
      <c r="C7" s="18" t="str">
        <v xml:space="preserve">IOC5 Equitable access to improved varieties </v>
      </c>
      <c r="D7" s="19">
        <v>0</v>
      </c>
      <c r="E7" s="19" t="str">
        <f>=SUM(D7:D8)</f>
        <v>0</v>
      </c>
    </row>
    <row r="8" ht="30" customHeight="1">
      <c r="A8" s="18" t="str">
        <v>R-A-2023-11-Specialty Rice</v>
      </c>
      <c r="B8" s="19" t="str">
        <v>AOW03</v>
      </c>
      <c r="C8" s="18" t="str">
        <v>HLO11.AOW3.IO4 Position for demand</v>
      </c>
      <c r="D8" s="19">
        <v>0</v>
      </c>
    </row>
    <row r="9" ht="30" customHeight="1">
      <c r="A9" s="18" t="str">
        <v>R-A-2023-77 Rice Productivity MZ</v>
      </c>
      <c r="B9" s="19" t="str">
        <v>AOW00</v>
      </c>
      <c r="C9" s="18" t="str">
        <v xml:space="preserve">IOC5 Equitable access to improved varieties </v>
      </c>
      <c r="D9" s="19">
        <v>0</v>
      </c>
      <c r="E9" s="19" t="str">
        <f>=SUM(D9:D11)</f>
        <v>0</v>
      </c>
    </row>
    <row r="10" ht="30" customHeight="1">
      <c r="A10" s="18" t="str">
        <v>R-A-2023-77 Rice Productivity MZ</v>
      </c>
      <c r="B10" s="19" t="str">
        <v>AOW02</v>
      </c>
      <c r="C10" s="18" t="str">
        <v>HLO8.AOW2.IO2 Discover genetic potential</v>
      </c>
      <c r="D10" s="19">
        <v>0</v>
      </c>
    </row>
    <row r="11" ht="30" customHeight="1">
      <c r="A11" s="18" t="str">
        <v>R-A-2023-77 Rice Productivity MZ</v>
      </c>
      <c r="B11" s="19" t="str">
        <v>AOW03</v>
      </c>
      <c r="C11" s="18" t="str">
        <v>HLO11.AOW3.IO4 Position for demand</v>
      </c>
      <c r="D11" s="19">
        <v>0</v>
      </c>
    </row>
    <row r="12" ht="30" customHeight="1">
      <c r="A12" s="18" t="str">
        <v>R-A-2023-83-OneRicePH</v>
      </c>
      <c r="B12" s="19" t="str">
        <v>AOW00</v>
      </c>
      <c r="C12" s="18" t="str">
        <v xml:space="preserve">IOC5 Equitable access to improved varieties </v>
      </c>
      <c r="D12" s="19">
        <v>0</v>
      </c>
      <c r="E12" s="19" t="str">
        <f>=SUM(D12:D14)</f>
        <v>0</v>
      </c>
    </row>
    <row r="13" ht="30" customHeight="1">
      <c r="A13" s="18" t="str">
        <v>R-A-2023-83-OneRicePH</v>
      </c>
      <c r="B13" s="19" t="str">
        <v>AOW01</v>
      </c>
      <c r="C13" s="18" t="str">
        <v>HLO1.AOW1.IO1 Steer to impact</v>
      </c>
      <c r="D13" s="19">
        <v>0</v>
      </c>
    </row>
    <row r="14" ht="30" customHeight="1">
      <c r="A14" s="18" t="str">
        <v>R-A-2023-83-OneRicePH</v>
      </c>
      <c r="B14" s="19" t="str">
        <v>AOW02</v>
      </c>
      <c r="C14" s="18" t="str">
        <v>HLO6.AOW2.IO1 Refocus to markets</v>
      </c>
      <c r="D14" s="19">
        <v>0</v>
      </c>
    </row>
    <row r="15" ht="30" customHeight="1">
      <c r="A15" s="18" t="str">
        <v>R-A-2024-25-Madhya Pradesh_Rice Inbreds and Hybrids</v>
      </c>
      <c r="B15" s="19" t="str">
        <v>AOW00</v>
      </c>
      <c r="C15" s="18" t="str">
        <v xml:space="preserve">IOC5 Equitable access to improved varieties </v>
      </c>
      <c r="D15" s="19">
        <v>0</v>
      </c>
      <c r="E15" s="19" t="str">
        <f>=SUM(D15:D16)</f>
        <v>0</v>
      </c>
    </row>
    <row r="16" ht="30" customHeight="1">
      <c r="A16" s="18" t="str">
        <v>R-A-2024-25-Madhya Pradesh_Rice Inbreds and Hybrids</v>
      </c>
      <c r="B16" s="19" t="str">
        <v>AOW03</v>
      </c>
      <c r="C16" s="18" t="str">
        <v>HLO11.AOW3.IO4 Position for demand</v>
      </c>
      <c r="D16" s="19">
        <v>0</v>
      </c>
    </row>
    <row r="17" ht="30" customHeight="1">
      <c r="A17" s="18" t="str">
        <v>R-A-2019-137-PPP Ph2</v>
      </c>
      <c r="B17" s="19" t="str">
        <v>AOW00</v>
      </c>
      <c r="C17" s="18" t="str">
        <v>IOC3 Cost-effective product development by Breeding Networks.</v>
      </c>
      <c r="D17" s="19">
        <v>0</v>
      </c>
      <c r="E17" s="19" t="str">
        <f>=SUM(D17:D17)</f>
        <v>0</v>
      </c>
    </row>
    <row r="18" ht="30" customHeight="1">
      <c r="A18" s="18" t="str">
        <v>R-A-2023-34-SGP-AGGRI2 AGGRI Project</v>
      </c>
      <c r="B18" s="19" t="str">
        <v>AOW00</v>
      </c>
      <c r="C18" s="18" t="str">
        <v>IOC3 Cost-effective product development by Breeding Networks.</v>
      </c>
      <c r="D18" s="19">
        <v>0</v>
      </c>
      <c r="E18" s="19" t="str">
        <f>=SUM(D18:D20)</f>
        <v>0</v>
      </c>
    </row>
    <row r="19" ht="30" customHeight="1">
      <c r="A19" s="18" t="str">
        <v>R-A-2023-34-SGP-AGGRI2 AGGRI Project</v>
      </c>
      <c r="B19" s="19" t="str">
        <v>AOW02</v>
      </c>
      <c r="C19" s="18" t="str">
        <v>HLO6.AOW2.IO1 Refocus to markets</v>
      </c>
      <c r="D19" s="19">
        <v>0</v>
      </c>
    </row>
    <row r="20" ht="30" customHeight="1">
      <c r="A20" s="18" t="str">
        <v>R-A-2023-34-SGP-AGGRI2 AGGRI Project</v>
      </c>
      <c r="B20" s="19" t="str">
        <v>AOW04</v>
      </c>
      <c r="C20" s="18" t="str">
        <v>HLO16.AOW4.IO3 Shared services</v>
      </c>
      <c r="D20" s="19">
        <v>0</v>
      </c>
    </row>
    <row r="21" ht="30" customHeight="1">
      <c r="A21" s="18" t="str">
        <v>R-A-2022-71-ICAR 2023 - 2027</v>
      </c>
      <c r="B21" s="19" t="str">
        <v>AOW00</v>
      </c>
      <c r="C21" s="18" t="str">
        <v>IOC3 Cost-effective product development by Breeding Networks.</v>
      </c>
      <c r="D21" s="19">
        <v>0</v>
      </c>
      <c r="E21" s="19" t="str">
        <f>=SUM(D21:D23)</f>
        <v>0</v>
      </c>
    </row>
    <row r="22" ht="30" customHeight="1">
      <c r="A22" s="18" t="str">
        <v>R-A-2022-71-ICAR 2023 - 2027</v>
      </c>
      <c r="B22" s="19" t="str">
        <v>AOW01</v>
      </c>
      <c r="C22" s="18" t="str">
        <v>HLO3.AOW1.IO1 Design concepts</v>
      </c>
      <c r="D22" s="19">
        <v>0</v>
      </c>
    </row>
    <row r="23" ht="30" customHeight="1">
      <c r="A23" s="18" t="str">
        <v>R-A-2022-71-ICAR 2023 - 2027</v>
      </c>
      <c r="B23" s="19" t="str">
        <v>AOW02</v>
      </c>
      <c r="C23" s="18" t="str">
        <v>HLO9.AOW2.IO2 Create products</v>
      </c>
      <c r="D23" s="19">
        <v>0</v>
      </c>
    </row>
    <row r="24" ht="30" customHeight="1">
      <c r="A24" s="18" t="str">
        <v>R-A-2023-19-EBS Phase 3</v>
      </c>
      <c r="B24" s="19" t="str">
        <v>AOW00</v>
      </c>
      <c r="C24" s="18" t="str">
        <v>IOC4 Scaling partners increase uptake</v>
      </c>
      <c r="D24" s="19">
        <v>0</v>
      </c>
      <c r="E24" s="19" t="str">
        <f>=SUM(D24:D25)</f>
        <v>0</v>
      </c>
    </row>
    <row r="25" ht="30" customHeight="1">
      <c r="A25" s="18" t="str">
        <v>R-A-2023-19-EBS Phase 3</v>
      </c>
      <c r="B25" s="19" t="str">
        <v>AOW04</v>
      </c>
      <c r="C25" s="18" t="str">
        <v>HLO15.AOW4.IO2 Hub &amp; spoke scaling</v>
      </c>
      <c r="D25" s="19">
        <v>0</v>
      </c>
    </row>
    <row r="26" ht="30" customHeight="1">
      <c r="A26" s="18" t="str">
        <v>R-A-2023-25-C4 Offshoots</v>
      </c>
      <c r="B26" s="19" t="str">
        <v>AOW00</v>
      </c>
      <c r="C26" s="18" t="str">
        <v xml:space="preserve">IOC2 - Active collaboration to develop products </v>
      </c>
      <c r="D26" s="19">
        <v>0</v>
      </c>
      <c r="E26" s="19" t="str">
        <f>=SUM(D26:D27)</f>
        <v>0</v>
      </c>
    </row>
    <row r="27" ht="30" customHeight="1">
      <c r="A27" s="18" t="str">
        <v>R-A-2023-25-C4 Offshoots</v>
      </c>
      <c r="B27" s="19" t="str">
        <v>AOW02</v>
      </c>
      <c r="C27" s="18" t="str">
        <v>HLO9.AOW2.IO2 Create products</v>
      </c>
      <c r="D27" s="19">
        <v>0</v>
      </c>
    </row>
    <row r="28" ht="30" customHeight="1">
      <c r="A28" s="18" t="str">
        <v>R-A-2021-76-Allele mining</v>
      </c>
      <c r="B28" s="19" t="str">
        <v>AOW00</v>
      </c>
      <c r="C28" s="18" t="str">
        <v xml:space="preserve">IOC2 - Active collaboration to develop products </v>
      </c>
      <c r="D28" s="19">
        <v>0</v>
      </c>
      <c r="E28" s="19" t="str">
        <f>=SUM(D28:D29)</f>
        <v>0</v>
      </c>
    </row>
    <row r="29" ht="30" customHeight="1">
      <c r="A29" s="18" t="str">
        <v>R-A-2021-76-Allele mining</v>
      </c>
      <c r="B29" s="19" t="str">
        <v>AOW02</v>
      </c>
      <c r="C29" s="18" t="str">
        <v>HLO8.AOW2.IO2 Discover genetic potential</v>
      </c>
      <c r="D29" s="19">
        <v>0</v>
      </c>
    </row>
    <row r="30" ht="30" customHeight="1">
      <c r="A30" s="18" t="str">
        <v>R-A-2023-46-SGP-GENOME EDITING Genome Editing Project</v>
      </c>
      <c r="B30" s="19" t="str">
        <v>AOW00</v>
      </c>
      <c r="C30" s="18" t="str">
        <v xml:space="preserve">IOC2 - Active collaboration to develop products </v>
      </c>
      <c r="D30" s="19">
        <v>0</v>
      </c>
      <c r="E30" s="19" t="str">
        <f>=SUM(D30:D31)</f>
        <v>0</v>
      </c>
    </row>
    <row r="31" ht="30" customHeight="1">
      <c r="A31" s="18" t="str">
        <v>R-A-2023-46-SGP-GENOME EDITING Genome Editing Project</v>
      </c>
      <c r="B31" s="19" t="str">
        <v>AOW02</v>
      </c>
      <c r="C31" s="18" t="str">
        <v>HLO9.AOW2.IO2 Create products</v>
      </c>
      <c r="D31" s="19">
        <v>0</v>
      </c>
    </row>
    <row r="32" ht="30" customHeight="1">
      <c r="A32" s="18" t="str">
        <v>R-A-2022-52-Direct Seeding Indo Gangetic</v>
      </c>
      <c r="B32" s="19" t="str">
        <v>AOW00</v>
      </c>
      <c r="C32" s="18" t="str">
        <v xml:space="preserve">IOC2 - Active collaboration to develop products </v>
      </c>
      <c r="D32" s="19">
        <v>0</v>
      </c>
      <c r="E32" s="19" t="str">
        <f>=SUM(D32:D33)</f>
        <v>0</v>
      </c>
    </row>
    <row r="33" ht="30" customHeight="1">
      <c r="A33" s="18" t="str">
        <v>R-A-2022-52-Direct Seeding Indo Gangetic</v>
      </c>
      <c r="B33" s="19" t="str">
        <v>AOW02</v>
      </c>
      <c r="C33" s="18" t="str">
        <v>HLO7.AOW2.IO2 Accelerating genetic gain</v>
      </c>
      <c r="D33" s="19">
        <v>0</v>
      </c>
    </row>
    <row r="34" ht="30" customHeight="1">
      <c r="A34" s="18" t="str">
        <v>R-A-2012-35 HRDC</v>
      </c>
      <c r="B34" s="19" t="str">
        <v>AOW00</v>
      </c>
      <c r="C34" s="18" t="str">
        <v xml:space="preserve">IOC2 - Active collaboration to develop products </v>
      </c>
      <c r="D34" s="19">
        <v>0</v>
      </c>
      <c r="E34" s="19" t="str">
        <f>=SUM(D34:D35)</f>
        <v>0</v>
      </c>
    </row>
    <row r="35" ht="30" customHeight="1">
      <c r="A35" s="18" t="str">
        <v>R-A-2012-35 HRDC</v>
      </c>
      <c r="B35" s="19" t="str">
        <v>AOW02</v>
      </c>
      <c r="C35" s="18" t="str">
        <v>HLO7.AOW2.IO2 Accelerating genetic gain</v>
      </c>
      <c r="D35" s="19">
        <v>0</v>
      </c>
    </row>
    <row r="36" ht="30" customHeight="1">
      <c r="A36" s="18" t="str">
        <v>R-A-2021-28-KOICA-UPLB Project</v>
      </c>
      <c r="B36" s="19" t="str">
        <v>AOW00</v>
      </c>
      <c r="C36" s="18" t="str">
        <v xml:space="preserve">IOC2 - Active collaboration to develop products </v>
      </c>
      <c r="D36" s="19">
        <v>0</v>
      </c>
      <c r="E36" s="19" t="str">
        <f>=SUM(D36:D38)</f>
        <v>0</v>
      </c>
    </row>
    <row r="37" ht="30" customHeight="1">
      <c r="A37" s="18" t="str">
        <v>R-A-2021-28-KOICA-UPLB Project</v>
      </c>
      <c r="B37" s="19" t="str">
        <v>AOW02</v>
      </c>
      <c r="C37" s="18" t="str">
        <v>HLO8.AOW2.IO2 Discover genetic potential</v>
      </c>
      <c r="D37" s="19">
        <v>0</v>
      </c>
    </row>
    <row r="38" ht="30" customHeight="1">
      <c r="A38" s="18" t="str">
        <v>R-A-2021-28-KOICA-UPLB Project</v>
      </c>
      <c r="B38" s="19" t="str">
        <v>AOW04</v>
      </c>
      <c r="C38" s="18" t="str">
        <v>HLO16.AOW4.IO3 Shared services</v>
      </c>
      <c r="D38" s="19">
        <v>0</v>
      </c>
    </row>
    <row r="39" ht="30" customHeight="1">
      <c r="A39" s="3" t="str">
        <v>W3/Bilateral projects subtotal</v>
      </c>
      <c r="E39" s="3">
        <f>SUM(E2:E38)</f>
      </c>
    </row>
  </sheetData>
  <mergeCells count="31">
    <mergeCell ref="A2:A3"/>
    <mergeCell ref="A4:A6"/>
    <mergeCell ref="A7:A8"/>
    <mergeCell ref="A9:A11"/>
    <mergeCell ref="A12:A14"/>
    <mergeCell ref="A15:A16"/>
    <mergeCell ref="A18:A20"/>
    <mergeCell ref="A21:A23"/>
    <mergeCell ref="A24:A25"/>
    <mergeCell ref="A26:A27"/>
    <mergeCell ref="A28:A29"/>
    <mergeCell ref="A30:A31"/>
    <mergeCell ref="A32:A33"/>
    <mergeCell ref="A34:A35"/>
    <mergeCell ref="A36:A38"/>
    <mergeCell ref="E2:E3"/>
    <mergeCell ref="E4:E6"/>
    <mergeCell ref="E7:E8"/>
    <mergeCell ref="E9:E11"/>
    <mergeCell ref="E12:E14"/>
    <mergeCell ref="E15:E16"/>
    <mergeCell ref="E18:E20"/>
    <mergeCell ref="E21:E23"/>
    <mergeCell ref="E24:E25"/>
    <mergeCell ref="E26:E27"/>
    <mergeCell ref="E28:E29"/>
    <mergeCell ref="E30:E31"/>
    <mergeCell ref="E32:E33"/>
    <mergeCell ref="E34:E35"/>
    <mergeCell ref="E36:E38"/>
    <mergeCell ref="A39:D39"/>
  </mergeCells>
  <ignoredErrors>
    <ignoredError numberStoredAsText="1" sqref="A1:F39"/>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0</v>
      </c>
      <c r="H2" s="20" t="str">
        <f>=SUM(B2:G2)</f>
        <v>0</v>
      </c>
    </row>
    <row r="3" ht="20" customHeight="1">
      <c r="A3" s="20" t="str">
        <v>Operations (supplies, consultants, travels, workshops, other)</v>
      </c>
      <c r="B3" s="20">
        <v>0</v>
      </c>
      <c r="C3" s="20">
        <v>68371</v>
      </c>
      <c r="D3" s="20">
        <v>323435</v>
      </c>
      <c r="E3" s="20">
        <v>9854</v>
      </c>
      <c r="F3" s="20">
        <v>85583</v>
      </c>
      <c r="G3" s="20">
        <v>449</v>
      </c>
      <c r="H3" s="20" t="str">
        <f>=SUM(B3:G3)</f>
        <v>0</v>
      </c>
    </row>
    <row r="4" ht="20" customHeight="1">
      <c r="A4" s="20" t="str">
        <v>Staffing, Chargebacks and Indirect</v>
      </c>
      <c r="B4" s="20">
        <v>0</v>
      </c>
      <c r="C4" s="20">
        <v>221629</v>
      </c>
      <c r="D4" s="20">
        <v>2049682</v>
      </c>
      <c r="E4" s="20">
        <v>178975</v>
      </c>
      <c r="F4" s="20">
        <v>859417</v>
      </c>
      <c r="G4" s="20">
        <v>34551</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