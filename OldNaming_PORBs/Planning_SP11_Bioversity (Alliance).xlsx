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50000</v>
      </c>
      <c r="D5" s="2">
        <v>0</v>
      </c>
      <c r="E5" s="5">
        <v>50199</v>
      </c>
      <c r="F5" s="2">
        <v>0</v>
      </c>
      <c r="G5" s="5">
        <v>0</v>
      </c>
      <c r="H5" s="2">
        <v>0</v>
      </c>
      <c r="I5" s="5">
        <v>0</v>
      </c>
      <c r="J5" s="5">
        <v>0</v>
      </c>
      <c r="K5" s="5">
        <v>0</v>
      </c>
      <c r="L5" s="5">
        <v>100199</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100000</v>
      </c>
      <c r="D7" s="2">
        <v>0</v>
      </c>
      <c r="E7" s="5">
        <v>0</v>
      </c>
      <c r="F7" s="2">
        <v>0</v>
      </c>
      <c r="G7" s="5">
        <v>60000</v>
      </c>
      <c r="H7" s="2">
        <v>0</v>
      </c>
      <c r="I7" s="5">
        <v>40000</v>
      </c>
      <c r="J7" s="5">
        <v>0</v>
      </c>
      <c r="K7" s="5">
        <v>0</v>
      </c>
      <c r="L7" s="5">
        <v>200000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1.1.1: CapSha research</v>
      </c>
      <c r="C3" s="11" t="str">
        <v>Innovative research and lessons learned papers on novel CapSha aproaches at the individual, organizational and system level are researched and published</v>
      </c>
      <c r="D3" s="11" t="str">
        <v>Number of knowledge products</v>
      </c>
      <c r="E3" s="11" t="str">
        <v>Global</v>
      </c>
      <c r="F3" s="11">
        <v>5</v>
      </c>
      <c r="G3" s="11">
        <v>20199</v>
      </c>
      <c r="H3" s="11">
        <f>SUM(G3:G3)</f>
      </c>
      <c r="I3" s="11" t="str">
        <v>Alliance CapSha pilots and activities mapped, documented and lessons learned published; One scientific publication on effective localization approaches.</v>
      </c>
    </row>
    <row r="4" ht="50" customHeight="1">
      <c r="A4" s="11" t="str">
        <v>AOW01</v>
      </c>
      <c r="B4" s="11" t="str">
        <v>HLO 1.1.2: CapSha pilots</v>
      </c>
      <c r="C4" s="11" t="str">
        <v>CapSha pilots have been planned, implemented and evaluated, generating insights that feed into the production of lessons learned papers (HLO1.1.1). CapSha pilots investigate and test innovatative approaches to capacity development</v>
      </c>
      <c r="D4" s="11" t="str">
        <v>Number of innovations (innovation development)</v>
      </c>
      <c r="E4" s="11" t="str">
        <v>Global</v>
      </c>
      <c r="F4" s="11">
        <v>3</v>
      </c>
      <c r="G4" s="11">
        <v>50000</v>
      </c>
      <c r="H4" s="11">
        <f>SUM(G4:G4)</f>
      </c>
      <c r="I4" s="11" t="str">
        <v>Pilot on capacity sharing in fragile settings, aligned with ICARDA-WUR partnership on system science capacities for conflict-sensitivity in agricultural research, with a training hub set up under CapSha Marketplace.</v>
      </c>
    </row>
    <row r="5" ht="50" customHeight="1">
      <c r="A5" s="11" t="str">
        <v>AOW01</v>
      </c>
      <c r="B5" s="11" t="str">
        <v>HLO 1.1.3: CapSha toolbox</v>
      </c>
      <c r="C5" s="11" t="str">
        <v>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v>
      </c>
      <c r="D5" s="11" t="str">
        <v>Number of people trained (capacity sharing for development)</v>
      </c>
      <c r="E5" s="11" t="str">
        <v>Global</v>
      </c>
      <c r="F5" s="11">
        <v>120</v>
      </c>
      <c r="G5" s="11">
        <v>0</v>
      </c>
      <c r="H5" s="11">
        <f>SUM(G5:G6)</f>
      </c>
    </row>
    <row r="6" ht="50" customHeight="1">
      <c r="A6" s="11" t="str">
        <v>AOW01</v>
      </c>
      <c r="C6" s="11" t="str">
        <v>Good practice principles, manuals, guidelines and frameworks on CapSha are researched and published</v>
      </c>
      <c r="D6" s="11" t="str">
        <v>Number of knowledge products</v>
      </c>
      <c r="E6" s="11" t="str">
        <v>Global</v>
      </c>
      <c r="F6" s="11">
        <v>3</v>
      </c>
      <c r="G6" s="11">
        <v>30000</v>
      </c>
      <c r="I6" s="11" t="str">
        <v>Guidelines on local government engagement and capacity sharing for policy makers at sub-national level published; good practices in localization and capacity sharing for local science packaged for CGIAR centre and SP adoption.</v>
      </c>
    </row>
    <row r="7" ht="25" customHeight="1">
      <c r="B7" s="14" t="str">
        <v>HLO budget subtotal</v>
      </c>
      <c r="H7" s="15">
        <f>SUM(H3:H6)</f>
      </c>
    </row>
    <row r="8" ht="50" customHeight="1">
      <c r="A8" s="13" t="str">
        <v>AOW03</v>
      </c>
      <c r="B8" s="11" t="str">
        <v>HLO 3.1.1: Partnership engagement mechanisms</v>
      </c>
      <c r="C8" s="11" t="str">
        <v>SSTC activities between ICAR, Embrapa, CAAS, CGIAR Centers/SPs and African NARIS are aligned, including CapSha support to institutional strenghtening for continental and regional institutions involved in CAADP</v>
      </c>
      <c r="D8" s="11" t="str">
        <v>Number of innovations (innovation development)</v>
      </c>
      <c r="E8" s="11" t="str">
        <v>Regional: Africa</v>
      </c>
      <c r="F8" s="11">
        <v>5</v>
      </c>
      <c r="G8" s="11">
        <v>100000</v>
      </c>
      <c r="H8" s="11">
        <f>SUM(G8:G11)</f>
      </c>
      <c r="I8" s="11" t="str">
        <v>Aligning activites along ICAR, Embrapa, CAAS, CGIAR Centers/SPs and African NARIS: connecting networks, identifying capacity needs, translating past lessons into guidance, organizing key convenings, and tracking progress to guide ongoing efforts.</v>
      </c>
    </row>
    <row r="9" ht="50" customHeight="1">
      <c r="A9" s="11" t="str">
        <v>AOW03</v>
      </c>
      <c r="C9" s="11" t="str">
        <v>The next generation of scientists is supported by dedicated programs (including e.g., CGIAR Germany CapSha PhD/MSc Program, CGIAR UM6P CapSha Hub, NL-CGIAR Senior Expert Program, UK-CGIAR Centre Collaboration in Science and Innovation)</v>
      </c>
      <c r="D9" s="11" t="str">
        <v>Number of people trained (capacity sharing for development)</v>
      </c>
      <c r="E9" s="11" t="str">
        <v>Global</v>
      </c>
      <c r="F9" s="11">
        <v>100</v>
      </c>
      <c r="G9" s="11">
        <v>0</v>
      </c>
    </row>
    <row r="10" ht="50" customHeight="1">
      <c r="A10" s="11" t="str">
        <v>AOW03</v>
      </c>
      <c r="C10"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10" s="11" t="str">
        <v>Number of people trained (capacity sharing for development)</v>
      </c>
      <c r="E10" s="11" t="str">
        <v>Global</v>
      </c>
      <c r="F10" s="11">
        <v>30</v>
      </c>
      <c r="G10" s="11">
        <v>0</v>
      </c>
    </row>
    <row r="11" ht="50" customHeight="1">
      <c r="A11" s="11" t="str">
        <v>AOW03</v>
      </c>
      <c r="C11"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11" s="11" t="str">
        <v>Number of people trained (capacity sharing for development)</v>
      </c>
      <c r="E11" s="11" t="str">
        <v>Global</v>
      </c>
      <c r="F11" s="11">
        <v>100</v>
      </c>
      <c r="G11" s="11">
        <v>0</v>
      </c>
    </row>
    <row r="12" ht="50" customHeight="1">
      <c r="A12" s="11" t="str">
        <v>AOW03</v>
      </c>
      <c r="B12" s="11" t="str">
        <v>HLO 3.1.2: Demand mapped</v>
      </c>
      <c r="C12" s="11" t="str">
        <v>A digital diagnostic tool is developed and applied for assessing strengths, weaknesses and capacity development needs of selected NARIS</v>
      </c>
      <c r="D12" s="11" t="str">
        <v>Number of NARIs for which strengths, weaknesses and capacity needs are assessed with the digital diagnostic tool</v>
      </c>
      <c r="E12" s="11" t="str">
        <v>Global</v>
      </c>
      <c r="F12" s="11">
        <v>8</v>
      </c>
      <c r="G12" s="11">
        <v>40000</v>
      </c>
      <c r="H12" s="11">
        <f>SUM(G12:G12)</f>
      </c>
      <c r="I12" s="11" t="str">
        <v>Develop a digital diagnostic tool to assess capacity strengths, weaknesses and gaps of NARIS</v>
      </c>
    </row>
    <row r="13" ht="50" customHeight="1">
      <c r="A13" s="11" t="str">
        <v>AOW03</v>
      </c>
      <c r="B13" s="11" t="str">
        <v>HLO 3.1.3: SSTC cases analyzed</v>
      </c>
      <c r="C13" s="11" t="str">
        <v>Research on SSTC actors and on selected SSTC cases is conducted and published</v>
      </c>
      <c r="D13" s="11" t="str">
        <v>Number of knowledge products</v>
      </c>
      <c r="E13" s="11" t="str">
        <v>Global</v>
      </c>
      <c r="F13" s="11">
        <v>6</v>
      </c>
      <c r="G13" s="11">
        <v>0</v>
      </c>
      <c r="H13" s="11">
        <f>SUM(G13:G13)</f>
      </c>
    </row>
    <row r="14" ht="50" customHeight="1">
      <c r="A14" s="11" t="str">
        <v>AOW03</v>
      </c>
      <c r="B14" s="11" t="str">
        <v>HLO 3.1.4: CapSha SSTC engagmenents</v>
      </c>
      <c r="C14" s="11" t="str">
        <v>CapSha actively supports the planning, implementation and learning from key SSTC engagements, including SSTC initiatives with Brazil (Embrapa), China (CAAS) and India (ICAR), targeting African regional and national agricultural research organisations</v>
      </c>
      <c r="D14" s="11" t="str">
        <v>Number of people trained (capacity sharing for development)</v>
      </c>
      <c r="E14" s="11" t="str">
        <v>Country: Kenya, Ethiopia, Nigeria, China, Brazil, India</v>
      </c>
      <c r="F14" s="11">
        <v>200</v>
      </c>
      <c r="G14" s="11">
        <v>60000</v>
      </c>
      <c r="H14" s="11">
        <f>SUM(G14:G14)</f>
      </c>
      <c r="I14" s="11" t="str">
        <v>Facilitate connections between partners and organize and convene meetings and workshops. Support identification and prioritization of capacity gaps, training needs, and scaling-ready innovations across countries and institutions.</v>
      </c>
    </row>
    <row r="15" ht="25" customHeight="1">
      <c r="B15" s="15" t="str">
        <v>HLO budget subtotal</v>
      </c>
      <c r="H15" s="15">
        <f>SUM(H8:H14)</f>
      </c>
    </row>
  </sheetData>
  <mergeCells count="13">
    <mergeCell ref="A1:A2"/>
    <mergeCell ref="B1:B2"/>
    <mergeCell ref="C1:G1"/>
    <mergeCell ref="H1:H2"/>
    <mergeCell ref="I1:I2"/>
    <mergeCell ref="B5:B6"/>
    <mergeCell ref="H5:H6"/>
    <mergeCell ref="B7:G7"/>
    <mergeCell ref="A3:A7"/>
    <mergeCell ref="B8:B11"/>
    <mergeCell ref="H8:H11"/>
    <mergeCell ref="B15:G15"/>
    <mergeCell ref="A8:A15"/>
  </mergeCells>
  <ignoredErrors>
    <ignoredError numberStoredAsText="1" sqref="A1:I1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14000</v>
      </c>
      <c r="F2" s="20" t="str">
        <f>=SUM(B2:E2)</f>
        <v>0</v>
      </c>
    </row>
    <row r="3" ht="20" customHeight="1">
      <c r="A3" s="20" t="str">
        <v>Operations (supplies, consultants, travels, workshops, other)</v>
      </c>
      <c r="B3" s="20">
        <v>0</v>
      </c>
      <c r="C3" s="20">
        <v>60000</v>
      </c>
      <c r="D3" s="20">
        <v>0</v>
      </c>
      <c r="E3" s="20">
        <v>66000</v>
      </c>
      <c r="F3" s="20" t="str">
        <f>=SUM(B3:E3)</f>
        <v>0</v>
      </c>
    </row>
    <row r="4" ht="20" customHeight="1">
      <c r="A4" s="20" t="str">
        <v>Staffing, Chargebacks and Indirect</v>
      </c>
      <c r="B4" s="20">
        <v>0</v>
      </c>
      <c r="C4" s="20">
        <v>40199</v>
      </c>
      <c r="D4" s="20">
        <v>0</v>
      </c>
      <c r="E4" s="20">
        <v>120000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