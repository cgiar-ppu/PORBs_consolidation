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3</v>
      </c>
      <c r="E5" s="5">
        <v>105585</v>
      </c>
      <c r="F5" s="2">
        <v>2</v>
      </c>
      <c r="G5" s="5">
        <v>100000</v>
      </c>
      <c r="H5" s="2">
        <v>0</v>
      </c>
      <c r="I5" s="5">
        <v>0</v>
      </c>
      <c r="J5" s="5">
        <v>0</v>
      </c>
      <c r="K5" s="5">
        <v>0</v>
      </c>
      <c r="L5" s="5">
        <v>205585</v>
      </c>
      <c r="M5" s="5">
        <v>0</v>
      </c>
    </row>
    <row r="6" ht="20" customHeight="1">
      <c r="A6" s="2" t="str">
        <v>AOW02: Grand Challenges and Scaling Flagships</v>
      </c>
      <c r="B6" s="2">
        <v>0</v>
      </c>
      <c r="C6" s="5">
        <v>0</v>
      </c>
      <c r="D6" s="2">
        <v>0</v>
      </c>
      <c r="E6" s="5">
        <v>0</v>
      </c>
      <c r="F6" s="2">
        <v>0</v>
      </c>
      <c r="G6" s="5">
        <v>0</v>
      </c>
      <c r="H6" s="2">
        <v>0</v>
      </c>
      <c r="I6" s="5">
        <v>0</v>
      </c>
      <c r="J6" s="5">
        <v>0</v>
      </c>
      <c r="K6" s="5">
        <v>0</v>
      </c>
      <c r="L6" s="5">
        <v>0</v>
      </c>
      <c r="M6" s="5">
        <v>1708982</v>
      </c>
    </row>
    <row r="7" ht="20" customHeight="1">
      <c r="A7" s="2" t="str">
        <v>AOW03: Enabling Environment Lab</v>
      </c>
      <c r="B7" s="2">
        <v>0</v>
      </c>
      <c r="C7" s="5">
        <v>0</v>
      </c>
      <c r="D7" s="2">
        <v>1</v>
      </c>
      <c r="E7" s="5">
        <v>60000</v>
      </c>
      <c r="F7" s="2">
        <v>0</v>
      </c>
      <c r="G7" s="5">
        <v>0</v>
      </c>
      <c r="H7" s="2">
        <v>0</v>
      </c>
      <c r="I7" s="5">
        <v>0</v>
      </c>
      <c r="J7" s="5">
        <v>0</v>
      </c>
      <c r="K7" s="5">
        <v>0</v>
      </c>
      <c r="L7" s="5">
        <v>60000</v>
      </c>
      <c r="M7" s="5">
        <v>0</v>
      </c>
    </row>
    <row r="8" ht="20" customHeight="1">
      <c r="A8" s="2" t="str">
        <v>AOW04: Achieving Impact by Unlocking Finance and Partnerships</v>
      </c>
      <c r="B8" s="2">
        <v>135</v>
      </c>
      <c r="C8" s="5">
        <v>225000</v>
      </c>
      <c r="D8" s="2">
        <v>0</v>
      </c>
      <c r="E8" s="5">
        <v>0</v>
      </c>
      <c r="F8" s="2">
        <v>0</v>
      </c>
      <c r="G8" s="5">
        <v>0</v>
      </c>
      <c r="H8" s="2">
        <v>1757371130</v>
      </c>
      <c r="I8" s="5">
        <v>1130478</v>
      </c>
      <c r="J8" s="5">
        <v>0</v>
      </c>
      <c r="K8" s="5">
        <v>0</v>
      </c>
      <c r="L8" s="5">
        <v>1355478</v>
      </c>
      <c r="M8" s="5">
        <v>0</v>
      </c>
    </row>
    <row r="9" ht="20" customHeight="1">
      <c r="A9" s="2" t="str">
        <v>AOW05: Learning for Impact</v>
      </c>
      <c r="B9" s="2">
        <v>0</v>
      </c>
      <c r="C9" s="5">
        <v>0</v>
      </c>
      <c r="D9" s="2">
        <v>0</v>
      </c>
      <c r="E9" s="5">
        <v>0</v>
      </c>
      <c r="F9" s="2">
        <v>5</v>
      </c>
      <c r="G9" s="5">
        <v>15000</v>
      </c>
      <c r="H9" s="2">
        <v>0</v>
      </c>
      <c r="I9" s="5">
        <v>0</v>
      </c>
      <c r="J9" s="5">
        <v>0</v>
      </c>
      <c r="K9" s="5">
        <v>0</v>
      </c>
      <c r="L9" s="5">
        <v>15000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2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A1P5.1: PoD name: CGIAR-DID: CGIAR-Demand Intelligence Dashboard. Lead Center: IITA. PoD KPI: 2 – Two fully operational country-level Demand Intelligence Portals (Nigeria and Zambia) linked to the global CGIAR-DID platform and used for national research and scaling prioritization by the end of 2026. Suggested Disaggregation: Not applicable (portal-level KPI focused on a defined set of tools). Indicator type: Capacity Sharing. Unit: Number of tools.
PoD Description: This package scales the CGIAR Demand Intelligence Dashboard (CGIAR-DID) from proof-of-concept to an operational, data-driven ecosystem that shifts CGIAR and partner operations from reactive monitoring to proactive, real-time engagement with stakeholder demand. It develops and refines AI-enabled tools and a harmonized framework for capturing, analyzing, and visualizing demand signals across water, food, and environmental systems, integrating CGIAR data sources into a unified innovation dashboard. In 2026, the focus of this deliverable is to design, deploy, and refine country-level Demand Intelligence Portals in Nigeria and Zambia, co-developed with national ministries and research institutes. These portals will provide real-time demand visualization and analytics for research and scaling prioritization, reduce misaligned investments, and enable adaptive portfolio management by CGIAR programs and national partners. Accountable Center leading this PoD: IITA. Anticipated partners: IWMI; IRRI; Alliance of Bioversity and CIAT; Federal Ministry of Agriculture and Rural Development (Nigeria); Ministry of Agriculture (Zambia); Zambia Agriculture Research Institute.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people trained (capacity sharing for development)</v>
      </c>
      <c r="E3" s="11" t="str">
        <v>Country: Zambia, Nigeria</v>
      </c>
      <c r="F3" s="11">
        <v>2</v>
      </c>
      <c r="G3" s="11">
        <v>100000</v>
      </c>
      <c r="H3" s="11">
        <f>SUM(G3:G3)</f>
      </c>
      <c r="I3" s="11" t="str">
        <v>Assumptions: Sustained digital infrastructure, stable internet access in target countries, and ongoing collaboration with government data agencies.</v>
      </c>
    </row>
    <row r="4" ht="50" customHeight="1" xml:space="preserve">
      <c r="A4" s="11" t="str">
        <v>AOW01</v>
      </c>
      <c r="B4" s="11" t="str">
        <v>HLO 1.1.3: Enhance strategies and coordination</v>
      </c>
      <c r="C4" s="11" t="str" xml:space="preserve">
        <v xml:space="preserve">A1P17.1: PoD name: CGIAR Country Strategy and Coordination. Lead Center: IITA. PoD KPI: 3 – Three Country Convener functions operational and institutionalized by the end of 2026 in Nigeria, Zambia, and Ethiopia, each coordinating CGIAR engagement and strategic alignment under a Country Strategic Framework and supporting joint adaptive management and portfolio monitoring. Suggested Disaggregation: Not applicable for this organization-level KPI (number of Country Convener functions rather than individual beneficiaries). Indicator type: Knowledge product. Unit: Number of organizations.
PoD Description: This package will enhance coordination of CGIAR’s science and innovation portfolio at country level by deploying and institutionalizing Country Convener (CC) functions that co-develop and implement CGIAR Country Strategic Frameworks (CSFs). Working initially in Nigeria and Zambia and expanding to Ethiopia,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enabling-environment engagement,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Zambia, and Ethiopia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D4" s="11" t="str">
        <v>Number of knowledge products</v>
      </c>
      <c r="E4" s="11" t="str">
        <v>Country: Zambia, Nigeria</v>
      </c>
      <c r="F4" s="11">
        <v>3</v>
      </c>
      <c r="G4" s="11">
        <v>105585</v>
      </c>
      <c r="H4" s="11">
        <f>SUM(G4:G4)</f>
      </c>
      <c r="I4" s="11" t="str">
        <v>Assumptions: CGIAR leadership will maintain commitment to unified country coordination. External Risk: Political instability or donor shifts could reduce continuity. Mitigation: Maintain adaptive design and donor engagement through regional convening foru</v>
      </c>
    </row>
    <row r="5" ht="25" customHeight="1">
      <c r="B5" s="14" t="str">
        <v>HLO budget subtotal</v>
      </c>
      <c r="H5" s="15">
        <f>SUM(H3:H4)</f>
      </c>
    </row>
    <row r="6" ht="50" customHeight="1" xml:space="preserve">
      <c r="A6" s="13" t="str">
        <v>AOW03</v>
      </c>
      <c r="B6" s="11" t="str" xml:space="preserve">
        <v xml:space="preserve">HLO 3.3.2: Scaling support services for enabling 
environments and institutions </v>
      </c>
      <c r="C6" s="11" t="str" xml:space="preserve">
        <v xml:space="preserve">A3P9.6: PoD name: Mainstreaming Inclusive and Responsible Scaling_IITA. Lead Center: IITA. PoD KPI: 1 – One technical reports completed and disseminated by the end of 2026, documenting how responsible and inclusive scaling strategies, informed by the adapted GenderUp methodology, have been integrated into AoW2 Flagship 2.1 scaling models and partner practices in Zambia, Nigeria, and Tanzania. Suggested Disaggregation: Not applicable (indicator tracks number of reports). Indicator type: Knowledge product; Unit: Number of reports.
PoD Description: This package strengthens CGIAR’s capacity to embed responsible and inclusive scaling practices across S4I—focusing especially on AoW2 Flagship 2.1 on scaling seed and fertilizer/soil fertility management systems—so that innovation pathways systematically consider who benefits, who is left behind, and how trade-offs are managed. Building on Scaling Readiness and GenderUp methodologies, the work will combine deep-dive assessments, inclusive analytics, and cross-program learning systems to help CGIAR and partners design and manage scaling processes that are gender-responsive, socially inclusive, and environmentally sustainable. Through targeted capacity-building workshops with AoW2 teams and scaling partners in Zambia, Nigeria, and Tanzania, the package will generate practical tools and evidence—such as diagnostics, training resources, and case-based learning—to institutionalize responsible scaling strategies within partner organizations and national agricultural systems. By 2028, CGIAR and key national actors will routinely apply these strategies and metrics, improving equity and resilience outcomes from conservation agriculture and related innovations. Accountable Center leading this PoD: IITA. Anticipated partners: IWMI; Alliance of Bioversity and CIAT; Responsible Innovations Firm that co-developed the GenderUp methodology; and national and regional scaling partners in Zambia, Nigeria, and Tanzania engaged in seed, fertilizer, and soil fertility management systems.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knowledge products</v>
      </c>
      <c r="E6" s="11" t="str">
        <v>Country: Zambia, Nigeria</v>
      </c>
      <c r="F6" s="11">
        <v>1</v>
      </c>
      <c r="G6" s="11">
        <v>60000</v>
      </c>
      <c r="H6" s="11">
        <f>SUM(G6:G6)</f>
      </c>
      <c r="I6" s="11" t="str" xml:space="preserve">
        <v xml:space="preserve">Assumption: Partner institutions in all three countries maintain engagement and data-sharing to support institutionalization of responsible scaling approaches.
</v>
      </c>
    </row>
    <row r="7" ht="25" customHeight="1">
      <c r="B7" s="15" t="str">
        <v>HLO budget subtotal</v>
      </c>
      <c r="H7" s="15">
        <f>SUM(H6:H6)</f>
      </c>
    </row>
    <row r="8" ht="50" customHeight="1" xml:space="preserve">
      <c r="A8" s="13" t="str">
        <v>AOW04</v>
      </c>
      <c r="B8" s="11" t="str">
        <v>HLO 4.4.1: CGIAR Expertise and Solutions Embedded in Development Investments and Partnerships</v>
      </c>
      <c r="C8" s="11" t="str" xml:space="preserve">
        <v xml:space="preserve">A4P4.3: PoD name: Global Coordinated Clearinghouse developed: New Frontier. Lead Center: IITA. PoD KPI: 820,000,000 –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USD leveraged for scaling through CGIAR influence, technical assistance, and/or advisory support.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D8" s="11" t="str">
        <v xml:space="preserve"> Other Output</v>
      </c>
      <c r="E8" s="11" t="str">
        <v>Country: Colombia, Guatemala, Zambia, Bangladesh, Philippines, Mexico, Kenya, Nigeria, India, Ethiopia, Côte d'Ivoire</v>
      </c>
      <c r="F8" s="11">
        <v>820000000</v>
      </c>
      <c r="G8" s="11">
        <v>150000</v>
      </c>
      <c r="H8" s="11">
        <f>SUM(G8:G17)</f>
      </c>
      <c r="I8" s="11" t="str">
        <v xml:space="preserve">IFIs maintain strong demand for science-based investment design support; CGIAR Centers commit vetted innovations to the global e-catalogue; blended finance mechanisms are endorsed to ensure sustainability; and inter-Center coordination mechanisms between </v>
      </c>
    </row>
    <row r="9" ht="50" customHeight="1" xml:space="preserve">
      <c r="A9" s="11" t="str">
        <v>AOW04</v>
      </c>
      <c r="C9" s="11" t="str" xml:space="preserve">
        <v xml:space="preserve">A4P4.4: PoD name: Global Coordinated Clearinghouse developed: New Frontier. Lead Center: IITA. PoD KPI: 60 – Sixty cumulative CGIAR innovations integrated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innovations integrated into investments.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D9" s="11" t="str">
        <v>Number of innovations (innovation development)</v>
      </c>
      <c r="E9" s="11" t="str">
        <v>Country: Bangladesh, Philippines, Kenya, Mexico, Côte d'Ivoire, Ethiopia, India, Zambia, Colombia, Guatemala, Nigeria</v>
      </c>
      <c r="F9" s="11">
        <v>60</v>
      </c>
      <c r="G9" s="11">
        <v>125000</v>
      </c>
      <c r="I9" s="11" t="str">
        <v>CGIAR Centers actively contribute innovations and maintain alignment with PRMS; IFIs endorse CGIAR's Clearinghouse model as part of their investment design process; and blended-finance mechanisms are successfully structured to sustain technical assistance</v>
      </c>
    </row>
    <row r="10" ht="50" customHeight="1" xml:space="preserve">
      <c r="A10" s="11" t="str">
        <v>AOW04</v>
      </c>
      <c r="C10" s="11" t="str" xml:space="preserve">
        <v xml:space="preserve">A4P5.1: PoD name: Integrating CGIAR innovations in public large-scale investments. Lead Center: IITA. PoD KPI: 18 – Eighteen cumulative strategies and technical assistance engagements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Other output. Unit: Number of strategies.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 Other Output</v>
      </c>
      <c r="E10" s="11" t="str">
        <v>Country: The Democratic Republic of the Congo, Malawi, Zambia, Tanzania, United Republic</v>
      </c>
      <c r="F10" s="11">
        <v>18</v>
      </c>
      <c r="G10" s="11">
        <v>166667</v>
      </c>
      <c r="I10" s="11" t="str">
        <v>IFIs and governments sustain demand for CGIAR technical assistance; programmatic alignment between CGIAR and national investment frameworks remains strong; and co-financing mechanisms continue to support strategy implementation and innovation deployment a</v>
      </c>
    </row>
    <row r="11" ht="50" customHeight="1" xml:space="preserve">
      <c r="A11" s="11" t="str">
        <v>AOW04</v>
      </c>
      <c r="C11" s="11" t="str" xml:space="preserve">
        <v xml:space="preserve">A4P5.2: PoD name: Integrating CGIAR innovations in public large-scale investments. Lead Center: IITA. PoD KPI: 12 – Twelve cumulative strategies and technical assistance engagements completed by the end of 2026 across national agricultural investment projects in Nigeria, Benin, Sierra Leone, and Togo, embedding CGIAR innovations into approved IFI-financed public investment portfolios. Suggested Disaggregation: Not applicable; KPI measures strategies and technical engagements rather than individuals. Indicator type: Other output. Unit: Number of innovations integrated into investments.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v>
      </c>
      <c r="D11" s="11" t="str">
        <v xml:space="preserve"> Other Output</v>
      </c>
      <c r="E11" s="11" t="str">
        <v>Country: Nigeria</v>
      </c>
      <c r="F11" s="11">
        <v>12</v>
      </c>
      <c r="G11" s="11">
        <v>200000</v>
      </c>
      <c r="I11" s="11" t="str">
        <v>Sustained IFI and government interest in embedding CGIAR innovations; ongoing coordination through the Clearinghouse ensures coherence across regional engagements; and political commitment remains strong to operationalize evidence-based agricultural inves</v>
      </c>
    </row>
    <row r="12" ht="50" customHeight="1" xml:space="preserve">
      <c r="A12" s="11" t="str">
        <v>AOW04</v>
      </c>
      <c r="C12" s="11" t="str" xml:space="preserve">
        <v xml:space="preserve">A4P5.3: PoD name: Integrating CGIAR innovations in public large-scale investments. Lead Center: IITA. PoD KPI: 495,000,000 –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USD leveraged for scaling through CGIAR influence, technical assistance, and/or advisory support.
PoD Description: This package focuses on leveraging IFI-financed public large-scale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v>
      </c>
      <c r="D12" s="11" t="str">
        <v xml:space="preserve"> Other Output</v>
      </c>
      <c r="E12" s="11" t="str">
        <v>Country: Malawi, The Democratic Republic of the Congo, Tanzania, United Republic, Zambia</v>
      </c>
      <c r="F12" s="11">
        <v>495000000</v>
      </c>
      <c r="G12" s="11">
        <v>150000</v>
      </c>
      <c r="I12" s="11" t="str">
        <v>Sustained IFI and government commitment to embedding CGIAR innovations in large-scale agricultural investments; ongoing collaboration through the Scaling Clearinghouse ensures alignment across Centers; and demand for evidence-based design assistance remai</v>
      </c>
    </row>
    <row r="13" ht="50" customHeight="1" xml:space="preserve">
      <c r="A13" s="11" t="str">
        <v>AOW04</v>
      </c>
      <c r="C13" s="11" t="str" xml:space="preserve">
        <v xml:space="preserve">A4P5.4: PoD name: Integrating CGIAR innovations in public large-scale investments. Lead Center: IITA. PoD KPI: 1,320,000 –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Other output. Unit: Number of individuals applying CGIAR-linked innovations.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v>
      </c>
      <c r="D13" s="11" t="str">
        <v xml:space="preserve"> Other Output</v>
      </c>
      <c r="E13" s="11" t="str">
        <v>Country: Malawi, The Democratic Republic of the Congo, Tanzania, United Republic, Zambia</v>
      </c>
      <c r="F13" s="11">
        <v>1320000</v>
      </c>
      <c r="G13" s="11">
        <v>125000</v>
      </c>
      <c r="I13" s="11" t="str">
        <v>Continuous demand from IFIs for CGIAR design assistance; sustained political and financial commitment by partner governments; and operational alignment between Clearinghouse and national delivery mechanisms ensures effective embedding of CGIAR innovations</v>
      </c>
    </row>
    <row r="14" ht="50" customHeight="1" xml:space="preserve">
      <c r="A14" s="11" t="str">
        <v>AOW04</v>
      </c>
      <c r="C14" s="11" t="str" xml:space="preserve">
        <v xml:space="preserve">A4P5.5: PoD name: Integrating CGIAR innovations in public large-scale investments. Lead Center: IITA. PoD KPI: 440 million – Cumulative value of IFI-financed agricultural investment projects influenced by CGIAR technical assistance, integrating innovations that enhance productivity, climate resilience, and inclusivity in national programs. Suggested Disaggregation: None provided for this KPI, as the focus is on financial leverage. Indicator type: Other Output. Unit: USD.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v>
      </c>
      <c r="D14" s="11" t="str">
        <v xml:space="preserve"> Other Output</v>
      </c>
      <c r="E14" s="11" t="str">
        <v>Country: Nigeria</v>
      </c>
      <c r="F14" s="11">
        <v>440000000</v>
      </c>
      <c r="G14" s="11">
        <v>100000</v>
      </c>
      <c r="I14" s="11" t="str">
        <v>Continued demand from IFIs and national ministries for CGIAR technical assistance; alignment of project design timelines with CGIAR engagement windows; sustained policy and financial commitment by partner governments and IFIs to integrate proven innovatio</v>
      </c>
    </row>
    <row r="15" ht="50" customHeight="1" xml:space="preserve">
      <c r="A15" s="11" t="str">
        <v>AOW04</v>
      </c>
      <c r="C15" s="11" t="str" xml:space="preserve">
        <v xml:space="preserve">A4P5.6: PoD name: Integrating CGIAR innovations in public large-scale investments Lead Center: IITA, PoD KPI: 800,000 –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Other output Unit: Number individuals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D15" s="11" t="str">
        <v xml:space="preserve"> Other Output</v>
      </c>
      <c r="E15" s="11" t="str">
        <v>Country: Nigeria</v>
      </c>
      <c r="F15" s="11">
        <v>800000</v>
      </c>
      <c r="G15" s="11">
        <v>83333</v>
      </c>
      <c r="I15" s="11" t="str">
        <v>Sustained government and IFI interest in embedding CGIAR technologies; continuous engagement of IITA through the Scaling Clearinghouse; and strong coordination between project design teams, national ministries, and CGIAR Centers to deliver AoW 4 results.</v>
      </c>
    </row>
    <row r="16" ht="50" customHeight="1" xml:space="preserve">
      <c r="A16" s="11" t="str">
        <v>AOW04</v>
      </c>
      <c r="C16" s="11" t="str" xml:space="preserve">
        <v xml:space="preserve">CRITICAL CAPABILITY: A4IITA-CC-1-PoD name: Marketing Game-Changing CGIAR Innovations Through Global E-Catalogs. Lead Center: IITA. PoD KPI: 75 – Seventy five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integrated.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v>
      </c>
      <c r="D16" s="11" t="str">
        <v>Number of innovations (innovation development)</v>
      </c>
      <c r="E16" s="11" t="str">
        <v>Country: Angola, Zambia, Malawi, Ghana</v>
      </c>
      <c r="F16" s="11">
        <v>75</v>
      </c>
      <c r="G16" s="11">
        <v>100000</v>
      </c>
      <c r="I16" s="11" t="str">
        <v xml:space="preserve"> Assumptions are that Asian Clearinghouse recruitment proceeds on schedule, extra profilers can be trained and contracted when required, and all collaborating centers maintain timely submission of ready-to-scale innovations and metadata. System partners a</v>
      </c>
    </row>
    <row r="17" ht="50" customHeight="1" xml:space="preserve">
      <c r="A17" s="11" t="str">
        <v>AOW04</v>
      </c>
      <c r="C17" s="11" t="str" xml:space="preserve">
        <v xml:space="preserve">CRITICAL CAPABILITY: A4IITA-CC-2-PoD name: Strengthening National Seed Systems for Deploying CGIAR Ready-to-Scale Innovations. Lead Center: IITA. PoD KPI: 251,100 individuals cumulatively applying CGIAR-linked innovations through national seed-system investments catalyzed by Seed Summits and seed roadmaps in Zambia, Ghana, Malawi, and Angola by the end of 2026. Suggested Disaggregation:  women and youth (40%), marginalized groups (10%), other individuals (50%). Indicator type: Other Output. Unit: Number of individuals.
PoD Description: This package works with national governments and seed-sector stakeholders to organize high-level Seed Investment Summits that generate national seed roadmaps and investment plans for priority value chains in Zambia, Ghana, Malawi, and Angola.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v>
      </c>
      <c r="D17" s="11" t="str">
        <v>Number of individuals</v>
      </c>
      <c r="E17" s="11" t="str">
        <v>Country: Zambia, Ghana, Angola, Malawi</v>
      </c>
      <c r="F17" s="11">
        <v>251100</v>
      </c>
      <c r="G17" s="11">
        <v>155478</v>
      </c>
      <c r="I17" s="11" t="str">
        <v>Assumptions are that national authorities remain engaged, that technical and financial partners sustain their commitments, and that investment programs maintain stable financing and alignment to support seed-system strengthening and farmer adoption.</v>
      </c>
    </row>
    <row r="18" ht="25" customHeight="1">
      <c r="B18" s="15" t="str">
        <v>HLO budget subtotal</v>
      </c>
      <c r="H18" s="15">
        <f>SUM(H8:H17)</f>
      </c>
    </row>
    <row r="19" ht="50" customHeight="1" xml:space="preserve">
      <c r="A19" s="13" t="str">
        <v>AOW05</v>
      </c>
      <c r="B19" s="11" t="str">
        <v xml:space="preserve">HLO 5.5.1: Enhancing scaling science for societal impact </v>
      </c>
      <c r="C19" s="11" t="str" xml:space="preserve">
        <v xml:space="preserve">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19" s="11" t="str">
        <v>Number of people trained (capacity sharing for development)</v>
      </c>
      <c r="E19" s="11" t="str">
        <v>Global</v>
      </c>
      <c r="F19" s="11">
        <v>5</v>
      </c>
      <c r="G19" s="11">
        <v>15000</v>
      </c>
      <c r="H19" s="11">
        <f>SUM(G19:G19)</f>
      </c>
      <c r="I19" s="11" t="str">
        <v>Sustained engagement from NARES and universities; continued W1/2 funding for exchange facilitation; and effective coordination through AoW 5 CoA 5.5 to ensure institutional learning and uptake.</v>
      </c>
    </row>
    <row r="20" ht="25" customHeight="1">
      <c r="B20" s="15" t="str">
        <v>HLO budget subtotal</v>
      </c>
      <c r="H20" s="15">
        <f>SUM(H19:H19)</f>
      </c>
    </row>
  </sheetData>
  <mergeCells count="15">
    <mergeCell ref="A1:A2"/>
    <mergeCell ref="B1:B2"/>
    <mergeCell ref="C1:G1"/>
    <mergeCell ref="H1:H2"/>
    <mergeCell ref="I1:I2"/>
    <mergeCell ref="B5:G5"/>
    <mergeCell ref="A3:A5"/>
    <mergeCell ref="B7:G7"/>
    <mergeCell ref="A6:A7"/>
    <mergeCell ref="B8:B17"/>
    <mergeCell ref="H8:H17"/>
    <mergeCell ref="B18:G18"/>
    <mergeCell ref="A8:A18"/>
    <mergeCell ref="B20:G20"/>
    <mergeCell ref="A19:A20"/>
  </mergeCells>
  <ignoredErrors>
    <ignoredError numberStoredAsText="1" sqref="A1:I2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T-PJ-003763-IITA Accelerated Innovation Delivery Initiative</v>
      </c>
      <c r="B2" s="19" t="str">
        <v>AOW02</v>
      </c>
      <c r="C2" s="18" t="str">
        <v>HLO 2.2.2: Inclusive and efficient innovation delivery systems that support biodiverse, sustainable production, generate new jobs, and expand access for women, youth, and small and medium enterprises.</v>
      </c>
      <c r="D2" s="19">
        <v>0</v>
      </c>
      <c r="E2" s="19" t="str">
        <f>=SUM(D2:D2)</f>
        <v>0</v>
      </c>
    </row>
    <row r="3" ht="30" customHeight="1">
      <c r="A3" s="18" t="str">
        <v>T-PJ-003942-IITA Accelerated Innovation Delivery Initiative (AID-I) for Mozambique</v>
      </c>
      <c r="B3" s="19" t="str">
        <v>AOW02</v>
      </c>
      <c r="C3" s="18" t="str">
        <v>HLO 2.2.2: Inclusive and efficient innovation delivery systems that support biodiverse, sustainable production, generate new jobs, and expand access for women, youth, and small and medium enterprises.</v>
      </c>
      <c r="D3" s="19">
        <v>243649</v>
      </c>
      <c r="E3" s="19" t="str">
        <f>=SUM(D3:D3)</f>
        <v>0</v>
      </c>
      <c r="F3" s="19" t="str">
        <v>T-PJ-003942-IITA Accelerated Innovation Delivery Initiative (AID-I) for Mozambique: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18" t="str">
        <v>T-PJ-003801-Cassava Value Chain Development to Support Food Security and the Bread Industry in DRC</v>
      </c>
      <c r="B4" s="19" t="str">
        <v>AOW02</v>
      </c>
      <c r="C4" s="18" t="str">
        <v>HLO 2.2.3: Nutrition-smart crop and livestock systems and inclusive food markets, with increased jobs, improved livelihoods, and enhanced access for women and youth to diverse, safe, and affordable diets.</v>
      </c>
      <c r="D4" s="19">
        <v>769623</v>
      </c>
      <c r="E4" s="19" t="str">
        <f>=SUM(D4:D4)</f>
        <v>0</v>
      </c>
      <c r="F4" s="19" t="str">
        <v>T-PJ-003801-Cassava Value Chain Development to Support Food Security and the Bread Industry in DRC: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5" ht="30" customHeight="1">
      <c r="A5" s="18" t="str">
        <v>T-PJ-003517: Chicken, Fish and Pigs Feed and Organic Fertilizer Value Chain Development Using BSF-Based Urban Biowaste Processing in Ghana, Mali, Niger and the Democratic Republic of Congo</v>
      </c>
      <c r="B5" s="19" t="str">
        <v>AOW02</v>
      </c>
      <c r="C5" s="18" t="str">
        <v>HLO 2.2.3: Nutrition-smart crop and livestock systems and inclusive food markets, with increased jobs, improved livelihoods, and enhanced access for women and youth to diverse, safe, and affordable diets.</v>
      </c>
      <c r="D5" s="19">
        <v>695710</v>
      </c>
      <c r="E5" s="19" t="str">
        <f>=SUM(D5:D5)</f>
        <v>0</v>
      </c>
      <c r="F5" s="19" t="str">
        <v>T-PJ-003517: Chicken, Fish and Pigs Feed and Organic Fertilizer Value Chain Development Using BSF-Based Urban Biowaste Processing in Ghana, Mali, Niger and the Democratic Republic of Congo: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6" ht="30" customHeight="1">
      <c r="A6" s="18" t="str">
        <v>T-PJ-003772-TAAT Clearinghouse: Re-invest to Accelerate Innovation Adoption</v>
      </c>
      <c r="B6" s="19" t="str">
        <v>AOW04</v>
      </c>
      <c r="C6" s="18" t="str">
        <v>HLO 4.4.1: CGIAR Expertise and Solutions Embedded in Development Investments and Partnerships</v>
      </c>
      <c r="D6" s="19">
        <v>0</v>
      </c>
      <c r="E6" s="19" t="str">
        <f>=SUM(D6:D6)</f>
        <v>0</v>
      </c>
    </row>
    <row r="7" ht="30" customHeight="1">
      <c r="A7" s="3" t="str">
        <v>W3/Bilateral projects subtotal</v>
      </c>
      <c r="E7" s="3">
        <f>SUM(E2:E6)</f>
      </c>
    </row>
  </sheetData>
  <mergeCells count="1">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60000</v>
      </c>
      <c r="C2" s="20">
        <v>0</v>
      </c>
      <c r="D2" s="20">
        <v>0</v>
      </c>
      <c r="E2" s="20">
        <v>0</v>
      </c>
      <c r="F2" s="20">
        <v>0</v>
      </c>
      <c r="G2" s="20">
        <v>0</v>
      </c>
      <c r="H2" s="20" t="str">
        <f>=SUM(B2:G2)</f>
        <v>0</v>
      </c>
    </row>
    <row r="3" ht="20" customHeight="1">
      <c r="A3" s="20" t="str">
        <v>Operations (supplies, consultants, travels, workshops, other)</v>
      </c>
      <c r="B3" s="20">
        <v>0</v>
      </c>
      <c r="C3" s="20">
        <v>75585</v>
      </c>
      <c r="D3" s="20">
        <v>0</v>
      </c>
      <c r="E3" s="20">
        <v>19365</v>
      </c>
      <c r="F3" s="20">
        <v>315000</v>
      </c>
      <c r="G3" s="20">
        <v>0</v>
      </c>
      <c r="H3" s="20" t="str">
        <f>=SUM(B3:G3)</f>
        <v>0</v>
      </c>
    </row>
    <row r="4" ht="20" customHeight="1">
      <c r="A4" s="20" t="str">
        <v>Staffing, Chargebacks and Indirect</v>
      </c>
      <c r="B4" s="20">
        <v>0</v>
      </c>
      <c r="C4" s="20">
        <v>130000</v>
      </c>
      <c r="D4" s="20">
        <v>0</v>
      </c>
      <c r="E4" s="20">
        <v>40635</v>
      </c>
      <c r="F4" s="20">
        <v>1040478</v>
      </c>
      <c r="G4" s="20">
        <v>15000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