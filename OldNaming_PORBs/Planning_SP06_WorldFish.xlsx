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Prioritization and Coordination of Climate Action </v>
      </c>
      <c r="B5" s="2">
        <v>1</v>
      </c>
      <c r="C5" s="5">
        <v>49767</v>
      </c>
      <c r="D5" s="2">
        <v>6</v>
      </c>
      <c r="E5" s="5">
        <v>20000</v>
      </c>
      <c r="F5" s="2">
        <v>0</v>
      </c>
      <c r="G5" s="5">
        <v>0</v>
      </c>
      <c r="H5" s="2">
        <v>0</v>
      </c>
      <c r="I5" s="5">
        <v>0</v>
      </c>
      <c r="J5" s="5">
        <v>0</v>
      </c>
      <c r="K5" s="5">
        <v>0</v>
      </c>
      <c r="L5" s="5">
        <v>69767</v>
      </c>
      <c r="M5" s="5">
        <v>824739</v>
      </c>
    </row>
    <row r="6" ht="20" customHeight="1">
      <c r="A6" s="2" t="str">
        <v xml:space="preserve">AOW02: Digital Advisories and Climate Risk Management  </v>
      </c>
      <c r="B6" s="2">
        <v>4</v>
      </c>
      <c r="C6" s="5">
        <v>140000</v>
      </c>
      <c r="D6" s="2">
        <v>3</v>
      </c>
      <c r="E6" s="5">
        <v>95000</v>
      </c>
      <c r="F6" s="2">
        <v>0</v>
      </c>
      <c r="G6" s="5">
        <v>0</v>
      </c>
      <c r="H6" s="2">
        <v>0</v>
      </c>
      <c r="I6" s="5">
        <v>0</v>
      </c>
      <c r="J6" s="5">
        <v>15000</v>
      </c>
      <c r="K6" s="5">
        <v>0</v>
      </c>
      <c r="L6" s="5">
        <v>250000</v>
      </c>
      <c r="M6" s="5">
        <v>0</v>
      </c>
    </row>
    <row r="7" ht="20" customHeight="1">
      <c r="A7" s="2" t="str">
        <v xml:space="preserve">AOW03: Locally-led Adaptation  </v>
      </c>
      <c r="B7" s="2">
        <v>8</v>
      </c>
      <c r="C7" s="5">
        <v>95000</v>
      </c>
      <c r="D7" s="2">
        <v>14</v>
      </c>
      <c r="E7" s="5">
        <v>220000</v>
      </c>
      <c r="F7" s="2">
        <v>0</v>
      </c>
      <c r="G7" s="5">
        <v>0</v>
      </c>
      <c r="H7" s="2">
        <v>0</v>
      </c>
      <c r="I7" s="5">
        <v>0</v>
      </c>
      <c r="J7" s="5">
        <v>35000</v>
      </c>
      <c r="K7" s="5">
        <v>0</v>
      </c>
      <c r="L7" s="5">
        <v>350000</v>
      </c>
      <c r="M7" s="5">
        <v>1397371</v>
      </c>
    </row>
    <row r="8" ht="20" customHeight="1">
      <c r="A8" s="2" t="str">
        <v xml:space="preserve">AOW04: Low-emission Transitions  </v>
      </c>
      <c r="B8" s="2">
        <v>2</v>
      </c>
      <c r="C8" s="5">
        <v>40000</v>
      </c>
      <c r="D8" s="2">
        <v>2</v>
      </c>
      <c r="E8" s="5">
        <v>35000</v>
      </c>
      <c r="F8" s="2">
        <v>0</v>
      </c>
      <c r="G8" s="5">
        <v>0</v>
      </c>
      <c r="H8" s="2">
        <v>0</v>
      </c>
      <c r="I8" s="5">
        <v>0</v>
      </c>
      <c r="J8" s="5">
        <v>25000</v>
      </c>
      <c r="K8" s="5">
        <v>0</v>
      </c>
      <c r="L8" s="5">
        <v>100000</v>
      </c>
      <c r="M8" s="5">
        <v>0</v>
      </c>
    </row>
    <row r="9" ht="20" customHeight="1">
      <c r="A9" s="2" t="str">
        <v xml:space="preserve">AOW05: Finance and Policy for Scaling Solutions </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xml:space="preserve">
        <v xml:space="preserve">Innovation Fund
</v>
      </c>
      <c r="C2" s="11" t="str" xml:space="preserve">
        <v xml:space="preserve">Costs for Climate Action Innovation Fund
</v>
      </c>
      <c r="D2" s="11">
        <v>0</v>
      </c>
    </row>
    <row r="3" ht="45" customHeight="1">
      <c r="A3" s="11" t="str">
        <v>AOW00</v>
      </c>
      <c r="B3" s="11" t="str">
        <v>Portfolio-level Financing Support</v>
      </c>
      <c r="C3" s="11" t="str">
        <v>Funding for Portfolio-level Finance support</v>
      </c>
      <c r="D3" s="11">
        <v>0</v>
      </c>
    </row>
    <row r="4" ht="45" customHeight="1" xml:space="preserve">
      <c r="A4" s="11" t="str">
        <v>AOW00</v>
      </c>
      <c r="B4" s="11" t="str" xml:space="preserve">
        <v xml:space="preserve">Program Director and Associated Costs 
</v>
      </c>
      <c r="C4" s="11" t="str" xml:space="preserve">
        <v xml:space="preserve">Global HR, Travel, Meetings, workshops, consultants, and other Miscellaneous Costs for the Program Director
</v>
      </c>
      <c r="D4" s="11">
        <v>0</v>
      </c>
    </row>
    <row r="5" ht="45" customHeight="1" xml:space="preserve">
      <c r="A5" s="11" t="str">
        <v>AOW00</v>
      </c>
      <c r="B5" s="11" t="str" xml:space="preserve">
        <v xml:space="preserve">AoW Leadership and PMU Costs
</v>
      </c>
      <c r="C5" s="11" t="str" xml:space="preserve">
        <v xml:space="preserve">Global HR, Travel, Meetings, workshops, and other Miscellaneous Costs for the AoW Leads and PMU staff
</v>
      </c>
      <c r="D5" s="11">
        <v>0</v>
      </c>
    </row>
    <row r="6" ht="45" customHeight="1" xml:space="preserve">
      <c r="A6" s="11" t="str">
        <v>AOW00</v>
      </c>
      <c r="B6" s="11" t="str" xml:space="preserve">
        <v xml:space="preserve">Consolidating CGIAR's climate offer
</v>
      </c>
      <c r="C6" s="11" t="str">
        <v>Funding for Climate Hub packages of deliverables to be allocated to relevant Centers on defining the evidence-base for CGIAR's climate activities. These funds will be allocated to AoW1 in Q1 2026.</v>
      </c>
      <c r="D6" s="11">
        <v>0</v>
      </c>
    </row>
    <row r="7" ht="45" customHeight="1" xml:space="preserve">
      <c r="A7" s="11" t="str">
        <v>AOW00</v>
      </c>
      <c r="B7" s="11" t="str" xml:space="preserve">
        <v xml:space="preserve">Program Director Discretionary Fund 
</v>
      </c>
      <c r="C7" s="11" t="str" xml:space="preserve">
        <v xml:space="preserve">Funds accessible to the Director for emerging opportunities, gaps, and other strategic interventions.
</v>
      </c>
      <c r="D7" s="11">
        <v>0</v>
      </c>
    </row>
    <row r="8" ht="45" customHeight="1" xml:space="preserve">
      <c r="A8" s="11" t="str">
        <v>AOW00</v>
      </c>
      <c r="B8" s="11" t="str" xml:space="preserve">
        <v xml:space="preserve">Gender Focal Point and targeted research
</v>
      </c>
      <c r="C8" s="11" t="str" xml:space="preserve">
        <v xml:space="preserve">Costs for Gender Focal Point and targeted Gender research activities.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1.1.3 &amp; 1.3.2 Harmonized data, simulations, insights and decision support tools</v>
      </c>
      <c r="C3" s="11" t="str">
        <v>Number of datasets/simulations/insights/decision support tools developed and shared</v>
      </c>
      <c r="D3" s="11" t="str">
        <v>Number of innovations (innovation development)</v>
      </c>
      <c r="E3" s="11" t="str">
        <v>Global</v>
      </c>
      <c r="F3" s="11">
        <v>1</v>
      </c>
      <c r="G3" s="11">
        <v>49767</v>
      </c>
      <c r="H3" s="11">
        <f>SUM(G3:G4)</f>
      </c>
      <c r="I3" s="11" t="str">
        <v>CA42_WorldFish	Hub Governance &amp; Strategic Roadmap – Define the CGIAR Climate Data Hub’s institutional governance structure, partnership model, and multi-year roadmap linking Centers and Programs.</v>
      </c>
    </row>
    <row r="4" ht="50" customHeight="1">
      <c r="A4" s="11" t="str">
        <v>AOW01</v>
      </c>
      <c r="C4" s="11" t="str">
        <v>Number of datasets included/compiled in a common/shared platform</v>
      </c>
      <c r="D4" s="11" t="str">
        <v>Number of knowledge products</v>
      </c>
      <c r="E4" s="11" t="str">
        <v>Global</v>
      </c>
      <c r="F4" s="11">
        <v>6</v>
      </c>
      <c r="G4" s="11">
        <v>20000</v>
      </c>
      <c r="I4" s="11" t="str">
        <v>CA42_WorldFish	Aquatic Climate Data Integration – Coordinate inclusion of aquatic/fisheries datasets</v>
      </c>
    </row>
    <row r="5" ht="25" customHeight="1">
      <c r="B5" s="14" t="str">
        <v>HLO budget subtotal</v>
      </c>
      <c r="H5" s="15">
        <f>SUM(H3:H4)</f>
      </c>
    </row>
    <row r="6" ht="50" customHeight="1" xml:space="preserve">
      <c r="A6" s="13" t="str">
        <v>AOW02</v>
      </c>
      <c r="B6" s="11" t="str">
        <v>2.1.1 &amp; 2.2.1 Climate information products and services</v>
      </c>
      <c r="C6" s="11" t="str">
        <v>Number of recommendations/modules/synthesis products</v>
      </c>
      <c r="D6" s="11" t="str">
        <v>Number of knowledge products</v>
      </c>
      <c r="E6" s="11" t="str">
        <v>Country: The Socialist Republic of Viet Nam, Kenya, Mali, Colombia, India, Zambia, Philippines, Nigeria, Bangladesh, Ethiopia</v>
      </c>
      <c r="F6" s="11">
        <v>3</v>
      </c>
      <c r="G6" s="11">
        <v>95000</v>
      </c>
      <c r="H6" s="11">
        <f>SUM(G6:G7)</f>
      </c>
      <c r="I6" s="11" t="str" xml:space="preserve">
        <v xml:space="preserve">WF-CA-02-D3: Training modules tailored to small-scale fish-farmers in local languages and policy dialogues with government and private sector for integration of aquaculture climate services into national fisheries plans and other relevant sectoral policies
WF-CA-02-D4: A comprehensive report comprising a weather index–based insurance scan for aquaculture climate services, and an assessment of opportunities to integrate digital climate services with water accounting, forecasting, and productivity analytics across the aquaculture value chain.</v>
      </c>
    </row>
    <row r="7" ht="50" customHeight="1" xml:space="preserve">
      <c r="A7" s="11" t="str">
        <v>AOW02</v>
      </c>
      <c r="C7" s="11" t="str">
        <v>Number of human-centered climate information products/services improved, co-designed, or co-developed</v>
      </c>
      <c r="D7" s="11" t="str">
        <v>Number of innovations (innovation development)</v>
      </c>
      <c r="E7" s="11" t="str">
        <v>Country: Senegal, Mali, Ethiopia, India, Bangladesh, Nigeria, Zambia, Philippines, Kenya, The Socialist Republic of Viet Nam</v>
      </c>
      <c r="F7" s="11">
        <v>4</v>
      </c>
      <c r="G7" s="11">
        <v>140000</v>
      </c>
      <c r="I7" s="11" t="str" xml:space="preserve">
        <v xml:space="preserve">WF-CA-02-D1: IoT enabled water quality monitoring system for fish-species specific climate information and advisory services together with fish-farmers' database
WF-CA-02-D2: Aquaculture climate services dashboard interface for real time data driven information and advisories along with an AI integration plane </v>
      </c>
    </row>
    <row r="8" ht="25" customHeight="1">
      <c r="B8" s="15" t="str">
        <v>HLO budget subtotal</v>
      </c>
      <c r="H8" s="15">
        <f>SUM(H6:H7)</f>
      </c>
    </row>
    <row r="9" ht="50" customHeight="1" xml:space="preserve">
      <c r="A9" s="13" t="str">
        <v>AOW03</v>
      </c>
      <c r="B9" s="11" t="str">
        <v>3.1.1. Institutional innovations and technical practices</v>
      </c>
      <c r="C9" s="11" t="str">
        <v>Number of guidelines on scaling and implementing locally led adaptation solutions</v>
      </c>
      <c r="D9" s="11" t="str">
        <v>Number of knowledge products</v>
      </c>
      <c r="E9" s="11" t="str">
        <v>Country: Ethiopia</v>
      </c>
      <c r="F9" s="11">
        <v>2</v>
      </c>
      <c r="G9" s="11">
        <v>50000</v>
      </c>
      <c r="H9" s="11">
        <f>SUM(G9:G10)</f>
      </c>
      <c r="I9" s="11" t="str" xml:space="preserve">
        <v xml:space="preserve">CA119_WorldFish	Compendium of examples of LLCA principles being translated into practice by partners including locsl government authoriries
	Handbook on methodologies and tools that strengthen understanding of, support to, and accountability for adaptation processes that generate LLCA in smallholder communities. </v>
      </c>
    </row>
    <row r="10" ht="50" customHeight="1">
      <c r="A10" s="11" t="str">
        <v>AOW03</v>
      </c>
      <c r="C10" s="11" t="str">
        <v>Number of institutional innovations/technical practices co-created</v>
      </c>
      <c r="D10" s="11" t="str">
        <v>Number of innovations (innovation development)</v>
      </c>
      <c r="E10" s="11" t="str">
        <v>Country: Tanzania, United Republic, Brazil, Niger, Mali, Ethiopia, Nigeria, India, Kenya, Bangladesh</v>
      </c>
      <c r="F10" s="11">
        <v>8</v>
      </c>
      <c r="G10" s="11">
        <v>95000</v>
      </c>
      <c r="I10" s="11" t="str">
        <v>CA127_WorldFish	4. Support the locally led implementation of selected co-developed climate adaptation actions within aquatic production systems in 2 coastal communities in Bangladesh and 2 inland fishing communities in Tanzania, using joint learning processes, capacity strengthening, and policy engagement, with explicit attention for the needs of marginalized groups</v>
      </c>
    </row>
    <row r="11" ht="50" customHeight="1" xml:space="preserve">
      <c r="A11" s="11" t="str">
        <v>AOW03</v>
      </c>
      <c r="B11" s="11" t="str">
        <v>3.1.4 &amp; 3.2.3 Recommendations on policies  and institutions for addressing the root causes of inequality</v>
      </c>
      <c r="C11" s="11" t="str">
        <v>Number of recommendations/solutions co-developed with local stakeholders</v>
      </c>
      <c r="D11" s="11" t="str">
        <v>Number of knowledge products</v>
      </c>
      <c r="E11" s="11" t="str">
        <v>Country: Nigeria, Bangladesh, Tanzania, United Republic, Kenya</v>
      </c>
      <c r="F11" s="11">
        <v>12</v>
      </c>
      <c r="G11" s="11">
        <v>170000</v>
      </c>
      <c r="H11" s="11">
        <f>SUM(G11:G11)</f>
      </c>
      <c r="I11" s="11" t="str" xml:space="preserve">
        <v xml:space="preserve">CA127_WorldFish	2. Using best practices within CGIAR, operationalize and implement co-design methods leading to actionable climate adaptation in aquatic food systems in 2 coastal communities in Bangladesh and 2 inland fishing communities in Tanzania. 
	3. Using best practices within CGIAR, and based on the co-design process, formulate community-specific climate change adaptation plans for 2 coastal communities in Bangladesh and 2 inland fishing communities in Tanzania. </v>
      </c>
    </row>
    <row r="12" ht="25" customHeight="1">
      <c r="B12" s="15" t="str">
        <v>HLO budget subtotal</v>
      </c>
      <c r="H12" s="15">
        <f>SUM(H9:H11)</f>
      </c>
    </row>
    <row r="13" ht="50" customHeight="1">
      <c r="A13" s="13" t="str">
        <v>AOW04</v>
      </c>
      <c r="B13" s="11" t="str">
        <v>4.1.1 &amp; 4.2.1 Evidence and partnerships to inform low-emission development</v>
      </c>
      <c r="C13" s="11" t="str">
        <v>Number of low-emission strategies across production systems co-developed with partners</v>
      </c>
      <c r="D13" s="11" t="str">
        <v>Number of innovations (innovation development)</v>
      </c>
      <c r="E13" s="11" t="str">
        <v>Country: Ghana, Philippines, Tanzania, United Republic, Egypt, India, Colombia</v>
      </c>
      <c r="F13" s="11">
        <v>2</v>
      </c>
      <c r="G13" s="11">
        <v>40000</v>
      </c>
      <c r="H13" s="11">
        <f>SUM(G13:G14)</f>
      </c>
      <c r="I13" s="11" t="str">
        <v>CA128_WorldFish: Quantify the effects of mangrove restoration in shrimp ponds on ecosystem services, blue carbon potential, and aquaculture productivity.</v>
      </c>
    </row>
    <row r="14" ht="50" customHeight="1">
      <c r="A14" s="11" t="str">
        <v>AOW04</v>
      </c>
      <c r="C14" s="11" t="str">
        <v>Number of guidelines/evidence/synthesis reports for scaling and implementing low emission strategies</v>
      </c>
      <c r="D14" s="11" t="str">
        <v>Number of knowledge products</v>
      </c>
      <c r="E14" s="11" t="str">
        <v>Country: Egypt, Colombia, Ghana, Tanzania, United Republic, India</v>
      </c>
      <c r="F14" s="11">
        <v>2</v>
      </c>
      <c r="G14" s="11">
        <v>35000</v>
      </c>
      <c r="I14" s="11" t="str">
        <v xml:space="preserve">CA128_WorldFish: Develop community-adapted farm management guidelines for IMA systems, combining local ecological knowledge with scientific monitoring to enhance biodiversity and resilience. </v>
      </c>
    </row>
    <row r="15" ht="25" customHeight="1">
      <c r="B15" s="15" t="str">
        <v>HLO budget subtotal</v>
      </c>
      <c r="H15" s="15">
        <f>SUM(H13:H14)</f>
      </c>
    </row>
  </sheetData>
  <mergeCells count="21">
    <mergeCell ref="A1:A2"/>
    <mergeCell ref="B1:B2"/>
    <mergeCell ref="C1:G1"/>
    <mergeCell ref="H1:H2"/>
    <mergeCell ref="I1:I2"/>
    <mergeCell ref="B3:B4"/>
    <mergeCell ref="H3:H4"/>
    <mergeCell ref="B5:G5"/>
    <mergeCell ref="A3:A5"/>
    <mergeCell ref="B6:B7"/>
    <mergeCell ref="H6:H7"/>
    <mergeCell ref="B8:G8"/>
    <mergeCell ref="A6:A8"/>
    <mergeCell ref="B9:B10"/>
    <mergeCell ref="H9:H10"/>
    <mergeCell ref="B12:G12"/>
    <mergeCell ref="A9:A12"/>
    <mergeCell ref="B13:B14"/>
    <mergeCell ref="H13:H14"/>
    <mergeCell ref="B15:G15"/>
    <mergeCell ref="A13:A15"/>
  </mergeCells>
  <ignoredErrors>
    <ignoredError numberStoredAsText="1" sqref="A1:I15"/>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AOW02</v>
      </c>
      <c r="B2" s="11" t="str">
        <v>Green Delta Insurance Company Limited</v>
      </c>
      <c r="C2" s="11" t="str">
        <v>2.1.1 &amp; 2.2.1 Climate information products and services</v>
      </c>
      <c r="D2" s="11" t="str">
        <v>Bangladesh</v>
      </c>
      <c r="E2" s="11">
        <v>5000</v>
      </c>
      <c r="F2" s="11" t="str">
        <v>None</v>
      </c>
    </row>
    <row r="3" ht="70" customHeight="1">
      <c r="A3" s="11" t="str">
        <v>AOW02</v>
      </c>
      <c r="B3" s="11" t="str">
        <v>Crea2Sol Pvt Ltd</v>
      </c>
      <c r="C3" s="11" t="str">
        <v>2.1.1 &amp; 2.2.1 Climate information products and services</v>
      </c>
      <c r="D3" s="11" t="str">
        <v>Zambia</v>
      </c>
      <c r="E3" s="11">
        <v>10000</v>
      </c>
      <c r="F3" s="11" t="str">
        <v>None</v>
      </c>
    </row>
    <row r="4" ht="25" customHeight="1">
      <c r="B4" s="14" t="str">
        <v>Contracted partners subtotal</v>
      </c>
      <c r="E4" s="14">
        <f>SUM(E2:E3)</f>
      </c>
    </row>
    <row r="5" ht="70" customHeight="1">
      <c r="A5" s="12" t="str">
        <v>AOW03</v>
      </c>
      <c r="B5" s="11" t="str">
        <v>Environmental Management and Economic Development Organization</v>
      </c>
      <c r="C5" s="11" t="str">
        <v>3.1.4 &amp; 3.2.3 Recommendations on policies  and institutions for addressing the root causes of inequality</v>
      </c>
      <c r="D5" s="11" t="str">
        <v>Tanzania, United Republic</v>
      </c>
      <c r="E5" s="11">
        <v>35000</v>
      </c>
      <c r="F5" s="11" t="str">
        <v>None</v>
      </c>
    </row>
    <row r="6" ht="25" customHeight="1">
      <c r="B6" s="14" t="str">
        <v>Contracted partners subtotal</v>
      </c>
      <c r="E6" s="14">
        <f>SUM(E5:E5)</f>
      </c>
    </row>
    <row r="7" ht="70" customHeight="1">
      <c r="A7" s="12" t="str">
        <v>AOW04</v>
      </c>
      <c r="B7" s="11" t="str">
        <v>Center for International Forestry Research (CIFOR) and World Agroforestry (ICRAF)</v>
      </c>
      <c r="C7" s="11" t="str">
        <v>4.1.1 &amp; 4.2.1 Evidence and partnerships to inform low-emission development</v>
      </c>
      <c r="D7" s="11" t="str">
        <v>India</v>
      </c>
      <c r="E7" s="11">
        <v>25000</v>
      </c>
      <c r="F7" s="11" t="str">
        <v>None</v>
      </c>
    </row>
    <row r="8" ht="25" customHeight="1">
      <c r="B8" s="14" t="str">
        <v>Contracted partners subtotal</v>
      </c>
      <c r="E8" s="14">
        <f>SUM(E7:E7)</f>
      </c>
    </row>
  </sheetData>
  <mergeCells count="6">
    <mergeCell ref="B4:D4"/>
    <mergeCell ref="A2:A4"/>
    <mergeCell ref="B6:D6"/>
    <mergeCell ref="A5:A6"/>
    <mergeCell ref="B8:D8"/>
    <mergeCell ref="A7: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F-PP-2022-1020-Climate-Resilient Aquaculture Systems for Afr (AG10618)</v>
      </c>
      <c r="B2" s="19" t="str">
        <v>AOW00</v>
      </c>
      <c r="C2" s="18" t="str">
        <v>New finance for just climate action and transitions</v>
      </c>
      <c r="D2" s="19">
        <v>0</v>
      </c>
      <c r="E2" s="19" t="str">
        <f>=SUM(D2:D3)</f>
        <v>0</v>
      </c>
    </row>
    <row r="3" ht="30" customHeight="1">
      <c r="A3" s="18" t="str">
        <v>F-PP-2022-1020-Climate-Resilient Aquaculture Systems for Afr (AG10618)</v>
      </c>
      <c r="B3" s="19" t="str">
        <v>AOW03</v>
      </c>
      <c r="C3" s="18" t="str">
        <v>3.1.1. Institutional innovations and technical practices</v>
      </c>
      <c r="D3" s="19">
        <v>1397371</v>
      </c>
      <c r="F3" s="19" t="str">
        <v>None</v>
      </c>
    </row>
    <row r="4" ht="30" customHeight="1">
      <c r="A4" s="18" t="str">
        <v>F-AG10607-ASIA-AFRICA BLUETECH SUPERHIGHWAY PROJECT (COAST)</v>
      </c>
      <c r="B4" s="19" t="str">
        <v>AOW00</v>
      </c>
      <c r="C4" s="18" t="str">
        <v>New finance for just climate action and transitions</v>
      </c>
      <c r="D4" s="19">
        <v>0</v>
      </c>
      <c r="E4" s="19" t="str">
        <f>=SUM(D4:D5)</f>
        <v>0</v>
      </c>
    </row>
    <row r="5" ht="30" customHeight="1">
      <c r="A5" s="18" t="str">
        <v>F-AG10607-ASIA-AFRICA BLUETECH SUPERHIGHWAY PROJECT (COAST)</v>
      </c>
      <c r="B5" s="19" t="str">
        <v>AOW01</v>
      </c>
      <c r="C5" s="18" t="str">
        <v>1.1.1. &amp; 1.2.1 &amp; 1.3.1 Global and regional partnerships</v>
      </c>
      <c r="D5" s="19">
        <v>824739</v>
      </c>
      <c r="F5" s="19" t="str">
        <v>None</v>
      </c>
    </row>
    <row r="6" ht="30" customHeight="1">
      <c r="A6" s="3" t="str">
        <v>W3/Bilateral projects subtotal</v>
      </c>
      <c r="E6" s="3">
        <f>SUM(E2:E5)</f>
      </c>
    </row>
  </sheetData>
  <mergeCells count="5">
    <mergeCell ref="A2:A3"/>
    <mergeCell ref="A4:A5"/>
    <mergeCell ref="E2:E3"/>
    <mergeCell ref="E4:E5"/>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15000</v>
      </c>
      <c r="E2" s="20">
        <v>35000</v>
      </c>
      <c r="F2" s="20">
        <v>25000</v>
      </c>
      <c r="G2" s="20">
        <v>0</v>
      </c>
      <c r="H2" s="20" t="str">
        <f>=SUM(B2:G2)</f>
        <v>0</v>
      </c>
    </row>
    <row r="3" ht="20" customHeight="1">
      <c r="A3" s="20" t="str">
        <v>Operations (supplies, consultants, travels, workshops, other)</v>
      </c>
      <c r="B3" s="20">
        <v>0</v>
      </c>
      <c r="C3" s="20">
        <v>10069</v>
      </c>
      <c r="D3" s="20">
        <v>67184</v>
      </c>
      <c r="E3" s="20">
        <v>105957</v>
      </c>
      <c r="F3" s="20">
        <v>19509</v>
      </c>
      <c r="G3" s="20">
        <v>0</v>
      </c>
      <c r="H3" s="20" t="str">
        <f>=SUM(B3:G3)</f>
        <v>0</v>
      </c>
    </row>
    <row r="4" ht="20" customHeight="1">
      <c r="A4" s="20" t="str">
        <v>Staffing, Chargebacks and Indirect</v>
      </c>
      <c r="B4" s="20">
        <v>20200</v>
      </c>
      <c r="C4" s="20">
        <v>59698</v>
      </c>
      <c r="D4" s="20">
        <v>167816</v>
      </c>
      <c r="E4" s="20">
        <v>209043</v>
      </c>
      <c r="F4" s="20">
        <v>55491</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