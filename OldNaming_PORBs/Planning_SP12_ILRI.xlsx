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7">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2">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1" fontId="0" fillId="0" borderId="14" xfId="0" applyBorder="1" applyNumberFormat="1" applyAlignment="1">
      <alignment horizontal="center" vertical="center"/>
    </xf>
    <xf numFmtId="0" fontId="15" fillId="15" borderId="0" xfId="0" applyFont="1" applyFill="1" applyAlignment="1">
      <alignment horizontal="center" vertical="center"/>
    </xf>
    <xf numFmtId="1" fontId="16" fillId="16" borderId="15" xfId="0" applyFont="1" applyFill="1" applyBorder="1" applyNumberFormat="1" applyAlignment="1">
      <alignment horizontal="center" vertical="center"/>
    </xf>
    <xf numFmtId="1" fontId="17" fillId="17" borderId="16"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26666</v>
      </c>
      <c r="M4" s="5">
        <v>0</v>
      </c>
    </row>
    <row r="5" ht="20" customHeight="1">
      <c r="A5" s="2" t="str">
        <v>AOW01: Data Ecosystem</v>
      </c>
      <c r="B5" s="2">
        <v>5</v>
      </c>
      <c r="C5" s="5">
        <v>50000</v>
      </c>
      <c r="D5" s="2">
        <v>0</v>
      </c>
      <c r="E5" s="5">
        <v>0</v>
      </c>
      <c r="F5" s="2">
        <v>30</v>
      </c>
      <c r="G5" s="5">
        <v>10000</v>
      </c>
      <c r="H5" s="2">
        <v>0</v>
      </c>
      <c r="I5" s="5">
        <v>0</v>
      </c>
      <c r="J5" s="5">
        <v>0</v>
      </c>
      <c r="K5" s="5">
        <v>0</v>
      </c>
      <c r="L5" s="5">
        <v>60000</v>
      </c>
      <c r="M5" s="5">
        <v>0</v>
      </c>
    </row>
    <row r="6" ht="20" customHeight="1">
      <c r="A6" s="2" t="str">
        <v>AOW02: Action Lab</v>
      </c>
      <c r="B6" s="2">
        <v>6</v>
      </c>
      <c r="C6" s="5">
        <v>160000</v>
      </c>
      <c r="D6" s="2">
        <v>6</v>
      </c>
      <c r="E6" s="5">
        <v>165000</v>
      </c>
      <c r="F6" s="2">
        <v>100</v>
      </c>
      <c r="G6" s="5">
        <v>51764</v>
      </c>
      <c r="H6" s="2">
        <v>10</v>
      </c>
      <c r="I6" s="5">
        <v>25000</v>
      </c>
      <c r="J6" s="5">
        <v>0</v>
      </c>
      <c r="K6" s="5">
        <v>0</v>
      </c>
      <c r="L6" s="5">
        <v>401764</v>
      </c>
      <c r="M6" s="5">
        <v>0</v>
      </c>
    </row>
    <row r="7" ht="20" customHeight="1">
      <c r="A7" s="2" t="str">
        <v>AOW03: Digital Futures</v>
      </c>
      <c r="B7" s="2">
        <v>1</v>
      </c>
      <c r="C7" s="5">
        <v>70000</v>
      </c>
      <c r="D7" s="2">
        <v>1</v>
      </c>
      <c r="E7" s="5">
        <v>10000</v>
      </c>
      <c r="F7" s="2">
        <v>0</v>
      </c>
      <c r="G7" s="5">
        <v>0</v>
      </c>
      <c r="H7" s="2">
        <v>0</v>
      </c>
      <c r="I7" s="5">
        <v>0</v>
      </c>
      <c r="J7" s="5">
        <v>0</v>
      </c>
      <c r="K7" s="5">
        <v>0</v>
      </c>
      <c r="L7" s="5">
        <v>80000</v>
      </c>
      <c r="M7" s="5">
        <v>0</v>
      </c>
    </row>
    <row r="8" ht="20" customHeight="1">
      <c r="A8" s="2" t="str">
        <v>AOW04: Enabling Environment</v>
      </c>
      <c r="B8" s="2">
        <v>3</v>
      </c>
      <c r="C8" s="5">
        <v>55986</v>
      </c>
      <c r="D8" s="2">
        <v>5</v>
      </c>
      <c r="E8" s="5">
        <v>77000</v>
      </c>
      <c r="F8" s="2">
        <v>0</v>
      </c>
      <c r="G8" s="5">
        <v>0</v>
      </c>
      <c r="H8" s="2">
        <v>2</v>
      </c>
      <c r="I8" s="5">
        <v>20000</v>
      </c>
      <c r="J8" s="5">
        <v>0</v>
      </c>
      <c r="K8" s="5">
        <v>0</v>
      </c>
      <c r="L8" s="5">
        <v>152986</v>
      </c>
      <c r="M8" s="5">
        <v>0</v>
      </c>
    </row>
    <row r="9" ht="25" customHeight="1">
      <c r="A9" s="6" t="str">
        <v>Total</v>
      </c>
      <c r="B9" s="7">
        <f>SUM(B4:B8)</f>
      </c>
      <c r="C9" s="7">
        <f>SUM(C4:C8)</f>
      </c>
      <c r="D9" s="7">
        <f>SUM(D4:D8)</f>
      </c>
      <c r="E9" s="7">
        <f>SUM(E4:E8)</f>
      </c>
      <c r="F9" s="7">
        <f>SUM(F4:F8)</f>
      </c>
      <c r="G9" s="7">
        <f>SUM(G4:G8)</f>
      </c>
      <c r="H9" s="7">
        <f>SUM(H4:H8)</f>
      </c>
      <c r="I9" s="7">
        <f>SUM(I4:I8)</f>
      </c>
      <c r="J9" s="7">
        <f>SUM(J4:J8)</f>
      </c>
      <c r="K9" s="7">
        <f>SUM(K4:K8)</f>
      </c>
      <c r="L9" s="7">
        <f>SUM(L4:L8)</f>
      </c>
      <c r="M9" s="7">
        <f>SUM(M4:M8)</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9"/>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Product manager</v>
      </c>
      <c r="C2" s="11" t="str">
        <v xml:space="preserve">The budget will be used towards expenses of a Product manager, who will be based in Abu Dhabi. </v>
      </c>
      <c r="D2" s="11">
        <v>0</v>
      </c>
    </row>
    <row r="3" ht="45" customHeight="1">
      <c r="A3" s="11" t="str">
        <v>AOW00</v>
      </c>
      <c r="B3" s="11" t="str">
        <v>PMU cost- Program Coordinator</v>
      </c>
      <c r="C3" s="11" t="str">
        <v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v>
      </c>
      <c r="D3" s="11">
        <v>0</v>
      </c>
    </row>
    <row r="4" ht="45" customHeight="1">
      <c r="A4" s="11" t="str">
        <v>AOW00</v>
      </c>
      <c r="B4" s="11" t="str">
        <v>SO Finance support</v>
      </c>
      <c r="C4" s="11" t="str">
        <v xml:space="preserve">Funds for Finance support as requested by PCU. </v>
      </c>
      <c r="D4" s="11">
        <v>0</v>
      </c>
    </row>
    <row r="5" ht="45" customHeight="1">
      <c r="A5" s="11" t="str">
        <v>AOW00</v>
      </c>
      <c r="B5" s="11" t="str">
        <v>Director and associated cost</v>
      </c>
      <c r="C5" s="11" t="str">
        <v xml:space="preserve">This budget includes coverage for Director, and associated cost on travel, workshops, and other admin expenses. supporting Director's office. </v>
      </c>
      <c r="D5" s="11">
        <v>0</v>
      </c>
    </row>
    <row r="6" ht="45" customHeight="1">
      <c r="A6" s="11" t="str">
        <v>AOW00</v>
      </c>
      <c r="B6" s="11" t="str">
        <v>AOW Lead cost</v>
      </c>
      <c r="C6" s="11" t="str">
        <v>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v>
      </c>
      <c r="D6" s="11">
        <v>26666</v>
      </c>
      <c r="E6" s="11" t="str">
        <v>Funds to Ram Dhulipala as AoW4 Lead until June 2026.</v>
      </c>
    </row>
    <row r="7" ht="45" customHeight="1">
      <c r="A7" s="11" t="str">
        <v>AOW00</v>
      </c>
      <c r="B7" s="11" t="str">
        <v>PMU cost- Melia focal point</v>
      </c>
      <c r="C7" s="11" t="str">
        <v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v>
      </c>
      <c r="D7" s="11">
        <v>0</v>
      </c>
    </row>
    <row r="8" ht="45" customHeight="1">
      <c r="A8" s="11" t="str">
        <v>AOW00</v>
      </c>
      <c r="B8" s="11" t="str">
        <v>W2 designated funds</v>
      </c>
      <c r="C8" s="11" t="str">
        <v xml:space="preserve">W2 designated funds that will be supported towards establishing AI Hub in Abu Dhabi. </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30"/>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 xml:space="preserve">HLO 1.1.2 Standards-compliant FAIR science data collection tools </v>
      </c>
      <c r="C3" s="11" t="str">
        <v>ILRI 1: Number of digital tools developed to collect FAIR-compliant data with standardized metadata and interoperability.</v>
      </c>
      <c r="D3" s="11" t="str">
        <v>Number of innovations (innovation development)</v>
      </c>
      <c r="E3" s="11" t="str">
        <v>Country: Kenya</v>
      </c>
      <c r="F3" s="11">
        <v>5</v>
      </c>
      <c r="G3" s="11">
        <v>50000</v>
      </c>
      <c r="H3" s="11">
        <f>SUM(G3:G3)</f>
      </c>
      <c r="I3" s="11" t="str">
        <v xml:space="preserve">Successful innovation development will depend on establishing the essential partnerships and collaborations required for creating and scaling the digital platforms. Assumes $10k allocation to as yet unidentified partner. </v>
      </c>
    </row>
    <row r="4" ht="50" customHeight="1">
      <c r="A4" s="11" t="str">
        <v>AOW01</v>
      </c>
      <c r="B4" s="11" t="str">
        <v>HLO 1.1.6 &amp; 1.2.6 Training on inclusive and ethical FAIR data, AI, and digital solution practices</v>
      </c>
      <c r="C4" s="11" t="str">
        <v>ILRI 2: Number of individuals trained on ethical and inclusive practices for FAIR data and AI in scientific domains.</v>
      </c>
      <c r="D4" s="11" t="str">
        <v>Number of people trained (capacity sharing for development)</v>
      </c>
      <c r="E4" s="11" t="str">
        <v>Country: Ethiopia, India, Thailand, The Socialist Republic of Viet Nam, Kenya</v>
      </c>
      <c r="F4" s="11">
        <v>30</v>
      </c>
      <c r="G4" s="11">
        <v>10000</v>
      </c>
      <c r="H4" s="11">
        <f>SUM(G4:G4)</f>
      </c>
      <c r="I4" s="11" t="str">
        <v>Contingent upon centers willingness to share datasets and publish them with shared ownership.</v>
      </c>
    </row>
    <row r="5" ht="25" customHeight="1">
      <c r="B5" s="14" t="str">
        <v>HLO budget subtotal</v>
      </c>
      <c r="H5" s="15">
        <f>SUM(H3:H4)</f>
      </c>
    </row>
    <row r="6" ht="50" customHeight="1">
      <c r="A6" s="13" t="str">
        <v>AOW02</v>
      </c>
      <c r="B6" s="11" t="str">
        <v>HLO 2.1.2 Decision support systems integrate a digital twin approach to enable real-time data use.</v>
      </c>
      <c r="C6" s="11" t="str">
        <v>ILRI 15: Number of satellite-based analysis reports  completed on Prosopis juliflora encroachment in Afar’s pastoral landscapes, highlighting the extent of invasion and its impact on livestock access and mobility.</v>
      </c>
      <c r="D6" s="11" t="str">
        <v>Number of knowledge products</v>
      </c>
      <c r="E6" s="11" t="str">
        <v>Country: Kenya</v>
      </c>
      <c r="F6" s="11">
        <v>1</v>
      </c>
      <c r="G6" s="11">
        <v>30000</v>
      </c>
      <c r="H6" s="11">
        <f>SUM(G6:G11)</f>
      </c>
      <c r="I6" s="11" t="str">
        <v>Contingent upon conduct of experiment, data analysis being done on time and results becoming clearer</v>
      </c>
    </row>
    <row r="7" ht="50" customHeight="1">
      <c r="A7" s="11" t="str">
        <v>AOW02</v>
      </c>
      <c r="C7" s="11" t="str">
        <v>ILRI 14: Number of  research briefs produced that summarizes findings from the drone-based biomass survey in Kapiti, presenting key observations, spatial patterns, and implications for rangeland management.</v>
      </c>
      <c r="D7" s="11" t="str">
        <v>Number of knowledge products</v>
      </c>
      <c r="E7" s="11" t="str">
        <v>Country: Kenya</v>
      </c>
      <c r="F7" s="11">
        <v>1</v>
      </c>
      <c r="G7" s="11">
        <v>35000</v>
      </c>
      <c r="I7" s="11" t="str">
        <v>Contingent upon conduct of experiment, data analysis being done on time and results becoming clearer</v>
      </c>
    </row>
    <row r="8" ht="50" customHeight="1">
      <c r="A8" s="11" t="str">
        <v>AOW02</v>
      </c>
      <c r="C8" s="11" t="str">
        <v>ILRI 13: Number of  research briefs produced that summarizing key insights from the thermal drone assessment</v>
      </c>
      <c r="D8" s="11" t="str">
        <v>Number of knowledge products</v>
      </c>
      <c r="E8" s="11" t="str">
        <v>Country: Kenya</v>
      </c>
      <c r="F8" s="11">
        <v>1</v>
      </c>
      <c r="G8" s="11">
        <v>35000</v>
      </c>
      <c r="I8" s="11" t="str">
        <v>Contingent upon conduct of experiment, data analysis being done on time and results becoming clearer</v>
      </c>
    </row>
    <row r="9" ht="50" customHeight="1">
      <c r="A9" s="11" t="str">
        <v>AOW02</v>
      </c>
      <c r="C9" s="11" t="str">
        <v>ILRI 10: Number of Digital platforms tested that connects with sensors to track animal health, movement and heat stress</v>
      </c>
      <c r="D9" s="11" t="str">
        <v>Number of innovations (innovation development)</v>
      </c>
      <c r="E9" s="11" t="str">
        <v>Country: India, Kenya</v>
      </c>
      <c r="F9" s="11">
        <v>1</v>
      </c>
      <c r="G9" s="11">
        <v>50000</v>
      </c>
      <c r="I9" s="11" t="str">
        <v xml:space="preserve">Completion is contingent upon ability to procure sensors, setting up infra (internet, connectivity etc), availability of animals on research plot at Kapiti as well as statutory approvals for animal testing. $20,000 will be allocated to partners such as CSIR CSIO, SRUC, BoDit. Details will be confirmed later. </v>
      </c>
    </row>
    <row r="10" ht="50" customHeight="1">
      <c r="A10" s="11" t="str">
        <v>AOW02</v>
      </c>
      <c r="C10" s="11" t="str">
        <v>ILRI 12: Number of Conference papesr/working papers capturing the innovation development produced.</v>
      </c>
      <c r="D10" s="11" t="str">
        <v>Number of knowledge products</v>
      </c>
      <c r="E10" s="11" t="str">
        <v>Country: Kenya</v>
      </c>
      <c r="F10" s="11">
        <v>1</v>
      </c>
      <c r="G10" s="11">
        <v>20000</v>
      </c>
      <c r="I10" s="11" t="str">
        <v xml:space="preserve">Contingent upon conduct of experiment, data analysis being done on time and results becoming clearer. $7,500 will be allocated to partners such as CSIR CSIO, SRUC, BoDit. Details will be confirmed later. </v>
      </c>
    </row>
    <row r="11" ht="50" customHeight="1">
      <c r="A11" s="11" t="str">
        <v>AOW02</v>
      </c>
      <c r="C11" s="11" t="str">
        <v xml:space="preserve">ILRI 11: Number of Web platforms developed that display ILRI's Kapiti digital twin (data hub and visualization) </v>
      </c>
      <c r="D11" s="11" t="str">
        <v>Number of innovations (innovation development)</v>
      </c>
      <c r="E11" s="11" t="str">
        <v>Country: Kenya</v>
      </c>
      <c r="F11" s="11">
        <v>1</v>
      </c>
      <c r="G11" s="11">
        <v>30000</v>
      </c>
      <c r="I11" s="11" t="str">
        <v>Completion is contingent upon ability to procure sensors, setting up infra (internet, connectivity etc), availability of animals on research plot at Kapiti as well as statutory approvals for animal testing</v>
      </c>
    </row>
    <row r="12" ht="50" customHeight="1">
      <c r="A12" s="11" t="str">
        <v>AOW02</v>
      </c>
      <c r="B12" s="11" t="str">
        <v>HLO 2.1.5 Advisory products use AI language models to improve relevance and user engagement.</v>
      </c>
      <c r="C12" s="11" t="str">
        <v>ILRI 9: Number of Conference papers/working papers capturing the innovation development produced.</v>
      </c>
      <c r="D12" s="11" t="str">
        <v>Number of knowledge products</v>
      </c>
      <c r="E12" s="11" t="str">
        <v>Country: Kenya, India</v>
      </c>
      <c r="F12" s="11">
        <v>1</v>
      </c>
      <c r="G12" s="11">
        <v>10000</v>
      </c>
      <c r="H12" s="11">
        <f>SUM(G12:G15)</f>
      </c>
      <c r="I12" s="11" t="str">
        <v xml:space="preserve">Completion is contingent upon the deliverable demonstrating results to a point where it can be published. </v>
      </c>
    </row>
    <row r="13" ht="50" customHeight="1">
      <c r="A13" s="11" t="str">
        <v>AOW02</v>
      </c>
      <c r="C13" s="11" t="str">
        <v>ILRI 8: Number of operational platforms into which innovations have been integrated</v>
      </c>
      <c r="D13" s="11" t="str">
        <v>Number of innovations (innovation development)</v>
      </c>
      <c r="E13" s="11" t="str">
        <v>Country: Kenya, India</v>
      </c>
      <c r="F13" s="11">
        <v>1</v>
      </c>
      <c r="G13" s="11">
        <v>20000</v>
      </c>
      <c r="I13" s="11" t="str">
        <v xml:space="preserve">Successful completion depends on approval from IMD's AAS division for integrating this model into their platform. </v>
      </c>
    </row>
    <row r="14" ht="50" customHeight="1">
      <c r="A14" s="11" t="str">
        <v>AOW02</v>
      </c>
      <c r="C14" s="11" t="str">
        <v>ILRI 7: Number of RAG pipelines, vector databases, ML models developed for GenAI powered agro-met advisories</v>
      </c>
      <c r="D14" s="11" t="str">
        <v>Number of innovations (innovation development)</v>
      </c>
      <c r="E14" s="11" t="str">
        <v>Country: India, Kenya</v>
      </c>
      <c r="F14" s="11">
        <v>2</v>
      </c>
      <c r="G14" s="11">
        <v>25000</v>
      </c>
      <c r="I14" s="11" t="str">
        <v>Successful completion is based on data quality being of acceptable standards and it being largely machine readable and not requiring transcription from physical to digital forms.</v>
      </c>
    </row>
    <row r="15" ht="50" customHeight="1">
      <c r="A15" s="11" t="str">
        <v>AOW02</v>
      </c>
      <c r="C15" s="11" t="str">
        <v>ILRI 6: Number of curated datasets and knowledge products collated for preparing AI powered language models.</v>
      </c>
      <c r="D15" s="11" t="str">
        <v xml:space="preserve"> Number of datasets</v>
      </c>
      <c r="E15" s="11" t="str">
        <v>Country: India, Kenya</v>
      </c>
      <c r="F15" s="11">
        <v>10</v>
      </c>
      <c r="G15" s="11">
        <v>25000</v>
      </c>
      <c r="I15" s="11" t="str">
        <v xml:space="preserve">Successful completion assumes data is accessible in public domain without needing long approval process. $7,500 will be allocated to as yet unidentified partner. </v>
      </c>
    </row>
    <row r="16" ht="50" customHeight="1">
      <c r="A16" s="11" t="str">
        <v>AOW02</v>
      </c>
      <c r="B16" s="11" t="str">
        <v>HLO 2.2.7 Digital innovations use human-centered design and citizen science to enhance gender responsiveness and social inclusiveness.</v>
      </c>
      <c r="C16" s="11" t="str">
        <v>ILRI 5: Number of evidence brief reports produced summarizing invasive species implications.</v>
      </c>
      <c r="D16" s="11" t="str">
        <v>Number of knowledge products</v>
      </c>
      <c r="E16" s="11" t="str">
        <v>Country: Kenya</v>
      </c>
      <c r="F16" s="11">
        <v>1</v>
      </c>
      <c r="G16" s="11">
        <v>35000</v>
      </c>
      <c r="H16" s="11">
        <f>SUM(G16:G18)</f>
      </c>
      <c r="I16" s="11" t="str">
        <v xml:space="preserve">Contingent upon conduct of experiment, data analysis being done on time and results becoming clearer. </v>
      </c>
    </row>
    <row r="17" ht="50" customHeight="1">
      <c r="A17" s="11" t="str">
        <v>AOW02</v>
      </c>
      <c r="C17" s="11" t="str">
        <v xml:space="preserve">ILRI 4: Number of digital platforms for invasive species monitoring using citizen science </v>
      </c>
      <c r="D17" s="11" t="str">
        <v>Number of innovations (innovation development)</v>
      </c>
      <c r="E17" s="11" t="str">
        <v>Country: Kenya</v>
      </c>
      <c r="F17" s="11">
        <v>1</v>
      </c>
      <c r="G17" s="11">
        <v>35000</v>
      </c>
      <c r="I17" s="11" t="str">
        <v xml:space="preserve">Contingent upon conduct of experiment, data analysis being done on time and results becoming clearer. </v>
      </c>
    </row>
    <row r="18" ht="50" customHeight="1">
      <c r="A18" s="11" t="str">
        <v>AOW02</v>
      </c>
      <c r="C18" s="11" t="str">
        <v>ILRI 3: Number of people trained on Kaznet to collect data for livestock specific forecasting and policy interfaces in dryland countries</v>
      </c>
      <c r="D18" s="11" t="str">
        <v>Number of people trained (capacity sharing for development)</v>
      </c>
      <c r="E18" s="11" t="str">
        <v>Country: Kenya</v>
      </c>
      <c r="F18" s="11">
        <v>100</v>
      </c>
      <c r="G18" s="11">
        <v>51764</v>
      </c>
      <c r="I18" s="11" t="str">
        <v xml:space="preserve">We expect that the existing platforms such as the KAOP will remain functional and that partners will be open to sharing forecast data and advisories. Assumes $10k allocation to as yet unidentified partner. </v>
      </c>
    </row>
    <row r="19" ht="25" customHeight="1">
      <c r="B19" s="15" t="str">
        <v>HLO budget subtotal</v>
      </c>
      <c r="H19" s="15">
        <f>SUM(H6:H18)</f>
      </c>
    </row>
    <row r="20" ht="50" customHeight="1">
      <c r="A20" s="13" t="str">
        <v>AOW03</v>
      </c>
      <c r="B20" s="11" t="str">
        <v>HLO 3.1.1:  Probes of a wide range of AI and/or other novel digital solutions  to support system-level scenario analysis of digital frontier technology impacts for decision-makers.</v>
      </c>
      <c r="C20" s="11" t="str">
        <v>ILRI 17: Number of Technical reports/working papers capturing the innovation development produced</v>
      </c>
      <c r="D20" s="11" t="str">
        <v>Number of knowledge products</v>
      </c>
      <c r="E20" s="11" t="str">
        <v>Country: Senegal, Kenya</v>
      </c>
      <c r="F20" s="11">
        <v>1</v>
      </c>
      <c r="G20" s="11">
        <v>10000</v>
      </c>
      <c r="H20" s="11">
        <f>SUM(G20:G21)</f>
      </c>
      <c r="I20" s="11" t="str">
        <v xml:space="preserve">Successful completion is contingent upon MOU signing with CSE as well as co-operation from CSE and their timely support and input. </v>
      </c>
    </row>
    <row r="21" ht="50" customHeight="1">
      <c r="A21" s="11" t="str">
        <v>AOW03</v>
      </c>
      <c r="C21" s="11" t="str">
        <v xml:space="preserve">ILRI 16: Number of platforms (CSE's ephemeral water body and rangeland monitoring service platforms)  augmented with crowdsourced data/digital herd data for Pastoral, Hydrological and Geographical Intelligence for Transhumant African Livestock (PHYGITAL). </v>
      </c>
      <c r="D21" s="11" t="str">
        <v>Number of innovations (innovation development)</v>
      </c>
      <c r="E21" s="11" t="str">
        <v>Country: Senegal</v>
      </c>
      <c r="F21" s="11">
        <v>1</v>
      </c>
      <c r="G21" s="11">
        <v>70000</v>
      </c>
      <c r="I21" s="11" t="str">
        <v xml:space="preserve">Successful completion is contingent upon MOU signing with CSE as well as co-operation from CSE and their timely support and input. $10k will be allocated to partners upon finalization of workplan. </v>
      </c>
    </row>
    <row r="22" ht="25" customHeight="1">
      <c r="B22" s="15" t="str">
        <v>HLO budget subtotal</v>
      </c>
      <c r="H22" s="15">
        <f>SUM(H20:H21)</f>
      </c>
    </row>
    <row r="23" ht="50" customHeight="1">
      <c r="A23" s="13" t="str">
        <v>AOW04</v>
      </c>
      <c r="B23" s="11" t="str">
        <v>HLO 4.1.1 Frameworks, methods, and guidelines to catalyze adoption of responsible and inclusive digital and data innovations across FLW systems</v>
      </c>
      <c r="C23" s="11" t="str">
        <v>ILRI 24: Number of conference papers/technical reports/policy briefs on AgDX and DPI produced.</v>
      </c>
      <c r="D23" s="11" t="str">
        <v>Number of knowledge products</v>
      </c>
      <c r="E23" s="11" t="str">
        <v>Country: Kenya, India</v>
      </c>
      <c r="F23" s="11">
        <v>2</v>
      </c>
      <c r="G23" s="11">
        <v>12000</v>
      </c>
      <c r="H23" s="11">
        <f>SUM(G23:G29)</f>
      </c>
      <c r="I23" s="11" t="str">
        <v xml:space="preserve">Successful completion is contingent upon planned activities taking place so that data is available to create a conference paper. </v>
      </c>
    </row>
    <row r="24" ht="50" customHeight="1">
      <c r="A24" s="11" t="str">
        <v>AOW04</v>
      </c>
      <c r="C24" s="11" t="str">
        <v>ILRI 23: Number of DTA COE web platforms created for knowledge management.</v>
      </c>
      <c r="D24" s="11" t="str">
        <v>Number of innovations (innovation development)</v>
      </c>
      <c r="E24" s="11" t="str">
        <v>Country: Kenya</v>
      </c>
      <c r="F24" s="11">
        <v>1</v>
      </c>
      <c r="G24" s="11">
        <v>20000</v>
      </c>
      <c r="I24" s="11" t="str">
        <v xml:space="preserve">Successful completion is contingent upon being able to find the right technology partner and coordinating with other centers to create content. $5k will be allocated to as yet unidentified partners. </v>
      </c>
    </row>
    <row r="25" ht="50" customHeight="1">
      <c r="A25" s="11" t="str">
        <v>AOW04</v>
      </c>
      <c r="C25" s="11" t="str">
        <v>ILRI 22: Number of  AgX conference organized.</v>
      </c>
      <c r="D25" s="11" t="str">
        <v xml:space="preserve"> Number(s) of event</v>
      </c>
      <c r="E25" s="11" t="str">
        <v>Country: Thailand</v>
      </c>
      <c r="F25" s="11">
        <v>2</v>
      </c>
      <c r="G25" s="11">
        <v>20000</v>
      </c>
      <c r="I25" s="11" t="str">
        <v xml:space="preserve">Successful completion will be based on mobilizing partners and other donors to support the UnConference event. </v>
      </c>
    </row>
    <row r="26" ht="50" customHeight="1">
      <c r="A26" s="11" t="str">
        <v>AOW04</v>
      </c>
      <c r="C26" s="11" t="str">
        <v>ILRI 21: Number of AgDX frameworks  improved and tested in two locations</v>
      </c>
      <c r="D26" s="11" t="str">
        <v>Number of innovations (innovation development)</v>
      </c>
      <c r="E26" s="11" t="str">
        <v>Country: Kenya, India</v>
      </c>
      <c r="F26" s="11">
        <v>2</v>
      </c>
      <c r="G26" s="11">
        <v>35986</v>
      </c>
      <c r="I26" s="11" t="str">
        <v>Successful completion is based on availability and accessibility of data needed to test AgDX as well as support from partners in the selected geographies. $6k will be allocated to TAC as partner contract.</v>
      </c>
    </row>
    <row r="27" ht="50" customHeight="1">
      <c r="A27" s="11" t="str">
        <v>AOW04</v>
      </c>
      <c r="C27" s="11" t="str">
        <v>ILRI 20: Number of working papers on the pilot project study in India</v>
      </c>
      <c r="D27" s="11" t="str">
        <v>Number of knowledge products</v>
      </c>
      <c r="E27" s="11" t="str">
        <v>Country: India</v>
      </c>
      <c r="F27" s="11">
        <v>1</v>
      </c>
      <c r="G27" s="11">
        <v>35000</v>
      </c>
      <c r="I27" s="11" t="str">
        <v xml:space="preserve">The success of the pilot study will be dependent on the ability of the mentioned parties to collaborate and incorporate the innovations being implemented in Africa in the Indian context. $8k has been allocated to potential partners, which have not been fully identified yet. </v>
      </c>
    </row>
    <row r="28" ht="50" customHeight="1">
      <c r="A28" s="11" t="str">
        <v>AOW04</v>
      </c>
      <c r="C28" s="11" t="str">
        <v>ILRI 19: Number of working papers on DPI in Livestock</v>
      </c>
      <c r="D28" s="11" t="str">
        <v>Number of knowledge products</v>
      </c>
      <c r="E28" s="11" t="str">
        <v>Country: India</v>
      </c>
      <c r="F28" s="11">
        <v>1</v>
      </c>
      <c r="G28" s="11">
        <v>20000</v>
      </c>
      <c r="I28" s="11" t="str">
        <v>Getting the necessary stakeholders to have the necessary buy-in and formalize partnership with the Agri Collaboratory (TAC). $5k will be allocated to TAC as partner contract.</v>
      </c>
    </row>
    <row r="29" ht="50" customHeight="1">
      <c r="A29" s="11" t="str">
        <v>AOW04</v>
      </c>
      <c r="C29" s="11" t="str">
        <v>ILRI 18: Number of journal papers on the Digital Innovation Landscape in the Livestock Sector in India.</v>
      </c>
      <c r="D29" s="11" t="str">
        <v>Number of knowledge products</v>
      </c>
      <c r="E29" s="11" t="str">
        <v>Country: India</v>
      </c>
      <c r="F29" s="11">
        <v>1</v>
      </c>
      <c r="G29" s="11">
        <v>10000</v>
      </c>
      <c r="I29" s="11" t="str">
        <v xml:space="preserve">Successful completion is based on all necessary data available. </v>
      </c>
    </row>
    <row r="30" ht="25" customHeight="1">
      <c r="B30" s="15" t="str">
        <v>HLO budget subtotal</v>
      </c>
      <c r="H30" s="15">
        <f>SUM(H23:H29)</f>
      </c>
    </row>
  </sheetData>
  <mergeCells count="23">
    <mergeCell ref="A1:A2"/>
    <mergeCell ref="B1:B2"/>
    <mergeCell ref="C1:G1"/>
    <mergeCell ref="H1:H2"/>
    <mergeCell ref="I1:I2"/>
    <mergeCell ref="B5:G5"/>
    <mergeCell ref="A3:A5"/>
    <mergeCell ref="B6:B11"/>
    <mergeCell ref="H6:H11"/>
    <mergeCell ref="B12:B15"/>
    <mergeCell ref="H12:H15"/>
    <mergeCell ref="B16:B18"/>
    <mergeCell ref="H16:H18"/>
    <mergeCell ref="B19:G19"/>
    <mergeCell ref="A6:A19"/>
    <mergeCell ref="B20:B21"/>
    <mergeCell ref="H20:H21"/>
    <mergeCell ref="B22:G22"/>
    <mergeCell ref="A20:A22"/>
    <mergeCell ref="B23:B29"/>
    <mergeCell ref="H23:H29"/>
    <mergeCell ref="B30:G30"/>
    <mergeCell ref="A23:A30"/>
  </mergeCells>
  <ignoredErrors>
    <ignoredError numberStoredAsText="1" sqref="A1:I30"/>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18" t="str">
        <v>Collaborators non-CGIAR centers</v>
      </c>
      <c r="B2" s="18">
        <v>0</v>
      </c>
      <c r="C2" s="18">
        <v>10000</v>
      </c>
      <c r="D2" s="18">
        <v>45000</v>
      </c>
      <c r="E2" s="18">
        <v>10000</v>
      </c>
      <c r="F2" s="18">
        <v>23986</v>
      </c>
      <c r="G2" s="18" t="str">
        <f>=SUM(B2:F2)</f>
        <v>0</v>
      </c>
    </row>
    <row r="3" ht="20" customHeight="1">
      <c r="A3" s="18" t="str">
        <v>Operations (supplies, consultants, travels, workshops, other)</v>
      </c>
      <c r="B3" s="18">
        <v>0</v>
      </c>
      <c r="C3" s="18">
        <v>22500</v>
      </c>
      <c r="D3" s="18">
        <v>140264</v>
      </c>
      <c r="E3" s="18">
        <v>15000</v>
      </c>
      <c r="F3" s="18">
        <v>28000</v>
      </c>
      <c r="G3" s="18" t="str">
        <f>=SUM(B3:F3)</f>
        <v>0</v>
      </c>
    </row>
    <row r="4" ht="20" customHeight="1">
      <c r="A4" s="18" t="str">
        <v>Staffing, Chargebacks and Indirect</v>
      </c>
      <c r="B4" s="18">
        <v>26666</v>
      </c>
      <c r="C4" s="18">
        <v>27500</v>
      </c>
      <c r="D4" s="18">
        <v>216500</v>
      </c>
      <c r="E4" s="18">
        <v>55000</v>
      </c>
      <c r="F4" s="18">
        <v>101000</v>
      </c>
      <c r="G4" s="18" t="str">
        <f>=SUM(B4:F4)</f>
        <v>0</v>
      </c>
    </row>
    <row r="5" ht="20" customHeight="1">
      <c r="A5" s="19" t="str">
        <v>Subtotal</v>
      </c>
      <c r="B5" s="20" t="str">
        <f>=SUM(B2:B4)</f>
        <v>0</v>
      </c>
      <c r="C5" s="21" t="str">
        <f>=SUM(C2:C4)</f>
        <v>0</v>
      </c>
      <c r="D5" s="21" t="str">
        <f>=SUM(D2:D4)</f>
        <v>0</v>
      </c>
      <c r="E5" s="21" t="str">
        <f>=SUM(E2:E4)</f>
        <v>0</v>
      </c>
      <c r="F5" s="21" t="str">
        <f>=SUM(F2:F4)</f>
        <v>0</v>
      </c>
      <c r="G5" s="21" t="str">
        <f>=SUM(G2:G4)</f>
        <v>0</v>
      </c>
    </row>
  </sheetData>
  <ignoredErrors>
    <ignoredError numberStoredAsText="1" sqref="A1:G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