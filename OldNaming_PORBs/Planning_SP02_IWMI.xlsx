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Accelerating AI-Enabled Farm Advisory at Scale.</v>
      </c>
      <c r="B5" s="2">
        <v>0</v>
      </c>
      <c r="C5" s="5">
        <v>0</v>
      </c>
      <c r="D5" s="2">
        <v>0</v>
      </c>
      <c r="E5" s="5">
        <v>0</v>
      </c>
      <c r="F5" s="2">
        <v>0</v>
      </c>
      <c r="G5" s="5">
        <v>0</v>
      </c>
      <c r="H5" s="2">
        <v>0</v>
      </c>
      <c r="I5" s="5">
        <v>0</v>
      </c>
      <c r="J5" s="5">
        <v>0</v>
      </c>
      <c r="K5" s="5">
        <v>0</v>
      </c>
      <c r="L5" s="5">
        <v>0</v>
      </c>
      <c r="M5" s="5">
        <v>620467</v>
      </c>
    </row>
    <row r="6" ht="20" customHeight="1">
      <c r="A6" s="2" t="str">
        <v>AOW02: Enabling Preparedness and Rapid Response to Emerging Shocks</v>
      </c>
      <c r="B6" s="2">
        <v>2</v>
      </c>
      <c r="C6" s="5">
        <v>170310.45</v>
      </c>
      <c r="D6" s="2">
        <v>4</v>
      </c>
      <c r="E6" s="5">
        <v>79611.37999999999</v>
      </c>
      <c r="F6" s="2">
        <v>0</v>
      </c>
      <c r="G6" s="5">
        <v>0</v>
      </c>
      <c r="H6" s="2">
        <v>0</v>
      </c>
      <c r="I6" s="5">
        <v>0</v>
      </c>
      <c r="J6" s="5">
        <v>32000</v>
      </c>
      <c r="K6" s="5">
        <v>0</v>
      </c>
      <c r="L6" s="5">
        <v>281922</v>
      </c>
      <c r="M6" s="5">
        <v>686520</v>
      </c>
    </row>
    <row r="7" ht="20" customHeight="1">
      <c r="A7" s="2" t="str">
        <v>AOW03: Delivering Integrated Solutions to Systemic Farm-Level Binding Constraints</v>
      </c>
      <c r="B7" s="2">
        <v>2</v>
      </c>
      <c r="C7" s="5">
        <v>180478.04</v>
      </c>
      <c r="D7" s="2">
        <v>1</v>
      </c>
      <c r="E7" s="5">
        <v>42004.3</v>
      </c>
      <c r="F7" s="2">
        <v>0</v>
      </c>
      <c r="G7" s="5">
        <v>0</v>
      </c>
      <c r="H7" s="2">
        <v>0</v>
      </c>
      <c r="I7" s="5">
        <v>0</v>
      </c>
      <c r="J7" s="5">
        <v>0</v>
      </c>
      <c r="K7" s="5">
        <v>0</v>
      </c>
      <c r="L7" s="5">
        <v>222482</v>
      </c>
      <c r="M7" s="5">
        <v>686520</v>
      </c>
    </row>
    <row r="8" ht="20" customHeight="1">
      <c r="A8" s="2" t="str">
        <v>AOW04: Incubating Innovation in Sustainable Farming</v>
      </c>
      <c r="B8" s="2">
        <v>0</v>
      </c>
      <c r="C8" s="5">
        <v>0</v>
      </c>
      <c r="D8" s="2">
        <v>0</v>
      </c>
      <c r="E8" s="5">
        <v>0</v>
      </c>
      <c r="F8" s="2">
        <v>0</v>
      </c>
      <c r="G8" s="5">
        <v>0</v>
      </c>
      <c r="H8" s="2">
        <v>0</v>
      </c>
      <c r="I8" s="5">
        <v>0</v>
      </c>
      <c r="J8" s="5">
        <v>0</v>
      </c>
      <c r="K8" s="5">
        <v>0</v>
      </c>
      <c r="L8" s="5">
        <v>0</v>
      </c>
      <c r="M8" s="5">
        <v>0</v>
      </c>
    </row>
    <row r="9" ht="20" customHeight="1">
      <c r="A9" s="2" t="str">
        <v>AOW05: Accelerating Impact</v>
      </c>
      <c r="B9" s="2">
        <v>0</v>
      </c>
      <c r="C9" s="5">
        <v>0</v>
      </c>
      <c r="D9" s="2">
        <v>0</v>
      </c>
      <c r="E9" s="5">
        <v>0</v>
      </c>
      <c r="F9" s="2">
        <v>0</v>
      </c>
      <c r="G9" s="5">
        <v>0</v>
      </c>
      <c r="H9" s="2">
        <v>0</v>
      </c>
      <c r="I9" s="5">
        <v>0</v>
      </c>
      <c r="J9" s="5">
        <v>0</v>
      </c>
      <c r="K9" s="5">
        <v>103192</v>
      </c>
      <c r="L9" s="5">
        <v>103192</v>
      </c>
      <c r="M9" s="5">
        <v>1912814</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Program Director Discretionary Fund</v>
      </c>
      <c r="C2" s="11" t="str">
        <v>Funding allocation is accessible to the Program Director to address emerging opportunities and gaps, and strategic Program Level issues</v>
      </c>
      <c r="D2" s="11">
        <v>0</v>
      </c>
    </row>
    <row r="3" ht="45" customHeight="1">
      <c r="A3" s="11" t="str">
        <v>AOW00</v>
      </c>
      <c r="B3" s="11" t="str">
        <v xml:space="preserve">Program Level Communication </v>
      </c>
      <c r="C3" s="11" t="str">
        <v>Implementation of the 2026 Communication activities informed by the SFP Communications Strategy</v>
      </c>
      <c r="D3" s="11">
        <v>0</v>
      </c>
    </row>
    <row r="4" ht="45" customHeight="1">
      <c r="A4" s="11" t="str">
        <v>AOW00</v>
      </c>
      <c r="B4" s="11" t="str">
        <v xml:space="preserve">Other PMU Operations </v>
      </c>
      <c r="C4" s="11" t="str">
        <v>Travel, office supplies, and services, charge back, etc., for the PMU team</v>
      </c>
      <c r="D4" s="11">
        <v>0</v>
      </c>
    </row>
    <row r="5" ht="45" customHeight="1">
      <c r="A5" s="11" t="str">
        <v>AOW00</v>
      </c>
      <c r="B5" s="11" t="str">
        <v>Program Director and Associated Costs</v>
      </c>
      <c r="C5" s="11" t="str">
        <v>Program Director FTE, general administrative support, meetings and workshops, travel, smaller consultancies, and miscellaneous operating costs.</v>
      </c>
      <c r="D5" s="11">
        <v>0</v>
      </c>
    </row>
    <row r="6" ht="45" customHeight="1">
      <c r="A6" s="11" t="str">
        <v>AOW00</v>
      </c>
      <c r="B6" s="11" t="str">
        <v xml:space="preserve">PMU Team </v>
      </c>
      <c r="C6" s="11" t="str">
        <v>FTE for the Program Coordinator and MELIA Focal Point, and allowing for technical support for Communication, Finance, and Administration Functions.</v>
      </c>
      <c r="D6" s="11">
        <v>0</v>
      </c>
    </row>
    <row r="7" ht="45" customHeight="1">
      <c r="A7" s="11" t="str">
        <v>AOW00</v>
      </c>
      <c r="B7" s="11" t="str">
        <v xml:space="preserve">Area of Work (AoW) Leaders </v>
      </c>
      <c r="C7" s="11" t="str">
        <v xml:space="preserve">5 AoW Leads FTEs as guided by the SO </v>
      </c>
      <c r="D7" s="11">
        <v>0</v>
      </c>
    </row>
    <row r="8" ht="45" customHeight="1">
      <c r="A8" s="11" t="str">
        <v>AOW00</v>
      </c>
      <c r="B8" s="11" t="str">
        <v>Program Level MELIA Activities</v>
      </c>
      <c r="C8" s="11" t="str">
        <v>Implementation of the 2026 Program Level MELIA activities, informed by the overall Program MELIA Plan</v>
      </c>
      <c r="D8" s="11">
        <v>0</v>
      </c>
    </row>
    <row r="9" ht="45" customHeight="1">
      <c r="A9" s="11" t="str">
        <v>AOW00</v>
      </c>
      <c r="B9" s="11" t="str">
        <v>CGIAR Program Finance Support</v>
      </c>
      <c r="C9" s="11" t="str">
        <v>Shared Portfolio-Level Finance Support Services</v>
      </c>
      <c r="D9" s="11">
        <v>0</v>
      </c>
    </row>
    <row r="10" ht="45" customHeight="1">
      <c r="A10" s="11" t="str">
        <v>AOW00</v>
      </c>
      <c r="B10" s="11" t="str">
        <v>Program Leadership Meetings</v>
      </c>
      <c r="C10" s="11" t="str">
        <v>In-person planning, oversight, and progress review leadership meetings, including an annual pause and reflect forum.</v>
      </c>
      <c r="D10" s="11">
        <v>0</v>
      </c>
    </row>
  </sheetData>
  <mergeCells count="1">
    <mergeCell ref="A2:A10"/>
  </mergeCells>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I1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AOW02</v>
      </c>
      <c r="B3" s="11" t="str">
        <v xml:space="preserve">2.1: Enhanced resolution, accuracy and timeliness of early warning system </v>
      </c>
      <c r="C3" s="11" t="str">
        <v>Enhanced models, templates, frameworks, maps or data tools to detect climate related water risks for different cropping systems (maize, soybean, cocoa)</v>
      </c>
      <c r="D3" s="11" t="str">
        <v>Number of knowledge products</v>
      </c>
      <c r="E3" s="11" t="str">
        <v>Country: Kenya, Ghana</v>
      </c>
      <c r="F3" s="11">
        <v>1</v>
      </c>
      <c r="G3" s="11">
        <v>13991.05</v>
      </c>
      <c r="H3" s="11">
        <f>SUM(G3:G4)</f>
      </c>
      <c r="I3" s="11" t="str">
        <v>We assume that the model has been successfully developed to write up the knowledge product</v>
      </c>
    </row>
    <row r="4" ht="50" customHeight="1">
      <c r="A4" s="11" t="str">
        <v>AOW02</v>
      </c>
      <c r="C4" s="11" t="str">
        <v>Enhanced models, templates, frameworks, maps or data tools to detect climate related water risks for different cropping systems (maize, soybean, cocoa)</v>
      </c>
      <c r="D4" s="11" t="str">
        <v>Number of innovations (innovation development)</v>
      </c>
      <c r="E4" s="11" t="str">
        <v>Country: Ghana, Kenya</v>
      </c>
      <c r="F4" s="11">
        <v>1</v>
      </c>
      <c r="G4" s="11">
        <v>79282.61</v>
      </c>
      <c r="I4" s="11" t="str">
        <v>We assume that 85% of the budget is supporting the tool development using the data from our private sector partner. We assume that the data will continue to be available and that the seasonal advances from climate action will include enhanced forecasts in</v>
      </c>
    </row>
    <row r="5" ht="50" customHeight="1">
      <c r="A5" s="11" t="str">
        <v>AOW02</v>
      </c>
      <c r="B5" s="11" t="str">
        <v>2.2: Strategies for response to water related shocks</v>
      </c>
      <c r="C5" s="11" t="str">
        <v>Data-driven platforms, dashboards, and modeling tools that support enhanced farmer level response towards water related shocks (e.g. droughts, floods), pests and disease outbreaks (e.g. BBTV, BXW, and FoC TR4 )</v>
      </c>
      <c r="D5" s="11" t="str">
        <v>Number of innovations (innovation development)</v>
      </c>
      <c r="E5" s="11" t="str">
        <v>Country: Nepal, Ethiopia, Morocco, India, Malawi, Ghana, Egypt, Cameroon, Tanzania, United Republic, Nigeria, Uganda</v>
      </c>
      <c r="F5" s="11">
        <v>1</v>
      </c>
      <c r="G5" s="11">
        <v>91027.84</v>
      </c>
      <c r="H5" s="11">
        <f>SUM(G5:G7)</f>
      </c>
      <c r="I5" s="11" t="str">
        <v>We assume that the crop -water relevant data collected in 2025 will be sufficient to establish the crop-water model for cocoa.</v>
      </c>
    </row>
    <row r="6" ht="50" customHeight="1">
      <c r="A6" s="11" t="str">
        <v>AOW02</v>
      </c>
      <c r="C6" s="11" t="str">
        <v>Datasets of field (e.g. longterm experiments, validation trials) or farm household level (impact assessments, response behavior, adoption likelihood) to guide and evaluate response options.</v>
      </c>
      <c r="D6" s="11" t="str">
        <v>Number of knowledge products</v>
      </c>
      <c r="E6" s="11" t="str">
        <v>Country: Malawi, Zambia, Ethiopia, Uganda, Nepal, Mexico, India</v>
      </c>
      <c r="F6" s="11">
        <v>2</v>
      </c>
      <c r="G6" s="11">
        <v>55506.13</v>
      </c>
      <c r="I6" s="11" t="str">
        <v xml:space="preserve">We assume that the Indian government continues to collaborate and collaborates with SFP to include the farm advisories and support its validation </v>
      </c>
    </row>
    <row r="7" ht="50" customHeight="1" xml:space="preserve">
      <c r="A7" s="11" t="str">
        <v>AOW02</v>
      </c>
      <c r="C7" s="11" t="str" xml:space="preserve">
        <v xml:space="preserve">Data-driven platforms, dashboards, and modeling tools that support enhanced farmer level response towards water related shocks (e.g. droughts, floods), pests and disease outbreaks (e.g. BBTV, BXW, and FoC TR4)
</v>
      </c>
      <c r="D7" s="11" t="str">
        <v>Number of knowledge products</v>
      </c>
      <c r="E7" s="11" t="str">
        <v>Country: Tanzania, United Republic, Cameroon, Ghana, Uganda, Nigeria, Nepal, Ethiopia, Malawi, Egypt, India, Morocco</v>
      </c>
      <c r="F7" s="11">
        <v>1</v>
      </c>
      <c r="G7" s="11">
        <v>10114.2</v>
      </c>
      <c r="I7" s="11" t="str">
        <v>We assume that the model has been successfully developed to write up the knowledge product</v>
      </c>
    </row>
    <row r="8" ht="25" customHeight="1">
      <c r="B8" s="14" t="str">
        <v>HLO budget subtotal</v>
      </c>
      <c r="H8" s="15">
        <f>SUM(H3:H7)</f>
      </c>
    </row>
    <row r="9" ht="50" customHeight="1" xml:space="preserve">
      <c r="A9" s="13" t="str">
        <v>AOW03</v>
      </c>
      <c r="B9" s="11" t="str">
        <v xml:space="preserve">3.1: Farm-level diagnostic evidence on soil, plant, water, and socio-economic constraints </v>
      </c>
      <c r="C9" s="11" t="str">
        <v>KPI 2: Critical capabilities that enable R&amp;D to design, test, and refine sustainable farming innovations targeting priority farm-level constraints</v>
      </c>
      <c r="D9" s="11" t="str">
        <v>Number of innovations (innovation development)</v>
      </c>
      <c r="E9" s="11" t="str">
        <v>Country: Sri Lanka, Ghana, Kenya</v>
      </c>
      <c r="F9" s="11">
        <v>1</v>
      </c>
      <c r="G9" s="11">
        <v>92971.91</v>
      </c>
      <c r="H9" s="11">
        <f>SUM(G9:G9)</f>
      </c>
      <c r="I9" s="11" t="str" xml:space="preserve">
        <v xml:space="preserve">
We assume that 70% of the CC budget is allocated to staff time to develop the modelling approach and its successful pilot in one country using available data from sustainable farming
</v>
      </c>
    </row>
    <row r="10" ht="50" customHeight="1">
      <c r="A10" s="11" t="str">
        <v>AOW03</v>
      </c>
      <c r="B10" s="11" t="str">
        <v xml:space="preserve">3.2. Validated, farm-level management solutions </v>
      </c>
      <c r="C10" s="11" t="str">
        <v>Critical capabilities that enable R&amp;D to design, test, and refine sustainable farming innovations targeting priority farm-level constraints</v>
      </c>
      <c r="D10" s="11" t="str">
        <v>Number of knowledge products</v>
      </c>
      <c r="E10" s="11" t="str">
        <v>Country: Egypt, Morocco, Sri Lanka, Philippines, India, Malawi, Ethiopia, Nigeria, Cameroon, Côte d'Ivoire, Ghana, Kenya</v>
      </c>
      <c r="F10" s="11">
        <v>1</v>
      </c>
      <c r="G10" s="11">
        <v>42004.3</v>
      </c>
      <c r="H10" s="11">
        <f>SUM(G10:G11)</f>
      </c>
      <c r="I10" s="11" t="str">
        <v>We assume that 30% of the CC budget goes into staff time to co-create the water binding constraint analytical framework and process</v>
      </c>
    </row>
    <row r="11" ht="50" customHeight="1">
      <c r="A11" s="11" t="str">
        <v>AOW03</v>
      </c>
      <c r="C11" s="11" t="str">
        <v>KPI 5: Integrated, farm-level intervention packages that tackle clusters of interacting farm-level constraints to optimize agronomic outcomes</v>
      </c>
      <c r="D11" s="11" t="str">
        <v>Number of innovations (innovation development)</v>
      </c>
      <c r="E11" s="11" t="str">
        <v>Country: Ghana, Bangladesh, Sri Lanka, Nepal, Malawi, Morocco, Mexico, Tanzania, United Republic, Kenya, India, Ethiopia, Madagascar</v>
      </c>
      <c r="F11" s="11">
        <v>1</v>
      </c>
      <c r="G11" s="11">
        <v>87506.13</v>
      </c>
      <c r="I11" s="11" t="str">
        <v>We assume that the other CGIAR centers also have prioritized the CHEF use case and that TNC will continue to implement the CHEF project in Kenya. We are aligning the 2026 WaPOR budget in Kenya to ensure impact at scale.</v>
      </c>
    </row>
    <row r="12" ht="25" customHeight="1">
      <c r="B12" s="15" t="str">
        <v>HLO budget subtotal</v>
      </c>
      <c r="H12" s="15">
        <f>SUM(H9:H11)</f>
      </c>
    </row>
  </sheetData>
  <mergeCells count="15">
    <mergeCell ref="A1:A2"/>
    <mergeCell ref="B1:B2"/>
    <mergeCell ref="C1:G1"/>
    <mergeCell ref="H1:H2"/>
    <mergeCell ref="I1:I2"/>
    <mergeCell ref="B3:B4"/>
    <mergeCell ref="H3:H4"/>
    <mergeCell ref="B5:B7"/>
    <mergeCell ref="H5:H7"/>
    <mergeCell ref="B8:G8"/>
    <mergeCell ref="A3:A8"/>
    <mergeCell ref="B10:B11"/>
    <mergeCell ref="H10:H11"/>
    <mergeCell ref="B12:G12"/>
    <mergeCell ref="A9:A12"/>
  </mergeCells>
  <ignoredErrors>
    <ignoredError numberStoredAsText="1" sqref="A1:I12"/>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Indian Council of Agricultural Research</v>
      </c>
      <c r="C2" s="11" t="str">
        <v>1.1: Agronomic and farm management scientific data and analytics</v>
      </c>
      <c r="D2" s="11" t="str">
        <v>India</v>
      </c>
      <c r="E2" s="11">
        <v>0</v>
      </c>
    </row>
    <row r="3" ht="25" customHeight="1">
      <c r="B3" s="14" t="str">
        <v>Contracted partners subtotal</v>
      </c>
      <c r="E3" s="14">
        <f>SUM(E2:E2)</f>
      </c>
    </row>
    <row r="4" ht="70" customHeight="1">
      <c r="A4" s="12" t="str">
        <v>AOW02</v>
      </c>
      <c r="B4" s="11" t="str">
        <v>Indian Council of Agricultural Research</v>
      </c>
      <c r="C4" s="11" t="str">
        <v>2.3: Responses effectiveness and trade-offs to climate, pests and diseases shocks, 2.2: Strategies for response to water related shocks</v>
      </c>
      <c r="D4" s="11" t="str">
        <v>India</v>
      </c>
      <c r="E4" s="11">
        <v>32000</v>
      </c>
      <c r="F4" s="11" t="str">
        <v>2026 Budget</v>
      </c>
    </row>
    <row r="5" ht="25" customHeight="1">
      <c r="B5" s="14" t="str">
        <v>Contracted partners subtotal</v>
      </c>
      <c r="E5" s="14">
        <f>SUM(E4:E4)</f>
      </c>
    </row>
    <row r="6" ht="70" customHeight="1">
      <c r="A6" s="12" t="str">
        <v>AOW03</v>
      </c>
      <c r="B6" s="11" t="str">
        <v>Indian Council of Agricultural Research</v>
      </c>
      <c r="C6" s="11" t="str">
        <v>3.2. Validated, farm-level management solutions</v>
      </c>
      <c r="D6" s="11" t="str">
        <v>India</v>
      </c>
      <c r="E6" s="11">
        <v>0</v>
      </c>
    </row>
    <row r="7" ht="25" customHeight="1">
      <c r="B7" s="14" t="str">
        <v>Contracted partners subtotal</v>
      </c>
      <c r="E7" s="14">
        <f>SUM(E6:E6)</f>
      </c>
    </row>
    <row r="8" ht="70" customHeight="1">
      <c r="A8" s="12" t="str">
        <v>AOW05</v>
      </c>
      <c r="B8" s="11" t="str">
        <v>Indian Council of Agricultural Research</v>
      </c>
      <c r="C8" s="11" t="str">
        <v>5.5. Well-documented, widely applicable and replicable partnership platforms</v>
      </c>
      <c r="D8" s="11" t="str">
        <v>India</v>
      </c>
      <c r="E8" s="11">
        <v>0</v>
      </c>
    </row>
    <row r="9" ht="25" customHeight="1">
      <c r="B9" s="14" t="str">
        <v>Contracted partners subtotal</v>
      </c>
      <c r="E9" s="14">
        <f>SUM(E8:E8)</f>
      </c>
    </row>
  </sheetData>
  <mergeCells count="8">
    <mergeCell ref="B3:D3"/>
    <mergeCell ref="A2:A3"/>
    <mergeCell ref="B5:D5"/>
    <mergeCell ref="A4:A5"/>
    <mergeCell ref="B7:D7"/>
    <mergeCell ref="A6:A7"/>
    <mergeCell ref="B9:D9"/>
    <mergeCell ref="A8:A9"/>
  </mergeCells>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6"/>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W-D-0467-EU - Balochistan WR Programme</v>
      </c>
      <c r="B2" s="19" t="str">
        <v>AOW05</v>
      </c>
      <c r="C2" s="18" t="str">
        <v xml:space="preserve">5.1 SFP and its partners use validated prioritization tools </v>
      </c>
      <c r="D2" s="19">
        <v>333045</v>
      </c>
      <c r="E2" s="19" t="str">
        <f>=SUM(D2:D2)</f>
        <v>0</v>
      </c>
      <c r="F2" s="19" t="str">
        <v>2026 Budget exported from the dashboard</v>
      </c>
    </row>
    <row r="3" ht="30" customHeight="1">
      <c r="A3" s="18" t="str">
        <v>P-1743 SoLAR Phase 2</v>
      </c>
      <c r="B3" s="19" t="str">
        <v>AOW05</v>
      </c>
      <c r="C3" s="18" t="str">
        <v xml:space="preserve">5.1. Prioritization logic for deployment via partnership platforms available </v>
      </c>
      <c r="D3" s="19">
        <v>893249</v>
      </c>
      <c r="E3" s="19" t="str">
        <f>=SUM(D3:D3)</f>
        <v>0</v>
      </c>
      <c r="F3" s="19" t="str">
        <v>2026 Budget from the dashboard</v>
      </c>
    </row>
    <row r="4" ht="30" customHeight="1">
      <c r="A4" s="18" t="str">
        <v>W-D-0525- Subsidy Soil Fertility Programme - West Africa</v>
      </c>
      <c r="B4" s="19" t="str">
        <v>AOW01</v>
      </c>
      <c r="C4" s="18" t="str">
        <v xml:space="preserve">1.1: Partners running AI-enabled advisory services integrate evidence-based data </v>
      </c>
      <c r="D4" s="19">
        <v>620467</v>
      </c>
      <c r="E4" s="19" t="str">
        <f>=SUM(D4:D4)</f>
        <v>0</v>
      </c>
      <c r="F4" s="19" t="str">
        <v>2026 Budget exported from the dashboard</v>
      </c>
    </row>
    <row r="5" ht="30" customHeight="1">
      <c r="A5" s="18" t="str">
        <v>W-D-0424-WRAP C1</v>
      </c>
      <c r="B5" s="19" t="str">
        <v>AOW03</v>
      </c>
      <c r="C5" s="18" t="str">
        <v xml:space="preserve">3.3: Scaled and adopted farm management solutions </v>
      </c>
      <c r="D5" s="19">
        <v>686520</v>
      </c>
      <c r="E5" s="19" t="str">
        <f>=SUM(D5:D5)</f>
        <v>0</v>
      </c>
      <c r="F5" s="19" t="str">
        <v>2026 budget from the dashboard</v>
      </c>
    </row>
    <row r="6" ht="30" customHeight="1">
      <c r="A6" s="3" t="str">
        <v>W3/Bilateral projects subtotal</v>
      </c>
      <c r="E6" s="3">
        <f>SUM(E2:E5)</f>
      </c>
    </row>
  </sheetData>
  <mergeCells count="1">
    <mergeCell ref="A6:D6"/>
  </mergeCells>
  <ignoredErrors>
    <ignoredError numberStoredAsText="1" sqref="A1:F6"/>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xml:space="preserve">
      <c r="A2" s="18" t="str" xml:space="preserve">
        <v xml:space="preserve">Digital inclusivity of AI advisories and SFP solutions assessed using CGIAR Inclusivity Index to ensure equitable access for women, youth, and disadvantaged groups.
 </v>
      </c>
      <c r="B2" s="19" t="str">
        <v>AOW00</v>
      </c>
      <c r="C2" s="18" t="str">
        <v xml:space="preserve">5b: CGIAR and its partners leverage standardized tools, MELIA frameworks, partnership platforms, and FAIR, AI-ready </v>
      </c>
      <c r="D2" s="19">
        <v>0</v>
      </c>
      <c r="E2" s="19" t="str">
        <f>=SUM(D2:D4)</f>
        <v>0</v>
      </c>
    </row>
    <row r="3" ht="30" customHeight="1" xml:space="preserve">
      <c r="A3" s="18" t="str" xml:space="preserve">
        <v xml:space="preserve">Digital inclusivity of AI advisories and SFP solutions assessed using CGIAR Inclusivity Index to ensure equitable access for women, youth, and disadvantaged groups.
 </v>
      </c>
      <c r="B3" s="19" t="str">
        <v>AOW05</v>
      </c>
      <c r="C3" s="18" t="str">
        <v xml:space="preserve">5.4: SFP teams and partners use Standard MELIA tools and KPI framework </v>
      </c>
      <c r="D3" s="19">
        <v>103192</v>
      </c>
      <c r="F3" s="19" t="str">
        <v>2026 Budget</v>
      </c>
    </row>
    <row r="4" ht="30" customHeight="1" xml:space="preserve">
      <c r="A4" s="18" t="str" xml:space="preserve">
        <v xml:space="preserve">Digital inclusivity of AI advisories and SFP solutions assessed using CGIAR Inclusivity Index to ensure equitable access for women, youth, and disadvantaged groups.
 </v>
      </c>
      <c r="B4" s="19" t="str">
        <v>AOW01</v>
      </c>
      <c r="C4" s="18" t="str">
        <v xml:space="preserve">1.3: Partners adopt benchmarking tools </v>
      </c>
      <c r="D4" s="19">
        <v>0</v>
      </c>
    </row>
    <row r="5" ht="30" customHeight="1">
      <c r="A5" s="3" t="str">
        <v>MELIA Studies Budget subtotal</v>
      </c>
      <c r="E5" s="3">
        <f>SUM(E2:E4)</f>
      </c>
    </row>
  </sheetData>
  <mergeCells count="3">
    <mergeCell ref="A2:A4"/>
    <mergeCell ref="E2:E4"/>
    <mergeCell ref="A5:D5"/>
  </mergeCells>
  <ignoredErrors>
    <ignoredError numberStoredAsText="1" sqref="A1:F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32000</v>
      </c>
      <c r="E2" s="20">
        <v>0</v>
      </c>
      <c r="F2" s="20">
        <v>0</v>
      </c>
      <c r="G2" s="20">
        <v>0</v>
      </c>
      <c r="H2" s="20" t="str">
        <f>=SUM(B2:G2)</f>
        <v>0</v>
      </c>
    </row>
    <row r="3" ht="20" customHeight="1">
      <c r="A3" s="20" t="str">
        <v>Operations (supplies, consultants, travels, workshops, other)</v>
      </c>
      <c r="B3" s="20">
        <v>0</v>
      </c>
      <c r="C3" s="20">
        <v>0</v>
      </c>
      <c r="D3" s="20">
        <v>47078</v>
      </c>
      <c r="E3" s="20">
        <v>21464</v>
      </c>
      <c r="F3" s="20">
        <v>0</v>
      </c>
      <c r="G3" s="20">
        <v>59350</v>
      </c>
      <c r="H3" s="20" t="str">
        <f>=SUM(B3:G3)</f>
        <v>0</v>
      </c>
    </row>
    <row r="4" ht="20" customHeight="1">
      <c r="A4" s="20" t="str">
        <v>Staffing, Chargebacks and Indirect</v>
      </c>
      <c r="B4" s="20">
        <v>0</v>
      </c>
      <c r="C4" s="20">
        <v>0</v>
      </c>
      <c r="D4" s="20">
        <v>202844</v>
      </c>
      <c r="E4" s="20">
        <v>201018</v>
      </c>
      <c r="F4" s="20">
        <v>0</v>
      </c>
      <c r="G4" s="20">
        <v>43842</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