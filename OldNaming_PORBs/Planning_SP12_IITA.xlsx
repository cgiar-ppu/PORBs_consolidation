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40000</v>
      </c>
      <c r="M4" s="5">
        <v>0</v>
      </c>
    </row>
    <row r="5" ht="20" customHeight="1">
      <c r="A5" s="2" t="str">
        <v>AOW01: Data Ecosystem</v>
      </c>
      <c r="B5" s="2">
        <v>101</v>
      </c>
      <c r="C5" s="5">
        <v>97986</v>
      </c>
      <c r="D5" s="2">
        <v>0</v>
      </c>
      <c r="E5" s="5">
        <v>0</v>
      </c>
      <c r="F5" s="2">
        <v>30</v>
      </c>
      <c r="G5" s="5">
        <v>25000</v>
      </c>
      <c r="H5" s="2">
        <v>0</v>
      </c>
      <c r="I5" s="5">
        <v>0</v>
      </c>
      <c r="J5" s="5">
        <v>0</v>
      </c>
      <c r="K5" s="5">
        <v>0</v>
      </c>
      <c r="L5" s="5">
        <v>122986</v>
      </c>
      <c r="M5" s="5">
        <v>0</v>
      </c>
    </row>
    <row r="6" ht="20" customHeight="1">
      <c r="A6" s="2" t="str">
        <v>AOW02: Action Lab</v>
      </c>
      <c r="B6" s="2">
        <v>1</v>
      </c>
      <c r="C6" s="5">
        <v>80000</v>
      </c>
      <c r="D6" s="2">
        <v>0</v>
      </c>
      <c r="E6" s="5">
        <v>0</v>
      </c>
      <c r="F6" s="2">
        <v>15</v>
      </c>
      <c r="G6" s="5">
        <v>38717</v>
      </c>
      <c r="H6" s="2">
        <v>0</v>
      </c>
      <c r="I6" s="5">
        <v>0</v>
      </c>
      <c r="J6" s="5">
        <v>0</v>
      </c>
      <c r="K6" s="5">
        <v>0</v>
      </c>
      <c r="L6" s="5">
        <v>118717</v>
      </c>
      <c r="M6" s="5">
        <v>262338</v>
      </c>
    </row>
    <row r="7" ht="20" customHeight="1">
      <c r="A7" s="2" t="str">
        <v>AOW03: Digital Futures</v>
      </c>
      <c r="B7" s="2">
        <v>3</v>
      </c>
      <c r="C7" s="5">
        <v>80000</v>
      </c>
      <c r="D7" s="2">
        <v>0</v>
      </c>
      <c r="E7" s="5">
        <v>0</v>
      </c>
      <c r="F7" s="2">
        <v>50</v>
      </c>
      <c r="G7" s="5">
        <v>40000</v>
      </c>
      <c r="H7" s="2">
        <v>0</v>
      </c>
      <c r="I7" s="5">
        <v>0</v>
      </c>
      <c r="J7" s="5">
        <v>0</v>
      </c>
      <c r="K7" s="5">
        <v>0</v>
      </c>
      <c r="L7" s="5">
        <v>120000</v>
      </c>
      <c r="M7" s="5">
        <v>0</v>
      </c>
    </row>
    <row r="8" ht="20" customHeight="1">
      <c r="A8" s="2" t="str">
        <v>AOW04: Enabling Environment</v>
      </c>
      <c r="B8" s="2">
        <v>1</v>
      </c>
      <c r="C8" s="5">
        <v>50000</v>
      </c>
      <c r="D8" s="2">
        <v>0</v>
      </c>
      <c r="E8" s="5">
        <v>0</v>
      </c>
      <c r="F8" s="2">
        <v>0</v>
      </c>
      <c r="G8" s="5">
        <v>0</v>
      </c>
      <c r="H8" s="2">
        <v>0</v>
      </c>
      <c r="I8" s="5">
        <v>0</v>
      </c>
      <c r="J8" s="5">
        <v>0</v>
      </c>
      <c r="K8" s="5">
        <v>0</v>
      </c>
      <c r="L8" s="5">
        <v>50000</v>
      </c>
      <c r="M8" s="5">
        <v>243649</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40000</v>
      </c>
      <c r="E6" s="11" t="str">
        <v xml:space="preserve">Funds for Medha Devare as AoW1 Co-lead.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1.1.2 Standards-compliant FAIR science data collection tools </v>
      </c>
      <c r="C3" s="11" t="str">
        <v>IITA 6: Number of new digital services implemented across programs and partners.</v>
      </c>
      <c r="D3" s="11" t="str">
        <v>Number of innovations (innovation development)</v>
      </c>
      <c r="E3" s="11" t="str">
        <v>Country: Nigeria, Greece, Mexico, Ethiopia, Kenya</v>
      </c>
      <c r="F3" s="11">
        <v>1</v>
      </c>
      <c r="G3" s="11">
        <v>22986</v>
      </c>
      <c r="H3" s="11">
        <f>SUM(G3:G3)</f>
      </c>
      <c r="I3" s="11" t="str">
        <v xml:space="preserve">Successful delivery assumes active  interest and input via user tests, and participation in core task group focused on standardized data collection. The budget assumes $10k allocation to partner Scio. </v>
      </c>
    </row>
    <row r="4" ht="50" customHeight="1">
      <c r="A4" s="11" t="str">
        <v>AOW01</v>
      </c>
      <c r="B4" s="11" t="str">
        <v>HLO 1.1.6 &amp; 1.2.6 Training on inclusive and ethical FAIR data, AI, and digital solution practices</v>
      </c>
      <c r="C4" s="11" t="str">
        <v>IITA 5: Number of individual trained on new digital services implemented across programs and partners.</v>
      </c>
      <c r="D4" s="11" t="str">
        <v>Number of people trained (capacity sharing for development)</v>
      </c>
      <c r="E4" s="11" t="str">
        <v>Country: Nigeria, Kenya, Mexico</v>
      </c>
      <c r="F4" s="11">
        <v>30</v>
      </c>
      <c r="G4" s="11">
        <v>25000</v>
      </c>
      <c r="H4" s="11">
        <f>SUM(G4:G4)</f>
      </c>
      <c r="I4" s="11" t="str">
        <v>Successful trainings assume interest and follow-through to realize goals.</v>
      </c>
    </row>
    <row r="5" ht="50" customHeight="1">
      <c r="A5" s="11" t="str">
        <v>AOW01</v>
      </c>
      <c r="B5" s="11" t="str">
        <v xml:space="preserve">HLO 1.2.3 Standards-compliant  FAIR data corpus </v>
      </c>
      <c r="C5" s="11" t="str">
        <v>IITA 4: Number of new digital services implemented across programs and partners.</v>
      </c>
      <c r="D5" s="11" t="str">
        <v>Number of innovations (innovation development)</v>
      </c>
      <c r="E5" s="11" t="str">
        <v>Global</v>
      </c>
      <c r="F5" s="11">
        <v>100</v>
      </c>
      <c r="G5" s="11">
        <v>75000</v>
      </c>
      <c r="H5" s="11">
        <f>SUM(G5:G5)</f>
      </c>
      <c r="I5" s="11" t="str">
        <v xml:space="preserve">Completion of activities assumes that Centers share data to be standardized and HR processes allow quick hiring of R coders. Assumes $15k allocation to partner UC Davis and one data curator. </v>
      </c>
    </row>
    <row r="6" ht="25" customHeight="1">
      <c r="B6" s="14" t="str">
        <v>HLO budget subtotal</v>
      </c>
      <c r="H6" s="15">
        <f>SUM(H3:H5)</f>
      </c>
    </row>
    <row r="7" ht="50" customHeight="1">
      <c r="A7" s="13" t="str">
        <v>AOW02</v>
      </c>
      <c r="B7" s="11" t="str">
        <v>HLO 2.1.4 Genebanks integrate AI-powered tools to improve germplasm management and access.</v>
      </c>
      <c r="C7" s="11" t="str">
        <v>IITA 7: Number of AI and digital solution probes supporting system-level scenario analysis for decision-makers.</v>
      </c>
      <c r="D7" s="11" t="str">
        <v>Number of innovations (innovation development)</v>
      </c>
      <c r="E7" s="11" t="str">
        <v>Country: Nigeria</v>
      </c>
      <c r="F7" s="11">
        <v>1</v>
      </c>
      <c r="G7" s="11">
        <v>80000</v>
      </c>
      <c r="H7" s="11">
        <f>SUM(G7:G8)</f>
      </c>
      <c r="I7" s="11" t="str">
        <v>Assumptions: Data availability and quality: Historical passport, characterization, phenotypic, and distribution data are available in sufficient volume and quality for model training and validation. Risks: Data gaps, poor data quality, inconsistent coding</v>
      </c>
    </row>
    <row r="8" ht="50" customHeight="1">
      <c r="A8" s="11" t="str">
        <v>AOW02</v>
      </c>
      <c r="C8" s="11" t="str">
        <v>IITA 8: Number of individuals trained to improve germplasm management using AI-powered tools</v>
      </c>
      <c r="D8" s="11" t="str">
        <v>Number of people trained (capacity sharing for development)</v>
      </c>
      <c r="E8" s="11" t="str">
        <v>Country: Nigeria</v>
      </c>
      <c r="F8" s="11">
        <v>15</v>
      </c>
      <c r="G8" s="11">
        <v>38717</v>
      </c>
      <c r="I8" s="11" t="str">
        <v>Assumptions: Data availability and quality: Historical passport, characterization, phenotypic, and distribution data are available in sufficient volume and quality for model training and validation. Risks: Data gaps, poor data quality, inconsistent coding</v>
      </c>
    </row>
    <row r="9" ht="25" customHeight="1">
      <c r="B9" s="15" t="str">
        <v>HLO budget subtotal</v>
      </c>
      <c r="H9" s="15">
        <f>SUM(H7:H8)</f>
      </c>
    </row>
    <row r="10" ht="50" customHeight="1" xml:space="preserve">
      <c r="A10" s="13" t="str">
        <v>AOW03</v>
      </c>
      <c r="B10" s="11" t="str">
        <v>HLO 3.1.1:  Probes of a wide range of AI and/or other novel digital solutions  to support system-level scenario analysis of digital frontier technology impacts for decision-makers.</v>
      </c>
      <c r="C10" s="11" t="str">
        <v>IITA 2: Number of individuals/ decision makers with capacity to support AI phenotyping</v>
      </c>
      <c r="D10" s="11" t="str">
        <v>Number of people trained (capacity sharing for development)</v>
      </c>
      <c r="E10" s="11" t="str">
        <v>Country: Nigeria, Ghana, Kenya, Tanzania, United Republic</v>
      </c>
      <c r="F10" s="11">
        <v>50</v>
      </c>
      <c r="G10" s="11">
        <v>40000</v>
      </c>
      <c r="H10" s="11">
        <f>SUM(G10:G11)</f>
      </c>
      <c r="I10" s="11" t="str" xml:space="preserve">
        <v xml:space="preserve">"Assumptions
•	Demand for drone-based phenotyping
Risks
•	National aviation authorities may impose licensing, import, or flight restrictions that delay drone deployment or operations.
•	Drones and sensors are vulnerable to harsh field conditions, thef</v>
      </c>
    </row>
    <row r="11" ht="50" customHeight="1" xml:space="preserve">
      <c r="A11" s="11" t="str">
        <v>AOW03</v>
      </c>
      <c r="C11" s="11" t="str">
        <v>IITA 1: Number of AI and digital solution probes supporting system-level scenario analysis for decision-makers.</v>
      </c>
      <c r="D11" s="11" t="str">
        <v>Number of innovations (innovation development)</v>
      </c>
      <c r="E11" s="11" t="str">
        <v>Country: Nigeria, Kenya, Ghana, Tanzania, United Republic</v>
      </c>
      <c r="F11" s="11">
        <v>3</v>
      </c>
      <c r="G11" s="11">
        <v>80000</v>
      </c>
      <c r="I11" s="11" t="str" xml:space="preserve">
        <v xml:space="preserve">Assumptions
•	National authorities will continue to permit agricultural UAV use under existing regulations.
•	Appropriate ML/AI models are available for drone-based phenotyping pipelines. 
Risks
•	National aviation authorities may impose licensing</v>
      </c>
    </row>
    <row r="12" ht="25" customHeight="1">
      <c r="B12" s="15" t="str">
        <v>HLO budget subtotal</v>
      </c>
      <c r="H12" s="15">
        <f>SUM(H10:H11)</f>
      </c>
    </row>
    <row r="13" ht="50" customHeight="1">
      <c r="A13" s="13" t="str">
        <v>AOW04</v>
      </c>
      <c r="B13" s="11" t="str">
        <v>HLO 4.2.6 AI-based Inclusive digital products/Innovations co-created in partnership with the digital innovation nodes​</v>
      </c>
      <c r="C13" s="11" t="str">
        <v>IITA 3: Number of new digital products and innovations co-created with digital innovation nodes.</v>
      </c>
      <c r="D13" s="11" t="str">
        <v>Number of innovations (innovation development)</v>
      </c>
      <c r="E13" s="11" t="str">
        <v>Country: Kenya</v>
      </c>
      <c r="F13" s="11">
        <v>1</v>
      </c>
      <c r="G13" s="11">
        <v>50000</v>
      </c>
      <c r="H13" s="11">
        <f>SUM(G13:G13)</f>
      </c>
      <c r="I13" s="11" t="str">
        <v>That the AI water agent is developed and ready to be integrated alongside Agwise by IMWI in Kenya in time for us to test it</v>
      </c>
    </row>
    <row r="14" ht="25" customHeight="1">
      <c r="B14" s="15" t="str">
        <v>HLO budget subtotal</v>
      </c>
      <c r="H14" s="15">
        <f>SUM(H13:H13)</f>
      </c>
    </row>
  </sheetData>
  <mergeCells count="17">
    <mergeCell ref="A1:A2"/>
    <mergeCell ref="B1:B2"/>
    <mergeCell ref="C1:G1"/>
    <mergeCell ref="H1:H2"/>
    <mergeCell ref="I1:I2"/>
    <mergeCell ref="B6:G6"/>
    <mergeCell ref="A3:A6"/>
    <mergeCell ref="B7:B8"/>
    <mergeCell ref="H7:H8"/>
    <mergeCell ref="B9:G9"/>
    <mergeCell ref="A7:A9"/>
    <mergeCell ref="B10:B11"/>
    <mergeCell ref="H10:H11"/>
    <mergeCell ref="B12:G12"/>
    <mergeCell ref="A10:A12"/>
    <mergeCell ref="B14:G14"/>
    <mergeCell ref="A13:A14"/>
  </mergeCells>
  <ignoredErrors>
    <ignoredError numberStoredAsText="1" sqref="A1:I1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T-PJ-003763-IITA Accelerated Innovation Delivery Initiative</v>
      </c>
      <c r="B2" s="19" t="str">
        <v>AOW00</v>
      </c>
      <c r="C2" s="18" t="str">
        <v>2030 OC 1: Strengthened partnerships for co-creating digital innovations</v>
      </c>
      <c r="D2" s="19">
        <v>0</v>
      </c>
      <c r="E2" s="19" t="str">
        <f>=SUM(D2:D3)</f>
        <v>0</v>
      </c>
    </row>
    <row r="3" ht="30" customHeight="1">
      <c r="A3" s="18" t="str">
        <v>T-PJ-003763-IITA Accelerated Innovation Delivery Initiative</v>
      </c>
      <c r="B3" s="19" t="str">
        <v>AOW04</v>
      </c>
      <c r="C3" s="18" t="str">
        <v>HLO 4.1.1 Frameworks, methods, and guidelines to catalyze adoption of responsible and inclusive digital and data innovations across FLW systems</v>
      </c>
      <c r="D3" s="19">
        <v>0</v>
      </c>
    </row>
    <row r="4" ht="30" customHeight="1">
      <c r="A4" s="18" t="str">
        <v>T-PJ-003942-IITA Accelerated Innovation Delivery Initiative (AID-I) for Mozambique</v>
      </c>
      <c r="B4" s="19" t="str">
        <v>AOW04</v>
      </c>
      <c r="C4" s="18" t="str">
        <v>HLO 4.1.1 Frameworks, methods, and guidelines to catalyze adoption of responsible and inclusive digital and data innovations across FLW systems</v>
      </c>
      <c r="D4" s="19">
        <v>243649</v>
      </c>
      <c r="E4" s="19" t="str">
        <f>=SUM(D4:D4)</f>
        <v>0</v>
      </c>
      <c r="F4" s="19" t="str">
        <v xml:space="preserve">Subject to active status and continued availability of funding. </v>
      </c>
    </row>
    <row r="5" ht="30" customHeight="1">
      <c r="A5" s="18" t="str">
        <v>T-PJ-003866-Liberia Land and Soil Resources Knowledge project (Soils4Liberia)</v>
      </c>
      <c r="B5" s="19" t="str">
        <v>AOW02</v>
      </c>
      <c r="C5" s="18" t="str">
        <v>HLO 2.1.1: Research integrates AI analytics and digital technologies to enhance modeling and evidence generation.​</v>
      </c>
      <c r="D5" s="19">
        <v>262338</v>
      </c>
      <c r="E5" s="19" t="str">
        <f>=SUM(D5:D5)</f>
        <v>0</v>
      </c>
      <c r="F5" s="19" t="str">
        <v xml:space="preserve">Subject to active status and continued availability of funding. </v>
      </c>
    </row>
    <row r="6" ht="30" customHeight="1">
      <c r="A6" s="3" t="str">
        <v>W3/Bilateral projects subtotal</v>
      </c>
      <c r="E6" s="3">
        <f>SUM(E2:E5)</f>
      </c>
    </row>
  </sheetData>
  <mergeCells count="3">
    <mergeCell ref="A2:A3"/>
    <mergeCell ref="E2:E3"/>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25000</v>
      </c>
      <c r="D2" s="20">
        <v>0</v>
      </c>
      <c r="E2" s="20">
        <v>0</v>
      </c>
      <c r="F2" s="20">
        <v>0</v>
      </c>
      <c r="G2" s="20" t="str">
        <f>=SUM(B2:F2)</f>
        <v>0</v>
      </c>
    </row>
    <row r="3" ht="20" customHeight="1">
      <c r="A3" s="20" t="str">
        <v>Operations (supplies, consultants, travels, workshops, other)</v>
      </c>
      <c r="B3" s="20">
        <v>86468</v>
      </c>
      <c r="C3" s="20">
        <v>18356</v>
      </c>
      <c r="D3" s="20">
        <v>30000</v>
      </c>
      <c r="E3" s="20">
        <v>54232</v>
      </c>
      <c r="F3" s="20">
        <v>2000</v>
      </c>
      <c r="G3" s="20" t="str">
        <f>=SUM(B3:F3)</f>
        <v>0</v>
      </c>
    </row>
    <row r="4" ht="20" customHeight="1">
      <c r="A4" s="20" t="str">
        <v>Staffing, Chargebacks and Indirect</v>
      </c>
      <c r="B4" s="20">
        <v>40000</v>
      </c>
      <c r="C4" s="20">
        <v>79630</v>
      </c>
      <c r="D4" s="20">
        <v>88717</v>
      </c>
      <c r="E4" s="20">
        <v>65768</v>
      </c>
      <c r="F4" s="20">
        <v>48000</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