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Anapla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964476</v>
      </c>
    </row>
    <row r="5" ht="20" customHeight="1">
      <c r="A5" s="2" t="str">
        <v>AOW01: Accelerating Solutions for Impact</v>
      </c>
      <c r="B5" s="2">
        <v>0</v>
      </c>
      <c r="C5" s="5">
        <v>0</v>
      </c>
      <c r="D5" s="2">
        <v>2</v>
      </c>
      <c r="E5" s="5">
        <v>157500</v>
      </c>
      <c r="F5" s="2">
        <v>0</v>
      </c>
      <c r="G5" s="5">
        <v>0</v>
      </c>
      <c r="H5" s="2">
        <v>0</v>
      </c>
      <c r="I5" s="5">
        <v>0</v>
      </c>
      <c r="J5" s="5">
        <v>30000</v>
      </c>
      <c r="K5" s="5">
        <v>0</v>
      </c>
      <c r="L5" s="5">
        <v>187500</v>
      </c>
      <c r="M5" s="5">
        <v>0</v>
      </c>
    </row>
    <row r="6" ht="20" customHeight="1">
      <c r="A6" s="2" t="str">
        <v>AOW02: Accelerating Change Through Evidence</v>
      </c>
      <c r="B6" s="2">
        <v>0</v>
      </c>
      <c r="C6" s="5">
        <v>0</v>
      </c>
      <c r="D6" s="2">
        <v>2</v>
      </c>
      <c r="E6" s="5">
        <v>67500</v>
      </c>
      <c r="F6" s="2">
        <v>60</v>
      </c>
      <c r="G6" s="5">
        <v>15000</v>
      </c>
      <c r="H6" s="2">
        <v>0</v>
      </c>
      <c r="I6" s="5">
        <v>0</v>
      </c>
      <c r="J6" s="5">
        <v>30000</v>
      </c>
      <c r="K6" s="5">
        <v>0</v>
      </c>
      <c r="L6" s="5">
        <v>112500</v>
      </c>
      <c r="M6" s="5">
        <v>0</v>
      </c>
    </row>
    <row r="7" ht="20" customHeight="1">
      <c r="A7" s="2" t="str">
        <v>AOW03: Youth Thrive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5" customHeight="1">
      <c r="A8" s="6" t="str">
        <v>Total</v>
      </c>
      <c r="B8" s="7">
        <f>SUM(B4:B7)</f>
      </c>
      <c r="C8" s="7">
        <f>SUM(C4:C7)</f>
      </c>
      <c r="D8" s="7">
        <f>SUM(D4:D7)</f>
      </c>
      <c r="E8" s="7">
        <f>SUM(E4:E7)</f>
      </c>
      <c r="F8" s="7">
        <f>SUM(F4:F7)</f>
      </c>
      <c r="G8" s="7">
        <f>SUM(G4:G7)</f>
      </c>
      <c r="H8" s="7">
        <f>SUM(H4:H7)</f>
      </c>
      <c r="I8" s="7">
        <f>SUM(I4:I7)</f>
      </c>
      <c r="J8" s="7">
        <f>SUM(J4:J7)</f>
      </c>
      <c r="K8" s="7">
        <f>SUM(K4:K7)</f>
      </c>
      <c r="L8" s="7">
        <f>SUM(L4:L7)</f>
      </c>
      <c r="M8" s="7">
        <f>SUM(M4:M7)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Area of Work Leadership Costs</v>
      </c>
      <c r="D2" s="11">
        <v>0</v>
      </c>
    </row>
    <row r="3" ht="45" customHeight="1">
      <c r="A3" s="11" t="str">
        <v>AOW00</v>
      </c>
      <c r="B3" s="11" t="str">
        <v xml:space="preserve">PMU Team 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Director and associated costs</v>
      </c>
      <c r="D4" s="11">
        <v>0</v>
      </c>
    </row>
    <row r="5" ht="45" customHeight="1">
      <c r="A5" s="11" t="str">
        <v>AOW00</v>
      </c>
      <c r="B5" s="11" t="str">
        <v>Director's discretionary fund</v>
      </c>
      <c r="D5" s="11">
        <v>0</v>
      </c>
    </row>
    <row r="6" ht="45" customHeight="1">
      <c r="A6" s="11" t="str">
        <v>AOW00</v>
      </c>
      <c r="B6" s="11" t="str">
        <v>Shared finance support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 xml:space="preserve">1.3.2: Financial and extension systems for resources and livelihoods </v>
      </c>
      <c r="C3" s="11" t="str">
        <v>Journal article and blog on the status of financial inclusion in women in fisheries and aquaculture sector in Tanzania research project</v>
      </c>
      <c r="D3" s="11" t="str">
        <v>Number of knowledge products</v>
      </c>
      <c r="E3" s="11" t="str">
        <v>Country: Tanzania, United Republic</v>
      </c>
      <c r="F3" s="11">
        <v>2</v>
      </c>
      <c r="G3" s="11">
        <v>157500</v>
      </c>
      <c r="H3" s="11">
        <f>SUM(G3:G3)</f>
      </c>
      <c r="I3" s="11" t="str">
        <v>This budget is for the full study, from developing data collection tools, collecting and analysing data, writing a paper, and end-to-end journal process. Additional 30,000 USD will go to University of Dar es Salaam.</v>
      </c>
    </row>
    <row r="4" ht="25" customHeight="1">
      <c r="B4" s="14" t="str">
        <v>HLO budget subtotal</v>
      </c>
      <c r="H4" s="15">
        <f>SUM(H3:H3)</f>
      </c>
    </row>
    <row r="5" ht="50" customHeight="1">
      <c r="A5" s="13" t="str">
        <v>AOW02</v>
      </c>
      <c r="B5" s="11" t="str">
        <v>2.1.3: Tools for measuring empowerment and inclusion</v>
      </c>
      <c r="C5" s="11" t="str">
        <v>Capacity building on the use of WEFI quantitative and qualitative instruments</v>
      </c>
      <c r="D5" s="11" t="str">
        <v>Number of people trained (capacity sharing for development)</v>
      </c>
      <c r="E5" s="11" t="str">
        <v>Global</v>
      </c>
      <c r="F5" s="11">
        <v>60</v>
      </c>
      <c r="G5" s="11">
        <v>15000</v>
      </c>
      <c r="H5" s="11">
        <f>SUM(G5:G6)</f>
      </c>
      <c r="I5" s="11" t="str">
        <v>Additional 15,000 USD through the partner</v>
      </c>
    </row>
    <row r="6" ht="50" customHeight="1">
      <c r="A6" s="11" t="str">
        <v>AOW02</v>
      </c>
      <c r="C6" s="11" t="str">
        <v>Knowledge products related to WEFI applications in the inland water systems, aquaculture and in the marine ecosystems</v>
      </c>
      <c r="D6" s="11" t="str">
        <v>Number of knowledge products</v>
      </c>
      <c r="E6" s="11" t="str">
        <v>Global</v>
      </c>
      <c r="F6" s="11">
        <v>2</v>
      </c>
      <c r="G6" s="11">
        <v>67500</v>
      </c>
      <c r="I6" s="11" t="str">
        <v>Additional 15,000 USD through the partner</v>
      </c>
    </row>
    <row r="7" ht="25" customHeight="1">
      <c r="B7" s="15" t="str">
        <v>HLO budget subtotal</v>
      </c>
      <c r="H7" s="15">
        <f>SUM(H5:H6)</f>
      </c>
    </row>
  </sheetData>
  <mergeCells count="11">
    <mergeCell ref="A1:A2"/>
    <mergeCell ref="B1:B2"/>
    <mergeCell ref="C1:G1"/>
    <mergeCell ref="H1:H2"/>
    <mergeCell ref="I1:I2"/>
    <mergeCell ref="B4:G4"/>
    <mergeCell ref="A3:A4"/>
    <mergeCell ref="B5:B6"/>
    <mergeCell ref="H5:H6"/>
    <mergeCell ref="B7:G7"/>
    <mergeCell ref="A5:A7"/>
  </mergeCells>
  <ignoredErrors>
    <ignoredError numberStoredAsText="1" sqref="A1:I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  <row r="2" ht="70" customHeight="1">
      <c r="A2" s="12" t="str">
        <v>AOW01</v>
      </c>
      <c r="B2" s="11" t="str">
        <v>University of Dar es Salaam</v>
      </c>
      <c r="C2" s="11" t="str">
        <v>1.3.2: Financial and extension systems for resources and livelihoods</v>
      </c>
      <c r="D2" s="11" t="str">
        <v>Tanzania, United Republic</v>
      </c>
      <c r="E2" s="11">
        <v>30000</v>
      </c>
      <c r="F2" s="11" t="str">
        <v>N/A</v>
      </c>
    </row>
    <row r="3" ht="25" customHeight="1">
      <c r="B3" s="14" t="str">
        <v>Contracted partners subtotal</v>
      </c>
      <c r="E3" s="14">
        <f>SUM(E2:E2)</f>
      </c>
    </row>
    <row r="4" ht="70" customHeight="1">
      <c r="A4" s="12" t="str">
        <v>AOW02</v>
      </c>
      <c r="B4" s="11" t="str">
        <v>African Centre for Technology Studies</v>
      </c>
      <c r="C4" s="11" t="str">
        <v>2.1.3: Tools for measuring empowerment and inclusion</v>
      </c>
      <c r="D4" s="11" t="str">
        <v>Kenya</v>
      </c>
      <c r="E4" s="11">
        <v>30000</v>
      </c>
      <c r="F4" s="11" t="str">
        <v>N/A</v>
      </c>
    </row>
    <row r="5" ht="25" customHeight="1">
      <c r="B5" s="14" t="str">
        <v>Contracted partners subtotal</v>
      </c>
      <c r="E5" s="14">
        <f>SUM(E4:E4)</f>
      </c>
    </row>
  </sheetData>
  <mergeCells count="4">
    <mergeCell ref="B3:D3"/>
    <mergeCell ref="A2:A3"/>
    <mergeCell ref="B5:D5"/>
    <mergeCell ref="A4:A5"/>
  </mergeCells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F-AG10607-ASIA-AFRICA BLUETECH SUPERHIGHWAY PROJECT (COAST)</v>
      </c>
      <c r="B2" s="19" t="str">
        <v>AOW00</v>
      </c>
      <c r="C2" s="18" t="str">
        <v>1.1 Pinpoint and act on restrictive norms</v>
      </c>
      <c r="D2" s="19">
        <v>824739</v>
      </c>
      <c r="E2" s="19" t="str">
        <f>=SUM(D2:D2)</f>
        <v>0</v>
      </c>
    </row>
    <row r="3" ht="30" customHeight="1">
      <c r="A3" s="18" t="str">
        <v>F-PP-2022-1020-Climate-Resilient Aquaculture Systems for Afr (AG10618)</v>
      </c>
      <c r="B3" s="19" t="str">
        <v>AOW00</v>
      </c>
      <c r="C3" s="18" t="str">
        <v>1.2 Evidence-based support for women and youth empowerment</v>
      </c>
      <c r="D3" s="19">
        <v>139737</v>
      </c>
      <c r="E3" s="19" t="str">
        <f>=SUM(D3:D3)</f>
        <v>0</v>
      </c>
    </row>
    <row r="4" ht="30" customHeight="1">
      <c r="A4" s="3" t="str">
        <v>W3/Bilateral projects subtotal</v>
      </c>
      <c r="E4" s="3">
        <f>SUM(E2:E3)</f>
      </c>
    </row>
  </sheetData>
  <mergeCells count="1">
    <mergeCell ref="A4:D4"/>
  </mergeCells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30000</v>
      </c>
      <c r="D2" s="20">
        <v>30000</v>
      </c>
      <c r="E2" s="20">
        <v>0</v>
      </c>
      <c r="F2" s="20" t="str">
        <f>=SUM(B2:E2)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38750</v>
      </c>
      <c r="D3" s="20">
        <v>22682</v>
      </c>
      <c r="E3" s="20">
        <v>0</v>
      </c>
      <c r="F3" s="20" t="str">
        <f>=SUM(B3:E3)</f>
        <v>0</v>
      </c>
    </row>
    <row r="4" ht="20" customHeight="1">
      <c r="A4" s="20" t="str">
        <v>Staffing, Chargebacks and Indirect</v>
      </c>
      <c r="B4" s="20">
        <v>20200</v>
      </c>
      <c r="C4" s="20">
        <v>118750</v>
      </c>
      <c r="D4" s="20">
        <v>59818</v>
      </c>
      <c r="E4" s="20">
        <v>0</v>
      </c>
      <c r="F4" s="20" t="str">
        <f>=SUM(B4:E4)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Cross-Cutting</vt:lpstr>
      <vt:lpstr>HLO</vt:lpstr>
      <vt:lpstr>Partner</vt:lpstr>
      <vt:lpstr>W3-Bilateral projects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