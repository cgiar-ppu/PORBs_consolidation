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Accelerating AI-Enabled Farm Advisory at Scale.</v>
      </c>
      <c r="B5" s="2">
        <v>0</v>
      </c>
      <c r="C5" s="5">
        <v>0</v>
      </c>
      <c r="D5" s="2">
        <v>2</v>
      </c>
      <c r="E5" s="5">
        <v>66596</v>
      </c>
      <c r="F5" s="2">
        <v>0</v>
      </c>
      <c r="G5" s="5">
        <v>0</v>
      </c>
      <c r="H5" s="2">
        <v>0</v>
      </c>
      <c r="I5" s="5">
        <v>0</v>
      </c>
      <c r="J5" s="5">
        <v>5000</v>
      </c>
      <c r="K5" s="5">
        <v>0</v>
      </c>
      <c r="L5" s="5">
        <v>71596</v>
      </c>
      <c r="M5" s="5">
        <v>0</v>
      </c>
    </row>
    <row r="6" ht="20" customHeight="1">
      <c r="A6" s="2" t="str">
        <v>AOW02: Enabling Preparedness and Rapid Response to Emerging Shocks</v>
      </c>
      <c r="B6" s="2">
        <v>0</v>
      </c>
      <c r="C6" s="5">
        <v>0</v>
      </c>
      <c r="D6" s="2">
        <v>10</v>
      </c>
      <c r="E6" s="5">
        <v>128878</v>
      </c>
      <c r="F6" s="2">
        <v>0</v>
      </c>
      <c r="G6" s="5">
        <v>0</v>
      </c>
      <c r="H6" s="2">
        <v>0</v>
      </c>
      <c r="I6" s="5">
        <v>0</v>
      </c>
      <c r="J6" s="5">
        <v>10000</v>
      </c>
      <c r="K6" s="5">
        <v>0</v>
      </c>
      <c r="L6" s="5">
        <v>138878</v>
      </c>
      <c r="M6" s="5">
        <v>0</v>
      </c>
    </row>
    <row r="7" ht="20" customHeight="1">
      <c r="A7" s="2" t="str">
        <v>AOW03: Delivering Integrated Solutions to Systemic Farm-Level Binding Constraints</v>
      </c>
      <c r="B7" s="2">
        <v>3</v>
      </c>
      <c r="C7" s="5">
        <v>116525</v>
      </c>
      <c r="D7" s="2">
        <v>4</v>
      </c>
      <c r="E7" s="5">
        <v>16647</v>
      </c>
      <c r="F7" s="2">
        <v>20000</v>
      </c>
      <c r="G7" s="5">
        <v>33293</v>
      </c>
      <c r="H7" s="2">
        <v>0</v>
      </c>
      <c r="I7" s="5">
        <v>0</v>
      </c>
      <c r="J7" s="5">
        <v>0</v>
      </c>
      <c r="K7" s="5">
        <v>0</v>
      </c>
      <c r="L7" s="5">
        <v>166465</v>
      </c>
      <c r="M7" s="5">
        <v>0</v>
      </c>
    </row>
    <row r="8" ht="20" customHeight="1">
      <c r="A8" s="2" t="str">
        <v>AOW04: Incubating Innovation in Sustainable Farming</v>
      </c>
      <c r="B8" s="2">
        <v>0</v>
      </c>
      <c r="C8" s="5">
        <v>0</v>
      </c>
      <c r="D8" s="2">
        <v>0</v>
      </c>
      <c r="E8" s="5">
        <v>0</v>
      </c>
      <c r="F8" s="2">
        <v>0</v>
      </c>
      <c r="G8" s="5">
        <v>0</v>
      </c>
      <c r="H8" s="2">
        <v>0</v>
      </c>
      <c r="I8" s="5">
        <v>0</v>
      </c>
      <c r="J8" s="5">
        <v>0</v>
      </c>
      <c r="K8" s="5">
        <v>0</v>
      </c>
      <c r="L8" s="5">
        <v>0</v>
      </c>
      <c r="M8" s="5">
        <v>0</v>
      </c>
    </row>
    <row r="9" ht="20" customHeight="1">
      <c r="A9" s="2" t="str">
        <v>AOW05: Accelerating Impact</v>
      </c>
      <c r="B9" s="2">
        <v>0</v>
      </c>
      <c r="C9" s="5">
        <v>0</v>
      </c>
      <c r="D9" s="2">
        <v>4</v>
      </c>
      <c r="E9" s="5">
        <v>63640</v>
      </c>
      <c r="F9" s="2">
        <v>0</v>
      </c>
      <c r="G9" s="5">
        <v>0</v>
      </c>
      <c r="H9" s="2">
        <v>0</v>
      </c>
      <c r="I9" s="5">
        <v>0</v>
      </c>
      <c r="J9" s="5">
        <v>0</v>
      </c>
      <c r="K9" s="5">
        <v>0</v>
      </c>
      <c r="L9" s="5">
        <v>63640</v>
      </c>
      <c r="M9" s="5">
        <v>0</v>
      </c>
    </row>
    <row r="10" ht="25" customHeight="1">
      <c r="A10" s="6" t="str">
        <v>Total</v>
      </c>
      <c r="B10" s="7">
        <f>SUM(B4:B9)</f>
      </c>
      <c r="C10" s="7">
        <f>SUM(C4:C9)</f>
      </c>
      <c r="D10" s="7">
        <f>SUM(D4:D9)</f>
      </c>
      <c r="E10" s="7">
        <f>SUM(E4:E9)</f>
      </c>
      <c r="F10" s="7">
        <f>SUM(F4:F9)</f>
      </c>
      <c r="G10" s="7">
        <f>SUM(G4:G9)</f>
      </c>
      <c r="H10" s="7">
        <f>SUM(H4:H9)</f>
      </c>
      <c r="I10" s="7">
        <f>SUM(I4:I9)</f>
      </c>
      <c r="J10" s="7">
        <f>SUM(J4:J9)</f>
      </c>
      <c r="K10" s="7">
        <f>SUM(K4:K9)</f>
      </c>
      <c r="L10" s="7">
        <f>SUM(L4:L9)</f>
      </c>
      <c r="M10" s="7">
        <f>SUM(M4:M9)</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10"/>
  </ignoredErrors>
</worksheet>
</file>

<file path=xl/worksheets/sheet2.xml><?xml version="1.0" encoding="utf-8"?>
<worksheet xmlns="http://schemas.openxmlformats.org/spreadsheetml/2006/main" xmlns:r="http://schemas.openxmlformats.org/officeDocument/2006/relationships">
  <dimension ref="A1:E10"/>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Funding allocation is accessible to the Program Director to address emerging opportunities and gaps, and strategic Program Level issues</v>
      </c>
      <c r="D2" s="11">
        <v>0</v>
      </c>
    </row>
    <row r="3" ht="45" customHeight="1">
      <c r="A3" s="11" t="str">
        <v>AOW00</v>
      </c>
      <c r="B3" s="11" t="str">
        <v xml:space="preserve">Program Level Communication </v>
      </c>
      <c r="C3" s="11" t="str">
        <v>Implementation of the 2026 Communication activities informed by the SFP Communications Strategy</v>
      </c>
      <c r="D3" s="11">
        <v>0</v>
      </c>
    </row>
    <row r="4" ht="45" customHeight="1">
      <c r="A4" s="11" t="str">
        <v>AOW00</v>
      </c>
      <c r="B4" s="11" t="str">
        <v xml:space="preserve">Other PMU Operations </v>
      </c>
      <c r="C4" s="11" t="str">
        <v>Travel, office supplies, and services, charge back, etc., for the PMU team</v>
      </c>
      <c r="D4" s="11">
        <v>0</v>
      </c>
    </row>
    <row r="5" ht="45" customHeight="1">
      <c r="A5" s="11" t="str">
        <v>AOW00</v>
      </c>
      <c r="B5" s="11" t="str">
        <v>Program Director and Associated Costs</v>
      </c>
      <c r="C5" s="11" t="str">
        <v>Program Director FTE, general administrative support, meetings and workshops, travel, smaller consultancies, and miscellaneous operating costs.</v>
      </c>
      <c r="D5" s="11">
        <v>0</v>
      </c>
    </row>
    <row r="6" ht="45" customHeight="1">
      <c r="A6" s="11" t="str">
        <v>AOW00</v>
      </c>
      <c r="B6" s="11" t="str">
        <v xml:space="preserve">PMU Team </v>
      </c>
      <c r="C6" s="11" t="str">
        <v>FTE for the Program Coordinator and MELIA Focal Point, and allowing for technical support for Communication, Finance, and Administration Functions.</v>
      </c>
      <c r="D6" s="11">
        <v>0</v>
      </c>
    </row>
    <row r="7" ht="45" customHeight="1">
      <c r="A7" s="11" t="str">
        <v>AOW00</v>
      </c>
      <c r="B7" s="11" t="str">
        <v xml:space="preserve">Area of Work (AoW) Leaders </v>
      </c>
      <c r="C7" s="11" t="str">
        <v xml:space="preserve">5 AoW Leads FTEs as guided by the SO </v>
      </c>
      <c r="D7" s="11">
        <v>0</v>
      </c>
    </row>
    <row r="8" ht="45" customHeight="1">
      <c r="A8" s="11" t="str">
        <v>AOW00</v>
      </c>
      <c r="B8" s="11" t="str">
        <v>Program Level MELIA Activities</v>
      </c>
      <c r="C8" s="11" t="str">
        <v>Implementation of the 2026 Program Level MELIA activities, informed by the overall Program MELIA Plan</v>
      </c>
      <c r="D8" s="11">
        <v>0</v>
      </c>
    </row>
    <row r="9" ht="45" customHeight="1">
      <c r="A9" s="11" t="str">
        <v>AOW00</v>
      </c>
      <c r="B9" s="11" t="str">
        <v>CGIAR Program Finance Support</v>
      </c>
      <c r="C9" s="11" t="str">
        <v>Shared Portfolio-Level Finance Support Services</v>
      </c>
      <c r="D9" s="11">
        <v>0</v>
      </c>
    </row>
    <row r="10" ht="45" customHeight="1">
      <c r="A10" s="11" t="str">
        <v>AOW00</v>
      </c>
      <c r="B10" s="11" t="str">
        <v>Program Leadership Meetings</v>
      </c>
      <c r="C10" s="11" t="str">
        <v>In-person planning, oversight, and progress review leadership meetings, including an annual pause and reflect forum.</v>
      </c>
      <c r="D10" s="11">
        <v>0</v>
      </c>
    </row>
  </sheetData>
  <mergeCells count="1">
    <mergeCell ref="A2:A10"/>
  </mergeCells>
  <ignoredErrors>
    <ignoredError numberStoredAsText="1" sqref="A1:E10"/>
  </ignoredErrors>
</worksheet>
</file>

<file path=xl/worksheets/sheet3.xml><?xml version="1.0" encoding="utf-8"?>
<worksheet xmlns="http://schemas.openxmlformats.org/spreadsheetml/2006/main" xmlns:r="http://schemas.openxmlformats.org/officeDocument/2006/relationships">
  <dimension ref="A1:I14"/>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1.2: Benchmarking and performance validation systems </v>
      </c>
      <c r="C3" s="11" t="str">
        <v>Science-based standard protocols, methodologies and benchmarks for independent in-field and external performance evaluations of AI and digital systems and advisories</v>
      </c>
      <c r="D3" s="11" t="str">
        <v>Number of knowledge products</v>
      </c>
      <c r="E3" s="11" t="str">
        <v>Country: India, Ethiopia, Kenya</v>
      </c>
      <c r="F3" s="11">
        <v>1</v>
      </c>
      <c r="G3" s="11">
        <v>31820</v>
      </c>
      <c r="H3" s="11">
        <f>SUM(G3:G3)</f>
      </c>
      <c r="I3" s="11" t="str">
        <v>as per the description</v>
      </c>
    </row>
    <row r="4" ht="50" customHeight="1">
      <c r="A4" s="11" t="str">
        <v>AOW01</v>
      </c>
      <c r="B4" s="11" t="str">
        <v xml:space="preserve">1.3: Farmer utilization and adoption of AI-enabled advisory services </v>
      </c>
      <c r="C4" s="11" t="str">
        <v>Responsible AI and Ethical Guardrails: deliver a workshop with AI use cases in East Africa on human-centered AI and how to consider context, gender, and risk in designing AI solution. Focus on new, farmer-centered data ownership models and co-design a set of tools like consent forms to help innovation teams integrate responsible AI in the innovation design process.</v>
      </c>
      <c r="D4" s="11" t="str">
        <v>Number of knowledge products</v>
      </c>
      <c r="E4" s="11" t="str">
        <v>Country: Kenya, Ethiopia, Malawi</v>
      </c>
      <c r="F4" s="11">
        <v>1</v>
      </c>
      <c r="G4" s="11">
        <v>34776</v>
      </c>
      <c r="H4" s="11">
        <f>SUM(G4:G4)</f>
      </c>
      <c r="I4" s="11" t="str">
        <v>as per the description</v>
      </c>
    </row>
    <row r="5" ht="25" customHeight="1">
      <c r="B5" s="14" t="str">
        <v>HLO budget subtotal</v>
      </c>
      <c r="H5" s="15">
        <f>SUM(H3:H4)</f>
      </c>
    </row>
    <row r="6" ht="50" customHeight="1">
      <c r="A6" s="13" t="str">
        <v>AOW02</v>
      </c>
      <c r="B6" s="11" t="str">
        <v xml:space="preserve">2.1: Enhanced resolution, accuracy and timeliness of early warning system </v>
      </c>
      <c r="C6" s="11" t="str">
        <v>Enhanced operational early warning systems for pests and disease forecasting in different cropping systems (banana, bean)</v>
      </c>
      <c r="D6" s="11" t="str">
        <v>Number of knowledge products</v>
      </c>
      <c r="E6" s="11" t="str">
        <v>Country: Colombia, Rwanda, Uganda, The Socialist Republic of Viet Nam, The Democratic Republic of the Congo</v>
      </c>
      <c r="F6" s="11">
        <v>10</v>
      </c>
      <c r="G6" s="11">
        <v>128878</v>
      </c>
      <c r="H6" s="11">
        <f>SUM(G6:G6)</f>
      </c>
      <c r="I6" s="11" t="str">
        <v>as per the description</v>
      </c>
    </row>
    <row r="7" ht="25" customHeight="1">
      <c r="B7" s="15" t="str">
        <v>HLO budget subtotal</v>
      </c>
      <c r="H7" s="15">
        <f>SUM(H6:H6)</f>
      </c>
    </row>
    <row r="8" ht="50" customHeight="1">
      <c r="A8" s="13" t="str">
        <v>AOW03</v>
      </c>
      <c r="B8" s="11" t="str">
        <v xml:space="preserve">3.2. Validated, farm-level management solutions </v>
      </c>
      <c r="C8" s="11" t="str">
        <v>KPI 4: Integrated plant health management packages, grounded in evidence, that reduce biotic pressures limiting crop performance</v>
      </c>
      <c r="D8" s="11" t="str">
        <v>Number of knowledge products</v>
      </c>
      <c r="E8" s="11" t="str">
        <v>Country: Ethiopia, Peru, Nigeria, The Socialist Republic of Viet Nam, Colombia, Rwanda, Uganda, The Democratic Republic of the Congo</v>
      </c>
      <c r="F8" s="11">
        <v>4</v>
      </c>
      <c r="G8" s="11">
        <v>16647</v>
      </c>
      <c r="H8" s="11">
        <f>SUM(G8:G9)</f>
      </c>
      <c r="I8" s="11" t="str">
        <v>Innovation process will progress to lead to knowledge products</v>
      </c>
    </row>
    <row r="9" ht="50" customHeight="1">
      <c r="A9" s="11" t="str">
        <v>AOW03</v>
      </c>
      <c r="C9" s="11" t="str">
        <v>KPI 4: Integrated plant health management packages, grounded in evidence, that reduce biotic pressures limiting crop performance</v>
      </c>
      <c r="D9" s="11" t="str">
        <v>Number of innovations (innovation development)</v>
      </c>
      <c r="E9" s="11" t="str">
        <v>Country: Rwanda, Colombia, Zambia, Comoros, Mozambique, The Democratic Republic of the Congo, Malawi, The Socialist Republic of Viet Nam, Uganda, Kenya, Madagascar, Tanzania, United Republic, Nigeria</v>
      </c>
      <c r="F9" s="11">
        <v>3</v>
      </c>
      <c r="G9" s="11">
        <v>116525</v>
      </c>
      <c r="I9" s="11" t="str">
        <v>as per the description</v>
      </c>
    </row>
    <row r="10" ht="50" customHeight="1">
      <c r="A10" s="11" t="str">
        <v>AOW03</v>
      </c>
      <c r="B10" s="11" t="str">
        <v xml:space="preserve">3.3: Scaled and adopted farm management solutions </v>
      </c>
      <c r="C10" s="11" t="str">
        <v>KPI 6: Systematic assessment capturing farmer uptake, contextual adaptation, and scaling trajectories of validated solutions addressing binding constraints</v>
      </c>
      <c r="D10" s="11" t="str">
        <v>Number of people trained (capacity sharing for development)</v>
      </c>
      <c r="E10" s="11" t="str">
        <v>Country: Mexico, Ethiopia, Malawi, Nepal, Bangladesh, Kenya, Lao People's Democratic Republic, India, Rwanda, The Democratic Republic of the Congo, The Socialist Republic of Viet Nam, Colombia, Uganda</v>
      </c>
      <c r="F10" s="11">
        <v>20000</v>
      </c>
      <c r="G10" s="11">
        <v>33293</v>
      </c>
      <c r="H10" s="11">
        <f>SUM(G10:G10)</f>
      </c>
      <c r="I10" s="11" t="str">
        <v>2026 Budget</v>
      </c>
    </row>
    <row r="11" ht="25" customHeight="1">
      <c r="B11" s="15" t="str">
        <v>HLO budget subtotal</v>
      </c>
      <c r="H11" s="15">
        <f>SUM(H8:H10)</f>
      </c>
    </row>
    <row r="12" ht="50" customHeight="1">
      <c r="A12" s="13" t="str">
        <v>AOW05</v>
      </c>
      <c r="B12" s="11" t="str">
        <v>5.3 FAIR, AI-ready data corpus, data and metadata standards</v>
      </c>
      <c r="C12" s="11" t="str">
        <v>Integrated portals and dashboards across all AoWs, with user-friendly features for stakeholders to interactively explore assets, outputs and impact, download aggregated data, view analytical summaries of innovations enabled through web interfaces, APIs, and direct downloads to support accelerated analytics by humans and machines.</v>
      </c>
      <c r="D12" s="11" t="str">
        <v>Number of knowledge products</v>
      </c>
      <c r="E12" s="11" t="str">
        <v>Global</v>
      </c>
      <c r="F12" s="11">
        <v>1</v>
      </c>
      <c r="G12" s="11">
        <v>31820</v>
      </c>
      <c r="H12" s="11">
        <f>SUM(G12:G13)</f>
      </c>
      <c r="I12" s="11" t="str">
        <v>as per the description</v>
      </c>
    </row>
    <row r="13" ht="50" customHeight="1">
      <c r="A13" s="11" t="str">
        <v>AOW05</v>
      </c>
      <c r="C13" s="11" t="str">
        <v>Data-to-model pipelines and APIs made available for scientists to use FAIR, AI-ready data (using existing elements developed through previous Science Portfolios where relevant (e.g., GARDIAN, Data Lake, Adaptation Atlas, Climate Hub).</v>
      </c>
      <c r="D13" s="11" t="str">
        <v>Number of knowledge products</v>
      </c>
      <c r="E13" s="11" t="str">
        <v>Country: Kenya</v>
      </c>
      <c r="F13" s="11">
        <v>3</v>
      </c>
      <c r="G13" s="11">
        <v>31820</v>
      </c>
      <c r="I13" s="11" t="str">
        <v>as per the description</v>
      </c>
    </row>
    <row r="14" ht="25" customHeight="1">
      <c r="B14" s="15" t="str">
        <v>HLO budget subtotal</v>
      </c>
      <c r="H14" s="15">
        <f>SUM(H12:H13)</f>
      </c>
    </row>
  </sheetData>
  <mergeCells count="17">
    <mergeCell ref="A1:A2"/>
    <mergeCell ref="B1:B2"/>
    <mergeCell ref="C1:G1"/>
    <mergeCell ref="H1:H2"/>
    <mergeCell ref="I1:I2"/>
    <mergeCell ref="B5:G5"/>
    <mergeCell ref="A3:A5"/>
    <mergeCell ref="B7:G7"/>
    <mergeCell ref="A6:A7"/>
    <mergeCell ref="B8:B9"/>
    <mergeCell ref="H8:H9"/>
    <mergeCell ref="B11:G11"/>
    <mergeCell ref="A8:A11"/>
    <mergeCell ref="B12:B13"/>
    <mergeCell ref="H12:H13"/>
    <mergeCell ref="B14:G14"/>
    <mergeCell ref="A12:A14"/>
  </mergeCells>
  <ignoredErrors>
    <ignoredError numberStoredAsText="1" sqref="A1:I14"/>
  </ignoredErrors>
</worksheet>
</file>

<file path=xl/worksheets/sheet4.xml><?xml version="1.0" encoding="utf-8"?>
<worksheet xmlns="http://schemas.openxmlformats.org/spreadsheetml/2006/main" xmlns:r="http://schemas.openxmlformats.org/officeDocument/2006/relationships">
  <dimension ref="A1:F12"/>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AOW01</v>
      </c>
      <c r="B2" s="11" t="str">
        <v>Rwanda Agriculture and Animal Resources Development Board</v>
      </c>
      <c r="C2" s="11" t="str">
        <v>1.3: Farmer utilization and adoption of AI-enabled advisory services</v>
      </c>
      <c r="D2" s="11" t="str">
        <v>Rwanda</v>
      </c>
      <c r="E2" s="11">
        <v>0</v>
      </c>
    </row>
    <row r="3" ht="70" customHeight="1">
      <c r="A3" s="11" t="str">
        <v>AOW01</v>
      </c>
      <c r="B3" s="11" t="str">
        <v>Kenya Agricultural and Livestock Research Organization</v>
      </c>
      <c r="C3" s="11" t="str">
        <v>1.1: Agronomic and farm management scientific data and analytics, 1.2: Benchmarking and performance validation systems</v>
      </c>
      <c r="D3" s="11" t="str">
        <v>Kenya</v>
      </c>
      <c r="E3" s="11">
        <v>5000</v>
      </c>
      <c r="F3" s="11" t="str">
        <v>2026 budget</v>
      </c>
    </row>
    <row r="4" ht="25" customHeight="1">
      <c r="B4" s="14" t="str">
        <v>Contracted partners subtotal</v>
      </c>
      <c r="E4" s="14">
        <f>SUM(E2:E3)</f>
      </c>
    </row>
    <row r="5" ht="70" customHeight="1">
      <c r="A5" s="12" t="str">
        <v>AOW02</v>
      </c>
      <c r="B5" s="11" t="str">
        <v>Kenya Agricultural and Livestock Research Organization</v>
      </c>
      <c r="C5" s="11" t="str">
        <v>2.3: Responses effectiveness and trade-offs to climate, pests and diseases shocks</v>
      </c>
      <c r="D5" s="11" t="str">
        <v>Kenya</v>
      </c>
      <c r="E5" s="11">
        <v>0</v>
      </c>
    </row>
    <row r="6" ht="70" customHeight="1">
      <c r="A6" s="11" t="str">
        <v>AOW02</v>
      </c>
      <c r="B6" s="11" t="str">
        <v>Rwanda Agriculture and Animal Resources Development Board</v>
      </c>
      <c r="C6" s="11" t="str">
        <v>2.1: Enhanced resolution, accuracy and timeliness of early warning system</v>
      </c>
      <c r="D6" s="11" t="str">
        <v>Rwanda</v>
      </c>
      <c r="E6" s="11">
        <v>10000</v>
      </c>
      <c r="F6" s="11" t="str">
        <v>as per the description</v>
      </c>
    </row>
    <row r="7" ht="25" customHeight="1">
      <c r="B7" s="14" t="str">
        <v>Contracted partners subtotal</v>
      </c>
      <c r="E7" s="14">
        <f>SUM(E5:E6)</f>
      </c>
    </row>
    <row r="8" ht="70" customHeight="1">
      <c r="A8" s="12" t="str">
        <v>AOW03</v>
      </c>
      <c r="B8" s="11" t="str">
        <v>Rwanda Agriculture and Animal Resources Development Board</v>
      </c>
      <c r="C8" s="11" t="str">
        <v>3.2. Validated, farm-level management solutions, 3.1: Farm-level diagnostic evidence on soil, plant, water, and socio-economic constraints</v>
      </c>
      <c r="D8" s="11" t="str">
        <v>Rwanda</v>
      </c>
      <c r="E8" s="11">
        <v>0</v>
      </c>
    </row>
    <row r="9" ht="70" customHeight="1">
      <c r="A9" s="11" t="str">
        <v>AOW03</v>
      </c>
      <c r="B9" s="11" t="str">
        <v>Kenya Agricultural and Livestock Research Organization</v>
      </c>
      <c r="C9" s="11" t="str">
        <v>3.2. Validated, farm-level management solutions</v>
      </c>
      <c r="D9" s="11" t="str">
        <v>Kenya</v>
      </c>
      <c r="E9" s="11">
        <v>0</v>
      </c>
    </row>
    <row r="10" ht="25" customHeight="1">
      <c r="B10" s="14" t="str">
        <v>Contracted partners subtotal</v>
      </c>
      <c r="E10" s="14">
        <f>SUM(E8:E9)</f>
      </c>
    </row>
    <row r="11" ht="70" customHeight="1">
      <c r="A11" s="12" t="str">
        <v>AOW05</v>
      </c>
      <c r="B11" s="11" t="str">
        <v>Kenya Agricultural and Livestock Research Organization</v>
      </c>
      <c r="C11" s="11" t="str">
        <v>5.2: Well- documented and communicated SFP impact assessments</v>
      </c>
      <c r="D11" s="11" t="str">
        <v>Kenya</v>
      </c>
      <c r="E11" s="11">
        <v>0</v>
      </c>
    </row>
    <row r="12" ht="25" customHeight="1">
      <c r="B12" s="14" t="str">
        <v>Contracted partners subtotal</v>
      </c>
      <c r="E12" s="14">
        <f>SUM(E11:E11)</f>
      </c>
    </row>
  </sheetData>
  <mergeCells count="8">
    <mergeCell ref="B4:D4"/>
    <mergeCell ref="A2:A4"/>
    <mergeCell ref="B7:D7"/>
    <mergeCell ref="A5:A7"/>
    <mergeCell ref="B10:D10"/>
    <mergeCell ref="A8:A10"/>
    <mergeCell ref="B12:D12"/>
    <mergeCell ref="A11:A12"/>
  </mergeCells>
  <ignoredErrors>
    <ignoredError numberStoredAsText="1" sqref="A1:F12"/>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5"/>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xml:space="preserve">
      <c r="A2" s="18" t="str" xml:space="preserve">
        <v xml:space="preserve">Digital inclusivity of AI advisories and SFP solutions assessed using CGIAR Inclusivity Index to ensure equitable access for women, youth, and disadvantaged groups.
 </v>
      </c>
      <c r="B2" s="19" t="str">
        <v>AOW00</v>
      </c>
      <c r="C2" s="18" t="str">
        <v xml:space="preserve">5b: CGIAR and its partners leverage standardized tools, MELIA frameworks, partnership platforms, and FAIR, AI-ready </v>
      </c>
      <c r="D2" s="19">
        <v>0</v>
      </c>
      <c r="E2" s="19" t="str">
        <f>=SUM(D2:D4)</f>
        <v>0</v>
      </c>
    </row>
    <row r="3" ht="30" customHeight="1" xml:space="preserve">
      <c r="A3" s="18" t="str" xml:space="preserve">
        <v xml:space="preserve">Digital inclusivity of AI advisories and SFP solutions assessed using CGIAR Inclusivity Index to ensure equitable access for women, youth, and disadvantaged groups.
 </v>
      </c>
      <c r="B3" s="19" t="str">
        <v>AOW05</v>
      </c>
      <c r="C3" s="18" t="str">
        <v xml:space="preserve">5.4: SFP teams and partners use Standard MELIA tools and KPI framework </v>
      </c>
      <c r="D3" s="19">
        <v>0</v>
      </c>
    </row>
    <row r="4" ht="30" customHeight="1" xml:space="preserve">
      <c r="A4" s="18" t="str" xml:space="preserve">
        <v xml:space="preserve">Digital inclusivity of AI advisories and SFP solutions assessed using CGIAR Inclusivity Index to ensure equitable access for women, youth, and disadvantaged groups.
 </v>
      </c>
      <c r="B4" s="19" t="str">
        <v>AOW01</v>
      </c>
      <c r="C4" s="18" t="str">
        <v xml:space="preserve">1.3: Partners adopt benchmarking tools </v>
      </c>
      <c r="D4" s="19">
        <v>0</v>
      </c>
    </row>
    <row r="5" ht="30" customHeight="1">
      <c r="A5" s="3" t="str">
        <v>MELIA Studies Budget subtotal</v>
      </c>
      <c r="E5" s="3">
        <f>SUM(E2:E4)</f>
      </c>
    </row>
  </sheetData>
  <mergeCells count="3">
    <mergeCell ref="A2:A4"/>
    <mergeCell ref="E2:E4"/>
    <mergeCell ref="A5:D5"/>
  </mergeCells>
  <ignoredErrors>
    <ignoredError numberStoredAsText="1" sqref="A1:F5"/>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20" t="str">
        <v>Collaborators non-CGIAR centers</v>
      </c>
      <c r="B2" s="20">
        <v>110000</v>
      </c>
      <c r="C2" s="20">
        <v>5000</v>
      </c>
      <c r="D2" s="20">
        <v>10000</v>
      </c>
      <c r="E2" s="20">
        <v>0</v>
      </c>
      <c r="F2" s="20">
        <v>0</v>
      </c>
      <c r="G2" s="20">
        <v>0</v>
      </c>
      <c r="H2" s="20" t="str">
        <f>=SUM(B2:G2)</f>
        <v>0</v>
      </c>
    </row>
    <row r="3" ht="20" customHeight="1">
      <c r="A3" s="20" t="str">
        <v>Operations (supplies, consultants, travels, workshops, other)</v>
      </c>
      <c r="B3" s="20">
        <v>285000</v>
      </c>
      <c r="C3" s="20">
        <v>19979</v>
      </c>
      <c r="D3" s="20">
        <v>38664</v>
      </c>
      <c r="E3" s="20">
        <v>49939</v>
      </c>
      <c r="F3" s="20">
        <v>0</v>
      </c>
      <c r="G3" s="20">
        <v>19092</v>
      </c>
      <c r="H3" s="20" t="str">
        <f>=SUM(B3:G3)</f>
        <v>0</v>
      </c>
    </row>
    <row r="4" ht="20" customHeight="1">
      <c r="A4" s="20" t="str">
        <v>Staffing, Chargebacks and Indirect</v>
      </c>
      <c r="B4" s="20">
        <v>40000</v>
      </c>
      <c r="C4" s="20">
        <v>46617</v>
      </c>
      <c r="D4" s="20">
        <v>90214</v>
      </c>
      <c r="E4" s="20">
        <v>116526</v>
      </c>
      <c r="F4" s="20">
        <v>0</v>
      </c>
      <c r="G4" s="20">
        <v>44548</v>
      </c>
      <c r="H4" s="20" t="str">
        <f>=SUM(B4:G4)</f>
        <v>0</v>
      </c>
    </row>
    <row r="5" ht="20" customHeight="1">
      <c r="A5" s="21" t="str">
        <v>Subtotal</v>
      </c>
      <c r="B5" s="22" t="str">
        <f>=SUM(B2:B4)</f>
        <v>0</v>
      </c>
      <c r="C5" s="23" t="str">
        <f>=SUM(C2:C4)</f>
        <v>0</v>
      </c>
      <c r="D5" s="23" t="str">
        <f>=SUM(D2:D4)</f>
        <v>0</v>
      </c>
      <c r="E5" s="23" t="str">
        <f>=SUM(E2:E4)</f>
        <v>0</v>
      </c>
      <c r="F5" s="23" t="str">
        <f>=SUM(F2:F4)</f>
        <v>0</v>
      </c>
      <c r="G5" s="23" t="str">
        <f>=SUM(G2:G4)</f>
        <v>0</v>
      </c>
      <c r="H5" s="23" t="str">
        <f>=SUM(H2:H4)</f>
        <v>0</v>
      </c>
    </row>
  </sheetData>
  <ignoredErrors>
    <ignoredError numberStoredAsText="1" sqref="A1:H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