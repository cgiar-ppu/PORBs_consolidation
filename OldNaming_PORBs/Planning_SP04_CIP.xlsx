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41</v>
      </c>
      <c r="C5" s="5">
        <v>240900</v>
      </c>
      <c r="D5" s="2">
        <v>1</v>
      </c>
      <c r="E5" s="5">
        <v>71000</v>
      </c>
      <c r="F5" s="2">
        <v>0</v>
      </c>
      <c r="G5" s="5">
        <v>0</v>
      </c>
      <c r="H5" s="2">
        <v>0</v>
      </c>
      <c r="I5" s="5">
        <v>0</v>
      </c>
      <c r="J5" s="5">
        <v>0</v>
      </c>
      <c r="K5" s="5">
        <v>0</v>
      </c>
      <c r="L5" s="5">
        <v>311900</v>
      </c>
      <c r="M5" s="5">
        <v>0</v>
      </c>
    </row>
    <row r="6" ht="20" customHeight="1">
      <c r="A6" s="2" t="str">
        <v>AOW02: Landscape Optimization and Inclusive Planning</v>
      </c>
      <c r="B6" s="2">
        <v>0</v>
      </c>
      <c r="C6" s="5">
        <v>0</v>
      </c>
      <c r="D6" s="2">
        <v>2</v>
      </c>
      <c r="E6" s="5">
        <v>18230</v>
      </c>
      <c r="F6" s="2">
        <v>0</v>
      </c>
      <c r="G6" s="5">
        <v>0</v>
      </c>
      <c r="H6" s="2">
        <v>0</v>
      </c>
      <c r="I6" s="5">
        <v>0</v>
      </c>
      <c r="J6" s="5">
        <v>0</v>
      </c>
      <c r="K6" s="5">
        <v>0</v>
      </c>
      <c r="L6" s="5">
        <v>18230</v>
      </c>
      <c r="M6" s="5">
        <v>6538</v>
      </c>
    </row>
    <row r="7" ht="20" customHeight="1">
      <c r="A7" s="2" t="str">
        <v>AOW03: Business Models, Markets, and Sustainable Finance</v>
      </c>
      <c r="B7" s="2">
        <v>3</v>
      </c>
      <c r="C7" s="5">
        <v>68336</v>
      </c>
      <c r="D7" s="2">
        <v>0</v>
      </c>
      <c r="E7" s="5">
        <v>0</v>
      </c>
      <c r="F7" s="2">
        <v>100</v>
      </c>
      <c r="G7" s="5">
        <v>66044</v>
      </c>
      <c r="H7" s="2">
        <v>0</v>
      </c>
      <c r="I7" s="5">
        <v>0</v>
      </c>
      <c r="J7" s="5">
        <v>0</v>
      </c>
      <c r="K7" s="5">
        <v>0</v>
      </c>
      <c r="L7" s="5">
        <v>134380</v>
      </c>
      <c r="M7" s="5">
        <v>90000</v>
      </c>
    </row>
    <row r="8" ht="20" customHeight="1">
      <c r="A8" s="2" t="str">
        <v>AOW04: Governance, Institutions, Policy, and Inclusion</v>
      </c>
      <c r="B8" s="2">
        <v>0</v>
      </c>
      <c r="C8" s="5">
        <v>0</v>
      </c>
      <c r="D8" s="2">
        <v>1</v>
      </c>
      <c r="E8" s="5">
        <v>29168</v>
      </c>
      <c r="F8" s="2">
        <v>200</v>
      </c>
      <c r="G8" s="5">
        <v>41044</v>
      </c>
      <c r="H8" s="2">
        <v>1</v>
      </c>
      <c r="I8" s="5">
        <v>14584</v>
      </c>
      <c r="J8" s="5">
        <v>0</v>
      </c>
      <c r="K8" s="5">
        <v>0</v>
      </c>
      <c r="L8" s="5">
        <v>84796</v>
      </c>
      <c r="M8" s="5">
        <v>50000</v>
      </c>
    </row>
    <row r="9" ht="20" customHeight="1">
      <c r="A9" s="2" t="str">
        <v>AOW05: Performance Assessments &amp; Evidence Generation</v>
      </c>
      <c r="B9" s="2">
        <v>0</v>
      </c>
      <c r="C9" s="5">
        <v>0</v>
      </c>
      <c r="D9" s="2">
        <v>0</v>
      </c>
      <c r="E9" s="5">
        <v>0</v>
      </c>
      <c r="F9" s="2">
        <v>0</v>
      </c>
      <c r="G9" s="5">
        <v>0</v>
      </c>
      <c r="H9" s="2">
        <v>0</v>
      </c>
      <c r="I9" s="5">
        <v>0</v>
      </c>
      <c r="J9" s="5">
        <v>0</v>
      </c>
      <c r="K9" s="5">
        <v>0</v>
      </c>
      <c r="L9" s="5">
        <v>0</v>
      </c>
      <c r="M9" s="5">
        <v>50000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v>
      </c>
      <c r="D3" s="11" t="str">
        <v>Number of innovations (innovation development)</v>
      </c>
      <c r="E3" s="11" t="str">
        <v>Country: Colombia, The Socialist Republic of Viet Nam, Peru</v>
      </c>
      <c r="F3" s="11">
        <v>6</v>
      </c>
      <c r="G3" s="11">
        <v>7100</v>
      </c>
      <c r="H3" s="11">
        <f>SUM(G3:G6)</f>
      </c>
      <c r="I3" s="11" t="str">
        <v>.</v>
      </c>
    </row>
    <row r="4" ht="50" customHeight="1" xml:space="preserve">
      <c r="A4" s="11" t="str">
        <v>AOW01</v>
      </c>
      <c r="C4" s="11" t="str" xml:space="preserve">
        <v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v>
      </c>
      <c r="D4" s="11" t="str">
        <v>Number of innovations (innovation development)</v>
      </c>
      <c r="E4" s="11" t="str">
        <v>Country: Colombia, Peru, The Socialist Republic of Viet Nam</v>
      </c>
      <c r="F4" s="11">
        <v>1</v>
      </c>
      <c r="G4" s="11">
        <v>156200</v>
      </c>
      <c r="I4" s="11" t="str">
        <v>.</v>
      </c>
    </row>
    <row r="5" ht="50" customHeight="1" xml:space="preserve">
      <c r="A5" s="11" t="str">
        <v>AOW01</v>
      </c>
      <c r="C5" s="11" t="str" xml:space="preserve">
        <v xml:space="preserve">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v>
      </c>
      <c r="D5" s="11" t="str">
        <v>Number of innovations (innovation development)</v>
      </c>
      <c r="E5" s="11" t="str">
        <v>Country: Peru, Colombia</v>
      </c>
      <c r="F5" s="11">
        <v>30</v>
      </c>
      <c r="G5" s="11">
        <v>77600</v>
      </c>
      <c r="I5" s="11" t="str">
        <v>.</v>
      </c>
    </row>
    <row r="6" ht="50" customHeight="1" xml:space="preserve">
      <c r="A6" s="11" t="str">
        <v>AOW01</v>
      </c>
      <c r="C6" s="11" t="str" xml:space="preserve">
        <v xml:space="preserve">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v>
      </c>
      <c r="D6" s="11" t="str">
        <v>Number of knowledge products</v>
      </c>
      <c r="E6" s="11" t="str">
        <v>Country: Peru</v>
      </c>
      <c r="F6" s="11">
        <v>1</v>
      </c>
      <c r="G6" s="11">
        <v>71000</v>
      </c>
      <c r="I6" s="11" t="str">
        <v>.</v>
      </c>
    </row>
    <row r="7" ht="50" customHeight="1">
      <c r="A7" s="11" t="str">
        <v>AOW01</v>
      </c>
      <c r="B7" s="11" t="str">
        <v>OP 1.1.3. – Common pool resource bundles</v>
      </c>
      <c r="C7" s="11" t="str">
        <v>Number of innovations for the optimal management of common pool resources and derived ecosystem services</v>
      </c>
      <c r="D7" s="11" t="str">
        <v>Number of innovations (innovation development)</v>
      </c>
      <c r="E7" s="11" t="str">
        <v>Country: Zimbabwe, The Socialist Republic of Viet Nam, Colombia, India, Senegal, Peru, Cambodia, Kenya, Lao People's Democratic Republic, Tunisia, Tanzania, United Republic</v>
      </c>
      <c r="F7" s="11">
        <v>2</v>
      </c>
      <c r="G7" s="11">
        <v>0</v>
      </c>
      <c r="H7" s="11">
        <f>SUM(G7:G7)</f>
      </c>
    </row>
    <row r="8" ht="50" customHeight="1">
      <c r="A8" s="11" t="str">
        <v>AOW01</v>
      </c>
      <c r="B8" s="11" t="str">
        <v>OP 1.2.4. – Protected area solutions</v>
      </c>
      <c r="C8" s="11" t="str">
        <v>Number of innovations that enhance protected area management with local livelihood benefits.</v>
      </c>
      <c r="D8" s="11" t="str">
        <v>Number of innovations (innovation development)</v>
      </c>
      <c r="E8" s="11" t="str">
        <v>Country: Zimbabwe, The Socialist Republic of Viet Nam, Colombia, Tanzania, United Republic, Senegal, Tunisia, Lao People's Democratic Republic, India, Peru, Kenya, Cambodia</v>
      </c>
      <c r="F8" s="11">
        <v>2</v>
      </c>
      <c r="G8" s="11">
        <v>0</v>
      </c>
      <c r="H8" s="11">
        <f>SUM(G8:G8)</f>
      </c>
    </row>
    <row r="9" ht="25" customHeight="1">
      <c r="B9" s="14" t="str">
        <v>HLO budget subtotal</v>
      </c>
      <c r="H9" s="15">
        <f>SUM(H3:H8)</f>
      </c>
    </row>
    <row r="10" ht="50" customHeight="1" xml:space="preserve">
      <c r="A10" s="13" t="str">
        <v>AOW02</v>
      </c>
      <c r="B10" s="11" t="str">
        <v>OP 2.2.3. – Integrated planning &amp; scenarios</v>
      </c>
      <c r="C10" s="11" t="str" xml:space="preserve">
        <v xml:space="preserve">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v>
      </c>
      <c r="D10" s="11" t="str">
        <v>Number of knowledge products</v>
      </c>
      <c r="E10" s="11" t="str">
        <v>Country: Peru</v>
      </c>
      <c r="F10" s="11">
        <v>2</v>
      </c>
      <c r="G10" s="11">
        <v>18230</v>
      </c>
      <c r="H10" s="11">
        <f>SUM(G10:G10)</f>
      </c>
      <c r="I10" s="11" t="str">
        <v>.</v>
      </c>
    </row>
    <row r="11" ht="25" customHeight="1">
      <c r="B11" s="15" t="str">
        <v>HLO budget subtotal</v>
      </c>
      <c r="H11" s="15">
        <f>SUM(H10:H10)</f>
      </c>
    </row>
    <row r="12" ht="50" customHeight="1" xml:space="preserve">
      <c r="A12" s="13" t="str">
        <v>AOW03</v>
      </c>
      <c r="B12" s="11" t="str">
        <v>OP 3.2.2. Inclusive business models</v>
      </c>
      <c r="C12" s="11" t="str" xml:space="preserve">
        <v xml:space="preserve">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v>
      </c>
      <c r="D12" s="11" t="str">
        <v>Number of innovations (innovation development)</v>
      </c>
      <c r="E12" s="11" t="str">
        <v>Country: Colombia</v>
      </c>
      <c r="F12" s="11">
        <v>3</v>
      </c>
      <c r="G12" s="11">
        <v>68336</v>
      </c>
      <c r="H12" s="11">
        <f>SUM(G12:G12)</f>
      </c>
      <c r="I12" s="11" t="str">
        <v>.</v>
      </c>
    </row>
    <row r="13" ht="50" customHeight="1" xml:space="preserve">
      <c r="A13" s="11" t="str">
        <v>AOW03</v>
      </c>
      <c r="B13" s="11" t="str">
        <v>OP 3.3.3. Co-designed inclusive market and non-market mechanisms for optimizing ecosystem services</v>
      </c>
      <c r="C13" s="11" t="str" xml:space="preserve">
        <v xml:space="preserve">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v>
      </c>
      <c r="D13" s="11" t="str">
        <v>Number of people trained (capacity sharing for development)</v>
      </c>
      <c r="E13" s="11" t="str">
        <v>Country: Peru, Colombia</v>
      </c>
      <c r="F13" s="11">
        <v>100</v>
      </c>
      <c r="G13" s="11">
        <v>66044</v>
      </c>
      <c r="H13" s="11">
        <f>SUM(G13:G13)</f>
      </c>
      <c r="I13" s="11" t="str">
        <v>.</v>
      </c>
    </row>
    <row r="14" ht="25" customHeight="1">
      <c r="B14" s="15" t="str">
        <v>HLO budget subtotal</v>
      </c>
      <c r="H14" s="15">
        <f>SUM(H12:H13)</f>
      </c>
    </row>
    <row r="15" ht="50" customHeight="1" xml:space="preserve">
      <c r="A15" s="13" t="str">
        <v>AOW04</v>
      </c>
      <c r="B15" s="11" t="str">
        <v>OP 4.1.1. Inclusive governance architectures</v>
      </c>
      <c r="C15" s="11" t="str" xml:space="preserve">
        <v xml:space="preserve">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v>
      </c>
      <c r="D15" s="11" t="str">
        <v>Number of knowledge products</v>
      </c>
      <c r="E15" s="11" t="str">
        <v>Country: Peru</v>
      </c>
      <c r="F15" s="11">
        <v>1</v>
      </c>
      <c r="G15" s="11">
        <v>29168</v>
      </c>
      <c r="H15" s="11">
        <f>SUM(G15:G15)</f>
      </c>
      <c r="I15" s="11" t="str">
        <v>.</v>
      </c>
    </row>
    <row r="16" ht="50" customHeight="1" xml:space="preserve">
      <c r="A16" s="11" t="str">
        <v>AOW04</v>
      </c>
      <c r="B16" s="11" t="str">
        <v>OP 4.1.2 GEYSI for co-creation and inclusive governance</v>
      </c>
      <c r="C16" s="11" t="str" xml:space="preserve">
        <v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v>
      </c>
      <c r="D16" s="11" t="str">
        <v>Number of people trained (capacity sharing for development)</v>
      </c>
      <c r="E16" s="11" t="str">
        <v>Country: Colombia, Peru</v>
      </c>
      <c r="F16" s="11">
        <v>200</v>
      </c>
      <c r="G16" s="11">
        <v>41044</v>
      </c>
      <c r="H16" s="11">
        <f>SUM(G16:G16)</f>
      </c>
      <c r="I16" s="11" t="str">
        <v>.</v>
      </c>
    </row>
    <row r="17" ht="50" customHeight="1" xml:space="preserve">
      <c r="A17" s="11" t="str">
        <v>AOW04</v>
      </c>
      <c r="B17" s="11" t="str">
        <v>OP 4.2.1. Institutional, social and behavioral mechanisms</v>
      </c>
      <c r="C17" s="11"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v>
      </c>
      <c r="D17" s="11" t="str">
        <v xml:space="preserve"> Number of engagement strategies</v>
      </c>
      <c r="E17" s="11" t="str">
        <v>Country: Peru, India, Tunisia, The Socialist Republic of Viet Nam</v>
      </c>
      <c r="F17" s="11">
        <v>1</v>
      </c>
      <c r="G17" s="11">
        <v>14584</v>
      </c>
      <c r="H17" s="11">
        <f>SUM(G17:G17)</f>
      </c>
      <c r="I17" s="11" t="str">
        <v>.</v>
      </c>
    </row>
    <row r="18" ht="25" customHeight="1">
      <c r="B18" s="15" t="str">
        <v>HLO budget subtotal</v>
      </c>
      <c r="H18" s="15">
        <f>SUM(H15:H17)</f>
      </c>
    </row>
  </sheetData>
  <mergeCells count="15">
    <mergeCell ref="A1:A2"/>
    <mergeCell ref="B1:B2"/>
    <mergeCell ref="C1:G1"/>
    <mergeCell ref="H1:H2"/>
    <mergeCell ref="I1:I2"/>
    <mergeCell ref="B3:B6"/>
    <mergeCell ref="H3:H6"/>
    <mergeCell ref="B9:G9"/>
    <mergeCell ref="A3:A9"/>
    <mergeCell ref="B11:G11"/>
    <mergeCell ref="A10:A11"/>
    <mergeCell ref="B14:G14"/>
    <mergeCell ref="A12:A14"/>
    <mergeCell ref="B18:G18"/>
    <mergeCell ref="A15:A18"/>
  </mergeCells>
  <ignoredErrors>
    <ignoredError numberStoredAsText="1" sqref="A1:I1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1571-FAO0 - Youth, Citizen Science and E-commerce: scaling integrated conservation solutions and farmers’ rights by connecting key diversity hotspots: Bolivia, Chile, and Peru</v>
      </c>
      <c r="B2" s="19" t="str">
        <v>AOW00</v>
      </c>
      <c r="C2" s="18" t="str">
        <v>Poverty Reduction, Livelihoods and Jobs</v>
      </c>
      <c r="D2" s="19">
        <v>0</v>
      </c>
      <c r="E2" s="19" t="str">
        <f>=SUM(D2:D6)</f>
        <v>0</v>
      </c>
    </row>
    <row r="3" ht="30" customHeight="1">
      <c r="A3" s="18" t="str">
        <v>1571-FAO0 - Youth, Citizen Science and E-commerce: scaling integrated conservation solutions and farmers’ rights by connecting key diversity hotspots: Bolivia, Chile, and Peru</v>
      </c>
      <c r="B3" s="19" t="str">
        <v>AOW04</v>
      </c>
      <c r="C3" s="18" t="str">
        <v>I-OC 4.2 Women, youth, Indigenous People and other marginalized groups shape planning, governance, market and nonmarket incentives</v>
      </c>
      <c r="D3" s="19">
        <v>50000</v>
      </c>
      <c r="F3" s="19" t="str">
        <v>.</v>
      </c>
    </row>
    <row r="4" ht="30" customHeight="1">
      <c r="A4" s="18" t="str">
        <v>1571-FAO0 - Youth, Citizen Science and E-commerce: scaling integrated conservation solutions and farmers’ rights by connecting key diversity hotspots: Bolivia, Chile, and Peru</v>
      </c>
      <c r="B4" s="19" t="str">
        <v>AOW05</v>
      </c>
      <c r="C4" s="18" t="str">
        <v>AOW-IOC 5.2 Landscape stakeholders contribute to data analysis and knowledge production</v>
      </c>
      <c r="D4" s="19">
        <v>50000</v>
      </c>
      <c r="F4" s="19" t="str">
        <v>.</v>
      </c>
    </row>
    <row r="5" ht="30" customHeight="1">
      <c r="A5" s="18" t="str">
        <v>1571-FAO0 - Youth, Citizen Science and E-commerce: scaling integrated conservation solutions and farmers’ rights by connecting key diversity hotspots: Bolivia, Chile, and Peru</v>
      </c>
      <c r="B5" s="19" t="str">
        <v>AOW02</v>
      </c>
      <c r="C5" s="18" t="str">
        <v>OP 2.2.4. – Digital Twins for foresight</v>
      </c>
      <c r="D5" s="19">
        <v>6538</v>
      </c>
      <c r="F5" s="19" t="str">
        <v>.</v>
      </c>
    </row>
    <row r="6" ht="30" customHeight="1">
      <c r="A6" s="18" t="str">
        <v>1571-FAO0 - Youth, Citizen Science and E-commerce: scaling integrated conservation solutions and farmers’ rights by connecting key diversity hotspots: Bolivia, Chile, and Peru</v>
      </c>
      <c r="B6" s="19" t="str">
        <v>AOW03</v>
      </c>
      <c r="C6" s="18" t="str">
        <v>OP 3.2.2. Inclusive business models</v>
      </c>
      <c r="D6" s="19">
        <v>90000</v>
      </c>
      <c r="F6" s="19" t="str">
        <v>.</v>
      </c>
    </row>
    <row r="7" ht="30" customHeight="1">
      <c r="A7" s="18" t="str">
        <v>P-1580-IAI0-Market-led Transformation of the Root and Tuber</v>
      </c>
      <c r="B7" s="19" t="str">
        <v>AOW00</v>
      </c>
      <c r="C7" s="18" t="str">
        <v>2030 OC-3 National and sub-national public actors, market and finance sector actors co-design, implement, and sustain coordinated, inclusive and coherent policy, institutional, organizational, market and non-market innovations</v>
      </c>
      <c r="D7" s="19">
        <v>0</v>
      </c>
      <c r="E7" s="19" t="str">
        <f>=SUM(D7:D7)</f>
        <v>0</v>
      </c>
    </row>
    <row r="8" ht="30" customHeight="1">
      <c r="A8" s="3" t="str">
        <v>W3/Bilateral projects subtotal</v>
      </c>
      <c r="E8" s="3">
        <f>SUM(E2:E7)</f>
      </c>
    </row>
  </sheetData>
  <mergeCells count="3">
    <mergeCell ref="A2:A6"/>
    <mergeCell ref="E2:E6"/>
    <mergeCell ref="A8:D8"/>
  </mergeCells>
  <ignoredErrors>
    <ignoredError numberStoredAsText="1" sqref="A1:F8"/>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12931</v>
      </c>
      <c r="F2" s="20">
        <v>0</v>
      </c>
      <c r="G2" s="20">
        <v>0</v>
      </c>
      <c r="H2" s="20" t="str">
        <f>=SUM(B2:G2)</f>
        <v>0</v>
      </c>
    </row>
    <row r="3" ht="20" customHeight="1">
      <c r="A3" s="20" t="str">
        <v>Operations (supplies, consultants, travels, workshops, other)</v>
      </c>
      <c r="B3" s="20">
        <v>0</v>
      </c>
      <c r="C3" s="20">
        <v>8720</v>
      </c>
      <c r="D3" s="20">
        <v>0</v>
      </c>
      <c r="E3" s="20">
        <v>5864</v>
      </c>
      <c r="F3" s="20">
        <v>20495</v>
      </c>
      <c r="G3" s="20">
        <v>0</v>
      </c>
      <c r="H3" s="20" t="str">
        <f>=SUM(B3:G3)</f>
        <v>0</v>
      </c>
    </row>
    <row r="4" ht="20" customHeight="1">
      <c r="A4" s="20" t="str">
        <v>Staffing, Chargebacks and Indirect</v>
      </c>
      <c r="B4" s="20">
        <v>0</v>
      </c>
      <c r="C4" s="20">
        <v>303180</v>
      </c>
      <c r="D4" s="20">
        <v>18230</v>
      </c>
      <c r="E4" s="20">
        <v>115585</v>
      </c>
      <c r="F4" s="20">
        <v>64301</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