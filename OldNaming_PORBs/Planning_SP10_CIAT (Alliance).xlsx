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270925</v>
      </c>
    </row>
    <row r="5" ht="20" customHeight="1">
      <c r="A5" s="2" t="str">
        <v>AOW01: Accelerating Solutions for Impact</v>
      </c>
      <c r="B5" s="2">
        <v>4</v>
      </c>
      <c r="C5" s="5">
        <v>85000</v>
      </c>
      <c r="D5" s="2">
        <v>5</v>
      </c>
      <c r="E5" s="5">
        <v>204075</v>
      </c>
      <c r="F5" s="2">
        <v>0</v>
      </c>
      <c r="G5" s="5">
        <v>0</v>
      </c>
      <c r="H5" s="2">
        <v>10</v>
      </c>
      <c r="I5" s="5">
        <v>6000</v>
      </c>
      <c r="J5" s="5">
        <v>0</v>
      </c>
      <c r="K5" s="5">
        <v>0</v>
      </c>
      <c r="L5" s="5">
        <v>295075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2</v>
      </c>
      <c r="E6" s="5">
        <v>41450</v>
      </c>
      <c r="F6" s="2">
        <v>55</v>
      </c>
      <c r="G6" s="5">
        <v>17750</v>
      </c>
      <c r="H6" s="2">
        <v>0</v>
      </c>
      <c r="I6" s="5">
        <v>0</v>
      </c>
      <c r="J6" s="5">
        <v>0</v>
      </c>
      <c r="K6" s="5">
        <v>0</v>
      </c>
      <c r="L6" s="5">
        <v>59200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 xml:space="preserve">1.2.1: Co-designed socio-technical innovation bundles for productivity and resilience </v>
      </c>
      <c r="C3" s="11" t="str">
        <v xml:space="preserve"> Co-designed guides for bundled innovations equip decision-makers and frontline workers with practical tools, metrics, and analytics to monitor and address structural barriers to gender equality and social inclusion. They combine technical and gender-transformative strategies, enabling data-driven decisions, participatory engagement, and evidence-based scaling of inclusive agrifood system interventions                       </v>
      </c>
      <c r="D3" s="11" t="str">
        <v>Number of innovations (innovation development)</v>
      </c>
      <c r="E3" s="11" t="str">
        <v>Country: Ethiopia, Uganda, Kenya</v>
      </c>
      <c r="F3" s="11">
        <v>2</v>
      </c>
      <c r="G3" s="11">
        <v>50000</v>
      </c>
      <c r="H3" s="11">
        <f>SUM(G3:G3)</f>
      </c>
      <c r="I3" s="11" t="str">
        <v>Collaborating partners, non-contracted: National Agricultural Research Organization; Kenya Agricultural and Livestock Research Organization; Ethiopian Institute of Agricultural Research</v>
      </c>
    </row>
    <row r="4" ht="50" customHeight="1">
      <c r="A4" s="11" t="str">
        <v>AOW01</v>
      </c>
      <c r="B4" s="11" t="str">
        <v>1.2.2: Performance and cost effectiveness of socio-technical bundles</v>
      </c>
      <c r="C4" s="11" t="str">
        <v>Generate evidence on value-for-money and affordability, provider and household costs, equity-sensitive scenarios, and targeting rules to prioritize cost-effective bundles and de-risk public/partner investments.</v>
      </c>
      <c r="D4" s="11" t="str">
        <v>Number of knowledge products</v>
      </c>
      <c r="E4" s="11" t="str">
        <v>Country: Uganda, Ethiopia, Kenya</v>
      </c>
      <c r="F4" s="11">
        <v>2</v>
      </c>
      <c r="G4" s="11">
        <v>100000</v>
      </c>
      <c r="H4" s="11">
        <f>SUM(G4:G4)</f>
      </c>
      <c r="I4" s="11" t="str">
        <v>Collaborating partners, non-contracted: National Agricultural Research Organization; Kenya Agricultural and Livestock Research Organization; Ethiopian Institute of Agricultural Research</v>
      </c>
    </row>
    <row r="5" ht="50" customHeight="1">
      <c r="A5" s="11" t="str">
        <v>AOW01</v>
      </c>
      <c r="B5" s="11" t="str">
        <v xml:space="preserve">1.2.3: Scaling socio-technical innovation bundles  </v>
      </c>
      <c r="C5" s="11" t="str">
        <v>Scaling roadmaps validated with multiple institutions to ensure gender-responsive, inclusive innovations are effectively scaled - assessing feasibility, embedding accountability metrics, and integrating validated pathways into mandates, SOPs, budgets, and financing mechanisms for sustained replication and institutionalized coordination</v>
      </c>
      <c r="D5" s="11" t="str">
        <v>Number of innovations (innovation development)</v>
      </c>
      <c r="E5" s="11" t="str">
        <v>Country: Ethiopia, Kenya, Uganda</v>
      </c>
      <c r="F5" s="11">
        <v>2</v>
      </c>
      <c r="G5" s="11">
        <v>35000</v>
      </c>
      <c r="H5" s="11">
        <f>SUM(G5:G5)</f>
      </c>
      <c r="I5" s="11" t="str">
        <v>Collaborating partners, non-contracted: National Agricultural Research Organization; Kenya Agricultural and Livestock Research Organization; Ethiopian Institute of Agricultural Research</v>
      </c>
    </row>
    <row r="6" ht="50" customHeight="1">
      <c r="A6" s="11" t="str">
        <v>AOW01</v>
      </c>
      <c r="B6" s="11" t="str">
        <v xml:space="preserve">1.3.2: Financial and extension systems for resources and livelihoods </v>
      </c>
      <c r="C6" s="11" t="str">
        <v>Evidence on specific demand- and supply-side barriers and solutions to increase women’s access to climate finance synthesized and disseminated to key national climate finance stakeholders to inform the design of innovative finance products</v>
      </c>
      <c r="D6" s="11" t="str">
        <v>Number of knowledge products</v>
      </c>
      <c r="E6" s="11" t="str">
        <v>Country: Jordan</v>
      </c>
      <c r="F6" s="11">
        <v>1</v>
      </c>
      <c r="G6" s="11">
        <v>37000</v>
      </c>
      <c r="H6" s="11">
        <f>SUM(G6:G6)</f>
      </c>
      <c r="I6" s="11" t="str">
        <v>Collaborating partners, non-contracted: WFP Country Office (Jordan); UN Women (Jordan); Microfund for Women (Jordan)</v>
      </c>
    </row>
    <row r="7" ht="50" customHeight="1">
      <c r="A7" s="11" t="str">
        <v>AOW01</v>
      </c>
      <c r="B7" s="11" t="str">
        <v>1.3.3: Effective interventions within social protection systems for resilience</v>
      </c>
      <c r="C7" s="11" t="str">
        <v xml:space="preserve">South-south knowledge and capacity sharing on the integration of gender into adaptive and shock-responsive social protection    </v>
      </c>
      <c r="D7" s="11" t="str">
        <v xml:space="preserve"> Number of stakeholders involved in learning and strategic events</v>
      </c>
      <c r="E7" s="11" t="str">
        <v>Country: Zambia, Kenya</v>
      </c>
      <c r="F7" s="11">
        <v>10</v>
      </c>
      <c r="G7" s="11">
        <v>6000</v>
      </c>
      <c r="H7" s="11">
        <f>SUM(G7:G8)</f>
      </c>
      <c r="I7" s="11" t="str">
        <v>Collaborating partners, non-contracted: State Department for Social Protection &amp; Senior Citizen Affairs (Kenya)</v>
      </c>
    </row>
    <row r="8" ht="50" customHeight="1">
      <c r="A8" s="11" t="str">
        <v>AOW01</v>
      </c>
      <c r="C8" s="11" t="str">
        <v>Evidence on intersectionality of climate and gender vulnerabilities to develop climate- and gender-sensitive social protection approaches</v>
      </c>
      <c r="D8" s="11" t="str">
        <v>Number of knowledge products</v>
      </c>
      <c r="E8" s="11" t="str">
        <v>Country: Zambia, Kenya</v>
      </c>
      <c r="F8" s="11">
        <v>2</v>
      </c>
      <c r="G8" s="11">
        <v>67075</v>
      </c>
      <c r="I8" s="11" t="str">
        <v>Collaborating partners, non-contracted: State Department for Social Protection &amp; Senior Citizen Affairs (Kenya)</v>
      </c>
    </row>
    <row r="9" ht="25" customHeight="1">
      <c r="B9" s="14" t="str">
        <v>HLO budget subtotal</v>
      </c>
      <c r="H9" s="15">
        <f>SUM(H3:H8)</f>
      </c>
    </row>
    <row r="10" ht="50" customHeight="1">
      <c r="A10" s="13" t="str">
        <v>AOW02</v>
      </c>
      <c r="B10" s="11" t="str">
        <v xml:space="preserve">2.3.1: Learning resources </v>
      </c>
      <c r="C10" s="11" t="str">
        <v>Competency framework and associated practical checklist, practical markers and user guide developed to standardize GESI-robust design, implementation, and monitoring</v>
      </c>
      <c r="D10" s="11" t="str">
        <v>Number of knowledge products</v>
      </c>
      <c r="E10" s="11" t="str">
        <v>Global</v>
      </c>
      <c r="F10" s="11">
        <v>1</v>
      </c>
      <c r="G10" s="11">
        <v>10000</v>
      </c>
      <c r="H10" s="11">
        <f>SUM(G10:G10)</f>
      </c>
      <c r="I10" s="11" t="str">
        <v>N/A</v>
      </c>
    </row>
    <row r="11" ht="50" customHeight="1">
      <c r="A11" s="11" t="str">
        <v>AOW02</v>
      </c>
      <c r="B11" s="11" t="str">
        <v>2.3.2: Training for gender equality, youth and social inclusion research quality and uptake</v>
      </c>
      <c r="C11" s="11" t="str">
        <v>Number of master’s and doctoral students receiving fellowship funding for socio-technical innovation bundle research</v>
      </c>
      <c r="D11" s="11" t="str">
        <v>Number of people trained (capacity sharing for development)</v>
      </c>
      <c r="E11" s="11" t="str">
        <v>Country: Kenya, Uganda</v>
      </c>
      <c r="F11" s="11">
        <v>5</v>
      </c>
      <c r="G11" s="11">
        <v>7750</v>
      </c>
      <c r="H11" s="11">
        <f>SUM(G11:G13)</f>
      </c>
      <c r="I11" s="11" t="str">
        <v>Funds will be allocated competitively through a call for proposals</v>
      </c>
    </row>
    <row r="12" ht="50" customHeight="1">
      <c r="A12" s="11" t="str">
        <v>AOW02</v>
      </c>
      <c r="C12" s="11" t="str">
        <v>Training extension officers on scaling Gender-Transformative Socio-Technical Innovation Bundles (GTSTIBs)</v>
      </c>
      <c r="D12" s="11" t="str">
        <v>Number of people trained (capacity sharing for development)</v>
      </c>
      <c r="E12" s="11" t="str">
        <v>Country: Kenya, Uganda</v>
      </c>
      <c r="F12" s="11">
        <v>50</v>
      </c>
      <c r="G12" s="11">
        <v>10000</v>
      </c>
      <c r="I12" s="11" t="str">
        <v>Collaborating partners, non-contracted: Kenya Agricultural and Livestock Research Organization; National Agricultural Research Organization; Wageningen University and Research Centre; Egerton University</v>
      </c>
    </row>
    <row r="13" ht="50" customHeight="1">
      <c r="A13" s="11" t="str">
        <v>AOW02</v>
      </c>
      <c r="C13" s="11" t="str">
        <v>Published training and capacity‑sharing modules on theoretical concepts and practical applications of gender and climate security approaches developed for use by key government and HDP nexus partners</v>
      </c>
      <c r="D13" s="11" t="str">
        <v>Number of knowledge products</v>
      </c>
      <c r="E13" s="11" t="str">
        <v>Global</v>
      </c>
      <c r="F13" s="11">
        <v>1</v>
      </c>
      <c r="G13" s="11">
        <v>31450</v>
      </c>
      <c r="I13" s="11" t="str">
        <v>N/A</v>
      </c>
    </row>
    <row r="14" ht="25" customHeight="1">
      <c r="B14" s="15" t="str">
        <v>HLO budget subtotal</v>
      </c>
      <c r="H14" s="15">
        <f>SUM(H10:H13)</f>
      </c>
    </row>
  </sheetData>
  <mergeCells count="13">
    <mergeCell ref="A1:A2"/>
    <mergeCell ref="B1:B2"/>
    <mergeCell ref="C1:G1"/>
    <mergeCell ref="H1:H2"/>
    <mergeCell ref="I1:I2"/>
    <mergeCell ref="B7:B8"/>
    <mergeCell ref="H7:H8"/>
    <mergeCell ref="B9:G9"/>
    <mergeCell ref="A3:A9"/>
    <mergeCell ref="B11:B13"/>
    <mergeCell ref="H11:H13"/>
    <mergeCell ref="B14:G14"/>
    <mergeCell ref="A10:A14"/>
  </mergeCells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CANADA -GAC - Beans For Women For Empowerment  In Eastern DRC (BEANS4WOMEN)</v>
      </c>
      <c r="B2" s="19" t="str">
        <v>AOW00</v>
      </c>
      <c r="C2" s="18" t="str">
        <v>1.2 Evidence-based support for women and youth empowerment</v>
      </c>
      <c r="D2" s="19">
        <v>102400</v>
      </c>
      <c r="E2" s="19" t="str">
        <f>=SUM(D2:D2)</f>
        <v>0</v>
      </c>
    </row>
    <row r="3" ht="30" customHeight="1">
      <c r="A3" s="18" t="str">
        <v>GAC-SCALING UP CLIMATE INFORMATION SERVICES AND CLIMATE- SMART AGRICULTURE FOR WOMEN FARMERS IN NICARAGUA’S  DRY CORRIDOR</v>
      </c>
      <c r="B3" s="19" t="str">
        <v>AOW00</v>
      </c>
      <c r="C3" s="18" t="str">
        <v>1.2 Evidence-based support for women and youth empowerment</v>
      </c>
      <c r="D3" s="19">
        <v>168525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47582</v>
      </c>
      <c r="D3" s="20">
        <v>3439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0</v>
      </c>
      <c r="C4" s="20">
        <v>247493</v>
      </c>
      <c r="D4" s="20">
        <v>55761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