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4</v>
      </c>
      <c r="C5" s="5">
        <v>68000</v>
      </c>
      <c r="D5" s="2">
        <v>2</v>
      </c>
      <c r="E5" s="5">
        <v>23033</v>
      </c>
      <c r="F5" s="2">
        <v>0</v>
      </c>
      <c r="G5" s="5">
        <v>0</v>
      </c>
      <c r="H5" s="2">
        <v>0</v>
      </c>
      <c r="I5" s="5">
        <v>0</v>
      </c>
      <c r="J5" s="5">
        <v>0</v>
      </c>
      <c r="K5" s="5">
        <v>0</v>
      </c>
      <c r="L5" s="5">
        <v>91033</v>
      </c>
      <c r="M5" s="5">
        <v>0</v>
      </c>
    </row>
    <row r="6" ht="20" customHeight="1">
      <c r="A6" s="2" t="str">
        <v>AOW02: Enabling Preparedness and Rapid Response to Emerging Shocks</v>
      </c>
      <c r="B6" s="2">
        <v>0</v>
      </c>
      <c r="C6" s="5">
        <v>0</v>
      </c>
      <c r="D6" s="2">
        <v>0</v>
      </c>
      <c r="E6" s="5">
        <v>0</v>
      </c>
      <c r="F6" s="2">
        <v>0</v>
      </c>
      <c r="G6" s="5">
        <v>0</v>
      </c>
      <c r="H6" s="2">
        <v>0</v>
      </c>
      <c r="I6" s="5">
        <v>0</v>
      </c>
      <c r="J6" s="5">
        <v>0</v>
      </c>
      <c r="K6" s="5">
        <v>0</v>
      </c>
      <c r="L6" s="5">
        <v>0</v>
      </c>
      <c r="M6" s="5">
        <v>0</v>
      </c>
    </row>
    <row r="7" ht="20" customHeight="1">
      <c r="A7" s="2" t="str">
        <v>AOW03: Delivering Integrated Solutions to Systemic Farm-Level Binding Constraints</v>
      </c>
      <c r="B7" s="2">
        <v>12</v>
      </c>
      <c r="C7" s="5">
        <v>127737</v>
      </c>
      <c r="D7" s="2">
        <v>7</v>
      </c>
      <c r="E7" s="5">
        <v>27500</v>
      </c>
      <c r="F7" s="2">
        <v>150</v>
      </c>
      <c r="G7" s="5">
        <v>48000</v>
      </c>
      <c r="H7" s="2">
        <v>0</v>
      </c>
      <c r="I7" s="5">
        <v>0</v>
      </c>
      <c r="J7" s="5">
        <v>0</v>
      </c>
      <c r="K7" s="5">
        <v>0</v>
      </c>
      <c r="L7" s="5">
        <v>203237</v>
      </c>
      <c r="M7" s="5">
        <v>489437</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2</v>
      </c>
      <c r="C9" s="5">
        <v>27000</v>
      </c>
      <c r="D9" s="2">
        <v>2</v>
      </c>
      <c r="E9" s="5">
        <v>18000</v>
      </c>
      <c r="F9" s="2">
        <v>50000</v>
      </c>
      <c r="G9" s="5">
        <v>53417</v>
      </c>
      <c r="H9" s="2">
        <v>16</v>
      </c>
      <c r="I9" s="5">
        <v>45427</v>
      </c>
      <c r="J9" s="5">
        <v>0</v>
      </c>
      <c r="K9" s="5">
        <v>15000</v>
      </c>
      <c r="L9" s="5">
        <v>158844</v>
      </c>
      <c r="M9" s="5">
        <v>826776</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2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A curated “Golden Q&amp;A” (1000 dataset/entries) to address core user challenges/farmer queries and strengthen the performance of current AI-enabled advisory tools (e.g., TUNAIMI, CROPPIE, AgWise)</v>
      </c>
      <c r="D3" s="11" t="str">
        <v>Number of knowledge products</v>
      </c>
      <c r="E3" s="11" t="str">
        <v>Global</v>
      </c>
      <c r="F3" s="11">
        <v>1</v>
      </c>
      <c r="G3" s="11">
        <v>15000</v>
      </c>
      <c r="H3" s="11">
        <f>SUM(G3:G7)</f>
      </c>
      <c r="I3" s="11" t="str">
        <v xml:space="preserve">Accessing a high-capacity server, collaborative centers share data </v>
      </c>
    </row>
    <row r="4" ht="50" customHeight="1">
      <c r="A4" s="11" t="str">
        <v>AOW01</v>
      </c>
      <c r="C4" s="11" t="str">
        <v xml:space="preserve">Functional variability (fertilizer price shifts and local input access) into Farmer.Chat and aligned tools (AgWise chatbot and virtual agronomist) to generate improved context-specific recommendations that accommodate risk, cost and effectiveness </v>
      </c>
      <c r="D4" s="11" t="str">
        <v>Number of innovations (innovation development)</v>
      </c>
      <c r="E4" s="11" t="str">
        <v>Country: Bangladesh, Malawi, Mexico, India, Kenya, Ethiopia, Ghana</v>
      </c>
      <c r="F4" s="11">
        <v>2</v>
      </c>
      <c r="G4" s="11">
        <v>16000</v>
      </c>
      <c r="I4" s="11" t="str">
        <v xml:space="preserve">Budget allocation assumes staff time for AI analytic content development for the local context and interfaces for farmer service delivery </v>
      </c>
    </row>
    <row r="5" ht="50" customHeight="1">
      <c r="A5" s="11" t="str">
        <v>AOW01</v>
      </c>
      <c r="C5" s="11" t="str">
        <v>Structured and clean Artificial /machine learning (AI/ML) ready data repository for land and soil, cropping system, water, and agronomic management (Innovation)</v>
      </c>
      <c r="D5" s="11" t="str">
        <v>Number of innovations (innovation development)</v>
      </c>
      <c r="E5" s="11" t="str">
        <v>Country: Ethiopia</v>
      </c>
      <c r="F5" s="11">
        <v>1</v>
      </c>
      <c r="G5" s="11">
        <v>22000</v>
      </c>
      <c r="I5" s="11" t="str">
        <v xml:space="preserve">Accessing a high-capacity server, collaborative centers share data </v>
      </c>
    </row>
    <row r="6" ht="50" customHeight="1" xml:space="preserve">
      <c r="A6" s="11" t="str">
        <v>AOW01</v>
      </c>
      <c r="C6" s="11" t="str" xml:space="preserve">
        <v xml:space="preserve">Machine Learning (ML) models for crop-type classification and yield monitoring with reproducible training scripts, and benchmark datasets
 </v>
      </c>
      <c r="D6" s="11" t="str">
        <v>Number of innovations (innovation development)</v>
      </c>
      <c r="E6" s="11" t="str">
        <v>Country: Ethiopia</v>
      </c>
      <c r="F6" s="11">
        <v>1</v>
      </c>
      <c r="G6" s="11">
        <v>30000</v>
      </c>
      <c r="I6" s="11" t="str">
        <v xml:space="preserve">Maintaining of current budget scenario and collection of real time feature data </v>
      </c>
    </row>
    <row r="7" ht="50" customHeight="1">
      <c r="A7" s="11" t="str">
        <v>AOW01</v>
      </c>
      <c r="C7" s="11" t="str">
        <v>Machine Learning (ML) models for crop-type classification and yield monitoring with reproducible training scripts, and benchmark datasets (Report)</v>
      </c>
      <c r="D7" s="11" t="str">
        <v>Number of knowledge products</v>
      </c>
      <c r="E7" s="11" t="str">
        <v>Country: Ethiopia</v>
      </c>
      <c r="F7" s="11">
        <v>1</v>
      </c>
      <c r="G7" s="11">
        <v>8033</v>
      </c>
      <c r="I7" s="11" t="str">
        <v xml:space="preserve">Maintaining of current budget scenario and collection of real time feature data </v>
      </c>
    </row>
    <row r="8" ht="25" customHeight="1">
      <c r="B8" s="14" t="str">
        <v>HLO budget subtotal</v>
      </c>
      <c r="H8" s="15">
        <f>SUM(H3:H7)</f>
      </c>
    </row>
    <row r="9" ht="50" customHeight="1" xml:space="preserve">
      <c r="A9" s="13" t="str">
        <v>AOW03</v>
      </c>
      <c r="B9" s="11" t="str">
        <v xml:space="preserve">3.1: Farm-level diagnostic evidence on soil, plant, water, and socio-economic constraints </v>
      </c>
      <c r="C9" s="11" t="str" xml:space="preserve">
        <v xml:space="preserve">Critical capabilities that enable R&amp;D to design, test, and refine sustainable farming innovations targeting priority farm-level constraints
 </v>
      </c>
      <c r="D9" s="11" t="str">
        <v>Number of people trained (capacity sharing for development)</v>
      </c>
      <c r="E9" s="11" t="str">
        <v>Country: Malawi, Ethiopia</v>
      </c>
      <c r="F9" s="11">
        <v>50</v>
      </c>
      <c r="G9" s="11">
        <v>40000</v>
      </c>
      <c r="H9" s="11">
        <f>SUM(G9:G11)</f>
      </c>
      <c r="I9" s="11" t="str">
        <v>Access to high resolution soil information</v>
      </c>
    </row>
    <row r="10" ht="50" customHeight="1">
      <c r="A10" s="11" t="str">
        <v>AOW03</v>
      </c>
      <c r="C10" s="11" t="str">
        <v>KPI 1: Diagnostic characterization of farm-level binding constraints, with corresponding best-fit solution options integrated into the Sustainable Farming Dashboard (SFD) under AoW5</v>
      </c>
      <c r="D10" s="11" t="str">
        <v>Number of knowledge products</v>
      </c>
      <c r="E10" s="11" t="str">
        <v>Country: Bangladesh, India, Malawi, Kenya, Lao People's Democratic Republic, Ethiopia, Mexico, Nepal, Peru, Ghana, Nigeria</v>
      </c>
      <c r="F10" s="11">
        <v>3</v>
      </c>
      <c r="G10" s="11">
        <v>7500</v>
      </c>
      <c r="I10" s="11" t="str">
        <v>Conflict may affect data collection from experiments</v>
      </c>
    </row>
    <row r="11" ht="50" customHeight="1">
      <c r="A11" s="11" t="str">
        <v>AOW03</v>
      </c>
      <c r="C11" s="11" t="str">
        <v>KPI 1: Diagnostic characterization of farm-level binding constraints, with corresponding best-fit solution options integrated into the Sustainable Farming Dashboard (SFD) under AoW5</v>
      </c>
      <c r="D11" s="11" t="str">
        <v>Number of innovations (innovation development)</v>
      </c>
      <c r="E11" s="11" t="str">
        <v>Country: Malawi, Ethiopia</v>
      </c>
      <c r="F11" s="11">
        <v>2</v>
      </c>
      <c r="G11" s="11">
        <v>25500</v>
      </c>
      <c r="I11" s="11" t="str">
        <v>Access to high resolution soil information</v>
      </c>
    </row>
    <row r="12" ht="50" customHeight="1">
      <c r="A12" s="11" t="str">
        <v>AOW03</v>
      </c>
      <c r="B12" s="11" t="str">
        <v xml:space="preserve">3.2. Validated, farm-level management solutions </v>
      </c>
      <c r="C12" s="11" t="str">
        <v>Critical capabilities that enable R&amp;D to design, test, and refine sustainable farming innovations targeting priority farm-level constraints</v>
      </c>
      <c r="D12" s="11" t="str">
        <v>Number of knowledge products</v>
      </c>
      <c r="E12" s="11" t="str">
        <v>Country: Egypt, Morocco, Sri Lanka, Philippines, India, Malawi, Ethiopia, Nigeria, Cameroon, Côte d'Ivoire, Ghana, Kenya</v>
      </c>
      <c r="F12" s="11">
        <v>1</v>
      </c>
      <c r="G12" s="11">
        <v>8000</v>
      </c>
      <c r="H12" s="11">
        <f>SUM(G12:G15)</f>
      </c>
      <c r="I12" s="11" t="str">
        <v>Access to high resolution soil information</v>
      </c>
    </row>
    <row r="13" ht="50" customHeight="1">
      <c r="A13" s="11" t="str">
        <v>AOW03</v>
      </c>
      <c r="C13" s="11" t="str">
        <v>KPI 5: Integrated, farm-level intervention packages that tackle clusters of interacting farm-level constraints to optimize agronomic outcomes</v>
      </c>
      <c r="D13" s="11" t="str">
        <v>Number of knowledge products</v>
      </c>
      <c r="E13" s="11" t="str">
        <v>Country: India, Tanzania, United Republic, Morocco, Madagascar, Ghana, Malawi, Kenya, Ethiopia, The Socialist Republic of Viet Nam</v>
      </c>
      <c r="F13" s="11">
        <v>3</v>
      </c>
      <c r="G13" s="11">
        <v>12000</v>
      </c>
      <c r="I13" s="11" t="str">
        <v>Shortage of budget to address wider contexts</v>
      </c>
    </row>
    <row r="14" ht="50" customHeight="1">
      <c r="A14" s="11" t="str">
        <v>AOW03</v>
      </c>
      <c r="C14" s="11" t="str">
        <v>KPI 4: Integrated plant health management packages, grounded in evidence, that reduce biotic pressures limiting crop performance</v>
      </c>
      <c r="D14" s="11" t="str">
        <v>Number of innovations (innovation development)</v>
      </c>
      <c r="E14" s="11" t="str">
        <v>Country: Rwanda, Colombia, Zambia, Comoros, Mozambique, The Democratic Republic of the Congo, Malawi, The Socialist Republic of Viet Nam, Uganda, Kenya, Madagascar, Tanzania, United Republic, Nigeria</v>
      </c>
      <c r="F14" s="11">
        <v>3</v>
      </c>
      <c r="G14" s="11">
        <v>25000</v>
      </c>
      <c r="I14" s="11" t="str">
        <v>Shortage of budget to address wider contexts</v>
      </c>
    </row>
    <row r="15" ht="50" customHeight="1">
      <c r="A15" s="11" t="str">
        <v>AOW03</v>
      </c>
      <c r="C15" s="11" t="str">
        <v>KPI 5: Integrated, farm-level intervention packages that tackle clusters of interacting farm-level constraints to optimize agronomic outcomes</v>
      </c>
      <c r="D15" s="11" t="str">
        <v>Number of innovations (innovation development)</v>
      </c>
      <c r="E15" s="11" t="str">
        <v>Country: Ghana, Bangladesh, Sri Lanka, Nepal, Malawi, Morocco, Mexico, Tanzania, United Republic, Kenya, India, Ethiopia, Madagascar</v>
      </c>
      <c r="F15" s="11">
        <v>7</v>
      </c>
      <c r="G15" s="11">
        <v>77237</v>
      </c>
      <c r="I15" s="11" t="str">
        <v xml:space="preserve">Timely availability of the prototypes </v>
      </c>
    </row>
    <row r="16" ht="50" customHeight="1">
      <c r="A16" s="11" t="str">
        <v>AOW03</v>
      </c>
      <c r="B16" s="11" t="str">
        <v xml:space="preserve">3.3: Scaled and adopted farm management solutions </v>
      </c>
      <c r="C16" s="11" t="str">
        <v>KPI 6: Systematic assessment capturing farmer uptake, contextual adaptation, and scaling trajectories of validated solutions addressing binding constraints</v>
      </c>
      <c r="D16" s="11" t="str">
        <v>Number of people trained (capacity sharing for development)</v>
      </c>
      <c r="E16" s="11" t="str">
        <v>Country: Mexico, Ethiopia, Malawi, Nepal, Bangladesh, Kenya, Lao People's Democratic Republic, India, Rwanda, The Democratic Republic of the Congo, The Socialist Republic of Viet Nam, Colombia, Uganda</v>
      </c>
      <c r="F16" s="11">
        <v>100</v>
      </c>
      <c r="G16" s="11">
        <v>8000</v>
      </c>
      <c r="H16" s="11">
        <f>SUM(G16:G16)</f>
      </c>
      <c r="I16" s="11" t="str">
        <v>2026 Budget</v>
      </c>
    </row>
    <row r="17" ht="25" customHeight="1">
      <c r="B17" s="15" t="str">
        <v>HLO budget subtotal</v>
      </c>
      <c r="H17" s="15">
        <f>SUM(H9:H16)</f>
      </c>
    </row>
    <row r="18" ht="50" customHeight="1">
      <c r="A18" s="13" t="str">
        <v>AOW05</v>
      </c>
      <c r="B18" s="11" t="str">
        <v xml:space="preserve">5.2: Well- documented and communicated SFP impact assessments </v>
      </c>
      <c r="C18" s="11"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D18" s="11" t="str">
        <v>Number of knowledge products</v>
      </c>
      <c r="E18" s="11" t="str">
        <v>Country: Ghana, Nigeria, Malawi, Ethiopia, Kenya</v>
      </c>
      <c r="F18" s="11">
        <v>2</v>
      </c>
      <c r="G18" s="11">
        <v>18000</v>
      </c>
      <c r="H18" s="11">
        <f>SUM(G18:G18)</f>
      </c>
      <c r="I18" s="11" t="str">
        <v xml:space="preserve">Buy in from donors, governments and investors </v>
      </c>
    </row>
    <row r="19" ht="50" customHeight="1">
      <c r="A19" s="11" t="str">
        <v>AOW05</v>
      </c>
      <c r="B19" s="11" t="str">
        <v xml:space="preserve">5.5. Well-documented, widely applicable and replicable partnership platforms </v>
      </c>
      <c r="C19" s="11" t="str">
        <v>Critical capabilities: Institutionalizing/enabling digital extension services (Innovation-R package/API)</v>
      </c>
      <c r="D19" s="11" t="str">
        <v>Number of innovations (innovation development)</v>
      </c>
      <c r="E19" s="11" t="str">
        <v>Country: Ethiopia</v>
      </c>
      <c r="F19" s="11">
        <v>1</v>
      </c>
      <c r="G19" s="11">
        <v>22000</v>
      </c>
      <c r="H19" s="11">
        <f>SUM(G19:G23)</f>
      </c>
      <c r="I19" s="11" t="str">
        <v>Scaling partners are willing to mainstream digital extension services/platform</v>
      </c>
    </row>
    <row r="20" ht="50" customHeight="1">
      <c r="A20" s="11" t="str">
        <v>AOW05</v>
      </c>
      <c r="C20" s="11" t="str">
        <v>Critical capabilities: Stakeholders enabled to institutionalize digital extension services to scale innovations and bundled solutions through the multi-stakeholder platforms</v>
      </c>
      <c r="D20" s="11" t="str">
        <v xml:space="preserve"> Number of partners mainstream digital extension services/platform</v>
      </c>
      <c r="E20" s="11" t="str">
        <v>Country: Ethiopia</v>
      </c>
      <c r="F20" s="11">
        <v>3</v>
      </c>
      <c r="G20" s="11">
        <v>33427</v>
      </c>
      <c r="I20" s="11" t="str">
        <v>PAASS platform operates as planned</v>
      </c>
    </row>
    <row r="21" ht="50" customHeight="1">
      <c r="A21" s="11" t="str">
        <v>AOW05</v>
      </c>
      <c r="C21" s="11"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D21" s="11" t="str">
        <v>Number of innovations (innovation development)</v>
      </c>
      <c r="E21" s="11" t="str">
        <v>Country: The Democratic Republic of the Congo, Ghana, Kenya, Nigeria, Tanzania, United Republic, Malawi, Mexico, Ethiopia, Egypt, Morocco, The Socialist Republic of Viet Nam, India, Philippines, Cambodia</v>
      </c>
      <c r="F21" s="11">
        <v>1</v>
      </c>
      <c r="G21" s="11">
        <v>5000</v>
      </c>
      <c r="I21" s="11" t="str">
        <v>Platform establishement, assuming partner participation</v>
      </c>
    </row>
    <row r="22" ht="50" customHeight="1">
      <c r="A22" s="11" t="str">
        <v>AOW05</v>
      </c>
      <c r="C22"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22" s="11" t="str">
        <v xml:space="preserve"> Number of Partners engaged</v>
      </c>
      <c r="E22" s="11" t="str">
        <v>Country: Kenya, Ghana, Mexico, Malawi, Tanzania, United Republic, Nigeria, Cambodia, India, Philippines, The Socialist Republic of Viet Nam, Ethiopia</v>
      </c>
      <c r="F22" s="11">
        <v>13</v>
      </c>
      <c r="G22" s="11">
        <v>12000</v>
      </c>
      <c r="I22" s="11" t="str">
        <v>Effective coordination mechanism facilitating partnership</v>
      </c>
    </row>
    <row r="23" ht="50" customHeight="1">
      <c r="A23" s="11" t="str">
        <v>AOW05</v>
      </c>
      <c r="C23" s="11" t="str">
        <v>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v>
      </c>
      <c r="D23" s="11" t="str">
        <v>Number of people trained (capacity sharing for development)</v>
      </c>
      <c r="E23" s="11" t="str">
        <v>Global</v>
      </c>
      <c r="F23" s="11">
        <v>50000</v>
      </c>
      <c r="G23" s="11">
        <v>53417</v>
      </c>
      <c r="I23" s="11" t="str">
        <v>Partners co-invest for capacity building, and cascaded training occur as intended</v>
      </c>
    </row>
    <row r="24" ht="25" customHeight="1">
      <c r="B24" s="15" t="str">
        <v>HLO budget subtotal</v>
      </c>
      <c r="H24" s="15">
        <f>SUM(H18:H23)</f>
      </c>
    </row>
  </sheetData>
  <mergeCells count="19">
    <mergeCell ref="A1:A2"/>
    <mergeCell ref="B1:B2"/>
    <mergeCell ref="C1:G1"/>
    <mergeCell ref="H1:H2"/>
    <mergeCell ref="I1:I2"/>
    <mergeCell ref="B3:B7"/>
    <mergeCell ref="H3:H7"/>
    <mergeCell ref="B8:G8"/>
    <mergeCell ref="A3:A8"/>
    <mergeCell ref="B9:B11"/>
    <mergeCell ref="H9:H11"/>
    <mergeCell ref="B12:B15"/>
    <mergeCell ref="H12:H15"/>
    <mergeCell ref="B17:G17"/>
    <mergeCell ref="A9:A17"/>
    <mergeCell ref="B19:B23"/>
    <mergeCell ref="H19:H23"/>
    <mergeCell ref="B24:G24"/>
    <mergeCell ref="A18:A24"/>
  </mergeCells>
  <ignoredErrors>
    <ignoredError numberStoredAsText="1" sqref="A1:I2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11"/>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Developing and introducing high-yielding climate-resilient pigeon pea cultivars for intensification and diversification of cropping systems and to satisfy the nutritional requirement of small holder farmers of Odisha</v>
      </c>
      <c r="B2" s="19" t="str">
        <v>AOW05</v>
      </c>
      <c r="C2" s="18" t="str">
        <v xml:space="preserve">5.5. Well-documented, widely applicable and replicable partnership platforms </v>
      </c>
      <c r="D2" s="19">
        <v>0</v>
      </c>
      <c r="E2" s="19" t="str">
        <f>=SUM(D2:D5)</f>
        <v>0</v>
      </c>
    </row>
    <row r="3" ht="30" customHeight="1">
      <c r="A3" s="18" t="str">
        <v>Developing and introducing high-yielding climate-resilient pigeon pea cultivars for intensification and diversification of cropping systems and to satisfy the nutritional requirement of small holder farmers of Odisha</v>
      </c>
      <c r="B3" s="19" t="str">
        <v>AOW01</v>
      </c>
      <c r="C3" s="18" t="str">
        <v xml:space="preserve">1.3: Partners adopt benchmarking tools </v>
      </c>
      <c r="D3" s="19">
        <v>0</v>
      </c>
    </row>
    <row r="4" ht="30" customHeight="1">
      <c r="A4" s="18" t="str">
        <v>Developing and introducing high-yielding climate-resilient pigeon pea cultivars for intensification and diversification of cropping systems and to satisfy the nutritional requirement of small holder farmers of Odisha</v>
      </c>
      <c r="B4" s="19" t="str">
        <v>AOW03</v>
      </c>
      <c r="C4" s="18" t="str">
        <v xml:space="preserve">3.2. Validated, farm-level management solutions </v>
      </c>
      <c r="D4" s="19">
        <v>211684</v>
      </c>
      <c r="F4" s="19" t="str">
        <v>Complement the plant binding constraint PODs</v>
      </c>
    </row>
    <row r="5" ht="30" customHeight="1">
      <c r="A5" s="18" t="str">
        <v>Developing and introducing high-yielding climate-resilient pigeon pea cultivars for intensification and diversification of cropping systems and to satisfy the nutritional requirement of small holder farmers of Odisha</v>
      </c>
      <c r="B5" s="19" t="str">
        <v>AOW04</v>
      </c>
      <c r="C5" s="18" t="str">
        <v xml:space="preserve">4.1. A pipeline of at least eight high-risk, high-reward, early-stage research ideas </v>
      </c>
      <c r="D5" s="19">
        <v>0</v>
      </c>
    </row>
    <row r="6" ht="30" customHeight="1">
      <c r="A6" s="18" t="str">
        <v>Bihar Centre Of Excellence For Millets Value Chain (BCoEMVC)</v>
      </c>
      <c r="B6" s="19" t="str">
        <v>AOW05</v>
      </c>
      <c r="C6" s="18" t="str">
        <v xml:space="preserve">5.5. Well-documented, widely applicable and replicable partnership platforms </v>
      </c>
      <c r="D6" s="19">
        <v>826776</v>
      </c>
      <c r="E6" s="19" t="str">
        <f>=SUM(D6:D7)</f>
        <v>0</v>
      </c>
      <c r="F6" s="19" t="str">
        <v>2026 budget</v>
      </c>
    </row>
    <row r="7" ht="30" customHeight="1">
      <c r="A7" s="18" t="str">
        <v>Bihar Centre Of Excellence For Millets Value Chain (BCoEMVC)</v>
      </c>
      <c r="B7" s="19" t="str">
        <v>AOW03</v>
      </c>
      <c r="C7" s="18" t="str">
        <v xml:space="preserve">3.2. Validated, farm-level management solutions </v>
      </c>
      <c r="D7" s="19">
        <v>0</v>
      </c>
    </row>
    <row r="8" ht="30" customHeight="1">
      <c r="A8" s="18" t="str">
        <v>Increasing Pulses Productivity and Incomes through Science-led Interventions in rice fallows of Odisha</v>
      </c>
      <c r="B8" s="19" t="str">
        <v>AOW01</v>
      </c>
      <c r="C8" s="18" t="str">
        <v xml:space="preserve">1.1: Partners running AI-enabled advisory services integrate evidence-based data </v>
      </c>
      <c r="D8" s="19">
        <v>0</v>
      </c>
      <c r="E8" s="19" t="str">
        <f>=SUM(D8:D9)</f>
        <v>0</v>
      </c>
    </row>
    <row r="9" ht="30" customHeight="1">
      <c r="A9" s="18" t="str">
        <v>Increasing Pulses Productivity and Incomes through Science-led Interventions in rice fallows of Odisha</v>
      </c>
      <c r="B9" s="19" t="str">
        <v>AOW03</v>
      </c>
      <c r="C9" s="18" t="str">
        <v xml:space="preserve">3.2. Validated, farm-level management solutions </v>
      </c>
      <c r="D9" s="19">
        <v>0</v>
      </c>
    </row>
    <row r="10" ht="30" customHeight="1">
      <c r="A10" s="18" t="str">
        <v>Enhancing groundnut productivity through increased quality seed access in Odisha</v>
      </c>
      <c r="B10" s="19" t="str">
        <v>AOW03</v>
      </c>
      <c r="C10" s="18" t="str">
        <v xml:space="preserve">3.3: Scaled and adopted farm management solutions </v>
      </c>
      <c r="D10" s="19">
        <v>277753</v>
      </c>
      <c r="E10" s="19" t="str">
        <f>=SUM(D10:D10)</f>
        <v>0</v>
      </c>
      <c r="F10" s="19" t="str">
        <v>2026 budget</v>
      </c>
    </row>
    <row r="11" ht="30" customHeight="1">
      <c r="A11" s="3" t="str">
        <v>W3/Bilateral projects subtotal</v>
      </c>
      <c r="E11" s="3">
        <f>SUM(E2:E10)</f>
      </c>
    </row>
  </sheetData>
  <mergeCells count="7">
    <mergeCell ref="A2:A5"/>
    <mergeCell ref="A6:A7"/>
    <mergeCell ref="A8:A9"/>
    <mergeCell ref="E2:E5"/>
    <mergeCell ref="E6:E7"/>
    <mergeCell ref="E8:E9"/>
    <mergeCell ref="A11:D11"/>
  </mergeCells>
  <ignoredErrors>
    <ignoredError numberStoredAsText="1" sqref="A1:F11"/>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0</v>
      </c>
      <c r="C3" s="20">
        <v>34886</v>
      </c>
      <c r="D3" s="20">
        <v>0</v>
      </c>
      <c r="E3" s="20">
        <v>52641</v>
      </c>
      <c r="F3" s="20">
        <v>0</v>
      </c>
      <c r="G3" s="20">
        <v>47095</v>
      </c>
      <c r="H3" s="20" t="str">
        <f>=SUM(B3:G3)</f>
        <v>0</v>
      </c>
    </row>
    <row r="4" ht="20" customHeight="1">
      <c r="A4" s="20" t="str">
        <v>Staffing, Chargebacks and Indirect</v>
      </c>
      <c r="B4" s="20">
        <v>0</v>
      </c>
      <c r="C4" s="20">
        <v>56147</v>
      </c>
      <c r="D4" s="20">
        <v>0</v>
      </c>
      <c r="E4" s="20">
        <v>150596</v>
      </c>
      <c r="F4" s="20">
        <v>0</v>
      </c>
      <c r="G4" s="20">
        <v>111749</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