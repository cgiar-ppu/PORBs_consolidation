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3</v>
      </c>
      <c r="C5" s="5">
        <v>69106</v>
      </c>
      <c r="D5" s="2">
        <v>5</v>
      </c>
      <c r="E5" s="5">
        <v>262518.45999999996</v>
      </c>
      <c r="F5" s="2">
        <v>0</v>
      </c>
      <c r="G5" s="5">
        <v>0</v>
      </c>
      <c r="H5" s="2">
        <v>0</v>
      </c>
      <c r="I5" s="5">
        <v>0</v>
      </c>
      <c r="J5" s="5">
        <v>0</v>
      </c>
      <c r="K5" s="5">
        <v>0</v>
      </c>
      <c r="L5" s="5">
        <v>331624</v>
      </c>
      <c r="M5" s="5">
        <v>0</v>
      </c>
    </row>
    <row r="6" ht="20" customHeight="1">
      <c r="A6" s="2" t="str">
        <v>AOW02: Enabling Preparedness and Rapid Response to Emerging Shocks</v>
      </c>
      <c r="B6" s="2">
        <v>24</v>
      </c>
      <c r="C6" s="5">
        <v>359044.95</v>
      </c>
      <c r="D6" s="2">
        <v>0</v>
      </c>
      <c r="E6" s="5">
        <v>0</v>
      </c>
      <c r="F6" s="2">
        <v>20</v>
      </c>
      <c r="G6" s="5">
        <v>31820.08</v>
      </c>
      <c r="H6" s="2">
        <v>5</v>
      </c>
      <c r="I6" s="5">
        <v>119326.59</v>
      </c>
      <c r="J6" s="5">
        <v>0</v>
      </c>
      <c r="K6" s="5">
        <v>0</v>
      </c>
      <c r="L6" s="5">
        <v>510192</v>
      </c>
      <c r="M6" s="5">
        <v>450295</v>
      </c>
    </row>
    <row r="7" ht="20" customHeight="1">
      <c r="A7" s="2" t="str">
        <v>AOW03: Delivering Integrated Solutions to Systemic Farm-Level Binding Constraints</v>
      </c>
      <c r="B7" s="2">
        <v>2</v>
      </c>
      <c r="C7" s="5">
        <v>207888.86000000002</v>
      </c>
      <c r="D7" s="2">
        <v>3</v>
      </c>
      <c r="E7" s="5">
        <v>278429</v>
      </c>
      <c r="F7" s="2">
        <v>360000</v>
      </c>
      <c r="G7" s="5">
        <v>359586.45</v>
      </c>
      <c r="H7" s="2">
        <v>0</v>
      </c>
      <c r="I7" s="5">
        <v>0</v>
      </c>
      <c r="J7" s="5">
        <v>0</v>
      </c>
      <c r="K7" s="5">
        <v>0</v>
      </c>
      <c r="L7" s="5">
        <v>845904</v>
      </c>
      <c r="M7" s="5">
        <v>576113</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22</v>
      </c>
      <c r="C9" s="5">
        <v>792231.85</v>
      </c>
      <c r="D9" s="2">
        <v>4</v>
      </c>
      <c r="E9" s="5">
        <v>0</v>
      </c>
      <c r="F9" s="2">
        <v>0</v>
      </c>
      <c r="G9" s="5">
        <v>0</v>
      </c>
      <c r="H9" s="2">
        <v>48</v>
      </c>
      <c r="I9" s="5">
        <v>175012.31</v>
      </c>
      <c r="J9" s="5">
        <v>0</v>
      </c>
      <c r="K9" s="5">
        <v>0</v>
      </c>
      <c r="L9" s="5">
        <v>967244</v>
      </c>
      <c r="M9" s="5">
        <v>1996133</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2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New standardized, quality-controlled datasets (30 new standardized dataset) added to an existing corpus of 2200 datasets and 1.8M records available via Carob for analytics and decision support by AI partners e.g. Digital Green and ISDA. Agronomic and farm management datasets will be curated through standardized approaches and protocols and made available in AI compatible format---KPI is Number of Standardized datasets/Knowledge Product</v>
      </c>
      <c r="D3" s="11" t="str">
        <v>Number of knowledge products</v>
      </c>
      <c r="E3" s="11" t="str">
        <v>Global</v>
      </c>
      <c r="F3" s="11">
        <v>4</v>
      </c>
      <c r="G3" s="11">
        <v>127281.68</v>
      </c>
      <c r="H3" s="11">
        <f>SUM(G3:G3)</f>
      </c>
      <c r="I3" s="11" t="str">
        <v>2026 Budget</v>
      </c>
    </row>
    <row r="4" ht="50" customHeight="1">
      <c r="A4" s="11" t="str">
        <v>AOW01</v>
      </c>
      <c r="B4" s="11" t="str">
        <v xml:space="preserve">1.3: Farmer utilization and adoption of AI-enabled advisory services </v>
      </c>
      <c r="C4" s="11" t="str">
        <v>AI tools developed for multiple (3) agroecologies across at least two countries and demonstrated to provide robust, evidence-based agronomic management for local climatic, soil and cultural preferences</v>
      </c>
      <c r="D4" s="11" t="str">
        <v>Number of innovations (innovation development)</v>
      </c>
      <c r="E4" s="11" t="str">
        <v>Country: Kenya, India, Mexico, Bangladesh, Malawi, Ethiopia</v>
      </c>
      <c r="F4" s="11">
        <v>3</v>
      </c>
      <c r="G4" s="11">
        <v>69106</v>
      </c>
      <c r="H4" s="11">
        <f>SUM(G4:G5)</f>
      </c>
      <c r="I4" s="11" t="str">
        <v>2026 budget</v>
      </c>
    </row>
    <row r="5" ht="50" customHeight="1">
      <c r="A5" s="11" t="str">
        <v>AOW01</v>
      </c>
      <c r="C5" s="11" t="str">
        <v>An integrated Feedback, Learning, and Evidence System within AgWise, AKILIMO, Plantvillage and the Virtual Agronomist capturing and analyzing user inputs, enabling real-time refinement of advisories and experimental impact evaluations with integrated qualitative and quantitative data--KPI are 1) innovations and 2) Knowledge products</v>
      </c>
      <c r="D5" s="11" t="str">
        <v>Number of knowledge products</v>
      </c>
      <c r="E5" s="11" t="str">
        <v>Country: Malawi, Tanzania, United Republic, Nigeria, Ghana, Mexico, Ethiopia, The Socialist Republic of Viet Nam, Kenya</v>
      </c>
      <c r="F5" s="11">
        <v>1</v>
      </c>
      <c r="G5" s="11">
        <v>135236.78</v>
      </c>
      <c r="I5" s="11" t="str">
        <v>2026 Budget</v>
      </c>
    </row>
    <row r="6" ht="25" customHeight="1">
      <c r="B6" s="14" t="str">
        <v>HLO budget subtotal</v>
      </c>
      <c r="H6" s="15">
        <f>SUM(H3:H5)</f>
      </c>
    </row>
    <row r="7" ht="50" customHeight="1">
      <c r="A7" s="13" t="str">
        <v>AOW02</v>
      </c>
      <c r="B7" s="11" t="str">
        <v xml:space="preserve">2.1: Enhanced resolution, accuracy and timeliness of early warning system </v>
      </c>
      <c r="C7" s="11" t="str">
        <v>Enhanced data sets to enhance detection, distribution, diversity and forecasting of current and emerging pests or diseases for different cropping systems (yam, bean, cassava, banana, sorghum, potato, and sweet potato)</v>
      </c>
      <c r="D7" s="11" t="str">
        <v>Number of innovations (innovation development)</v>
      </c>
      <c r="E7" s="11" t="str">
        <v>Country: India, Colombia, Tanzania, United Republic, Kenya, Niger, Burkina Faso, Cameroon, Uganda, Nigeria, Zimbabwe, Togo, Mali, Zambia, Ghana, Mozambique, Ethiopia, Chad, South Sudan, Senegal</v>
      </c>
      <c r="F7" s="11">
        <v>10</v>
      </c>
      <c r="G7" s="11">
        <v>21006.25</v>
      </c>
      <c r="H7" s="11">
        <f>SUM(G7:G8)</f>
      </c>
      <c r="I7" s="11" t="str">
        <v>2026 Budget</v>
      </c>
    </row>
    <row r="8" ht="50" customHeight="1">
      <c r="A8" s="11" t="str">
        <v>AOW02</v>
      </c>
      <c r="C8" s="11" t="str">
        <v>Training material and training activities to enhance early detection of water related shocks, pests and disease occurrence using AI and digital tools</v>
      </c>
      <c r="D8" s="11" t="str">
        <v>Number of people trained (capacity sharing for development)</v>
      </c>
      <c r="E8" s="11" t="str">
        <v>Country: Kenya, Ethiopia, Philippines, Netherlands (Kingdom of the), Cameroon, Tanzania, United Republic, The Democratic Republic of the Congo, Nigeria</v>
      </c>
      <c r="F8" s="11">
        <v>20</v>
      </c>
      <c r="G8" s="11">
        <v>31820.08</v>
      </c>
      <c r="I8" s="11" t="str">
        <v>2026 Budget</v>
      </c>
    </row>
    <row r="9" ht="50" customHeight="1">
      <c r="A9" s="11" t="str">
        <v>AOW02</v>
      </c>
      <c r="B9" s="11" t="str">
        <v>2.2: Strategies for response to water related shocks</v>
      </c>
      <c r="C9" s="11" t="str">
        <v>Datasets of field (e.g. longterm experiments, validation trials) or farm household level (impact assessments, response behaviour, adoption likelihood) to guide and evaluate response options.</v>
      </c>
      <c r="D9" s="11" t="str">
        <v>Number of innovations (innovation development)</v>
      </c>
      <c r="E9" s="11" t="str">
        <v>Country: Mexico, Zambia, Ethiopia, Uganda, India, Malawi, Nepal</v>
      </c>
      <c r="F9" s="11">
        <v>14</v>
      </c>
      <c r="G9" s="11">
        <v>338038.7</v>
      </c>
      <c r="H9" s="11">
        <f>SUM(G9:G10)</f>
      </c>
      <c r="I9" s="11" t="str">
        <v>2026 budget</v>
      </c>
    </row>
    <row r="10" ht="50" customHeight="1">
      <c r="A10" s="11" t="str">
        <v>AOW02</v>
      </c>
      <c r="C10" s="11" t="str">
        <v>Datasets of field (e.g. longterm experiments, validation trials) or farm household level (impact assessments, response behaviour, adoption likelihood) to guide and evaluate response options.</v>
      </c>
      <c r="D10" s="11" t="str">
        <v xml:space="preserve"> Number of large datasets</v>
      </c>
      <c r="E10" s="11" t="str">
        <v>Country: Zambia, Uganda, Ethiopia, Malawi, Mexico, Nepal, India</v>
      </c>
      <c r="F10" s="11">
        <v>5</v>
      </c>
      <c r="G10" s="11">
        <v>119326.59</v>
      </c>
      <c r="I10" s="11" t="str">
        <v>2026 budget</v>
      </c>
    </row>
    <row r="11" ht="25" customHeight="1">
      <c r="B11" s="15" t="str">
        <v>HLO budget subtotal</v>
      </c>
      <c r="H11" s="15">
        <f>SUM(H7:H10)</f>
      </c>
    </row>
    <row r="12" ht="50" customHeight="1">
      <c r="A12" s="13" t="str">
        <v>AOW03</v>
      </c>
      <c r="B12" s="11" t="str">
        <v xml:space="preserve">3.1: Farm-level diagnostic evidence on soil, plant, water, and socio-economic constraints </v>
      </c>
      <c r="C12" s="11" t="str">
        <v>KPI 1: Diagnostic characterization of farm-level binding constraints, with corresponding best-fit solution options integrated into the Sustainable Farming Dashboard (SFD) under AoW5</v>
      </c>
      <c r="D12" s="11" t="str">
        <v>Number of knowledge products</v>
      </c>
      <c r="E12" s="11" t="str">
        <v>Country: Bangladesh, India, Malawi, Kenya, Lao People's Democratic Republic, Ethiopia, Mexico, Nepal, Peru, Ghana, Nigeria</v>
      </c>
      <c r="F12" s="11">
        <v>3</v>
      </c>
      <c r="G12" s="11">
        <v>278429</v>
      </c>
      <c r="H12" s="11">
        <f>SUM(G12:G12)</f>
      </c>
      <c r="I12" s="11" t="str">
        <v>2026 Budget</v>
      </c>
    </row>
    <row r="13" ht="50" customHeight="1">
      <c r="A13" s="11" t="str">
        <v>AOW03</v>
      </c>
      <c r="B13" s="11" t="str">
        <v xml:space="preserve">3.2. Validated, farm-level management solutions </v>
      </c>
      <c r="C13" s="11" t="str">
        <v>KPI 4: Integrated plant health management packages, grounded in evidence, that reduce biotic pressures limiting crop performance</v>
      </c>
      <c r="D13" s="11" t="str">
        <v>Number of innovations (innovation development)</v>
      </c>
      <c r="E13" s="11" t="str">
        <v>Country: Rwanda, Colombia, Zambia, Comoros, Mozambique, The Democratic Republic of the Congo, Malawi, The Socialist Republic of Viet Nam, Uganda, Kenya, Madagascar, Tanzania, United Republic, Nigeria</v>
      </c>
      <c r="F13" s="11">
        <v>1</v>
      </c>
      <c r="G13" s="11">
        <v>39780.98</v>
      </c>
      <c r="H13" s="11">
        <f>SUM(G13:G14)</f>
      </c>
      <c r="I13" s="11" t="str">
        <v>2026 Budget</v>
      </c>
    </row>
    <row r="14" ht="50" customHeight="1">
      <c r="A14" s="11" t="str">
        <v>AOW03</v>
      </c>
      <c r="C14" s="11" t="str">
        <v>KPI 5: Integrated, farm-level intervention packages that tackle clusters of interacting farm-level constraints to optimize agronomic outcomes</v>
      </c>
      <c r="D14" s="11" t="str">
        <v>Number of innovations (innovation development)</v>
      </c>
      <c r="E14" s="11" t="str">
        <v>Country: Ghana, Bangladesh, Sri Lanka, Nepal, Malawi, Morocco, Mexico, Tanzania, United Republic, Kenya, India, Ethiopia, Madagascar</v>
      </c>
      <c r="F14" s="11">
        <v>1</v>
      </c>
      <c r="G14" s="11">
        <v>168107.88</v>
      </c>
      <c r="I14" s="11" t="str">
        <v>2026 Budget</v>
      </c>
    </row>
    <row r="15" ht="50" customHeight="1">
      <c r="A15" s="11" t="str">
        <v>AOW03</v>
      </c>
      <c r="B15" s="11" t="str">
        <v xml:space="preserve">3.3: Scaled and adopted farm management solutions </v>
      </c>
      <c r="C15" s="11" t="str">
        <v>KPI 6: Systematic assessment capturing farmer uptake, contextual adaptation, and scaling trajectories of validated solutions addressing binding constraints</v>
      </c>
      <c r="D15" s="11" t="str">
        <v>Number of people trained (capacity sharing for development)</v>
      </c>
      <c r="E15" s="11" t="str">
        <v>Country: Mexico, Ethiopia, Malawi, Nepal, Bangladesh, Kenya, Lao People's Democratic Republic, India, Rwanda, The Democratic Republic of the Congo, The Socialist Republic of Viet Nam, Colombia, Uganda</v>
      </c>
      <c r="F15" s="11">
        <v>360000</v>
      </c>
      <c r="G15" s="11">
        <v>359586.45</v>
      </c>
      <c r="H15" s="11">
        <f>SUM(G15:G15)</f>
      </c>
      <c r="I15" s="11" t="str">
        <v>2026 Budget</v>
      </c>
    </row>
    <row r="16" ht="25" customHeight="1">
      <c r="B16" s="15" t="str">
        <v>HLO budget subtotal</v>
      </c>
      <c r="H16" s="15">
        <f>SUM(H12:H15)</f>
      </c>
    </row>
    <row r="17" ht="50" customHeight="1">
      <c r="A17" s="13" t="str">
        <v>AOW05</v>
      </c>
      <c r="B17" s="11" t="str">
        <v>5.3 FAIR, AI-ready data corpus, data and metadata standards</v>
      </c>
      <c r="C17" s="11" t="str">
        <v xml:space="preserve">New Database of standardized data ("Carob") including workflows to quality-control, clean and render data standards-compliant using R scripts and R packages. </v>
      </c>
      <c r="D17" s="11" t="str">
        <v>Number of knowledge products</v>
      </c>
      <c r="E17" s="11" t="str">
        <v>Country: Malawi, Ethiopia, Ghana, Kenya</v>
      </c>
      <c r="F17" s="11">
        <v>4</v>
      </c>
      <c r="G17" s="11">
        <v>0</v>
      </c>
      <c r="H17" s="11">
        <f>SUM(G17:G19)</f>
      </c>
    </row>
    <row r="18" ht="50" customHeight="1">
      <c r="A18" s="11" t="str">
        <v>AOW05</v>
      </c>
      <c r="C18" s="11" t="str">
        <v>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v>
      </c>
      <c r="D18" s="11" t="str">
        <v>Number of innovations (innovation development)</v>
      </c>
      <c r="E18" s="11" t="str">
        <v>Country: United States of America, Zimbabwe, Kenya, India, Mexico</v>
      </c>
      <c r="F18" s="11">
        <v>2</v>
      </c>
      <c r="G18" s="11">
        <v>99605.49</v>
      </c>
      <c r="I18" s="11" t="str">
        <v>2026 Critical Capabilities budget</v>
      </c>
    </row>
    <row r="19" ht="50" customHeight="1" xml:space="preserve">
      <c r="A19" s="11" t="str">
        <v>AOW05</v>
      </c>
      <c r="C19" s="11" t="str" xml:space="preserve">
        <v xml:space="preserve">Database of standardized data ("Carob") including workflows to quality-control, clean and render data standards-compliant using R scripts and R packages. 
</v>
      </c>
      <c r="D19" s="11" t="str">
        <v>Number of innovations (innovation development)</v>
      </c>
      <c r="E19" s="11" t="str">
        <v>Country: Zambia, India, Malawi, Tanzania, United Republic, Nepal, Bangladesh, Ethiopia, Uganda, Philippines, Kenya, United States of America, Mexico</v>
      </c>
      <c r="F19" s="11">
        <v>1</v>
      </c>
      <c r="G19" s="11">
        <v>80616.24</v>
      </c>
      <c r="I19" s="11" t="str">
        <v>2026 budget</v>
      </c>
    </row>
    <row r="20" ht="50" customHeight="1">
      <c r="A20" s="11" t="str">
        <v>AOW05</v>
      </c>
      <c r="B20" s="11" t="str">
        <v xml:space="preserve">5.5. Well-documented, widely applicable and replicable partnership platforms </v>
      </c>
      <c r="C20" s="11" t="str">
        <v>Critical Capability: Agentic advisory stacks, (eg incorporating LLMs + MCP orchestration, Fertilizer optimization service, Agro-climate advisory service, Github repository documented all the scripts) developed with supporting services, script repositories, journal papers and made available to partners</v>
      </c>
      <c r="D20" s="11" t="str">
        <v>Number of innovations (innovation development)</v>
      </c>
      <c r="E20" s="11" t="str">
        <v>Country: United States of America, Zimbabwe, Kenya, India, Mexico</v>
      </c>
      <c r="F20" s="11">
        <v>2</v>
      </c>
      <c r="G20" s="11">
        <v>99605</v>
      </c>
      <c r="H20" s="11">
        <f>SUM(G20:G24)</f>
      </c>
      <c r="I20" s="11" t="str">
        <v>2026 Critical Capabilities budget</v>
      </c>
    </row>
    <row r="21" ht="50" customHeight="1">
      <c r="A21" s="11" t="str">
        <v>AOW05</v>
      </c>
      <c r="C21" s="11" t="str">
        <v>Critical Capability: Deliver locally relevant and locally adapted, science-based evidence on feasible cropping system improvements to increase farmers' sustainability and welfare</v>
      </c>
      <c r="D21" s="11" t="str">
        <v>Number of innovations (innovation development)</v>
      </c>
      <c r="E21" s="11" t="str">
        <v>Country: Malawi, Ethiopia, India, Kenya</v>
      </c>
      <c r="F21" s="11">
        <v>6</v>
      </c>
      <c r="G21" s="11">
        <v>238853</v>
      </c>
      <c r="I21" s="11" t="str">
        <v>2026 budget</v>
      </c>
    </row>
    <row r="22" ht="50" customHeight="1">
      <c r="A22" s="11" t="str">
        <v>AOW05</v>
      </c>
      <c r="C22" s="11" t="str">
        <v>Critical Capability: Integrated platform-based innovations quantified in terms of risks, benefits, trade-offs and opportunities for local farming households, and policymakers. Quantification of opportunities to manage emerging and problems</v>
      </c>
      <c r="D22" s="11" t="str">
        <v>Number of innovations (innovation development)</v>
      </c>
      <c r="E22" s="11" t="str">
        <v>Country: Zimbabwe, India, Mexico, Kenya</v>
      </c>
      <c r="F22" s="11">
        <v>10</v>
      </c>
      <c r="G22" s="11">
        <v>99605</v>
      </c>
      <c r="I22" s="11" t="str">
        <v>2026 Critical Capabilities budget</v>
      </c>
    </row>
    <row r="23" ht="50" customHeight="1">
      <c r="A23" s="11" t="str">
        <v>AOW05</v>
      </c>
      <c r="C23" s="11"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D23" s="11" t="str">
        <v>Number of innovations (innovation development)</v>
      </c>
      <c r="E23" s="11" t="str">
        <v>Country: The Democratic Republic of the Congo, Ghana, Kenya, Nigeria, Tanzania, United Republic, Malawi, Mexico, Ethiopia, Egypt, Morocco, The Socialist Republic of Viet Nam, India, Philippines, Cambodia</v>
      </c>
      <c r="F23" s="11">
        <v>4</v>
      </c>
      <c r="G23" s="11">
        <v>173947.12</v>
      </c>
      <c r="I23" s="11" t="str">
        <v>2026 budget</v>
      </c>
    </row>
    <row r="24" ht="50" customHeight="1">
      <c r="A24" s="11" t="str">
        <v>AOW05</v>
      </c>
      <c r="C24" s="11" t="str">
        <v>Multi-stakeholder partnership platforms (PAASSs) engaging diverse partners to support the scaling of bundled solutions for multiple crops (cassava, maize, sorghum, soybean, teff, rice, cocoa, coffee, etc) and livestock emerging from AoWs 1–3 in different locations and countries.</v>
      </c>
      <c r="D24" s="11" t="str">
        <v xml:space="preserve"> Number of Partners engaged</v>
      </c>
      <c r="E24" s="11" t="str">
        <v>Country: Kenya, Ghana, Mexico, Malawi, Tanzania, United Republic, Nigeria, Cambodia, India, Philippines, The Socialist Republic of Viet Nam, Ethiopia</v>
      </c>
      <c r="F24" s="11">
        <v>48</v>
      </c>
      <c r="G24" s="11">
        <v>175012.31</v>
      </c>
      <c r="I24" s="11" t="str">
        <v>2026 budget</v>
      </c>
    </row>
    <row r="25" ht="25" customHeight="1">
      <c r="B25" s="15" t="str">
        <v>HLO budget subtotal</v>
      </c>
      <c r="H25" s="15">
        <f>SUM(H17:H24)</f>
      </c>
    </row>
  </sheetData>
  <mergeCells count="25">
    <mergeCell ref="A1:A2"/>
    <mergeCell ref="B1:B2"/>
    <mergeCell ref="C1:G1"/>
    <mergeCell ref="H1:H2"/>
    <mergeCell ref="I1:I2"/>
    <mergeCell ref="B4:B5"/>
    <mergeCell ref="H4:H5"/>
    <mergeCell ref="B6:G6"/>
    <mergeCell ref="A3:A6"/>
    <mergeCell ref="B7:B8"/>
    <mergeCell ref="H7:H8"/>
    <mergeCell ref="B9:B10"/>
    <mergeCell ref="H9:H10"/>
    <mergeCell ref="B11:G11"/>
    <mergeCell ref="A7:A11"/>
    <mergeCell ref="B13:B14"/>
    <mergeCell ref="H13:H14"/>
    <mergeCell ref="B16:G16"/>
    <mergeCell ref="A12:A16"/>
    <mergeCell ref="B17:B19"/>
    <mergeCell ref="H17:H19"/>
    <mergeCell ref="B20:B24"/>
    <mergeCell ref="H20:H24"/>
    <mergeCell ref="B25:G25"/>
    <mergeCell ref="A17:A25"/>
  </mergeCells>
  <ignoredErrors>
    <ignoredError numberStoredAsText="1" sqref="A1:I2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6"/>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C0042 USAID-CSISA-MEA</v>
      </c>
      <c r="B2" s="19" t="str">
        <v>AOW05</v>
      </c>
      <c r="C2" s="18" t="str">
        <v xml:space="preserve">5.5. Well-documented, widely applicable and replicable partnership platforms </v>
      </c>
      <c r="D2" s="19">
        <v>418072</v>
      </c>
      <c r="E2" s="19" t="str">
        <f>=SUM(D2:D2)</f>
        <v>0</v>
      </c>
      <c r="F2" s="19" t="str">
        <v>2026 budget</v>
      </c>
    </row>
    <row r="3" ht="30" customHeight="1">
      <c r="A3" s="18" t="str">
        <v>C0172 Sustainable Intensification of Smallholder Farming Systems (SIFAZ) in Zambia</v>
      </c>
      <c r="B3" s="19" t="str">
        <v>AOW05</v>
      </c>
      <c r="C3" s="18" t="str">
        <v xml:space="preserve">5.5. Well-documented, widely applicable and replicable partnership platforms </v>
      </c>
      <c r="D3" s="19">
        <v>1578061</v>
      </c>
      <c r="E3" s="19" t="str">
        <f>=SUM(D3:D3)</f>
        <v>0</v>
      </c>
      <c r="F3" s="19" t="str">
        <v>2026 budget</v>
      </c>
    </row>
    <row r="4" ht="30" customHeight="1">
      <c r="A4" s="18" t="str">
        <v>W0500-Verify global potential of biologic. Nitrific. inhib</v>
      </c>
      <c r="B4" s="19" t="str">
        <v>AOW03</v>
      </c>
      <c r="C4" s="18" t="str">
        <v xml:space="preserve">3.2. Validated, farm-level management solutions </v>
      </c>
      <c r="D4" s="19">
        <v>450295</v>
      </c>
      <c r="E4" s="19" t="str">
        <f>=SUM(D4:D4)</f>
        <v>0</v>
      </c>
      <c r="F4" s="19" t="str">
        <v>2026 budget</v>
      </c>
    </row>
    <row r="5" ht="30" customHeight="1">
      <c r="A5" s="18" t="str">
        <v>V0156-Wheat Disease Early Warning Advisory System (Wheat D</v>
      </c>
      <c r="B5" s="19" t="str">
        <v>AOW03</v>
      </c>
      <c r="C5" s="18" t="str">
        <v xml:space="preserve">3.3: Scaled and adopted farm management solutions </v>
      </c>
      <c r="D5" s="19">
        <v>125818</v>
      </c>
      <c r="E5" s="19" t="str">
        <f>=SUM(D5:D5)</f>
        <v>0</v>
      </c>
      <c r="F5" s="19" t="str">
        <v>2026 budget</v>
      </c>
    </row>
    <row r="6" ht="30" customHeight="1">
      <c r="A6" s="3" t="str">
        <v>W3/Bilateral projects subtotal</v>
      </c>
      <c r="E6" s="3">
        <f>SUM(E2:E5)</f>
      </c>
    </row>
  </sheetData>
  <mergeCells count="1">
    <mergeCell ref="A6:D6"/>
  </mergeCells>
  <ignoredErrors>
    <ignoredError numberStoredAsText="1" sqref="A1:F6"/>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0</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150000</v>
      </c>
      <c r="C3" s="20">
        <v>120487</v>
      </c>
      <c r="D3" s="20">
        <v>153058</v>
      </c>
      <c r="E3" s="20">
        <v>253771</v>
      </c>
      <c r="F3" s="20">
        <v>0</v>
      </c>
      <c r="G3" s="20">
        <v>290174</v>
      </c>
      <c r="H3" s="20" t="str">
        <f>=SUM(B3:G3)</f>
        <v>0</v>
      </c>
    </row>
    <row r="4" ht="20" customHeight="1">
      <c r="A4" s="20" t="str">
        <v>Staffing, Chargebacks and Indirect</v>
      </c>
      <c r="B4" s="20">
        <v>110000</v>
      </c>
      <c r="C4" s="20">
        <v>211137</v>
      </c>
      <c r="D4" s="20">
        <v>357134</v>
      </c>
      <c r="E4" s="20">
        <v>592133</v>
      </c>
      <c r="F4" s="20">
        <v>0</v>
      </c>
      <c r="G4" s="20">
        <v>677070</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