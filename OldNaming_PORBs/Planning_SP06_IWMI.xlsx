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Prioritization and Coordination of Climate Action </v>
      </c>
      <c r="B5" s="2">
        <v>2</v>
      </c>
      <c r="C5" s="5">
        <v>50000</v>
      </c>
      <c r="D5" s="2">
        <v>5</v>
      </c>
      <c r="E5" s="5">
        <v>31396</v>
      </c>
      <c r="F5" s="2">
        <v>0</v>
      </c>
      <c r="G5" s="5">
        <v>0</v>
      </c>
      <c r="H5" s="2">
        <v>0</v>
      </c>
      <c r="I5" s="5">
        <v>0</v>
      </c>
      <c r="J5" s="5">
        <v>0</v>
      </c>
      <c r="K5" s="5">
        <v>0</v>
      </c>
      <c r="L5" s="5">
        <v>81396</v>
      </c>
      <c r="M5" s="5">
        <v>158951</v>
      </c>
    </row>
    <row r="6" ht="20" customHeight="1">
      <c r="A6" s="2" t="str">
        <v xml:space="preserve">AOW02: Digital Advisories and Climate Risk Management  </v>
      </c>
      <c r="B6" s="2">
        <v>9</v>
      </c>
      <c r="C6" s="5">
        <v>224908</v>
      </c>
      <c r="D6" s="2">
        <v>15</v>
      </c>
      <c r="E6" s="5">
        <v>250452</v>
      </c>
      <c r="F6" s="2">
        <v>500</v>
      </c>
      <c r="G6" s="5">
        <v>53181</v>
      </c>
      <c r="H6" s="2">
        <v>10</v>
      </c>
      <c r="I6" s="5">
        <v>80000</v>
      </c>
      <c r="J6" s="5">
        <v>24000</v>
      </c>
      <c r="K6" s="5">
        <v>22000</v>
      </c>
      <c r="L6" s="5">
        <v>654541</v>
      </c>
      <c r="M6" s="5">
        <v>1995996</v>
      </c>
    </row>
    <row r="7" ht="20" customHeight="1">
      <c r="A7" s="2" t="str">
        <v xml:space="preserve">AOW03: Locally-led Adaptation  </v>
      </c>
      <c r="B7" s="2">
        <v>0</v>
      </c>
      <c r="C7" s="5">
        <v>0</v>
      </c>
      <c r="D7" s="2">
        <v>0</v>
      </c>
      <c r="E7" s="5">
        <v>0</v>
      </c>
      <c r="F7" s="2">
        <v>0</v>
      </c>
      <c r="G7" s="5">
        <v>0</v>
      </c>
      <c r="H7" s="2">
        <v>0</v>
      </c>
      <c r="I7" s="5">
        <v>0</v>
      </c>
      <c r="J7" s="5">
        <v>0</v>
      </c>
      <c r="K7" s="5">
        <v>0</v>
      </c>
      <c r="L7" s="5">
        <v>0</v>
      </c>
      <c r="M7" s="5">
        <v>0</v>
      </c>
    </row>
    <row r="8" ht="20" customHeight="1">
      <c r="A8" s="2" t="str">
        <v xml:space="preserve">AOW04: Low-emission Transitions  </v>
      </c>
      <c r="B8" s="2">
        <v>5</v>
      </c>
      <c r="C8" s="5">
        <v>188000</v>
      </c>
      <c r="D8" s="2">
        <v>3</v>
      </c>
      <c r="E8" s="5">
        <v>0</v>
      </c>
      <c r="F8" s="2">
        <v>0</v>
      </c>
      <c r="G8" s="5">
        <v>0</v>
      </c>
      <c r="H8" s="2">
        <v>50</v>
      </c>
      <c r="I8" s="5">
        <v>0</v>
      </c>
      <c r="J8" s="5">
        <v>0</v>
      </c>
      <c r="K8" s="5">
        <v>0</v>
      </c>
      <c r="L8" s="5">
        <v>188000</v>
      </c>
      <c r="M8" s="5">
        <v>0</v>
      </c>
    </row>
    <row r="9" ht="20" customHeight="1">
      <c r="A9" s="2" t="str">
        <v xml:space="preserve">AOW05: Finance and Policy for Scaling Solutions </v>
      </c>
      <c r="B9" s="2">
        <v>1</v>
      </c>
      <c r="C9" s="5">
        <v>80000</v>
      </c>
      <c r="D9" s="2">
        <v>5</v>
      </c>
      <c r="E9" s="5">
        <v>35000</v>
      </c>
      <c r="F9" s="2">
        <v>0</v>
      </c>
      <c r="G9" s="5">
        <v>0</v>
      </c>
      <c r="H9" s="2">
        <v>5</v>
      </c>
      <c r="I9" s="5">
        <v>140000</v>
      </c>
      <c r="J9" s="5">
        <v>0</v>
      </c>
      <c r="K9" s="5">
        <v>10000</v>
      </c>
      <c r="L9" s="5">
        <v>265000</v>
      </c>
      <c r="M9" s="5">
        <v>1746411</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xml:space="preserve">
      <c r="A2" s="10" t="str">
        <v>AOW00</v>
      </c>
      <c r="B2" s="11" t="str" xml:space="preserve">
        <v xml:space="preserve">Innovation Fund
</v>
      </c>
      <c r="C2" s="11" t="str" xml:space="preserve">
        <v xml:space="preserve">Costs for Climate Action Innovation Fund
</v>
      </c>
      <c r="D2" s="11">
        <v>0</v>
      </c>
    </row>
    <row r="3" ht="45" customHeight="1">
      <c r="A3" s="11" t="str">
        <v>AOW00</v>
      </c>
      <c r="B3" s="11" t="str">
        <v>Portfolio-level Financing Support</v>
      </c>
      <c r="C3" s="11" t="str">
        <v>Funding for Portfolio-level Finance support</v>
      </c>
      <c r="D3" s="11">
        <v>0</v>
      </c>
    </row>
    <row r="4" ht="45" customHeight="1" xml:space="preserve">
      <c r="A4" s="11" t="str">
        <v>AOW00</v>
      </c>
      <c r="B4" s="11" t="str" xml:space="preserve">
        <v xml:space="preserve">Program Director and Associated Costs 
</v>
      </c>
      <c r="C4" s="11" t="str" xml:space="preserve">
        <v xml:space="preserve">Global HR, Travel, Meetings, workshops, consultants, and other Miscellaneous Costs for the Program Director
</v>
      </c>
      <c r="D4" s="11">
        <v>0</v>
      </c>
    </row>
    <row r="5" ht="45" customHeight="1" xml:space="preserve">
      <c r="A5" s="11" t="str">
        <v>AOW00</v>
      </c>
      <c r="B5" s="11" t="str" xml:space="preserve">
        <v xml:space="preserve">AoW Leadership and PMU Costs
</v>
      </c>
      <c r="C5" s="11" t="str" xml:space="preserve">
        <v xml:space="preserve">Global HR, Travel, Meetings, workshops, and other Miscellaneous Costs for the AoW Leads and PMU staff
</v>
      </c>
      <c r="D5" s="11">
        <v>0</v>
      </c>
    </row>
    <row r="6" ht="45" customHeight="1" xml:space="preserve">
      <c r="A6" s="11" t="str">
        <v>AOW00</v>
      </c>
      <c r="B6" s="11" t="str" xml:space="preserve">
        <v xml:space="preserve">Consolidating CGIAR's climate offer
</v>
      </c>
      <c r="C6" s="11" t="str">
        <v>Funding for Climate Hub packages of deliverables to be allocated to relevant Centers on defining the evidence-base for CGIAR's climate activities. These funds will be allocated to AoW1 in Q1 2026.</v>
      </c>
      <c r="D6" s="11">
        <v>0</v>
      </c>
    </row>
    <row r="7" ht="45" customHeight="1" xml:space="preserve">
      <c r="A7" s="11" t="str">
        <v>AOW00</v>
      </c>
      <c r="B7" s="11" t="str" xml:space="preserve">
        <v xml:space="preserve">Program Director Discretionary Fund 
</v>
      </c>
      <c r="C7" s="11" t="str" xml:space="preserve">
        <v xml:space="preserve">Funds accessible to the Director for emerging opportunities, gaps, and other strategic interventions.
</v>
      </c>
      <c r="D7" s="11">
        <v>0</v>
      </c>
    </row>
    <row r="8" ht="45" customHeight="1" xml:space="preserve">
      <c r="A8" s="11" t="str">
        <v>AOW00</v>
      </c>
      <c r="B8" s="11" t="str" xml:space="preserve">
        <v xml:space="preserve">Gender Focal Point and targeted research
</v>
      </c>
      <c r="C8" s="11" t="str" xml:space="preserve">
        <v xml:space="preserve">Costs for Gender Focal Point and targeted Gender research activities.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2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1.1.2. Frameworks, strategies and tools for vulnerability root causes, climate justice pathways</v>
      </c>
      <c r="C3" s="11" t="str">
        <v>Number of frameworks/strategies/tools developed and shared</v>
      </c>
      <c r="D3" s="11" t="str">
        <v>Number of innovations (innovation development)</v>
      </c>
      <c r="E3" s="11" t="str">
        <v>Global</v>
      </c>
      <c r="F3" s="11">
        <v>2</v>
      </c>
      <c r="G3" s="11">
        <v>50000</v>
      </c>
      <c r="H3" s="11">
        <f>SUM(G3:G3)</f>
      </c>
      <c r="I3" s="11" t="str">
        <v>CA7_IWMI Implementation Support Package: Completed policy implementation support documentation and associated guidance or capability building co-developed with national stakeholders used to support operationalization of COP decisions and associated nation</v>
      </c>
    </row>
    <row r="4" ht="50" customHeight="1">
      <c r="A4" s="11" t="str">
        <v>AOW01</v>
      </c>
      <c r="B4" s="11" t="str">
        <v>1.1.3 &amp; 1.3.2 Harmonized data, simulations, insights and decision support tools</v>
      </c>
      <c r="C4" s="11" t="str">
        <v>Number of datasets included/compiled in a common/shared platform</v>
      </c>
      <c r="D4" s="11" t="str">
        <v>Number of knowledge products</v>
      </c>
      <c r="E4" s="11" t="str">
        <v>Global</v>
      </c>
      <c r="F4" s="11">
        <v>5</v>
      </c>
      <c r="G4" s="11">
        <v>31396</v>
      </c>
      <c r="H4" s="11">
        <f>SUM(G4:G4)</f>
      </c>
      <c r="I4" s="11" t="str">
        <v>CA42_IWMI:Integrated Climate–Water Data Systems – Consolidate datasets on hydrology, irrigation, and climate extremes within the Climate Data Hub to deliver accurate, policy-ready insights for water allocation and risk management. Ensure full alignment wi</v>
      </c>
    </row>
    <row r="5" ht="25" customHeight="1">
      <c r="B5" s="14" t="str">
        <v>HLO budget subtotal</v>
      </c>
      <c r="H5" s="15">
        <f>SUM(H3:H4)</f>
      </c>
    </row>
    <row r="6" ht="50" customHeight="1">
      <c r="A6" s="13" t="str">
        <v>AOW02</v>
      </c>
      <c r="B6" s="11" t="str">
        <v>2.1.1 &amp; 2.2.1 Climate information products and services</v>
      </c>
      <c r="C6" s="11" t="str">
        <v>Critical capabilities: Number of organizations members engaged in capacity development initiatives (disaggregated by type, age, sex, ethnic group)</v>
      </c>
      <c r="D6" s="11" t="str">
        <v>Number of people trained (capacity sharing for development)</v>
      </c>
      <c r="E6" s="11" t="str">
        <v>Country: Sri Lanka, Ethiopia, Ghana, India, Philippines, Zambia</v>
      </c>
      <c r="F6" s="11">
        <v>500</v>
      </c>
      <c r="G6" s="11">
        <v>53181</v>
      </c>
      <c r="H6" s="11">
        <f>SUM(G6:G10)</f>
      </c>
      <c r="I6" s="11" t="str">
        <v>Assumes 8k will be funded to partners. However, the specific partners have not been confirmed.</v>
      </c>
    </row>
    <row r="7" ht="50" customHeight="1">
      <c r="A7" s="11" t="str">
        <v>AOW02</v>
      </c>
      <c r="C7" s="11" t="str">
        <v>Critical capabilities: Number of recommendations/modules/synthesis products (knowledge products)</v>
      </c>
      <c r="D7" s="11" t="str">
        <v>Number of knowledge products</v>
      </c>
      <c r="E7" s="11" t="str">
        <v>Country: Zambia, Ghana, Sri Lanka, Ethiopia, Philippines, India</v>
      </c>
      <c r="F7" s="11">
        <v>10</v>
      </c>
      <c r="G7" s="11">
        <v>230452</v>
      </c>
      <c r="I7" s="11" t="str">
        <v>Assumes 33k will be funded to partners. However, the specific partners have not been confirmed.</v>
      </c>
    </row>
    <row r="8" ht="50" customHeight="1">
      <c r="A8" s="11" t="str">
        <v>AOW02</v>
      </c>
      <c r="C8" s="11" t="str">
        <v>Critical capabilities: Number of human-centered climate information products/services improved, co-designed, or co-developed</v>
      </c>
      <c r="D8" s="11" t="str">
        <v>Number of innovations (innovation development)</v>
      </c>
      <c r="E8" s="11" t="str">
        <v>Country: Philippines, Zambia, Ghana, Sri Lanka, Ethiopia, India</v>
      </c>
      <c r="F8" s="11">
        <v>6</v>
      </c>
      <c r="G8" s="11">
        <v>70908</v>
      </c>
      <c r="I8" s="11" t="str">
        <v>Assumes 8k will be funded to partners. However, the specific partners have not been confirmed.</v>
      </c>
    </row>
    <row r="9" ht="50" customHeight="1">
      <c r="A9" s="11" t="str">
        <v>AOW02</v>
      </c>
      <c r="C9" s="11" t="str">
        <v>Number of recommendations/modules/synthesis products</v>
      </c>
      <c r="D9" s="11" t="str">
        <v>Number of knowledge products</v>
      </c>
      <c r="E9" s="11" t="str">
        <v>Country: The Socialist Republic of Viet Nam, Kenya, Mali, Colombia, India, Zambia, Philippines, Nigeria, Bangladesh, Ethiopia</v>
      </c>
      <c r="F9" s="11">
        <v>2</v>
      </c>
      <c r="G9" s="11">
        <v>20000</v>
      </c>
      <c r="I9" s="11" t="str">
        <v>CA38_IWMI	Assessment of Climate Service Financing Flows and business models: Analyze public and private financing for PPP-driven climate services and agritech in India. Maps mechanisms such as micro-subscriptions, blended finance, and forecast-based insur</v>
      </c>
    </row>
    <row r="10" ht="50" customHeight="1">
      <c r="A10" s="11" t="str">
        <v>AOW02</v>
      </c>
      <c r="C10" s="11" t="str">
        <v>Number of human-centered climate information products/services improved, co-designed, or co-developed</v>
      </c>
      <c r="D10" s="11" t="str">
        <v>Number of innovations (innovation development)</v>
      </c>
      <c r="E10" s="11" t="str">
        <v>Country: Senegal, Mali, Ethiopia, India, Bangladesh, Nigeria, Zambia, Philippines, Kenya, The Socialist Republic of Viet Nam</v>
      </c>
      <c r="F10" s="11">
        <v>2</v>
      </c>
      <c r="G10" s="11">
        <v>74000</v>
      </c>
      <c r="I10" s="11" t="str">
        <v>CA34_IWMI:	WF-CA-02-D4: Integrated hydro-climatic models coupling hydrological simulations, IoT-based water quality monitoring, and AI analytics to generate predictive insights on water stress, pond productivity, and climate risks for adaptive aquaculture</v>
      </c>
    </row>
    <row r="11" ht="50" customHeight="1">
      <c r="A11" s="11" t="str">
        <v>AOW02</v>
      </c>
      <c r="B11" s="11" t="str">
        <v>2.2.2 &amp; 2.3.1 &amp; 2.4.1 Multi-hazard early warning and anticipatory action instruments</v>
      </c>
      <c r="C11" s="11" t="str">
        <v>Number of recommendations/modules/synthesis products on EWS and anticipatory action instruments</v>
      </c>
      <c r="D11" s="11" t="str">
        <v>Number of knowledge products</v>
      </c>
      <c r="E11" s="11" t="str">
        <v>Regional: Northern Africa, Western Africa, Southern Asia, Eastern Asia, Middle Africa, Western Asia, Sub-Saharan Africa, Eastern Africa, Southern Africa, Central Asia, South-Eastern Asia</v>
      </c>
      <c r="F11" s="11">
        <v>1</v>
      </c>
      <c r="G11" s="11">
        <v>0</v>
      </c>
      <c r="H11" s="11">
        <f>SUM(G11:G12)</f>
      </c>
    </row>
    <row r="12" ht="50" customHeight="1">
      <c r="A12" s="11" t="str">
        <v>AOW02</v>
      </c>
      <c r="C12" s="11" t="str">
        <v>Number of early warning systems (EWS) and anticipatory instruments co-designed with partners</v>
      </c>
      <c r="D12" s="11" t="str">
        <v>Number of innovations (innovation development)</v>
      </c>
      <c r="E12" s="11" t="str">
        <v>Country: The Socialist Republic of Viet Nam, India, Kenya, Ethiopia, Philippines</v>
      </c>
      <c r="F12" s="11">
        <v>1</v>
      </c>
      <c r="G12" s="11">
        <v>80000</v>
      </c>
      <c r="I12" s="11" t="str">
        <v>CA38_IWMI	Develop a scaling model for the integration of climate and nutrition indicators to enhance early warning and anticipatory decision-making in India . Reviewing existing analytics (e.g., rainfall, market, and dietary data) and platforms (AWARE, ac</v>
      </c>
    </row>
    <row r="13" ht="50" customHeight="1">
      <c r="A13" s="11" t="str">
        <v>AOW02</v>
      </c>
      <c r="B13" s="11" t="str">
        <v>2.3.2 Inclusive multi-sectoral recommendations</v>
      </c>
      <c r="C13" s="11" t="str">
        <v>Number of recommendations co-developed for water-climate resilience</v>
      </c>
      <c r="D13" s="11" t="str">
        <v>Number of knowledge products</v>
      </c>
      <c r="E13" s="11" t="str">
        <v>Country: Zambia, Bangladesh</v>
      </c>
      <c r="F13" s="11">
        <v>2</v>
      </c>
      <c r="G13" s="11">
        <v>0</v>
      </c>
      <c r="H13" s="11">
        <f>SUM(G13:G13)</f>
      </c>
    </row>
    <row r="14" ht="50" customHeight="1">
      <c r="A14" s="11" t="str">
        <v>AOW02</v>
      </c>
      <c r="B14" s="11" t="str">
        <v>2.4.1. Innovative and inclusive partnerships</v>
      </c>
      <c r="C14" s="11" t="str">
        <v>Number of partners/actors engaged for delivery of integrated climate risk management and actions</v>
      </c>
      <c r="D14" s="11" t="str">
        <v xml:space="preserve">Number of partners/actors engaged  </v>
      </c>
      <c r="E14" s="11" t="str">
        <v>Country: India, The Socialist Republic of Viet Nam, Ethiopia, Kenya, Colombia</v>
      </c>
      <c r="F14" s="11">
        <v>8</v>
      </c>
      <c r="G14" s="11">
        <v>30000</v>
      </c>
      <c r="H14" s="11">
        <f>SUM(G14:G15)</f>
      </c>
      <c r="I14" s="11" t="str">
        <v>CA38_IWMI	National/Regional Multi-Stakeholder Knowledge Forum: Strengthen forums in South Asia A to engage governments, CGIAR centers, private firms, and farmer organizations in refining service design, identifying co-investment opportunities, and strengt</v>
      </c>
    </row>
    <row r="15" ht="50" customHeight="1">
      <c r="A15" s="11" t="str">
        <v>AOW02</v>
      </c>
      <c r="C15" s="11" t="str">
        <v>Number of new and inclusive partnerships formed for ICRM delivery</v>
      </c>
      <c r="D15" s="11" t="str">
        <v xml:space="preserve"> Number of partnerships</v>
      </c>
      <c r="E15" s="11" t="str">
        <v>Country: Ethiopia, India, The Socialist Republic of Viet Nam, Kenya</v>
      </c>
      <c r="F15" s="11">
        <v>2</v>
      </c>
      <c r="G15" s="11">
        <v>50000</v>
      </c>
      <c r="I15" s="11" t="str">
        <v>CA38_IWMI	Public–Private Partnership (PPP) Models Formalized and Operationalized: Establishes and implements PPPs to sustain and expand climate service delivery in India. Finalizes MoUs with WRMS Pvt. Ltd, and MNCFC in India , enabling joint model rollout</v>
      </c>
    </row>
    <row r="16" ht="25" customHeight="1">
      <c r="B16" s="15" t="str">
        <v>HLO budget subtotal</v>
      </c>
      <c r="H16" s="15">
        <f>SUM(H6:H15)</f>
      </c>
    </row>
    <row r="17" ht="50" customHeight="1">
      <c r="A17" s="13" t="str">
        <v>AOW04</v>
      </c>
      <c r="B17" s="11" t="str">
        <v>4.1.1 &amp; 4.2.1 Evidence and partnerships to inform low-emission development</v>
      </c>
      <c r="C17" s="11" t="str">
        <v>Number of private sector actors engaged in co-development of low-emission strategies across production systems with supporting policies/incentives</v>
      </c>
      <c r="D17" s="11" t="str">
        <v>Number of partners/actors engaged</v>
      </c>
      <c r="E17" s="11" t="str">
        <v>Country: Ghana, Kenya, Colombia, Nigeria, The Socialist Republic of Viet Nam, Philippines</v>
      </c>
      <c r="F17" s="11">
        <v>50</v>
      </c>
      <c r="G17" s="11">
        <v>0</v>
      </c>
      <c r="H17" s="11">
        <f>SUM(G17:G18)</f>
      </c>
    </row>
    <row r="18" ht="50" customHeight="1">
      <c r="A18" s="11" t="str">
        <v>AOW04</v>
      </c>
      <c r="C18" s="11" t="str">
        <v>Number of low-emission strategies across production systems co-developed with partners</v>
      </c>
      <c r="D18" s="11" t="str">
        <v>Number of innovations (innovation development)</v>
      </c>
      <c r="E18" s="11" t="str">
        <v>Country: Ghana, Philippines, Tanzania, United Republic, Egypt, India, Colombia</v>
      </c>
      <c r="F18" s="11">
        <v>1</v>
      </c>
      <c r="G18" s="11">
        <v>53000</v>
      </c>
      <c r="I18" s="11" t="str">
        <v>CA128_IWMI	 D3: Evaluate the socioeconomic viability and co-develop inclusive business models for scaling</v>
      </c>
    </row>
    <row r="19" ht="50" customHeight="1" xml:space="preserve">
      <c r="A19" s="11" t="str">
        <v>AOW04</v>
      </c>
      <c r="B19" s="11" t="str">
        <v>4.2.4 &amp; 4.3.3 &amp; 4.4.1 Tools and approaches for monitoring, reporting and verification (MRV)</v>
      </c>
      <c r="C19" s="11" t="str">
        <v>Number of MRV tools/approaches for low-emission farming developed</v>
      </c>
      <c r="D19" s="11" t="str">
        <v>Number of innovations (innovation development)</v>
      </c>
      <c r="E19" s="11" t="str">
        <v>Country: Colombia, Ghana, India, Zambia, Egypt, Nigeria, Kenya</v>
      </c>
      <c r="F19" s="11">
        <v>4</v>
      </c>
      <c r="G19" s="11">
        <v>135000</v>
      </c>
      <c r="H19" s="11">
        <f>SUM(G19:G19)</f>
      </c>
      <c r="I19" s="11" t="str" xml:space="preserve">
        <v xml:space="preserve">CA125_IWMI	Analyze technical, institutional, and operational mechanisms for integrating Feeder-Level Solarisation (FLS) with carbon markets.  
(a) Develop a Monitoring, Reporting, and Verification framework to ensure credible carbon credit accounting for </v>
      </c>
    </row>
    <row r="20" ht="50" customHeight="1">
      <c r="A20" s="11" t="str">
        <v>AOW04</v>
      </c>
      <c r="B20" s="11" t="str">
        <v>4.5.1 Recommendations to increase women’s and youth’s agency for mitigation</v>
      </c>
      <c r="C20" s="11" t="str">
        <v xml:space="preserve">Number of recommendations for increasing agency/influence of women and youth in climate mitigation produced and communicated </v>
      </c>
      <c r="D20" s="11" t="str">
        <v>Number of knowledge products</v>
      </c>
      <c r="E20" s="11" t="str">
        <v>Country: Nigeria, Uganda, Ethiopia</v>
      </c>
      <c r="F20" s="11">
        <v>3</v>
      </c>
      <c r="G20" s="11">
        <v>0</v>
      </c>
      <c r="H20" s="11">
        <f>SUM(G20:G20)</f>
      </c>
    </row>
    <row r="21" ht="25" customHeight="1">
      <c r="B21" s="15" t="str">
        <v>HLO budget subtotal</v>
      </c>
      <c r="H21" s="15">
        <f>SUM(H17:H20)</f>
      </c>
    </row>
    <row r="22" ht="50" customHeight="1">
      <c r="A22" s="13" t="str">
        <v>AOW05</v>
      </c>
      <c r="B22" s="11" t="str">
        <v xml:space="preserve">5.2.2 &amp; 5.3.1 Analytical tools and frameworks on climate finance </v>
      </c>
      <c r="C22" s="11" t="str">
        <v>Number of partners/actors engaged in co-development and scaling of climate finance tools</v>
      </c>
      <c r="D22" s="11" t="str">
        <v xml:space="preserve"> Number of partners/actors engaged</v>
      </c>
      <c r="E22" s="11" t="str">
        <v>Country: Kenya, India, Guatemala, Pakistan, Ghana, Ethiopia</v>
      </c>
      <c r="F22" s="11">
        <v>5</v>
      </c>
      <c r="G22" s="11">
        <v>140000</v>
      </c>
      <c r="H22" s="11">
        <f>SUM(G22:G24)</f>
      </c>
      <c r="I22" s="11" t="str">
        <v>CA121_IWMI: Institutionalize anticipatory finance and drought governance systems within national and subnational climate and finance institutions. Support the establishment of multi-ministerial Drought Governance and Planning Systems (DGPS) and develop gu</v>
      </c>
    </row>
    <row r="23" ht="50" customHeight="1">
      <c r="A23" s="11" t="str">
        <v>AOW05</v>
      </c>
      <c r="C23" s="11" t="str">
        <v>Number of evidence/synthesis products/reports and communication materials on climate finance</v>
      </c>
      <c r="D23" s="11" t="str">
        <v>Number of knowledge products</v>
      </c>
      <c r="E23" s="11" t="str">
        <v>Country: Senegal, Guatemala, Ethiopia, Kenya, Colombia, India, Pakistan</v>
      </c>
      <c r="F23" s="11">
        <v>5</v>
      </c>
      <c r="G23" s="11">
        <v>35000</v>
      </c>
      <c r="I23" s="11" t="str">
        <v>CA121_IWMI: Investment-Ready Pipeline for Climate Resilience Finance : Develop a multi-country portfolio (initially 2–3 countries) of bankable pre- and post-drought investment projects at subnational level (e.g., provincial or basin scale). Each project w</v>
      </c>
    </row>
    <row r="24" ht="50" customHeight="1">
      <c r="A24" s="11" t="str">
        <v>AOW05</v>
      </c>
      <c r="C24" s="11" t="str">
        <v>Number of tools/framework on climate finance developed and disseminated</v>
      </c>
      <c r="D24" s="11" t="str">
        <v>Number of innovations (innovation development)</v>
      </c>
      <c r="E24" s="11" t="str">
        <v>Country: Zambia, Ghana, India, Ethiopia, Colombia, Senegal, Guatemala, Kenya, Pakistan</v>
      </c>
      <c r="F24" s="11">
        <v>1</v>
      </c>
      <c r="G24" s="11">
        <v>80000</v>
      </c>
      <c r="I24" s="11" t="str">
        <v>CA121_IWMI: Advanced Digital Risk and Finance Prioritization Tools - Deploy drought risk and finance-optimization platforms e.g. integrating AWARE, drought risk management tools, and others. Subnational drought finance tracker in the CGIAR Climate Smart G</v>
      </c>
    </row>
    <row r="25" ht="25" customHeight="1">
      <c r="B25" s="15" t="str">
        <v>HLO budget subtotal</v>
      </c>
      <c r="H25" s="15">
        <f>SUM(H22:H24)</f>
      </c>
    </row>
  </sheetData>
  <mergeCells count="23">
    <mergeCell ref="A1:A2"/>
    <mergeCell ref="B1:B2"/>
    <mergeCell ref="C1:G1"/>
    <mergeCell ref="H1:H2"/>
    <mergeCell ref="I1:I2"/>
    <mergeCell ref="B5:G5"/>
    <mergeCell ref="A3:A5"/>
    <mergeCell ref="B6:B10"/>
    <mergeCell ref="H6:H10"/>
    <mergeCell ref="B11:B12"/>
    <mergeCell ref="H11:H12"/>
    <mergeCell ref="B14:B15"/>
    <mergeCell ref="H14:H15"/>
    <mergeCell ref="B16:G16"/>
    <mergeCell ref="A6:A16"/>
    <mergeCell ref="B17:B18"/>
    <mergeCell ref="H17:H18"/>
    <mergeCell ref="B21:G21"/>
    <mergeCell ref="A17:A21"/>
    <mergeCell ref="B22:B24"/>
    <mergeCell ref="H22:H24"/>
    <mergeCell ref="B25:G25"/>
    <mergeCell ref="A22:A25"/>
  </mergeCells>
  <ignoredErrors>
    <ignoredError numberStoredAsText="1" sqref="A1:I25"/>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AOW02</v>
      </c>
      <c r="B2" s="11" t="str">
        <v>WRMS Pvt. Ltd</v>
      </c>
      <c r="C2" s="11" t="str">
        <v>2.1.1 &amp; 2.2.1 Climate information products and services</v>
      </c>
      <c r="D2" s="11" t="str">
        <v>India</v>
      </c>
      <c r="E2" s="11">
        <v>20000</v>
      </c>
      <c r="F2" s="11" t="str">
        <v>None</v>
      </c>
    </row>
    <row r="3" ht="70" customHeight="1">
      <c r="A3" s="11" t="str">
        <v>AOW02</v>
      </c>
      <c r="B3" s="11" t="str">
        <v>Indian Institute of Tropical Meteorology</v>
      </c>
      <c r="C3" s="11" t="str">
        <v>2.1.1 &amp; 2.2.1 Climate information products and services</v>
      </c>
      <c r="D3" s="11" t="str">
        <v>India</v>
      </c>
      <c r="E3" s="11">
        <v>4000</v>
      </c>
      <c r="F3" s="11" t="str">
        <v>None</v>
      </c>
    </row>
    <row r="4" ht="25" customHeight="1">
      <c r="B4" s="14" t="str">
        <v>Contracted partners subtotal</v>
      </c>
      <c r="E4" s="14">
        <f>SUM(E2:E3)</f>
      </c>
    </row>
    <row r="5" ht="70" customHeight="1">
      <c r="A5" s="12" t="str">
        <v>AOW05</v>
      </c>
      <c r="B5" s="11" t="str">
        <v>Indian Institute of Tropical Meteorology</v>
      </c>
      <c r="C5" s="11" t="str">
        <v>5.2.2 &amp; 5.3.1 Analytical tools and frameworks on climate finance</v>
      </c>
      <c r="D5" s="11" t="str">
        <v>India</v>
      </c>
      <c r="E5" s="11">
        <v>0</v>
      </c>
    </row>
    <row r="6" ht="25" customHeight="1">
      <c r="B6" s="14" t="str">
        <v>Contracted partners subtotal</v>
      </c>
      <c r="E6" s="14">
        <f>SUM(E5:E5)</f>
      </c>
    </row>
  </sheetData>
  <mergeCells count="4">
    <mergeCell ref="B4:D4"/>
    <mergeCell ref="A2:A4"/>
    <mergeCell ref="B6:D6"/>
    <mergeCell ref="A5: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F2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W-P-1641-IKI Indo-German Cooperation on Agrivoltaics (IGCA)</v>
      </c>
      <c r="B2" s="19" t="str">
        <v>AOW04</v>
      </c>
      <c r="C2" s="18" t="str">
        <v>4.2.4 &amp; 4.3.3 &amp; 4.4.1 Tools and approaches for monitoring, reporting and verification (MRV)</v>
      </c>
      <c r="D2" s="19">
        <v>0</v>
      </c>
      <c r="E2" s="19" t="str">
        <f>=SUM(D2:D4)</f>
        <v>0</v>
      </c>
    </row>
    <row r="3" ht="30" customHeight="1">
      <c r="A3" s="18" t="str">
        <v>W-P-1641-IKI Indo-German Cooperation on Agrivoltaics (IGCA)</v>
      </c>
      <c r="B3" s="19" t="str">
        <v>AOW00</v>
      </c>
      <c r="C3" s="18" t="str">
        <v>New finance for just climate action and transitions</v>
      </c>
      <c r="D3" s="19">
        <v>0</v>
      </c>
    </row>
    <row r="4" ht="30" customHeight="1">
      <c r="A4" s="18" t="str">
        <v>W-P-1641-IKI Indo-German Cooperation on Agrivoltaics (IGCA)</v>
      </c>
      <c r="B4" s="19" t="str">
        <v>AOW05</v>
      </c>
      <c r="C4" s="18" t="str">
        <v>5.2. Enhanced capacity for designing, implementing and tracking climate policies, projects and financing</v>
      </c>
      <c r="D4" s="19">
        <v>1059891</v>
      </c>
      <c r="F4" s="19" t="str">
        <v>None</v>
      </c>
    </row>
    <row r="5" ht="30" customHeight="1">
      <c r="A5" s="18" t="str">
        <v>W-P-XXX1-Jahez</v>
      </c>
      <c r="B5" s="19" t="str">
        <v>AOW00</v>
      </c>
      <c r="C5" s="18" t="str">
        <v>New finance for just climate action and transitions</v>
      </c>
      <c r="D5" s="19">
        <v>0</v>
      </c>
      <c r="E5" s="19" t="str">
        <f>=SUM(D5:D8)</f>
        <v>0</v>
      </c>
    </row>
    <row r="6" ht="30" customHeight="1">
      <c r="A6" s="18" t="str">
        <v>W-P-XXX1-Jahez</v>
      </c>
      <c r="B6" s="19" t="str">
        <v>AOW01</v>
      </c>
      <c r="C6" s="18" t="str">
        <v>1.1.1. &amp; 1.2.1 &amp; 1.3.1 Global and regional partnerships</v>
      </c>
      <c r="D6" s="19">
        <v>158951</v>
      </c>
      <c r="F6" s="19" t="str">
        <v>None</v>
      </c>
    </row>
    <row r="7" ht="30" customHeight="1">
      <c r="A7" s="18" t="str">
        <v>W-P-XXX1-Jahez</v>
      </c>
      <c r="B7" s="19" t="str">
        <v>AOW02</v>
      </c>
      <c r="C7" s="18" t="str">
        <v>2.1.1 &amp; 2.2.1 Climate information products and services</v>
      </c>
      <c r="D7" s="19">
        <v>158952</v>
      </c>
      <c r="F7" s="19" t="str">
        <v>None</v>
      </c>
    </row>
    <row r="8" ht="30" customHeight="1">
      <c r="A8" s="18" t="str">
        <v>W-P-XXX1-Jahez</v>
      </c>
      <c r="B8" s="19" t="str">
        <v>AOW03</v>
      </c>
      <c r="C8" s="18" t="str">
        <v>3.1.1. Institutional innovations and technical practices</v>
      </c>
      <c r="D8" s="19">
        <v>0</v>
      </c>
    </row>
    <row r="9" ht="30" customHeight="1">
      <c r="A9" s="18" t="str">
        <v>W-D-0536 - Blue Peace Central Asia Initiative 2.0 (BPCA 2.0)</v>
      </c>
      <c r="B9" s="19" t="str">
        <v>AOW00</v>
      </c>
      <c r="C9" s="18" t="str">
        <v>New finance for just climate action and transitions</v>
      </c>
      <c r="D9" s="19">
        <v>0</v>
      </c>
      <c r="E9" s="19" t="str">
        <f>=SUM(D9:D10)</f>
        <v>0</v>
      </c>
    </row>
    <row r="10" ht="30" customHeight="1">
      <c r="A10" s="18" t="str">
        <v>W-D-0536 - Blue Peace Central Asia Initiative 2.0 (BPCA 2.0)</v>
      </c>
      <c r="B10" s="19" t="str">
        <v>AOW02</v>
      </c>
      <c r="C10" s="18" t="str">
        <v>2.1.1 &amp; 2.2.1 Climate information products and services</v>
      </c>
      <c r="D10" s="19">
        <v>331066</v>
      </c>
      <c r="F10" s="19" t="str">
        <v>None</v>
      </c>
    </row>
    <row r="11" ht="30" customHeight="1">
      <c r="A11" s="18" t="str">
        <v>W-D-0424-WRAP C1</v>
      </c>
      <c r="B11" s="19" t="str">
        <v>AOW00</v>
      </c>
      <c r="C11" s="18" t="str">
        <v>New finance for just climate action and transitions</v>
      </c>
      <c r="D11" s="19">
        <v>0</v>
      </c>
      <c r="E11" s="19" t="str">
        <f>=SUM(D11:D13)</f>
        <v>0</v>
      </c>
    </row>
    <row r="12" ht="30" customHeight="1">
      <c r="A12" s="18" t="str">
        <v>W-D-0424-WRAP C1</v>
      </c>
      <c r="B12" s="19" t="str">
        <v>AOW05</v>
      </c>
      <c r="C12" s="18" t="str">
        <v>5.2. Enhanced capacity for designing, implementing and tracking climate policies, projects and financing</v>
      </c>
      <c r="D12" s="19">
        <v>686520</v>
      </c>
      <c r="F12" s="19" t="str">
        <v>None</v>
      </c>
    </row>
    <row r="13" ht="30" customHeight="1">
      <c r="A13" s="18" t="str">
        <v>W-D-0424-WRAP C1</v>
      </c>
      <c r="B13" s="19" t="str">
        <v>AOW03</v>
      </c>
      <c r="C13" s="18" t="str">
        <v>3.1.1. Institutional innovations and technical practices</v>
      </c>
      <c r="D13" s="19">
        <v>0</v>
      </c>
    </row>
    <row r="14" ht="30" customHeight="1">
      <c r="A14" s="18" t="str">
        <v>W-P-1482-Climate Water Nexus IWRM in Niger Basin</v>
      </c>
      <c r="B14" s="19" t="str">
        <v>AOW00</v>
      </c>
      <c r="C14" s="18" t="str">
        <v>New finance for just climate action and transitions</v>
      </c>
      <c r="D14" s="19">
        <v>0</v>
      </c>
      <c r="E14" s="19" t="str">
        <f>=SUM(D14:D16)</f>
        <v>0</v>
      </c>
    </row>
    <row r="15" ht="30" customHeight="1">
      <c r="A15" s="18" t="str">
        <v>W-P-1482-Climate Water Nexus IWRM in Niger Basin</v>
      </c>
      <c r="B15" s="19" t="str">
        <v>AOW05</v>
      </c>
      <c r="C15" s="18" t="str">
        <v>5.2.5 &amp; 5.3.4 Carbon market frameworks</v>
      </c>
      <c r="D15" s="19">
        <v>0</v>
      </c>
    </row>
    <row r="16" ht="30" customHeight="1">
      <c r="A16" s="18" t="str">
        <v>W-P-1482-Climate Water Nexus IWRM in Niger Basin</v>
      </c>
      <c r="B16" s="19" t="str">
        <v>AOW02</v>
      </c>
      <c r="C16" s="18" t="str">
        <v>2.1 Organizations leverage and use participatory research approaches</v>
      </c>
      <c r="D16" s="19">
        <v>0</v>
      </c>
    </row>
    <row r="17" ht="30" customHeight="1">
      <c r="A17" s="18" t="str">
        <v>W-D-0532-Water Tracker - Phase 2</v>
      </c>
      <c r="B17" s="19" t="str">
        <v>AOW00</v>
      </c>
      <c r="C17" s="18" t="str">
        <v>New finance for just climate action and transitions</v>
      </c>
      <c r="D17" s="19">
        <v>0</v>
      </c>
      <c r="E17" s="19" t="str">
        <f>=SUM(D17:D20)</f>
        <v>0</v>
      </c>
    </row>
    <row r="18" ht="30" customHeight="1">
      <c r="A18" s="18" t="str">
        <v>W-D-0532-Water Tracker - Phase 2</v>
      </c>
      <c r="B18" s="19" t="str">
        <v>AOW05</v>
      </c>
      <c r="C18" s="18" t="str">
        <v>5.2. Enhanced capacity for designing, implementing and tracking climate policies, projects and financing</v>
      </c>
      <c r="D18" s="19">
        <v>0</v>
      </c>
      <c r="F18" s="19" t="str">
        <v>None</v>
      </c>
    </row>
    <row r="19" ht="30" customHeight="1">
      <c r="A19" s="18" t="str">
        <v>W-D-0532-Water Tracker - Phase 2</v>
      </c>
      <c r="B19" s="19" t="str">
        <v>AOW02</v>
      </c>
      <c r="C19" s="18" t="str">
        <v>2.1.1 &amp; 2.2.1 Climate information products and services</v>
      </c>
      <c r="D19" s="19">
        <v>0</v>
      </c>
    </row>
    <row r="20" ht="30" customHeight="1">
      <c r="A20" s="18" t="str">
        <v>W-D-0532-Water Tracker - Phase 2</v>
      </c>
      <c r="B20" s="19" t="str">
        <v>AOW03</v>
      </c>
      <c r="C20" s="18" t="str">
        <v>3.1.1. Institutional innovations and technical practices</v>
      </c>
      <c r="D20" s="19">
        <v>0</v>
      </c>
    </row>
    <row r="21" ht="30" customHeight="1">
      <c r="A21" s="18" t="str">
        <v>W-D-0440-AL MURANA</v>
      </c>
      <c r="B21" s="19" t="str">
        <v>AOW00</v>
      </c>
      <c r="C21" s="18" t="str">
        <v>New finance for just climate action and transitions</v>
      </c>
      <c r="D21" s="19">
        <v>0</v>
      </c>
      <c r="E21" s="19" t="str">
        <f>=SUM(D21:D22)</f>
        <v>0</v>
      </c>
    </row>
    <row r="22" ht="30" customHeight="1">
      <c r="A22" s="18" t="str">
        <v>W-D-0440-AL MURANA</v>
      </c>
      <c r="B22" s="19" t="str">
        <v>AOW02</v>
      </c>
      <c r="C22" s="18" t="str">
        <v>2.1.1 &amp; 2.2.1 Climate information products and services</v>
      </c>
      <c r="D22" s="19">
        <v>738611</v>
      </c>
      <c r="F22" s="19" t="str">
        <v>None</v>
      </c>
    </row>
    <row r="23" ht="30" customHeight="1">
      <c r="A23" s="18" t="str">
        <v>W-D-0526-GEF: G4DR in Africa</v>
      </c>
      <c r="B23" s="19" t="str">
        <v>AOW00</v>
      </c>
      <c r="C23" s="18" t="str">
        <v>New finance for just climate action and transitions</v>
      </c>
      <c r="D23" s="19">
        <v>0</v>
      </c>
      <c r="E23" s="19" t="str">
        <f>=SUM(D23:D24)</f>
        <v>0</v>
      </c>
    </row>
    <row r="24" ht="30" customHeight="1">
      <c r="A24" s="18" t="str">
        <v>W-D-0526-GEF: G4DR in Africa</v>
      </c>
      <c r="B24" s="19" t="str">
        <v>AOW02</v>
      </c>
      <c r="C24" s="18" t="str">
        <v>2.1.1 &amp; 2.2.1 Climate information products and services</v>
      </c>
      <c r="D24" s="19">
        <v>767367</v>
      </c>
      <c r="F24" s="19" t="str">
        <v>None</v>
      </c>
    </row>
    <row r="25" ht="30" customHeight="1">
      <c r="A25" s="3" t="str">
        <v>W3/Bilateral projects subtotal</v>
      </c>
      <c r="E25" s="3">
        <f>SUM(E2:E24)</f>
      </c>
    </row>
  </sheetData>
  <mergeCells count="17">
    <mergeCell ref="A2:A4"/>
    <mergeCell ref="A5:A8"/>
    <mergeCell ref="A9:A10"/>
    <mergeCell ref="A11:A13"/>
    <mergeCell ref="A14:A16"/>
    <mergeCell ref="A17:A20"/>
    <mergeCell ref="A21:A22"/>
    <mergeCell ref="A23:A24"/>
    <mergeCell ref="E2:E4"/>
    <mergeCell ref="E5:E8"/>
    <mergeCell ref="E9:E10"/>
    <mergeCell ref="E11:E13"/>
    <mergeCell ref="E14:E16"/>
    <mergeCell ref="E17:E20"/>
    <mergeCell ref="E21:E22"/>
    <mergeCell ref="E23:E24"/>
    <mergeCell ref="A25:D25"/>
  </mergeCells>
  <ignoredErrors>
    <ignoredError numberStoredAsText="1" sqref="A1:F25"/>
  </ignoredErrors>
</worksheet>
</file>

<file path=xl/worksheets/sheet6.xml><?xml version="1.0" encoding="utf-8"?>
<worksheet xmlns="http://schemas.openxmlformats.org/spreadsheetml/2006/main" xmlns:r="http://schemas.openxmlformats.org/officeDocument/2006/relationships">
  <dimension ref="A1:F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v>
      </c>
      <c r="B2" s="19" t="str">
        <v>AOW00</v>
      </c>
      <c r="C2" s="18" t="str">
        <v xml:space="preserve">Use of climate adaptation or low-emissions solutions </v>
      </c>
      <c r="D2" s="19">
        <v>0</v>
      </c>
      <c r="E2" s="19" t="str">
        <f>=SUM(D2:D3)</f>
        <v>0</v>
      </c>
    </row>
    <row r="3" ht="30" customHeight="1">
      <c r="A3" s="18" t="str">
        <v>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v>
      </c>
      <c r="B3" s="19" t="str">
        <v>AOW02</v>
      </c>
      <c r="C3" s="18" t="str">
        <v>2.1 Organizations leverage and use participatory research approaches</v>
      </c>
      <c r="D3" s="19">
        <v>12000</v>
      </c>
      <c r="F3" s="19" t="str">
        <v>Innovations continuity in CA builds on 3-4 years of its efforts with country partners for innovation use and scaling. Additional MELIA funds to be supported for these efforts.</v>
      </c>
    </row>
    <row r="4" ht="30" customHeight="1">
      <c r="A4" s="18" t="str">
        <v>MELIA study to assess the impact of EWS and Anticipatory action program in Africa and Asia</v>
      </c>
      <c r="B4" s="19" t="str">
        <v>AOW00</v>
      </c>
      <c r="C4" s="18" t="str">
        <v xml:space="preserve">Use of climate adaptation or low-emissions solutions </v>
      </c>
      <c r="D4" s="19">
        <v>0</v>
      </c>
      <c r="E4" s="19" t="str">
        <f>=SUM(D4:D5)</f>
        <v>0</v>
      </c>
    </row>
    <row r="5" ht="30" customHeight="1">
      <c r="A5" s="18" t="str">
        <v>MELIA study to assess the impact of EWS and Anticipatory action program in Africa and Asia</v>
      </c>
      <c r="B5" s="19" t="str">
        <v>AOW02</v>
      </c>
      <c r="C5" s="18" t="str">
        <v>2.1 Organizations leverage and use participatory research approaches</v>
      </c>
      <c r="D5" s="19">
        <v>10000</v>
      </c>
      <c r="F5" s="19" t="str">
        <v>None</v>
      </c>
    </row>
    <row r="6" ht="30" customHeight="1">
      <c r="A6" s="18" t="str">
        <v>MELIA study to track use of the Climate Smart Governance Dashboard for national adaptation planning and investment prioritization</v>
      </c>
      <c r="B6" s="19" t="str">
        <v>AOW00</v>
      </c>
      <c r="C6" s="18" t="str">
        <v>New finance for just climate action and transitions</v>
      </c>
      <c r="D6" s="19">
        <v>0</v>
      </c>
      <c r="E6" s="19" t="str">
        <f>=SUM(D6:D7)</f>
        <v>0</v>
      </c>
    </row>
    <row r="7" ht="30" customHeight="1">
      <c r="A7" s="18" t="str">
        <v>MELIA study to track use of the Climate Smart Governance Dashboard for national adaptation planning and investment prioritization</v>
      </c>
      <c r="B7" s="19" t="str">
        <v>AOW05</v>
      </c>
      <c r="C7" s="18" t="str">
        <v>5.2. Enhanced capacity for designing, implementing and tracking climate policies, projects and financing</v>
      </c>
      <c r="D7" s="19">
        <v>10000</v>
      </c>
      <c r="F7" s="19" t="str">
        <v>None</v>
      </c>
    </row>
    <row r="8" ht="30" customHeight="1">
      <c r="A8" s="3" t="str">
        <v>MELIA Studies Budget subtotal</v>
      </c>
      <c r="E8" s="3">
        <f>SUM(E2:E7)</f>
      </c>
    </row>
  </sheetData>
  <mergeCells count="7">
    <mergeCell ref="A2:A3"/>
    <mergeCell ref="A4:A5"/>
    <mergeCell ref="A6:A7"/>
    <mergeCell ref="E2:E3"/>
    <mergeCell ref="E4:E5"/>
    <mergeCell ref="E6:E7"/>
    <mergeCell ref="A8:D8"/>
  </mergeCells>
  <ignoredErrors>
    <ignoredError numberStoredAsText="1" sqref="A1:F8"/>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64000</v>
      </c>
      <c r="E2" s="20">
        <v>0</v>
      </c>
      <c r="F2" s="20">
        <v>0</v>
      </c>
      <c r="G2" s="20">
        <v>38000</v>
      </c>
      <c r="H2" s="20" t="str">
        <f>=SUM(B2:G2)</f>
        <v>0</v>
      </c>
    </row>
    <row r="3" ht="20" customHeight="1">
      <c r="A3" s="20" t="str">
        <v>Operations (supplies, consultants, travels, workshops, other)</v>
      </c>
      <c r="B3" s="20">
        <v>0</v>
      </c>
      <c r="C3" s="20">
        <v>14479</v>
      </c>
      <c r="D3" s="20">
        <v>83473</v>
      </c>
      <c r="E3" s="20">
        <v>0</v>
      </c>
      <c r="F3" s="20">
        <v>71038</v>
      </c>
      <c r="G3" s="20">
        <v>102650</v>
      </c>
      <c r="H3" s="20" t="str">
        <f>=SUM(B3:G3)</f>
        <v>0</v>
      </c>
    </row>
    <row r="4" ht="20" customHeight="1">
      <c r="A4" s="20" t="str">
        <v>Staffing, Chargebacks and Indirect</v>
      </c>
      <c r="B4" s="20">
        <v>0</v>
      </c>
      <c r="C4" s="20">
        <v>66917</v>
      </c>
      <c r="D4" s="20">
        <v>507068</v>
      </c>
      <c r="E4" s="20">
        <v>0</v>
      </c>
      <c r="F4" s="20">
        <v>116962</v>
      </c>
      <c r="G4" s="20">
        <v>124350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