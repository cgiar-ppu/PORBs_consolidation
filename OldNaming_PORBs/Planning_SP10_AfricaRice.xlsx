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Anapla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926194</v>
      </c>
    </row>
    <row r="5" ht="20" customHeight="1">
      <c r="A5" s="2" t="str">
        <v>AOW01: Accelerating Solutions for Impact</v>
      </c>
      <c r="B5" s="2">
        <v>2</v>
      </c>
      <c r="C5" s="5">
        <v>70000</v>
      </c>
      <c r="D5" s="2">
        <v>3</v>
      </c>
      <c r="E5" s="5">
        <v>70000</v>
      </c>
      <c r="F5" s="2">
        <v>250</v>
      </c>
      <c r="G5" s="5">
        <v>60000</v>
      </c>
      <c r="H5" s="2">
        <v>0</v>
      </c>
      <c r="I5" s="5">
        <v>0</v>
      </c>
      <c r="J5" s="5">
        <v>0</v>
      </c>
      <c r="K5" s="5">
        <v>0</v>
      </c>
      <c r="L5" s="5">
        <v>200000</v>
      </c>
      <c r="M5" s="5">
        <v>0</v>
      </c>
    </row>
    <row r="6" ht="20" customHeight="1">
      <c r="A6" s="2" t="str">
        <v>AOW02: Accelerating Change Through Evidence</v>
      </c>
      <c r="B6" s="2">
        <v>0</v>
      </c>
      <c r="C6" s="5">
        <v>0</v>
      </c>
      <c r="D6" s="2">
        <v>0</v>
      </c>
      <c r="E6" s="5">
        <v>0</v>
      </c>
      <c r="F6" s="2">
        <v>0</v>
      </c>
      <c r="G6" s="5">
        <v>0</v>
      </c>
      <c r="H6" s="2">
        <v>0</v>
      </c>
      <c r="I6" s="5">
        <v>0</v>
      </c>
      <c r="J6" s="5">
        <v>0</v>
      </c>
      <c r="K6" s="5">
        <v>0</v>
      </c>
      <c r="L6" s="5">
        <v>0</v>
      </c>
      <c r="M6" s="5">
        <v>0</v>
      </c>
    </row>
    <row r="7" ht="20" customHeight="1">
      <c r="A7" s="2" t="str">
        <v>AOW03: Youth Thrive</v>
      </c>
      <c r="B7" s="2">
        <v>0</v>
      </c>
      <c r="C7" s="5">
        <v>0</v>
      </c>
      <c r="D7" s="2">
        <v>3</v>
      </c>
      <c r="E7" s="5">
        <v>114500</v>
      </c>
      <c r="F7" s="2">
        <v>0</v>
      </c>
      <c r="G7" s="5">
        <v>0</v>
      </c>
      <c r="H7" s="2">
        <v>0</v>
      </c>
      <c r="I7" s="5">
        <v>0</v>
      </c>
      <c r="J7" s="5">
        <v>0</v>
      </c>
      <c r="K7" s="5">
        <v>0</v>
      </c>
      <c r="L7" s="5">
        <v>114500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Area of Work Leadership Costs</v>
      </c>
      <c r="D2" s="11">
        <v>0</v>
      </c>
    </row>
    <row r="3" ht="45" customHeight="1">
      <c r="A3" s="11" t="str">
        <v>AOW00</v>
      </c>
      <c r="B3" s="11" t="str">
        <v xml:space="preserve">PMU Team </v>
      </c>
      <c r="C3" s="11" t="str">
        <v/>
      </c>
      <c r="D3" s="11">
        <v>0</v>
      </c>
    </row>
    <row r="4" ht="45" customHeight="1">
      <c r="A4" s="11" t="str">
        <v>AOW00</v>
      </c>
      <c r="B4" s="11" t="str">
        <v>Director and associated costs</v>
      </c>
      <c r="D4" s="11">
        <v>0</v>
      </c>
    </row>
    <row r="5" ht="45" customHeight="1">
      <c r="A5" s="11" t="str">
        <v>AOW00</v>
      </c>
      <c r="B5" s="11" t="str">
        <v>Director's discretionary fund</v>
      </c>
      <c r="D5" s="11">
        <v>0</v>
      </c>
    </row>
    <row r="6" ht="45" customHeight="1">
      <c r="A6" s="11" t="str">
        <v>AOW00</v>
      </c>
      <c r="B6" s="11" t="str">
        <v>Shared finance support</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1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1.2.1: Co-designed socio-technical innovation bundles for productivity and resilience </v>
      </c>
      <c r="C3" s="11" t="str">
        <v>STIBs baseline reports for the new learning labs that include an assessment of vulnerability and empowerment context in the new systems, identification of innovation bundles to strengthen women's empowerment and resilience, and identification of potential partners</v>
      </c>
      <c r="D3" s="11" t="str">
        <v>Number of innovations (innovation development)</v>
      </c>
      <c r="E3" s="11" t="str">
        <v>Country: Mali, Madagascar</v>
      </c>
      <c r="F3" s="11">
        <v>2</v>
      </c>
      <c r="G3" s="11">
        <v>70000</v>
      </c>
      <c r="H3" s="11">
        <f>SUM(G3:G4)</f>
      </c>
      <c r="I3" s="11" t="str" xml:space="preserve">
        <v xml:space="preserve">Collaborating partners, non-contracted: Centre National de Recherche Appliqué au Développement Rural (Madagascar), Institut d’Economie Rurale (Mali),  World Vegetable Center, KIT Institute (on technical innovations linked to Sustainable Farming); Wageningen University. 
Some funds will be implemented through a partner and details will be indicated when a partner is selected - in the re-plan.
</v>
      </c>
    </row>
    <row r="4" ht="50" customHeight="1">
      <c r="A4" s="11" t="str">
        <v>AOW01</v>
      </c>
      <c r="C4" s="11" t="str">
        <v>Capacity development in STIBs (training modules integrate technical and social innovations, specific training components are delivered depending on gaps)</v>
      </c>
      <c r="D4" s="11" t="str">
        <v>Number of people trained (capacity sharing for development)</v>
      </c>
      <c r="E4" s="11" t="str">
        <v>Country: Mali, Madagascar</v>
      </c>
      <c r="F4" s="11">
        <v>250</v>
      </c>
      <c r="G4" s="11">
        <v>60000</v>
      </c>
      <c r="I4" s="11" t="str">
        <v>Collaborating partners, non-contracted: Centre National de Recherche Appliqué au Développement Rural (Madagascar), Institut d’Economie Rurale (Mali),  World Vegetable Center, KIT Institute (on technical innovations linked to Sustainable Farming); Wagening</v>
      </c>
    </row>
    <row r="5" ht="50" customHeight="1">
      <c r="A5" s="11" t="str">
        <v>AOW01</v>
      </c>
      <c r="B5" s="11" t="str">
        <v>1.2.2: Performance and cost effectiveness of socio-technical bundles</v>
      </c>
      <c r="C5" s="11" t="str">
        <v>STIBs assessment tools and data: including the design of impact studies, study instruments of key outomes (resilience, total factor productivity, cost effectiveness), databases and analyes</v>
      </c>
      <c r="D5" s="11" t="str">
        <v>Number of knowledge products</v>
      </c>
      <c r="E5" s="11" t="str">
        <v>Country: Mali, Madagascar</v>
      </c>
      <c r="F5" s="11">
        <v>2</v>
      </c>
      <c r="G5" s="11">
        <v>40000</v>
      </c>
      <c r="H5" s="11">
        <f>SUM(G5:G5)</f>
      </c>
      <c r="I5" s="11" t="str">
        <v>Collaborating partners, non-contracted: Centre National de Recherche Appliqué au Développement Rural (Madagascar), Institut d’Economie Rurale (Mali),  World Vegetable Center, KIT Institute (on technical innovations linked to Sustainable Farming); Wagening</v>
      </c>
    </row>
    <row r="6" ht="50" customHeight="1">
      <c r="A6" s="11" t="str">
        <v>AOW01</v>
      </c>
      <c r="B6" s="11" t="str">
        <v xml:space="preserve">1.2.3: Scaling socio-technical innovation bundles  </v>
      </c>
      <c r="C6" s="11" t="str">
        <v xml:space="preserve">STIBs scaling strategy developed, including the planned pathways and processes for scaling the approach in the agri-food systems </v>
      </c>
      <c r="D6" s="11" t="str">
        <v>Number of knowledge products</v>
      </c>
      <c r="E6" s="11" t="str">
        <v>Country: Mali, Madagascar</v>
      </c>
      <c r="F6" s="11">
        <v>1</v>
      </c>
      <c r="G6" s="11">
        <v>30000</v>
      </c>
      <c r="H6" s="11">
        <f>SUM(G6:G6)</f>
      </c>
      <c r="I6" s="11" t="str">
        <v>Collaborating partners, non-contracted: Centre National de Recherche Appliqué au Développement Rural (Madagascar), Institut d’Economie Rurale (Mali),  World Vegetable Center, KIT Institute (on technical innovations linked to Sustainable Farming); Wagening</v>
      </c>
    </row>
    <row r="7" ht="25" customHeight="1">
      <c r="B7" s="14" t="str">
        <v>HLO budget subtotal</v>
      </c>
      <c r="H7" s="15">
        <f>SUM(H3:H6)</f>
      </c>
    </row>
    <row r="8" ht="50" customHeight="1">
      <c r="A8" s="13" t="str">
        <v>AOW03</v>
      </c>
      <c r="B8" s="11" t="str">
        <v>3.1.3: Analysis of constraints and pathways for youth in FLWS</v>
      </c>
      <c r="C8" s="11" t="str">
        <v>Age- and gender-specific empowerment indicators defined based on the scoping study and validated with youth and stakeholders</v>
      </c>
      <c r="D8" s="11" t="str">
        <v>Number of knowledge products</v>
      </c>
      <c r="E8" s="11" t="str">
        <v>Country: Benin, Côte d'Ivoire, Togo, Ethiopia, Senegal</v>
      </c>
      <c r="F8" s="11">
        <v>1</v>
      </c>
      <c r="G8" s="11">
        <v>44500</v>
      </c>
      <c r="H8" s="11">
        <f>SUM(G8:G9)</f>
      </c>
      <c r="I8" s="11" t="str">
        <v>Collaborating partners, non-contracted: Centre National de Recherche Agronomique (CNRA) de Côte d'Ivoire; Institut Senegalais de Recherche Agricole; Mennonite Economic Development Associates (MEDA)-NGO.</v>
      </c>
    </row>
    <row r="9" ht="50" customHeight="1" xml:space="preserve">
      <c r="A9" s="11" t="str">
        <v>AOW03</v>
      </c>
      <c r="C9" s="11" t="str">
        <v>Scoping study and evidence report on pathways enabling youth to access resources, strengthen skills, and exercise agency within the rice value chain, providing actionable recommendations for targeted interventions</v>
      </c>
      <c r="D9" s="11" t="str">
        <v>Number of knowledge products</v>
      </c>
      <c r="E9" s="11" t="str">
        <v>Country: Senegal, Benin, Ethiopia, Côte d'Ivoire, Togo</v>
      </c>
      <c r="F9" s="11">
        <v>2</v>
      </c>
      <c r="G9" s="11">
        <v>70000</v>
      </c>
      <c r="I9" s="11" t="str" xml:space="preserve">
        <v xml:space="preserve">Collaborating partners, non-contracted: Centre National de Recherche Agronomique (CNRA) de Côte d'Ivoire; Institut Senegalais de Recherche Agricole; Mennonite Economic Development Associates (MEDA)-NGO.
As this is new work, some of the partners may be contracted, but not confirmed yet. This will be added in the re-plan process if partners are identified by then. </v>
      </c>
    </row>
    <row r="10" ht="25" customHeight="1">
      <c r="B10" s="15" t="str">
        <v>HLO budget subtotal</v>
      </c>
      <c r="H10" s="15">
        <f>SUM(H8:H9)</f>
      </c>
    </row>
  </sheetData>
  <mergeCells count="13">
    <mergeCell ref="A1:A2"/>
    <mergeCell ref="B1:B2"/>
    <mergeCell ref="C1:G1"/>
    <mergeCell ref="H1:H2"/>
    <mergeCell ref="I1:I2"/>
    <mergeCell ref="B3:B4"/>
    <mergeCell ref="H3:H4"/>
    <mergeCell ref="B7:G7"/>
    <mergeCell ref="A3:A7"/>
    <mergeCell ref="B8:B9"/>
    <mergeCell ref="H8:H9"/>
    <mergeCell ref="B10:G10"/>
    <mergeCell ref="A8:A10"/>
  </mergeCells>
  <ignoredErrors>
    <ignoredError numberStoredAsText="1" sqref="A1:I10"/>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A-HP2023-003-World Bank-Food Systems Resilience</v>
      </c>
      <c r="B2" s="19" t="str">
        <v>AOW00</v>
      </c>
      <c r="C2" s="18" t="str">
        <v>1.2 Evidence-based support for women and youth empowerment</v>
      </c>
      <c r="D2" s="19">
        <v>280734</v>
      </c>
      <c r="E2" s="19" t="str">
        <f>=SUM(D2:D2)</f>
        <v>0</v>
      </c>
    </row>
    <row r="3" ht="30" customHeight="1">
      <c r="A3" s="18" t="str">
        <v>A-HP2023-002-MasterCard - WAEMU</v>
      </c>
      <c r="B3" s="19" t="str">
        <v>AOW00</v>
      </c>
      <c r="C3" s="18" t="str">
        <v>3.1: Evidence-based scaling of youth-responsive solutions</v>
      </c>
      <c r="D3" s="19">
        <v>645460</v>
      </c>
      <c r="E3" s="19" t="str">
        <f>=SUM(D3:D3)</f>
        <v>0</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25000</v>
      </c>
      <c r="D2" s="20">
        <v>0</v>
      </c>
      <c r="E2" s="20">
        <v>0</v>
      </c>
      <c r="F2" s="20" t="str">
        <f>=SUM(B2:E2)</f>
        <v>0</v>
      </c>
    </row>
    <row r="3" ht="20" customHeight="1">
      <c r="A3" s="20" t="str">
        <v>Operations (supplies, consultants, travels, workshops, other)</v>
      </c>
      <c r="B3" s="20">
        <v>0</v>
      </c>
      <c r="C3" s="20">
        <v>51119</v>
      </c>
      <c r="D3" s="20">
        <v>0</v>
      </c>
      <c r="E3" s="20">
        <v>38295</v>
      </c>
      <c r="F3" s="20" t="str">
        <f>=SUM(B3:E3)</f>
        <v>0</v>
      </c>
    </row>
    <row r="4" ht="20" customHeight="1">
      <c r="A4" s="20" t="str">
        <v>Staffing, Chargebacks and Indirect</v>
      </c>
      <c r="B4" s="20">
        <v>0</v>
      </c>
      <c r="C4" s="20">
        <v>123881</v>
      </c>
      <c r="D4" s="20">
        <v>0</v>
      </c>
      <c r="E4" s="20">
        <v>76205</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Cross-Cutting</vt:lpstr>
      <vt:lpstr>HLO</vt:lpstr>
      <vt:lpstr>Partner</vt:lpstr>
      <vt:lpstr>W3-Bilateral projects</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