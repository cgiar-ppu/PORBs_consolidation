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1901154</v>
      </c>
    </row>
    <row r="5" ht="20" customHeight="1">
      <c r="A5" s="2" t="str">
        <v>AOW01: Accelerating Solutions for Impact</v>
      </c>
      <c r="B5" s="2">
        <v>1</v>
      </c>
      <c r="C5" s="5">
        <v>26500</v>
      </c>
      <c r="D5" s="2">
        <v>19</v>
      </c>
      <c r="E5" s="5">
        <v>617750</v>
      </c>
      <c r="F5" s="2">
        <v>30</v>
      </c>
      <c r="G5" s="5">
        <v>12500</v>
      </c>
      <c r="H5" s="2">
        <v>0</v>
      </c>
      <c r="I5" s="5">
        <v>0</v>
      </c>
      <c r="J5" s="5">
        <v>0</v>
      </c>
      <c r="K5" s="5">
        <v>0</v>
      </c>
      <c r="L5" s="5">
        <v>656750</v>
      </c>
      <c r="M5" s="5">
        <v>0</v>
      </c>
    </row>
    <row r="6" ht="20" customHeight="1">
      <c r="A6" s="2" t="str">
        <v>AOW02: Accelerating Change Through Evidence</v>
      </c>
      <c r="B6" s="2">
        <v>0</v>
      </c>
      <c r="C6" s="5">
        <v>0</v>
      </c>
      <c r="D6" s="2">
        <v>7</v>
      </c>
      <c r="E6" s="5">
        <v>307000</v>
      </c>
      <c r="F6" s="2">
        <v>30</v>
      </c>
      <c r="G6" s="5">
        <v>75000</v>
      </c>
      <c r="H6" s="2">
        <v>22</v>
      </c>
      <c r="I6" s="5">
        <v>256250</v>
      </c>
      <c r="J6" s="5">
        <v>0</v>
      </c>
      <c r="K6" s="5">
        <v>0</v>
      </c>
      <c r="L6" s="5">
        <v>638250</v>
      </c>
      <c r="M6" s="5">
        <v>0</v>
      </c>
    </row>
    <row r="7" ht="20" customHeight="1">
      <c r="A7" s="2" t="str">
        <v>AOW03: Youth Thrive</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0</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30"/>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1.1.3: Gender-transformative solutions for women's economic empowerment</v>
      </c>
      <c r="C3" s="11" t="str">
        <v>Discussion paper that uses the 2024 baseline data to build quantitative evidence on the links between gender norms and agricultural outcomes (e.g., agricultural productivity, technology adaptation, income), decision making, and household food security in Tanzania and Nigeria</v>
      </c>
      <c r="D3" s="11" t="str">
        <v>Number of knowledge products</v>
      </c>
      <c r="E3" s="11" t="str">
        <v>Country: Tanzania, United Republic, Nigeria</v>
      </c>
      <c r="F3" s="11">
        <v>1</v>
      </c>
      <c r="G3" s="11">
        <v>83250</v>
      </c>
      <c r="H3" s="11">
        <f>SUM(G3:G3)</f>
      </c>
      <c r="I3" s="11" t="str">
        <v>Collaborating partners, non-contracted: Justice Development and Peace Commission; KOLPING SOCIETY OF TANZANIA; NYAKITONTO YOUTH FOR DEVELOPMENT TANZANIA</v>
      </c>
    </row>
    <row r="4" ht="50" customHeight="1">
      <c r="A4" s="11" t="str">
        <v>AOW01</v>
      </c>
      <c r="B4" s="11" t="str">
        <v xml:space="preserve">1.3.2: Financial and extension systems for resources and livelihoods </v>
      </c>
      <c r="C4" s="11" t="str">
        <v>Impacts of government financing  of agricultural mechanization on rural men's, women's, and youth livelihoods in Bangladesh (quasi-experimental): discussion paper and presentation</v>
      </c>
      <c r="D4" s="11" t="str">
        <v>Number of knowledge products</v>
      </c>
      <c r="E4" s="11" t="str">
        <v>Country: Bangladesh</v>
      </c>
      <c r="F4" s="11">
        <v>2</v>
      </c>
      <c r="G4" s="11">
        <v>75000</v>
      </c>
      <c r="H4" s="11">
        <f>SUM(G4:G6)</f>
      </c>
      <c r="I4" s="11" t="str">
        <v>Collaborating partners, non-contracted: WeGro, Ministry of Agriculture (Bangladesh)</v>
      </c>
    </row>
    <row r="5" ht="50" customHeight="1">
      <c r="A5" s="11" t="str">
        <v>AOW01</v>
      </c>
      <c r="C5" s="11" t="str">
        <v>Completed policy brief that synthesizes RCT findings on women’s uptake and livelihood impacts of livestock financing products in Bangladesh</v>
      </c>
      <c r="D5" s="11" t="str">
        <v>Number of knowledge products</v>
      </c>
      <c r="E5" s="11" t="str">
        <v>Country: Bangladesh</v>
      </c>
      <c r="F5" s="11">
        <v>1</v>
      </c>
      <c r="G5" s="11">
        <v>21500</v>
      </c>
      <c r="I5" s="11" t="str">
        <v>Collaborating partners, non-contracted:  WeGro, Ministry of Agriculture (Bangladesh)</v>
      </c>
    </row>
    <row r="6" ht="50" customHeight="1">
      <c r="A6" s="11" t="str">
        <v>AOW01</v>
      </c>
      <c r="C6" s="11" t="str">
        <v>Impacts of picture-based crop insurance and credit on women's livelihoods, resilience, empowerment, and experience of intimate partner violence in India (RCT): discussion paper and presentation</v>
      </c>
      <c r="D6" s="11" t="str">
        <v>Number of knowledge products</v>
      </c>
      <c r="E6" s="11" t="str">
        <v>Country: India</v>
      </c>
      <c r="F6" s="11">
        <v>2</v>
      </c>
      <c r="G6" s="11">
        <v>70000</v>
      </c>
      <c r="I6" s="11" t="str">
        <v>Collaborating partners, non-contracted: Dvara E-registry</v>
      </c>
    </row>
    <row r="7" ht="50" customHeight="1">
      <c r="A7" s="11" t="str">
        <v>AOW01</v>
      </c>
      <c r="B7" s="11" t="str">
        <v>1.3.3: Effective interventions within social protection systems for resilience</v>
      </c>
      <c r="C7" s="11" t="str">
        <v>Completed policy brief that synthesizes quasi-experimental evidence on the impact of Somalia’s formal and informal safety nets on internally displaced women’s livelihoods and resilience</v>
      </c>
      <c r="D7" s="11" t="str">
        <v>Number of knowledge products</v>
      </c>
      <c r="E7" s="11" t="str">
        <v>Country: Somalia</v>
      </c>
      <c r="F7" s="11">
        <v>1</v>
      </c>
      <c r="G7" s="11">
        <v>85000</v>
      </c>
      <c r="H7" s="11">
        <f>SUM(G7:G9)</f>
      </c>
      <c r="I7" s="11" t="str">
        <v>Collaborating partners, non-contracted: Delta Somalia</v>
      </c>
    </row>
    <row r="8" ht="50" customHeight="1">
      <c r="A8" s="11" t="str">
        <v>AOW01</v>
      </c>
      <c r="C8" s="11" t="str">
        <v>A discussion paper and accompanying presentation on Kenya Economic Inclusion Program interventions on transfers and skills training, and their impacts on livelihoods, empowerment, and intimate partner violence</v>
      </c>
      <c r="D8" s="11" t="str">
        <v>Number of knowledge products</v>
      </c>
      <c r="E8" s="11" t="str">
        <v>Country: Kenya</v>
      </c>
      <c r="F8" s="11">
        <v>2</v>
      </c>
      <c r="G8" s="11">
        <v>62000</v>
      </c>
      <c r="I8" s="11" t="str">
        <v>Collaborating partners, non-contracted: WFP; Government of Kenya</v>
      </c>
    </row>
    <row r="9" ht="50" customHeight="1">
      <c r="A9" s="11" t="str">
        <v>AOW01</v>
      </c>
      <c r="C9" s="11" t="str">
        <v>A discussion paper that analyzes the 8-year post-program impacts of a specified nutrition-sensitive social protection program on rural women’s and men’s livelihoods in Bangladesh</v>
      </c>
      <c r="D9" s="11" t="str">
        <v>Number of knowledge products</v>
      </c>
      <c r="E9" s="11" t="str">
        <v>Country: Bangladesh</v>
      </c>
      <c r="F9" s="11">
        <v>1</v>
      </c>
      <c r="G9" s="11">
        <v>75000</v>
      </c>
      <c r="I9" s="11" t="str">
        <v>N/A</v>
      </c>
    </row>
    <row r="10" ht="50" customHeight="1">
      <c r="A10" s="11" t="str">
        <v>AOW01</v>
      </c>
      <c r="B10" s="11" t="str">
        <v>1.4.1: Tools for measuring women's voice and leadership</v>
      </c>
      <c r="C10" s="11" t="str">
        <v>Survey instrument and user guide measuring women's voice in agrifood systems governance at individual level, with accompanying implementation guide</v>
      </c>
      <c r="D10" s="11" t="str">
        <v>Number of knowledge products</v>
      </c>
      <c r="E10" s="11" t="str">
        <v>Global</v>
      </c>
      <c r="F10" s="11">
        <v>2</v>
      </c>
      <c r="G10" s="11">
        <v>30000</v>
      </c>
      <c r="H10" s="11">
        <f>SUM(G10:G13)</f>
      </c>
      <c r="I10" s="11" t="str">
        <v>Collaborating partners, non-contracted: AWARD; APRNet; Nigerian Ministry of Budget and Economic Planning; Nigerian Ministry of Agriculture; Nigerian Ministry of Women's Affairs; Krea University (LEAD); NOIPolls; EGAP</v>
      </c>
    </row>
    <row r="11" ht="50" customHeight="1">
      <c r="A11" s="11" t="str">
        <v>AOW01</v>
      </c>
      <c r="C11" s="11" t="str">
        <v>Published measurement toolkit for individual-level measurement of women's voice in agrifood policymaking, to be used by partners and in future case studies</v>
      </c>
      <c r="D11" s="11" t="str">
        <v>Number of innovations (innovation development)</v>
      </c>
      <c r="E11" s="11" t="str">
        <v>Global</v>
      </c>
      <c r="F11" s="11">
        <v>1</v>
      </c>
      <c r="G11" s="11">
        <v>26500</v>
      </c>
      <c r="I11" s="11" t="str">
        <v>Collaborating partners, non-contracted: Rajasthan Unorganized Worker’s Union; Samaj Parivartan Shakti Sangathan; PRADAN; SEWA; Wageningen University and Research Centre</v>
      </c>
    </row>
    <row r="12" ht="50" customHeight="1">
      <c r="A12" s="11" t="str">
        <v>AOW01</v>
      </c>
      <c r="C12" s="11" t="str">
        <v>Number of people trained in WEAGov implementation through in‑person or virtual sessions using WEAGov training and capacity‑development materials</v>
      </c>
      <c r="D12" s="11" t="str">
        <v>Number of people trained (capacity sharing for development)</v>
      </c>
      <c r="E12" s="11" t="str">
        <v>Country: Nigeria</v>
      </c>
      <c r="F12" s="11">
        <v>30</v>
      </c>
      <c r="G12" s="11">
        <v>12500</v>
      </c>
      <c r="I12" s="11" t="str">
        <v>Collaborating partners, non-contracted: AWARD; APRNet; Nigerian Ministry of Budget and Economic Planning; Nigerian Ministry of Agriculture; Nigerian Ministry of Women's Affairs; Krea University (LEAD); NOIPolls; EGAP</v>
      </c>
    </row>
    <row r="13" ht="50" customHeight="1">
      <c r="A13" s="11" t="str">
        <v>AOW01</v>
      </c>
      <c r="C13" s="11" t="str">
        <v>WEAGov rapid assessment tool and accompanying training guides developed, and made available for use by AWARD fellows and similar audiences implementing WEAGov with limited budgets</v>
      </c>
      <c r="D13" s="11" t="str">
        <v>Number of knowledge products</v>
      </c>
      <c r="E13" s="11" t="str">
        <v>Country: Nigeria</v>
      </c>
      <c r="F13" s="11">
        <v>3</v>
      </c>
      <c r="G13" s="11">
        <v>12000</v>
      </c>
      <c r="I13" s="11" t="str">
        <v>Collaborating partners, non-contracted: AWARD; APRNet; Nigerian Ministry of Budget and Economic Planning; Nigerian Ministry of Agriculture; Nigerian Ministry of Women's Affairs; Krea University (LEAD); NOIPolls; EGAP</v>
      </c>
    </row>
    <row r="14" ht="50" customHeight="1">
      <c r="A14" s="11" t="str">
        <v>AOW01</v>
      </c>
      <c r="B14" s="11" t="str">
        <v xml:space="preserve">1.4.3: Solutions for inclusive leadership </v>
      </c>
      <c r="C14" s="11" t="str">
        <v>Learnings from AWARD policy innovations fellows' implementation of WEAGov: discussion paper</v>
      </c>
      <c r="D14" s="11" t="str">
        <v>Number of knowledge products</v>
      </c>
      <c r="E14" s="11" t="str">
        <v>Global</v>
      </c>
      <c r="F14" s="11">
        <v>1</v>
      </c>
      <c r="G14" s="11">
        <v>38000</v>
      </c>
      <c r="H14" s="11">
        <f>SUM(G14:G15)</f>
      </c>
      <c r="I14" s="11" t="str">
        <v>Collaborating partners, non-contracted: AWARD</v>
      </c>
    </row>
    <row r="15" ht="50" customHeight="1">
      <c r="A15" s="11" t="str">
        <v>AOW01</v>
      </c>
      <c r="C15" s="11" t="str">
        <v>In-depth qualitative case studies that build theory and refine research instruments by identifying critical variables and causal pathways shaping participation, leadership and empowerment</v>
      </c>
      <c r="D15" s="11" t="str">
        <v>Number of knowledge products</v>
      </c>
      <c r="E15" s="11" t="str">
        <v>Country: India</v>
      </c>
      <c r="F15" s="11">
        <v>3</v>
      </c>
      <c r="G15" s="11">
        <v>66000</v>
      </c>
      <c r="I15" s="11" t="str">
        <v>Collaborating partners, non-contracted: Rajasthan Unorganized Worker’s Union; Samaj Parivartan Shakti Sangathan; PRADAN; SEWA; Wageningen University and Research Centre</v>
      </c>
    </row>
    <row r="16" ht="25" customHeight="1">
      <c r="B16" s="14" t="str">
        <v>HLO budget subtotal</v>
      </c>
      <c r="H16" s="15">
        <f>SUM(H3:H15)</f>
      </c>
    </row>
    <row r="17" ht="50" customHeight="1">
      <c r="A17" s="13" t="str">
        <v>AOW02</v>
      </c>
      <c r="B17" s="11" t="str">
        <v>2.1.1: Guidance on gender research</v>
      </c>
      <c r="C17" s="11" t="str">
        <v>Ethical use of AI in gender and inclusion research: updated toolkit</v>
      </c>
      <c r="D17" s="11" t="str">
        <v>Number of knowledge products</v>
      </c>
      <c r="E17" s="11" t="str">
        <v>Global</v>
      </c>
      <c r="F17" s="11">
        <v>1</v>
      </c>
      <c r="G17" s="11">
        <v>38750</v>
      </c>
      <c r="H17" s="11">
        <f>SUM(G17:G19)</f>
      </c>
      <c r="I17" s="11" t="str">
        <v>N/A</v>
      </c>
    </row>
    <row r="18" ht="50" customHeight="1">
      <c r="A18" s="11" t="str">
        <v>AOW02</v>
      </c>
      <c r="C18" s="11" t="str">
        <v>Costing methodology for women’s empowerment interventions</v>
      </c>
      <c r="D18" s="11" t="str">
        <v>Number of knowledge products</v>
      </c>
      <c r="E18" s="11" t="str">
        <v>Global</v>
      </c>
      <c r="F18" s="11">
        <v>1</v>
      </c>
      <c r="G18" s="11">
        <v>50000</v>
      </c>
      <c r="I18" s="11" t="str">
        <v>N/A</v>
      </c>
    </row>
    <row r="19" ht="50" customHeight="1">
      <c r="A19" s="11" t="str">
        <v>AOW02</v>
      </c>
      <c r="C19" s="11" t="str">
        <v>Completed business case report that documents the information gains and relative costs of intrahousehold versus household data collection, and provides recommendations on best practices to strengthen gender-sensitive and cost-effective data collection</v>
      </c>
      <c r="D19" s="11" t="str">
        <v>Number of knowledge products</v>
      </c>
      <c r="E19" s="11" t="str">
        <v>Global</v>
      </c>
      <c r="F19" s="11">
        <v>1</v>
      </c>
      <c r="G19" s="11">
        <v>50000</v>
      </c>
      <c r="I19" s="11" t="str">
        <v>N/A</v>
      </c>
    </row>
    <row r="20" ht="50" customHeight="1">
      <c r="A20" s="11" t="str">
        <v>AOW02</v>
      </c>
      <c r="B20" s="11" t="str">
        <v>2.1.2: Communities of practice for impactful gender research</v>
      </c>
      <c r="C20" s="11" t="str">
        <v>New Community of Practice on Youth</v>
      </c>
      <c r="D20" s="11" t="str">
        <v xml:space="preserve"> Number of communities of practice</v>
      </c>
      <c r="E20" s="11" t="str">
        <v>Global</v>
      </c>
      <c r="F20" s="11">
        <v>1</v>
      </c>
      <c r="G20" s="11">
        <v>38750</v>
      </c>
      <c r="H20" s="11">
        <f>SUM(G20:G22)</f>
      </c>
      <c r="I20" s="11" t="str">
        <v>N/A</v>
      </c>
    </row>
    <row r="21" ht="50" customHeight="1">
      <c r="A21" s="11" t="str">
        <v>AOW02</v>
      </c>
      <c r="C21" s="11" t="str">
        <v>Completed case study report that documents the scaling journey of the Women's Empowerment in Agriculture Index (WEAI) family of tools, focusing on how the innovation was developed, evolved, and widely adopted by diverse users and organizations since its launch</v>
      </c>
      <c r="D21" s="11" t="str">
        <v>Number of knowledge products</v>
      </c>
      <c r="E21" s="11" t="str">
        <v>Global</v>
      </c>
      <c r="F21" s="11">
        <v>1</v>
      </c>
      <c r="G21" s="11">
        <v>25000</v>
      </c>
      <c r="I21" s="11" t="str">
        <v>N/A</v>
      </c>
    </row>
    <row r="22" ht="50" customHeight="1" xml:space="preserve">
      <c r="A22" s="11" t="str">
        <v>AOW02</v>
      </c>
      <c r="C22" s="11" t="str" xml:space="preserve">
        <v xml:space="preserve">EnGendering Data Community of Practice: webinar series and blogs on new topics such as methods for evaluating cost effectiveness of women's empowerment interventions
</v>
      </c>
      <c r="D22" s="11" t="str">
        <v xml:space="preserve"> Number of CoP webinars and blogs </v>
      </c>
      <c r="E22" s="11" t="str">
        <v>Global</v>
      </c>
      <c r="F22" s="11">
        <v>9</v>
      </c>
      <c r="G22" s="11">
        <v>75000</v>
      </c>
      <c r="I22" s="11" t="str">
        <v>N/A</v>
      </c>
    </row>
    <row r="23" ht="50" customHeight="1">
      <c r="A23" s="11" t="str">
        <v>AOW02</v>
      </c>
      <c r="B23" s="11" t="str">
        <v>2.1.3: Tools for measuring empowerment and inclusion</v>
      </c>
      <c r="C23" s="11" t="str">
        <v xml:space="preserve">Stakeholders trained through the WEMNS Foundations distance learning course to strengthen their capacity to effectively use the tool in national statistical systems and other research contexts                  </v>
      </c>
      <c r="D23" s="11" t="str">
        <v>Number of people trained (capacity sharing for development)</v>
      </c>
      <c r="E23" s="11" t="str">
        <v>Global</v>
      </c>
      <c r="F23" s="11">
        <v>30</v>
      </c>
      <c r="G23" s="11">
        <v>75000</v>
      </c>
      <c r="H23" s="11">
        <f>SUM(G23:G26)</f>
      </c>
      <c r="I23" s="11" t="str">
        <v>N/A</v>
      </c>
    </row>
    <row r="24" ht="50" customHeight="1">
      <c r="A24" s="11" t="str">
        <v>AOW02</v>
      </c>
      <c r="C24" s="11" t="str">
        <v>Functioning WEAI Helpdesk with response protocols and tracking system</v>
      </c>
      <c r="D24" s="11" t="str">
        <v xml:space="preserve"> Number of functioning WEAI help desks </v>
      </c>
      <c r="E24" s="11" t="str">
        <v>Global</v>
      </c>
      <c r="F24" s="11">
        <v>1</v>
      </c>
      <c r="G24" s="11">
        <v>77500</v>
      </c>
      <c r="I24" s="11" t="str">
        <v>N/A</v>
      </c>
    </row>
    <row r="25" ht="50" customHeight="1">
      <c r="A25" s="11" t="str">
        <v>AOW02</v>
      </c>
      <c r="C25" s="11" t="str">
        <v>Operational WEAI Resource Center website with updated content and documentation report tracking uptake and use of WEAI-based tools across CGIAR and partners</v>
      </c>
      <c r="D25" s="11" t="str">
        <v xml:space="preserve"> Number of WEAI resource center websites with updated data</v>
      </c>
      <c r="E25" s="11" t="str">
        <v>Global</v>
      </c>
      <c r="F25" s="11">
        <v>1</v>
      </c>
      <c r="G25" s="11">
        <v>50000</v>
      </c>
      <c r="I25" s="11" t="str">
        <v>N/A</v>
      </c>
    </row>
    <row r="26" ht="50" customHeight="1">
      <c r="A26" s="11" t="str">
        <v>AOW02</v>
      </c>
      <c r="C26" s="11" t="str">
        <v xml:space="preserve">Deployed WEAIbot (AI chatbot) with scripted guidance and FAQs             </v>
      </c>
      <c r="D26" s="11" t="str">
        <v>Number of knowledge products</v>
      </c>
      <c r="E26" s="11" t="str">
        <v>Global</v>
      </c>
      <c r="F26" s="11">
        <v>1</v>
      </c>
      <c r="G26" s="11">
        <v>75000</v>
      </c>
      <c r="I26" s="11" t="str">
        <v>N/A</v>
      </c>
    </row>
    <row r="27" ht="50" customHeight="1">
      <c r="A27" s="11" t="str">
        <v>AOW02</v>
      </c>
      <c r="B27" s="11" t="str">
        <v>2.2.2: Policy engagement and outreach for equality, youth, and resilience</v>
      </c>
      <c r="C27" s="11" t="str">
        <v>Stakeholder workshop in Nigeria and Kenya to disseminate findings and inform inclusive youth employment and food systems strategies</v>
      </c>
      <c r="D27" s="11" t="str">
        <v xml:space="preserve"> Number of stakeholders participating in policy dialogue</v>
      </c>
      <c r="E27" s="11" t="str">
        <v>Country: Kenya, Nigeria</v>
      </c>
      <c r="F27" s="11">
        <v>10</v>
      </c>
      <c r="G27" s="11">
        <v>15000</v>
      </c>
      <c r="H27" s="11">
        <f>SUM(G27:G27)</f>
      </c>
      <c r="I27" s="11" t="str">
        <v>Collaborating partners, non-contracted: Mastercard Foundation, Ministry of Agriculture Nigeria, Ministry of Youth Nigeria, Ministry of Agriculture Kenya, Ministry of Youth and Gender</v>
      </c>
    </row>
    <row r="28" ht="50" customHeight="1">
      <c r="A28" s="11" t="str">
        <v>AOW02</v>
      </c>
      <c r="B28" s="11" t="str">
        <v>2.2.3: Co-design with Science Programs and Partners for integrating evidence-based solutions for equality, youth, resilience, and nutrition</v>
      </c>
      <c r="C28" s="11" t="str">
        <v>Policy brief with actionable recommendations for promoting gender-equitable access to assets, finance, and employment</v>
      </c>
      <c r="D28" s="11" t="str">
        <v>Number of knowledge products</v>
      </c>
      <c r="E28" s="11" t="str">
        <v>Country: Kenya, Nigeria</v>
      </c>
      <c r="F28" s="11">
        <v>1</v>
      </c>
      <c r="G28" s="11">
        <v>25000</v>
      </c>
      <c r="H28" s="11">
        <f>SUM(G28:G29)</f>
      </c>
      <c r="I28" s="11" t="str">
        <v>Collaborating partners, non-contracted: Mastercard Foundation, Ministry of Agriculture Nigeria, Ministry of Youth Nigeria, Ministry of Agriculture Kenya, Ministry of Youth and Gender</v>
      </c>
    </row>
    <row r="29" ht="50" customHeight="1">
      <c r="A29" s="11" t="str">
        <v>AOW02</v>
      </c>
      <c r="C29" s="11" t="str">
        <v>Analytical paper identifying the main drivers of inequality between young women and men, distinguishing the roles of endowment and earnings differences.</v>
      </c>
      <c r="D29" s="11" t="str">
        <v>Number of knowledge products</v>
      </c>
      <c r="E29" s="11" t="str">
        <v>Country: Kenya, Nigeria</v>
      </c>
      <c r="F29" s="11">
        <v>1</v>
      </c>
      <c r="G29" s="11">
        <v>43250</v>
      </c>
      <c r="I29" s="11" t="str">
        <v>Collaborating partners, non-contracted: Mastercard Foundation, Ministry of Agriculture Nigeria, Ministry of Youth Nigeria, Ministry of Agriculture Kenya, Ministry of Youth and Gender</v>
      </c>
    </row>
    <row r="30" ht="25" customHeight="1">
      <c r="B30" s="15" t="str">
        <v>HLO budget subtotal</v>
      </c>
      <c r="H30" s="15">
        <f>SUM(H17:H29)</f>
      </c>
    </row>
  </sheetData>
  <mergeCells count="25">
    <mergeCell ref="A1:A2"/>
    <mergeCell ref="B1:B2"/>
    <mergeCell ref="C1:G1"/>
    <mergeCell ref="H1:H2"/>
    <mergeCell ref="I1:I2"/>
    <mergeCell ref="B4:B6"/>
    <mergeCell ref="H4:H6"/>
    <mergeCell ref="B7:B9"/>
    <mergeCell ref="H7:H9"/>
    <mergeCell ref="B10:B13"/>
    <mergeCell ref="H10:H13"/>
    <mergeCell ref="B14:B15"/>
    <mergeCell ref="H14:H15"/>
    <mergeCell ref="B16:G16"/>
    <mergeCell ref="A3:A16"/>
    <mergeCell ref="B17:B19"/>
    <mergeCell ref="H17:H19"/>
    <mergeCell ref="B20:B22"/>
    <mergeCell ref="H20:H22"/>
    <mergeCell ref="B23:B26"/>
    <mergeCell ref="H23:H26"/>
    <mergeCell ref="B28:B29"/>
    <mergeCell ref="H28:H29"/>
    <mergeCell ref="B30:G30"/>
    <mergeCell ref="A17:A30"/>
  </mergeCells>
  <ignoredErrors>
    <ignoredError numberStoredAsText="1" sqref="A1:I30"/>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7"/>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N333010</v>
      </c>
      <c r="B2" s="19" t="str">
        <v>AOW00</v>
      </c>
      <c r="C2" s="18" t="str">
        <v>1.2 Evidence-based support for women and youth empowerment</v>
      </c>
      <c r="D2" s="19">
        <v>61785</v>
      </c>
      <c r="E2" s="19" t="str">
        <f>=SUM(D2:D2)</f>
        <v>0</v>
      </c>
    </row>
    <row r="3" ht="30" customHeight="1">
      <c r="A3" s="18" t="str">
        <v>N-601158-SPIR II</v>
      </c>
      <c r="B3" s="19" t="str">
        <v>AOW00</v>
      </c>
      <c r="C3" s="18" t="str">
        <v xml:space="preserve">1.3 Evidence-based promotion of women's access to resources and social protection </v>
      </c>
      <c r="D3" s="19">
        <v>268285</v>
      </c>
      <c r="E3" s="19" t="str">
        <f>=SUM(D3:D3)</f>
        <v>0</v>
      </c>
    </row>
    <row r="4" ht="30" customHeight="1">
      <c r="A4" s="18" t="str">
        <v>N-601149-IPV RESEARCH COLLAB PH 2</v>
      </c>
      <c r="B4" s="19" t="str">
        <v>AOW00</v>
      </c>
      <c r="C4" s="18" t="str">
        <v xml:space="preserve">1.3 Evidence-based promotion of women's access to resources and social protection </v>
      </c>
      <c r="D4" s="19">
        <v>453469</v>
      </c>
      <c r="E4" s="19" t="str">
        <f>=SUM(D4:D4)</f>
        <v>0</v>
      </c>
    </row>
    <row r="5" ht="30" customHeight="1">
      <c r="A5" s="18" t="str">
        <v>N-2024P0X2-EVITA/IFAD GTM ETHIOPIA</v>
      </c>
      <c r="B5" s="19" t="str">
        <v>AOW00</v>
      </c>
      <c r="C5" s="18" t="str">
        <v>2.1 Use of methodologies and metrics rigorous and ethical research, monitoring practices and measuring empowerment and inclusion</v>
      </c>
      <c r="D5" s="19">
        <v>482585</v>
      </c>
      <c r="E5" s="19" t="str">
        <f>=SUM(D5:D5)</f>
        <v>0</v>
      </c>
    </row>
    <row r="6" ht="30" customHeight="1">
      <c r="A6" s="18" t="str">
        <v>N-332001-COST EFF WE-AG SOLUTIONS</v>
      </c>
      <c r="B6" s="19" t="str">
        <v>AOW00</v>
      </c>
      <c r="C6" s="18" t="str">
        <v>2.1 Use of methodologies and metrics rigorous and ethical research, monitoring practices and measuring empowerment and inclusion</v>
      </c>
      <c r="D6" s="19">
        <v>635030</v>
      </c>
      <c r="E6" s="19" t="str">
        <f>=SUM(D6:D6)</f>
        <v>0</v>
      </c>
    </row>
    <row r="7" ht="30" customHeight="1">
      <c r="A7" s="3" t="str">
        <v>W3/Bilateral projects subtotal</v>
      </c>
      <c r="E7" s="3">
        <f>SUM(E2:E6)</f>
      </c>
    </row>
  </sheetData>
  <mergeCells count="1">
    <mergeCell ref="A7:D7"/>
  </mergeCells>
  <ignoredErrors>
    <ignoredError numberStoredAsText="1" sqref="A1:F7"/>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20" t="str">
        <v>Collaborators non-CGIAR centers</v>
      </c>
      <c r="B2" s="20">
        <v>0</v>
      </c>
      <c r="C2" s="20">
        <v>0</v>
      </c>
      <c r="D2" s="20">
        <v>0</v>
      </c>
      <c r="E2" s="20">
        <v>0</v>
      </c>
      <c r="F2" s="20" t="str">
        <f>=SUM(B2:E2)</f>
        <v>0</v>
      </c>
    </row>
    <row r="3" ht="20" customHeight="1">
      <c r="A3" s="20" t="str">
        <v>Operations (supplies, consultants, travels, workshops, other)</v>
      </c>
      <c r="B3" s="20">
        <v>0</v>
      </c>
      <c r="C3" s="20">
        <v>15000</v>
      </c>
      <c r="D3" s="20">
        <v>10000</v>
      </c>
      <c r="E3" s="20">
        <v>0</v>
      </c>
      <c r="F3" s="20" t="str">
        <f>=SUM(B3:E3)</f>
        <v>0</v>
      </c>
    </row>
    <row r="4" ht="20" customHeight="1">
      <c r="A4" s="20" t="str">
        <v>Staffing, Chargebacks and Indirect</v>
      </c>
      <c r="B4" s="20">
        <v>234000</v>
      </c>
      <c r="C4" s="20">
        <v>641750</v>
      </c>
      <c r="D4" s="20">
        <v>628250</v>
      </c>
      <c r="E4" s="20">
        <v>0</v>
      </c>
      <c r="F4" s="20" t="str">
        <f>=SUM(B4:E4)</f>
        <v>0</v>
      </c>
    </row>
    <row r="5" ht="20" customHeight="1">
      <c r="A5" s="21" t="str">
        <v>Subtotal</v>
      </c>
      <c r="B5" s="22" t="str">
        <f>=SUM(B2:B4)</f>
        <v>0</v>
      </c>
      <c r="C5" s="23" t="str">
        <f>=SUM(C2:C4)</f>
        <v>0</v>
      </c>
      <c r="D5" s="23" t="str">
        <f>=SUM(D2:D4)</f>
        <v>0</v>
      </c>
      <c r="E5" s="23" t="str">
        <f>=SUM(E2:E4)</f>
        <v>0</v>
      </c>
      <c r="F5" s="23"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