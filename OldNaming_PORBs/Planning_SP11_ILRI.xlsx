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CapSha Innovation Laboratory</v>
      </c>
      <c r="B5" s="2">
        <v>0</v>
      </c>
      <c r="C5" s="5">
        <v>37089</v>
      </c>
      <c r="D5" s="2">
        <v>0</v>
      </c>
      <c r="E5" s="5">
        <v>63110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100199</v>
      </c>
      <c r="M5" s="5">
        <v>0</v>
      </c>
    </row>
    <row r="6" ht="20" customHeight="1">
      <c r="A6" s="2" t="str">
        <v>AOW02: CapSha Marketplace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CapSha South-South and Triangular Cooperation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Shared Finance Support</v>
      </c>
      <c r="D2" s="11">
        <v>0</v>
      </c>
    </row>
    <row r="3" ht="45" customHeight="1">
      <c r="A3" s="11" t="str">
        <v>AOW00</v>
      </c>
      <c r="B3" s="11" t="str">
        <v>PMU (shared with other Accelerators)</v>
      </c>
      <c r="C3" s="11" t="str">
        <v/>
      </c>
      <c r="D3" s="11">
        <v>0</v>
      </c>
    </row>
    <row r="4" ht="45" customHeight="1">
      <c r="A4" s="11" t="str">
        <v>AOW00</v>
      </c>
      <c r="B4" s="11" t="str">
        <v>Leads for AoW1-3</v>
      </c>
      <c r="D4" s="11">
        <v>0</v>
      </c>
    </row>
    <row r="5" ht="45" customHeight="1">
      <c r="A5" s="11" t="str">
        <v>AOW00</v>
      </c>
      <c r="B5" s="11" t="str">
        <v>Operational funds for the CapSha Lead</v>
      </c>
      <c r="D5" s="11">
        <v>0</v>
      </c>
    </row>
    <row r="6" ht="45" customHeight="1">
      <c r="A6" s="11" t="str">
        <v>AOW00</v>
      </c>
      <c r="B6" s="11" t="str">
        <v>CapSha Accelerator Lead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HLO 1.1.1: CapSha research</v>
      </c>
      <c r="C3" s="11" t="str">
        <v>Innovative research and lessons learned papers on novel CapSha aproaches at the individual, organizational and system level are researched and published</v>
      </c>
      <c r="D3" s="11" t="str">
        <v>Number of knowledge products</v>
      </c>
      <c r="E3" s="11" t="str">
        <v>Global</v>
      </c>
      <c r="F3" s="11">
        <v>5</v>
      </c>
      <c r="G3" s="11">
        <v>47060</v>
      </c>
      <c r="H3" s="11">
        <f>SUM(G3:G3)</f>
      </c>
      <c r="I3" s="11" t="str">
        <v>1) Comparative lessons across system, organisational (Rwanda/Ethiopia) and individual (BecA) levels, 2) Good practices and guidelines for post-training follow-up, 3) Lessons from SSTC-related capacity-sharing in SEA and East/Central Africa.</v>
      </c>
    </row>
    <row r="4" ht="50" customHeight="1">
      <c r="A4" s="11" t="str">
        <v>AOW01</v>
      </c>
      <c r="B4" s="11" t="str">
        <v>HLO 1.1.2: CapSha pilots</v>
      </c>
      <c r="C4" s="11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D4" s="11" t="str">
        <v>Number of innovations (innovation development)</v>
      </c>
      <c r="E4" s="11" t="str">
        <v>Global</v>
      </c>
      <c r="F4" s="11">
        <v>3</v>
      </c>
      <c r="G4" s="11">
        <v>37089</v>
      </c>
      <c r="H4" s="11">
        <f>SUM(G4:G4)</f>
      </c>
      <c r="I4" s="11" t="str">
        <v>Use Cases (ILRI/BecA): Expand the BecA-ILRI alumni use case to ACCI, WACCI and Ruforum for global reach, and shift from online survey to an interactive questionnaire involving donors and originating institutions.</v>
      </c>
    </row>
    <row r="5" ht="50" customHeight="1">
      <c r="A5" s="11" t="str">
        <v>AOW01</v>
      </c>
      <c r="B5" s="11" t="str">
        <v>HLO 1.1.3: CapSha toolbox</v>
      </c>
      <c r="C5" s="11" t="str">
        <v>Information sessions held for professinals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D5" s="11" t="str">
        <v>Number of people trained (capacity sharing for development)</v>
      </c>
      <c r="E5" s="11" t="str">
        <v>Global</v>
      </c>
      <c r="F5" s="11">
        <v>120</v>
      </c>
      <c r="G5" s="11">
        <v>0</v>
      </c>
      <c r="H5" s="11">
        <f>SUM(G5:G6)</f>
      </c>
    </row>
    <row r="6" ht="50" customHeight="1">
      <c r="A6" s="11" t="str">
        <v>AOW01</v>
      </c>
      <c r="C6" s="11" t="str">
        <v>Good practice principles, manuals, guidelines and frameworks on CapSha are researched and published</v>
      </c>
      <c r="D6" s="11" t="str">
        <v>Number of knowledge products</v>
      </c>
      <c r="E6" s="11" t="str">
        <v>Global</v>
      </c>
      <c r="F6" s="11">
        <v>3</v>
      </c>
      <c r="G6" s="11">
        <v>16050</v>
      </c>
      <c r="I6" s="11" t="str">
        <v>Impact pathway capacity building/sharing or research driven tool developed.</v>
      </c>
    </row>
    <row r="7" ht="25" customHeight="1">
      <c r="B7" s="14" t="str">
        <v>HLO budget subtotal</v>
      </c>
      <c r="H7" s="15">
        <f>SUM(H3:H6)</f>
      </c>
    </row>
  </sheetData>
  <mergeCells count="9">
    <mergeCell ref="A1:A2"/>
    <mergeCell ref="B1:B2"/>
    <mergeCell ref="C1:G1"/>
    <mergeCell ref="H1:H2"/>
    <mergeCell ref="I1:I2"/>
    <mergeCell ref="B5:B6"/>
    <mergeCell ref="H5:H6"/>
    <mergeCell ref="B7:G7"/>
    <mergeCell ref="A3:A7"/>
  </mergeCells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Implementation monitoring and corrective action</v>
      </c>
      <c r="B2" s="19" t="str">
        <v>AOW03</v>
      </c>
      <c r="C2" s="18" t="str">
        <v>HLO 3.1.1: Partnership engagement mechanisms</v>
      </c>
      <c r="D2" s="19">
        <v>0</v>
      </c>
      <c r="E2" s="19" t="str">
        <f>=SUM(D2:D5)</f>
        <v>0</v>
      </c>
    </row>
    <row r="3" ht="30" customHeight="1">
      <c r="A3" s="18" t="str">
        <v>Implementation monitoring and corrective action</v>
      </c>
      <c r="B3" s="19" t="str">
        <v>AOW00</v>
      </c>
      <c r="C3" s="18" t="str">
        <v>CapSha mainstreamed</v>
      </c>
      <c r="D3" s="19">
        <v>0</v>
      </c>
    </row>
    <row r="4" ht="30" customHeight="1">
      <c r="A4" s="18" t="str">
        <v>Implementation monitoring and corrective action</v>
      </c>
      <c r="B4" s="19" t="str">
        <v>AOW01</v>
      </c>
      <c r="C4" s="18" t="str">
        <v>HLO 1.1.1: CapSha research</v>
      </c>
      <c r="D4" s="19">
        <v>0</v>
      </c>
    </row>
    <row r="5" ht="30" customHeight="1">
      <c r="A5" s="18" t="str">
        <v>Implementation monitoring and corrective action</v>
      </c>
      <c r="B5" s="19" t="str">
        <v>AOW02</v>
      </c>
      <c r="C5" s="18" t="str">
        <v>HLO 2.1.1: Supply mapped</v>
      </c>
      <c r="D5" s="19">
        <v>0</v>
      </c>
    </row>
    <row r="6" ht="30" customHeight="1">
      <c r="A6" s="18" t="str">
        <v>Stakeholder consultation and collaborative learning</v>
      </c>
      <c r="B6" s="19" t="str">
        <v>AOW03</v>
      </c>
      <c r="C6" s="18" t="str">
        <v>HLO 3.1.1: Partnership engagement mechanisms</v>
      </c>
      <c r="D6" s="19">
        <v>0</v>
      </c>
      <c r="E6" s="19" t="str">
        <f>=SUM(D6:D9)</f>
        <v>0</v>
      </c>
    </row>
    <row r="7" ht="30" customHeight="1">
      <c r="A7" s="18" t="str">
        <v>Stakeholder consultation and collaborative learning</v>
      </c>
      <c r="B7" s="19" t="str">
        <v>AOW00</v>
      </c>
      <c r="C7" s="18" t="str">
        <v>CapSha mainstreamed</v>
      </c>
      <c r="D7" s="19">
        <v>0</v>
      </c>
    </row>
    <row r="8" ht="30" customHeight="1">
      <c r="A8" s="18" t="str">
        <v>Stakeholder consultation and collaborative learning</v>
      </c>
      <c r="B8" s="19" t="str">
        <v>AOW01</v>
      </c>
      <c r="C8" s="18" t="str">
        <v>HLO 1.1.1: CapSha research</v>
      </c>
      <c r="D8" s="19">
        <v>0</v>
      </c>
    </row>
    <row r="9" ht="30" customHeight="1">
      <c r="A9" s="18" t="str">
        <v>Stakeholder consultation and collaborative learning</v>
      </c>
      <c r="B9" s="19" t="str">
        <v>AOW02</v>
      </c>
      <c r="C9" s="18" t="str">
        <v>HLO 2.1.1: Supply mapped</v>
      </c>
      <c r="D9" s="19">
        <v>0</v>
      </c>
    </row>
    <row r="10" ht="30" customHeight="1">
      <c r="A10" s="18" t="str">
        <v>Independent mid-term evaluation of the CapSha Accelerator</v>
      </c>
      <c r="B10" s="19" t="str">
        <v>AOW03</v>
      </c>
      <c r="C10" s="18" t="str">
        <v>IOC 0.1: CapSha CoP successful</v>
      </c>
      <c r="D10" s="19">
        <v>0</v>
      </c>
      <c r="E10" s="19" t="str">
        <f>=SUM(D10:D13)</f>
        <v>0</v>
      </c>
    </row>
    <row r="11" ht="30" customHeight="1">
      <c r="A11" s="18" t="str">
        <v>Independent mid-term evaluation of the CapSha Accelerator</v>
      </c>
      <c r="B11" s="19" t="str">
        <v>AOW00</v>
      </c>
      <c r="C11" s="18" t="str">
        <v>CapSha mainstreamed</v>
      </c>
      <c r="D11" s="19">
        <v>0</v>
      </c>
    </row>
    <row r="12" ht="30" customHeight="1">
      <c r="A12" s="18" t="str">
        <v>Independent mid-term evaluation of the CapSha Accelerator</v>
      </c>
      <c r="B12" s="19" t="str">
        <v>AOW01</v>
      </c>
      <c r="C12" s="18" t="str">
        <v>IOC 1.1: CapSha adopted</v>
      </c>
      <c r="D12" s="19">
        <v>0</v>
      </c>
    </row>
    <row r="13" ht="30" customHeight="1">
      <c r="A13" s="18" t="str">
        <v>Independent mid-term evaluation of the CapSha Accelerator</v>
      </c>
      <c r="B13" s="19" t="str">
        <v>AOW02</v>
      </c>
      <c r="C13" s="18" t="str">
        <v>IOC 2.1: CapSha Marketplace used</v>
      </c>
      <c r="D13" s="19">
        <v>0</v>
      </c>
    </row>
    <row r="14" ht="30" customHeight="1">
      <c r="A14" s="18" t="str">
        <v>Independent evaluation of the CapSha Accelerator</v>
      </c>
      <c r="B14" s="19" t="str">
        <v>AOW03</v>
      </c>
      <c r="C14" s="18" t="str">
        <v>IOC 0.1: CapSha CoP successful</v>
      </c>
      <c r="D14" s="19">
        <v>0</v>
      </c>
      <c r="E14" s="19" t="str">
        <f>=SUM(D14:D17)</f>
        <v>0</v>
      </c>
    </row>
    <row r="15" ht="30" customHeight="1">
      <c r="A15" s="18" t="str">
        <v>Independent evaluation of the CapSha Accelerator</v>
      </c>
      <c r="B15" s="19" t="str">
        <v>AOW00</v>
      </c>
      <c r="C15" s="18" t="str">
        <v>CapSha mainstreamed</v>
      </c>
      <c r="D15" s="19">
        <v>0</v>
      </c>
    </row>
    <row r="16" ht="30" customHeight="1">
      <c r="A16" s="18" t="str">
        <v>Independent evaluation of the CapSha Accelerator</v>
      </c>
      <c r="B16" s="19" t="str">
        <v>AOW01</v>
      </c>
      <c r="C16" s="18" t="str">
        <v>IOC 1.1: CapSha adopted</v>
      </c>
      <c r="D16" s="19">
        <v>0</v>
      </c>
    </row>
    <row r="17" ht="30" customHeight="1">
      <c r="A17" s="18" t="str">
        <v>Independent evaluation of the CapSha Accelerator</v>
      </c>
      <c r="B17" s="19" t="str">
        <v>AOW02</v>
      </c>
      <c r="C17" s="18" t="str">
        <v>IOC 2.1: CapSha Marketplace used</v>
      </c>
      <c r="D17" s="19">
        <v>0</v>
      </c>
    </row>
    <row r="18" ht="30" customHeight="1">
      <c r="A18" s="3" t="str">
        <v>MELIA Studies Budget subtotal</v>
      </c>
      <c r="E18" s="3">
        <f>SUM(E2:E17)</f>
      </c>
    </row>
  </sheetData>
  <mergeCells count="9">
    <mergeCell ref="A2:A5"/>
    <mergeCell ref="A6:A9"/>
    <mergeCell ref="A10:A13"/>
    <mergeCell ref="A14:A17"/>
    <mergeCell ref="E2:E5"/>
    <mergeCell ref="E6:E9"/>
    <mergeCell ref="E10:E13"/>
    <mergeCell ref="E14:E17"/>
    <mergeCell ref="A18:D18"/>
  </mergeCells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5500</v>
      </c>
      <c r="D2" s="20">
        <v>0</v>
      </c>
      <c r="E2" s="20">
        <v>0</v>
      </c>
      <c r="F2" s="20" t="str">
        <f>=SUM(B2:E2)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33089</v>
      </c>
      <c r="D3" s="20">
        <v>0</v>
      </c>
      <c r="E3" s="20">
        <v>0</v>
      </c>
      <c r="F3" s="20" t="str">
        <f>=SUM(B3:E3)</f>
        <v>0</v>
      </c>
    </row>
    <row r="4" ht="20" customHeight="1">
      <c r="A4" s="20" t="str">
        <v>Staffing, Chargebacks and Indirect</v>
      </c>
      <c r="B4" s="20">
        <v>451112</v>
      </c>
      <c r="C4" s="20">
        <v>61610</v>
      </c>
      <c r="D4" s="20">
        <v>0</v>
      </c>
      <c r="E4" s="20">
        <v>0</v>
      </c>
      <c r="F4" s="20" t="str">
        <f>=SUM(B4:E4)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