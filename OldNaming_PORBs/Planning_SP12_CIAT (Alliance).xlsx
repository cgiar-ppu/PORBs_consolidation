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Data Ecosystem</v>
      </c>
      <c r="B5" s="2">
        <v>0</v>
      </c>
      <c r="C5" s="5">
        <v>0</v>
      </c>
      <c r="D5" s="2">
        <v>0</v>
      </c>
      <c r="E5" s="5">
        <v>0</v>
      </c>
      <c r="F5" s="2">
        <v>30</v>
      </c>
      <c r="G5" s="5">
        <v>10000</v>
      </c>
      <c r="H5" s="2">
        <v>0</v>
      </c>
      <c r="I5" s="5">
        <v>0</v>
      </c>
      <c r="J5" s="5">
        <v>0</v>
      </c>
      <c r="K5" s="5">
        <v>0</v>
      </c>
      <c r="L5" s="5">
        <v>10000</v>
      </c>
      <c r="M5" s="5">
        <v>0</v>
      </c>
    </row>
    <row r="6" ht="20" customHeight="1">
      <c r="A6" s="2" t="str">
        <v>AOW02: Action Lab</v>
      </c>
      <c r="B6" s="2">
        <v>0</v>
      </c>
      <c r="C6" s="5">
        <v>0</v>
      </c>
      <c r="D6" s="2">
        <v>5104</v>
      </c>
      <c r="E6" s="5">
        <v>170000</v>
      </c>
      <c r="F6" s="2">
        <v>0</v>
      </c>
      <c r="G6" s="5">
        <v>0</v>
      </c>
      <c r="H6" s="2">
        <v>0</v>
      </c>
      <c r="I6" s="5">
        <v>0</v>
      </c>
      <c r="J6" s="5">
        <v>0</v>
      </c>
      <c r="K6" s="5">
        <v>0</v>
      </c>
      <c r="L6" s="5">
        <v>170000</v>
      </c>
      <c r="M6" s="5">
        <v>1392600</v>
      </c>
    </row>
    <row r="7" ht="20" customHeight="1">
      <c r="A7" s="2" t="str">
        <v>AOW03: Digital Futures</v>
      </c>
      <c r="B7" s="2">
        <v>5</v>
      </c>
      <c r="C7" s="5">
        <v>22500</v>
      </c>
      <c r="D7" s="2">
        <v>1</v>
      </c>
      <c r="E7" s="5">
        <v>4870</v>
      </c>
      <c r="F7" s="2">
        <v>0</v>
      </c>
      <c r="G7" s="5">
        <v>0</v>
      </c>
      <c r="H7" s="2">
        <v>0</v>
      </c>
      <c r="I7" s="5">
        <v>0</v>
      </c>
      <c r="J7" s="5">
        <v>0</v>
      </c>
      <c r="K7" s="5">
        <v>0</v>
      </c>
      <c r="L7" s="5">
        <v>27370</v>
      </c>
      <c r="M7" s="5">
        <v>1017934</v>
      </c>
    </row>
    <row r="8" ht="20" customHeight="1">
      <c r="A8" s="2" t="str">
        <v>AOW04: Enabling Environment</v>
      </c>
      <c r="B8" s="2">
        <v>1</v>
      </c>
      <c r="C8" s="5">
        <v>54649</v>
      </c>
      <c r="D8" s="2">
        <v>0</v>
      </c>
      <c r="E8" s="5">
        <v>0</v>
      </c>
      <c r="F8" s="2">
        <v>50</v>
      </c>
      <c r="G8" s="5">
        <v>30000</v>
      </c>
      <c r="H8" s="2">
        <v>0</v>
      </c>
      <c r="I8" s="5">
        <v>0</v>
      </c>
      <c r="J8" s="5">
        <v>0</v>
      </c>
      <c r="K8" s="5">
        <v>0</v>
      </c>
      <c r="L8" s="5">
        <v>84649</v>
      </c>
      <c r="M8" s="5">
        <v>0</v>
      </c>
    </row>
    <row r="9" ht="25" customHeight="1">
      <c r="A9" s="6" t="str">
        <v>Total</v>
      </c>
      <c r="B9" s="7">
        <f>SUM(B4:B8)</f>
      </c>
      <c r="C9" s="7">
        <f>SUM(C4:C8)</f>
      </c>
      <c r="D9" s="7">
        <f>SUM(D4:D8)</f>
      </c>
      <c r="E9" s="7">
        <f>SUM(E4:E8)</f>
      </c>
      <c r="F9" s="7">
        <f>SUM(F4:F8)</f>
      </c>
      <c r="G9" s="7">
        <f>SUM(G4:G8)</f>
      </c>
      <c r="H9" s="7">
        <f>SUM(H4:H8)</f>
      </c>
      <c r="I9" s="7">
        <f>SUM(I4:I8)</f>
      </c>
      <c r="J9" s="7">
        <f>SUM(J4:J8)</f>
      </c>
      <c r="K9" s="7">
        <f>SUM(K4:K8)</f>
      </c>
      <c r="L9" s="7">
        <f>SUM(L4:L8)</f>
      </c>
      <c r="M9" s="7">
        <f>SUM(M4:M8)</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9"/>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Product manager</v>
      </c>
      <c r="C2" s="11" t="str">
        <v xml:space="preserve">The budget will be used towards expenses of a Product manager, who will be based in Abu Dhabi. </v>
      </c>
      <c r="D2" s="11">
        <v>0</v>
      </c>
    </row>
    <row r="3" ht="45" customHeight="1">
      <c r="A3" s="11" t="str">
        <v>AOW00</v>
      </c>
      <c r="B3" s="11" t="str">
        <v>PMU cost- Program Coordinator</v>
      </c>
      <c r="C3" s="11" t="str">
        <v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v>
      </c>
      <c r="D3" s="11">
        <v>0</v>
      </c>
    </row>
    <row r="4" ht="45" customHeight="1">
      <c r="A4" s="11" t="str">
        <v>AOW00</v>
      </c>
      <c r="B4" s="11" t="str">
        <v>SO Finance support</v>
      </c>
      <c r="C4" s="11" t="str">
        <v xml:space="preserve">Funds for Finance support as requested by PCU. </v>
      </c>
      <c r="D4" s="11">
        <v>0</v>
      </c>
    </row>
    <row r="5" ht="45" customHeight="1">
      <c r="A5" s="11" t="str">
        <v>AOW00</v>
      </c>
      <c r="B5" s="11" t="str">
        <v>Director and associated cost</v>
      </c>
      <c r="C5" s="11" t="str">
        <v xml:space="preserve">This budget includes coverage for Director, and associated cost on travel, workshops, and other admin expenses. supporting Director's office. </v>
      </c>
      <c r="D5" s="11">
        <v>0</v>
      </c>
    </row>
    <row r="6" ht="45" customHeight="1">
      <c r="A6" s="11" t="str">
        <v>AOW00</v>
      </c>
      <c r="B6" s="11" t="str">
        <v>AOW Lead cost</v>
      </c>
      <c r="C6" s="11" t="str">
        <v>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v>
      </c>
      <c r="D6" s="11">
        <v>0</v>
      </c>
    </row>
    <row r="7" ht="45" customHeight="1">
      <c r="A7" s="11" t="str">
        <v>AOW00</v>
      </c>
      <c r="B7" s="11" t="str">
        <v>PMU cost- Melia focal point</v>
      </c>
      <c r="C7" s="11" t="str">
        <v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v>
      </c>
      <c r="D7" s="11">
        <v>0</v>
      </c>
    </row>
    <row r="8" ht="45" customHeight="1">
      <c r="A8" s="11" t="str">
        <v>AOW00</v>
      </c>
      <c r="B8" s="11" t="str">
        <v>W2 designated funds</v>
      </c>
      <c r="C8" s="11" t="str">
        <v xml:space="preserve">W2 designated funds that will be supported towards establishing AI Hub in Abu Dhabi. </v>
      </c>
      <c r="D8" s="11">
        <v>0</v>
      </c>
    </row>
  </sheetData>
  <mergeCells count="1">
    <mergeCell ref="A2:A8"/>
  </mergeCells>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I17"/>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HLO 1.1.6 &amp; 1.2.6 Training on inclusive and ethical FAIR data, AI, and digital solution practices</v>
      </c>
      <c r="C3" s="11" t="str">
        <v>CIAT 19: Number of individuals who received training on interoperable data pipelines and capacity-building modules on ethical, inclusive AI to enable partners to collect, manage, and analyze high-frequency diet and resilience data using FAIR principles.</v>
      </c>
      <c r="D3" s="11" t="str">
        <v>Number of people trained (capacity sharing for development)</v>
      </c>
      <c r="E3" s="11" t="str">
        <v>Country: Guatemala, Colombia</v>
      </c>
      <c r="F3" s="11">
        <v>30</v>
      </c>
      <c r="G3" s="11">
        <v>10000</v>
      </c>
      <c r="H3" s="11">
        <f>SUM(G3:G3)</f>
      </c>
      <c r="I3" s="11" t="str">
        <v>This deliverable assumes active participation from public, private, and academic partners in capacity-building modules on ethical, inclusive, and FAIR-compliant AI. It also relies on the ability to develop interoperable data pipelines built on existing Hi</v>
      </c>
    </row>
    <row r="4" ht="25" customHeight="1">
      <c r="B4" s="14" t="str">
        <v>HLO budget subtotal</v>
      </c>
      <c r="H4" s="15">
        <f>SUM(H3:H3)</f>
      </c>
    </row>
    <row r="5" ht="50" customHeight="1">
      <c r="A5" s="13" t="str">
        <v>AOW02</v>
      </c>
      <c r="B5" s="11" t="str">
        <v>HLO 2.1.3 Breeding programs use AI-powered phenotyping to accelerate trait discovery and breeding cycles.</v>
      </c>
      <c r="C5" s="11" t="str">
        <v>CIAT 10: Number of datasets (Partnerships &amp; Policy Integration) curated or produced under FAIR and standard-compliant protocols in scientific domains.</v>
      </c>
      <c r="D5" s="11" t="str">
        <v>Number of knowledge products</v>
      </c>
      <c r="E5" s="11" t="str">
        <v>Country: Kenya</v>
      </c>
      <c r="F5" s="11">
        <v>90</v>
      </c>
      <c r="G5" s="11">
        <v>20000</v>
      </c>
      <c r="H5" s="11">
        <f>SUM(G5:G9)</f>
      </c>
      <c r="I5" s="11" t="str">
        <v>Assumes partner availability and alignment with the B4T roadmap; risks include delays in approvals or scheduling and misalignment if field validation is delayed.</v>
      </c>
    </row>
    <row r="6" ht="50" customHeight="1">
      <c r="A6" s="11" t="str">
        <v>AOW02</v>
      </c>
      <c r="C6" s="11" t="str">
        <v>CIAT 9:  Number of datasets (Capacity &amp; Learning Packages) curated or produced under FAIR and standard-compliant protocols in scientific domains</v>
      </c>
      <c r="D6" s="11" t="str">
        <v>Number of knowledge products</v>
      </c>
      <c r="E6" s="11" t="str">
        <v>Country: Kenya</v>
      </c>
      <c r="F6" s="11">
        <v>1</v>
      </c>
      <c r="G6" s="11">
        <v>10000</v>
      </c>
      <c r="I6" s="11" t="str">
        <v>Assumes workflows are stable enough to finalize SOPs without major revisions; risks arise from late software changes or delays in validation requiring rework.</v>
      </c>
    </row>
    <row r="7" ht="50" customHeight="1">
      <c r="A7" s="11" t="str">
        <v>AOW02</v>
      </c>
      <c r="C7" s="11" t="str">
        <v>CIAT 8: Number of datasets (Data Assets) curated or produced under FAIR and standard-compliant protocols in scientific domains.</v>
      </c>
      <c r="D7" s="11" t="str">
        <v>Number of knowledge products</v>
      </c>
      <c r="E7" s="11" t="str">
        <v>Country: Kenya</v>
      </c>
      <c r="F7" s="11">
        <v>12</v>
      </c>
      <c r="G7" s="11">
        <v>30000</v>
      </c>
      <c r="I7" s="11" t="str">
        <v>Assumes CIMMYT sites are accessible during crop windows and the prototype is functional before the season to collect ≥5,000 annotated plots; risks include weather variability, travel or procurement delays, and inconsistent data affecting volume and timeli</v>
      </c>
    </row>
    <row r="8" ht="50" customHeight="1">
      <c r="A8" s="11" t="str">
        <v>AOW02</v>
      </c>
      <c r="C8" s="11" t="str">
        <v>CIAT 7: Number of datasets (AI Models &amp; Data Pipelines)  curated or produced under FAIR and standard-compliant protocols in scientific domains.</v>
      </c>
      <c r="D8" s="11" t="str">
        <v>Number of knowledge products</v>
      </c>
      <c r="E8" s="11" t="str">
        <v>Country: Kenya</v>
      </c>
      <c r="F8" s="11">
        <v>1</v>
      </c>
      <c r="G8" s="11">
        <v>60000</v>
      </c>
      <c r="I8" s="11" t="str">
        <v>Assumes synchronized field data and minimal rework of existing NDIZI/Artemis models and pipelines; risks involve poor data quality increasing preprocessing needs and hardware or pipeline limitations slowing deployment.</v>
      </c>
    </row>
    <row r="9" ht="50" customHeight="1">
      <c r="A9" s="11" t="str">
        <v>AOW02</v>
      </c>
      <c r="C9" s="11" t="str">
        <v>CIAT 6: Number of datasets (sorghum plot images) curated or produced under FAIR and standard-compliant protocols in scientific domains.</v>
      </c>
      <c r="D9" s="11" t="str">
        <v>Number of knowledge products</v>
      </c>
      <c r="E9" s="11" t="str">
        <v>Country: Kenya</v>
      </c>
      <c r="F9" s="11">
        <v>5000</v>
      </c>
      <c r="G9" s="11">
        <v>50000</v>
      </c>
      <c r="I9" s="11" t="str">
        <v>Assumes early access to Bruno hardware and reusable Artemis components for integrating multimodal capture into Ona; risks include delays in prototype integration and additional optimization needed to meet on-device constraints.</v>
      </c>
    </row>
    <row r="10" ht="25" customHeight="1">
      <c r="B10" s="15" t="str">
        <v>HLO budget subtotal</v>
      </c>
      <c r="H10" s="15">
        <f>SUM(H5:H9)</f>
      </c>
    </row>
    <row r="11" ht="50" customHeight="1">
      <c r="A11" s="13" t="str">
        <v>AOW03</v>
      </c>
      <c r="B11" s="11" t="str">
        <v>HLO 3.1.1:  Probes of a wide range of AI and/or other novel digital solutions  to support system-level scenario analysis of digital frontier technology impacts for decision-makers.</v>
      </c>
      <c r="C11" s="11" t="str">
        <v>ABC 23: Number of interactive digital platforms developed to visualize key technologies, maturity levels, and use cases.</v>
      </c>
      <c r="D11" s="11" t="str">
        <v>Number of innovations (innovation development)</v>
      </c>
      <c r="E11" s="11" t="str">
        <v>Global</v>
      </c>
      <c r="F11" s="11">
        <v>1</v>
      </c>
      <c r="G11" s="11">
        <v>7500</v>
      </c>
      <c r="H11" s="11">
        <f>SUM(G11:G12)</f>
      </c>
      <c r="I11" s="11" t="str">
        <v>Key assumptions and risk factors:  1.Assumes availability of specialized consultants for platform development and sustained engagement from Centers to contribute content and use cases. 2.derestimation of technical complexity, delays in procurement of cons</v>
      </c>
    </row>
    <row r="12" ht="50" customHeight="1">
      <c r="A12" s="11" t="str">
        <v>AOW03</v>
      </c>
      <c r="C12" s="11" t="str">
        <v>ABC 22: Number of probes developed based on future  drivers.</v>
      </c>
      <c r="D12" s="11" t="str">
        <v>Number of innovations (innovation development)</v>
      </c>
      <c r="E12" s="11" t="str">
        <v>Global</v>
      </c>
      <c r="F12" s="11">
        <v>4</v>
      </c>
      <c r="G12" s="11">
        <v>15000</v>
      </c>
      <c r="I12" s="11" t="str">
        <v>1. Assumes that Center commit to jointly designing and testing short, exploratory “probes” on emerging technologies 2.  Delivery depends on Centers’ readiness to test early-stage digital innovations and share lessons learned. 3.</v>
      </c>
    </row>
    <row r="13" ht="50" customHeight="1">
      <c r="A13" s="11" t="str">
        <v>AOW03</v>
      </c>
      <c r="B13" s="11" t="str">
        <v>HLO 3.2.2 &amp; 3.3.2: Future case scenarios identified for digital transformation in FWL systems in addressing context-specific challenges and opportunities.</v>
      </c>
      <c r="C13" s="11" t="str">
        <v>ABC 21: Number of reports and other ICT materials produced with Future case scenarios identified for digital transformation to build awareness of frontier digital technology opportunities and risks.</v>
      </c>
      <c r="D13" s="11" t="str">
        <v>Number of knowledge products</v>
      </c>
      <c r="E13" s="11" t="str">
        <v>Global</v>
      </c>
      <c r="F13" s="11">
        <v>1</v>
      </c>
      <c r="G13" s="11">
        <v>4870</v>
      </c>
      <c r="H13" s="11">
        <f>SUM(G13:G13)</f>
      </c>
      <c r="I13" s="11" t="str">
        <v>1. Assumes that Centers maintain engagement and dedicate both staff time and operational resources (travel, workshop organization, and communication) to foresight activities 2. Reduced participation due to competing priorities, lack of co-investment  .  C</v>
      </c>
    </row>
    <row r="14" ht="25" customHeight="1">
      <c r="B14" s="15" t="str">
        <v>HLO budget subtotal</v>
      </c>
      <c r="H14" s="15">
        <f>SUM(H11:H13)</f>
      </c>
    </row>
    <row r="15" ht="50" customHeight="1">
      <c r="A15" s="13" t="str">
        <v>AOW04</v>
      </c>
      <c r="B15" s="11" t="str">
        <v>HLO 4.1.1 Frameworks, methods, and guidelines to catalyze adoption of responsible and inclusive digital and data innovations across FLW systems</v>
      </c>
      <c r="C15" s="11" t="str">
        <v>ABC 24. Number of Communities of Practices (COPs) on Human-Centered Design launched and operationalized and maintained (members capacitated).</v>
      </c>
      <c r="D15" s="11" t="str">
        <v>Number of people trained (capacity sharing for development)</v>
      </c>
      <c r="E15" s="11" t="str">
        <v>Global</v>
      </c>
      <c r="F15" s="11">
        <v>50</v>
      </c>
      <c r="G15" s="11">
        <v>30000</v>
      </c>
      <c r="H15" s="11">
        <f>SUM(G15:G15)</f>
      </c>
      <c r="I15" s="11" t="str">
        <v xml:space="preserve">"Personnel 67%: This includes coordination of the HCD Community of Practice, design and coordination support to the DTA Center of Excellence for Digital Transformation, leading the HCD component. Additionally, we include PM, PMO and PA support for smooth </v>
      </c>
    </row>
    <row r="16" ht="50" customHeight="1">
      <c r="A16" s="11" t="str">
        <v>AOW04</v>
      </c>
      <c r="B16" s="11" t="str">
        <v>HLO 4.1.2 Robust, secure and flexible foundational digital infrastructure &amp; sustainable operating model across centers and hubs</v>
      </c>
      <c r="C16" s="11" t="str">
        <v>CIAT 18: Number of operational platforms enabling access, search, and analytics of scientific datasets.</v>
      </c>
      <c r="D16" s="11" t="str">
        <v>Number of innovations (innovation development)</v>
      </c>
      <c r="E16" s="11" t="str">
        <v>Country: Colombia, Guatemala</v>
      </c>
      <c r="F16" s="11">
        <v>1</v>
      </c>
      <c r="G16" s="11">
        <v>54649</v>
      </c>
      <c r="H16" s="11">
        <f>SUM(G16:G16)</f>
      </c>
      <c r="I16" s="11" t="str">
        <v>This deliverable assumes continued collaboration with public and private partners and openness to accessing or generating high-frequency diet data streams in Guatemala and Colombia. It also relies on regulatory conditions that allow the integration of ano</v>
      </c>
    </row>
    <row r="17" ht="25" customHeight="1">
      <c r="B17" s="15" t="str">
        <v>HLO budget subtotal</v>
      </c>
      <c r="H17" s="15">
        <f>SUM(H15:H16)</f>
      </c>
    </row>
  </sheetData>
  <mergeCells count="17">
    <mergeCell ref="A1:A2"/>
    <mergeCell ref="B1:B2"/>
    <mergeCell ref="C1:G1"/>
    <mergeCell ref="H1:H2"/>
    <mergeCell ref="I1:I2"/>
    <mergeCell ref="B4:G4"/>
    <mergeCell ref="A3:A4"/>
    <mergeCell ref="B5:B9"/>
    <mergeCell ref="H5:H9"/>
    <mergeCell ref="B10:G10"/>
    <mergeCell ref="A5:A10"/>
    <mergeCell ref="B11:B12"/>
    <mergeCell ref="H11:H12"/>
    <mergeCell ref="B14:G14"/>
    <mergeCell ref="A11:A14"/>
    <mergeCell ref="B17:G17"/>
    <mergeCell ref="A15:A17"/>
  </mergeCells>
  <ignoredErrors>
    <ignoredError numberStoredAsText="1" sqref="A1:I17"/>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7"/>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GAC-SCALING UP CLIMATE INFORMATION SERVICES AND CLIMATE- SMART AGRICULTURE FOR WOMEN FARMERS IN NICARAGUA’S  DRY CORRIDOR</v>
      </c>
      <c r="B2" s="19" t="str">
        <v>AOW02</v>
      </c>
      <c r="C2" s="18" t="str">
        <v>HLO 2.2.7 Digital innovations use human-centered design and citizen science to enhance gender responsiveness and social inclusiveness.</v>
      </c>
      <c r="D2" s="19">
        <v>168525</v>
      </c>
      <c r="E2" s="19" t="str">
        <f>=SUM(D2:D2)</f>
        <v>0</v>
      </c>
      <c r="F2" s="19" t="str">
        <v xml:space="preserve">Active in 2026 and subject to continued funding. </v>
      </c>
    </row>
    <row r="3" ht="30" customHeight="1">
      <c r="A3" s="18" t="str">
        <v>USA-BMGF-Artemis II - Field Phenotyping Prototype</v>
      </c>
      <c r="B3" s="19" t="str">
        <v>AOW02</v>
      </c>
      <c r="C3" s="18" t="str">
        <v>HLO 2.1.3 Breeding programs use AI-powered phenotyping to accelerate trait discovery and breeding cycles.</v>
      </c>
      <c r="D3" s="19">
        <v>720781</v>
      </c>
      <c r="E3" s="19" t="str">
        <f>=SUM(D3:D3)</f>
        <v>0</v>
      </c>
      <c r="F3" s="19" t="str">
        <v xml:space="preserve">Active in 2026 and subject to continued funding. </v>
      </c>
    </row>
    <row r="4" ht="30" customHeight="1">
      <c r="A4" s="18" t="str">
        <v>Climate-smart initiatives for climate change adaptation and sustainability in prioritized agricultural production systems in Colombia (CSICAP)</v>
      </c>
      <c r="B4" s="19" t="str">
        <v>AOW03</v>
      </c>
      <c r="C4" s="18" t="str">
        <v>HLO 3.1.1:  Probes of a wide range of AI and/or other novel digital solutions  to support system-level scenario analysis of digital frontier technology impacts for decision-makers.</v>
      </c>
      <c r="D4" s="19">
        <v>1017934</v>
      </c>
      <c r="E4" s="19" t="str">
        <f>=SUM(D4:D4)</f>
        <v>0</v>
      </c>
      <c r="F4" s="19" t="str">
        <v xml:space="preserve">Active in 2026 and subject to continued funding. </v>
      </c>
    </row>
    <row r="5" ht="30" customHeight="1">
      <c r="A5" s="18" t="str">
        <v>Bill &amp; Melinda Gates Foundation(BMGF)-1000 Farms Research Platform</v>
      </c>
      <c r="B5" s="19" t="str">
        <v>AOW01</v>
      </c>
      <c r="C5" s="18" t="str">
        <v xml:space="preserve">HLO 1.1.2 Standards-compliant FAIR science data collection tools </v>
      </c>
      <c r="D5" s="19">
        <v>0</v>
      </c>
      <c r="E5" s="19" t="str">
        <f>=SUM(D5:D5)</f>
        <v>0</v>
      </c>
    </row>
    <row r="6" ht="30" customHeight="1">
      <c r="A6" s="18" t="str">
        <v>PEPSI-Climate-Resilient Agriculture/Thailand</v>
      </c>
      <c r="B6" s="19" t="str">
        <v>AOW02</v>
      </c>
      <c r="C6" s="18" t="str">
        <v>HLO 2.1.1: Research integrates AI analytics and digital technologies to enhance modeling and evidence generation.​</v>
      </c>
      <c r="D6" s="19">
        <v>503294</v>
      </c>
      <c r="E6" s="19" t="str">
        <f>=SUM(D6:D6)</f>
        <v>0</v>
      </c>
      <c r="F6" s="19" t="str">
        <v xml:space="preserve">Active in 2026 and subject to continued funding. </v>
      </c>
    </row>
    <row r="7" ht="30" customHeight="1">
      <c r="A7" s="3" t="str">
        <v>W3/Bilateral projects subtotal</v>
      </c>
      <c r="E7" s="3">
        <f>SUM(E2:E6)</f>
      </c>
    </row>
  </sheetData>
  <mergeCells count="1">
    <mergeCell ref="A7:D7"/>
  </mergeCells>
  <ignoredErrors>
    <ignoredError numberStoredAsText="1" sqref="A1:F7"/>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20" t="str">
        <v>Collaborators non-CGIAR centers</v>
      </c>
      <c r="B2" s="20">
        <v>0</v>
      </c>
      <c r="C2" s="20">
        <v>0</v>
      </c>
      <c r="D2" s="20">
        <v>0</v>
      </c>
      <c r="E2" s="20">
        <v>0</v>
      </c>
      <c r="F2" s="20">
        <v>0</v>
      </c>
      <c r="G2" s="20" t="str">
        <f>=SUM(B2:F2)</f>
        <v>0</v>
      </c>
    </row>
    <row r="3" ht="20" customHeight="1">
      <c r="A3" s="20" t="str">
        <v>Operations (supplies, consultants, travels, workshops, other)</v>
      </c>
      <c r="B3" s="20">
        <v>0</v>
      </c>
      <c r="C3" s="20">
        <v>5500</v>
      </c>
      <c r="D3" s="20">
        <v>60000</v>
      </c>
      <c r="E3" s="20">
        <v>0</v>
      </c>
      <c r="F3" s="20">
        <v>10244</v>
      </c>
      <c r="G3" s="20" t="str">
        <f>=SUM(B3:F3)</f>
        <v>0</v>
      </c>
    </row>
    <row r="4" ht="20" customHeight="1">
      <c r="A4" s="20" t="str">
        <v>Staffing, Chargebacks and Indirect</v>
      </c>
      <c r="B4" s="20">
        <v>0</v>
      </c>
      <c r="C4" s="20">
        <v>4500</v>
      </c>
      <c r="D4" s="20">
        <v>110000</v>
      </c>
      <c r="E4" s="20">
        <v>27370</v>
      </c>
      <c r="F4" s="20">
        <v>74405</v>
      </c>
      <c r="G4" s="20" t="str">
        <f>=SUM(B4:F4)</f>
        <v>0</v>
      </c>
    </row>
    <row r="5" ht="20" customHeight="1">
      <c r="A5" s="21" t="str">
        <v>Subtotal</v>
      </c>
      <c r="B5" s="22" t="str">
        <f>=SUM(B2:B4)</f>
        <v>0</v>
      </c>
      <c r="C5" s="23" t="str">
        <f>=SUM(C2:C4)</f>
        <v>0</v>
      </c>
      <c r="D5" s="23" t="str">
        <f>=SUM(D2:D4)</f>
        <v>0</v>
      </c>
      <c r="E5" s="23" t="str">
        <f>=SUM(E2:E4)</f>
        <v>0</v>
      </c>
      <c r="F5" s="23" t="str">
        <f>=SUM(F2:F4)</f>
        <v>0</v>
      </c>
      <c r="G5" s="23" t="str">
        <f>=SUM(G2:G4)</f>
        <v>0</v>
      </c>
    </row>
  </sheetData>
  <ignoredErrors>
    <ignoredError numberStoredAsText="1" sqref="A1:G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