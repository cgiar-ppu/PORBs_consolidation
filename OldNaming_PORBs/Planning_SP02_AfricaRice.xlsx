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Accelerating AI-Enabled Farm Advisory at Scale.</v>
      </c>
      <c r="B5" s="2">
        <v>2</v>
      </c>
      <c r="C5" s="5">
        <v>155000</v>
      </c>
      <c r="D5" s="2">
        <v>0</v>
      </c>
      <c r="E5" s="5">
        <v>0</v>
      </c>
      <c r="F5" s="2">
        <v>0</v>
      </c>
      <c r="G5" s="5">
        <v>0</v>
      </c>
      <c r="H5" s="2">
        <v>0</v>
      </c>
      <c r="I5" s="5">
        <v>0</v>
      </c>
      <c r="J5" s="5">
        <v>0</v>
      </c>
      <c r="K5" s="5">
        <v>0</v>
      </c>
      <c r="L5" s="5">
        <v>155000</v>
      </c>
      <c r="M5" s="5">
        <v>0</v>
      </c>
    </row>
    <row r="6" ht="20" customHeight="1">
      <c r="A6" s="2" t="str">
        <v>AOW02: Enabling Preparedness and Rapid Response to Emerging Shocks</v>
      </c>
      <c r="B6" s="2">
        <v>1</v>
      </c>
      <c r="C6" s="5">
        <v>55000</v>
      </c>
      <c r="D6" s="2">
        <v>1</v>
      </c>
      <c r="E6" s="5">
        <v>60000</v>
      </c>
      <c r="F6" s="2">
        <v>0</v>
      </c>
      <c r="G6" s="5">
        <v>0</v>
      </c>
      <c r="H6" s="2">
        <v>0</v>
      </c>
      <c r="I6" s="5">
        <v>0</v>
      </c>
      <c r="J6" s="5">
        <v>0</v>
      </c>
      <c r="K6" s="5">
        <v>0</v>
      </c>
      <c r="L6" s="5">
        <v>115000</v>
      </c>
      <c r="M6" s="5">
        <v>0</v>
      </c>
    </row>
    <row r="7" ht="20" customHeight="1">
      <c r="A7" s="2" t="str">
        <v>AOW03: Delivering Integrated Solutions to Systemic Farm-Level Binding Constraints</v>
      </c>
      <c r="B7" s="2">
        <v>2</v>
      </c>
      <c r="C7" s="5">
        <v>150000</v>
      </c>
      <c r="D7" s="2">
        <v>0</v>
      </c>
      <c r="E7" s="5">
        <v>0</v>
      </c>
      <c r="F7" s="2">
        <v>2</v>
      </c>
      <c r="G7" s="5">
        <v>60009.44</v>
      </c>
      <c r="H7" s="2">
        <v>0</v>
      </c>
      <c r="I7" s="5">
        <v>0</v>
      </c>
      <c r="J7" s="5">
        <v>0</v>
      </c>
      <c r="K7" s="5">
        <v>0</v>
      </c>
      <c r="L7" s="5">
        <v>210009</v>
      </c>
      <c r="M7" s="5">
        <v>1565245</v>
      </c>
    </row>
    <row r="8" ht="20" customHeight="1">
      <c r="A8" s="2" t="str">
        <v>AOW04: Incubating Innovation in Sustainable Farming</v>
      </c>
      <c r="B8" s="2">
        <v>0</v>
      </c>
      <c r="C8" s="5">
        <v>0</v>
      </c>
      <c r="D8" s="2">
        <v>0</v>
      </c>
      <c r="E8" s="5">
        <v>0</v>
      </c>
      <c r="F8" s="2">
        <v>0</v>
      </c>
      <c r="G8" s="5">
        <v>0</v>
      </c>
      <c r="H8" s="2">
        <v>0</v>
      </c>
      <c r="I8" s="5">
        <v>0</v>
      </c>
      <c r="J8" s="5">
        <v>0</v>
      </c>
      <c r="K8" s="5">
        <v>0</v>
      </c>
      <c r="L8" s="5">
        <v>0</v>
      </c>
      <c r="M8" s="5">
        <v>0</v>
      </c>
    </row>
    <row r="9" ht="20" customHeight="1">
      <c r="A9" s="2" t="str">
        <v>AOW05: Accelerating Impact</v>
      </c>
      <c r="B9" s="2">
        <v>0</v>
      </c>
      <c r="C9" s="5">
        <v>40000</v>
      </c>
      <c r="D9" s="2">
        <v>2</v>
      </c>
      <c r="E9" s="5">
        <v>40000</v>
      </c>
      <c r="F9" s="2">
        <v>0</v>
      </c>
      <c r="G9" s="5">
        <v>0</v>
      </c>
      <c r="H9" s="2">
        <v>50</v>
      </c>
      <c r="I9" s="5">
        <v>50000</v>
      </c>
      <c r="J9" s="5">
        <v>0</v>
      </c>
      <c r="K9" s="5">
        <v>0</v>
      </c>
      <c r="L9" s="5">
        <v>130000</v>
      </c>
      <c r="M9" s="5">
        <v>447003</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Funding allocation is accessible to the Program Director to address emerging opportunities and gaps, and strategic Program Level issues</v>
      </c>
      <c r="D2" s="11">
        <v>0</v>
      </c>
    </row>
    <row r="3" ht="45" customHeight="1">
      <c r="A3" s="11" t="str">
        <v>AOW00</v>
      </c>
      <c r="B3" s="11" t="str">
        <v xml:space="preserve">Program Level Communication </v>
      </c>
      <c r="C3" s="11" t="str">
        <v>Implementation of the 2026 Communication activities informed by the SFP Communications Strategy</v>
      </c>
      <c r="D3" s="11">
        <v>0</v>
      </c>
    </row>
    <row r="4" ht="45" customHeight="1">
      <c r="A4" s="11" t="str">
        <v>AOW00</v>
      </c>
      <c r="B4" s="11" t="str">
        <v xml:space="preserve">Other PMU Operations </v>
      </c>
      <c r="C4" s="11" t="str">
        <v>Travel, office supplies, and services, charge back, etc., for the PMU team</v>
      </c>
      <c r="D4" s="11">
        <v>0</v>
      </c>
    </row>
    <row r="5" ht="45" customHeight="1">
      <c r="A5" s="11" t="str">
        <v>AOW00</v>
      </c>
      <c r="B5" s="11" t="str">
        <v>Program Director and Associated Costs</v>
      </c>
      <c r="C5" s="11" t="str">
        <v>Program Director FTE, general administrative support, meetings and workshops, travel, smaller consultancies, and miscellaneous operating costs.</v>
      </c>
      <c r="D5" s="11">
        <v>0</v>
      </c>
    </row>
    <row r="6" ht="45" customHeight="1">
      <c r="A6" s="11" t="str">
        <v>AOW00</v>
      </c>
      <c r="B6" s="11" t="str">
        <v xml:space="preserve">PMU Team </v>
      </c>
      <c r="C6" s="11" t="str">
        <v>FTE for the Program Coordinator and MELIA Focal Point, and allowing for technical support for Communication, Finance, and Administration Functions.</v>
      </c>
      <c r="D6" s="11">
        <v>0</v>
      </c>
    </row>
    <row r="7" ht="45" customHeight="1">
      <c r="A7" s="11" t="str">
        <v>AOW00</v>
      </c>
      <c r="B7" s="11" t="str">
        <v xml:space="preserve">Area of Work (AoW) Leaders </v>
      </c>
      <c r="C7" s="11" t="str">
        <v xml:space="preserve">5 AoW Leads FTEs as guided by the SO </v>
      </c>
      <c r="D7" s="11">
        <v>0</v>
      </c>
    </row>
    <row r="8" ht="45" customHeight="1">
      <c r="A8" s="11" t="str">
        <v>AOW00</v>
      </c>
      <c r="B8" s="11" t="str">
        <v>Program Level MELIA Activities</v>
      </c>
      <c r="C8" s="11" t="str">
        <v>Implementation of the 2026 Program Level MELIA activities, informed by the overall Program MELIA Plan</v>
      </c>
      <c r="D8" s="11">
        <v>0</v>
      </c>
    </row>
    <row r="9" ht="45" customHeight="1">
      <c r="A9" s="11" t="str">
        <v>AOW00</v>
      </c>
      <c r="B9" s="11" t="str">
        <v>CGIAR Program Finance Support</v>
      </c>
      <c r="C9" s="11" t="str">
        <v>Shared Portfolio-Level Finance Support Services</v>
      </c>
      <c r="D9" s="11">
        <v>0</v>
      </c>
    </row>
    <row r="10" ht="45" customHeight="1">
      <c r="A10" s="11" t="str">
        <v>AOW00</v>
      </c>
      <c r="B10" s="11" t="str">
        <v>Program Leadership Meetings</v>
      </c>
      <c r="C10" s="11" t="str">
        <v>In-person planning, oversight, and progress review leadership meetings, including an annual pause and reflect forum.</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1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 1.1: Agronomic and farm management scientific data and analytics  </v>
      </c>
      <c r="C3" s="11" t="str">
        <v>Validated AgWise (6) modules including crop system innovation, insurance, credit access, organic fertilizer, whole farm integrated /bundled advisories, forage and feed advisory --KPI is Number of modules</v>
      </c>
      <c r="D3" s="11" t="str">
        <v>Number of innovations (innovation development)</v>
      </c>
      <c r="E3" s="11" t="str">
        <v>Country: Ghana, Malawi, Nigeria, Ethiopia, Côte d'Ivoire</v>
      </c>
      <c r="F3" s="11">
        <v>1</v>
      </c>
      <c r="G3" s="11">
        <v>70000</v>
      </c>
      <c r="H3" s="11">
        <f>SUM(G3:G3)</f>
      </c>
      <c r="I3" s="11" t="str">
        <v>Other partnering CGIAR centers allocating budget for this HLO</v>
      </c>
    </row>
    <row r="4" ht="50" customHeight="1">
      <c r="A4" s="11" t="str">
        <v>AOW01</v>
      </c>
      <c r="B4" s="11" t="str">
        <v xml:space="preserve">1.3: Farmer utilization and adoption of AI-enabled advisory services </v>
      </c>
      <c r="C4" s="11" t="str">
        <v>A trained agronomic chatbot integrated into RiceAdvice (innovation: Prototype functional AI-Assisted RiceAdvice)</v>
      </c>
      <c r="D4" s="11" t="str">
        <v>Number of innovations (innovation development)</v>
      </c>
      <c r="E4" s="11" t="str">
        <v>Country: Niger, Burkina Faso, Côte d'Ivoire, Nigeria, Ghana, Senegal</v>
      </c>
      <c r="F4" s="11">
        <v>1</v>
      </c>
      <c r="G4" s="11">
        <v>85000</v>
      </c>
      <c r="H4" s="11">
        <f>SUM(G4:G4)</f>
      </c>
      <c r="I4" s="11" t="str">
        <v>Previously collected data from RiceAdvice validation trials available. No further budget cuts.</v>
      </c>
    </row>
    <row r="5" ht="25" customHeight="1">
      <c r="B5" s="14" t="str">
        <v>HLO budget subtotal</v>
      </c>
      <c r="H5" s="15">
        <f>SUM(H3:H4)</f>
      </c>
    </row>
    <row r="6" ht="50" customHeight="1">
      <c r="A6" s="13" t="str">
        <v>AOW02</v>
      </c>
      <c r="B6" s="11" t="str">
        <v xml:space="preserve">2.1: Enhanced resolution, accuracy and timeliness of early warning system </v>
      </c>
      <c r="C6" s="11"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D6" s="11" t="str">
        <v>Number of knowledge products</v>
      </c>
      <c r="E6" s="11" t="str">
        <v>Country: Rwanda, Malawi, Benin, Kenya, Côte d'Ivoire, Zambia, Philippines, Uganda, Peru, Nigeria</v>
      </c>
      <c r="F6" s="11">
        <v>1</v>
      </c>
      <c r="G6" s="11">
        <v>60000</v>
      </c>
      <c r="H6" s="11">
        <f>SUM(G6:G7)</f>
      </c>
      <c r="I6" s="11" t="str">
        <v>Budget available for the global study and partner institutes allocate funds</v>
      </c>
    </row>
    <row r="7" ht="50" customHeight="1">
      <c r="A7" s="11" t="str">
        <v>AOW02</v>
      </c>
      <c r="C7" s="11"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D7" s="11" t="str">
        <v>Number of innovations (innovation development)</v>
      </c>
      <c r="E7" s="11" t="str">
        <v>Country: Rwanda, Benin, Philippines, Zambia, Kenya, Malawi, Côte d'Ivoire, Uganda, Nigeria</v>
      </c>
      <c r="F7" s="11">
        <v>1</v>
      </c>
      <c r="G7" s="11">
        <v>55000</v>
      </c>
      <c r="I7" s="11" t="str">
        <v>Budget available for the global study and partner institutes allocate funds</v>
      </c>
    </row>
    <row r="8" ht="25" customHeight="1">
      <c r="B8" s="15" t="str">
        <v>HLO budget subtotal</v>
      </c>
      <c r="H8" s="15">
        <f>SUM(H6:H7)</f>
      </c>
    </row>
    <row r="9" ht="50" customHeight="1">
      <c r="A9" s="13" t="str">
        <v>AOW03</v>
      </c>
      <c r="B9" s="11" t="str">
        <v xml:space="preserve">3.2. Validated, farm-level management solutions </v>
      </c>
      <c r="C9" s="11" t="str">
        <v>KPI 3: Validated agronomic solution packages that effectively address soil health-related limitations and demonstrate quantifiable improvements in agronomic gain</v>
      </c>
      <c r="D9" s="11" t="str">
        <v>Number of innovations (innovation development)</v>
      </c>
      <c r="E9" s="11" t="str">
        <v>Country: Ghana, Nigeria, Madagascar, The Democratic Republic of the Congo</v>
      </c>
      <c r="F9" s="11">
        <v>1</v>
      </c>
      <c r="G9" s="11">
        <v>50000</v>
      </c>
      <c r="H9" s="11">
        <f>SUM(G9:G11)</f>
      </c>
      <c r="I9" s="11" t="str">
        <v>2026 budget</v>
      </c>
    </row>
    <row r="10" ht="50" customHeight="1">
      <c r="A10" s="11" t="str">
        <v>AOW03</v>
      </c>
      <c r="C10" s="11" t="str">
        <v>KPI 3: Validated agronomic solution packages that effectively address soil health-related limitations and demonstrate quantifiable improvements in agronomic gain</v>
      </c>
      <c r="D10" s="11" t="str">
        <v>Number of people trained (capacity sharing for development)</v>
      </c>
      <c r="E10" s="11" t="str">
        <v>Country: Senegal</v>
      </c>
      <c r="F10" s="11">
        <v>2</v>
      </c>
      <c r="G10" s="11">
        <v>60009.44</v>
      </c>
      <c r="I10" s="11" t="str">
        <v>No further budget cuts. Farmer's participation from their own resources</v>
      </c>
    </row>
    <row r="11" ht="50" customHeight="1">
      <c r="A11" s="11" t="str">
        <v>AOW03</v>
      </c>
      <c r="C11" s="11" t="str">
        <v>KPI 5: Integrated, farm-level intervention packages that tackle clusters of interacting farm-level constraints to optimize agronomic outcomes</v>
      </c>
      <c r="D11" s="11" t="str">
        <v>Number of innovations (innovation development)</v>
      </c>
      <c r="E11" s="11" t="str">
        <v>Country: Ghana, Bangladesh, Sri Lanka, Nepal, Malawi, Morocco, Mexico, Tanzania, United Republic, Kenya, India, Ethiopia, Madagascar</v>
      </c>
      <c r="F11" s="11">
        <v>1</v>
      </c>
      <c r="G11" s="11">
        <v>100000</v>
      </c>
      <c r="I11" s="11" t="str">
        <v>Budget available for innovation development. Farmer groups participate in training, testing and validation.</v>
      </c>
    </row>
    <row r="12" ht="25" customHeight="1">
      <c r="B12" s="15" t="str">
        <v>HLO budget subtotal</v>
      </c>
      <c r="H12" s="15">
        <f>SUM(H9:H11)</f>
      </c>
    </row>
    <row r="13" ht="50" customHeight="1">
      <c r="A13" s="13" t="str">
        <v>AOW05</v>
      </c>
      <c r="B13" s="11" t="str">
        <v xml:space="preserve">5.2: Well- documented and communicated SFP impact assessments </v>
      </c>
      <c r="C13" s="11"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D13" s="11" t="str">
        <v>Number of knowledge products</v>
      </c>
      <c r="E13" s="11" t="str">
        <v>Country: Ghana, Nigeria, Malawi, Ethiopia, Kenya</v>
      </c>
      <c r="F13" s="11">
        <v>2</v>
      </c>
      <c r="G13" s="11">
        <v>40000</v>
      </c>
      <c r="H13" s="11">
        <f>SUM(G13:G13)</f>
      </c>
      <c r="I13" s="11" t="str">
        <v>Allocated budget is sufficient to achieve the target</v>
      </c>
    </row>
    <row r="14" ht="50" customHeight="1" xml:space="preserve">
      <c r="A14" s="11" t="str">
        <v>AOW05</v>
      </c>
      <c r="B14" s="11" t="str">
        <v xml:space="preserve">5.4: Tools and approaches to enable rapid insights, learnings and impact </v>
      </c>
      <c r="C14" s="11" t="str" xml:space="preserve">
        <v xml:space="preserve">Standardized approaches and guidelines for assessing KPIs across AoWs 1–3 developed, including an agreed list of indicators and assessment framework to ensure consistency and comparability in performance measurement.
 </v>
      </c>
      <c r="D14" s="11" t="str">
        <v>Number of innovations (innovation development)</v>
      </c>
      <c r="E14" s="11" t="str">
        <v>Country: Morocco, Senegal, Nigeria, Tanzania, United Republic, Ethiopia, Ghana, Rwanda, Philippines</v>
      </c>
      <c r="F14" s="11">
        <v>3</v>
      </c>
      <c r="G14" s="11">
        <v>40000</v>
      </c>
      <c r="H14" s="11">
        <f>SUM(G14:G14)</f>
      </c>
      <c r="I14" s="11" t="str">
        <v>Allocated budget is innovation development including MELIA studies indicated under Tracing of beneficiaries</v>
      </c>
    </row>
    <row r="15" ht="50" customHeight="1">
      <c r="A15" s="11" t="str">
        <v>AOW05</v>
      </c>
      <c r="B15" s="11" t="str">
        <v xml:space="preserve">5.5. Well-documented, widely applicable and replicable partnership platforms </v>
      </c>
      <c r="C15" s="11" t="str">
        <v>Multi-stakeholder partnership platforms (PAASSs) engaging diverse partners to support the scaling of bundled solutions for multiple crops (cassava, maize, sorghum, soybean, teff, rice, cocoa, coffee, etc) and livestock emerging from AoWs 1–3 in different locations and countries.</v>
      </c>
      <c r="D15" s="11" t="str">
        <v xml:space="preserve"> Number of Partners engaged</v>
      </c>
      <c r="E15" s="11" t="str">
        <v>Country: Kenya, Ghana, Mexico, Malawi, Tanzania, United Republic, Nigeria, Cambodia, India, Philippines, The Socialist Republic of Viet Nam, Ethiopia</v>
      </c>
      <c r="F15" s="11">
        <v>50</v>
      </c>
      <c r="G15" s="11">
        <v>50000</v>
      </c>
      <c r="H15" s="11">
        <f>SUM(G15:G15)</f>
      </c>
      <c r="I15" s="11" t="str">
        <v>Allocated budget is sufficient for the partner engagement</v>
      </c>
    </row>
    <row r="16" ht="25" customHeight="1">
      <c r="B16" s="15" t="str">
        <v>HLO budget subtotal</v>
      </c>
      <c r="H16" s="15">
        <f>SUM(H13:H15)</f>
      </c>
    </row>
  </sheetData>
  <mergeCells count="17">
    <mergeCell ref="A1:A2"/>
    <mergeCell ref="B1:B2"/>
    <mergeCell ref="C1:G1"/>
    <mergeCell ref="H1:H2"/>
    <mergeCell ref="I1:I2"/>
    <mergeCell ref="B5:G5"/>
    <mergeCell ref="A3:A5"/>
    <mergeCell ref="B6:B7"/>
    <mergeCell ref="H6:H7"/>
    <mergeCell ref="B8:G8"/>
    <mergeCell ref="A6:A8"/>
    <mergeCell ref="B9:B11"/>
    <mergeCell ref="H9:H11"/>
    <mergeCell ref="B12:G12"/>
    <mergeCell ref="A9:A12"/>
    <mergeCell ref="B16:G16"/>
    <mergeCell ref="A13:A16"/>
  </mergeCells>
  <ignoredErrors>
    <ignoredError numberStoredAsText="1" sqref="A1:I16"/>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A-HP2023-003-World Bank-Food Systems Resilience</v>
      </c>
      <c r="B2" s="19" t="str">
        <v>AOW05</v>
      </c>
      <c r="C2" s="18" t="str">
        <v xml:space="preserve">5.5. Well-documented, widely applicable and replicable partnership platforms </v>
      </c>
      <c r="D2" s="19">
        <v>447003</v>
      </c>
      <c r="E2" s="19" t="str">
        <f>=SUM(D2:D3)</f>
        <v>0</v>
      </c>
      <c r="F2" s="19" t="str">
        <v>2026 budget from the dashboard</v>
      </c>
    </row>
    <row r="3" ht="30" customHeight="1">
      <c r="A3" s="18" t="str">
        <v>A-HP2023-003-World Bank-Food Systems Resilience</v>
      </c>
      <c r="B3" s="19" t="str">
        <v>AOW03</v>
      </c>
      <c r="C3" s="18" t="str">
        <v xml:space="preserve">3.3: Scaled and adopted farm management solutions </v>
      </c>
      <c r="D3" s="19">
        <v>1237401</v>
      </c>
      <c r="F3" s="19" t="str">
        <v>2026 budget from the dashboard</v>
      </c>
    </row>
    <row r="4" ht="30" customHeight="1">
      <c r="A4" s="18" t="str">
        <v>A-AG10181-BMGF MultiHarvestRice</v>
      </c>
      <c r="B4" s="19" t="str">
        <v>AOW03</v>
      </c>
      <c r="C4" s="18" t="str">
        <v xml:space="preserve">3.2. Validated, farm-level management solutions </v>
      </c>
      <c r="D4" s="19">
        <v>327844</v>
      </c>
      <c r="E4" s="19" t="str">
        <f>=SUM(D4:D4)</f>
        <v>0</v>
      </c>
      <c r="F4" s="19" t="str">
        <v>2026 budget from the dashboard</v>
      </c>
    </row>
    <row r="5" ht="30" customHeight="1">
      <c r="A5" s="3" t="str">
        <v>W3/Bilateral projects subtotal</v>
      </c>
      <c r="E5" s="3">
        <f>SUM(E2:E4)</f>
      </c>
    </row>
  </sheetData>
  <mergeCells count="3">
    <mergeCell ref="A2:A3"/>
    <mergeCell ref="E2:E3"/>
    <mergeCell ref="A5:D5"/>
  </mergeCells>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F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 xml:space="preserve">Adoption and impact assessment of digital extension in Nigeria and Senegal </v>
      </c>
      <c r="B2" s="19" t="str">
        <v>AOW00</v>
      </c>
      <c r="C2" s="18" t="str">
        <v xml:space="preserve">3d: Large-scale adoption of integrated solutions by farmers </v>
      </c>
      <c r="D2" s="19">
        <v>0</v>
      </c>
      <c r="E2" s="19" t="str">
        <f>=SUM(D2:D3)</f>
        <v>0</v>
      </c>
    </row>
    <row r="3" ht="30" customHeight="1">
      <c r="A3" s="18" t="str">
        <v xml:space="preserve">Adoption and impact assessment of digital extension in Nigeria and Senegal </v>
      </c>
      <c r="B3" s="19" t="str">
        <v>AOW02</v>
      </c>
      <c r="C3" s="18" t="str">
        <v>2.2: Extension agents and farmers access and apply timely, localized intelligence in decision-making</v>
      </c>
      <c r="D3" s="19">
        <v>0</v>
      </c>
    </row>
    <row r="4" ht="30" customHeight="1">
      <c r="A4" s="18" t="str">
        <v xml:space="preserve">Adoption and impact of good agricultural practice in rice- based production system </v>
      </c>
      <c r="B4" s="19" t="str">
        <v>AOW03</v>
      </c>
      <c r="C4" s="18" t="str">
        <v xml:space="preserve">3.3: Policymakers, donors, and private sector partners draw on pilot evidence and validated solution </v>
      </c>
      <c r="D4" s="19">
        <v>0</v>
      </c>
      <c r="E4" s="19" t="str">
        <f>=SUM(D4:D4)</f>
        <v>0</v>
      </c>
    </row>
    <row r="5" ht="30" customHeight="1" xml:space="preserve">
      <c r="A5" s="18" t="str" xml:space="preserve">
        <v xml:space="preserve">Digital inclusivity of AI advisories and SFP solutions assessed using CGIAR Inclusivity Index to ensure equitable access for women, youth, and disadvantaged groups.
 </v>
      </c>
      <c r="B5" s="19" t="str">
        <v>AOW00</v>
      </c>
      <c r="C5" s="18" t="str">
        <v xml:space="preserve">5b: CGIAR and its partners leverage standardized tools, MELIA frameworks, partnership platforms, and FAIR, AI-ready </v>
      </c>
      <c r="D5" s="19">
        <v>0</v>
      </c>
      <c r="E5" s="19" t="str">
        <f>=SUM(D5:D7)</f>
        <v>0</v>
      </c>
    </row>
    <row r="6" ht="30" customHeight="1" xml:space="preserve">
      <c r="A6" s="18" t="str" xml:space="preserve">
        <v xml:space="preserve">Digital inclusivity of AI advisories and SFP solutions assessed using CGIAR Inclusivity Index to ensure equitable access for women, youth, and disadvantaged groups.
 </v>
      </c>
      <c r="B6" s="19" t="str">
        <v>AOW05</v>
      </c>
      <c r="C6" s="18" t="str">
        <v xml:space="preserve">5.4: SFP teams and partners use Standard MELIA tools and KPI framework </v>
      </c>
      <c r="D6" s="19">
        <v>0</v>
      </c>
    </row>
    <row r="7" ht="30" customHeight="1" xml:space="preserve">
      <c r="A7" s="18" t="str" xml:space="preserve">
        <v xml:space="preserve">Digital inclusivity of AI advisories and SFP solutions assessed using CGIAR Inclusivity Index to ensure equitable access for women, youth, and disadvantaged groups.
 </v>
      </c>
      <c r="B7" s="19" t="str">
        <v>AOW01</v>
      </c>
      <c r="C7" s="18" t="str">
        <v xml:space="preserve">1.3: Partners adopt benchmarking tools </v>
      </c>
      <c r="D7" s="19">
        <v>0</v>
      </c>
    </row>
    <row r="8" ht="30" customHeight="1">
      <c r="A8" s="3" t="str">
        <v>MELIA Studies Budget subtotal</v>
      </c>
      <c r="E8" s="3">
        <f>SUM(E2:E7)</f>
      </c>
    </row>
  </sheetData>
  <mergeCells count="5">
    <mergeCell ref="A2:A3"/>
    <mergeCell ref="A5:A7"/>
    <mergeCell ref="E2:E3"/>
    <mergeCell ref="E5:E7"/>
    <mergeCell ref="A8:D8"/>
  </mergeCells>
  <ignoredErrors>
    <ignoredError numberStoredAsText="1" sqref="A1:F8"/>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0</v>
      </c>
      <c r="F2" s="20">
        <v>0</v>
      </c>
      <c r="G2" s="20">
        <v>0</v>
      </c>
      <c r="H2" s="20" t="str">
        <f>=SUM(B2:G2)</f>
        <v>0</v>
      </c>
    </row>
    <row r="3" ht="20" customHeight="1">
      <c r="A3" s="20" t="str">
        <v>Operations (supplies, consultants, travels, workshops, other)</v>
      </c>
      <c r="B3" s="20">
        <v>0</v>
      </c>
      <c r="C3" s="20">
        <v>76500</v>
      </c>
      <c r="D3" s="20">
        <v>34500</v>
      </c>
      <c r="E3" s="20">
        <v>63003</v>
      </c>
      <c r="F3" s="20">
        <v>0</v>
      </c>
      <c r="G3" s="20">
        <v>39000</v>
      </c>
      <c r="H3" s="20" t="str">
        <f>=SUM(B3:G3)</f>
        <v>0</v>
      </c>
    </row>
    <row r="4" ht="20" customHeight="1">
      <c r="A4" s="20" t="str">
        <v>Staffing, Chargebacks and Indirect</v>
      </c>
      <c r="B4" s="20">
        <v>0</v>
      </c>
      <c r="C4" s="20">
        <v>78500</v>
      </c>
      <c r="D4" s="20">
        <v>80500</v>
      </c>
      <c r="E4" s="20">
        <v>147006</v>
      </c>
      <c r="F4" s="20">
        <v>0</v>
      </c>
      <c r="G4" s="20">
        <v>91000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