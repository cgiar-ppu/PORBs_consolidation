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CapSha Innovation Laboratory</v>
      </c>
      <c r="B5" s="2">
        <v>0</v>
      </c>
      <c r="C5" s="5">
        <v>0</v>
      </c>
      <c r="D5" s="2">
        <v>0</v>
      </c>
      <c r="E5" s="5">
        <v>0</v>
      </c>
      <c r="F5" s="2">
        <v>0</v>
      </c>
      <c r="G5" s="5">
        <v>0</v>
      </c>
      <c r="H5" s="2">
        <v>0</v>
      </c>
      <c r="I5" s="5">
        <v>0</v>
      </c>
      <c r="J5" s="5">
        <v>0</v>
      </c>
      <c r="K5" s="5">
        <v>0</v>
      </c>
      <c r="L5" s="5">
        <v>0</v>
      </c>
      <c r="M5" s="5">
        <v>0</v>
      </c>
    </row>
    <row r="6" ht="20" customHeight="1">
      <c r="A6" s="2" t="str">
        <v>AOW02: CapSha Marketplace</v>
      </c>
      <c r="B6" s="2">
        <v>0</v>
      </c>
      <c r="C6" s="5">
        <v>0</v>
      </c>
      <c r="D6" s="2">
        <v>0</v>
      </c>
      <c r="E6" s="5">
        <v>0</v>
      </c>
      <c r="F6" s="2">
        <v>0</v>
      </c>
      <c r="G6" s="5">
        <v>0</v>
      </c>
      <c r="H6" s="2">
        <v>0</v>
      </c>
      <c r="I6" s="5">
        <v>0</v>
      </c>
      <c r="J6" s="5">
        <v>0</v>
      </c>
      <c r="K6" s="5">
        <v>0</v>
      </c>
      <c r="L6" s="5">
        <v>0</v>
      </c>
      <c r="M6" s="5">
        <v>0</v>
      </c>
    </row>
    <row r="7" ht="20" customHeight="1">
      <c r="A7" s="2" t="str">
        <v>AOW03: CapSha South-South and Triangular Cooperation</v>
      </c>
      <c r="B7" s="2">
        <v>0</v>
      </c>
      <c r="C7" s="5">
        <v>30000</v>
      </c>
      <c r="D7" s="2">
        <v>0</v>
      </c>
      <c r="E7" s="5">
        <v>70199</v>
      </c>
      <c r="F7" s="2">
        <v>0</v>
      </c>
      <c r="G7" s="5">
        <v>0</v>
      </c>
      <c r="H7" s="2">
        <v>0</v>
      </c>
      <c r="I7" s="5">
        <v>0</v>
      </c>
      <c r="J7" s="5">
        <v>0</v>
      </c>
      <c r="K7" s="5">
        <v>0</v>
      </c>
      <c r="L7" s="5">
        <v>100199</v>
      </c>
      <c r="M7" s="5">
        <v>0</v>
      </c>
    </row>
    <row r="8" ht="25" customHeight="1">
      <c r="A8" s="6" t="str">
        <v>Total</v>
      </c>
      <c r="B8" s="7">
        <f>SUM(B4:B7)</f>
      </c>
      <c r="C8" s="7">
        <f>SUM(C4:C7)</f>
      </c>
      <c r="D8" s="7">
        <f>SUM(D4:D7)</f>
      </c>
      <c r="E8" s="7">
        <f>SUM(E4:E7)</f>
      </c>
      <c r="F8" s="7">
        <f>SUM(F4:F7)</f>
      </c>
      <c r="G8" s="7">
        <f>SUM(G4:G7)</f>
      </c>
      <c r="H8" s="7">
        <f>SUM(H4:H7)</f>
      </c>
      <c r="I8" s="7">
        <f>SUM(I4:I7)</f>
      </c>
      <c r="J8" s="7">
        <f>SUM(J4:J7)</f>
      </c>
      <c r="K8" s="7">
        <f>SUM(K4:K7)</f>
      </c>
      <c r="L8" s="7">
        <f>SUM(L4:L7)</f>
      </c>
      <c r="M8" s="7">
        <f>SUM(M4:M7)</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8"/>
  </ignoredErrors>
</worksheet>
</file>

<file path=xl/worksheets/sheet2.xml><?xml version="1.0" encoding="utf-8"?>
<worksheet xmlns="http://schemas.openxmlformats.org/spreadsheetml/2006/main" xmlns:r="http://schemas.openxmlformats.org/officeDocument/2006/relationships">
  <dimension ref="A1:E6"/>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Shared Finance Support</v>
      </c>
      <c r="D2" s="11">
        <v>0</v>
      </c>
    </row>
    <row r="3" ht="45" customHeight="1">
      <c r="A3" s="11" t="str">
        <v>AOW00</v>
      </c>
      <c r="B3" s="11" t="str">
        <v>PMU (shared with other Accelerators)</v>
      </c>
      <c r="C3" s="11" t="str">
        <v/>
      </c>
      <c r="D3" s="11">
        <v>0</v>
      </c>
    </row>
    <row r="4" ht="45" customHeight="1">
      <c r="A4" s="11" t="str">
        <v>AOW00</v>
      </c>
      <c r="B4" s="11" t="str">
        <v>Leads for AoW1-3</v>
      </c>
      <c r="D4" s="11">
        <v>0</v>
      </c>
    </row>
    <row r="5" ht="45" customHeight="1">
      <c r="A5" s="11" t="str">
        <v>AOW00</v>
      </c>
      <c r="B5" s="11" t="str">
        <v>Operational funds for the CapSha Lead</v>
      </c>
      <c r="D5" s="11">
        <v>0</v>
      </c>
    </row>
    <row r="6" ht="45" customHeight="1">
      <c r="A6" s="11" t="str">
        <v>AOW00</v>
      </c>
      <c r="B6" s="11" t="str">
        <v>CapSha Accelerator Lead</v>
      </c>
      <c r="D6" s="11">
        <v>0</v>
      </c>
    </row>
  </sheetData>
  <mergeCells count="1">
    <mergeCell ref="A2:A6"/>
  </mergeCells>
  <ignoredErrors>
    <ignoredError numberStoredAsText="1" sqref="A1:E6"/>
  </ignoredErrors>
</worksheet>
</file>

<file path=xl/worksheets/sheet3.xml><?xml version="1.0" encoding="utf-8"?>
<worksheet xmlns="http://schemas.openxmlformats.org/spreadsheetml/2006/main" xmlns:r="http://schemas.openxmlformats.org/officeDocument/2006/relationships">
  <dimension ref="A1:I9"/>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AOW03</v>
      </c>
      <c r="B3" s="11" t="str">
        <v>HLO 3.1.1: Partnership engagement mechanisms</v>
      </c>
      <c r="C3" s="11" t="str">
        <v>SSTC activities between ICAR, Embrapa, CAAS, CGIAR Centers/SPs and African NARIS are aligned, including CapSha support to institutional strenghtening for continental and regional institutions involved in CAADP</v>
      </c>
      <c r="D3" s="11" t="str">
        <v>Number of innovations (innovation development)</v>
      </c>
      <c r="E3" s="11" t="str">
        <v>Regional: Africa</v>
      </c>
      <c r="F3" s="11">
        <v>5</v>
      </c>
      <c r="G3" s="11">
        <v>30000</v>
      </c>
      <c r="H3" s="11">
        <f>SUM(G3:G6)</f>
      </c>
      <c r="I3" s="11" t="str">
        <v>Integrate CAADP insights into prioritization of SSTC capacity needs under AoW3.</v>
      </c>
    </row>
    <row r="4" ht="50" customHeight="1">
      <c r="A4" s="11" t="str">
        <v>AOW03</v>
      </c>
      <c r="C4" s="11" t="str">
        <v>The next generation of scientists is supported by dedicated programs (including e.g., CGIAR Germany CapSha PhD/MSc Program, CGIAR UM6P CapSha Hub, NL-CGIAR Senior Expert Program, UK-CGIAR Centre Collaboration in Science and Innovation)</v>
      </c>
      <c r="D4" s="11" t="str">
        <v>Number of people trained (capacity sharing for development)</v>
      </c>
      <c r="E4" s="11" t="str">
        <v>Global</v>
      </c>
      <c r="F4" s="11">
        <v>100</v>
      </c>
      <c r="G4" s="11">
        <v>0</v>
      </c>
    </row>
    <row r="5" ht="50" customHeight="1">
      <c r="A5" s="11" t="str">
        <v>AOW03</v>
      </c>
      <c r="C5" s="11" t="str">
        <v>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v>
      </c>
      <c r="D5" s="11" t="str">
        <v>Number of people trained (capacity sharing for development)</v>
      </c>
      <c r="E5" s="11" t="str">
        <v>Global</v>
      </c>
      <c r="F5" s="11">
        <v>30</v>
      </c>
      <c r="G5" s="11">
        <v>0</v>
      </c>
    </row>
    <row r="6" ht="50" customHeight="1">
      <c r="A6" s="11" t="str">
        <v>AOW03</v>
      </c>
      <c r="C6" s="11" t="str">
        <v>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v>
      </c>
      <c r="D6" s="11" t="str">
        <v>Number of people trained (capacity sharing for development)</v>
      </c>
      <c r="E6" s="11" t="str">
        <v>Global</v>
      </c>
      <c r="F6" s="11">
        <v>100</v>
      </c>
      <c r="G6" s="11">
        <v>0</v>
      </c>
    </row>
    <row r="7" ht="50" customHeight="1">
      <c r="A7" s="11" t="str">
        <v>AOW03</v>
      </c>
      <c r="B7" s="11" t="str">
        <v>HLO 3.1.3: SSTC cases analyzed</v>
      </c>
      <c r="C7" s="11" t="str">
        <v>Research on SSTC actors and on selected SSTC cases is conducted and published</v>
      </c>
      <c r="D7" s="11" t="str">
        <v>Number of knowledge products</v>
      </c>
      <c r="E7" s="11" t="str">
        <v>Global</v>
      </c>
      <c r="F7" s="11">
        <v>6</v>
      </c>
      <c r="G7" s="11">
        <v>70199</v>
      </c>
      <c r="H7" s="11">
        <f>SUM(G7:G7)</f>
      </c>
      <c r="I7" s="11" t="str">
        <v>Produce policy-relevant evidence and recommendations on strengthening African agricultural R&amp;D systems and alignment with SSTC programs</v>
      </c>
    </row>
    <row r="8" ht="50" customHeight="1">
      <c r="A8" s="11" t="str">
        <v>AOW03</v>
      </c>
      <c r="B8" s="11" t="str">
        <v>HLO 3.1.4: CapSha SSTC engagmenents</v>
      </c>
      <c r="C8" s="11" t="str">
        <v>CapSha actively supports the planning, implementation and learning from key SSTC engagements, including SSTC initiatives with Brazil (Embrapa), China (CAAS) and India (ICAR), targeting African regional and national agricultural research organisations</v>
      </c>
      <c r="D8" s="11" t="str">
        <v>Number of people trained (capacity sharing for development)</v>
      </c>
      <c r="E8" s="11" t="str">
        <v>Country: Kenya, Ethiopia, Nigeria, China, Brazil, India</v>
      </c>
      <c r="F8" s="11">
        <v>200</v>
      </c>
      <c r="G8" s="11">
        <v>0</v>
      </c>
      <c r="H8" s="11">
        <f>SUM(G8:G8)</f>
      </c>
    </row>
    <row r="9" ht="25" customHeight="1">
      <c r="B9" s="14" t="str">
        <v>HLO budget subtotal</v>
      </c>
      <c r="H9" s="15">
        <f>SUM(H3:H8)</f>
      </c>
    </row>
  </sheetData>
  <mergeCells count="9">
    <mergeCell ref="A1:A2"/>
    <mergeCell ref="B1:B2"/>
    <mergeCell ref="C1:G1"/>
    <mergeCell ref="H1:H2"/>
    <mergeCell ref="I1:I2"/>
    <mergeCell ref="B3:B6"/>
    <mergeCell ref="H3:H6"/>
    <mergeCell ref="B9:G9"/>
    <mergeCell ref="A3:A9"/>
  </mergeCells>
  <ignoredErrors>
    <ignoredError numberStoredAsText="1" sqref="A1:I9"/>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Project title</v>
      </c>
      <c r="B1" s="17" t="str">
        <v>AOW</v>
      </c>
      <c r="C1" s="17" t="str">
        <v>High Level Outputs</v>
      </c>
      <c r="D1" s="17" t="str">
        <v>Budget (USD)</v>
      </c>
      <c r="E1" s="17" t="str">
        <v>Total budget (USD)</v>
      </c>
      <c r="F1" s="17" t="str">
        <v>Budget Assumptions</v>
      </c>
    </row>
    <row r="2">
      <c r="E2" s="3">
        <f>SUM(E2:E1)</f>
      </c>
    </row>
    <row r="3">
      <c r="A3" s="2" t="str">
        <v>W3/Bilateral projects subtotal</v>
      </c>
    </row>
  </sheetData>
  <mergeCells count="1">
    <mergeCell ref="A2:D2"/>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18"/>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Implementation monitoring and corrective action</v>
      </c>
      <c r="B2" s="19" t="str">
        <v>AOW03</v>
      </c>
      <c r="C2" s="18" t="str">
        <v>HLO 3.1.1: Partnership engagement mechanisms</v>
      </c>
      <c r="D2" s="19">
        <v>0</v>
      </c>
      <c r="E2" s="19" t="str">
        <f>=SUM(D2:D5)</f>
        <v>0</v>
      </c>
    </row>
    <row r="3" ht="30" customHeight="1">
      <c r="A3" s="18" t="str">
        <v>Implementation monitoring and corrective action</v>
      </c>
      <c r="B3" s="19" t="str">
        <v>AOW00</v>
      </c>
      <c r="C3" s="18" t="str">
        <v>CapSha mainstreamed</v>
      </c>
      <c r="D3" s="19">
        <v>0</v>
      </c>
    </row>
    <row r="4" ht="30" customHeight="1">
      <c r="A4" s="18" t="str">
        <v>Implementation monitoring and corrective action</v>
      </c>
      <c r="B4" s="19" t="str">
        <v>AOW01</v>
      </c>
      <c r="C4" s="18" t="str">
        <v>HLO 1.1.1: CapSha research</v>
      </c>
      <c r="D4" s="19">
        <v>0</v>
      </c>
    </row>
    <row r="5" ht="30" customHeight="1">
      <c r="A5" s="18" t="str">
        <v>Implementation monitoring and corrective action</v>
      </c>
      <c r="B5" s="19" t="str">
        <v>AOW02</v>
      </c>
      <c r="C5" s="18" t="str">
        <v>HLO 2.1.1: Supply mapped</v>
      </c>
      <c r="D5" s="19">
        <v>0</v>
      </c>
    </row>
    <row r="6" ht="30" customHeight="1">
      <c r="A6" s="18" t="str">
        <v>Stakeholder consultation and collaborative learning</v>
      </c>
      <c r="B6" s="19" t="str">
        <v>AOW03</v>
      </c>
      <c r="C6" s="18" t="str">
        <v>HLO 3.1.1: Partnership engagement mechanisms</v>
      </c>
      <c r="D6" s="19">
        <v>0</v>
      </c>
      <c r="E6" s="19" t="str">
        <f>=SUM(D6:D9)</f>
        <v>0</v>
      </c>
    </row>
    <row r="7" ht="30" customHeight="1">
      <c r="A7" s="18" t="str">
        <v>Stakeholder consultation and collaborative learning</v>
      </c>
      <c r="B7" s="19" t="str">
        <v>AOW00</v>
      </c>
      <c r="C7" s="18" t="str">
        <v>CapSha mainstreamed</v>
      </c>
      <c r="D7" s="19">
        <v>0</v>
      </c>
    </row>
    <row r="8" ht="30" customHeight="1">
      <c r="A8" s="18" t="str">
        <v>Stakeholder consultation and collaborative learning</v>
      </c>
      <c r="B8" s="19" t="str">
        <v>AOW01</v>
      </c>
      <c r="C8" s="18" t="str">
        <v>HLO 1.1.1: CapSha research</v>
      </c>
      <c r="D8" s="19">
        <v>0</v>
      </c>
    </row>
    <row r="9" ht="30" customHeight="1">
      <c r="A9" s="18" t="str">
        <v>Stakeholder consultation and collaborative learning</v>
      </c>
      <c r="B9" s="19" t="str">
        <v>AOW02</v>
      </c>
      <c r="C9" s="18" t="str">
        <v>HLO 2.1.1: Supply mapped</v>
      </c>
      <c r="D9" s="19">
        <v>0</v>
      </c>
    </row>
    <row r="10" ht="30" customHeight="1">
      <c r="A10" s="18" t="str">
        <v>Independent mid-term evaluation of the CapSha Accelerator</v>
      </c>
      <c r="B10" s="19" t="str">
        <v>AOW03</v>
      </c>
      <c r="C10" s="18" t="str">
        <v>IOC 0.1: CapSha CoP successful</v>
      </c>
      <c r="D10" s="19">
        <v>0</v>
      </c>
      <c r="E10" s="19" t="str">
        <f>=SUM(D10:D13)</f>
        <v>0</v>
      </c>
    </row>
    <row r="11" ht="30" customHeight="1">
      <c r="A11" s="18" t="str">
        <v>Independent mid-term evaluation of the CapSha Accelerator</v>
      </c>
      <c r="B11" s="19" t="str">
        <v>AOW00</v>
      </c>
      <c r="C11" s="18" t="str">
        <v>CapSha mainstreamed</v>
      </c>
      <c r="D11" s="19">
        <v>0</v>
      </c>
    </row>
    <row r="12" ht="30" customHeight="1">
      <c r="A12" s="18" t="str">
        <v>Independent mid-term evaluation of the CapSha Accelerator</v>
      </c>
      <c r="B12" s="19" t="str">
        <v>AOW01</v>
      </c>
      <c r="C12" s="18" t="str">
        <v>IOC 1.1: CapSha adopted</v>
      </c>
      <c r="D12" s="19">
        <v>0</v>
      </c>
    </row>
    <row r="13" ht="30" customHeight="1">
      <c r="A13" s="18" t="str">
        <v>Independent mid-term evaluation of the CapSha Accelerator</v>
      </c>
      <c r="B13" s="19" t="str">
        <v>AOW02</v>
      </c>
      <c r="C13" s="18" t="str">
        <v>IOC 2.1: CapSha Marketplace used</v>
      </c>
      <c r="D13" s="19">
        <v>0</v>
      </c>
    </row>
    <row r="14" ht="30" customHeight="1">
      <c r="A14" s="18" t="str">
        <v>Independent evaluation of the CapSha Accelerator</v>
      </c>
      <c r="B14" s="19" t="str">
        <v>AOW03</v>
      </c>
      <c r="C14" s="18" t="str">
        <v>IOC 0.1: CapSha CoP successful</v>
      </c>
      <c r="D14" s="19">
        <v>0</v>
      </c>
      <c r="E14" s="19" t="str">
        <f>=SUM(D14:D17)</f>
        <v>0</v>
      </c>
    </row>
    <row r="15" ht="30" customHeight="1">
      <c r="A15" s="18" t="str">
        <v>Independent evaluation of the CapSha Accelerator</v>
      </c>
      <c r="B15" s="19" t="str">
        <v>AOW00</v>
      </c>
      <c r="C15" s="18" t="str">
        <v>CapSha mainstreamed</v>
      </c>
      <c r="D15" s="19">
        <v>0</v>
      </c>
    </row>
    <row r="16" ht="30" customHeight="1">
      <c r="A16" s="18" t="str">
        <v>Independent evaluation of the CapSha Accelerator</v>
      </c>
      <c r="B16" s="19" t="str">
        <v>AOW01</v>
      </c>
      <c r="C16" s="18" t="str">
        <v>IOC 1.1: CapSha adopted</v>
      </c>
      <c r="D16" s="19">
        <v>0</v>
      </c>
    </row>
    <row r="17" ht="30" customHeight="1">
      <c r="A17" s="18" t="str">
        <v>Independent evaluation of the CapSha Accelerator</v>
      </c>
      <c r="B17" s="19" t="str">
        <v>AOW02</v>
      </c>
      <c r="C17" s="18" t="str">
        <v>IOC 2.1: CapSha Marketplace used</v>
      </c>
      <c r="D17" s="19">
        <v>0</v>
      </c>
    </row>
    <row r="18" ht="30" customHeight="1">
      <c r="A18" s="3" t="str">
        <v>MELIA Studies Budget subtotal</v>
      </c>
      <c r="E18" s="3">
        <f>SUM(E2:E17)</f>
      </c>
    </row>
  </sheetData>
  <mergeCells count="9">
    <mergeCell ref="A2:A5"/>
    <mergeCell ref="A6:A9"/>
    <mergeCell ref="A10:A13"/>
    <mergeCell ref="A14:A17"/>
    <mergeCell ref="E2:E5"/>
    <mergeCell ref="E6:E9"/>
    <mergeCell ref="E10:E13"/>
    <mergeCell ref="E14:E17"/>
    <mergeCell ref="A18:D18"/>
  </mergeCells>
  <ignoredErrors>
    <ignoredError numberStoredAsText="1" sqref="A1:F18"/>
  </ignoredErrors>
</worksheet>
</file>

<file path=xl/worksheets/sheet7.xml><?xml version="1.0" encoding="utf-8"?>
<worksheet xmlns="http://schemas.openxmlformats.org/spreadsheetml/2006/main" xmlns:r="http://schemas.openxmlformats.org/officeDocument/2006/relationships">
  <dimension ref="A1:F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20" t="str">
        <v>Collaborators non-CGIAR centers</v>
      </c>
      <c r="B2" s="20">
        <v>0</v>
      </c>
      <c r="C2" s="20">
        <v>0</v>
      </c>
      <c r="D2" s="20">
        <v>0</v>
      </c>
      <c r="E2" s="20">
        <v>7000</v>
      </c>
      <c r="F2" s="20" t="str">
        <f>=SUM(B2:E2)</f>
        <v>0</v>
      </c>
    </row>
    <row r="3" ht="20" customHeight="1">
      <c r="A3" s="20" t="str">
        <v>Operations (supplies, consultants, travels, workshops, other)</v>
      </c>
      <c r="B3" s="20">
        <v>0</v>
      </c>
      <c r="C3" s="20">
        <v>0</v>
      </c>
      <c r="D3" s="20">
        <v>0</v>
      </c>
      <c r="E3" s="20">
        <v>27268</v>
      </c>
      <c r="F3" s="20" t="str">
        <f>=SUM(B3:E3)</f>
        <v>0</v>
      </c>
    </row>
    <row r="4" ht="20" customHeight="1">
      <c r="A4" s="20" t="str">
        <v>Staffing, Chargebacks and Indirect</v>
      </c>
      <c r="B4" s="20">
        <v>234000</v>
      </c>
      <c r="C4" s="20">
        <v>0</v>
      </c>
      <c r="D4" s="20">
        <v>0</v>
      </c>
      <c r="E4" s="20">
        <v>65931</v>
      </c>
      <c r="F4" s="20" t="str">
        <f>=SUM(B4:E4)</f>
        <v>0</v>
      </c>
    </row>
    <row r="5" ht="20" customHeight="1">
      <c r="A5" s="21" t="str">
        <v>Subtotal</v>
      </c>
      <c r="B5" s="22" t="str">
        <f>=SUM(B2:B4)</f>
        <v>0</v>
      </c>
      <c r="C5" s="23" t="str">
        <f>=SUM(C2:C4)</f>
        <v>0</v>
      </c>
      <c r="D5" s="23" t="str">
        <f>=SUM(D2:D4)</f>
        <v>0</v>
      </c>
      <c r="E5" s="23" t="str">
        <f>=SUM(E2:E4)</f>
        <v>0</v>
      </c>
      <c r="F5" s="23" t="str">
        <f>=SUM(F2:F4)</f>
        <v>0</v>
      </c>
    </row>
  </sheetData>
  <ignoredErrors>
    <ignoredError numberStoredAsText="1" sqref="A1:F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