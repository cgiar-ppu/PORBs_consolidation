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Market Intelligence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Accelerated Breeding</v>
      </c>
      <c r="B6" s="2">
        <v>3</v>
      </c>
      <c r="C6" s="5">
        <v>140000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140000</v>
      </c>
      <c r="M6" s="5">
        <v>0</v>
      </c>
    </row>
    <row r="7" ht="20" customHeight="1">
      <c r="A7" s="2" t="str">
        <v>AOW03: Inclusive Delivery</v>
      </c>
      <c r="B7" s="2">
        <v>2</v>
      </c>
      <c r="C7" s="5">
        <v>10000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10000</v>
      </c>
      <c r="M7" s="5">
        <v>0</v>
      </c>
    </row>
    <row r="8" ht="20" customHeight="1">
      <c r="A8" s="2" t="str">
        <v>AOW04: Breeding Resources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20</v>
      </c>
      <c r="I8" s="5">
        <v>195000</v>
      </c>
      <c r="J8" s="5">
        <v>0</v>
      </c>
      <c r="K8" s="5">
        <v>0</v>
      </c>
      <c r="L8" s="5">
        <v>195000</v>
      </c>
      <c r="M8" s="5">
        <v>0</v>
      </c>
    </row>
    <row r="9" ht="20" customHeight="1">
      <c r="A9" s="2" t="str">
        <v>AOW05: Enable</v>
      </c>
      <c r="B9" s="2">
        <v>0</v>
      </c>
      <c r="C9" s="5">
        <v>0</v>
      </c>
      <c r="D9" s="2">
        <v>1</v>
      </c>
      <c r="E9" s="5">
        <v>46360</v>
      </c>
      <c r="F9" s="2">
        <v>5</v>
      </c>
      <c r="G9" s="5">
        <v>15000</v>
      </c>
      <c r="H9" s="2">
        <v>6</v>
      </c>
      <c r="I9" s="5">
        <v>57070</v>
      </c>
      <c r="J9" s="5">
        <v>0</v>
      </c>
      <c r="K9" s="5">
        <v>0</v>
      </c>
      <c r="L9" s="5">
        <v>118430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NARES leadership team meeting</v>
      </c>
      <c r="C2" s="11" t="str">
        <v>For High level NARES meeting under ENABLE (150k)</v>
      </c>
      <c r="D2" s="11">
        <v>0</v>
      </c>
    </row>
    <row r="3" ht="45" customHeight="1">
      <c r="A3" s="11" t="str">
        <v>AOW00</v>
      </c>
      <c r="B3" s="11" t="str">
        <v>DIscretionary funds</v>
      </c>
      <c r="C3" s="11" t="str">
        <v xml:space="preserve">To be allocated </v>
      </c>
      <c r="D3" s="11">
        <v>0</v>
      </c>
    </row>
    <row r="4" ht="45" customHeight="1">
      <c r="A4" s="11" t="str">
        <v>AOW00</v>
      </c>
      <c r="B4" s="11" t="str">
        <v>To be allocated to research</v>
      </c>
      <c r="C4" s="11" t="str">
        <v>PODs pending</v>
      </c>
      <c r="D4" s="11">
        <v>0</v>
      </c>
    </row>
    <row r="5" ht="45" customHeight="1">
      <c r="A5" s="11" t="str">
        <v>AOW00</v>
      </c>
      <c r="B5" s="11" t="str">
        <v>Director Salary and costs</v>
      </c>
      <c r="C5" s="11" t="str">
        <v>510k for the Director's salary + relevant costs, as outlined by instructions</v>
      </c>
      <c r="D5" s="11">
        <v>0</v>
      </c>
    </row>
    <row r="6" ht="45" customHeight="1">
      <c r="A6" s="11" t="str">
        <v>AOW00</v>
      </c>
      <c r="B6" s="11" t="str">
        <v>Finance Focal point</v>
      </c>
      <c r="C6" s="11" t="str">
        <v>Mandated by Finance for 36.5k</v>
      </c>
      <c r="D6" s="11">
        <v>0</v>
      </c>
    </row>
    <row r="7" ht="45" customHeight="1" xml:space="preserve">
      <c r="A7" s="11" t="str">
        <v>AOW00</v>
      </c>
      <c r="B7" s="11" t="str">
        <v xml:space="preserve">Travel costs </v>
      </c>
      <c r="C7" s="11" t="str" xml:space="preserve">
        <v xml:space="preserve">Budget for two meetings of 75k costs each
</v>
      </c>
      <c r="D7" s="11">
        <v>0</v>
      </c>
    </row>
    <row r="8" ht="45" customHeight="1">
      <c r="A8" s="11" t="str">
        <v>AOW00</v>
      </c>
      <c r="B8" s="11" t="str">
        <v>AoW lead total salary costs at up to 50% of time</v>
      </c>
      <c r="C8" s="11" t="str">
        <v>For four AoW leads at 50% and two at 25%</v>
      </c>
      <c r="D8" s="11">
        <v>0</v>
      </c>
    </row>
    <row r="9" ht="45" customHeight="1">
      <c r="A9" s="11" t="str">
        <v>AOW00</v>
      </c>
      <c r="B9" s="11" t="str">
        <v>PMU costs (Program Coordinator; Communications Focal Point;  MELIA Focal Point)</v>
      </c>
      <c r="C9" s="11" t="str">
        <v>All at 50% FTE</v>
      </c>
      <c r="D9" s="11">
        <v>0</v>
      </c>
    </row>
    <row r="10" ht="45" customHeight="1">
      <c r="A10" s="11" t="str">
        <v>AOW00</v>
      </c>
      <c r="B10" s="11" t="str">
        <v>Consultants</v>
      </c>
      <c r="C10" s="11" t="str">
        <v>Primary consultants for B4T</v>
      </c>
      <c r="D10" s="11">
        <v>0</v>
      </c>
    </row>
  </sheetData>
  <mergeCells count="1">
    <mergeCell ref="A2:A10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AOW02</v>
      </c>
      <c r="B3" s="11" t="str">
        <v>HLO9.AOW2.IO2 Create products</v>
      </c>
      <c r="C3" s="11" t="str">
        <v>Breeding networks collaborate on the development of targeted products. --------------PARTIAL CRITICAL CAPABILITIES - AFRICARICE - RICE - (Upland Rice) -------------- Number of candidate varieities released to partners</v>
      </c>
      <c r="D3" s="11" t="str">
        <v>Number of innovations (innovation development)</v>
      </c>
      <c r="E3" s="11" t="str">
        <v>Country: Nigeria, Côte d'Ivoire</v>
      </c>
      <c r="F3" s="11">
        <v>3</v>
      </c>
      <c r="G3" s="11">
        <v>140000</v>
      </c>
      <c r="H3" s="11">
        <f>SUM(G3:G3)</f>
      </c>
      <c r="I3" s="11" t="str">
        <v>AfricaRice-B4T_11----------------The $ 140,000 for upland POD  is derived from   Critical Capabilities ($40,000 ) and  the POD AfricaRice-B4T_15 ( $100,000)</v>
      </c>
    </row>
    <row r="4" ht="25" customHeight="1">
      <c r="B4" s="14" t="str">
        <v>HLO budget subtotal</v>
      </c>
      <c r="H4" s="15">
        <f>SUM(H3:H3)</f>
      </c>
    </row>
    <row r="5" ht="50" customHeight="1" xml:space="preserve">
      <c r="A5" s="13" t="str">
        <v>AOW03</v>
      </c>
      <c r="B5" s="11" t="str">
        <v>HLO11.AOW3.IO4 Position for demand</v>
      </c>
      <c r="C5" s="11" t="str" xml:space="preserve">
        <v xml:space="preserve">Seed production for impact ---------------------- AFRICARICE - RICE (Seed production for impact) ------------------- Number of genetic products shared
</v>
      </c>
      <c r="D5" s="11" t="str">
        <v>Number of innovations (innovation development)</v>
      </c>
      <c r="E5" s="11" t="str">
        <v>Country: Senegal, Nigeria</v>
      </c>
      <c r="F5" s="11">
        <v>2</v>
      </c>
      <c r="G5" s="11">
        <v>10000</v>
      </c>
      <c r="H5" s="11">
        <f>SUM(G5:G5)</f>
      </c>
      <c r="I5" s="11" t="str" xml:space="preserve">
        <v xml:space="preserve">AfricaRice-B4T_25
</v>
      </c>
    </row>
    <row r="6" ht="25" customHeight="1">
      <c r="B6" s="15" t="str">
        <v>HLO budget subtotal</v>
      </c>
      <c r="H6" s="15">
        <f>SUM(H5:H5)</f>
      </c>
    </row>
    <row r="7" ht="50" customHeight="1" xml:space="preserve">
      <c r="A7" s="13" t="str">
        <v>AOW04</v>
      </c>
      <c r="B7" s="11" t="str">
        <v>HLO16.AOW4.IO3 Shared services</v>
      </c>
      <c r="C7" s="11" t="str" xml:space="preserve">
        <v xml:space="preserve">A portfolio of connected tools and services that collectively meet current and emerging needs for modernized breeding is made available to breeding networks ---------------- AFRICARICE - RICE - (Backstopping of Laboratory shared services, managing requests through the OneCGIAR service portal for lab services and seed money to support NARES genotyping) ------ Number of tools and services used
</v>
      </c>
      <c r="D7" s="11" t="str" xml:space="preserve">
        <v xml:space="preserve">Number of tools and services used	
</v>
      </c>
      <c r="E7" s="11" t="str">
        <v>Country: Côte d'Ivoire</v>
      </c>
      <c r="F7" s="11">
        <v>10</v>
      </c>
      <c r="G7" s="11">
        <v>160000</v>
      </c>
      <c r="H7" s="11">
        <f>SUM(G7:G9)</f>
      </c>
      <c r="I7" s="11" t="str" xml:space="preserve">
        <v xml:space="preserve">AfricaRice_Breeding for Tomorrow_15
</v>
      </c>
    </row>
    <row r="8" ht="50" customHeight="1" xml:space="preserve">
      <c r="A8" s="11" t="str">
        <v>AOW04</v>
      </c>
      <c r="C8" s="11" t="str">
        <v xml:space="preserve">Breeding network use of the genotyping facilities and services via Breeding Resources. ---------------- AFRICARICE - RICE - (Regional hub for genotyping service needs) --------------- Number of NARES partners benefiting from the use of genotyping services	</v>
      </c>
      <c r="D8" s="11" t="str">
        <v xml:space="preserve"> Number of NARES partners benefiting from the use of genotyping services	</v>
      </c>
      <c r="E8" s="11" t="str">
        <v>Country: Côte d'Ivoire</v>
      </c>
      <c r="F8" s="11">
        <v>5</v>
      </c>
      <c r="G8" s="11">
        <v>15000</v>
      </c>
      <c r="I8" s="11" t="str" xml:space="preserve">
        <v xml:space="preserve">AfricaRice-B4T_20
</v>
      </c>
    </row>
    <row r="9" ht="50" customHeight="1" xml:space="preserve">
      <c r="A9" s="11" t="str">
        <v>AOW04</v>
      </c>
      <c r="C9" s="11" t="str">
        <v>Breeding network use of the phenotyping facilities and services via Breeding Resources. ---------------- AFRICARICE - RICE - (Support NARES in precision phenotyping) --------------- Number of NARES partners benefiting from the use of phenotyping services</v>
      </c>
      <c r="D9" s="11" t="str">
        <v>Number of NARES partners benefiting from the use of phenotyping services</v>
      </c>
      <c r="E9" s="11" t="str">
        <v>Country: Côte d'Ivoire, Nigeria</v>
      </c>
      <c r="F9" s="11">
        <v>5</v>
      </c>
      <c r="G9" s="11">
        <v>20000</v>
      </c>
      <c r="I9" s="11" t="str" xml:space="preserve">
        <v xml:space="preserve">AfricaRice-B4T_21
</v>
      </c>
    </row>
    <row r="10" ht="25" customHeight="1">
      <c r="B10" s="15" t="str">
        <v>HLO budget subtotal</v>
      </c>
      <c r="H10" s="15">
        <f>SUM(H7:H9)</f>
      </c>
    </row>
    <row r="11" ht="50" customHeight="1">
      <c r="A11" s="13" t="str">
        <v>AOW05</v>
      </c>
      <c r="B11" s="11" t="str">
        <v>HLO18.AOW5.IO2 Partnered networks</v>
      </c>
      <c r="C11" s="11" t="str">
        <v>Breeding network use for extensive testing across the region to select the right product. -------AFRICARICE - RICE - (Active breeding network) --------------------Number of Breeding Task Force networks strengthened</v>
      </c>
      <c r="D11" s="11" t="str">
        <v xml:space="preserve"> Number of Breeding Task Force networks strengthened</v>
      </c>
      <c r="E11" s="11" t="str">
        <v>Country: Côte d'Ivoire</v>
      </c>
      <c r="F11" s="11">
        <v>1</v>
      </c>
      <c r="G11" s="11">
        <v>7070</v>
      </c>
      <c r="H11" s="11">
        <f>SUM(G11:G12)</f>
      </c>
      <c r="I11" s="11" t="str">
        <v>AfricaRice-B4T_22</v>
      </c>
    </row>
    <row r="12" ht="50" customHeight="1" xml:space="preserve">
      <c r="A12" s="11" t="str">
        <v>AOW05</v>
      </c>
      <c r="C12" s="11" t="str" xml:space="preserve">
        <v xml:space="preserve">Strategic planning of crop x region breeding networks that enables collaboration on common challenges and opportunities---- AFRICARICE - (Product Design Team meetings conducted in Level 1 and Level 2 countries per network and national TPPs defined, endorsed, verified for feasibility and uploaded to Breeding portal) --------------Number of level 1 and 2 network countries that have uploaded national TPPs to GloMIP
</v>
      </c>
      <c r="D12" s="11" t="str">
        <v>Number of level 1 and 2 network countries that have uploaded national TPPs to GloMIP</v>
      </c>
      <c r="E12" s="11" t="str">
        <v>Country: Côte d'Ivoire, Nigeria</v>
      </c>
      <c r="F12" s="11">
        <v>5</v>
      </c>
      <c r="G12" s="11">
        <v>50000</v>
      </c>
      <c r="I12" s="11" t="str">
        <v>AfricaRice-B4T_16</v>
      </c>
    </row>
    <row r="13" ht="50" customHeight="1" xml:space="preserve">
      <c r="A13" s="11" t="str">
        <v>AOW05</v>
      </c>
      <c r="B13" s="11" t="str">
        <v>HLO19.AOW5.IO2 Share capacity</v>
      </c>
      <c r="C13" s="11" t="str" xml:space="preserve">
        <v xml:space="preserve">Number of individuals from research or scaling partner organizations who attended CGIAR trainings ------------------ AFRICARICE- RICE - (Skill sharing) ----------------- Number of people trained
</v>
      </c>
      <c r="D13" s="11" t="str">
        <v>Number of people trained (capacity sharing for development)</v>
      </c>
      <c r="E13" s="11" t="str">
        <v>Country: Madagascar, Senegal, Côte d'Ivoire</v>
      </c>
      <c r="F13" s="11">
        <v>5</v>
      </c>
      <c r="G13" s="11">
        <v>15000</v>
      </c>
      <c r="H13" s="11">
        <f>SUM(G13:G13)</f>
      </c>
      <c r="I13" s="11" t="str" xml:space="preserve">
        <v xml:space="preserve">AfricaRice-B4T_23
</v>
      </c>
    </row>
    <row r="14" ht="50" customHeight="1">
      <c r="A14" s="11" t="str">
        <v>AOW05</v>
      </c>
      <c r="B14" s="11" t="str">
        <v>HLO20.AOW5.IO3 Assess performance</v>
      </c>
      <c r="C14" s="11" t="str">
        <v>Number of AoWs, with MELIA performance reports completed, addressing identified data gaps. ----AFRICARICE (Inclusive, world class regional product advancement and planning meetings conducted to advance germplasm) -----Number of breeding networks that have conducted regional product advancement and planning meetings</v>
      </c>
      <c r="D14" s="11" t="str">
        <v>Number of knowledge products</v>
      </c>
      <c r="E14" s="11" t="str">
        <v>Country: Nigeria, Côte d'Ivoire</v>
      </c>
      <c r="F14" s="11">
        <v>1</v>
      </c>
      <c r="G14" s="11">
        <v>46360</v>
      </c>
      <c r="H14" s="11">
        <f>SUM(G14:G14)</f>
      </c>
      <c r="I14" s="11" t="str">
        <v>AfricaRice-B4T_16</v>
      </c>
    </row>
    <row r="15" ht="25" customHeight="1">
      <c r="B15" s="15" t="str">
        <v>HLO budget subtotal</v>
      </c>
      <c r="H15" s="15">
        <f>SUM(H11:H14)</f>
      </c>
    </row>
  </sheetData>
  <mergeCells count="17">
    <mergeCell ref="A1:A2"/>
    <mergeCell ref="B1:B2"/>
    <mergeCell ref="C1:G1"/>
    <mergeCell ref="H1:H2"/>
    <mergeCell ref="I1:I2"/>
    <mergeCell ref="B4:G4"/>
    <mergeCell ref="A3:A4"/>
    <mergeCell ref="B6:G6"/>
    <mergeCell ref="A5:A6"/>
    <mergeCell ref="B7:B9"/>
    <mergeCell ref="H7:H9"/>
    <mergeCell ref="B10:G10"/>
    <mergeCell ref="A7:A10"/>
    <mergeCell ref="B11:B12"/>
    <mergeCell ref="H11:H12"/>
    <mergeCell ref="B15:G15"/>
    <mergeCell ref="A11:A15"/>
  </mergeCells>
  <ignoredErrors>
    <ignoredError numberStoredAsText="1" sqref="A1:I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A-AG10140-KAFACI Phase 3</v>
      </c>
      <c r="B2" s="19" t="str">
        <v>AOW00</v>
      </c>
      <c r="C2" s="18" t="str">
        <v xml:space="preserve">IOC5 Equitable access to improved varieties </v>
      </c>
      <c r="D2" s="19">
        <v>0</v>
      </c>
      <c r="E2" s="19" t="str">
        <f>=SUM(D2:D5)</f>
        <v>0</v>
      </c>
    </row>
    <row r="3" ht="30" customHeight="1">
      <c r="A3" s="18" t="str">
        <v>A-AG10140-KAFACI Phase 3</v>
      </c>
      <c r="B3" s="19" t="str">
        <v>AOW05</v>
      </c>
      <c r="C3" s="18" t="str">
        <v>HLO19.AOW5.IO2 Share capacity</v>
      </c>
      <c r="D3" s="19">
        <v>0</v>
      </c>
    </row>
    <row r="4" ht="30" customHeight="1">
      <c r="A4" s="18" t="str">
        <v>A-AG10140-KAFACI Phase 3</v>
      </c>
      <c r="B4" s="19" t="str">
        <v>AOW02</v>
      </c>
      <c r="C4" s="18" t="str">
        <v>HLO8.AOW2.IO2 Discover genetic potential</v>
      </c>
      <c r="D4" s="19">
        <v>0</v>
      </c>
    </row>
    <row r="5" ht="30" customHeight="1">
      <c r="A5" s="18" t="str">
        <v>A-AG10140-KAFACI Phase 3</v>
      </c>
      <c r="B5" s="19" t="str">
        <v>AOW03</v>
      </c>
      <c r="C5" s="18" t="str">
        <v>HLO11.AOW3.IO4 Position for demand</v>
      </c>
      <c r="D5" s="19">
        <v>0</v>
      </c>
    </row>
    <row r="6" ht="30" customHeight="1">
      <c r="A6" s="18" t="str">
        <v>A-AG10181-BMGF MultiHarvestRice</v>
      </c>
      <c r="B6" s="19" t="str">
        <v>AOW00</v>
      </c>
      <c r="C6" s="18" t="str">
        <v>IOC4 Scaling partners increase uptake</v>
      </c>
      <c r="D6" s="19">
        <v>0</v>
      </c>
      <c r="E6" s="19" t="str">
        <f>=SUM(D6:D7)</f>
        <v>0</v>
      </c>
    </row>
    <row r="7" ht="30" customHeight="1">
      <c r="A7" s="18" t="str">
        <v>A-AG10181-BMGF MultiHarvestRice</v>
      </c>
      <c r="B7" s="19" t="str">
        <v>AOW03</v>
      </c>
      <c r="C7" s="18" t="str">
        <v>HLO11.AOW3.IO4 Position for demand</v>
      </c>
      <c r="D7" s="19">
        <v>0</v>
      </c>
    </row>
    <row r="8" ht="30" customHeight="1">
      <c r="A8" s="18" t="str">
        <v>A-AG10183-SGP-AGGRI2 Accelerating Genetic Gain and Varietal</v>
      </c>
      <c r="B8" s="19" t="str">
        <v>AOW01</v>
      </c>
      <c r="C8" s="18" t="str">
        <v>HLO2.AOW1.IO1 Target markets</v>
      </c>
      <c r="D8" s="19">
        <v>0</v>
      </c>
      <c r="E8" s="19" t="str">
        <f>=SUM(D8:D11)</f>
        <v>0</v>
      </c>
    </row>
    <row r="9" ht="30" customHeight="1" xml:space="preserve">
      <c r="A9" s="18" t="str">
        <v>A-AG10183-SGP-AGGRI2 Accelerating Genetic Gain and Varietal</v>
      </c>
      <c r="B9" s="19" t="str">
        <v>AOW00</v>
      </c>
      <c r="C9" s="18" t="str" xml:space="preserve">
        <v xml:space="preserve">IOC1 Prioritization of products 
</v>
      </c>
      <c r="D9" s="19">
        <v>0</v>
      </c>
    </row>
    <row r="10" ht="30" customHeight="1">
      <c r="A10" s="18" t="str">
        <v>A-AG10183-SGP-AGGRI2 Accelerating Genetic Gain and Varietal</v>
      </c>
      <c r="B10" s="19" t="str">
        <v>AOW02</v>
      </c>
      <c r="C10" s="18" t="str">
        <v>HLO7.AOW2.IO2 Accelerating genetic gain</v>
      </c>
      <c r="D10" s="19">
        <v>0</v>
      </c>
    </row>
    <row r="11" ht="30" customHeight="1">
      <c r="A11" s="18" t="str">
        <v>A-AG10183-SGP-AGGRI2 Accelerating Genetic Gain and Varietal</v>
      </c>
      <c r="B11" s="19" t="str">
        <v>AOW03</v>
      </c>
      <c r="C11" s="18" t="str">
        <v>HLO12.AOW3.IO5 Deploy seed</v>
      </c>
      <c r="D11" s="19">
        <v>0</v>
      </c>
    </row>
    <row r="12" ht="30" customHeight="1">
      <c r="A12" s="3" t="str">
        <v>W3/Bilateral projects subtotal</v>
      </c>
      <c r="E12" s="3">
        <f>SUM(E2:E11)</f>
      </c>
    </row>
  </sheetData>
  <mergeCells count="7">
    <mergeCell ref="A2:A5"/>
    <mergeCell ref="A6:A7"/>
    <mergeCell ref="A8:A11"/>
    <mergeCell ref="E2:E5"/>
    <mergeCell ref="E6:E7"/>
    <mergeCell ref="E8:E11"/>
    <mergeCell ref="A12:D12"/>
  </mergeCells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21000</v>
      </c>
      <c r="E2" s="20">
        <v>1600</v>
      </c>
      <c r="F2" s="20">
        <v>35000</v>
      </c>
      <c r="G2" s="20">
        <v>29608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35000</v>
      </c>
      <c r="E3" s="20">
        <v>5400</v>
      </c>
      <c r="F3" s="20">
        <v>17500</v>
      </c>
      <c r="G3" s="20">
        <v>14211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0</v>
      </c>
      <c r="C4" s="20">
        <v>0</v>
      </c>
      <c r="D4" s="20">
        <v>84000</v>
      </c>
      <c r="E4" s="20">
        <v>3000</v>
      </c>
      <c r="F4" s="20">
        <v>142500</v>
      </c>
      <c r="G4" s="20">
        <v>74611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