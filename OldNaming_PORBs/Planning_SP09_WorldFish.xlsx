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1000000</v>
      </c>
      <c r="I6" s="5">
        <v>309403</v>
      </c>
      <c r="J6" s="5">
        <v>10000</v>
      </c>
      <c r="K6" s="5">
        <v>0</v>
      </c>
      <c r="L6" s="5">
        <v>319403</v>
      </c>
      <c r="M6" s="5">
        <v>824739</v>
      </c>
    </row>
    <row r="7" ht="20" customHeight="1">
      <c r="A7" s="2" t="str">
        <v>AOW03: Enabling Environment Lab</v>
      </c>
      <c r="B7" s="2">
        <v>0</v>
      </c>
      <c r="C7" s="5">
        <v>0</v>
      </c>
      <c r="D7" s="2">
        <v>0</v>
      </c>
      <c r="E7" s="5">
        <v>0</v>
      </c>
      <c r="F7" s="2">
        <v>510</v>
      </c>
      <c r="G7" s="5">
        <v>195000</v>
      </c>
      <c r="H7" s="2">
        <v>80</v>
      </c>
      <c r="I7" s="5">
        <v>40000</v>
      </c>
      <c r="J7" s="5">
        <v>5000</v>
      </c>
      <c r="K7" s="5">
        <v>0</v>
      </c>
      <c r="L7" s="5">
        <v>240000</v>
      </c>
      <c r="M7" s="5">
        <v>0</v>
      </c>
    </row>
    <row r="8" ht="20" customHeight="1">
      <c r="A8" s="2" t="str">
        <v>AOW04: Achieving Impact by Unlocking Finance and Partnerships</v>
      </c>
      <c r="B8" s="2">
        <v>0</v>
      </c>
      <c r="C8" s="5">
        <v>0</v>
      </c>
      <c r="D8" s="2">
        <v>0</v>
      </c>
      <c r="E8" s="5">
        <v>0</v>
      </c>
      <c r="F8" s="2">
        <v>0</v>
      </c>
      <c r="G8" s="5">
        <v>0</v>
      </c>
      <c r="H8" s="2">
        <v>0</v>
      </c>
      <c r="I8" s="5">
        <v>0</v>
      </c>
      <c r="J8" s="5">
        <v>0</v>
      </c>
      <c r="K8" s="5">
        <v>0</v>
      </c>
      <c r="L8" s="5">
        <v>0</v>
      </c>
      <c r="M8" s="5">
        <v>0</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HLO 2.2.1: Access climate services and smart water management tools that improve adaptation decisions and resource efficiency.</v>
      </c>
      <c r="C3" s="11" t="str" xml:space="preserve">
        <v xml:space="preserve">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v>
      </c>
      <c r="D3" s="11" t="str">
        <v xml:space="preserve">Number of individuals </v>
      </c>
      <c r="E3" s="11" t="str">
        <v>Country: Bangladesh</v>
      </c>
      <c r="F3" s="11">
        <v>1000000</v>
      </c>
      <c r="G3" s="11">
        <v>53234</v>
      </c>
      <c r="H3" s="11">
        <f>SUM(G3:G3)</f>
      </c>
      <c r="I3" s="11" t="str">
        <v>Assumption: Stable government commitment and strong public-private partnerships sustain Agvisely's institutionalization and user growth.</v>
      </c>
    </row>
    <row r="4" ht="50" customHeight="1" xml:space="preserve">
      <c r="A4" s="11" t="str">
        <v>AOW02</v>
      </c>
      <c r="B4" s="11" t="str">
        <v>HLO 2.2.3: Nutrition-smart crop and livestock systems and inclusive food markets, with increased jobs, improved livelihoods, and enhanced access for women and youth to diverse, safe, and affordable diets.</v>
      </c>
      <c r="C4" s="11" t="str" xml:space="preserve">
        <v xml:space="preserve">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v>
      </c>
      <c r="D4" s="11" t="str">
        <v xml:space="preserve">Number of aquaculture farmers </v>
      </c>
      <c r="E4" s="11" t="str">
        <v>Country: Bangladesh</v>
      </c>
      <c r="F4" s="11">
        <v>130000</v>
      </c>
      <c r="G4" s="11">
        <v>256169</v>
      </c>
      <c r="H4" s="11">
        <f>SUM(G4:G4)</f>
      </c>
      <c r="I4" s="11" t="str" xml:space="preserve">
        <v xml:space="preserve">Assumption: Continued government prioritization of sustainable aquaculture and stable private-sector engagement in seed and input supply chains.
Budget allocation to Partners:  10K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v>
      </c>
    </row>
    <row r="5" ht="25" customHeight="1">
      <c r="B5" s="14" t="str">
        <v>HLO budget subtotal</v>
      </c>
      <c r="H5" s="15">
        <f>SUM(H3:H4)</f>
      </c>
    </row>
    <row r="6" ht="50" customHeight="1" xml:space="preserve">
      <c r="A6" s="13" t="str">
        <v>AOW03</v>
      </c>
      <c r="B6" s="11" t="str" xml:space="preserve">
        <v xml:space="preserve">HLO 3.3.2: Scaling support services for enabling 
environments and institutions </v>
      </c>
      <c r="C6" s="11" t="str" xml:space="preserve">
        <v xml:space="preserve">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v>
      </c>
      <c r="D6" s="11" t="str">
        <v>Number of individuals</v>
      </c>
      <c r="E6" s="11" t="str">
        <v>Country: Cambodia</v>
      </c>
      <c r="F6" s="11">
        <v>80</v>
      </c>
      <c r="G6" s="11">
        <v>40000</v>
      </c>
      <c r="H6" s="11">
        <f>SUM(G6:G8)</f>
      </c>
      <c r="I6" s="11" t="str">
        <v>CARD maintains commitment to the WG framework and alignment with the NSFSN. Funding risk: Delays in bilateral project alignment could affect expansion beyond priority provinces.</v>
      </c>
    </row>
    <row r="7" ht="50" customHeight="1" xml:space="preserve">
      <c r="A7" s="11" t="str">
        <v>AOW03</v>
      </c>
      <c r="C7" s="11" t="str" xml:space="preserve">
        <v xml:space="preserve">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in Bangladesh and Kenya. Suggested Disaggregation: 3.2 organizations engaging women and youth (40%), 0.8 representing marginalized groups (10%), and 4 other organizations (50%). Indicator type: Output. Unit: Number of organizations.
PoD Description: This package enhances policy and market frameworks that enable responsible scaling of genetically improved aquatic seed systems in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v>
      </c>
      <c r="D7" s="11" t="str">
        <v>Number of people trained (capacity sharing for development)</v>
      </c>
      <c r="E7" s="11" t="str">
        <v>Country: Kenya, Bangladesh</v>
      </c>
      <c r="F7" s="11">
        <v>8</v>
      </c>
      <c r="G7" s="11">
        <v>80000</v>
      </c>
      <c r="I7" s="11" t="str">
        <v xml:space="preserve">Assumptions: (i) Strong government commitment to seed-sector reform continues; (ii) National aquaculture strategies remain aligned with CGIAR support; (iii) Stakeholders value co-created recommendations and maintain participation. </v>
      </c>
    </row>
    <row r="8" ht="50" customHeight="1" xml:space="preserve">
      <c r="A8" s="11" t="str">
        <v>AOW03</v>
      </c>
      <c r="C8" s="11" t="str" xml:space="preserve">
        <v xml:space="preserve">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v>
      </c>
      <c r="D8" s="11" t="str">
        <v>Number of people trained (capacity sharing for development)</v>
      </c>
      <c r="E8" s="11" t="str">
        <v>Country: Bangladesh, Kenya</v>
      </c>
      <c r="F8" s="11">
        <v>2</v>
      </c>
      <c r="G8" s="11">
        <v>75000</v>
      </c>
      <c r="I8" s="11" t="str" xml:space="preserve">
        <v xml:space="preserve">Assumptions: (i) Both governments remain committed to aquaculture seed-sector reform; (ii) Existing bilateral and national projects provide complementary data and entry points; (iii) Private hatcheries and nurseries actively engage in policy consultations
Budget allocated to Partner -5K
Department of Fisheries (Bangladesh); Department for the Blue Economy and Fisheries (Kenya); Kenya Marine and Fisheries Research Institute</v>
      </c>
    </row>
    <row r="9" ht="50" customHeight="1" xml:space="preserve">
      <c r="A9" s="11" t="str">
        <v>AOW03</v>
      </c>
      <c r="B9" s="11" t="str">
        <v xml:space="preserve">HLO 3.3.3: Science-policy partnership interfaces for responsible scaling </v>
      </c>
      <c r="C9" s="11" t="str" xml:space="preserve">
        <v xml:space="preserve">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in Bangladesh and Kenya. Suggested Disaggregation:  women and youth (35%),  marginalized groups (25%), and  other individuals (40%). Indicator type: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v>
      </c>
      <c r="D9" s="11" t="str">
        <v>Number of people trained (capacity sharing for development)</v>
      </c>
      <c r="E9" s="11" t="str">
        <v>Country: Bangladesh, Kenya</v>
      </c>
      <c r="F9" s="11">
        <v>500</v>
      </c>
      <c r="G9" s="11">
        <v>40000</v>
      </c>
      <c r="H9" s="11">
        <f>SUM(G9:G9)</f>
      </c>
      <c r="I9" s="11" t="str">
        <v xml:space="preserve">Assumptions: (i) Ongoing bilateral programs support Flagship 2.3 implementation; (ii) National research and training institutes collaborate actively; (iii) Trained participants apply knowledge through existing aquaculture networks. </v>
      </c>
    </row>
    <row r="10" ht="25" customHeight="1">
      <c r="B10" s="15" t="str">
        <v>HLO budget subtotal</v>
      </c>
      <c r="H10" s="15">
        <f>SUM(H6:H9)</f>
      </c>
    </row>
  </sheetData>
  <mergeCells count="11">
    <mergeCell ref="A1:A2"/>
    <mergeCell ref="B1:B2"/>
    <mergeCell ref="C1:G1"/>
    <mergeCell ref="H1:H2"/>
    <mergeCell ref="I1:I2"/>
    <mergeCell ref="B5:G5"/>
    <mergeCell ref="A3:A5"/>
    <mergeCell ref="B6:B8"/>
    <mergeCell ref="H6:H8"/>
    <mergeCell ref="B10:G10"/>
    <mergeCell ref="A6:A10"/>
  </mergeCells>
  <ignoredErrors>
    <ignoredError numberStoredAsText="1" sqref="A1:I10"/>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Bangladesh,Bangladesh,Kenya</v>
      </c>
      <c r="E2" s="11">
        <v>0</v>
      </c>
    </row>
    <row r="3" ht="25" customHeight="1">
      <c r="B3" s="14" t="str">
        <v>Contracted partners subtotal</v>
      </c>
      <c r="E3" s="14">
        <f>SUM(E2:E2)</f>
      </c>
    </row>
    <row r="4" ht="70" customHeight="1" xml:space="preserve">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Bangladesh,Bangladesh,Kenya</v>
      </c>
      <c r="E4" s="11">
        <v>10000</v>
      </c>
      <c r="F4" s="11" t="str" xml:space="preserve">
        <v xml:space="preserve">It is a placeholder budget for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Bangladesh,Bangladesh,Kenya</v>
      </c>
      <c r="E6" s="11">
        <v>5000</v>
      </c>
      <c r="F6" s="11" t="str" xml:space="preserve">
        <v xml:space="preserve">It is a placeholder budget for 
Department of Fisheries (Bangladesh); Department for the Blue Economy and Fisheries (Kenya); Kenya Marine and Fisheries Research Institute</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Bangladesh,Bangladesh,Kenya</v>
      </c>
      <c r="E8" s="11">
        <v>0</v>
      </c>
    </row>
    <row r="9" ht="25" customHeight="1">
      <c r="B9" s="14" t="str">
        <v>Contracted partners subtotal</v>
      </c>
      <c r="E9" s="14">
        <f>SUM(E8:E8)</f>
      </c>
    </row>
    <row r="10" ht="70" customHeight="1">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Bangladesh,Bangladesh,Kenya</v>
      </c>
      <c r="E10" s="11">
        <v>0</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F-AG10607-ASIA-AFRICA BLUETECH SUPERHIGHWAY PROJECT (COAST)</v>
      </c>
      <c r="B2" s="19" t="str">
        <v>AOW02</v>
      </c>
      <c r="C2" s="18" t="str">
        <v>HLO 2.2.1: Access climate services and smart water management tools that improve adaptation decisions and resource efficiency.</v>
      </c>
      <c r="D2" s="19">
        <v>824739</v>
      </c>
      <c r="E2" s="19" t="str">
        <f>=SUM(D2:D2)</f>
        <v>0</v>
      </c>
      <c r="F2" s="19" t="str">
        <v>F-AG10607-ASIA-AFRICA BLUETECH SUPERHIGHWAY PROJECT (COAST):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Scaling Delivery Systems for Carp, Tilapia, and Small Indigenous Species (SIS) Genetics and Input Services in Bangladesh package of deliverables in Area of Work 2.</v>
      </c>
      <c r="B2" s="19" t="str">
        <v>AOW02</v>
      </c>
      <c r="C2" s="18" t="str">
        <v>HLO 2.2.3: Nutrition-smart crop and livestock systems and inclusive food markets, with increased jobs, improved livelihoods, and enhanced access for women and youth to diverse, safe, and affordable diets.</v>
      </c>
      <c r="D2" s="19">
        <v>0</v>
      </c>
      <c r="E2" s="19" t="str">
        <f>=SUM(D2:D2)</f>
        <v>0</v>
      </c>
    </row>
    <row r="3" ht="30" customHeight="1">
      <c r="A3" s="3" t="str">
        <v>MELIA Studies Budget subtotal</v>
      </c>
      <c r="E3" s="3">
        <f>SUM(E2:E2)</f>
      </c>
    </row>
  </sheetData>
  <mergeCells count="1">
    <mergeCell ref="A3:D3"/>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10000</v>
      </c>
      <c r="E2" s="20">
        <v>5000</v>
      </c>
      <c r="F2" s="20">
        <v>0</v>
      </c>
      <c r="G2" s="20">
        <v>0</v>
      </c>
      <c r="H2" s="20" t="str">
        <f>=SUM(B2:G2)</f>
        <v>0</v>
      </c>
    </row>
    <row r="3" ht="20" customHeight="1">
      <c r="A3" s="20" t="str">
        <v>Operations (supplies, consultants, travels, workshops, other)</v>
      </c>
      <c r="B3" s="20">
        <v>0</v>
      </c>
      <c r="C3" s="20">
        <v>0</v>
      </c>
      <c r="D3" s="20">
        <v>93256</v>
      </c>
      <c r="E3" s="20">
        <v>69222</v>
      </c>
      <c r="F3" s="20">
        <v>0</v>
      </c>
      <c r="G3" s="20">
        <v>0</v>
      </c>
      <c r="H3" s="20" t="str">
        <f>=SUM(B3:G3)</f>
        <v>0</v>
      </c>
    </row>
    <row r="4" ht="20" customHeight="1">
      <c r="A4" s="20" t="str">
        <v>Staffing, Chargebacks and Indirect</v>
      </c>
      <c r="B4" s="20">
        <v>26667</v>
      </c>
      <c r="C4" s="20">
        <v>0</v>
      </c>
      <c r="D4" s="20">
        <v>216147</v>
      </c>
      <c r="E4" s="20">
        <v>165778</v>
      </c>
      <c r="F4" s="20">
        <v>0</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