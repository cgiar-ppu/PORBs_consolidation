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62250</v>
      </c>
      <c r="D6" s="2">
        <v>0</v>
      </c>
      <c r="E6" s="5">
        <v>0</v>
      </c>
      <c r="F6" s="2">
        <v>0</v>
      </c>
      <c r="G6" s="5">
        <v>0</v>
      </c>
      <c r="H6" s="2">
        <v>0</v>
      </c>
      <c r="I6" s="5">
        <v>37949</v>
      </c>
      <c r="J6" s="5">
        <v>0</v>
      </c>
      <c r="K6" s="5">
        <v>0</v>
      </c>
      <c r="L6" s="5">
        <v>100199</v>
      </c>
      <c r="M6" s="5">
        <v>0</v>
      </c>
    </row>
    <row r="7" ht="20" customHeight="1">
      <c r="A7" s="2" t="str">
        <v>AOW03: CapSha South-South and Triangular Cooperation</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HLO 2.1.1: Supply mapped</v>
      </c>
      <c r="C3" s="11" t="str">
        <v>A curated directory of capacity development products and providers is developed</v>
      </c>
      <c r="D3" s="11" t="str">
        <v xml:space="preserve"> Number of curated products and providers</v>
      </c>
      <c r="E3" s="11" t="str">
        <v>Global</v>
      </c>
      <c r="F3" s="11">
        <v>60</v>
      </c>
      <c r="G3" s="11">
        <v>18450</v>
      </c>
      <c r="H3" s="11">
        <f>SUM(G3:G3)</f>
      </c>
      <c r="I3" s="11" t="str">
        <v>Support the curation of a knowledge product directory a directory aiming collectively for at least 60 curated knowledge products.</v>
      </c>
    </row>
    <row r="4" ht="50" customHeight="1">
      <c r="A4" s="11" t="str">
        <v>AOW02</v>
      </c>
      <c r="B4" s="11" t="str">
        <v>HLO 2.1.2: Marketplace portal</v>
      </c>
      <c r="C4" s="11" t="str">
        <v>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v>
      </c>
      <c r="D4" s="11" t="str">
        <v xml:space="preserve"> Average monthly number of unique online users of the CapSha Portal</v>
      </c>
      <c r="E4" s="11" t="str">
        <v>Global</v>
      </c>
      <c r="F4" s="11">
        <v>300</v>
      </c>
      <c r="G4" s="11">
        <v>19499</v>
      </c>
      <c r="H4" s="11">
        <f>SUM(G4:G5)</f>
      </c>
      <c r="I4" s="11" t="str">
        <v>Awareness raising materials developed and co-linked events co-hosted.</v>
      </c>
    </row>
    <row r="5" ht="50" customHeight="1">
      <c r="A5" s="11" t="str">
        <v>AOW02</v>
      </c>
      <c r="C5" s="11" t="str">
        <v>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v>
      </c>
      <c r="D5" s="11" t="str">
        <v>Number of innovations (innovation development)</v>
      </c>
      <c r="E5" s="11" t="str">
        <v>Global</v>
      </c>
      <c r="F5" s="11">
        <v>2</v>
      </c>
      <c r="G5" s="11">
        <v>62250</v>
      </c>
      <c r="I5" s="11" t="str">
        <v>Host co-design events in Ethiopia and Brazil engaging 100+ participants, support CoP infrastructure and the cross-CG GEYSI LMS module, and provide inputs and reviews for the CapSha portal’s governance, content verification, and co-branding guidelines.</v>
      </c>
    </row>
    <row r="6" ht="25" customHeight="1">
      <c r="B6" s="14" t="str">
        <v>HLO budget subtotal</v>
      </c>
      <c r="H6" s="15">
        <f>SUM(H3:H5)</f>
      </c>
    </row>
  </sheetData>
  <mergeCells count="9">
    <mergeCell ref="A1:A2"/>
    <mergeCell ref="B1:B2"/>
    <mergeCell ref="C1:G1"/>
    <mergeCell ref="H1:H2"/>
    <mergeCell ref="I1:I2"/>
    <mergeCell ref="B4:B5"/>
    <mergeCell ref="H4:H5"/>
    <mergeCell ref="B6:G6"/>
    <mergeCell ref="A3:A6"/>
  </mergeCells>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7000</v>
      </c>
      <c r="E2" s="20">
        <v>0</v>
      </c>
      <c r="F2" s="20" t="str">
        <f>=SUM(B2:E2)</f>
        <v>0</v>
      </c>
    </row>
    <row r="3" ht="20" customHeight="1">
      <c r="A3" s="20" t="str">
        <v>Operations (supplies, consultants, travels, workshops, other)</v>
      </c>
      <c r="B3" s="20">
        <v>0</v>
      </c>
      <c r="C3" s="20">
        <v>0</v>
      </c>
      <c r="D3" s="20">
        <v>27268</v>
      </c>
      <c r="E3" s="20">
        <v>0</v>
      </c>
      <c r="F3" s="20" t="str">
        <f>=SUM(B3:E3)</f>
        <v>0</v>
      </c>
    </row>
    <row r="4" ht="20" customHeight="1">
      <c r="A4" s="20" t="str">
        <v>Staffing, Chargebacks and Indirect</v>
      </c>
      <c r="B4" s="20">
        <v>0</v>
      </c>
      <c r="C4" s="20">
        <v>0</v>
      </c>
      <c r="D4" s="20">
        <v>65931</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