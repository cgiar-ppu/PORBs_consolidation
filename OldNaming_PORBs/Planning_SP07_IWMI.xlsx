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Foresight and Prioritization </v>
      </c>
      <c r="B5" s="2">
        <v>0</v>
      </c>
      <c r="C5" s="5">
        <v>0</v>
      </c>
      <c r="D5" s="2">
        <v>0</v>
      </c>
      <c r="E5" s="5">
        <v>0</v>
      </c>
      <c r="F5" s="2">
        <v>0</v>
      </c>
      <c r="G5" s="5">
        <v>0</v>
      </c>
      <c r="H5" s="2">
        <v>0</v>
      </c>
      <c r="I5" s="5">
        <v>0</v>
      </c>
      <c r="J5" s="5">
        <v>0</v>
      </c>
      <c r="K5" s="5">
        <v>0</v>
      </c>
      <c r="L5" s="5">
        <v>0</v>
      </c>
      <c r="M5" s="5">
        <v>0</v>
      </c>
    </row>
    <row r="6" ht="20" customHeight="1">
      <c r="A6" s="2" t="str">
        <v xml:space="preserve">AOW02: Market-led Food Systems Transformation </v>
      </c>
      <c r="B6" s="2">
        <v>0</v>
      </c>
      <c r="C6" s="5">
        <v>0</v>
      </c>
      <c r="D6" s="2">
        <v>0</v>
      </c>
      <c r="E6" s="5">
        <v>0</v>
      </c>
      <c r="F6" s="2">
        <v>0</v>
      </c>
      <c r="G6" s="5">
        <v>0</v>
      </c>
      <c r="H6" s="2">
        <v>0</v>
      </c>
      <c r="I6" s="5">
        <v>0</v>
      </c>
      <c r="J6" s="5">
        <v>0</v>
      </c>
      <c r="K6" s="5">
        <v>0</v>
      </c>
      <c r="L6" s="5">
        <v>0</v>
      </c>
      <c r="M6" s="5">
        <v>0</v>
      </c>
    </row>
    <row r="7" ht="20" customHeight="1">
      <c r="A7" s="2" t="str">
        <v xml:space="preserve">AOW03: Governance and Political Economy </v>
      </c>
      <c r="B7" s="2">
        <v>0</v>
      </c>
      <c r="C7" s="5">
        <v>0</v>
      </c>
      <c r="D7" s="2">
        <v>4</v>
      </c>
      <c r="E7" s="5">
        <v>179416</v>
      </c>
      <c r="F7" s="2">
        <v>0</v>
      </c>
      <c r="G7" s="5">
        <v>0</v>
      </c>
      <c r="H7" s="2">
        <v>8</v>
      </c>
      <c r="I7" s="5">
        <v>179416</v>
      </c>
      <c r="J7" s="5">
        <v>0</v>
      </c>
      <c r="K7" s="5">
        <v>0</v>
      </c>
      <c r="L7" s="5">
        <v>358832</v>
      </c>
      <c r="M7" s="5">
        <v>0</v>
      </c>
    </row>
    <row r="8" ht="20" customHeight="1">
      <c r="A8" s="2" t="str">
        <v xml:space="preserve">AOW04: Water, Energy, Food, and Environment (WEFE) Nexus Policy </v>
      </c>
      <c r="B8" s="2">
        <v>7</v>
      </c>
      <c r="C8" s="5">
        <v>185742</v>
      </c>
      <c r="D8" s="2">
        <v>14</v>
      </c>
      <c r="E8" s="5">
        <v>694773</v>
      </c>
      <c r="F8" s="2">
        <v>16</v>
      </c>
      <c r="G8" s="5">
        <v>259501</v>
      </c>
      <c r="H8" s="2">
        <v>37</v>
      </c>
      <c r="I8" s="5">
        <v>666922</v>
      </c>
      <c r="J8" s="5">
        <v>0</v>
      </c>
      <c r="K8" s="5">
        <v>0</v>
      </c>
      <c r="L8" s="5">
        <v>1806938</v>
      </c>
      <c r="M8" s="5">
        <v>1889553</v>
      </c>
    </row>
    <row r="9" ht="20" customHeight="1">
      <c r="A9" s="2" t="str">
        <v>AOW05: Country and Regional Strategy and Engagement</v>
      </c>
      <c r="B9" s="2">
        <v>0</v>
      </c>
      <c r="C9" s="5">
        <v>0</v>
      </c>
      <c r="D9" s="2">
        <v>0</v>
      </c>
      <c r="E9" s="5">
        <v>0</v>
      </c>
      <c r="F9" s="2">
        <v>0</v>
      </c>
      <c r="G9" s="5">
        <v>0</v>
      </c>
      <c r="H9" s="2">
        <v>0</v>
      </c>
      <c r="I9" s="5">
        <v>0</v>
      </c>
      <c r="J9" s="5">
        <v>0</v>
      </c>
      <c r="K9" s="5">
        <v>0</v>
      </c>
      <c r="L9" s="5">
        <v>0</v>
      </c>
      <c r="M9" s="5">
        <v>0</v>
      </c>
    </row>
    <row r="10" ht="20" customHeight="1">
      <c r="A10" s="2" t="str">
        <v xml:space="preserve">AOW06: Global Poverty and Jobs Policy Knowledge Brokering Hub </v>
      </c>
      <c r="B10" s="2">
        <v>0</v>
      </c>
      <c r="C10" s="5">
        <v>0</v>
      </c>
      <c r="D10" s="2">
        <v>0</v>
      </c>
      <c r="E10" s="5">
        <v>0</v>
      </c>
      <c r="F10" s="2">
        <v>0</v>
      </c>
      <c r="G10" s="5">
        <v>0</v>
      </c>
      <c r="H10" s="2">
        <v>0</v>
      </c>
      <c r="I10" s="5">
        <v>0</v>
      </c>
      <c r="J10" s="5">
        <v>0</v>
      </c>
      <c r="K10" s="5">
        <v>0</v>
      </c>
      <c r="L10" s="5">
        <v>0</v>
      </c>
      <c r="M10" s="5">
        <v>0</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Director costs</v>
      </c>
      <c r="C2" s="11" t="str">
        <v/>
      </c>
      <c r="D2" s="11">
        <v>0</v>
      </c>
    </row>
    <row r="3" ht="45" customHeight="1">
      <c r="A3" s="11" t="str">
        <v>AOW00</v>
      </c>
      <c r="B3" s="11" t="str">
        <v>PMU</v>
      </c>
      <c r="C3" s="11" t="str">
        <v/>
      </c>
      <c r="D3" s="11">
        <v>0</v>
      </c>
    </row>
    <row r="4" ht="45" customHeight="1">
      <c r="A4" s="11" t="str">
        <v>AOW00</v>
      </c>
      <c r="B4" s="11" t="str">
        <v>Discretionary funds</v>
      </c>
      <c r="D4" s="11">
        <v>0</v>
      </c>
    </row>
    <row r="5" ht="45" customHeight="1">
      <c r="A5" s="11" t="str">
        <v>AOW00</v>
      </c>
      <c r="B5" s="11" t="str">
        <v>AoW Leads</v>
      </c>
      <c r="D5" s="11">
        <v>0</v>
      </c>
    </row>
    <row r="6" ht="45" customHeight="1">
      <c r="A6" s="11" t="str">
        <v>AOW00</v>
      </c>
      <c r="B6" s="11" t="str">
        <v>SO Finance Shared</v>
      </c>
      <c r="C6" s="11" t="str">
        <v>Centralized Finance</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5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AOW03</v>
      </c>
      <c r="B3" s="11" t="str">
        <v>3.2. Policy response</v>
      </c>
      <c r="C3" s="11" t="str">
        <v>PILA4WP analysis and policy landscape mapping study on Ethiopia, with specific reference to the irrigation expansion, improving agwater productivity, and identifying ways of enhancing enabling environments at national, state, basin, and irrigation system levels</v>
      </c>
      <c r="D3" s="11" t="str">
        <v xml:space="preserve"> No. of policy recommendations developed</v>
      </c>
      <c r="E3" s="11" t="str">
        <v>Country: Ethiopia</v>
      </c>
      <c r="F3" s="11">
        <v>2</v>
      </c>
      <c r="G3" s="11">
        <v>44854</v>
      </c>
      <c r="H3" s="11">
        <f>SUM(G3:G10)</f>
      </c>
      <c r="I3" s="11" t="str">
        <v>Budget and partners to be added Q1 2026</v>
      </c>
    </row>
    <row r="4" ht="50" customHeight="1">
      <c r="A4" s="11" t="str">
        <v>AOW03</v>
      </c>
      <c r="C4" s="11" t="str">
        <v>PILA4WP analysis and policy landscape mapping study on Ethiopia, with specific reference to the irrigation expansion, improving agwater productivity, and identifying ways of enhancing enabling environments at national, state, basin, and irrigation system levels</v>
      </c>
      <c r="D4" s="11" t="str">
        <v>Number of knowledge products</v>
      </c>
      <c r="E4" s="11" t="str">
        <v>Country: Ethiopia</v>
      </c>
      <c r="F4" s="11">
        <v>1</v>
      </c>
      <c r="G4" s="11">
        <v>44854</v>
      </c>
      <c r="I4" s="11" t="str">
        <v>Budget and partners to be added Q1 2026</v>
      </c>
    </row>
    <row r="5" ht="50" customHeight="1">
      <c r="A5" s="11" t="str">
        <v>AOW03</v>
      </c>
      <c r="C5" s="11" t="str">
        <v>PILA4WP analysis and policy landscape mapping study on Kenya, with specific reference to the irrigation expansion, improving agwater productivity, and identifying ways of enhancing enabling environments at national, basin, and irrigation system levels</v>
      </c>
      <c r="D5" s="11" t="str">
        <v xml:space="preserve"> No. of policy recommendations developed</v>
      </c>
      <c r="E5" s="11" t="str">
        <v>Country: Kenya</v>
      </c>
      <c r="F5" s="11">
        <v>2</v>
      </c>
      <c r="G5" s="11">
        <v>44854</v>
      </c>
      <c r="I5" s="11" t="str">
        <v>Budget and partners to be added Q1 2026</v>
      </c>
    </row>
    <row r="6" ht="50" customHeight="1">
      <c r="A6" s="11" t="str">
        <v>AOW03</v>
      </c>
      <c r="C6" s="11" t="str">
        <v>PILA4WP analysis and policy landscape mapping study on Kenya, with specific reference to the irrigation expansion, improving agwater productivity, and identifying ways of enhancing enabling environments at national, basin, and irrigation system levels</v>
      </c>
      <c r="D6" s="11" t="str">
        <v>Number of knowledge products</v>
      </c>
      <c r="E6" s="11" t="str">
        <v>Country: Kenya</v>
      </c>
      <c r="F6" s="11">
        <v>1</v>
      </c>
      <c r="G6" s="11">
        <v>44854</v>
      </c>
      <c r="I6" s="11" t="str">
        <v>Budget and partners to be added Q1 2026</v>
      </c>
    </row>
    <row r="7" ht="50" customHeight="1">
      <c r="A7" s="11" t="str">
        <v>AOW03</v>
      </c>
      <c r="C7" s="11" t="str">
        <v>PILA4WP analysis and policy landscape mapping study on India, with specific reference to the Ganges basin and irrigation sub-sector / improving agwater productivity, identifying ways of enhancing enabling environments at national, state, basin, and irrigation system</v>
      </c>
      <c r="D7" s="11" t="str">
        <v xml:space="preserve"> No. of policy recommendations</v>
      </c>
      <c r="E7" s="11" t="str">
        <v>Country: India</v>
      </c>
      <c r="F7" s="11">
        <v>2</v>
      </c>
      <c r="G7" s="11">
        <v>44854</v>
      </c>
      <c r="I7" s="11" t="str">
        <v>Budget and partners to be added Q1 2026</v>
      </c>
    </row>
    <row r="8" ht="50" customHeight="1">
      <c r="A8" s="11" t="str">
        <v>AOW03</v>
      </c>
      <c r="C8" s="11" t="str">
        <v>PILA4WP analysis and policy landscape mapping study on India, with specific reference to the Ganges basin and irrigation sub-sector / improving agwater productivity, identifying ways of enhancing enabling environments at national, state, basin, and irrigation system</v>
      </c>
      <c r="D8" s="11" t="str">
        <v>Number of knowledge products</v>
      </c>
      <c r="E8" s="11" t="str">
        <v>Country: India</v>
      </c>
      <c r="F8" s="11">
        <v>1</v>
      </c>
      <c r="G8" s="11">
        <v>44854</v>
      </c>
      <c r="I8" s="11" t="str">
        <v>Budget and partners to be added Q1 2026</v>
      </c>
    </row>
    <row r="9" ht="50" customHeight="1">
      <c r="A9" s="11" t="str">
        <v>AOW03</v>
      </c>
      <c r="C9" s="11" t="str">
        <v>PILA4WP analysis and policy landscape mapping baseline study on Nigeria, with specific focus on the irrigation sub-sector / improving agwater productivity and enhancing enabling environments at national, state basin, and irrigation system levels</v>
      </c>
      <c r="D9" s="11" t="str">
        <v xml:space="preserve"> No. of policy recommendations developed</v>
      </c>
      <c r="E9" s="11" t="str">
        <v>Country: Nigeria</v>
      </c>
      <c r="F9" s="11">
        <v>2</v>
      </c>
      <c r="G9" s="11">
        <v>44854</v>
      </c>
      <c r="I9" s="11" t="str">
        <v>Budget and partners to be added Q1 2026</v>
      </c>
    </row>
    <row r="10" ht="50" customHeight="1">
      <c r="A10" s="11" t="str">
        <v>AOW03</v>
      </c>
      <c r="C10" s="11" t="str">
        <v>PILA4WP analysis and policy landscape mapping baseline study on Nigeria, with specific focus on the irrigation sub-sector / improving agwater productivity and enhancing enabling environments at national, state basin, and irrigation system levels</v>
      </c>
      <c r="D10" s="11" t="str">
        <v>Number of knowledge products</v>
      </c>
      <c r="E10" s="11" t="str">
        <v>Country: Nigeria</v>
      </c>
      <c r="F10" s="11">
        <v>1</v>
      </c>
      <c r="G10" s="11">
        <v>44854</v>
      </c>
      <c r="I10" s="11" t="str">
        <v>Budget and partners to be added Q1 2026</v>
      </c>
    </row>
    <row r="11" ht="25" customHeight="1">
      <c r="B11" s="14" t="str">
        <v>HLO budget subtotal</v>
      </c>
      <c r="H11" s="15">
        <f>SUM(H3:H10)</f>
      </c>
    </row>
    <row r="12" ht="50" customHeight="1">
      <c r="A12" s="13" t="str">
        <v>AOW04</v>
      </c>
      <c r="B12" s="11" t="str">
        <v>4.1. Agenda Setting</v>
      </c>
      <c r="C12" s="11" t="str">
        <v>Commission on Water for Food Futures: Water for food futures outlook</v>
      </c>
      <c r="D12" s="11" t="str">
        <v>Number of knowledge products</v>
      </c>
      <c r="E12" s="11" t="str">
        <v>Country: Pakistan, Sri Lanka, Canada, United States of America</v>
      </c>
      <c r="F12" s="11">
        <v>1</v>
      </c>
      <c r="G12" s="11">
        <v>17500</v>
      </c>
      <c r="H12" s="11">
        <f>SUM(G12:G17)</f>
      </c>
      <c r="I12" s="11" t="str">
        <v>Budget and partner to be added Q1 2026</v>
      </c>
    </row>
    <row r="13" ht="50" customHeight="1">
      <c r="A13" s="11" t="str">
        <v>AOW04</v>
      </c>
      <c r="C13" s="11" t="str">
        <v>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v>
      </c>
      <c r="D13" s="11" t="str">
        <v xml:space="preserve"> Policy recommendations</v>
      </c>
      <c r="E13" s="11" t="str">
        <v>Country: Sri Lanka, Pakistan, Canada, United States of America</v>
      </c>
      <c r="F13" s="11">
        <v>2</v>
      </c>
      <c r="G13" s="11">
        <v>81145</v>
      </c>
      <c r="I13" s="11" t="str">
        <v>'</v>
      </c>
    </row>
    <row r="14" ht="50" customHeight="1">
      <c r="A14" s="11" t="str">
        <v>AOW04</v>
      </c>
      <c r="C14" s="11" t="str">
        <v>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v>
      </c>
      <c r="D14" s="11" t="str">
        <v>Number of knowledge products</v>
      </c>
      <c r="E14" s="11" t="str">
        <v>Country: Canada, Pakistan, Sri Lanka, United States of America</v>
      </c>
      <c r="F14" s="11">
        <v>1</v>
      </c>
      <c r="G14" s="11">
        <v>81145</v>
      </c>
      <c r="I14" s="11" t="str">
        <v>'</v>
      </c>
    </row>
    <row r="15" ht="50" customHeight="1">
      <c r="A15" s="11" t="str">
        <v>AOW04</v>
      </c>
      <c r="C15" s="11" t="str">
        <v>Commission on Water for Food Futures: Water for food futures outlook</v>
      </c>
      <c r="D15" s="11" t="str">
        <v xml:space="preserve"> Policy recommendations developed</v>
      </c>
      <c r="E15" s="11" t="str">
        <v>Country: Canada, United States of America, Sri Lanka, Pakistan</v>
      </c>
      <c r="F15" s="11">
        <v>1</v>
      </c>
      <c r="G15" s="11">
        <v>17500</v>
      </c>
      <c r="I15" s="11" t="str">
        <v>Budget and partner to be added Q1 2026</v>
      </c>
    </row>
    <row r="16" ht="50" customHeight="1">
      <c r="A16" s="11" t="str">
        <v>AOW04</v>
      </c>
      <c r="C16" s="11" t="str">
        <v>Global Water Policy Dialogue and National Seminars</v>
      </c>
      <c r="D16" s="11" t="str">
        <v>Number of people trained (capacity sharing for development)</v>
      </c>
      <c r="E16" s="11" t="str">
        <v>Country: Pakistan, Nepal, India, Nigeria, United States of America, Ethiopia, Sri Lanka, Canada</v>
      </c>
      <c r="F16" s="11">
        <v>8</v>
      </c>
      <c r="G16" s="11">
        <v>45000</v>
      </c>
      <c r="I16" s="11" t="str">
        <v>Budget and partner to be added Q1 2026</v>
      </c>
    </row>
    <row r="17" ht="50" customHeight="1">
      <c r="A17" s="11" t="str">
        <v>AOW04</v>
      </c>
      <c r="C17" s="11" t="str">
        <v>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v>
      </c>
      <c r="D17" s="11" t="str">
        <v xml:space="preserve"> Policy demand, consultations &amp; dialogues</v>
      </c>
      <c r="E17" s="11" t="str">
        <v>Country: Canada, Sri Lanka, Pakistan, United States of America</v>
      </c>
      <c r="F17" s="11">
        <v>3</v>
      </c>
      <c r="G17" s="11">
        <v>45417</v>
      </c>
      <c r="I17" s="11" t="str">
        <v>Costs are for contribution to the global water agenda events.</v>
      </c>
    </row>
    <row r="18" ht="50" customHeight="1">
      <c r="A18" s="11" t="str">
        <v>AOW04</v>
      </c>
      <c r="B18" s="11" t="str">
        <v>4.2. Policy response</v>
      </c>
      <c r="C18" s="11" t="str">
        <v xml:space="preserve">Scoping study for groundwater management and support to implementation of irrigation policy </v>
      </c>
      <c r="D18" s="11" t="str">
        <v xml:space="preserve"> Policy informed</v>
      </c>
      <c r="E18" s="11" t="str">
        <v>Country: Nepal</v>
      </c>
      <c r="F18" s="11">
        <v>2</v>
      </c>
      <c r="G18" s="11">
        <v>25000</v>
      </c>
      <c r="H18" s="11">
        <f>SUM(G18:G53)</f>
      </c>
      <c r="I18" s="11" t="str">
        <v>Department of Water Resources and Irrigation - $5,000 (All activities)</v>
      </c>
    </row>
    <row r="19" ht="50" customHeight="1">
      <c r="A19" s="11" t="str">
        <v>AOW04</v>
      </c>
      <c r="C19" s="11" t="str">
        <v xml:space="preserve">Scoping study for groundwater management and support to implementation of irrigation policy </v>
      </c>
      <c r="D19" s="11" t="str">
        <v xml:space="preserve"> Policy recommendation</v>
      </c>
      <c r="E19" s="11" t="str">
        <v>Country: Nepal</v>
      </c>
      <c r="F19" s="11">
        <v>4</v>
      </c>
      <c r="G19" s="11">
        <v>40000</v>
      </c>
      <c r="I19" s="11" t="str">
        <v>Department of Water Resources and Irrigation - $5,000 (All activities)</v>
      </c>
    </row>
    <row r="20" ht="50" customHeight="1" xml:space="preserve">
      <c r="A20" s="11" t="str">
        <v>AOW04</v>
      </c>
      <c r="C20" s="11" t="str">
        <v xml:space="preserve"> CGE-Water and Water Productivity Scenarios and Assessment: PPT slide deck and blog  presented to policy makers to inform their policies</v>
      </c>
      <c r="D20" s="11" t="str">
        <v xml:space="preserve"> Policy informed</v>
      </c>
      <c r="E20" s="11" t="str">
        <v>Country: Pakistan</v>
      </c>
      <c r="F20" s="11">
        <v>1</v>
      </c>
      <c r="G20" s="11">
        <v>22582</v>
      </c>
      <c r="I20" s="11" t="str" xml:space="preserve">
        <v xml:space="preserve">PIDE - $5,000 (All activities)
IRSA and PID - $4,000 (All activities)
PAD - $4,000 (All activities)
</v>
      </c>
    </row>
    <row r="21" ht="50" customHeight="1" xml:space="preserve">
      <c r="A21" s="11" t="str">
        <v>AOW04</v>
      </c>
      <c r="C21" s="11" t="str">
        <v xml:space="preserve"> CGE-Water and Water Productivity Scenarios and Assessment : Policy recommendations based on PPT slide deck and blog </v>
      </c>
      <c r="D21" s="11" t="str">
        <v xml:space="preserve"> Policy recommendation</v>
      </c>
      <c r="E21" s="11" t="str">
        <v>Country: Pakistan</v>
      </c>
      <c r="F21" s="11">
        <v>2</v>
      </c>
      <c r="G21" s="11">
        <v>22582</v>
      </c>
      <c r="I21" s="11" t="str" xml:space="preserve">
        <v xml:space="preserve">PIDE - $5,000 (All activities)
IRSA and PID - $4,000 (All activities)
PAD - $4,000 (All activities)
</v>
      </c>
    </row>
    <row r="22" ht="50" customHeight="1" xml:space="preserve">
      <c r="A22" s="11" t="str">
        <v>AOW04</v>
      </c>
      <c r="C22" s="11" t="str">
        <v xml:space="preserve">CGE-Water and Water Productivity Scenarios and Assessment </v>
      </c>
      <c r="D22" s="11" t="str">
        <v>Number of knowledge products</v>
      </c>
      <c r="E22" s="11" t="str">
        <v>Country: Pakistan</v>
      </c>
      <c r="F22" s="11">
        <v>1</v>
      </c>
      <c r="G22" s="11">
        <v>22582</v>
      </c>
      <c r="I22" s="11" t="str" xml:space="preserve">
        <v xml:space="preserve">PIDE - $5,000 (All activities)
IRSA and PID - $4,000 (All activities)
PAD - $4,000 (All activities)
</v>
      </c>
    </row>
    <row r="23" ht="50" customHeight="1" xml:space="preserve">
      <c r="A23" s="11" t="str">
        <v>AOW04</v>
      </c>
      <c r="C23" s="11" t="str">
        <v>Pywr Model development and operationalisation for better water allocation to inform policy.</v>
      </c>
      <c r="D23" s="11" t="str">
        <v xml:space="preserve"> Policy informed</v>
      </c>
      <c r="E23" s="11" t="str">
        <v>Country: Pakistan</v>
      </c>
      <c r="F23" s="11">
        <v>1</v>
      </c>
      <c r="G23" s="11">
        <v>22653</v>
      </c>
      <c r="I23" s="11" t="str" xml:space="preserve">
        <v xml:space="preserve">PIDE - $5,000 (All activities)
IRSA and PID - $4,000 (All activities)
PAD - $4,000 (All activities)
</v>
      </c>
    </row>
    <row r="24" ht="50" customHeight="1" xml:space="preserve">
      <c r="A24" s="11" t="str">
        <v>AOW04</v>
      </c>
      <c r="C24" s="11" t="str">
        <v>Policy recommendations on better water allocation  based on Pywr Model development and operationalisation for better water allocation</v>
      </c>
      <c r="D24" s="11" t="str">
        <v xml:space="preserve"> Policy recommendation</v>
      </c>
      <c r="E24" s="11" t="str">
        <v>Country: Pakistan</v>
      </c>
      <c r="F24" s="11">
        <v>2</v>
      </c>
      <c r="G24" s="11">
        <v>22653</v>
      </c>
      <c r="I24" s="11" t="str" xml:space="preserve">
        <v xml:space="preserve">PIDE - $5,000 (All activities)
IRSA and PID - $4,000 (All activities)
PAD - $4,000 (All activities)
</v>
      </c>
    </row>
    <row r="25" ht="50" customHeight="1" xml:space="preserve">
      <c r="A25" s="11" t="str">
        <v>AOW04</v>
      </c>
      <c r="C25" s="11" t="str">
        <v>Pywr Model development and operationalisation for better water allocation</v>
      </c>
      <c r="D25" s="11" t="str">
        <v>Number of knowledge products</v>
      </c>
      <c r="E25" s="11" t="str">
        <v>Country: Pakistan</v>
      </c>
      <c r="F25" s="11">
        <v>1</v>
      </c>
      <c r="G25" s="11">
        <v>22653</v>
      </c>
      <c r="I25" s="11" t="str" xml:space="preserve">
        <v xml:space="preserve">PIDE - $5,000 (All activities)
IRSA and PID - $4,000 (All activities)
PAD - $4,000 (All activities)
</v>
      </c>
    </row>
    <row r="26" ht="50" customHeight="1" xml:space="preserve">
      <c r="A26" s="11" t="str">
        <v>AOW04</v>
      </c>
      <c r="C26" s="11" t="str">
        <v>Operationalization of the Groundwater Management Information System (GMIS) for decision making by the Water Resources Regulatory Authority (WRRA) to support the implementation of the KP Water Act</v>
      </c>
      <c r="D26" s="11" t="str">
        <v xml:space="preserve"> Policy informed</v>
      </c>
      <c r="E26" s="11" t="str">
        <v>Country: Pakistan</v>
      </c>
      <c r="F26" s="11">
        <v>2</v>
      </c>
      <c r="G26" s="11">
        <v>37520</v>
      </c>
      <c r="I26" s="11" t="str" xml:space="preserve">
        <v xml:space="preserve">PIDE - $5,000 (All activities)
IRSA and PID - $4,000 (All activities)
PAD - $4,000 (All activities)
</v>
      </c>
    </row>
    <row r="27" ht="50" customHeight="1" xml:space="preserve">
      <c r="A27" s="11" t="str">
        <v>AOW04</v>
      </c>
      <c r="C27" s="11" t="str">
        <v>Operationalization of the Groundwater Management Information System (GMIS) for decision making by the Water Resources Regulatory Authority (WRRA) to support the implementation of the KP Water Act</v>
      </c>
      <c r="D27" s="11" t="str">
        <v xml:space="preserve"> Policy recommendation</v>
      </c>
      <c r="E27" s="11" t="str">
        <v>Country: Pakistan</v>
      </c>
      <c r="F27" s="11">
        <v>3</v>
      </c>
      <c r="G27" s="11">
        <v>37520</v>
      </c>
      <c r="I27" s="11" t="str" xml:space="preserve">
        <v xml:space="preserve">PIDE - $5,000 (All activities)
IRSA and PID - $4,000 (All activities)
PAD - $4,000 (All activities)
</v>
      </c>
    </row>
    <row r="28" ht="50" customHeight="1">
      <c r="A28" s="11" t="str">
        <v>AOW04</v>
      </c>
      <c r="C28" s="11" t="str">
        <v>Atlas of System Level Water Productivity (crop, livestock and fisheries) has informed policy makers to make decisions on water productivity investments</v>
      </c>
      <c r="D28" s="11" t="str">
        <v xml:space="preserve"> Policies informed</v>
      </c>
      <c r="E28" s="11" t="str">
        <v>Country: India</v>
      </c>
      <c r="F28" s="11">
        <v>1</v>
      </c>
      <c r="G28" s="11">
        <v>25501</v>
      </c>
      <c r="I28" s="11" t="str">
        <v>ICAR - $15,000 (All activities)</v>
      </c>
    </row>
    <row r="29" ht="50" customHeight="1">
      <c r="A29" s="11" t="str">
        <v>AOW04</v>
      </c>
      <c r="C29" s="11" t="str">
        <v>Atlas of System Level Water Productivity (crop, livestock and fisheries): Policy recommendations developed for enhancing system level water productivity</v>
      </c>
      <c r="D29" s="11" t="str">
        <v xml:space="preserve"> Policy recommendation</v>
      </c>
      <c r="E29" s="11" t="str">
        <v>Country: India</v>
      </c>
      <c r="F29" s="11">
        <v>2</v>
      </c>
      <c r="G29" s="11">
        <v>25501</v>
      </c>
      <c r="I29" s="11" t="str">
        <v>ICAR - $15,000 (All activities)</v>
      </c>
    </row>
    <row r="30" ht="50" customHeight="1">
      <c r="A30" s="11" t="str">
        <v>AOW04</v>
      </c>
      <c r="C30" s="11" t="str">
        <v xml:space="preserve">Water recharge investment assessment and guidance India: Policymakers informed based on recommendations. </v>
      </c>
      <c r="D30" s="11" t="str">
        <v xml:space="preserve"> Policy informed</v>
      </c>
      <c r="E30" s="11" t="str">
        <v>Country: India</v>
      </c>
      <c r="F30" s="11">
        <v>1</v>
      </c>
      <c r="G30" s="11">
        <v>33768</v>
      </c>
      <c r="I30" s="11" t="str">
        <v>ICAR - $15,000 (All activities)</v>
      </c>
    </row>
    <row r="31" ht="50" customHeight="1">
      <c r="A31" s="11" t="str">
        <v>AOW04</v>
      </c>
      <c r="C31" s="11" t="str">
        <v>Integrated Hydrological model for assessing Tradeoff and synergy of WEFE policies in Ganges basin and Technical Report identifying groundwater hotspots and impact of various rice policies on future groundwater storage</v>
      </c>
      <c r="D31" s="11" t="str">
        <v xml:space="preserve"> Policy informed</v>
      </c>
      <c r="E31" s="11" t="str">
        <v>Country: India</v>
      </c>
      <c r="F31" s="11">
        <v>1</v>
      </c>
      <c r="G31" s="11">
        <v>42397</v>
      </c>
      <c r="I31" s="11" t="str">
        <v>ICAR - $15,000 (All activities)</v>
      </c>
    </row>
    <row r="32" ht="50" customHeight="1">
      <c r="A32" s="11" t="str">
        <v>AOW04</v>
      </c>
      <c r="C32" s="11" t="str">
        <v>Critical Capability - Tool- Estimation of Impact Indicator of Water Productivity in Agriculture</v>
      </c>
      <c r="D32" s="11" t="str">
        <v>Number of innovations (innovation development)</v>
      </c>
      <c r="E32" s="11" t="str">
        <v>Country: Nepal, Malawi, India, Ethiopia, Kenya, Pakistan, Nigeria</v>
      </c>
      <c r="F32" s="11">
        <v>1</v>
      </c>
      <c r="G32" s="11">
        <v>50487</v>
      </c>
      <c r="I32" s="11" t="str">
        <v>Budget and partner to be added Q1 2026</v>
      </c>
    </row>
    <row r="33" ht="50" customHeight="1">
      <c r="A33" s="11" t="str">
        <v>AOW04</v>
      </c>
      <c r="C33" s="11" t="str">
        <v>Critical Capability - Policy Engagement - Estimation of Impact Indicator of Water Productivity in Agriculture</v>
      </c>
      <c r="D33" s="11" t="str">
        <v>Number of knowledge products</v>
      </c>
      <c r="E33" s="11" t="str">
        <v>Country: Kenya, Pakistan, Malawi, Nigeria, Nepal, India, Ethiopia</v>
      </c>
      <c r="F33" s="11">
        <v>1</v>
      </c>
      <c r="G33" s="11">
        <v>189823</v>
      </c>
      <c r="I33" s="11" t="str">
        <v>Budget and partner to be added Q1 2026</v>
      </c>
    </row>
    <row r="34" ht="50" customHeight="1">
      <c r="A34" s="11" t="str">
        <v>AOW04</v>
      </c>
      <c r="C34" s="11" t="str">
        <v>Integrated Hydrological model for assessing Tradeoff and synergy of WEFE policies in Ganges basin and Technical Report identifying groundwater hotspots and impact of various rice policies on future groundwater storage</v>
      </c>
      <c r="D34" s="11" t="str">
        <v>Number of knowledge products</v>
      </c>
      <c r="E34" s="11" t="str">
        <v>Country: India</v>
      </c>
      <c r="F34" s="11">
        <v>1</v>
      </c>
      <c r="G34" s="11">
        <v>42397</v>
      </c>
      <c r="I34" s="11" t="str">
        <v>ICAR - $15,000 (All activities)</v>
      </c>
    </row>
    <row r="35" ht="50" customHeight="1">
      <c r="A35" s="11" t="str">
        <v>AOW04</v>
      </c>
      <c r="C35" s="11" t="str">
        <v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v>
      </c>
      <c r="D35" s="11" t="str">
        <v xml:space="preserve"> Policy recommendations developed</v>
      </c>
      <c r="E35" s="11" t="str">
        <v>Country: India</v>
      </c>
      <c r="F35" s="11">
        <v>4</v>
      </c>
      <c r="G35" s="11">
        <v>42397</v>
      </c>
      <c r="I35" s="11" t="str">
        <v>ICAR - $15,000 (All activities)</v>
      </c>
    </row>
    <row r="36" ht="50" customHeight="1">
      <c r="A36" s="11" t="str">
        <v>AOW04</v>
      </c>
      <c r="C36" s="11" t="str">
        <v>Water recharge investment assessment and guidance India</v>
      </c>
      <c r="D36" s="11" t="str">
        <v>Number of knowledge products</v>
      </c>
      <c r="E36" s="11" t="str">
        <v>Country: India</v>
      </c>
      <c r="F36" s="11">
        <v>1</v>
      </c>
      <c r="G36" s="11">
        <v>33768</v>
      </c>
      <c r="I36" s="11" t="str">
        <v>ICAR - $15,000 (All activities)</v>
      </c>
    </row>
    <row r="37" ht="50" customHeight="1">
      <c r="A37" s="11" t="str">
        <v>AOW04</v>
      </c>
      <c r="C37" s="11" t="str">
        <v xml:space="preserve">Water recharge investment assessment and guidance India: Policy recommendations developed </v>
      </c>
      <c r="D37" s="11" t="str">
        <v xml:space="preserve"> Policy recommendations developed</v>
      </c>
      <c r="E37" s="11" t="str">
        <v>Country: India</v>
      </c>
      <c r="F37" s="11">
        <v>2</v>
      </c>
      <c r="G37" s="11">
        <v>33768</v>
      </c>
      <c r="I37" s="11" t="str">
        <v>ICAR - $15,000 (All activities)</v>
      </c>
    </row>
    <row r="38" ht="50" customHeight="1">
      <c r="A38" s="11" t="str">
        <v>AOW04</v>
      </c>
      <c r="C38" s="11" t="str">
        <v>Atlas of System Level Water Productivity (crop, livestock and fisheries)</v>
      </c>
      <c r="D38" s="11" t="str">
        <v>Number of innovations (innovation development)</v>
      </c>
      <c r="E38" s="11" t="str">
        <v>Country: India</v>
      </c>
      <c r="F38" s="11">
        <v>1</v>
      </c>
      <c r="G38" s="11">
        <v>25501</v>
      </c>
      <c r="I38" s="11" t="str">
        <v>ICAR - $15,000 (All activities)</v>
      </c>
    </row>
    <row r="39" ht="50" customHeight="1">
      <c r="A39" s="11" t="str">
        <v>AOW04</v>
      </c>
      <c r="C39" s="11" t="str">
        <v>Atlas of System Level Water Productivity (crop, livestock and fisheries): Policy recommendation report developed for enhancing system level water productivity</v>
      </c>
      <c r="D39" s="11" t="str">
        <v>Number of knowledge products</v>
      </c>
      <c r="E39" s="11" t="str">
        <v>Country: India</v>
      </c>
      <c r="F39" s="11">
        <v>1</v>
      </c>
      <c r="G39" s="11">
        <v>25501</v>
      </c>
      <c r="I39" s="11" t="str">
        <v>ICAR - $15,000 (All activities)</v>
      </c>
    </row>
    <row r="40" ht="50" customHeight="1" xml:space="preserve">
      <c r="A40" s="11" t="str">
        <v>AOW04</v>
      </c>
      <c r="C40" s="11" t="str">
        <v>Policy and management guidelines for conjunctive use of surface and groundwater across WEFE Nexus, based on groundwater comprehensive assessment in the Central Rift Valley sub-Basin area and engagement with the government</v>
      </c>
      <c r="D40" s="11" t="str">
        <v>Number of knowledge products</v>
      </c>
      <c r="E40" s="11" t="str">
        <v>Country: Ethiopia</v>
      </c>
      <c r="F40" s="11">
        <v>1</v>
      </c>
      <c r="G40" s="11">
        <v>37822</v>
      </c>
      <c r="I40" s="11" t="str" xml:space="preserve">
        <v xml:space="preserve">Ministry of Irrigation and Lowlands, Ethiopia - $7,500 (All activities)
Ministry of Agriculture, Ethiopia - $7,500 (All activities)</v>
      </c>
    </row>
    <row r="41" ht="50" customHeight="1" xml:space="preserve">
      <c r="A41" s="11" t="str">
        <v>AOW04</v>
      </c>
      <c r="C41" s="11" t="str">
        <v>Policy and management guidelines for conjunctive use of surface and grounwater across WEFE Nexus, based on groundwater comprehensive assessment in the Central Rift Valley sub-Basin area and engagement with the government_</v>
      </c>
      <c r="D41" s="11" t="str">
        <v>Number of knowledge products</v>
      </c>
      <c r="E41" s="11" t="str">
        <v>Country: Ethiopia</v>
      </c>
      <c r="F41" s="11">
        <v>1</v>
      </c>
      <c r="G41" s="11">
        <v>71457</v>
      </c>
      <c r="I41" s="11" t="str" xml:space="preserve">
        <v xml:space="preserve">Ministry of Irrigation and Lowlands, Ethiopia - $7,500 (All activities)
Ministry of Agriculture, Ethiopia - $7,500 (All activities)</v>
      </c>
    </row>
    <row r="42" ht="50" customHeight="1" xml:space="preserve">
      <c r="A42" s="11" t="str">
        <v>AOW04</v>
      </c>
      <c r="C42" s="11" t="str">
        <v>Policy and management guidelines for conjunctive use of surface and grounwater across WEFE Nexus, based on groundwater comprehensive assessment in the Central Rift Valley sub-Basin area and engagement with the government: Policy recommendations developed from technical reports</v>
      </c>
      <c r="D42" s="11" t="str">
        <v xml:space="preserve"> Policy recommendations</v>
      </c>
      <c r="E42" s="11" t="str">
        <v>Country: Ethiopia</v>
      </c>
      <c r="F42" s="11">
        <v>2</v>
      </c>
      <c r="G42" s="11">
        <v>64018</v>
      </c>
      <c r="I42" s="11" t="str" xml:space="preserve">
        <v xml:space="preserve">Ministry of Irrigation and Lowlands, Ethiopia - $7,500 (All activities)
Ministry of Agriculture, Ethiopia - $7,500 (All activities)</v>
      </c>
    </row>
    <row r="43" ht="50" customHeight="1">
      <c r="A43" s="11" t="str">
        <v>AOW04</v>
      </c>
      <c r="C43" s="11" t="str">
        <v>Scoping study for Irrigation water management and WEFE Nexus Operational Roadmap and Gender responsive business/finance models</v>
      </c>
      <c r="D43" s="11" t="str">
        <v>Number of knowledge products</v>
      </c>
      <c r="E43" s="11" t="str">
        <v>Country: Nigeria</v>
      </c>
      <c r="F43" s="11">
        <v>1</v>
      </c>
      <c r="G43" s="11">
        <v>60000</v>
      </c>
      <c r="I43" s="11" t="str">
        <v>Federal Ministry of Water Resources and Sanitation, Department of Irrigation and Drainage - $5,230 (All activities)</v>
      </c>
    </row>
    <row r="44" ht="50" customHeight="1">
      <c r="A44" s="11" t="str">
        <v>AOW04</v>
      </c>
      <c r="C44" s="11" t="str">
        <v>Scoping study for Irrigation water management and WEFE Nexus Operational Roadmap and Gender responsive business/finance models_</v>
      </c>
      <c r="D44" s="11" t="str">
        <v>Number of knowledge products</v>
      </c>
      <c r="E44" s="11" t="str">
        <v>Country: Nigeria</v>
      </c>
      <c r="F44" s="11">
        <v>1</v>
      </c>
      <c r="G44" s="11">
        <v>40000</v>
      </c>
      <c r="I44" s="11" t="str">
        <v>Federal Ministry of Water Resources and Sanitation, Department of Irrigation and Drainage - $5,230 (All activities)</v>
      </c>
    </row>
    <row r="45" ht="50" customHeight="1">
      <c r="A45" s="11" t="str">
        <v>AOW04</v>
      </c>
      <c r="C45" s="11" t="str">
        <v>Scoping study for Irrigation water management and WEFE Nexus Operational Roadmap and Gender responsive business/finance models</v>
      </c>
      <c r="D45" s="11" t="str">
        <v>Number of innovations (innovation development)</v>
      </c>
      <c r="E45" s="11" t="str">
        <v>Country: Nigeria</v>
      </c>
      <c r="F45" s="11">
        <v>1</v>
      </c>
      <c r="G45" s="11">
        <v>20000</v>
      </c>
      <c r="I45" s="11" t="str">
        <v>Federal Ministry of Water Resources and Sanitation, Department of Irrigation and Drainage - $5,230 (All activities)</v>
      </c>
    </row>
    <row r="46" ht="50" customHeight="1">
      <c r="A46" s="11" t="str">
        <v>AOW04</v>
      </c>
      <c r="C46" s="11" t="str">
        <v>Policy Workshop on Irrigation Potential and Gender responsive business/finance models</v>
      </c>
      <c r="D46" s="11" t="str">
        <v>Number of knowledge products</v>
      </c>
      <c r="E46" s="11" t="str">
        <v>Country: Kenya</v>
      </c>
      <c r="F46" s="11">
        <v>1</v>
      </c>
      <c r="G46" s="11">
        <v>20000</v>
      </c>
      <c r="I46" s="11" t="str">
        <v>Budget and partner to be added Q1 2026</v>
      </c>
    </row>
    <row r="47" ht="50" customHeight="1">
      <c r="A47" s="11" t="str">
        <v>AOW04</v>
      </c>
      <c r="C47" s="11" t="str">
        <v>Policy Workshop on Irrigation Potential and Gender responsive business/finance models</v>
      </c>
      <c r="D47" s="11" t="str">
        <v>Number of innovations (innovation development)</v>
      </c>
      <c r="E47" s="11" t="str">
        <v>Country: Kenya</v>
      </c>
      <c r="F47" s="11">
        <v>1</v>
      </c>
      <c r="G47" s="11">
        <v>7000</v>
      </c>
      <c r="I47" s="11" t="str">
        <v>Policy seminar-related costs</v>
      </c>
    </row>
    <row r="48" ht="50" customHeight="1" xml:space="preserve">
      <c r="A48" s="11" t="str">
        <v>AOW04</v>
      </c>
      <c r="C48" s="11" t="str">
        <v>Operationalization of the Groundwater Management Information System (GMIS) for decision making by the Water Resources Regulatory Authority (WRRA) to support the implementation of the KP Water Act</v>
      </c>
      <c r="D48" s="11" t="str">
        <v>Number of innovations (innovation development)</v>
      </c>
      <c r="E48" s="11" t="str">
        <v>Country: Pakistan</v>
      </c>
      <c r="F48" s="11">
        <v>1</v>
      </c>
      <c r="G48" s="11">
        <v>37520</v>
      </c>
      <c r="I48" s="11" t="str" xml:space="preserve">
        <v xml:space="preserve">PIDE - $5,000 (All activities)
IRSA and PID - $4,000 (All activities)
PAD - $4,000 (All activities)
</v>
      </c>
    </row>
    <row r="49" ht="50" customHeight="1" xml:space="preserve">
      <c r="A49" s="11" t="str">
        <v>AOW04</v>
      </c>
      <c r="C49" s="11" t="str">
        <v>Pywr Model development and operationalisation for better water allocation</v>
      </c>
      <c r="D49" s="11" t="str">
        <v>Number of innovations (innovation development)</v>
      </c>
      <c r="E49" s="11" t="str">
        <v>Country: Pakistan</v>
      </c>
      <c r="F49" s="11">
        <v>1</v>
      </c>
      <c r="G49" s="11">
        <v>22652</v>
      </c>
      <c r="I49" s="11" t="str" xml:space="preserve">
        <v xml:space="preserve">PIDE - $5,000 (All activities)
IRSA and PID - $4,000 (All activities)
PAD - $4,000 (All activities)
</v>
      </c>
    </row>
    <row r="50" ht="50" customHeight="1" xml:space="preserve">
      <c r="A50" s="11" t="str">
        <v>AOW04</v>
      </c>
      <c r="C50" s="11" t="str">
        <v>CGE-Water and Water Productivity Scenarios and Assessment</v>
      </c>
      <c r="D50" s="11" t="str">
        <v>Number of innovations (innovation development)</v>
      </c>
      <c r="E50" s="11" t="str">
        <v>Country: Pakistan</v>
      </c>
      <c r="F50" s="11">
        <v>1</v>
      </c>
      <c r="G50" s="11">
        <v>22582</v>
      </c>
      <c r="I50" s="11" t="str" xml:space="preserve">
        <v xml:space="preserve">PIDE - $5,000 (All activities)
IRSA and PID - $4,000 (All activities)
PAD - $4,000 (All activities)
</v>
      </c>
    </row>
    <row r="51" ht="50" customHeight="1">
      <c r="A51" s="11" t="str">
        <v>AOW04</v>
      </c>
      <c r="C51" s="11" t="str">
        <v xml:space="preserve">Scoping study for groundwater management and support to implementation of irrigation policy </v>
      </c>
      <c r="D51" s="11" t="str">
        <v>Number of knowledge products</v>
      </c>
      <c r="E51" s="11" t="str">
        <v>Country: Nepal</v>
      </c>
      <c r="F51" s="11">
        <v>1</v>
      </c>
      <c r="G51" s="11">
        <v>30125</v>
      </c>
      <c r="I51" s="11" t="str">
        <v>Department of Water Resources and Irrigation - $5,000 (All activities)</v>
      </c>
    </row>
    <row r="52" ht="50" customHeight="1">
      <c r="A52" s="11" t="str">
        <v>AOW04</v>
      </c>
      <c r="C52" s="11" t="str">
        <v xml:space="preserve">Scoping study for groundwater management and support to implementation of irrigation policy </v>
      </c>
      <c r="D52" s="11" t="str">
        <v xml:space="preserve"> Policy demand, consultations &amp; dialogues</v>
      </c>
      <c r="E52" s="11" t="str">
        <v>Country: Nepal</v>
      </c>
      <c r="F52" s="11">
        <v>1</v>
      </c>
      <c r="G52" s="11">
        <v>25000</v>
      </c>
      <c r="I52" s="11" t="str">
        <v>Department of Water Resources and Irrigation - $5,000 (All activities)</v>
      </c>
    </row>
    <row r="53" ht="50" customHeight="1" xml:space="preserve">
      <c r="A53" s="11" t="str">
        <v>AOW04</v>
      </c>
      <c r="C53" s="11" t="str">
        <v>Policy and management guidelines for conjunctive use of surface and grounwater across WEFE Nexus, based on groundwater comprehensive assessment in the Central Rift Valley sub-Basin area and engagement with the government</v>
      </c>
      <c r="D53" s="11" t="str">
        <v>Number of people trained (capacity sharing for development)</v>
      </c>
      <c r="E53" s="11" t="str">
        <v>Country: Ethiopia</v>
      </c>
      <c r="F53" s="11">
        <v>1</v>
      </c>
      <c r="G53" s="11">
        <v>45372</v>
      </c>
      <c r="I53" s="11" t="str" xml:space="preserve">
        <v xml:space="preserve">Ministry of Irrigation and Lowlands, Ethiopia - $7,500 (All activities)
Ministry of Agriculture, Ethiopia - $7,500 (All activities)</v>
      </c>
    </row>
    <row r="54" ht="50" customHeight="1" xml:space="preserve">
      <c r="A54" s="11" t="str">
        <v>AOW04</v>
      </c>
      <c r="B54" s="11" t="str">
        <v>4.3. Capacity sharing activities</v>
      </c>
      <c r="C54" s="11" t="str">
        <v>Hydro-economic assessment and WEFE Nexus score card</v>
      </c>
      <c r="D54" s="11" t="str">
        <v>Number of people trained (capacity sharing for development)</v>
      </c>
      <c r="E54" s="11" t="str">
        <v>Country: Pakistan</v>
      </c>
      <c r="F54" s="11">
        <v>2</v>
      </c>
      <c r="G54" s="11">
        <v>56376</v>
      </c>
      <c r="H54" s="11">
        <f>SUM(G54:G56)</f>
      </c>
      <c r="I54" s="11" t="str" xml:space="preserve">
        <v xml:space="preserve">PIDE - $5,000 (All activities)
IRSA and PID - $4,000 (All activities)
PAD - $4,000 (All activities)
</v>
      </c>
    </row>
    <row r="55" ht="50" customHeight="1" xml:space="preserve">
      <c r="A55" s="11" t="str">
        <v>AOW04</v>
      </c>
      <c r="C55" s="11" t="str">
        <v>Capacity Building of irrigation Department</v>
      </c>
      <c r="D55" s="11" t="str">
        <v>Number of people trained (capacity sharing for development)</v>
      </c>
      <c r="E55" s="11" t="str">
        <v>Country: Ethiopia</v>
      </c>
      <c r="F55" s="11">
        <v>2</v>
      </c>
      <c r="G55" s="11">
        <v>56376</v>
      </c>
      <c r="I55" s="11" t="str" xml:space="preserve">
        <v xml:space="preserve">Ministry of Irrigation and Lowlands, Ethiopia - $7,500 (All activities)
Ministry of Agriculture, Ethiopia - $7,500 (All activities)
</v>
      </c>
    </row>
    <row r="56" ht="50" customHeight="1">
      <c r="A56" s="11" t="str">
        <v>AOW04</v>
      </c>
      <c r="C56" s="11" t="str">
        <v>Capacity sharing activities in India on policy modelling</v>
      </c>
      <c r="D56" s="11" t="str">
        <v>Number of people trained (capacity sharing for development)</v>
      </c>
      <c r="E56" s="11" t="str">
        <v>Country: India</v>
      </c>
      <c r="F56" s="11">
        <v>3</v>
      </c>
      <c r="G56" s="11">
        <v>56377</v>
      </c>
      <c r="I56" s="11" t="str">
        <v>ICAR - $15,000 (All activities)</v>
      </c>
    </row>
    <row r="57" ht="25" customHeight="1">
      <c r="B57" s="15" t="str">
        <v>HLO budget subtotal</v>
      </c>
      <c r="H57" s="15">
        <f>SUM(H12:H56)</f>
      </c>
    </row>
  </sheetData>
  <mergeCells count="17">
    <mergeCell ref="A1:A2"/>
    <mergeCell ref="B1:B2"/>
    <mergeCell ref="C1:G1"/>
    <mergeCell ref="H1:H2"/>
    <mergeCell ref="I1:I2"/>
    <mergeCell ref="B3:B10"/>
    <mergeCell ref="H3:H10"/>
    <mergeCell ref="B11:G11"/>
    <mergeCell ref="A3:A11"/>
    <mergeCell ref="B12:B17"/>
    <mergeCell ref="H12:H17"/>
    <mergeCell ref="B18:B53"/>
    <mergeCell ref="H18:H53"/>
    <mergeCell ref="B54:B56"/>
    <mergeCell ref="H54:H56"/>
    <mergeCell ref="B57:G57"/>
    <mergeCell ref="A12:A57"/>
  </mergeCells>
  <ignoredErrors>
    <ignoredError numberStoredAsText="1" sqref="A1:I57"/>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W-D-0532-Water Tracker - Phase 2</v>
      </c>
      <c r="B2" s="19" t="str">
        <v>AOW04</v>
      </c>
      <c r="C2" s="18" t="str">
        <v>4.2. Policy response</v>
      </c>
      <c r="D2" s="19">
        <v>0</v>
      </c>
      <c r="E2" s="19" t="str">
        <f>=SUM(D2:D2)</f>
        <v>0</v>
      </c>
    </row>
    <row r="3" ht="30" customHeight="1">
      <c r="A3" s="18" t="str">
        <v>W-D-0467-EU - Balochistan WR Programme</v>
      </c>
      <c r="B3" s="19" t="str">
        <v>AOW04</v>
      </c>
      <c r="C3" s="18" t="str">
        <v>4.2. Policy response</v>
      </c>
      <c r="D3" s="19">
        <v>222030</v>
      </c>
      <c r="E3" s="19" t="str">
        <f>=SUM(D3:D3)</f>
        <v>0</v>
      </c>
      <c r="F3" s="19" t="str">
        <v>'</v>
      </c>
    </row>
    <row r="4" ht="30" customHeight="1" xml:space="preserve">
      <c r="A4" s="18" t="str">
        <v>W-D-0536 - Blue Peace Central Asia Initiative 2.0 (BPCA 2.0)</v>
      </c>
      <c r="B4" s="19" t="str">
        <v>AOW04</v>
      </c>
      <c r="C4" s="18" t="str">
        <v>4.2. Policy response</v>
      </c>
      <c r="D4" s="19">
        <v>1324263</v>
      </c>
      <c r="E4" s="19" t="str">
        <f>=SUM(D4:D4)</f>
        <v>0</v>
      </c>
      <c r="F4" s="19" t="str" xml:space="preserve">
        <v xml:space="preserve">2026 Budget for this Program
</v>
      </c>
    </row>
    <row r="5" ht="30" customHeight="1">
      <c r="A5" s="18" t="str">
        <v>W-D-0424-WRAP C1</v>
      </c>
      <c r="B5" s="19" t="str">
        <v>AOW04</v>
      </c>
      <c r="C5" s="18" t="str">
        <v>4.1. Agenda Setting</v>
      </c>
      <c r="D5" s="19">
        <v>343260</v>
      </c>
      <c r="E5" s="19" t="str">
        <f>=SUM(D5:D5)</f>
        <v>0</v>
      </c>
      <c r="F5" s="19" t="str">
        <v>'</v>
      </c>
    </row>
    <row r="6" ht="30" customHeight="1">
      <c r="A6" s="3" t="str">
        <v>W3/Bilateral projects subtotal</v>
      </c>
      <c r="E6" s="3">
        <f>SUM(E2:E5)</f>
      </c>
    </row>
  </sheetData>
  <mergeCells count="1">
    <mergeCell ref="A6:D6"/>
  </mergeCells>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20" t="str">
        <v>Collaborators non-CGIAR centers</v>
      </c>
      <c r="B2" s="20">
        <v>0</v>
      </c>
      <c r="C2" s="20">
        <v>0</v>
      </c>
      <c r="D2" s="20">
        <v>0</v>
      </c>
      <c r="E2" s="20">
        <v>27955</v>
      </c>
      <c r="F2" s="20">
        <v>77745</v>
      </c>
      <c r="G2" s="20">
        <v>0</v>
      </c>
      <c r="H2" s="20">
        <v>0</v>
      </c>
      <c r="I2" s="20" t="str">
        <f>=SUM(B2:H2)</f>
        <v>0</v>
      </c>
    </row>
    <row r="3" ht="20" customHeight="1">
      <c r="A3" s="20" t="str">
        <v>Operations (supplies, consultants, travels, workshops, other)</v>
      </c>
      <c r="B3" s="20">
        <v>0</v>
      </c>
      <c r="C3" s="20">
        <v>0</v>
      </c>
      <c r="D3" s="20">
        <v>0</v>
      </c>
      <c r="E3" s="20">
        <v>59585</v>
      </c>
      <c r="F3" s="20">
        <v>376962</v>
      </c>
      <c r="G3" s="20">
        <v>0</v>
      </c>
      <c r="H3" s="20">
        <v>0</v>
      </c>
      <c r="I3" s="20" t="str">
        <f>=SUM(B3:H3)</f>
        <v>0</v>
      </c>
    </row>
    <row r="4" ht="20" customHeight="1">
      <c r="A4" s="20" t="str">
        <v>Staffing, Chargebacks and Indirect</v>
      </c>
      <c r="B4" s="20">
        <v>0</v>
      </c>
      <c r="C4" s="20">
        <v>0</v>
      </c>
      <c r="D4" s="20">
        <v>0</v>
      </c>
      <c r="E4" s="20">
        <v>271292</v>
      </c>
      <c r="F4" s="20">
        <v>1352231</v>
      </c>
      <c r="G4" s="20">
        <v>0</v>
      </c>
      <c r="H4" s="20">
        <v>0</v>
      </c>
      <c r="I4" s="20" t="str">
        <f>=SUM(B4:H4)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c r="I5" s="23"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