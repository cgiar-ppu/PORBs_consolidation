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1</v>
      </c>
      <c r="E5" s="5">
        <v>74485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74485</v>
      </c>
      <c r="M5" s="5">
        <v>0</v>
      </c>
    </row>
    <row r="6" ht="20" customHeight="1">
      <c r="A6" s="2" t="str">
        <v>AOW02: Accelerated Breeding</v>
      </c>
      <c r="B6" s="2">
        <v>5</v>
      </c>
      <c r="C6" s="5">
        <v>788113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788113</v>
      </c>
      <c r="M6" s="5">
        <v>0</v>
      </c>
    </row>
    <row r="7" ht="20" customHeight="1">
      <c r="A7" s="2" t="str">
        <v>AOW03: Inclusive Delivery</v>
      </c>
      <c r="B7" s="2">
        <v>0</v>
      </c>
      <c r="C7" s="5">
        <v>0</v>
      </c>
      <c r="D7" s="2">
        <v>3</v>
      </c>
      <c r="E7" s="5">
        <v>144849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144849</v>
      </c>
      <c r="M7" s="5">
        <v>1234407</v>
      </c>
    </row>
    <row r="8" ht="20" customHeight="1">
      <c r="A8" s="2" t="str">
        <v>AOW04: Breeding Resources</v>
      </c>
      <c r="B8" s="2">
        <v>1</v>
      </c>
      <c r="C8" s="5">
        <v>22638.75</v>
      </c>
      <c r="D8" s="2">
        <v>0</v>
      </c>
      <c r="E8" s="5">
        <v>0</v>
      </c>
      <c r="F8" s="2">
        <v>80</v>
      </c>
      <c r="G8" s="5">
        <v>162998.75</v>
      </c>
      <c r="H8" s="2">
        <v>3</v>
      </c>
      <c r="I8" s="5">
        <v>67916.25</v>
      </c>
      <c r="J8" s="5">
        <v>0</v>
      </c>
      <c r="K8" s="5">
        <v>0</v>
      </c>
      <c r="L8" s="5">
        <v>253554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352666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0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0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0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0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0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0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0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HLO3.AOW1.IO1 Design concepts</v>
      </c>
      <c r="C3" s="11" t="str">
        <v>New product concepts are designed for demand-led and foresight opportunities, that can be used by breeders to meet the Product Design Standard. ---- CIP - CROP AGNOSTIC - (Evidence-based targeting of producer and consumer segments ---------- Number of reports documenting the development, implementation and periodic assessment of the Product Design Standard</v>
      </c>
      <c r="D3" s="11" t="str">
        <v>Number of knowledge products</v>
      </c>
      <c r="E3" s="11" t="str">
        <v>Global</v>
      </c>
      <c r="F3" s="11">
        <v>1</v>
      </c>
      <c r="G3" s="11">
        <v>74485</v>
      </c>
      <c r="H3" s="11">
        <f>SUM(G3:G3)</f>
      </c>
      <c r="I3" s="11" t="str" xml:space="preserve">
        <v xml:space="preserve">POD ID: CIP_B4T_13.
Foresight and analysis of potential impact of potato purple top across market segments.
Responsible contact is Vivian Polar.
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AOW02</v>
      </c>
      <c r="B5" s="11" t="str">
        <v>HLO8.AOW2.IO2 Discover genetic potential</v>
      </c>
      <c r="C5" s="11" t="str">
        <v>Discovery and development of foundational genetic resources such as traits, high-value haplotypes and elite lines that can deliver on targeted product profiles ---- CIP POTATO - Characterization of advanced potato germplasm for iron content completed...---- Average stage of trait discovery and deployment efforts across the portfolio</v>
      </c>
      <c r="D5" s="11" t="str">
        <v>Number of innovations (innovation development)</v>
      </c>
      <c r="E5" s="11" t="str">
        <v>Country: India, Peru</v>
      </c>
      <c r="F5" s="11">
        <v>3</v>
      </c>
      <c r="G5" s="11">
        <v>368177</v>
      </c>
      <c r="H5" s="11">
        <f>SUM(G5:G5)</f>
      </c>
      <c r="I5" s="11" t="str" xml:space="preserve">
        <v xml:space="preserve">POD ID: CIP_B4T_01. High Iron potato for South Asia. Responsible person is Moctar Kante.
Partnering with James Hutton Institute in Peru; Flow through TBD</v>
      </c>
    </row>
    <row r="6" ht="50" customHeight="1" xml:space="preserve">
      <c r="A6" s="11" t="str">
        <v>AOW02</v>
      </c>
      <c r="B6" s="11" t="str">
        <v>HLO9.AOW2.IO2 Create products</v>
      </c>
      <c r="C6" s="11" t="str" xml:space="preserve">
        <v xml:space="preserve">Breeding networks collaborate on the development of targeted products.---- CIP--- Sweet potatoe -- (New recurrent selection cycle initiated for the OFSP population in Uganda using an optimized breeding scheme) ---- Number of varieties released to partners
</v>
      </c>
      <c r="D6" s="11" t="str">
        <v>Number of innovations (innovation development)</v>
      </c>
      <c r="E6" s="11" t="str">
        <v>Country: Uganda</v>
      </c>
      <c r="F6" s="11">
        <v>1</v>
      </c>
      <c r="G6" s="11">
        <v>223412</v>
      </c>
      <c r="H6" s="11">
        <f>SUM(G6:G7)</f>
      </c>
      <c r="I6" s="11" t="str" xml:space="preserve">
        <v xml:space="preserve">POD ID: CIP_B4T_02. 
Sweetpotato in Uganda. 
Responsible contact is Reuben Ssali.
Partner: in Ethiopia, Ethiopian Institute of Agricultural Research; in Uganda National Crops Resources Research Institute --- flow through to be determined. </v>
      </c>
    </row>
    <row r="7" ht="50" customHeight="1" xml:space="preserve">
      <c r="A7" s="11" t="str">
        <v>AOW02</v>
      </c>
      <c r="C7" s="11" t="str" xml:space="preserve">
        <v xml:space="preserve">Breeding networks collaborate on the development of targeted products.---- CIP--- Potato -- (Late-stage multi-location testing of best-bet tetraploid potato clones conducted with regional network partners to assess yield stability, disease resistance, and market traits, identifying top-performing candidates for national performance trials and variety release.) ---- Number of varieties released to partners	
</v>
      </c>
      <c r="D7" s="11" t="str">
        <v>Number of innovations (innovation development)</v>
      </c>
      <c r="E7" s="11" t="str">
        <v>Country: Kenya</v>
      </c>
      <c r="F7" s="11">
        <v>1</v>
      </c>
      <c r="G7" s="11">
        <v>196524</v>
      </c>
      <c r="I7" s="11" t="str" xml:space="preserve">
        <v xml:space="preserve">POD ID: CIP_B4T_04.
Tetraploid potato in Kenya.
Responsible contact is Thiago Mendes.
Partner : working with Centre de coopération internationale en recherche agronomique pour le développement in Uganda; Kenya Agricultural and Livestock Research Organization in Kenya - flow through TBD</v>
      </c>
    </row>
    <row r="8" ht="25" customHeight="1">
      <c r="B8" s="15" t="str">
        <v>HLO budget subtotal</v>
      </c>
      <c r="H8" s="15">
        <f>SUM(H5:H7)</f>
      </c>
    </row>
    <row r="9" ht="50" customHeight="1" xml:space="preserve">
      <c r="A9" s="13" t="str">
        <v>AOW03</v>
      </c>
      <c r="B9" s="11" t="str">
        <v>HLO13.AOW3.IO5 Power seed scaling</v>
      </c>
      <c r="C9" s="11" t="str" xml:space="preserve">
        <v xml:space="preserve">Technologies, strategies and regulatory solutions to encourage scaling partners to accelerate delivery of new varieties to smallholders. ----CIP - Potato, sweetpotato, cassava - (Operationalization of the Kenya Seeds and Plant Varieties (Vegetatively Propagating Crops) Regulations. Focus on materials that respond to market segments prioritized by breeders.) ---------- Number of technologies, strategies, or regulatory solutions developed to encourage scaling partners to accelerate equity in the delivery of new varieties and quality seed to smallholders
</v>
      </c>
      <c r="D9" s="11" t="str">
        <v>Number of knowledge products</v>
      </c>
      <c r="E9" s="11" t="str">
        <v>Country: Kenya</v>
      </c>
      <c r="F9" s="11">
        <v>1</v>
      </c>
      <c r="G9" s="11">
        <v>48283</v>
      </c>
      <c r="H9" s="11">
        <f>SUM(G9:G11)</f>
      </c>
      <c r="I9" s="11" t="str" xml:space="preserve">
        <v xml:space="preserve">POD ID: CIP_IITA_IFPRI_B4T_01
Operationalization of the Kenya Seeds and Plant Varieties (Vegetatively Propagating Crops) Regulations. Focus on materials that respond to market segments prioritized by breeders.
Kwame Ogero/Jorge Andrade
Partner: Kenya Plant Health Inspectorate Services in Kenya, flow through TBD.</v>
      </c>
    </row>
    <row r="10" ht="50" customHeight="1" xml:space="preserve">
      <c r="A10" s="11" t="str">
        <v>AOW03</v>
      </c>
      <c r="C10" s="11" t="str">
        <v xml:space="preserve">Technologies, strategies and regulatory solutions to encourage scaling partners to accelerate delivery of new varieties to smallholders. ----CIP - Potato, sweetpotato, cassava, Yam, taro, Banana and other root and tuber crops - (A report on the number of researchers and scientist of National Agricultural Institues trained on the cleaning, diagnotics and rapid multiplication of genetic materials for invitro preservation) ---------- Number of technologies, strategies, or regulatory solutions developed to encourage scaling partners to accelerate equity in the delivery of new varieties and quality seed to smallholders	</v>
      </c>
      <c r="D10" s="11" t="str">
        <v>Number of knowledge products</v>
      </c>
      <c r="E10" s="11" t="str">
        <v>Country: Kenya</v>
      </c>
      <c r="F10" s="11">
        <v>1</v>
      </c>
      <c r="G10" s="11">
        <v>48283</v>
      </c>
      <c r="I10" s="11" t="str" xml:space="preserve">
        <v xml:space="preserve">POD ID: CIP_IITA_IFPRI_B4T_01. Kwame Ogero/Jorg Andrade
A report on the number of researchers and scientist of National Agricultural Institutes trained on the cleaning, diagnotics and rapid multiplication of genetic materials for invitro preservation
Partner: Kenya Plant Health Inspectorate Services in Kenya, flow through TBD.</v>
      </c>
    </row>
    <row r="11" ht="50" customHeight="1" xml:space="preserve">
      <c r="A11" s="11" t="str">
        <v>AOW03</v>
      </c>
      <c r="C11" s="11" t="str">
        <v xml:space="preserve">Technologies, strategies and regulatory solutions to encourage scaling partners to accelerate delivery of new varieties to smallholders. ---- CIP - Potato, sweetpotato, cassava, Yam, taro, Banana and other root and tuber crops (A report on the number of VPCs germplasm maintained at RTB Eagle facility and shared across Africa and beyond.)---- Number of technologies, strategies, or regulatory solutions developed to encourage scaling partners to accelerate equity in the delivery of new varieties and quality seed to smallholders	</v>
      </c>
      <c r="D11" s="11" t="str">
        <v>Number of knowledge products</v>
      </c>
      <c r="E11" s="11" t="str">
        <v>Country: Kenya</v>
      </c>
      <c r="F11" s="11">
        <v>1</v>
      </c>
      <c r="G11" s="11">
        <v>48283</v>
      </c>
      <c r="I11" s="11" t="str" xml:space="preserve">
        <v xml:space="preserve">POD ID: CIP_IITA_IFPRI_B4T_01
Responsible: Kwame Ogero/Jorge Andrade. A report on the number of VPCs germplasm maintained at RTB Eagle facility and shared across Africa and beyond. Focus on materials that respond to market segments prioritized by breeders
Partner: Kenya Plant Health Inspectorate Services in Kenya, flow through TBD.</v>
      </c>
    </row>
    <row r="12" ht="25" customHeight="1">
      <c r="B12" s="15" t="str">
        <v>HLO budget subtotal</v>
      </c>
      <c r="H12" s="15">
        <f>SUM(H9:H11)</f>
      </c>
    </row>
    <row r="13" ht="50" customHeight="1" xml:space="preserve">
      <c r="A13" s="13" t="str">
        <v>AOW04</v>
      </c>
      <c r="B13" s="11" t="str">
        <v>HLO15.AOW4.IO2 Hub &amp; spoke scaling</v>
      </c>
      <c r="C13" s="11" t="str" xml:space="preserve">
        <v xml:space="preserve">Interoperable tools and services are scaled to match the varied capacities of partners across the breeding network. High-capacity partners are supported to act as central hubs, providing in breeding network support to less resourced partners. ----- CIP - POTATO; SWEET POTATO (Support the integration of on-farm trialing (OFT) in the CIP-NARES breeding networks by providing sparse designs and performing dedicated OFT data analysis to enable the decision making processes taking place in national and regional PAMs) --------------Number of High-capacity partners acting as central hub, providing breeding network support services to less resourced partners	
</v>
      </c>
      <c r="D13" s="11" t="str">
        <v xml:space="preserve"> Number of High-capacity partners acting as central hub, providing breeding network support services to less resourced partners</v>
      </c>
      <c r="E13" s="11" t="str">
        <v>Country: Peru</v>
      </c>
      <c r="F13" s="11">
        <v>1</v>
      </c>
      <c r="G13" s="11">
        <v>22638.75</v>
      </c>
      <c r="H13" s="11">
        <f>SUM(G13:G14)</f>
      </c>
      <c r="I13" s="11" t="str" xml:space="preserve">
        <v xml:space="preserve">POD CIP_CIMMYT_ABC_B4T_02
Bert DeBoeck</v>
      </c>
    </row>
    <row r="14" ht="50" customHeight="1" xml:space="preserve">
      <c r="A14" s="11" t="str">
        <v>AOW04</v>
      </c>
      <c r="C14" s="11" t="str" xml:space="preserve">
        <v xml:space="preserve">Interoperable tools and services are scaled to match the varied capacities of partners across the breeding network. High-capacity partners are supported to act as central hubs, providing in breeding network support to less resourced partners. ----- CIP  - POTATO; SWEET POTATO (Support on EBS and digitalization  of data collection provided to CIP's global breeding programs) ---- Number of High-capacity partners acting as central hub, providing breeding network support services to less resourced partners
</v>
      </c>
      <c r="D14" s="11" t="str">
        <v xml:space="preserve"> Number of High-capacity partners acting as central hub, providing breeding network support services to less resourced partners</v>
      </c>
      <c r="E14" s="11" t="str">
        <v>Country: Kenya, Peru</v>
      </c>
      <c r="F14" s="11">
        <v>1</v>
      </c>
      <c r="G14" s="11">
        <v>22638.75</v>
      </c>
      <c r="I14" s="11" t="str" xml:space="preserve">
        <v xml:space="preserve">POD CIP_CIMMYT_ABC_B4T_02
Bert DeBoeck
Partnering with Ethiopian Institute of Agricultural Research in Ethiopia. Flow through TBD</v>
      </c>
    </row>
    <row r="15" ht="50" customHeight="1" xml:space="preserve">
      <c r="A15" s="11" t="str">
        <v>AOW04</v>
      </c>
      <c r="B15" s="11" t="str">
        <v>HLO16.AOW4.IO3 Shared services</v>
      </c>
      <c r="C15" s="11" t="str" xml:space="preserve">
        <v xml:space="preserve">A portfolio of connected tools and services that collectively meet current and emerging needs for modernized breeding is made available to breeding networks ---- CIP (POTATO; SWEET POTATO) - EBS trainings provided to CIP's breeding program in Peru (in-person and online) - Number of people trained - 3.6 Number of individuals from research or scaling partner organizations who attended CGIAR trainings	
</v>
      </c>
      <c r="D15" s="11" t="str">
        <v>Number of people trained (capacity sharing for development)</v>
      </c>
      <c r="E15" s="11" t="str">
        <v>Country: Peru</v>
      </c>
      <c r="F15" s="11">
        <v>10</v>
      </c>
      <c r="G15" s="11">
        <v>4527.5</v>
      </c>
      <c r="H15" s="11">
        <f>SUM(G15:G20)</f>
      </c>
      <c r="I15" s="11" t="str" xml:space="preserve">
        <v xml:space="preserve">POD CIP_CIMMYT_ABC_B4T_02
Bert DeBoeck</v>
      </c>
    </row>
    <row r="16" ht="50" customHeight="1" xml:space="preserve">
      <c r="A16" s="11" t="str">
        <v>AOW04</v>
      </c>
      <c r="C16" s="11" t="str" xml:space="preserve">
        <v xml:space="preserve">A portfolio of connected tools and services that collectively meet current and emerging needs for modernized breeding is made available to breeding networks ---- CIP (POTATO; SWEET POTATO) (EBS trainings provided to CIP's breeding programs in SSA and SEA region (in-person and online)) --------------Number of people trained - 3.6 Number of individuals from research or scaling partner organizations who attended CGIAR trainings
</v>
      </c>
      <c r="D16" s="11" t="str">
        <v>Number of people trained (capacity sharing for development)</v>
      </c>
      <c r="E16" s="11" t="str">
        <v>Country: Kenya, Peru</v>
      </c>
      <c r="F16" s="11">
        <v>20</v>
      </c>
      <c r="G16" s="11">
        <v>45277.5</v>
      </c>
      <c r="I16" s="11" t="str" xml:space="preserve">
        <v xml:space="preserve">POD CIP_CIMMYT_ABC_B4T_02
Bert DeBoeck</v>
      </c>
    </row>
    <row r="17" ht="50" customHeight="1" xml:space="preserve">
      <c r="A17" s="11" t="str">
        <v>AOW04</v>
      </c>
      <c r="C17" s="11" t="str" xml:space="preserve">
        <v xml:space="preserve">	A portfolio of connected tools and services that collectively meet current and emerging needs for modernized breeding is made available to breeding networks ---- CIP- POTATO; SWEET POTATO (EBS testing specific for RTB crops and requirement reports to enable accelerated adoption of EBS by RTB crops) ---- Number of tools and services offered	
</v>
      </c>
      <c r="D17" s="11" t="str">
        <v>Number of innovations (innovation development)</v>
      </c>
      <c r="E17" s="11" t="str">
        <v>Country: Kenya, Peru</v>
      </c>
      <c r="F17" s="11">
        <v>1</v>
      </c>
      <c r="G17" s="11">
        <v>22638.75</v>
      </c>
      <c r="I17" s="11" t="str" xml:space="preserve">
        <v xml:space="preserve">POD CIP_CIMMYT_ABC_B4T_02
Bert DeBoeck</v>
      </c>
    </row>
    <row r="18" ht="50" customHeight="1" xml:space="preserve">
      <c r="A18" s="11" t="str">
        <v>AOW04</v>
      </c>
      <c r="C18" s="11" t="str" xml:space="preserve">
        <v xml:space="preserve">A portfolio of connected tools and services that collectively meet current and emerging needs for modernized breeding is made available to breeding networks ---- CIP -CROP AGNOSTIC (Bioflow regional training provided to CGIAR-NARES networks in LAC region in collaboration with CIMMYT and ABC) - Number of people trained - 3.6 Number of individuals from research or scaling partner organizations who attended CGIAR trainings
</v>
      </c>
      <c r="D18" s="11" t="str">
        <v>Number of people trained (capacity sharing for development)</v>
      </c>
      <c r="E18" s="11" t="str">
        <v>Country: Peru</v>
      </c>
      <c r="F18" s="11">
        <v>25</v>
      </c>
      <c r="G18" s="11">
        <v>45277.5</v>
      </c>
      <c r="I18" s="11" t="str" xml:space="preserve">
        <v xml:space="preserve">POD CIP_CIMMYT_ABC_B4T_02
Bert DeBoeck
Partnering with Corporación Colombiana de Investigación Agropecuaria in Colombia; National Institute of Agricultural Innovation / Instituto Nacional de Innovación Agraria in Peru ---  Flow through TBD</v>
      </c>
    </row>
    <row r="19" ht="50" customHeight="1" xml:space="preserve">
      <c r="A19" s="11" t="str">
        <v>AOW04</v>
      </c>
      <c r="C19" s="11" t="str" xml:space="preserve">
        <v xml:space="preserve">A portfolio of connected tools and services that collectively meet current and emerging needs for modernized breeding is made available to breeding networks ---- CIP - CROP AGNOSTIC - (bioflow training provided to CGIAR-NARES networks in SSA and SEA regions in collaboration with CIMMYT.) ------ Number of people trained - 3.6 Number of individuals from research or scaling partner organizations who attended CGIAR trainings
</v>
      </c>
      <c r="D19" s="11" t="str">
        <v>Number of people trained (capacity sharing for development)</v>
      </c>
      <c r="E19" s="11" t="str">
        <v>Country: Kenya, Peru</v>
      </c>
      <c r="F19" s="11">
        <v>25</v>
      </c>
      <c r="G19" s="11">
        <v>67916.25</v>
      </c>
      <c r="I19" s="11" t="str" xml:space="preserve">
        <v xml:space="preserve">POD CIP_CIMMYT_ABC_B4T_02
Bert DeBoeck
Partnering with (note, all slow through TBD):
-  Agricultural Research Institute - Tanzania in Tanzania
- Indian Council of Agricultural Research in India
- Instituto de Investigacao Agraria de Mozambique in Mozambique 
- Kenya Agricultural and Livestock Research Organization in Kenya
- National Agricultural Research Organisation (Uganda) in Uganda</v>
      </c>
    </row>
    <row r="20" ht="50" customHeight="1" xml:space="preserve">
      <c r="A20" s="11" t="str">
        <v>AOW04</v>
      </c>
      <c r="C20" s="11" t="str" xml:space="preserve">
        <v xml:space="preserve">A portfolio of connected tools and services that collectively meet current and emerging needs for modernized breeding is made available to breeding networks --------CIP - CROP AGNOSTIC - (Bioflow further improved to drive adoption through coordination between centers and contributions including testing, identifying requirements and development for improvement of the analytical pipelines)---- Number of tools and services used	
</v>
      </c>
      <c r="D20" s="11" t="str">
        <v xml:space="preserve"> Number of tools and services used	</v>
      </c>
      <c r="E20" s="11" t="str">
        <v>Country: Peru</v>
      </c>
      <c r="F20" s="11">
        <v>1</v>
      </c>
      <c r="G20" s="11">
        <v>22638.75</v>
      </c>
      <c r="I20" s="11" t="str" xml:space="preserve">
        <v xml:space="preserve">POD CIP_CIMMYT_ABC_B4T_02
Bert DeBoeck</v>
      </c>
    </row>
    <row r="21" ht="25" customHeight="1">
      <c r="B21" s="15" t="str">
        <v>HLO budget subtotal</v>
      </c>
      <c r="H21" s="15">
        <f>SUM(H13:H20)</f>
      </c>
    </row>
  </sheetData>
  <mergeCells count="21">
    <mergeCell ref="A1:A2"/>
    <mergeCell ref="B1:B2"/>
    <mergeCell ref="C1:G1"/>
    <mergeCell ref="H1:H2"/>
    <mergeCell ref="I1:I2"/>
    <mergeCell ref="B4:G4"/>
    <mergeCell ref="A3:A4"/>
    <mergeCell ref="B6:B7"/>
    <mergeCell ref="H6:H7"/>
    <mergeCell ref="B8:G8"/>
    <mergeCell ref="A5:A8"/>
    <mergeCell ref="B9:B11"/>
    <mergeCell ref="H9:H11"/>
    <mergeCell ref="B12:G12"/>
    <mergeCell ref="A9:A12"/>
    <mergeCell ref="B13:B14"/>
    <mergeCell ref="H13:H14"/>
    <mergeCell ref="B15:B20"/>
    <mergeCell ref="H15:H20"/>
    <mergeCell ref="B21:G21"/>
    <mergeCell ref="A13:A21"/>
  </mergeCells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P-1568-WBS0-Developing Local Seed Potato Production System i</v>
      </c>
      <c r="B2" s="19" t="str">
        <v>AOW00</v>
      </c>
      <c r="C2" s="18" t="str">
        <v xml:space="preserve">IOC5 Equitable access to improved varieties </v>
      </c>
      <c r="D2" s="19">
        <v>0</v>
      </c>
      <c r="E2" s="19" t="str">
        <f>=SUM(D2:D3)</f>
        <v>0</v>
      </c>
    </row>
    <row r="3" ht="30" customHeight="1">
      <c r="A3" s="18" t="str">
        <v>P-1568-WBS0-Developing Local Seed Potato Production System i</v>
      </c>
      <c r="B3" s="19" t="str">
        <v>AOW03</v>
      </c>
      <c r="C3" s="18" t="str">
        <v>HLO11.AOW3.IO4 Position for demand</v>
      </c>
      <c r="D3" s="19">
        <v>1234407</v>
      </c>
      <c r="F3" s="19" t="str">
        <v>2026</v>
      </c>
    </row>
    <row r="4" ht="30" customHeight="1">
      <c r="A4" s="18" t="str">
        <v>1523-BMGF  RTB Breeding Investment</v>
      </c>
      <c r="B4" s="19" t="str">
        <v>AOW00</v>
      </c>
      <c r="C4" s="18" t="str">
        <v>IOC3 Cost-effective product development by Breeding Networks.</v>
      </c>
      <c r="D4" s="19">
        <v>0</v>
      </c>
      <c r="E4" s="19" t="str">
        <f>=SUM(D4:D7)</f>
        <v>0</v>
      </c>
    </row>
    <row r="5" ht="30" customHeight="1">
      <c r="A5" s="18" t="str">
        <v>1523-BMGF  RTB Breeding Investment</v>
      </c>
      <c r="B5" s="19" t="str">
        <v>AOW05</v>
      </c>
      <c r="C5" s="18" t="str">
        <v>HLO18.AOW5.IO2 Partnered networks</v>
      </c>
      <c r="D5" s="19">
        <v>0</v>
      </c>
    </row>
    <row r="6" ht="30" customHeight="1">
      <c r="A6" s="18" t="str">
        <v>1523-BMGF  RTB Breeding Investment</v>
      </c>
      <c r="B6" s="19" t="str">
        <v>AOW02</v>
      </c>
      <c r="C6" s="18" t="str">
        <v>HLO7.AOW2.IO2 Accelerating genetic gain</v>
      </c>
      <c r="D6" s="19">
        <v>0</v>
      </c>
    </row>
    <row r="7" ht="30" customHeight="1">
      <c r="A7" s="18" t="str">
        <v>1523-BMGF  RTB Breeding Investment</v>
      </c>
      <c r="B7" s="19" t="str">
        <v>AOW04</v>
      </c>
      <c r="C7" s="18" t="str">
        <v>HLO16.AOW4.IO3 Shared services</v>
      </c>
      <c r="D7" s="19">
        <v>0</v>
      </c>
    </row>
    <row r="8" ht="30" customHeight="1">
      <c r="A8" s="18" t="str">
        <v>1078-CHI0   Supporting preparation work of CCCAP in China</v>
      </c>
      <c r="B8" s="19" t="str">
        <v>AOW05</v>
      </c>
      <c r="C8" s="18" t="str">
        <v>HLO18.AOW5.IO2 Partnered networks</v>
      </c>
      <c r="D8" s="19">
        <v>143137</v>
      </c>
      <c r="E8" s="19" t="str">
        <f>=SUM(D8:D9)</f>
        <v>0</v>
      </c>
      <c r="F8" s="19" t="str">
        <v>2026</v>
      </c>
    </row>
    <row r="9" ht="30" customHeight="1">
      <c r="A9" s="18" t="str">
        <v>1078-CHI0   Supporting preparation work of CCCAP in China</v>
      </c>
      <c r="B9" s="19" t="str">
        <v>AOW00</v>
      </c>
      <c r="C9" s="18" t="str">
        <v xml:space="preserve">IOC2 - Active collaboration to develop products </v>
      </c>
      <c r="D9" s="19">
        <v>0</v>
      </c>
    </row>
    <row r="10" ht="30" customHeight="1">
      <c r="A10" s="18" t="str">
        <v>P-1592-AATF-Rwanda Agricultural Biotechnology Program (Cassa</v>
      </c>
      <c r="B10" s="19" t="str">
        <v>AOW05</v>
      </c>
      <c r="C10" s="18" t="str">
        <v>HLO18.AOW5.IO2 Partnered networks</v>
      </c>
      <c r="D10" s="19">
        <v>209529</v>
      </c>
      <c r="E10" s="19" t="str">
        <f>=SUM(D10:D11)</f>
        <v>0</v>
      </c>
      <c r="F10" s="19" t="str">
        <v>2026</v>
      </c>
    </row>
    <row r="11" ht="30" customHeight="1">
      <c r="A11" s="18" t="str">
        <v>P-1592-AATF-Rwanda Agricultural Biotechnology Program (Cassa</v>
      </c>
      <c r="B11" s="19" t="str">
        <v>AOW00</v>
      </c>
      <c r="C11" s="18" t="str">
        <v xml:space="preserve">IOC2 - Active collaboration to develop products </v>
      </c>
      <c r="D11" s="19">
        <v>0</v>
      </c>
    </row>
    <row r="12" ht="30" customHeight="1">
      <c r="A12" s="3" t="str">
        <v>W3/Bilateral projects subtotal</v>
      </c>
      <c r="E12" s="3">
        <f>SUM(E2:E11)</f>
      </c>
    </row>
  </sheetData>
  <mergeCells count="9">
    <mergeCell ref="A2:A3"/>
    <mergeCell ref="A4:A7"/>
    <mergeCell ref="A8:A9"/>
    <mergeCell ref="A10:A11"/>
    <mergeCell ref="E2:E3"/>
    <mergeCell ref="E4:E7"/>
    <mergeCell ref="E8:E9"/>
    <mergeCell ref="E10:E11"/>
    <mergeCell ref="A12:D12"/>
  </mergeCells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70481</v>
      </c>
      <c r="E3" s="20">
        <v>0</v>
      </c>
      <c r="F3" s="20">
        <v>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74485</v>
      </c>
      <c r="D4" s="20">
        <v>717632</v>
      </c>
      <c r="E4" s="20">
        <v>144849</v>
      </c>
      <c r="F4" s="20">
        <v>253554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