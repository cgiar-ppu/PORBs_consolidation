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Solutions and Innovations: Agroecology, Nature-positive, Regenerative and Nutrition-sensitive </v>
      </c>
      <c r="B5" s="2">
        <v>0</v>
      </c>
      <c r="C5" s="5">
        <v>0</v>
      </c>
      <c r="D5" s="2">
        <v>0</v>
      </c>
      <c r="E5" s="5">
        <v>0</v>
      </c>
      <c r="F5" s="2">
        <v>100</v>
      </c>
      <c r="G5" s="5">
        <v>85200</v>
      </c>
      <c r="H5" s="2">
        <v>0</v>
      </c>
      <c r="I5" s="5">
        <v>0</v>
      </c>
      <c r="J5" s="5">
        <v>0</v>
      </c>
      <c r="K5" s="5">
        <v>0</v>
      </c>
      <c r="L5" s="5">
        <v>85200</v>
      </c>
      <c r="M5" s="5">
        <v>0</v>
      </c>
    </row>
    <row r="6" ht="20" customHeight="1">
      <c r="A6" s="2" t="str">
        <v>AOW02: Landscape Optimization and Inclusive Planning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Business Models, Markets, and Sustainable Finance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Governance, Institutions, Policy, and Inclusion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Performance Assessments &amp; Evidence Generation</v>
      </c>
      <c r="B9" s="2">
        <v>0</v>
      </c>
      <c r="C9" s="5">
        <v>0</v>
      </c>
      <c r="D9" s="2">
        <v>4</v>
      </c>
      <c r="E9" s="5">
        <v>134754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134754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Other PMU Operations</v>
      </c>
      <c r="C2" s="11" t="str">
        <v>Travel and other operations budget for all PMU roles.</v>
      </c>
      <c r="D2" s="11">
        <v>0</v>
      </c>
    </row>
    <row r="3" ht="45" customHeight="1" xml:space="preserve">
      <c r="A3" s="11" t="str">
        <v>AOW00</v>
      </c>
      <c r="B3" s="11" t="str">
        <v>Area of Work (AoW) Leaders</v>
      </c>
      <c r="C3" s="11" t="str" xml:space="preserve">
        <v xml:space="preserve">Fixed amount of USD 80,000 per AoW lead, for five AoW leads (one per AoW).
</v>
      </c>
      <c r="D3" s="11">
        <v>0</v>
      </c>
    </row>
    <row r="4" ht="45" customHeight="1">
      <c r="A4" s="11" t="str">
        <v>AOW00</v>
      </c>
      <c r="B4" s="11" t="str">
        <v>Global Engagement Activities</v>
      </c>
      <c r="C4" s="11" t="str">
        <v>Staff and operations for global engagement activities.</v>
      </c>
      <c r="D4" s="11">
        <v>0</v>
      </c>
    </row>
    <row r="5" ht="45" customHeight="1">
      <c r="A5" s="11" t="str">
        <v>AOW00</v>
      </c>
      <c r="B5" s="11" t="str">
        <v>PMU Team</v>
      </c>
      <c r="C5" s="11" t="str">
        <v xml:space="preserve">Position costs for Coordination Focal Point, MELIA Focal Point, Finance Focal Point and Communications Focal Point. 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  <row r="7" ht="45" customHeight="1">
      <c r="A7" s="11" t="str">
        <v>AOW00</v>
      </c>
      <c r="B7" s="11" t="str">
        <v>Program Director and Associated Costs</v>
      </c>
      <c r="C7" s="11" t="str">
        <v>Standard cost defined by System Office for Director, administrative support, meetings and workshops, travel, smaller consultancies, and miscellaneous operating costs.</v>
      </c>
      <c r="D7" s="11">
        <v>0</v>
      </c>
    </row>
    <row r="8" ht="45" customHeight="1">
      <c r="A8" s="11" t="str">
        <v>AOW00</v>
      </c>
      <c r="B8" s="11" t="str">
        <v>Program Director Discretionary Fund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OP 1.2.6. – Advisory &amp; training innovations</v>
      </c>
      <c r="C3" s="11" t="str" xml:space="preserve">
        <v xml:space="preserve">Deliverable - Capacity Building for Smart Valleys Implementation: Train and mentor lead farmers and extension agents to implement and scale the Smart Valleys approach for climate-resilient rice and water management across targeted countries
Indicator: Number of lead farmers and extension agents trained and certified for Smart valleys implementation</v>
      </c>
      <c r="D3" s="11" t="str">
        <v>Number of people trained (capacity sharing for development)</v>
      </c>
      <c r="E3" s="11" t="str">
        <v>Country: Côte d'Ivoire</v>
      </c>
      <c r="F3" s="11">
        <v>100</v>
      </c>
      <c r="G3" s="11">
        <v>85200</v>
      </c>
      <c r="H3" s="11">
        <f>SUM(G3:G3)</f>
      </c>
      <c r="I3" s="11" t="str">
        <v>.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AOW05</v>
      </c>
      <c r="B5" s="11" t="str">
        <v>OP 5.1.2 Landscape-specific assessment frameworks</v>
      </c>
      <c r="C5" s="11" t="str" xml:space="preserve">
        <v xml:space="preserve">Deliverable - Documented evidence of multifunctionality gains in developed inland valleys 
Indicator: Number of publications on evidence of multifunctionality gains in developed inland valleys</v>
      </c>
      <c r="D5" s="11" t="str">
        <v>Number of knowledge products</v>
      </c>
      <c r="E5" s="11" t="str">
        <v>Country: Madagascar, Senegal, Zimbabwe, Ethiopia, Côte d'Ivoire, Tanzania, United Republic</v>
      </c>
      <c r="F5" s="11">
        <v>2</v>
      </c>
      <c r="G5" s="11">
        <v>66750</v>
      </c>
      <c r="H5" s="11">
        <f>SUM(G5:G6)</f>
      </c>
      <c r="I5" s="11" t="str">
        <v>.</v>
      </c>
    </row>
    <row r="6" ht="50" customHeight="1" xml:space="preserve">
      <c r="A6" s="11" t="str">
        <v>AOW05</v>
      </c>
      <c r="C6" s="11" t="str" xml:space="preserve">
        <v xml:space="preserve">Deliverable - Documented evidence of the degree of agroecological integration in developed inland valleys 
Indicator: Number of publications on the degree of agroecological integration in developed inland valleys</v>
      </c>
      <c r="D6" s="11" t="str">
        <v>Number of knowledge products</v>
      </c>
      <c r="E6" s="11" t="str">
        <v>Country: Côte d'Ivoire, Senegal, Madagascar, Kenya, Ethiopia, Zimbabwe, Tanzania, United Republic</v>
      </c>
      <c r="F6" s="11">
        <v>2</v>
      </c>
      <c r="G6" s="11">
        <v>68004</v>
      </c>
      <c r="I6" s="11" t="str">
        <v>.</v>
      </c>
    </row>
    <row r="7" ht="25" customHeight="1">
      <c r="B7" s="15" t="str">
        <v>HLO budget subtotal</v>
      </c>
      <c r="H7" s="15">
        <f>SUM(H5:H6)</f>
      </c>
    </row>
  </sheetData>
  <mergeCells count="11">
    <mergeCell ref="A1:A2"/>
    <mergeCell ref="B1:B2"/>
    <mergeCell ref="C1:G1"/>
    <mergeCell ref="H1:H2"/>
    <mergeCell ref="I1:I2"/>
    <mergeCell ref="B4:G4"/>
    <mergeCell ref="A3:A4"/>
    <mergeCell ref="B5:B6"/>
    <mergeCell ref="H5:H6"/>
    <mergeCell ref="B7:G7"/>
    <mergeCell ref="A5:A7"/>
  </mergeCells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 t="str">
        <f>=SUM(B2:G2)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42600</v>
      </c>
      <c r="D3" s="18">
        <v>0</v>
      </c>
      <c r="E3" s="18">
        <v>0</v>
      </c>
      <c r="F3" s="18">
        <v>0</v>
      </c>
      <c r="G3" s="18">
        <v>67377</v>
      </c>
      <c r="H3" s="18" t="str">
        <f>=SUM(B3:G3)</f>
        <v>0</v>
      </c>
    </row>
    <row r="4" ht="20" customHeight="1">
      <c r="A4" s="18" t="str">
        <v>Staffing, Chargebacks and Indirect</v>
      </c>
      <c r="B4" s="18">
        <v>0</v>
      </c>
      <c r="C4" s="18">
        <v>42600</v>
      </c>
      <c r="D4" s="18">
        <v>0</v>
      </c>
      <c r="E4" s="18">
        <v>0</v>
      </c>
      <c r="F4" s="18">
        <v>0</v>
      </c>
      <c r="G4" s="18">
        <v>67377</v>
      </c>
      <c r="H4" s="18" t="str">
        <f>=SUM(B4:G4)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