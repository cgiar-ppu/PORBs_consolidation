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363493</v>
      </c>
      <c r="M4" s="5">
        <v>0</v>
      </c>
    </row>
    <row r="5" ht="20" customHeight="1">
      <c r="A5" s="2" t="str">
        <v>AOW01: Accelerating AI-Enabled Farm Advisory at Scale.</v>
      </c>
      <c r="B5" s="2">
        <v>18</v>
      </c>
      <c r="C5" s="5">
        <v>355999.57</v>
      </c>
      <c r="D5" s="2">
        <v>6</v>
      </c>
      <c r="E5" s="5">
        <v>107799</v>
      </c>
      <c r="F5" s="2">
        <v>0</v>
      </c>
      <c r="G5" s="5">
        <v>0</v>
      </c>
      <c r="H5" s="2">
        <v>0</v>
      </c>
      <c r="I5" s="5">
        <v>0</v>
      </c>
      <c r="J5" s="5">
        <v>20000</v>
      </c>
      <c r="K5" s="5">
        <v>0</v>
      </c>
      <c r="L5" s="5">
        <v>483799</v>
      </c>
      <c r="M5" s="5">
        <v>129526</v>
      </c>
    </row>
    <row r="6" ht="20" customHeight="1">
      <c r="A6" s="2" t="str">
        <v>AOW02: Enabling Preparedness and Rapid Response to Emerging Shocks</v>
      </c>
      <c r="B6" s="2">
        <v>6</v>
      </c>
      <c r="C6" s="5">
        <v>390092.86</v>
      </c>
      <c r="D6" s="2">
        <v>33</v>
      </c>
      <c r="E6" s="5">
        <v>437041.19</v>
      </c>
      <c r="F6" s="2">
        <v>0</v>
      </c>
      <c r="G6" s="5">
        <v>0</v>
      </c>
      <c r="H6" s="2">
        <v>0</v>
      </c>
      <c r="I6" s="5">
        <v>0</v>
      </c>
      <c r="J6" s="5">
        <v>0</v>
      </c>
      <c r="K6" s="5">
        <v>0</v>
      </c>
      <c r="L6" s="5">
        <v>827134</v>
      </c>
      <c r="M6" s="5">
        <v>0</v>
      </c>
    </row>
    <row r="7" ht="20" customHeight="1">
      <c r="A7" s="2" t="str">
        <v>AOW03: Delivering Integrated Solutions to Systemic Farm-Level Binding Constraints</v>
      </c>
      <c r="B7" s="2">
        <v>6</v>
      </c>
      <c r="C7" s="5">
        <v>531396.16</v>
      </c>
      <c r="D7" s="2">
        <v>23</v>
      </c>
      <c r="E7" s="5">
        <v>676917.67</v>
      </c>
      <c r="F7" s="2">
        <v>0</v>
      </c>
      <c r="G7" s="5">
        <v>0</v>
      </c>
      <c r="H7" s="2">
        <v>0</v>
      </c>
      <c r="I7" s="5">
        <v>0</v>
      </c>
      <c r="J7" s="5">
        <v>0</v>
      </c>
      <c r="K7" s="5">
        <v>0</v>
      </c>
      <c r="L7" s="5">
        <v>1208314</v>
      </c>
      <c r="M7" s="5">
        <v>3153038</v>
      </c>
    </row>
    <row r="8" ht="20" customHeight="1">
      <c r="A8" s="2" t="str">
        <v>AOW04: Incubating Innovation in Sustainable Farming</v>
      </c>
      <c r="B8" s="2">
        <v>0</v>
      </c>
      <c r="C8" s="5">
        <v>0</v>
      </c>
      <c r="D8" s="2">
        <v>0</v>
      </c>
      <c r="E8" s="5">
        <v>0</v>
      </c>
      <c r="F8" s="2">
        <v>0</v>
      </c>
      <c r="G8" s="5">
        <v>0</v>
      </c>
      <c r="H8" s="2">
        <v>0</v>
      </c>
      <c r="I8" s="5">
        <v>0</v>
      </c>
      <c r="J8" s="5">
        <v>0</v>
      </c>
      <c r="K8" s="5">
        <v>0</v>
      </c>
      <c r="L8" s="5">
        <v>0</v>
      </c>
      <c r="M8" s="5">
        <v>0</v>
      </c>
    </row>
    <row r="9" ht="20" customHeight="1">
      <c r="A9" s="2" t="str">
        <v>AOW05: Accelerating Impact</v>
      </c>
      <c r="B9" s="2">
        <v>21</v>
      </c>
      <c r="C9" s="5">
        <v>367254</v>
      </c>
      <c r="D9" s="2">
        <v>10</v>
      </c>
      <c r="E9" s="5">
        <v>211820</v>
      </c>
      <c r="F9" s="2">
        <v>70060</v>
      </c>
      <c r="G9" s="5">
        <v>97293</v>
      </c>
      <c r="H9" s="2">
        <v>60</v>
      </c>
      <c r="I9" s="5">
        <v>55910</v>
      </c>
      <c r="J9" s="5">
        <v>0</v>
      </c>
      <c r="K9" s="5">
        <v>148000</v>
      </c>
      <c r="L9" s="5">
        <v>880277</v>
      </c>
      <c r="M9" s="5">
        <v>129526</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10"/>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Program Director Discretionary Fund</v>
      </c>
      <c r="C2" s="11" t="str">
        <v>Funding allocation is accessible to the Program Director to address emerging opportunities and gaps, and strategic Program Level issues</v>
      </c>
      <c r="D2" s="11">
        <v>0</v>
      </c>
    </row>
    <row r="3" ht="45" customHeight="1">
      <c r="A3" s="11" t="str">
        <v>AOW00</v>
      </c>
      <c r="B3" s="11" t="str">
        <v xml:space="preserve">Program Level Communication </v>
      </c>
      <c r="C3" s="11" t="str">
        <v>Implementation of the 2026 Communication activities informed by the SFP Communications Strategy</v>
      </c>
      <c r="D3" s="11">
        <v>40000</v>
      </c>
      <c r="E3" s="11" t="str">
        <v>Cross-cutting program level communications activities</v>
      </c>
    </row>
    <row r="4" ht="45" customHeight="1">
      <c r="A4" s="11" t="str">
        <v>AOW00</v>
      </c>
      <c r="B4" s="11" t="str">
        <v xml:space="preserve">Other PMU Operations </v>
      </c>
      <c r="C4" s="11" t="str">
        <v>Travel, office supplies, and services, charge back, etc., for the PMU team</v>
      </c>
      <c r="D4" s="11">
        <v>15000</v>
      </c>
      <c r="E4" s="11" t="str">
        <v>Covers PMU members office costs, supplies, services, travel and other operational expenses.</v>
      </c>
    </row>
    <row r="5" ht="45" customHeight="1">
      <c r="A5" s="11" t="str">
        <v>AOW00</v>
      </c>
      <c r="B5" s="11" t="str">
        <v>Program Director and Associated Costs</v>
      </c>
      <c r="C5" s="11" t="str">
        <v>Program Director FTE, general administrative support, meetings and workshops, travel, smaller consultancies, and miscellaneous operating costs.</v>
      </c>
      <c r="D5" s="11">
        <v>0</v>
      </c>
    </row>
    <row r="6" ht="45" customHeight="1">
      <c r="A6" s="11" t="str">
        <v>AOW00</v>
      </c>
      <c r="B6" s="11" t="str">
        <v xml:space="preserve">PMU Team </v>
      </c>
      <c r="C6" s="11" t="str">
        <v>FTE for the Program Coordinator and MELIA Focal Point, and allowing for technical support for Communication, Finance, and Administration Functions.</v>
      </c>
      <c r="D6" s="11">
        <v>248493</v>
      </c>
      <c r="E6" s="11" t="str">
        <v>FTE for MELIA focal person, including budget for technical support for Communication and Finance functions.</v>
      </c>
    </row>
    <row r="7" ht="45" customHeight="1">
      <c r="A7" s="11" t="str">
        <v>AOW00</v>
      </c>
      <c r="B7" s="11" t="str">
        <v xml:space="preserve">Area of Work (AoW) Leaders </v>
      </c>
      <c r="C7" s="11" t="str">
        <v xml:space="preserve">5 AoW Leads FTEs as guided by the SO </v>
      </c>
      <c r="D7" s="11">
        <v>0</v>
      </c>
    </row>
    <row r="8" ht="45" customHeight="1">
      <c r="A8" s="11" t="str">
        <v>AOW00</v>
      </c>
      <c r="B8" s="11" t="str">
        <v>Program Level MELIA Activities</v>
      </c>
      <c r="C8" s="11" t="str">
        <v>Implementation of the 2026 Program Level MELIA activities, informed by the overall Program MELIA Plan</v>
      </c>
      <c r="D8" s="11">
        <v>60000</v>
      </c>
      <c r="E8" s="11" t="str">
        <v>Program MELIA activities</v>
      </c>
    </row>
    <row r="9" ht="45" customHeight="1">
      <c r="A9" s="11" t="str">
        <v>AOW00</v>
      </c>
      <c r="B9" s="11" t="str">
        <v>CGIAR Program Finance Support</v>
      </c>
      <c r="C9" s="11" t="str">
        <v>Shared Portfolio-Level Finance Support Services</v>
      </c>
      <c r="D9" s="11">
        <v>0</v>
      </c>
    </row>
    <row r="10" ht="45" customHeight="1">
      <c r="A10" s="11" t="str">
        <v>AOW00</v>
      </c>
      <c r="B10" s="11" t="str">
        <v>Program Leadership Meetings</v>
      </c>
      <c r="C10" s="11" t="str">
        <v>In-person planning, oversight, and progress review leadership meetings, including an annual pause and reflect forum.</v>
      </c>
      <c r="D10" s="11">
        <v>0</v>
      </c>
    </row>
  </sheetData>
  <mergeCells count="1">
    <mergeCell ref="A2:A10"/>
  </mergeCells>
  <ignoredErrors>
    <ignoredError numberStoredAsText="1" sqref="A1:E10"/>
  </ignoredErrors>
</worksheet>
</file>

<file path=xl/worksheets/sheet3.xml><?xml version="1.0" encoding="utf-8"?>
<worksheet xmlns="http://schemas.openxmlformats.org/spreadsheetml/2006/main" xmlns:r="http://schemas.openxmlformats.org/officeDocument/2006/relationships">
  <dimension ref="A1:I52"/>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 xml:space="preserve"> 1.1: Agronomic and farm management scientific data and analytics  </v>
      </c>
      <c r="C3" s="11" t="str">
        <v>A curated “Golden Q&amp;A” (1000 dataset/entries) to address core user challenges/farmer queries and strengthen the performance of current AI-enabled advisory tools (e.g., TUNAIMI, CROPPIE, AgWise)</v>
      </c>
      <c r="D3" s="11" t="str">
        <v>Number of knowledge products</v>
      </c>
      <c r="E3" s="11" t="str">
        <v>Global</v>
      </c>
      <c r="F3" s="11">
        <v>1</v>
      </c>
      <c r="G3" s="11">
        <v>30000</v>
      </c>
      <c r="H3" s="11">
        <f>SUM(G3:G9)</f>
      </c>
      <c r="I3" s="11" t="str">
        <v>2026 Budget</v>
      </c>
    </row>
    <row r="4" ht="50" customHeight="1">
      <c r="A4" s="11" t="str">
        <v>AOW01</v>
      </c>
      <c r="C4" s="11" t="str">
        <v xml:space="preserve">Functional variability (fertilizer price shifts and local input access) into Farmer.Chat and aligned tools (AgWise chatbot and virtual agronomist) to generate improved context-specific recommendations that accommodate risk, cost and effectiveness </v>
      </c>
      <c r="D4" s="11" t="str">
        <v>Number of innovations (innovation development)</v>
      </c>
      <c r="E4" s="11" t="str">
        <v>Country: Bangladesh, Malawi, Mexico, India, Kenya, Ethiopia, Ghana</v>
      </c>
      <c r="F4" s="11">
        <v>1</v>
      </c>
      <c r="G4" s="11">
        <v>73000</v>
      </c>
      <c r="I4" s="11" t="str">
        <v>2026 Budget</v>
      </c>
    </row>
    <row r="5" ht="50" customHeight="1" xml:space="preserve">
      <c r="A5" s="11" t="str">
        <v>AOW01</v>
      </c>
      <c r="C5" s="11" t="str">
        <v>Harmonized protocols, tools, and ground-truth databases integrating field, UAV, EO, and crowdsourced data compiled to calibrate and validate AI frameworks across countries.</v>
      </c>
      <c r="D5" s="11" t="str">
        <v>Number of innovations (innovation development)</v>
      </c>
      <c r="E5" s="11" t="str">
        <v>Country: Kenya</v>
      </c>
      <c r="F5" s="11">
        <v>1</v>
      </c>
      <c r="G5" s="11">
        <v>67000</v>
      </c>
      <c r="I5" s="11" t="str" xml:space="preserve">
        <v xml:space="preserve">2026 budget
</v>
      </c>
    </row>
    <row r="6" ht="50" customHeight="1" xml:space="preserve">
      <c r="A6" s="11" t="str">
        <v>AOW01</v>
      </c>
      <c r="C6" s="11" t="str">
        <v>A well-designed AgWise System Architecture and framework essential for efficiently developing and integrating the various advisory components within the farm system</v>
      </c>
      <c r="D6" s="11" t="str">
        <v>Number of innovations (innovation development)</v>
      </c>
      <c r="E6" s="11" t="str">
        <v>Country: Kenya</v>
      </c>
      <c r="F6" s="11">
        <v>5</v>
      </c>
      <c r="G6" s="11">
        <v>36000</v>
      </c>
      <c r="I6" s="11" t="str" xml:space="preserve">
        <v xml:space="preserve">2026 budget
</v>
      </c>
    </row>
    <row r="7" ht="50" customHeight="1">
      <c r="A7" s="11" t="str">
        <v>AOW01</v>
      </c>
      <c r="C7" s="11" t="str">
        <v>AgWise and other CGIAR Analytical modules for generation of improved recommendations integrated into solutions for bundled agronomic advisories (e.g. AKILIMO, (RiceAdviceLite (RAL) , AgroTutor, and Farmer.chat of Digital Green)”--KPI can be Number of innovations/modules integrated and in use</v>
      </c>
      <c r="D7" s="11" t="str">
        <v>Number of innovations (innovation development)</v>
      </c>
      <c r="E7" s="11" t="str">
        <v>Country: Ghana, Peru, Benin, Kenya, Nigeria</v>
      </c>
      <c r="F7" s="11">
        <v>3</v>
      </c>
      <c r="G7" s="11">
        <v>40000</v>
      </c>
      <c r="I7" s="11" t="str">
        <v>2026 budget</v>
      </c>
    </row>
    <row r="8" ht="50" customHeight="1" xml:space="preserve">
      <c r="A8" s="11" t="str">
        <v>AOW01</v>
      </c>
      <c r="C8" s="11" t="str">
        <v>Integration of AgWise Fertilizer Recommendation Module into AKILIMO Advisory for Bundled Agronomic Services</v>
      </c>
      <c r="D8" s="11" t="str">
        <v>Number of innovations (innovation development)</v>
      </c>
      <c r="E8" s="11" t="str">
        <v>Country: Kenya, Nigeria</v>
      </c>
      <c r="F8" s="11">
        <v>3</v>
      </c>
      <c r="G8" s="11">
        <v>40000</v>
      </c>
      <c r="I8" s="11" t="str" xml:space="preserve">
        <v xml:space="preserve">2026 budget
</v>
      </c>
    </row>
    <row r="9" ht="50" customHeight="1">
      <c r="A9" s="11" t="str">
        <v>AOW01</v>
      </c>
      <c r="C9" s="11" t="str">
        <v xml:space="preserve">AI-enabled data fusion across AKILIMO's digital advisory ecosystem (RiceAdviceLite (RAL) and AgWise recommendations are transformed into an interoperable format (e.g. API, Dataverse) ready for integration within AKILIMO). </v>
      </c>
      <c r="D9" s="11" t="str">
        <v>Number of innovations (innovation development)</v>
      </c>
      <c r="E9" s="11" t="str">
        <v>Country: Ghana, Benin, Kenya, Nigeria</v>
      </c>
      <c r="F9" s="11">
        <v>3</v>
      </c>
      <c r="G9" s="11">
        <v>16000</v>
      </c>
      <c r="I9" s="11" t="str">
        <v>2026 budget</v>
      </c>
    </row>
    <row r="10" ht="50" customHeight="1">
      <c r="A10" s="11" t="str">
        <v>AOW01</v>
      </c>
      <c r="B10" s="11" t="str">
        <v xml:space="preserve">1.2: Benchmarking and performance validation systems </v>
      </c>
      <c r="C10" s="11" t="str">
        <v xml:space="preserve">Empirical evidence showcasing the comparative advantage (productivity, usability and delivery efficiency) of AI-enabled Agro-advisory services. </v>
      </c>
      <c r="D10" s="11" t="str">
        <v>Number of knowledge products</v>
      </c>
      <c r="E10" s="11" t="str">
        <v>Country: Kenya</v>
      </c>
      <c r="F10" s="11">
        <v>3</v>
      </c>
      <c r="G10" s="11">
        <v>28799</v>
      </c>
      <c r="H10" s="11">
        <f>SUM(G10:G12)</f>
      </c>
      <c r="I10" s="11" t="str">
        <v>2026 budget</v>
      </c>
    </row>
    <row r="11" ht="50" customHeight="1">
      <c r="A11" s="11" t="str">
        <v>AOW01</v>
      </c>
      <c r="C11" s="11" t="str">
        <v>Science-based standard protocols, methodologies and benchmarks for independent in-field and external performance evaluations of AI and digital systems and advisories</v>
      </c>
      <c r="D11" s="11" t="str">
        <v>Number of knowledge products</v>
      </c>
      <c r="E11" s="11" t="str">
        <v>Country: India, Ethiopia, Kenya</v>
      </c>
      <c r="F11" s="11">
        <v>1</v>
      </c>
      <c r="G11" s="11">
        <v>21000</v>
      </c>
      <c r="I11" s="11" t="str">
        <v>2026 budget</v>
      </c>
    </row>
    <row r="12" ht="50" customHeight="1">
      <c r="A12" s="11" t="str">
        <v>AOW01</v>
      </c>
      <c r="C12" s="11" t="str">
        <v>Multi-channel chatbot integrating AKILIMO, maize planting window, fertilizer recommendation and RiceAdviceLite with multilingual, marketplace, and MELIA analytics features for partners on the AKILIMO platform</v>
      </c>
      <c r="D12" s="11" t="str">
        <v>Number of innovations (innovation development)</v>
      </c>
      <c r="E12" s="11" t="str">
        <v>Country: Benin, Ghana, Nigeria, Tanzania, United Republic, Senegal</v>
      </c>
      <c r="F12" s="11">
        <v>1</v>
      </c>
      <c r="G12" s="11">
        <v>56999.57</v>
      </c>
      <c r="I12" s="11" t="str">
        <v>2026 budget</v>
      </c>
    </row>
    <row r="13" ht="50" customHeight="1">
      <c r="A13" s="11" t="str">
        <v>AOW01</v>
      </c>
      <c r="B13" s="11" t="str">
        <v xml:space="preserve">1.3: Farmer utilization and adoption of AI-enabled advisory services </v>
      </c>
      <c r="C13" s="11" t="str">
        <v>User demand and gaps obtained through engagements with at least 5 key partners within AI and digital ecosystem (e.g. Digital Green, ISDA, NARS), for different farming systems---KPI as Number of Knowledge products</v>
      </c>
      <c r="D13" s="11" t="str">
        <v>Number of knowledge products</v>
      </c>
      <c r="E13" s="11" t="str">
        <v>Country: Colombia, Kenya</v>
      </c>
      <c r="F13" s="11">
        <v>1</v>
      </c>
      <c r="G13" s="11">
        <v>28000</v>
      </c>
      <c r="H13" s="11">
        <f>SUM(G13:G14)</f>
      </c>
      <c r="I13" s="11" t="str">
        <v>2026 Budget</v>
      </c>
    </row>
    <row r="14" ht="50" customHeight="1">
      <c r="A14" s="11" t="str">
        <v>AOW01</v>
      </c>
      <c r="C14" s="11" t="str">
        <v>Functional AI-assisted partner chatbots providing evidence-based and expert-validated agronomic recommendations to variety of users, including through solutions such as Akilimo and  RiceAdvice</v>
      </c>
      <c r="D14" s="11" t="str">
        <v>Number of innovations (innovation development)</v>
      </c>
      <c r="E14" s="11" t="str">
        <v>Country: Burkina Faso, Côte d'Ivoire, Benin, Kenya, Ghana, Nigeria</v>
      </c>
      <c r="F14" s="11">
        <v>1</v>
      </c>
      <c r="G14" s="11">
        <v>27000</v>
      </c>
      <c r="I14" s="11" t="str">
        <v>2026 Budget</v>
      </c>
    </row>
    <row r="15" ht="25" customHeight="1">
      <c r="B15" s="14" t="str">
        <v>HLO budget subtotal</v>
      </c>
      <c r="H15" s="15">
        <f>SUM(H3:H14)</f>
      </c>
    </row>
    <row r="16" ht="50" customHeight="1">
      <c r="A16" s="13" t="str">
        <v>AOW02</v>
      </c>
      <c r="B16" s="11" t="str">
        <v xml:space="preserve">2.1: Enhanced resolution, accuracy and timeliness of early warning system </v>
      </c>
      <c r="C16" s="11" t="str">
        <v>Critical capabilities: Laboratory services on pests and disease diagnostics of cassava, banana, yam, potato, and sweet potato, and mycotoxin testing (maize, rice, forages and legumes), including performing life-cycle models under different thermal conditions to generate data for ILCYM tool jointly with CIP for three pests (banana aphid, cassava mealybugs, and cassava green mite)</v>
      </c>
      <c r="D16" s="11" t="str">
        <v>Number of knowledge products</v>
      </c>
      <c r="E16" s="11" t="str">
        <v>Global</v>
      </c>
      <c r="F16" s="11">
        <v>10</v>
      </c>
      <c r="G16" s="11">
        <v>48242</v>
      </c>
      <c r="H16" s="11">
        <f>SUM(G16:G22)</f>
      </c>
      <c r="I16" s="11" t="str">
        <v>2026 budget</v>
      </c>
    </row>
    <row r="17" ht="50" customHeight="1">
      <c r="A17" s="11" t="str">
        <v>AOW02</v>
      </c>
      <c r="C17" s="11" t="str">
        <v xml:space="preserve">Critical capabilities: Data sets on distribution and diversity of emerging pests and diseases of cassava, banana, yam, potato, and sweetpotato available for integrating risk modeling to strengthen forecast models and early warning systems. </v>
      </c>
      <c r="D17" s="11" t="str">
        <v>Number of knowledge products</v>
      </c>
      <c r="E17" s="11" t="str">
        <v>Global</v>
      </c>
      <c r="F17" s="11">
        <v>10</v>
      </c>
      <c r="G17" s="11">
        <v>34586</v>
      </c>
      <c r="I17" s="11" t="str">
        <v>2026 budget</v>
      </c>
    </row>
    <row r="18" ht="50" customHeight="1">
      <c r="A18" s="11" t="str">
        <v>AOW02</v>
      </c>
      <c r="C18" s="11" t="str">
        <v>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v>
      </c>
      <c r="D18" s="11" t="str">
        <v>Number of knowledge products</v>
      </c>
      <c r="E18" s="11" t="str">
        <v>Country: Rwanda, Malawi, Benin, Kenya, Côte d'Ivoire, Zambia, Philippines, Uganda, Peru, Nigeria</v>
      </c>
      <c r="F18" s="11">
        <v>3</v>
      </c>
      <c r="G18" s="11">
        <v>94087.5</v>
      </c>
      <c r="I18" s="11" t="str">
        <v>2026 Budget</v>
      </c>
    </row>
    <row r="19" ht="50" customHeight="1">
      <c r="A19" s="11" t="str">
        <v>AOW02</v>
      </c>
      <c r="C19" s="11" t="str">
        <v>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v>
      </c>
      <c r="D19" s="11" t="str">
        <v>Number of innovations (innovation development)</v>
      </c>
      <c r="E19" s="11" t="str">
        <v>Country: Rwanda, Benin, Philippines, Zambia, Kenya, Malawi, Côte d'Ivoire, Uganda, Nigeria</v>
      </c>
      <c r="F19" s="11">
        <v>2</v>
      </c>
      <c r="G19" s="11">
        <v>95406</v>
      </c>
      <c r="I19" s="11" t="str">
        <v>2026 budget</v>
      </c>
    </row>
    <row r="20" ht="50" customHeight="1">
      <c r="A20" s="11" t="str">
        <v>AOW02</v>
      </c>
      <c r="C20" s="11" t="str">
        <v>Enhanced data sets to enhance detection, distribution, diversity and forecasting of current and emerging pests or diseases for different cropping systems (yam, bean, cassava, banana, sorghum, potato, and sweet potato)</v>
      </c>
      <c r="D20" s="11" t="str">
        <v>Number of knowledge products</v>
      </c>
      <c r="E20" s="11" t="str">
        <v>Country: Ethiopia, Tanzania, United Republic, Togo, Niger, Zambia, Burkina Faso, South Sudan, Kenya, Mozambique, Uganda, Colombia, Ghana, Senegal, Zimbabwe, Cameroon, Mali, India, Chad, Nigeria</v>
      </c>
      <c r="F20" s="11">
        <v>1</v>
      </c>
      <c r="G20" s="11">
        <v>39775.53</v>
      </c>
      <c r="I20" s="11" t="str">
        <v>2026 budget</v>
      </c>
    </row>
    <row r="21" ht="50" customHeight="1">
      <c r="A21" s="11" t="str">
        <v>AOW02</v>
      </c>
      <c r="C21" s="11" t="str">
        <v>Training material and training activities to enhance early detection of water related shocks, pests and disease occurrence using AI and digital tools</v>
      </c>
      <c r="D21" s="11" t="str">
        <v>Number of knowledge products</v>
      </c>
      <c r="E21" s="11" t="str">
        <v>Country: Netherlands (Kingdom of the), Kenya, Philippines, Ethiopia, Cameroon, Nigeria, Tanzania, United Republic, The Democratic Republic of the Congo</v>
      </c>
      <c r="F21" s="11">
        <v>1</v>
      </c>
      <c r="G21" s="11">
        <v>75573.51</v>
      </c>
      <c r="I21" s="11" t="str">
        <v>2026 budget</v>
      </c>
    </row>
    <row r="22" ht="50" customHeight="1">
      <c r="A22" s="11" t="str">
        <v>AOW02</v>
      </c>
      <c r="C22" s="11" t="str">
        <v>Enhanced models, templates, frameworks, maps or data tools to detect climate related water risks for different cropping systems (maize, soybean, cocoa)</v>
      </c>
      <c r="D22" s="11" t="str">
        <v>Number of innovations (innovation development)</v>
      </c>
      <c r="E22" s="11" t="str">
        <v>Country: Ghana, Kenya</v>
      </c>
      <c r="F22" s="11">
        <v>1</v>
      </c>
      <c r="G22" s="11">
        <v>63640.85</v>
      </c>
      <c r="I22" s="11" t="str">
        <v>2026 budget</v>
      </c>
    </row>
    <row r="23" ht="50" customHeight="1">
      <c r="A23" s="11" t="str">
        <v>AOW02</v>
      </c>
      <c r="B23" s="11" t="str">
        <v>2.2: Strategies for response to water related shocks</v>
      </c>
      <c r="C23" s="11" t="str">
        <v>Data-driven platforms, dashboards, and modeling tools that support enhanced farmer level response towards water related shocks (e.g. droughts, floods), pests and disease outbreaks (e.g. BBTV, BXW, and FoC TR4 )</v>
      </c>
      <c r="D23" s="11" t="str">
        <v>Number of innovations (innovation development)</v>
      </c>
      <c r="E23" s="11" t="str">
        <v>Country: Nepal, Ethiopia, Morocco, India, Malawi, Ghana, Egypt, Cameroon, Tanzania, United Republic, Nigeria, Uganda</v>
      </c>
      <c r="F23" s="11">
        <v>3</v>
      </c>
      <c r="G23" s="11">
        <v>231046.01</v>
      </c>
      <c r="H23" s="11">
        <f>SUM(G23:G24)</f>
      </c>
      <c r="I23" s="11" t="str">
        <v>2026 Budget</v>
      </c>
    </row>
    <row r="24" ht="50" customHeight="1" xml:space="preserve">
      <c r="A24" s="11" t="str">
        <v>AOW02</v>
      </c>
      <c r="C24" s="11" t="str">
        <v>Knowledge products that enhance farmer level response towards water related shocks (e.g. droughts, floods), pests and disease outbreaks (e.g. BBTV, BXW, and FoC TR4, legume viral disease, potato purple top complex disease)</v>
      </c>
      <c r="D24" s="11" t="str">
        <v>Number of knowledge products</v>
      </c>
      <c r="E24" s="11" t="str">
        <v>Country: Zambia, Peru, Ethiopia, Lebanon, Tanzania, United Republic, Nigeria, Cameroon, Uganda</v>
      </c>
      <c r="F24" s="11">
        <v>8</v>
      </c>
      <c r="G24" s="11">
        <v>144776.65</v>
      </c>
      <c r="I24" s="11" t="str" xml:space="preserve">
        <v xml:space="preserve">2026 budget
</v>
      </c>
    </row>
    <row r="25" ht="25" customHeight="1">
      <c r="B25" s="15" t="str">
        <v>HLO budget subtotal</v>
      </c>
      <c r="H25" s="15">
        <f>SUM(H16:H24)</f>
      </c>
    </row>
    <row r="26" ht="50" customHeight="1">
      <c r="A26" s="13" t="str">
        <v>AOW03</v>
      </c>
      <c r="B26" s="11" t="str">
        <v xml:space="preserve">3.1: Farm-level diagnostic evidence on soil, plant, water, and socio-economic constraints </v>
      </c>
      <c r="C26" s="11" t="str">
        <v>KPI 1: Diagnostic characterization of farm-level binding constraints, with corresponding best-fit solution options integrated into the Sustainable Farming Dashboard (SFD) under AoW5</v>
      </c>
      <c r="D26" s="11" t="str">
        <v>Number of knowledge products</v>
      </c>
      <c r="E26" s="11" t="str">
        <v>Country: Bangladesh, India, Malawi, Kenya, Lao People's Democratic Republic, Ethiopia, Mexico, Nepal, Peru, Ghana, Nigeria</v>
      </c>
      <c r="F26" s="11">
        <v>3</v>
      </c>
      <c r="G26" s="11">
        <v>222742.98</v>
      </c>
      <c r="H26" s="11">
        <f>SUM(G26:G26)</f>
      </c>
      <c r="I26" s="11" t="str">
        <v>2026 budget</v>
      </c>
    </row>
    <row r="27" ht="50" customHeight="1">
      <c r="A27" s="11" t="str">
        <v>AOW03</v>
      </c>
      <c r="B27" s="11" t="str">
        <v xml:space="preserve">3.2. Validated, farm-level management solutions </v>
      </c>
      <c r="C27" s="11" t="str">
        <v>Critical capabilities that enable R&amp;D to design, test, and refine sustainable farming innovations targeting priority farm-level constraints</v>
      </c>
      <c r="D27" s="11" t="str">
        <v>Number of knowledge products</v>
      </c>
      <c r="E27" s="11" t="str">
        <v>Country: Egypt, Morocco, Sri Lanka, Philippines, India, Malawi, Ethiopia, Nigeria, Cameroon, Côte d'Ivoire, Ghana, Kenya</v>
      </c>
      <c r="F27" s="11">
        <v>10</v>
      </c>
      <c r="G27" s="11">
        <v>139586.86</v>
      </c>
      <c r="H27" s="11">
        <f>SUM(G27:G32)</f>
      </c>
      <c r="I27" s="11" t="str">
        <v>2026 budget</v>
      </c>
    </row>
    <row r="28" ht="50" customHeight="1">
      <c r="A28" s="11" t="str">
        <v>AOW03</v>
      </c>
      <c r="C28" s="11" t="str">
        <v>KPI 3: Validated agronomic solution packages that effectively address soil health-related limitations and demonstrate quantifiable improvements in agronomic gain</v>
      </c>
      <c r="D28" s="11" t="str">
        <v>Number of knowledge products</v>
      </c>
      <c r="E28" s="11" t="str">
        <v>Country: Ghana, Kenya, Malawi, Egypt, Morocco, Ethiopia, India</v>
      </c>
      <c r="F28" s="11">
        <v>2</v>
      </c>
      <c r="G28" s="11">
        <v>78416.38</v>
      </c>
      <c r="I28" s="11" t="str">
        <v>2026 budget</v>
      </c>
    </row>
    <row r="29" ht="50" customHeight="1">
      <c r="A29" s="11" t="str">
        <v>AOW03</v>
      </c>
      <c r="C29" s="11" t="str">
        <v>KPI 4: Integrated plant health management packages, grounded in evidence, that reduce biotic pressures limiting crop performance</v>
      </c>
      <c r="D29" s="11" t="str">
        <v>Number of knowledge products</v>
      </c>
      <c r="E29" s="11" t="str">
        <v>Country: Ethiopia, Peru, Nigeria, The Socialist Republic of Viet Nam, Colombia, Rwanda, Uganda, The Democratic Republic of the Congo</v>
      </c>
      <c r="F29" s="11">
        <v>1</v>
      </c>
      <c r="G29" s="11">
        <v>103416.38</v>
      </c>
      <c r="I29" s="11" t="str">
        <v>2026 budget</v>
      </c>
    </row>
    <row r="30" ht="50" customHeight="1">
      <c r="A30" s="11" t="str">
        <v>AOW03</v>
      </c>
      <c r="C30" s="11" t="str">
        <v>KPI 5: Integrated, farm-level intervention packages that tackle clusters of interacting farm-level constraints to optimize agronomic outcomes</v>
      </c>
      <c r="D30" s="11" t="str">
        <v>Number of knowledge products</v>
      </c>
      <c r="E30" s="11" t="str">
        <v>Country: India, Tanzania, United Republic, Morocco, Madagascar, Ghana, Malawi, Kenya, Ethiopia, The Socialist Republic of Viet Nam</v>
      </c>
      <c r="F30" s="11">
        <v>3</v>
      </c>
      <c r="G30" s="11">
        <v>45349.04</v>
      </c>
      <c r="I30" s="11" t="str">
        <v>2026 budget</v>
      </c>
    </row>
    <row r="31" ht="50" customHeight="1">
      <c r="A31" s="11" t="str">
        <v>AOW03</v>
      </c>
      <c r="C31" s="11" t="str">
        <v>KPI 4: Integrated plant health management packages, grounded in evidence, that reduce biotic pressures limiting crop performance</v>
      </c>
      <c r="D31" s="11" t="str">
        <v>Number of innovations (innovation development)</v>
      </c>
      <c r="E31" s="11" t="str">
        <v>Country: Rwanda, Colombia, Zambia, Comoros, Mozambique, The Democratic Republic of the Congo, Malawi, The Socialist Republic of Viet Nam, Uganda, Kenya, Madagascar, Tanzania, United Republic, Nigeria</v>
      </c>
      <c r="F31" s="11">
        <v>4</v>
      </c>
      <c r="G31" s="11">
        <v>310249.14</v>
      </c>
      <c r="I31" s="11" t="str">
        <v>2026 budget</v>
      </c>
    </row>
    <row r="32" ht="50" customHeight="1">
      <c r="A32" s="11" t="str">
        <v>AOW03</v>
      </c>
      <c r="C32" s="11" t="str">
        <v>KPI 3: Validated agronomic solution packages that effectively address soil health-related limitations and demonstrate quantifiable improvements in agronomic gain</v>
      </c>
      <c r="D32" s="11" t="str">
        <v>Number of innovations (innovation development)</v>
      </c>
      <c r="E32" s="11" t="str">
        <v>Country: Ghana, Nigeria, Madagascar, The Democratic Republic of the Congo</v>
      </c>
      <c r="F32" s="11">
        <v>2</v>
      </c>
      <c r="G32" s="11">
        <v>221147.02</v>
      </c>
      <c r="I32" s="11" t="str">
        <v>2026 budget</v>
      </c>
    </row>
    <row r="33" ht="50" customHeight="1">
      <c r="A33" s="11" t="str">
        <v>AOW03</v>
      </c>
      <c r="B33" s="11" t="str">
        <v xml:space="preserve">3.3: Scaled and adopted farm management solutions </v>
      </c>
      <c r="C33" s="11" t="str">
        <v>KPI 6: Systematic assessment capturing farmer uptake, contextual adaptation, and scaling trajectories of validated solutions addressing binding constraints</v>
      </c>
      <c r="D33" s="11" t="str">
        <v>Number of knowledge products</v>
      </c>
      <c r="E33" s="11" t="str">
        <v>Country: Malawi, Kenya</v>
      </c>
      <c r="F33" s="11">
        <v>4</v>
      </c>
      <c r="G33" s="11">
        <v>87406.03</v>
      </c>
      <c r="H33" s="11">
        <f>SUM(G33:G33)</f>
      </c>
      <c r="I33" s="11" t="str">
        <v>2026 budget</v>
      </c>
    </row>
    <row r="34" ht="25" customHeight="1">
      <c r="B34" s="15" t="str">
        <v>HLO budget subtotal</v>
      </c>
      <c r="H34" s="15">
        <f>SUM(H26:H33)</f>
      </c>
    </row>
    <row r="35" ht="50" customHeight="1">
      <c r="A35" s="13" t="str">
        <v>AOW05</v>
      </c>
      <c r="B35" s="11" t="str">
        <v>5.3 FAIR, AI-ready data corpus, data and metadata standards</v>
      </c>
      <c r="C35" s="11" t="str">
        <v>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v>
      </c>
      <c r="D35" s="11" t="str">
        <v>Number of knowledge products</v>
      </c>
      <c r="E35" s="11" t="str">
        <v>Global</v>
      </c>
      <c r="F35" s="11">
        <v>8</v>
      </c>
      <c r="G35" s="11">
        <v>131820</v>
      </c>
      <c r="H35" s="11">
        <f>SUM(G35:G45)</f>
      </c>
      <c r="I35" s="11" t="str">
        <v>2026 budget</v>
      </c>
    </row>
    <row r="36" ht="50" customHeight="1">
      <c r="A36" s="11" t="str">
        <v>AOW05</v>
      </c>
      <c r="C36" s="11" t="str">
        <v>Critical capabilities: 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v>
      </c>
      <c r="D36" s="11" t="str">
        <v>Number of people trained (capacity sharing for development)</v>
      </c>
      <c r="E36" s="11" t="str">
        <v>Global</v>
      </c>
      <c r="F36" s="11">
        <v>60</v>
      </c>
      <c r="G36" s="11">
        <v>27293</v>
      </c>
      <c r="I36" s="11" t="str">
        <v>2026 budget</v>
      </c>
    </row>
    <row r="37" ht="50" customHeight="1">
      <c r="A37" s="11" t="str">
        <v>AOW05</v>
      </c>
      <c r="C37" s="11" t="str">
        <v>Critical capabilities: 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v>
      </c>
      <c r="D37" s="11" t="str">
        <v>Number of innovations (innovation development)</v>
      </c>
      <c r="E37" s="11" t="str">
        <v>Global</v>
      </c>
      <c r="F37" s="11">
        <v>3</v>
      </c>
      <c r="G37" s="11">
        <v>60949</v>
      </c>
      <c r="I37" s="11" t="str">
        <v>2026 budget</v>
      </c>
    </row>
    <row r="38" ht="50" customHeight="1">
      <c r="A38" s="11" t="str">
        <v>AOW05</v>
      </c>
      <c r="C38" s="11" t="str">
        <v>Open, extensible toolkit for researchers and technical users to compare, adapt, and deploy decision support models &amp; workflows quickly for new contexts (e.g., Agwise codebase and R package).</v>
      </c>
      <c r="D38" s="11" t="str">
        <v>Number of innovations (innovation development)</v>
      </c>
      <c r="E38" s="11" t="str">
        <v>Global</v>
      </c>
      <c r="F38" s="11">
        <v>1</v>
      </c>
      <c r="G38" s="11">
        <v>20000</v>
      </c>
      <c r="I38" s="11" t="str">
        <v>2026 Budget</v>
      </c>
    </row>
    <row r="39" ht="50" customHeight="1">
      <c r="A39" s="11" t="str">
        <v>AOW05</v>
      </c>
      <c r="C39" s="11" t="str">
        <v>CG Labs computational infrastructure with improved features and connections across tools and projects (e.g., File Manager, decision support analytics) available for deployment in any infrastructure (on-prem, cloud or hybrid) for collaborative analytics in low-bandwidth circumstances.</v>
      </c>
      <c r="D39" s="11" t="str">
        <v>Number of innovations (innovation development)</v>
      </c>
      <c r="E39" s="11" t="str">
        <v>Global</v>
      </c>
      <c r="F39" s="11">
        <v>1</v>
      </c>
      <c r="G39" s="11">
        <v>10000</v>
      </c>
      <c r="I39" s="11" t="str">
        <v>2026 budget</v>
      </c>
    </row>
    <row r="40" ht="50" customHeight="1">
      <c r="A40" s="11" t="str">
        <v>AOW05</v>
      </c>
      <c r="C40" s="11" t="str">
        <v>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v>
      </c>
      <c r="D40" s="11" t="str">
        <v>Number of innovations (innovation development)</v>
      </c>
      <c r="E40" s="11" t="str">
        <v>Country: Greece, Kenya</v>
      </c>
      <c r="F40" s="11">
        <v>1</v>
      </c>
      <c r="G40" s="11">
        <v>15000</v>
      </c>
      <c r="I40" s="11" t="str">
        <v>2026 budget</v>
      </c>
    </row>
    <row r="41" ht="50" customHeight="1">
      <c r="A41" s="11" t="str">
        <v>AOW05</v>
      </c>
      <c r="C41" s="11" t="str">
        <v>Data-to-model pipelines and APIs made available for scientists to use FAIR, AI-ready data (using existing elements developed through previous Science Portfolios where relevant (e.g., GARDIAN, Data Lake, Adaptation Atlas, Climate Hub).</v>
      </c>
      <c r="D41" s="11" t="str">
        <v>Number of innovations (innovation development)</v>
      </c>
      <c r="E41" s="11" t="str">
        <v>Country: Rwanda, Ethiopia, Kenya, United States of America</v>
      </c>
      <c r="F41" s="11">
        <v>2</v>
      </c>
      <c r="G41" s="11">
        <v>10000</v>
      </c>
      <c r="I41" s="11" t="str">
        <v>2026 budget</v>
      </c>
    </row>
    <row r="42" ht="50" customHeight="1" xml:space="preserve">
      <c r="A42" s="11" t="str">
        <v>AOW05</v>
      </c>
      <c r="C42" s="11" t="str" xml:space="preserve">
        <v xml:space="preserve">Database of standardized data ("Carob") including workflows to quality-control, clean and render data standards-compliant using R scripts and R packages. 
</v>
      </c>
      <c r="D42" s="11" t="str">
        <v>Number of innovations (innovation development)</v>
      </c>
      <c r="E42" s="11" t="str">
        <v>Country: Zambia, India, Malawi, Tanzania, United Republic, Nepal, Bangladesh, Ethiopia, Uganda, Philippines, Kenya, United States of America, Mexico</v>
      </c>
      <c r="F42" s="11">
        <v>4</v>
      </c>
      <c r="G42" s="11">
        <v>111305</v>
      </c>
      <c r="I42" s="11" t="str">
        <v>2026 budget</v>
      </c>
    </row>
    <row r="43" ht="50" customHeight="1" xml:space="preserve">
      <c r="A43" s="11" t="str">
        <v>AOW05</v>
      </c>
      <c r="C43" s="11" t="str" xml:space="preserve">
        <v xml:space="preserve">Assessment of carob data quality, including built-in QA/QC procedures using internal validation as part of the carobiner associated software (40 correct data points)
</v>
      </c>
      <c r="D43" s="11" t="str">
        <v>Number of knowledge products</v>
      </c>
      <c r="E43" s="11" t="str">
        <v>Country: Rwanda, United States of America, Kenya</v>
      </c>
      <c r="F43" s="11">
        <v>1</v>
      </c>
      <c r="G43" s="11">
        <v>15000</v>
      </c>
      <c r="I43" s="11" t="str">
        <v>2026 budget</v>
      </c>
    </row>
    <row r="44" ht="50" customHeight="1" xml:space="preserve">
      <c r="A44" s="11" t="str">
        <v>AOW05</v>
      </c>
      <c r="C44" s="11" t="str" xml:space="preserve">
        <v xml:space="preserve">Published minimum required agronomy data, standards-compliant data collection protocols and tool developed to enable FAIR and AI-ready data collection and sharing, building on enhanced TerminAg data and metadata standards repository (GitHub).
</v>
      </c>
      <c r="D44" s="11" t="str">
        <v>Number of innovations (innovation development)</v>
      </c>
      <c r="E44" s="11" t="str">
        <v>Global</v>
      </c>
      <c r="F44" s="11">
        <v>2</v>
      </c>
      <c r="G44" s="11">
        <v>10000</v>
      </c>
      <c r="I44" s="11" t="str">
        <v>2026 budget</v>
      </c>
    </row>
    <row r="45" ht="50" customHeight="1">
      <c r="A45" s="11" t="str">
        <v>AOW05</v>
      </c>
      <c r="C45" s="11" t="str">
        <v xml:space="preserve">Agricultural similarity and analogue engine validated to provide an online web application, public open-source software package and integration of technologies from TAAT e-catalogue </v>
      </c>
      <c r="D45" s="11" t="str">
        <v>Number of innovations (innovation development)</v>
      </c>
      <c r="E45" s="11" t="str">
        <v>Country: Kenya</v>
      </c>
      <c r="F45" s="11">
        <v>1</v>
      </c>
      <c r="G45" s="11">
        <v>15000</v>
      </c>
      <c r="I45" s="11" t="str">
        <v>2026 budget</v>
      </c>
    </row>
    <row r="46" ht="50" customHeight="1">
      <c r="A46" s="11" t="str">
        <v>AOW05</v>
      </c>
      <c r="B46" s="11" t="str">
        <v xml:space="preserve">5.4: Tools and approaches to enable rapid insights, learnings and impact </v>
      </c>
      <c r="C46" s="11" t="str">
        <v>Standardized MELIA survey tools and instruments for household and farm-level data collection across AoWs (e.g., survey forms, processes, Ai solutions, other protocols) to improve interoperability and standardization of survey data</v>
      </c>
      <c r="D46" s="11" t="str">
        <v>Number of innovations (innovation development)</v>
      </c>
      <c r="E46" s="11" t="str">
        <v>Country: Ethiopia, Malawi, Ghana, Kenya, United States of America</v>
      </c>
      <c r="F46" s="11">
        <v>1</v>
      </c>
      <c r="G46" s="11">
        <v>30000</v>
      </c>
      <c r="H46" s="11">
        <f>SUM(G46:G47)</f>
      </c>
      <c r="I46" s="11" t="str">
        <v>This budget supports MELIA studies by developing tools</v>
      </c>
    </row>
    <row r="47" ht="50" customHeight="1" xml:space="preserve">
      <c r="A47" s="11" t="str">
        <v>AOW05</v>
      </c>
      <c r="C47" s="11" t="str" xml:space="preserve">
        <v xml:space="preserve">Standardized approaches and guidelines for assessing KPIs across AoWs 1–3 developed, including an agreed list of indicators and assessment framework to ensure consistency and comparability in performance measurement.
 </v>
      </c>
      <c r="D47" s="11" t="str">
        <v>Number of innovations (innovation development)</v>
      </c>
      <c r="E47" s="11" t="str">
        <v>Country: Morocco, Senegal, Nigeria, Tanzania, United Republic, Ethiopia, Ghana, Rwanda, Philippines</v>
      </c>
      <c r="F47" s="11">
        <v>3</v>
      </c>
      <c r="G47" s="11">
        <v>25000</v>
      </c>
      <c r="I47" s="11" t="str">
        <v>2026 budget</v>
      </c>
    </row>
    <row r="48" ht="50" customHeight="1">
      <c r="A48" s="11" t="str">
        <v>AOW05</v>
      </c>
      <c r="B48" s="11" t="str">
        <v xml:space="preserve">5.5. Well-documented, widely applicable and replicable partnership platforms </v>
      </c>
      <c r="C48" s="11" t="str">
        <v>Practical guidance and partnership tools (e.g., MoU templates, governance guides) for establishing multi-stakeholder platforms that align research, extension, private sector, and government actors - facilitating co-creation, tracking, and scaling agronomic solutions with clear pathways for institutionalization and local handover.</v>
      </c>
      <c r="D48" s="11" t="str">
        <v>Number of knowledge products</v>
      </c>
      <c r="E48" s="11" t="str">
        <v>Global</v>
      </c>
      <c r="F48" s="11">
        <v>1</v>
      </c>
      <c r="G48" s="11">
        <v>65000</v>
      </c>
      <c r="H48" s="11">
        <f>SUM(G48:G51)</f>
      </c>
      <c r="I48" s="11" t="str">
        <v>2026 budget</v>
      </c>
    </row>
    <row r="49" ht="50" customHeight="1">
      <c r="A49" s="11" t="str">
        <v>AOW05</v>
      </c>
      <c r="C49" s="11" t="str">
        <v>Multi-stakeholder partnership platforms (PAASSs) framework engaging diverse partners to support the scaling of bundled solutions for multiple crops (cassava, maize, sorghum, soybean, teff, rice, cocoa, coffee, etc) and livestock emerging from AoWs 1–3 in different locations and countries.</v>
      </c>
      <c r="D49" s="11" t="str">
        <v>Number of innovations (innovation development)</v>
      </c>
      <c r="E49" s="11" t="str">
        <v>Country: The Democratic Republic of the Congo, Ghana, Kenya, Nigeria, Tanzania, United Republic, Malawi, Mexico, Ethiopia, Egypt, Morocco, The Socialist Republic of Viet Nam, India, Philippines, Cambodia</v>
      </c>
      <c r="F49" s="11">
        <v>5</v>
      </c>
      <c r="G49" s="11">
        <v>60000</v>
      </c>
      <c r="I49" s="11" t="str">
        <v>2026 Budget</v>
      </c>
    </row>
    <row r="50" ht="50" customHeight="1">
      <c r="A50" s="11" t="str">
        <v>AOW05</v>
      </c>
      <c r="C50" s="11" t="str">
        <v>Multi-stakeholder partnership platforms (PAASSs) engaging diverse partners to support the scaling of bundled solutions for multiple crops (cassava, maize, sorghum, soybean, teff, rice, cocoa, coffee, etc) and livestock emerging from AoWs 1–3 in different locations and countries.</v>
      </c>
      <c r="D50" s="11" t="str">
        <v xml:space="preserve"> Number of Partners engaged</v>
      </c>
      <c r="E50" s="11" t="str">
        <v>Country: Kenya, Ghana, Mexico, Malawi, Tanzania, United Republic, Nigeria, Cambodia, India, Philippines, The Socialist Republic of Viet Nam, Ethiopia</v>
      </c>
      <c r="F50" s="11">
        <v>60</v>
      </c>
      <c r="G50" s="11">
        <v>55910</v>
      </c>
      <c r="I50" s="11" t="str">
        <v>2026 budget</v>
      </c>
    </row>
    <row r="51" ht="50" customHeight="1">
      <c r="A51" s="11" t="str">
        <v>AOW05</v>
      </c>
      <c r="C51" s="11" t="str">
        <v>Stakeholders trained and actively engaged on the use and benefits of innovations and bundled solutions, including through farmer and service provider trainings, reports and factsheets, and advocacy and policy roundtable dialogues (e.g., PAASS events, ARDPLAC annual meetings, DAR workshops).</v>
      </c>
      <c r="D51" s="11" t="str">
        <v>Number of people trained (capacity sharing for development)</v>
      </c>
      <c r="E51" s="11" t="str">
        <v>Global</v>
      </c>
      <c r="F51" s="11">
        <v>70000</v>
      </c>
      <c r="G51" s="11">
        <v>70000</v>
      </c>
      <c r="I51" s="11" t="str">
        <v>2026 budget</v>
      </c>
    </row>
    <row r="52" ht="25" customHeight="1">
      <c r="B52" s="15" t="str">
        <v>HLO budget subtotal</v>
      </c>
      <c r="H52" s="15">
        <f>SUM(H35:H51)</f>
      </c>
    </row>
  </sheetData>
  <mergeCells count="31">
    <mergeCell ref="A1:A2"/>
    <mergeCell ref="B1:B2"/>
    <mergeCell ref="C1:G1"/>
    <mergeCell ref="H1:H2"/>
    <mergeCell ref="I1:I2"/>
    <mergeCell ref="B3:B9"/>
    <mergeCell ref="H3:H9"/>
    <mergeCell ref="B10:B12"/>
    <mergeCell ref="H10:H12"/>
    <mergeCell ref="B13:B14"/>
    <mergeCell ref="H13:H14"/>
    <mergeCell ref="B15:G15"/>
    <mergeCell ref="A3:A15"/>
    <mergeCell ref="B16:B22"/>
    <mergeCell ref="H16:H22"/>
    <mergeCell ref="B23:B24"/>
    <mergeCell ref="H23:H24"/>
    <mergeCell ref="B25:G25"/>
    <mergeCell ref="A16:A25"/>
    <mergeCell ref="B27:B32"/>
    <mergeCell ref="H27:H32"/>
    <mergeCell ref="B34:G34"/>
    <mergeCell ref="A26:A34"/>
    <mergeCell ref="B35:B45"/>
    <mergeCell ref="H35:H45"/>
    <mergeCell ref="B46:B47"/>
    <mergeCell ref="H46:H47"/>
    <mergeCell ref="B48:B51"/>
    <mergeCell ref="H48:H51"/>
    <mergeCell ref="B52:G52"/>
    <mergeCell ref="A35:A52"/>
  </mergeCells>
  <ignoredErrors>
    <ignoredError numberStoredAsText="1" sqref="A1:I52"/>
  </ignoredErrors>
</worksheet>
</file>

<file path=xl/worksheets/sheet4.xml><?xml version="1.0" encoding="utf-8"?>
<worksheet xmlns="http://schemas.openxmlformats.org/spreadsheetml/2006/main" xmlns:r="http://schemas.openxmlformats.org/officeDocument/2006/relationships">
  <dimension ref="A1:F4"/>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c r="A2" s="12" t="str">
        <v>AOW01</v>
      </c>
      <c r="B2" s="11" t="str">
        <v>Firm Builders International Services</v>
      </c>
      <c r="C2" s="11" t="str">
        <v>1.1: Agronomic and farm management scientific data and analytics</v>
      </c>
      <c r="D2" s="11" t="str">
        <v>Nigeria</v>
      </c>
      <c r="E2" s="11">
        <v>5000</v>
      </c>
      <c r="F2" s="11" t="str">
        <v>2026 cooperation</v>
      </c>
    </row>
    <row r="3" ht="70" customHeight="1">
      <c r="A3" s="11" t="str">
        <v>AOW01</v>
      </c>
      <c r="B3" s="11" t="str">
        <v>Mohammed VI Polytechnic University</v>
      </c>
      <c r="C3" s="11" t="str">
        <v>1.1: Agronomic and farm management scientific data and analytics</v>
      </c>
      <c r="D3" s="11" t="str">
        <v>Morocco</v>
      </c>
      <c r="E3" s="11">
        <v>15000</v>
      </c>
      <c r="F3" s="11" t="str">
        <v>2026 cooperation</v>
      </c>
    </row>
    <row r="4" ht="25" customHeight="1">
      <c r="B4" s="14" t="str">
        <v>Contracted partners subtotal</v>
      </c>
      <c r="E4" s="14">
        <f>SUM(E2:E3)</f>
      </c>
    </row>
  </sheetData>
  <mergeCells count="2">
    <mergeCell ref="B4:D4"/>
    <mergeCell ref="A2:A4"/>
  </mergeCells>
  <ignoredErrors>
    <ignoredError numberStoredAsText="1" sqref="A1:F4"/>
  </ignoredErrors>
</worksheet>
</file>

<file path=xl/worksheets/sheet5.xml><?xml version="1.0" encoding="utf-8"?>
<worksheet xmlns="http://schemas.openxmlformats.org/spreadsheetml/2006/main" xmlns:r="http://schemas.openxmlformats.org/officeDocument/2006/relationships">
  <dimension ref="A1:F11"/>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PJ-003897: Soil Values</v>
      </c>
      <c r="B2" s="19" t="str">
        <v>AOW05</v>
      </c>
      <c r="C2" s="18" t="str">
        <v xml:space="preserve">5.1. Prioritization logic for deployment via partnership platforms available </v>
      </c>
      <c r="D2" s="19">
        <v>129526</v>
      </c>
      <c r="E2" s="19" t="str">
        <f>=SUM(D2:D4)</f>
        <v>0</v>
      </c>
      <c r="F2" s="19" t="str">
        <v>2026 budget</v>
      </c>
    </row>
    <row r="3" ht="30" customHeight="1">
      <c r="A3" s="18" t="str">
        <v>PJ-003897: Soil Values</v>
      </c>
      <c r="B3" s="19" t="str">
        <v>AOW01</v>
      </c>
      <c r="C3" s="18" t="str">
        <v xml:space="preserve">1.1: Partners running AI-enabled advisory services integrate evidence-based data </v>
      </c>
      <c r="D3" s="19">
        <v>129526</v>
      </c>
      <c r="F3" s="19" t="str">
        <v>2026 budget</v>
      </c>
    </row>
    <row r="4" ht="30" customHeight="1">
      <c r="A4" s="18" t="str">
        <v>PJ-003897: Soil Values</v>
      </c>
      <c r="B4" s="19" t="str">
        <v>AOW03</v>
      </c>
      <c r="C4" s="18" t="str">
        <v>3.2: Farmers and extension agents adopt integrated farm management solutions</v>
      </c>
      <c r="D4" s="19">
        <v>129527</v>
      </c>
      <c r="F4" s="19" t="str">
        <v>2026 budget</v>
      </c>
    </row>
    <row r="5" ht="30" customHeight="1">
      <c r="A5" s="18" t="str">
        <v>T-PJ-003835-EU/IITA - FOOD SAFETY FOR AFRICA - ADDRESSING FO</v>
      </c>
      <c r="B5" s="19" t="str">
        <v>AOW03</v>
      </c>
      <c r="C5" s="18" t="str">
        <v xml:space="preserve">3.3: Scaled and adopted farm management solutions </v>
      </c>
      <c r="D5" s="19">
        <v>276490</v>
      </c>
      <c r="E5" s="19" t="str">
        <f>=SUM(D5:D5)</f>
        <v>0</v>
      </c>
      <c r="F5" s="19" t="str">
        <v>2026 Budget from the dashboard</v>
      </c>
    </row>
    <row r="6" ht="30" customHeight="1">
      <c r="A6" s="18" t="str">
        <v>PJ-003938: Food Systems Resilience Program interventions in Feed Salone</v>
      </c>
      <c r="B6" s="19" t="str">
        <v>AOW03</v>
      </c>
      <c r="C6" s="18" t="str">
        <v xml:space="preserve">3.3: Scaled and adopted farm management solutions </v>
      </c>
      <c r="D6" s="19">
        <v>494432</v>
      </c>
      <c r="E6" s="19" t="str">
        <f>=SUM(D6:D6)</f>
        <v>0</v>
      </c>
      <c r="F6" s="19" t="str">
        <v>2026 Budget from the dashboard</v>
      </c>
    </row>
    <row r="7" ht="30" customHeight="1">
      <c r="A7" s="18" t="str">
        <v>T-PJ-003942-IITA Accelerated Innovation Delivery Initiative (AID-I) for Mozambique</v>
      </c>
      <c r="B7" s="19" t="str">
        <v>AOW03</v>
      </c>
      <c r="C7" s="18" t="str">
        <v xml:space="preserve">3.3: Scaled and adopted farm management solutions </v>
      </c>
      <c r="D7" s="19">
        <v>487297</v>
      </c>
      <c r="E7" s="19" t="str">
        <f>=SUM(D7:D7)</f>
        <v>0</v>
      </c>
      <c r="F7" s="19" t="str">
        <v>2026 Budget from the dashboard</v>
      </c>
    </row>
    <row r="8" ht="30" customHeight="1">
      <c r="A8" s="18" t="str">
        <v>T-PJ-003866-Liberia Land and Soil Resources Knowledge project (Soils4Liberia)</v>
      </c>
      <c r="B8" s="19" t="str">
        <v>AOW03</v>
      </c>
      <c r="C8" s="18" t="str">
        <v xml:space="preserve">3.1: Farm-level diagnostic evidence on soil, plant, water, and socio-economic constraints </v>
      </c>
      <c r="D8" s="19">
        <v>524677</v>
      </c>
      <c r="E8" s="19" t="str">
        <f>=SUM(D8:D8)</f>
        <v>0</v>
      </c>
      <c r="F8" s="19" t="str">
        <v>2026 budget from the dashboard</v>
      </c>
    </row>
    <row r="9" ht="30" customHeight="1">
      <c r="A9" s="18" t="str">
        <v>T-PJ-003763-IITA Accelerated Innovation Delivery Initiative</v>
      </c>
      <c r="B9" s="19" t="str">
        <v>AOW03</v>
      </c>
      <c r="C9" s="18" t="str">
        <v xml:space="preserve">3.1: Farm-level diagnostic evidence on soil, plant, water, and socio-economic constraints </v>
      </c>
      <c r="D9" s="19">
        <v>0</v>
      </c>
      <c r="E9" s="19" t="str">
        <f>=SUM(D9:D9)</f>
        <v>0</v>
      </c>
    </row>
    <row r="10" ht="30" customHeight="1">
      <c r="A10" s="18" t="str">
        <v>T-PJ-003871-Making effective bioinputs work for smallholder farmers in SSA (Bio-SSA)</v>
      </c>
      <c r="B10" s="19" t="str">
        <v>AOW03</v>
      </c>
      <c r="C10" s="18" t="str">
        <v xml:space="preserve">3.1: Farm-level diagnostic evidence on soil, plant, water, and socio-economic constraints </v>
      </c>
      <c r="D10" s="19">
        <v>1240618</v>
      </c>
      <c r="E10" s="19" t="str">
        <f>=SUM(D10:D10)</f>
        <v>0</v>
      </c>
      <c r="F10" s="19" t="str">
        <v>2026 budget</v>
      </c>
    </row>
    <row r="11" ht="30" customHeight="1">
      <c r="A11" s="3" t="str">
        <v>W3/Bilateral projects subtotal</v>
      </c>
      <c r="E11" s="3">
        <f>SUM(E2:E10)</f>
      </c>
    </row>
  </sheetData>
  <mergeCells count="3">
    <mergeCell ref="A2:A4"/>
    <mergeCell ref="E2:E4"/>
    <mergeCell ref="A11:D11"/>
  </mergeCells>
  <ignoredErrors>
    <ignoredError numberStoredAsText="1" sqref="A1:F11"/>
  </ignoredErrors>
</worksheet>
</file>

<file path=xl/worksheets/sheet6.xml><?xml version="1.0" encoding="utf-8"?>
<worksheet xmlns="http://schemas.openxmlformats.org/spreadsheetml/2006/main" xmlns:r="http://schemas.openxmlformats.org/officeDocument/2006/relationships">
  <dimension ref="A1:F2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c r="A2" s="18" t="str">
        <v>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v>
      </c>
      <c r="B2" s="19" t="str">
        <v>AOW00</v>
      </c>
      <c r="C2" s="18" t="str">
        <v xml:space="preserve">5b: CGIAR and its partners leverage standardized tools, MELIA frameworks, partnership platforms, and FAIR, AI-ready </v>
      </c>
      <c r="D2" s="19">
        <v>0</v>
      </c>
      <c r="E2" s="19" t="str">
        <f>=SUM(D2:D5)</f>
        <v>0</v>
      </c>
    </row>
    <row r="3" ht="30" customHeight="1">
      <c r="A3" s="18" t="str">
        <v>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v>
      </c>
      <c r="B3" s="19" t="str">
        <v>AOW05</v>
      </c>
      <c r="C3" s="18" t="str">
        <v xml:space="preserve">5.4: SFP teams and partners use Standard MELIA tools and KPI framework </v>
      </c>
      <c r="D3" s="19">
        <v>45000</v>
      </c>
      <c r="F3" s="19" t="str">
        <v>2026 Budget</v>
      </c>
    </row>
    <row r="4" ht="30" customHeight="1">
      <c r="A4" s="18" t="str">
        <v>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v>
      </c>
      <c r="B4" s="19" t="str">
        <v>AOW02</v>
      </c>
      <c r="C4" s="18" t="str">
        <v>2.2: Extension agents and farmers access and apply timely, localized intelligence in decision-making</v>
      </c>
      <c r="D4" s="19">
        <v>0</v>
      </c>
    </row>
    <row r="5" ht="30" customHeight="1">
      <c r="A5" s="18" t="str">
        <v>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v>
      </c>
      <c r="B5" s="19" t="str">
        <v>AOW03</v>
      </c>
      <c r="C5" s="18" t="str">
        <v>3.2: Farmers and extension agents adopt integrated farm management solutions</v>
      </c>
      <c r="D5" s="19">
        <v>0</v>
      </c>
    </row>
    <row r="6" ht="30" customHeight="1">
      <c r="A6" s="18" t="str">
        <v>Partners satisfaction survey in developing and scaling mixed farming solutions</v>
      </c>
      <c r="B6" s="19" t="str">
        <v>AOW05</v>
      </c>
      <c r="C6" s="18" t="str">
        <v>5.5: SFP teams and partners collaborate through partnership platforms</v>
      </c>
      <c r="D6" s="19">
        <v>0</v>
      </c>
      <c r="E6" s="19" t="str">
        <f>=SUM(D6:D10)</f>
        <v>0</v>
      </c>
    </row>
    <row r="7" ht="30" customHeight="1">
      <c r="A7" s="18" t="str">
        <v>Partners satisfaction survey in developing and scaling mixed farming solutions</v>
      </c>
      <c r="B7" s="19" t="str">
        <v>AOW02</v>
      </c>
      <c r="C7" s="18" t="str">
        <v xml:space="preserve">2.1: National and local partners integrate localized water-related shocks </v>
      </c>
      <c r="D7" s="19">
        <v>0</v>
      </c>
    </row>
    <row r="8" ht="30" customHeight="1">
      <c r="A8" s="18" t="str">
        <v>Partners satisfaction survey in developing and scaling mixed farming solutions</v>
      </c>
      <c r="B8" s="19" t="str">
        <v>AOW01</v>
      </c>
      <c r="C8" s="18" t="str">
        <v>1.2: National extension services, private Agri-tech companies, and farmer organizations use digital and AI-enabled advisory systems.</v>
      </c>
      <c r="D8" s="19">
        <v>0</v>
      </c>
    </row>
    <row r="9" ht="30" customHeight="1">
      <c r="A9" s="18" t="str">
        <v>Partners satisfaction survey in developing and scaling mixed farming solutions</v>
      </c>
      <c r="B9" s="19" t="str">
        <v>AOW04</v>
      </c>
      <c r="C9" s="18" t="str">
        <v>4.1: Researchers and partners increasingly adopt a culture of innovation</v>
      </c>
      <c r="D9" s="19">
        <v>0</v>
      </c>
    </row>
    <row r="10" ht="30" customHeight="1">
      <c r="A10" s="18" t="str">
        <v>Partners satisfaction survey in developing and scaling mixed farming solutions</v>
      </c>
      <c r="B10" s="19" t="str">
        <v>AOW03</v>
      </c>
      <c r="C10" s="18" t="str">
        <v xml:space="preserve">3.1: National partners and institutions systematically embed inclusivity </v>
      </c>
      <c r="D10" s="19">
        <v>0</v>
      </c>
    </row>
    <row r="11" ht="30" customHeight="1">
      <c r="A11" s="18" t="str">
        <v>Causal impact assessment study on adoption and impacts of site-specific agronomy advisories implemented through a public-private partnership extension model in Rwanda, evaluating innovation performance, adoption mechanisms, and gender inclusivity to inform scaling.</v>
      </c>
      <c r="B11" s="19" t="str">
        <v>AOW05</v>
      </c>
      <c r="C11" s="18" t="str">
        <v xml:space="preserve">5.4: SFP teams and partners use Standard MELIA tools and KPI framework </v>
      </c>
      <c r="D11" s="19">
        <v>48000</v>
      </c>
      <c r="E11" s="19" t="str">
        <f>=SUM(D11:D14)</f>
        <v>0</v>
      </c>
      <c r="F11" s="19" t="str">
        <v>2026 Budget</v>
      </c>
    </row>
    <row r="12" ht="30" customHeight="1">
      <c r="A12" s="18" t="str">
        <v>Causal impact assessment study on adoption and impacts of site-specific agronomy advisories implemented through a public-private partnership extension model in Rwanda, evaluating innovation performance, adoption mechanisms, and gender inclusivity to inform scaling.</v>
      </c>
      <c r="B12" s="19" t="str">
        <v>AOW01</v>
      </c>
      <c r="C12" s="18" t="str">
        <v>1.4: Farmers provide continuous feedback on advisory tools</v>
      </c>
      <c r="D12" s="19">
        <v>0</v>
      </c>
    </row>
    <row r="13" ht="30" customHeight="1">
      <c r="A13" s="18" t="str">
        <v>Causal impact assessment study on adoption and impacts of site-specific agronomy advisories implemented through a public-private partnership extension model in Rwanda, evaluating innovation performance, adoption mechanisms, and gender inclusivity to inform scaling.</v>
      </c>
      <c r="B13" s="19" t="str">
        <v>AOW02</v>
      </c>
      <c r="C13" s="18" t="str">
        <v>2.2: Extension agents and farmers access and apply timely, localized intelligence in decision-making</v>
      </c>
      <c r="D13" s="19">
        <v>0</v>
      </c>
    </row>
    <row r="14" ht="30" customHeight="1">
      <c r="A14" s="18" t="str">
        <v>Causal impact assessment study on adoption and impacts of site-specific agronomy advisories implemented through a public-private partnership extension model in Rwanda, evaluating innovation performance, adoption mechanisms, and gender inclusivity to inform scaling.</v>
      </c>
      <c r="B14" s="19" t="str">
        <v>AOW03</v>
      </c>
      <c r="C14" s="18" t="str">
        <v>3.2: Farmers and extension agents adopt integrated farm management solutions</v>
      </c>
      <c r="D14" s="19">
        <v>0</v>
      </c>
    </row>
    <row r="15" ht="30" customHeight="1" xml:space="preserve">
      <c r="A15" s="18" t="str" xml:space="preserve">
        <v xml:space="preserve">Digital inclusivity of AI advisories and SFP solutions assessed using CGIAR Inclusivity Index to ensure equitable access for women, youth, and disadvantaged groups.
 </v>
      </c>
      <c r="B15" s="19" t="str">
        <v>AOW00</v>
      </c>
      <c r="C15" s="18" t="str">
        <v xml:space="preserve">5b: CGIAR and its partners leverage standardized tools, MELIA frameworks, partnership platforms, and FAIR, AI-ready </v>
      </c>
      <c r="D15" s="19">
        <v>0</v>
      </c>
      <c r="E15" s="19" t="str">
        <f>=SUM(D15:D17)</f>
        <v>0</v>
      </c>
    </row>
    <row r="16" ht="30" customHeight="1" xml:space="preserve">
      <c r="A16" s="18" t="str" xml:space="preserve">
        <v xml:space="preserve">Digital inclusivity of AI advisories and SFP solutions assessed using CGIAR Inclusivity Index to ensure equitable access for women, youth, and disadvantaged groups.
 </v>
      </c>
      <c r="B16" s="19" t="str">
        <v>AOW05</v>
      </c>
      <c r="C16" s="18" t="str">
        <v xml:space="preserve">5.4: SFP teams and partners use Standard MELIA tools and KPI framework </v>
      </c>
      <c r="D16" s="19">
        <v>10000</v>
      </c>
      <c r="F16" s="19" t="str">
        <v>2026 Budget</v>
      </c>
    </row>
    <row r="17" ht="30" customHeight="1" xml:space="preserve">
      <c r="A17" s="18" t="str" xml:space="preserve">
        <v xml:space="preserve">Digital inclusivity of AI advisories and SFP solutions assessed using CGIAR Inclusivity Index to ensure equitable access for women, youth, and disadvantaged groups.
 </v>
      </c>
      <c r="B17" s="19" t="str">
        <v>AOW01</v>
      </c>
      <c r="C17" s="18" t="str">
        <v xml:space="preserve">1.3: Partners adopt benchmarking tools </v>
      </c>
      <c r="D17" s="19">
        <v>0</v>
      </c>
    </row>
    <row r="18" ht="30" customHeight="1">
      <c r="A18" s="18" t="str">
        <v>Systematic assessment capturing farmer uptake, contextual adaptation, and scaling trajectories of validated solutions addressing binding constraints</v>
      </c>
      <c r="B18" s="19" t="str">
        <v>AOW00</v>
      </c>
      <c r="C18" s="18" t="str">
        <v xml:space="preserve">3d: Large-scale adoption of integrated solutions by farmers </v>
      </c>
      <c r="D18" s="19">
        <v>0</v>
      </c>
      <c r="E18" s="19" t="str">
        <f>=SUM(D18:D19)</f>
        <v>0</v>
      </c>
    </row>
    <row r="19" ht="30" customHeight="1">
      <c r="A19" s="18" t="str">
        <v>Systematic assessment capturing farmer uptake, contextual adaptation, and scaling trajectories of validated solutions addressing binding constraints</v>
      </c>
      <c r="B19" s="19" t="str">
        <v>AOW03</v>
      </c>
      <c r="C19" s="18" t="str">
        <v>3.2: Farmers and extension agents adopt integrated farm management solutions</v>
      </c>
      <c r="D19" s="19">
        <v>0</v>
      </c>
    </row>
    <row r="20" ht="30" customHeight="1">
      <c r="A20" s="18" t="str">
        <v>A survey report on adoption and diffusion study through partnership platforms to track uptake and scaling of integrated farm management solutions, generating evidence for informed scaling.</v>
      </c>
      <c r="B20" s="19" t="str">
        <v>AOW05</v>
      </c>
      <c r="C20" s="18" t="str">
        <v xml:space="preserve">5.4: SFP teams and partners use Standard MELIA tools and KPI framework </v>
      </c>
      <c r="D20" s="19">
        <v>45000</v>
      </c>
      <c r="E20" s="19" t="str">
        <f>=SUM(D20:D22)</f>
        <v>0</v>
      </c>
      <c r="F20" s="19" t="str">
        <v>2026 Budget</v>
      </c>
    </row>
    <row r="21" ht="30" customHeight="1">
      <c r="A21" s="18" t="str">
        <v>A survey report on adoption and diffusion study through partnership platforms to track uptake and scaling of integrated farm management solutions, generating evidence for informed scaling.</v>
      </c>
      <c r="B21" s="19" t="str">
        <v>AOW00</v>
      </c>
      <c r="C21" s="18" t="str">
        <v xml:space="preserve">3d: Large-scale adoption of integrated solutions by farmers </v>
      </c>
      <c r="D21" s="19">
        <v>0</v>
      </c>
    </row>
    <row r="22" ht="30" customHeight="1">
      <c r="A22" s="18" t="str">
        <v>A survey report on adoption and diffusion study through partnership platforms to track uptake and scaling of integrated farm management solutions, generating evidence for informed scaling.</v>
      </c>
      <c r="B22" s="19" t="str">
        <v>AOW03</v>
      </c>
      <c r="C22" s="18" t="str">
        <v>3.2: Farmers and extension agents adopt integrated farm management solutions</v>
      </c>
      <c r="D22" s="19">
        <v>0</v>
      </c>
    </row>
    <row r="23" ht="30" customHeight="1">
      <c r="A23" s="3" t="str">
        <v>MELIA Studies Budget subtotal</v>
      </c>
      <c r="E23" s="3">
        <f>SUM(E2:E22)</f>
      </c>
    </row>
  </sheetData>
  <mergeCells count="13">
    <mergeCell ref="A2:A5"/>
    <mergeCell ref="A6:A10"/>
    <mergeCell ref="A11:A14"/>
    <mergeCell ref="A15:A17"/>
    <mergeCell ref="A18:A19"/>
    <mergeCell ref="A20:A22"/>
    <mergeCell ref="E2:E5"/>
    <mergeCell ref="E6:E10"/>
    <mergeCell ref="E11:E14"/>
    <mergeCell ref="E15:E17"/>
    <mergeCell ref="E18:E19"/>
    <mergeCell ref="E20:E22"/>
    <mergeCell ref="A23:D23"/>
  </mergeCells>
  <ignoredErrors>
    <ignoredError numberStoredAsText="1" sqref="A1:F2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20000</v>
      </c>
      <c r="D2" s="20">
        <v>0</v>
      </c>
      <c r="E2" s="20">
        <v>0</v>
      </c>
      <c r="F2" s="20">
        <v>0</v>
      </c>
      <c r="G2" s="20">
        <v>0</v>
      </c>
      <c r="H2" s="20" t="str">
        <f>=SUM(B2:G2)</f>
        <v>0</v>
      </c>
    </row>
    <row r="3" ht="20" customHeight="1">
      <c r="A3" s="20" t="str">
        <v>Operations (supplies, consultants, travels, workshops, other)</v>
      </c>
      <c r="B3" s="20">
        <v>86468</v>
      </c>
      <c r="C3" s="20">
        <v>11872</v>
      </c>
      <c r="D3" s="20">
        <v>168797</v>
      </c>
      <c r="E3" s="20">
        <v>361704</v>
      </c>
      <c r="F3" s="20">
        <v>0</v>
      </c>
      <c r="G3" s="20">
        <v>193113</v>
      </c>
      <c r="H3" s="20" t="str">
        <f>=SUM(B3:G3)</f>
        <v>0</v>
      </c>
    </row>
    <row r="4" ht="20" customHeight="1">
      <c r="A4" s="20" t="str">
        <v>Staffing, Chargebacks and Indirect</v>
      </c>
      <c r="B4" s="20">
        <v>277025</v>
      </c>
      <c r="C4" s="20">
        <v>451927</v>
      </c>
      <c r="D4" s="20">
        <v>658337</v>
      </c>
      <c r="E4" s="20">
        <v>846610</v>
      </c>
      <c r="F4" s="20">
        <v>0</v>
      </c>
      <c r="G4" s="20">
        <v>687164</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