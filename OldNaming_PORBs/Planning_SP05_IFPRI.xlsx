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158394</v>
      </c>
      <c r="M4" s="5">
        <v>569471</v>
      </c>
    </row>
    <row r="5" ht="20" customHeight="1">
      <c r="A5" s="2" t="str">
        <v>AOW01: Consumers and Food Environments</v>
      </c>
      <c r="B5" s="2">
        <v>3</v>
      </c>
      <c r="C5" s="5">
        <v>333117</v>
      </c>
      <c r="D5" s="2">
        <v>20</v>
      </c>
      <c r="E5" s="5">
        <v>1339431</v>
      </c>
      <c r="F5" s="2">
        <v>1</v>
      </c>
      <c r="G5" s="5">
        <v>90454</v>
      </c>
      <c r="H5" s="2">
        <v>0</v>
      </c>
      <c r="I5" s="5">
        <v>0</v>
      </c>
      <c r="J5" s="5">
        <v>5</v>
      </c>
      <c r="K5" s="5">
        <v>0</v>
      </c>
      <c r="L5" s="5">
        <v>1763007</v>
      </c>
      <c r="M5" s="5">
        <v>0</v>
      </c>
    </row>
    <row r="6" ht="20" customHeight="1">
      <c r="A6" s="2" t="str">
        <v>AOW02: Market Systems</v>
      </c>
      <c r="B6" s="2">
        <v>2</v>
      </c>
      <c r="C6" s="5">
        <v>122936</v>
      </c>
      <c r="D6" s="2">
        <v>12</v>
      </c>
      <c r="E6" s="5">
        <v>697621</v>
      </c>
      <c r="F6" s="2">
        <v>0</v>
      </c>
      <c r="G6" s="5">
        <v>0</v>
      </c>
      <c r="H6" s="2">
        <v>2</v>
      </c>
      <c r="I6" s="5">
        <v>119601</v>
      </c>
      <c r="J6" s="5">
        <v>4</v>
      </c>
      <c r="K6" s="5">
        <v>1</v>
      </c>
      <c r="L6" s="5">
        <v>940163</v>
      </c>
      <c r="M6" s="5">
        <v>0</v>
      </c>
    </row>
    <row r="7" ht="20" customHeight="1">
      <c r="A7" s="2" t="str">
        <v>AOW03: End-to-end Solutions</v>
      </c>
      <c r="B7" s="2">
        <v>25</v>
      </c>
      <c r="C7" s="5">
        <v>1504256</v>
      </c>
      <c r="D7" s="2">
        <v>21</v>
      </c>
      <c r="E7" s="5">
        <v>1162228</v>
      </c>
      <c r="F7" s="2">
        <v>20</v>
      </c>
      <c r="G7" s="5">
        <v>133993</v>
      </c>
      <c r="H7" s="2">
        <v>1</v>
      </c>
      <c r="I7" s="5">
        <v>50000</v>
      </c>
      <c r="J7" s="5">
        <v>7</v>
      </c>
      <c r="K7" s="5">
        <v>2</v>
      </c>
      <c r="L7" s="5">
        <v>2850486</v>
      </c>
      <c r="M7" s="5">
        <v>0</v>
      </c>
    </row>
    <row r="8" ht="20" customHeight="1">
      <c r="A8" s="2" t="str">
        <v>AOW04: Biofortified and Health-enhancing Staples</v>
      </c>
      <c r="B8" s="2">
        <v>0</v>
      </c>
      <c r="C8" s="5">
        <v>0</v>
      </c>
      <c r="D8" s="2">
        <v>2</v>
      </c>
      <c r="E8" s="5">
        <v>50000</v>
      </c>
      <c r="F8" s="2">
        <v>0</v>
      </c>
      <c r="G8" s="5">
        <v>0</v>
      </c>
      <c r="H8" s="2">
        <v>0</v>
      </c>
      <c r="I8" s="5">
        <v>0</v>
      </c>
      <c r="J8" s="5">
        <v>0</v>
      </c>
      <c r="K8" s="5">
        <v>0</v>
      </c>
      <c r="L8" s="5">
        <v>50000</v>
      </c>
      <c r="M8" s="5">
        <v>1011133</v>
      </c>
    </row>
    <row r="9" ht="20" customHeight="1">
      <c r="A9" s="2" t="str">
        <v>AOW05: Multisectoral systems</v>
      </c>
      <c r="B9" s="2">
        <v>0</v>
      </c>
      <c r="C9" s="5">
        <v>0</v>
      </c>
      <c r="D9" s="2">
        <v>0</v>
      </c>
      <c r="E9" s="5">
        <v>0</v>
      </c>
      <c r="F9" s="2">
        <v>0</v>
      </c>
      <c r="G9" s="5">
        <v>0</v>
      </c>
      <c r="H9" s="2">
        <v>0</v>
      </c>
      <c r="I9" s="5">
        <v>0</v>
      </c>
      <c r="J9" s="5">
        <v>0</v>
      </c>
      <c r="K9" s="5">
        <v>0</v>
      </c>
      <c r="L9" s="5">
        <v>0</v>
      </c>
      <c r="M9" s="5">
        <v>2965579</v>
      </c>
    </row>
    <row r="10" ht="20" customHeight="1">
      <c r="A10" s="2" t="str">
        <v>AOW06: Transformative leadership</v>
      </c>
      <c r="B10" s="2">
        <v>0</v>
      </c>
      <c r="C10" s="5">
        <v>0</v>
      </c>
      <c r="D10" s="2">
        <v>5</v>
      </c>
      <c r="E10" s="5">
        <v>121400</v>
      </c>
      <c r="F10" s="2">
        <v>0</v>
      </c>
      <c r="G10" s="5">
        <v>0</v>
      </c>
      <c r="H10" s="2">
        <v>13</v>
      </c>
      <c r="I10" s="5">
        <v>285551</v>
      </c>
      <c r="J10" s="5">
        <v>0</v>
      </c>
      <c r="K10" s="5">
        <v>0</v>
      </c>
      <c r="L10" s="5">
        <v>406951</v>
      </c>
      <c r="M10" s="5">
        <v>689102</v>
      </c>
    </row>
    <row r="11" ht="25" customHeight="1">
      <c r="A11" s="6" t="str">
        <v>Total</v>
      </c>
      <c r="B11" s="7">
        <f>SUM(B4:B10)</f>
      </c>
      <c r="C11" s="7">
        <f>SUM(C4:C10)</f>
      </c>
      <c r="D11" s="7">
        <f>SUM(D4:D10)</f>
      </c>
      <c r="E11" s="7">
        <f>SUM(E4:E10)</f>
      </c>
      <c r="F11" s="7">
        <f>SUM(F4:F10)</f>
      </c>
      <c r="G11" s="7">
        <f>SUM(G4:G10)</f>
      </c>
      <c r="H11" s="7">
        <f>SUM(H4:H10)</f>
      </c>
      <c r="I11" s="7">
        <f>SUM(I4:I10)</f>
      </c>
      <c r="J11" s="7">
        <f>SUM(J4:J10)</f>
      </c>
      <c r="K11" s="7">
        <f>SUM(K4:K10)</f>
      </c>
      <c r="L11" s="7">
        <f>SUM(L4:L10)</f>
      </c>
      <c r="M11" s="7">
        <f>SUM(M4:M10)</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1"/>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SO Finance Support</v>
      </c>
      <c r="D2" s="11">
        <v>0</v>
      </c>
    </row>
    <row r="3" ht="45" customHeight="1">
      <c r="A3" s="11" t="str">
        <v>AOW00</v>
      </c>
      <c r="B3" s="11" t="str">
        <v>Discretionary funds</v>
      </c>
      <c r="D3" s="11">
        <v>0</v>
      </c>
    </row>
    <row r="4" ht="45" customHeight="1">
      <c r="A4" s="11" t="str">
        <v>AOW00</v>
      </c>
      <c r="B4" s="11" t="str">
        <v>AoW Leads</v>
      </c>
      <c r="D4" s="11">
        <v>0</v>
      </c>
    </row>
    <row r="5" ht="45" customHeight="1">
      <c r="A5" s="11" t="str">
        <v>AOW00</v>
      </c>
      <c r="B5" s="11" t="str">
        <v>Director costs</v>
      </c>
      <c r="D5" s="11">
        <v>0</v>
      </c>
    </row>
    <row r="6" ht="45" customHeight="1">
      <c r="A6" s="11" t="str">
        <v>AOW00</v>
      </c>
      <c r="B6" s="11" t="str">
        <v>PMU (Coordinator, MELIA + Communication)</v>
      </c>
      <c r="D6" s="11">
        <v>158394</v>
      </c>
      <c r="E6" s="11" t="str">
        <v>Program Coordinator of 0.8fte considered as crucial for a viable program.</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6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Policy options and engagement that support effective management of national action plans and other policy processes, for food systems transformation in  support of sustainable healthy diets</v>
      </c>
      <c r="C3" s="11" t="str">
        <v>Critical Capabilities: Brief describing the RCT to assess impacts of a national electronic food voucher program in the Philippines and a recently concluded vendor business training program among fruit and vegetables vendors</v>
      </c>
      <c r="D3" s="11" t="str">
        <v>Number of knowledge products</v>
      </c>
      <c r="E3" s="11" t="str">
        <v>Country: Philippines</v>
      </c>
      <c r="F3" s="11">
        <v>1</v>
      </c>
      <c r="G3" s="11">
        <v>45834</v>
      </c>
      <c r="H3" s="11">
        <f>SUM(G3:G8)</f>
      </c>
      <c r="I3" s="11" t="str">
        <v>Estimated costs for time of interdisciplinary teams of researchers and local partners, data collection costs</v>
      </c>
    </row>
    <row r="4" ht="50" customHeight="1">
      <c r="A4" s="11" t="str">
        <v>AOW01</v>
      </c>
      <c r="C4" s="11" t="str">
        <v>Dissemination products and events describing key, policy-relevant messages from the food environment and dietary data analyses and results</v>
      </c>
      <c r="D4" s="11" t="str">
        <v>Number of knowledge products</v>
      </c>
      <c r="E4" s="11" t="str">
        <v>Country: The Socialist Republic of Viet Nam, Ghana, Ethiopia</v>
      </c>
      <c r="F4" s="11">
        <v>3</v>
      </c>
      <c r="G4" s="11">
        <v>128695</v>
      </c>
      <c r="I4" s="11" t="str">
        <v>Estimated costs for time of interdisciplinary teams of researchers and local partners, data collection costs</v>
      </c>
    </row>
    <row r="5" ht="50" customHeight="1">
      <c r="A5" s="11" t="str">
        <v>AOW01</v>
      </c>
      <c r="C5" s="11" t="str">
        <v>Rollout of the next levels of the ToT program and new trainers trained</v>
      </c>
      <c r="D5" s="11" t="str">
        <v>Number of people trained (capacity sharing for development)</v>
      </c>
      <c r="E5" s="11" t="str">
        <v>Country: Ethiopia, Bangladesh</v>
      </c>
      <c r="F5" s="11">
        <v>1</v>
      </c>
      <c r="G5" s="11">
        <v>90454</v>
      </c>
      <c r="I5" s="11" t="str">
        <v>Estimated costs for time of interdisciplinary teams of researchers and local partners, data collection costs</v>
      </c>
    </row>
    <row r="6" ht="50" customHeight="1">
      <c r="A6" s="11" t="str">
        <v>AOW01</v>
      </c>
      <c r="C6" s="11" t="str">
        <v xml:space="preserve">Initial policy process documentation framework and pilot design for tool to monitor the process of national food systems transformation </v>
      </c>
      <c r="D6" s="11" t="str">
        <v>Number of knowledge products</v>
      </c>
      <c r="E6" s="11" t="str">
        <v>Country: The Socialist Republic of Viet Nam, Bangladesh</v>
      </c>
      <c r="F6" s="11">
        <v>2</v>
      </c>
      <c r="G6" s="11">
        <v>180907</v>
      </c>
      <c r="I6" s="11" t="str">
        <v>Estimated costs for time of interdisciplinary teams of researchers and local partners, data collection costs</v>
      </c>
    </row>
    <row r="7" ht="50" customHeight="1">
      <c r="A7" s="11" t="str">
        <v>AOW01</v>
      </c>
      <c r="C7" s="11" t="str">
        <v>Contextualized training of trainers (ToT) program designed to support actors working on steering food systems transformation towards sustainable healthy diets</v>
      </c>
      <c r="D7" s="11" t="str">
        <v>Number of innovations (innovation development)</v>
      </c>
      <c r="E7" s="11" t="str">
        <v>Country: The Socialist Republic of Viet Nam, Ethiopia, Bangladesh</v>
      </c>
      <c r="F7" s="11">
        <v>1</v>
      </c>
      <c r="G7" s="11">
        <v>90454</v>
      </c>
      <c r="I7" s="11" t="str">
        <v>Estimated costs for time of interdisciplinary teams of researchers and local partners, data collection costs. Contracted partner: Wageningen University and Research (WUR): 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 Contribution is also to other KPIs in HLO3 and in HLO1. Costs will be captured in the partner tab during the replan in Q2 2026.</v>
      </c>
    </row>
    <row r="8" ht="50" customHeight="1">
      <c r="A8" s="11" t="str">
        <v>AOW01</v>
      </c>
      <c r="C8" s="11" t="str">
        <v>Annual Country Coordination Unit workplan and support strategy, including joint activities with national partners implementing the food systems transformation agenda</v>
      </c>
      <c r="D8" s="11" t="str">
        <v>Number of knowledge products</v>
      </c>
      <c r="E8" s="11" t="str">
        <v>Country: Ethiopia, The Socialist Republic of Viet Nam, Bangladesh</v>
      </c>
      <c r="F8" s="11">
        <v>1</v>
      </c>
      <c r="G8" s="11">
        <v>90454</v>
      </c>
      <c r="I8" s="11" t="str">
        <v>Estimated costs for time of interdisciplinary teams of researchers and local partners, data collection costs</v>
      </c>
    </row>
    <row r="9" ht="50" customHeight="1">
      <c r="A9" s="11" t="str">
        <v>AOW01</v>
      </c>
      <c r="B9" s="11" t="str">
        <v>Suite of solutions focused on consumers that promote consumption of sustainable heathy diets co-developed, tested, and scaled with technical support and country engagement</v>
      </c>
      <c r="C9" s="11" t="str">
        <v>Critical Capabilities: Data analysis plan for the RCT to assess impacts of a national electronic food voucher program in the Philippines and a recently concluded vendor business training program among fruit and vegetables vendors</v>
      </c>
      <c r="D9" s="11" t="str">
        <v>Number of knowledge products</v>
      </c>
      <c r="E9" s="11" t="str">
        <v>Country: Philippines</v>
      </c>
      <c r="F9" s="11">
        <v>1</v>
      </c>
      <c r="G9" s="11">
        <v>45833</v>
      </c>
      <c r="H9" s="11">
        <f>SUM(G9:G16)</f>
      </c>
      <c r="I9" s="11" t="str">
        <v>Estimated costs for time of interdisciplinary teams of researchers and local partners, data collection costs</v>
      </c>
    </row>
    <row r="10" ht="50" customHeight="1">
      <c r="A10" s="11" t="str">
        <v>AOW01</v>
      </c>
      <c r="C10" s="11" t="str">
        <v>Critical Capabilities: Study protocol describing the cluster randomized controlled trial to assess impacts of a national electronic food voucher program in the Philippines and a recently concluded vendor business training program among fruit and vegetables vendors</v>
      </c>
      <c r="D10" s="11" t="str">
        <v>Number of knowledge products</v>
      </c>
      <c r="E10" s="11" t="str">
        <v>Country: Philippines</v>
      </c>
      <c r="F10" s="11">
        <v>1</v>
      </c>
      <c r="G10" s="11">
        <v>45833</v>
      </c>
      <c r="I10" s="11" t="str">
        <v>Estimated costs for time of interdisciplinary teams of researchers and local partners, data collection costs</v>
      </c>
    </row>
    <row r="11" ht="50" customHeight="1">
      <c r="A11" s="11" t="str">
        <v>AOW01</v>
      </c>
      <c r="C11" s="11" t="str">
        <v>Scientific manuscript on the use of usual dietary intake as a dependent variable</v>
      </c>
      <c r="D11" s="11" t="str">
        <v>Number of knowledge products</v>
      </c>
      <c r="E11" s="11" t="str">
        <v>Global</v>
      </c>
      <c r="F11" s="11">
        <v>1</v>
      </c>
      <c r="G11" s="11">
        <v>48333</v>
      </c>
      <c r="I11" s="11" t="str">
        <v>Estimated costs for time of interdiscipilinary teams of researchers and local partners, data collection costs</v>
      </c>
    </row>
    <row r="12" ht="50" customHeight="1">
      <c r="A12" s="11" t="str">
        <v>AOW01</v>
      </c>
      <c r="C12" s="11" t="str">
        <v>SAS code and user guide to use usual dietary intake as a dependent variable</v>
      </c>
      <c r="D12" s="11" t="str">
        <v>Number of knowledge products</v>
      </c>
      <c r="E12" s="11" t="str">
        <v>Global</v>
      </c>
      <c r="F12" s="11">
        <v>1</v>
      </c>
      <c r="G12" s="11">
        <v>48333</v>
      </c>
      <c r="I12" s="11" t="str">
        <v>Estimated costs for time of interdiscipilinary teams of researchers and local partners, data collection costs. contracted partner: University of California, Davis, US. The estimated budget to this partner is $40,000 for work on solutions focused on consumers that promote consumption of sustainable heathy diets. Costs will be captured in the partner tab during the replan in Q2 2026.</v>
      </c>
    </row>
    <row r="13" ht="50" customHeight="1">
      <c r="A13" s="11" t="str">
        <v>AOW01</v>
      </c>
      <c r="C13" s="11" t="str">
        <v>Scientific manuscripts describing the development and validation of the food safety perception scale</v>
      </c>
      <c r="D13" s="11" t="str">
        <v>Number of knowledge products</v>
      </c>
      <c r="E13" s="11" t="str">
        <v>Global</v>
      </c>
      <c r="F13" s="11">
        <v>2</v>
      </c>
      <c r="G13" s="11">
        <v>96666</v>
      </c>
      <c r="I13" s="11" t="str">
        <v>Estimated costs for time of interdiscipilinary teams of researchers and local partners, data collection costs</v>
      </c>
    </row>
    <row r="14" ht="50" customHeight="1">
      <c r="A14" s="11" t="str">
        <v>AOW01</v>
      </c>
      <c r="C14" s="11" t="str">
        <v>Papers describing results from the food environment and dietary data analyses</v>
      </c>
      <c r="D14" s="11" t="str">
        <v>Number of knowledge products</v>
      </c>
      <c r="E14" s="11" t="str">
        <v>Country: Ghana, The Socialist Republic of Viet Nam, Ethiopia</v>
      </c>
      <c r="F14" s="11">
        <v>4</v>
      </c>
      <c r="G14" s="11">
        <v>171543</v>
      </c>
      <c r="I14" s="11" t="str">
        <v>Estimated costs for time of interdiscipilinary teams of researchers and local partners, data collection costs</v>
      </c>
    </row>
    <row r="15" ht="50" customHeight="1">
      <c r="A15" s="11" t="str">
        <v>AOW01</v>
      </c>
      <c r="C15" s="11" t="str">
        <v>User guide for the food safety perception scale</v>
      </c>
      <c r="D15" s="11" t="str">
        <v>Number of knowledge products</v>
      </c>
      <c r="E15" s="11" t="str">
        <v>Global</v>
      </c>
      <c r="F15" s="11">
        <v>1</v>
      </c>
      <c r="G15" s="11">
        <v>48334</v>
      </c>
      <c r="I15" s="11" t="str">
        <v>Estimated costs for time of interdiscipilinary teams of researchers and local partners, data collection costs</v>
      </c>
    </row>
    <row r="16" ht="50" customHeight="1">
      <c r="A16" s="11" t="str">
        <v>AOW01</v>
      </c>
      <c r="C16" s="11" t="str">
        <v>Finalized food safety perception scale, an innovation that assesses food safety experiences and concerns of consumers in low- and middle-income countries and diagnoses constraints to consumption of sustainable nutritious foods</v>
      </c>
      <c r="D16" s="11" t="str">
        <v>Number of innovations (innovation development)</v>
      </c>
      <c r="E16" s="11" t="str">
        <v>Global</v>
      </c>
      <c r="F16" s="11">
        <v>1</v>
      </c>
      <c r="G16" s="11">
        <v>48334</v>
      </c>
      <c r="I16" s="11" t="str">
        <v>Estimated costs for time of interdiscipilinary teams of researchers and local partners, data collection costs. Contracted partner: University of South California, Davies, US. The estimated budget to this partner is $35,000 for work on solutions focused on consumers that promote consumption of sustainable heathy diets. Costs will be captured in the partner tab during the replan in Q2 2026.</v>
      </c>
    </row>
    <row r="17" ht="50" customHeight="1">
      <c r="A17" s="11" t="str">
        <v>AOW01</v>
      </c>
      <c r="B17" s="11" t="str">
        <v>Suite of solutions focused on vendors that promote employment opportunities and the sale of sustainable nutritious foods co-developed, tested, and scaled with technical support and country engagement</v>
      </c>
      <c r="C17" s="11" t="str">
        <v>Baseline field report of the RCT of the Quezon City vendor business school, an innovation to increase fruit and vegetable consumption</v>
      </c>
      <c r="D17" s="11" t="str">
        <v>Number of knowledge products</v>
      </c>
      <c r="E17" s="11" t="str">
        <v>Global</v>
      </c>
      <c r="F17" s="11">
        <v>1</v>
      </c>
      <c r="G17" s="11">
        <v>194333</v>
      </c>
      <c r="H17" s="11">
        <f>SUM(G17:G19)</f>
      </c>
      <c r="I17" s="11" t="str">
        <v>Estimated costs for time of interdiscipilinary teams of researchers and local partners, data collection costs. This will include a contract with a partner, like a data collection firm (TBD).</v>
      </c>
    </row>
    <row r="18" ht="50" customHeight="1">
      <c r="A18" s="11" t="str">
        <v>AOW01</v>
      </c>
      <c r="C18" s="11" t="str">
        <v>Study design and protocol for an RCT of the Quezon City vendor business school, an innovation to increase fruit and vegetable consumption</v>
      </c>
      <c r="D18" s="11" t="str">
        <v>Number of innovations (innovation development)</v>
      </c>
      <c r="E18" s="11" t="str">
        <v>Country: Philippines</v>
      </c>
      <c r="F18" s="11">
        <v>1</v>
      </c>
      <c r="G18" s="11">
        <v>194329</v>
      </c>
      <c r="I18" s="11" t="str">
        <v>Estimated costs for time of interdisciplinary teams of researchers and local partners, data collection costs. This will include a contract with a partner, like a data collection firm (TBD). Contracted partner: (1) "Collaborators non-CGIAR Centers" (Data collection partner Philippines). The estimated budget to this partner is $275,000 for work on solutions focused on both consumers that promote consumption of sustainable healthy diets and vendors that promote employment opportunities and the sale of sustainable nutritious foods. (2) other contracted partners foreseen are "Collaborators non-CGIAR Centers" (Data collection partners (Bangladesh, Ethiopia, Vietnam) with  estimated budget to partners (TBC) of $23,400 for work on solutions focused on both consumers that promote consumption of sustainable healthy diets and vendors that promote employment opportunities and the sale of sustainable nutritious foods, when opportunity arises through consultations with partners. Costs will be captured in the partner tab during the replan in Q2 2026.</v>
      </c>
    </row>
    <row r="19" ht="50" customHeight="1">
      <c r="A19" s="11" t="str">
        <v>AOW01</v>
      </c>
      <c r="C19" s="11" t="str">
        <v>Knowledge product describing the trial registration for the RCT of the Quezon City vendor business school, an innovation to increase fruit and vegetable consumption</v>
      </c>
      <c r="D19" s="11" t="str">
        <v>Number of knowledge products</v>
      </c>
      <c r="E19" s="11" t="str">
        <v>Country: Philippines</v>
      </c>
      <c r="F19" s="11">
        <v>1</v>
      </c>
      <c r="G19" s="11">
        <v>194333</v>
      </c>
      <c r="I19" s="11" t="str">
        <v>Estimated costs for time of interdisciplinary teams of researchers and local partners, data collection costs. This will include a contract with a partner, like a data collection firm (TBD).</v>
      </c>
    </row>
    <row r="20" ht="25" customHeight="1">
      <c r="B20" s="14" t="str">
        <v>HLO budget subtotal</v>
      </c>
      <c r="H20" s="15">
        <f>SUM(H3:H19)</f>
      </c>
    </row>
    <row r="21" ht="50" customHeight="1">
      <c r="A21" s="13" t="str">
        <v>AOW02</v>
      </c>
      <c r="B21" s="11" t="str">
        <v>Policy options and engagement that support domestic food and trade policies that promote sustainable healthy diets, and in particular, limit the growing supply and consumption of ultra-processed foods</v>
      </c>
      <c r="C21" s="11" t="str">
        <v>Critical Capabilities: Discussion paper and policy brief that both focus on the extent to which trade liberalization for animal source foods can play a role in improving the affordability and accessibility of healthy diet components</v>
      </c>
      <c r="D21" s="11" t="str">
        <v>Number of knowledge products</v>
      </c>
      <c r="E21" s="11" t="str">
        <v>Country: Nigeria</v>
      </c>
      <c r="F21" s="11">
        <v>2</v>
      </c>
      <c r="G21" s="11">
        <v>100000</v>
      </c>
      <c r="H21" s="11">
        <f>SUM(G21:G21)</f>
      </c>
      <c r="I21" s="11" t="str">
        <v>Personnel costs based on standard organizational salary scales.</v>
      </c>
    </row>
    <row r="22" ht="50" customHeight="1">
      <c r="A22" s="11" t="str">
        <v>AOW02</v>
      </c>
      <c r="B22" s="11" t="str">
        <v>Suite of solutions focused on farm input dealers, food traders, processors, and/or retailers that promote food quality and safety, reduce food loss, improve efficiency, and/or facilitate intermediation developed and tested with technical support and country engagement</v>
      </c>
      <c r="C22" s="11" t="str">
        <v>Discussion paper describing public and private benefits of meat decontamination and implications for policy implementation</v>
      </c>
      <c r="D22" s="11" t="str">
        <v>Number of knowledge products</v>
      </c>
      <c r="E22" s="11" t="str">
        <v>Country: Kenya, Ethiopia</v>
      </c>
      <c r="F22" s="11">
        <v>1</v>
      </c>
      <c r="G22" s="11">
        <v>63333</v>
      </c>
      <c r="H22" s="11">
        <f>SUM(G22:G27)</f>
      </c>
      <c r="I22" s="11" t="str">
        <v>Estimated costs for time of interdiscipilinary teams of researchers and local partners, data collection costs</v>
      </c>
    </row>
    <row r="23" ht="50" customHeight="1">
      <c r="A23" s="11" t="str">
        <v>AOW02</v>
      </c>
      <c r="C23" s="11" t="str">
        <v>Discussion paper on consumer acceptability of meat decontamination</v>
      </c>
      <c r="D23" s="11" t="str">
        <v>Number of knowledge products</v>
      </c>
      <c r="E23" s="11" t="str">
        <v>Country: Kenya, Ethiopia</v>
      </c>
      <c r="F23" s="11">
        <v>1</v>
      </c>
      <c r="G23" s="11">
        <v>63333</v>
      </c>
      <c r="I23" s="11" t="str">
        <v>Estimated costs for time of interdiscipilinary teams of researchers and local partners, data collection costs. Contracted partner: Addis Abeba University, Ethiopia. The estimated budget to this partner is $60,000 for work on solutions focused on farm input dealers, food traders, processors, and/or retailers that promote food quality and safety, reduce food loss, improve efficiency, and/or facilitate intermediation. Costs will be captured in the partner tab during the replan in Q2 2026.</v>
      </c>
    </row>
    <row r="24" ht="50" customHeight="1">
      <c r="A24" s="11" t="str">
        <v>AOW02</v>
      </c>
      <c r="C24" s="11" t="str">
        <v>Database for the network based survey for the end-to-end approach</v>
      </c>
      <c r="D24" s="11" t="str">
        <v>Number of knowledge products</v>
      </c>
      <c r="E24" s="11" t="str">
        <v>Country: Tanzania, United Republic</v>
      </c>
      <c r="F24" s="11">
        <v>1</v>
      </c>
      <c r="G24" s="11">
        <v>66667</v>
      </c>
      <c r="I24" s="11" t="str">
        <v>Estimated costs for time of interdiscipilinary teams of researchers and local partners, data collection costs</v>
      </c>
    </row>
    <row r="25" ht="50" customHeight="1">
      <c r="A25" s="11" t="str">
        <v>AOW02</v>
      </c>
      <c r="C25" s="11" t="str">
        <v>Manuscript describing the methodology, lessons and implications of the network based survey for the end-to-end approach</v>
      </c>
      <c r="D25" s="11" t="str">
        <v>Number of knowledge products</v>
      </c>
      <c r="E25" s="11" t="str">
        <v>Country: Tanzania, United Republic</v>
      </c>
      <c r="F25" s="11">
        <v>1</v>
      </c>
      <c r="G25" s="11">
        <v>66667</v>
      </c>
      <c r="I25" s="11" t="str">
        <v>Estimated costs for time of interdiscipilinary teams of researchers and local partners, data collection costs</v>
      </c>
    </row>
    <row r="26" ht="50" customHeight="1">
      <c r="A26" s="11" t="str">
        <v>AOW02</v>
      </c>
      <c r="C26" s="11" t="str">
        <v>Stakeholder mapping and engagement related to the decontamination of meat</v>
      </c>
      <c r="D26" s="11" t="str">
        <v xml:space="preserve"> Number of stakeholder engagements</v>
      </c>
      <c r="E26" s="11" t="str">
        <v>Country: Kenya, Ethiopia</v>
      </c>
      <c r="F26" s="11">
        <v>1</v>
      </c>
      <c r="G26" s="11">
        <v>63334</v>
      </c>
      <c r="I26" s="11" t="str">
        <v>Estimated costs for time of interdiscipilinary teams of researchers and local partners, data collection costs</v>
      </c>
    </row>
    <row r="27" ht="50" customHeight="1">
      <c r="A27" s="11" t="str">
        <v>AOW02</v>
      </c>
      <c r="C27" s="11" t="str">
        <v>Network based survey methodology (documented using innovation profile)</v>
      </c>
      <c r="D27" s="11" t="str">
        <v>Number of innovations (innovation development)</v>
      </c>
      <c r="E27" s="11" t="str">
        <v>Country: Tanzania, United Republic</v>
      </c>
      <c r="F27" s="11">
        <v>1</v>
      </c>
      <c r="G27" s="11">
        <v>66666</v>
      </c>
      <c r="I27" s="11" t="str">
        <v>Estimated costs for time of interdiscipilinary teams of researchers and local partners, data collection costs</v>
      </c>
    </row>
    <row r="28" ht="50" customHeight="1">
      <c r="A28" s="11" t="str">
        <v>AOW02</v>
      </c>
      <c r="B28" s="11" t="str">
        <v>Tested solutions to increase access to finance to farm input dealers, food traders, processors, and/or retailers to increase growth in market systems for healthy foods</v>
      </c>
      <c r="C28" s="11" t="str">
        <v>Stakeholder workshop on insurance for nutrient-dense foods to build understanding across two countries</v>
      </c>
      <c r="D28" s="11" t="str">
        <v xml:space="preserve"> Number of stakeholder engagements</v>
      </c>
      <c r="E28" s="11" t="str">
        <v>Country: The Socialist Republic of Viet Nam, Philippines</v>
      </c>
      <c r="F28" s="11">
        <v>1</v>
      </c>
      <c r="G28" s="11">
        <v>56267</v>
      </c>
      <c r="H28" s="11">
        <f>SUM(G28:G33)</f>
      </c>
      <c r="I28" s="11" t="str">
        <v xml:space="preserve"> Meeting costs include venue, catering, materials, and facilitators, Contracted partner: Southeast Asian Regional Center for Graduate Study, Vietnam. The estimated budget to this partner is $10,000 for work on solutions focused on farm input dealers, food traders, processors, and/or retailers that promote food quality and safety, reduce food loss, improve efficiency, and/or facilitate intermediation. Costs will be captured in the partner tab during the replan in Q2 2026.</v>
      </c>
    </row>
    <row r="29" ht="50" customHeight="1">
      <c r="A29" s="11" t="str">
        <v>AOW02</v>
      </c>
      <c r="C29" s="11" t="str">
        <v xml:space="preserve">Scoping report on monitoring, reporting, and verification (MRV) targets for nutrition and diets being used by other agricultural funds    </v>
      </c>
      <c r="D29" s="11" t="str">
        <v>Number of knowledge products</v>
      </c>
      <c r="E29" s="11" t="str">
        <v>Global</v>
      </c>
      <c r="F29" s="11">
        <v>1</v>
      </c>
      <c r="G29" s="11">
        <v>56271</v>
      </c>
      <c r="I29" s="11" t="str">
        <v>Estimated costs for time of interdiscipilinary teams of reserchers and local partners, data collection costs</v>
      </c>
    </row>
    <row r="30" ht="50" customHeight="1">
      <c r="A30" s="11" t="str">
        <v>AOW02</v>
      </c>
      <c r="C30" s="11" t="str">
        <v xml:space="preserve">Report documenting metrics and framework for evaluating inclusive financing for MSMEs in market systems for healthy diets </v>
      </c>
      <c r="D30" s="11" t="str">
        <v>Number of knowledge products</v>
      </c>
      <c r="E30" s="11" t="str">
        <v>Global</v>
      </c>
      <c r="F30" s="11">
        <v>1</v>
      </c>
      <c r="G30" s="11">
        <v>56270</v>
      </c>
      <c r="I30" s="11" t="str">
        <v>Estimated costs for time of interdiscipilinary teams of researchers and local partners, data collection costs</v>
      </c>
    </row>
    <row r="31" ht="50" customHeight="1" xml:space="preserve">
      <c r="A31" s="11" t="str">
        <v>AOW02</v>
      </c>
      <c r="C31" s="11" t="str">
        <v>Reports describing availability of, and demand for, insurance products for nutrient-dense foods</v>
      </c>
      <c r="D31" s="11" t="str">
        <v>Number of knowledge products</v>
      </c>
      <c r="E31" s="11" t="str">
        <v>Country: Philippines, The Socialist Republic of Viet Nam</v>
      </c>
      <c r="F31" s="11">
        <v>2</v>
      </c>
      <c r="G31" s="11">
        <v>112540</v>
      </c>
      <c r="I31" s="11" t="str" xml:space="preserve">
        <v xml:space="preserve">Estimated costs for time of interdiscipilinary teams of researchers and local partners, data collection costs. Contracted partner: Institute for strategic policy analysis and environment 
(New name for Institute of Policy and Strategy for Agriculture and Rural Development (IPSARD), Vietnam); The estimated budget to this partner is $10,000 for work on solutions focused on farm input dealers, food traders, processors, and/or retailers that promote food quality and safety, reduce food loss, improve efficiency, and/or facilitate intermediation. Costs will be captured in the partner tab during the replan in Q2 2026.</v>
      </c>
    </row>
    <row r="32" ht="50" customHeight="1">
      <c r="A32" s="11" t="str">
        <v>AOW02</v>
      </c>
      <c r="C32" s="11" t="str">
        <v>Asset-based financing product (documented using innovation profile)</v>
      </c>
      <c r="D32" s="11" t="str">
        <v>Number of innovations (innovation development)</v>
      </c>
      <c r="E32" s="11" t="str">
        <v>Country: Bangladesh</v>
      </c>
      <c r="F32" s="11">
        <v>1</v>
      </c>
      <c r="G32" s="11">
        <v>56270</v>
      </c>
      <c r="I32" s="11" t="str">
        <v>Estimated costs for time of interdiscipilinary teams of researchers and local partners, data collection costs. Contracted partner: Shakti Foundation, Bangladesh. The estimated budget to this partner is $20,000 for work on tested solutions to increase access to finance to farm input dealers, food traders, processors, and/or retailers to increase growth in market systems for healthy foods. Costs will be captured in the partner tab during the replan in Q2 2026.</v>
      </c>
    </row>
    <row r="33" ht="50" customHeight="1">
      <c r="A33" s="11" t="str">
        <v>AOW02</v>
      </c>
      <c r="C33" s="11" t="str">
        <v xml:space="preserve">Motivating brief on role/need for innovative finance in markets for healthy foods and a discussion or working paper on first year results </v>
      </c>
      <c r="D33" s="11" t="str">
        <v>Number of knowledge products</v>
      </c>
      <c r="E33" s="11" t="str">
        <v>Country: Bangladesh</v>
      </c>
      <c r="F33" s="11">
        <v>2</v>
      </c>
      <c r="G33" s="11">
        <v>112540</v>
      </c>
      <c r="I33" s="11" t="str">
        <v>Estimated costs for time of interdiscipilinary teams of researchers and local partners, data collection costs</v>
      </c>
    </row>
    <row r="34" ht="25" customHeight="1">
      <c r="B34" s="15" t="str">
        <v>HLO budget subtotal</v>
      </c>
      <c r="H34" s="15">
        <f>SUM(H21:H33)</f>
      </c>
    </row>
    <row r="35" ht="50" customHeight="1">
      <c r="A35" s="13" t="str">
        <v>AOW03</v>
      </c>
      <c r="B35" s="11" t="str">
        <v xml:space="preserve"> Policy options and engagement that address constraints to sustainable healthy diets (AoW3)</v>
      </c>
      <c r="C35" s="11" t="str">
        <v xml:space="preserve">Engagement with key stakeholders disseminating findings </v>
      </c>
      <c r="D35" s="11" t="str">
        <v>Number of stakeholder engagements</v>
      </c>
      <c r="E35" s="11" t="str">
        <v>Country: Philippines</v>
      </c>
      <c r="F35" s="11">
        <v>1</v>
      </c>
      <c r="G35" s="11">
        <v>50000</v>
      </c>
      <c r="H35" s="11">
        <f>SUM(G35:G35)</f>
      </c>
      <c r="I35" s="11" t="str">
        <v xml:space="preserve"> Meeting costs include venue, catering, materials, and facilitators</v>
      </c>
    </row>
    <row r="36" ht="50" customHeight="1">
      <c r="A36" s="11" t="str">
        <v>AOW03</v>
      </c>
      <c r="B36" s="11" t="str">
        <v>Suite of end-to-end solutions for fruit and vegetable producers, traders, processors, and vendors/retailers that promote food quality and safety, reduce food loss, and increase profits co-developed, tested, and scaled</v>
      </c>
      <c r="C36" s="11" t="str">
        <v>Report of capacity sharing activities across countries and partners</v>
      </c>
      <c r="D36" s="11" t="str">
        <v>Number of knowledge products</v>
      </c>
      <c r="E36" s="11" t="str">
        <v>Country: Sri Lanka, Tanzania, United Republic, Benin</v>
      </c>
      <c r="F36" s="11">
        <v>1</v>
      </c>
      <c r="G36" s="11">
        <v>133000</v>
      </c>
      <c r="H36" s="11">
        <f>SUM(G36:G53)</f>
      </c>
      <c r="I36" s="11" t="str">
        <v>Personnel costs based on standard organizational salary scales.</v>
      </c>
    </row>
    <row r="37" ht="50" customHeight="1">
      <c r="A37" s="11" t="str">
        <v>AOW03</v>
      </c>
      <c r="C37" s="11" t="str">
        <v>Critical Capabilities: Manuscript describing the interlinkages between food environment indicators and consumers’ purchase behaviors in Sri Lanka</v>
      </c>
      <c r="D37" s="11" t="str">
        <v>Number of knowledge products</v>
      </c>
      <c r="E37" s="11" t="str">
        <v>Country: Sri Lanka</v>
      </c>
      <c r="F37" s="11">
        <v>1</v>
      </c>
      <c r="G37" s="11">
        <v>137500</v>
      </c>
      <c r="I37" s="11" t="str">
        <v>Personnel costs based on standard organizational salary scales.</v>
      </c>
    </row>
    <row r="38" ht="50" customHeight="1">
      <c r="A38" s="11" t="str">
        <v>AOW03</v>
      </c>
      <c r="C38" s="11" t="str">
        <v>Research manuscripts summarizing findings from the impact evaluation of the e-voucher program in the Philippines</v>
      </c>
      <c r="D38" s="11" t="str">
        <v>Number of knowledge products</v>
      </c>
      <c r="E38" s="11" t="str">
        <v>Country: Philippines</v>
      </c>
      <c r="F38" s="11">
        <v>2</v>
      </c>
      <c r="G38" s="11">
        <v>300000</v>
      </c>
      <c r="I38" s="11" t="str">
        <v>Personnel costs based on standard organizational salary scales. Contracted partner: University of the Philippines Los Baños; The estimated budget to this partner is $50,000 for work on end-to-end solutions for fruit and vegetable producers, traders, processors, and vendors/retailers that promote  food quality and safety, reduce food loss,and increase profits. Costs will be captured in the partner tab during the replan in Q2 2026.</v>
      </c>
    </row>
    <row r="39" ht="50" customHeight="1">
      <c r="A39" s="11" t="str">
        <v>AOW03</v>
      </c>
      <c r="C39" s="11" t="str">
        <v xml:space="preserve"> Paper on dietary intake from baseline of the end-to-end (E2E) evaluation in Sri Lanka</v>
      </c>
      <c r="D39" s="11" t="str">
        <v>Number of knowledge products</v>
      </c>
      <c r="E39" s="11" t="str">
        <v>Country: Sri Lanka</v>
      </c>
      <c r="F39" s="11">
        <v>1</v>
      </c>
      <c r="G39" s="11">
        <v>29328</v>
      </c>
      <c r="I39" s="11" t="str">
        <v>Personnel costs based on standard organizational salary scales.</v>
      </c>
    </row>
    <row r="40" ht="50" customHeight="1">
      <c r="A40" s="11" t="str">
        <v>AOW03</v>
      </c>
      <c r="C40" s="11" t="str">
        <v>Knowledge product describing monitoring and quality assurance systems for all end to end interventions in Tanzania</v>
      </c>
      <c r="D40" s="11" t="str">
        <v>Number of knowledge products</v>
      </c>
      <c r="E40" s="11" t="str">
        <v>Country: Tanzania, United Republic</v>
      </c>
      <c r="F40" s="11">
        <v>1</v>
      </c>
      <c r="G40" s="11">
        <v>180700</v>
      </c>
      <c r="I40" s="11" t="str">
        <v>Estimated costs for time of interdiscipilinary teams of researchers and local partners, data collection costs</v>
      </c>
    </row>
    <row r="41" ht="50" customHeight="1">
      <c r="A41" s="11" t="str">
        <v>AOW03</v>
      </c>
      <c r="C41" s="11" t="str">
        <v>Development of a "Safe Vegetables" brand, which features high quality produce (relying on an improved cool chain from farmer to consumer, packed and cooled correctly) and a hygienic display with clear pricing</v>
      </c>
      <c r="D41" s="11" t="str">
        <v>Number of innovations (innovation development)</v>
      </c>
      <c r="E41" s="11" t="str">
        <v>Country: Tanzania, United Republic</v>
      </c>
      <c r="F41" s="11">
        <v>1</v>
      </c>
      <c r="G41" s="11">
        <v>180700</v>
      </c>
      <c r="I41" s="11" t="str">
        <v>Estimated costs for time of interdiscipilinary teams of researchers and local partners, data collection costs. Contracted partner: Global Alliance for Improved Nutrition (GAIN), The estimated budget to this partner is $50,000 for work on end-to-end solutions for fruit and vegetable producers, traders, processors, and vendors/retailers that promote  food quality and safety, reduce food loss, and increase profits. Costs will be captured in the partner tab during the replan in Q2 2026.</v>
      </c>
    </row>
    <row r="42" ht="50" customHeight="1">
      <c r="A42" s="11" t="str">
        <v>AOW03</v>
      </c>
      <c r="C42" s="11" t="str">
        <v>Improved varieties of pepper</v>
      </c>
      <c r="D42" s="11" t="str">
        <v>Number of innovations (innovation development)</v>
      </c>
      <c r="E42" s="11" t="str">
        <v>Country: Tanzania, United Republic</v>
      </c>
      <c r="F42" s="11">
        <v>3</v>
      </c>
      <c r="G42" s="11">
        <v>180700</v>
      </c>
      <c r="I42" s="11" t="str">
        <v>Personnel costs based on standard organizational salary scales.</v>
      </c>
    </row>
    <row r="43" ht="50" customHeight="1">
      <c r="A43" s="11" t="str">
        <v>AOW03</v>
      </c>
      <c r="C43" s="11" t="str">
        <v>Improved varieties of tomato</v>
      </c>
      <c r="D43" s="11" t="str">
        <v>Number of innovations (innovation development)</v>
      </c>
      <c r="E43" s="11" t="str">
        <v>Country: Tanzania, United Republic</v>
      </c>
      <c r="F43" s="11">
        <v>3</v>
      </c>
      <c r="G43" s="11">
        <v>180700</v>
      </c>
      <c r="I43" s="11" t="str">
        <v>Personnel costs based on standard organizational salary scales.</v>
      </c>
    </row>
    <row r="44" ht="50" customHeight="1">
      <c r="A44" s="11" t="str">
        <v>AOW03</v>
      </c>
      <c r="C44" s="11" t="str">
        <v>Improved varieties of African eggplant</v>
      </c>
      <c r="D44" s="11" t="str">
        <v>Number of innovations (innovation development)</v>
      </c>
      <c r="E44" s="11" t="str">
        <v>Country: Tanzania, United Republic</v>
      </c>
      <c r="F44" s="11">
        <v>3</v>
      </c>
      <c r="G44" s="11">
        <v>180700</v>
      </c>
      <c r="I44" s="11" t="str">
        <v>Personnel costs based on standard organizational salary scales.</v>
      </c>
    </row>
    <row r="45" ht="50" customHeight="1">
      <c r="A45" s="11" t="str">
        <v>AOW03</v>
      </c>
      <c r="C45" s="11" t="str">
        <v>Improved varieties of amaranth</v>
      </c>
      <c r="D45" s="11" t="str">
        <v>Number of innovations (innovation development)</v>
      </c>
      <c r="E45" s="11" t="str">
        <v>Country: Tanzania, United Republic</v>
      </c>
      <c r="F45" s="11">
        <v>3</v>
      </c>
      <c r="G45" s="11">
        <v>180700</v>
      </c>
      <c r="I45" s="11" t="str">
        <v>Personnel costs based on standard organizational salary scales.</v>
      </c>
    </row>
    <row r="46" ht="50" customHeight="1">
      <c r="A46" s="11" t="str">
        <v>AOW03</v>
      </c>
      <c r="C46" s="11" t="str">
        <v>Improved agricultural practices for smallholder vegetable farmers in Tanzania</v>
      </c>
      <c r="D46" s="11" t="str">
        <v>Number of innovations (innovation development)</v>
      </c>
      <c r="E46" s="11" t="str">
        <v>Country: Tanzania, United Republic</v>
      </c>
      <c r="F46" s="11">
        <v>2</v>
      </c>
      <c r="G46" s="11">
        <v>180700</v>
      </c>
      <c r="I46" s="11" t="str">
        <v>Estimated costs for time of interdiscipilinary teams of researchers and local partners, data collection costs. Contracted partner: (1) Applied Horticultural Research (Tanzania). The estimated budget to this partner is $200,000 for work on end-to-end solutions for fruit and vegetable producers, traders, processors, and vendors/retailers that promote  food quality and safety, reduce food loss,and increase profits, (2) University of South Carolina, Davies, US, The estimated budget to this partner is $20,000 for work on end-to-end solutions for fruit and vegetable producers, traders, processors, and vendors/retailers that promote  food quality and safety, reduce food loss,and increase profits. Costs will be captured in the partner tab during the replan in Q2 2026.</v>
      </c>
    </row>
    <row r="47" ht="50" customHeight="1">
      <c r="A47" s="11" t="str">
        <v>AOW03</v>
      </c>
      <c r="C47" s="11" t="str">
        <v>Co-designed, tested and scaled up interventions for voucher system and capacity strengthening of vendors</v>
      </c>
      <c r="D47" s="11" t="str">
        <v>Number of innovations (innovation development)</v>
      </c>
      <c r="E47" s="11" t="str">
        <v>Country: Tanzania, United Republic</v>
      </c>
      <c r="F47" s="11">
        <v>1</v>
      </c>
      <c r="G47" s="11">
        <v>180700</v>
      </c>
      <c r="I47" s="11" t="str">
        <v>Estimated costs for time of interdiscipilinary teams of researchers and local partners, data collection costs</v>
      </c>
    </row>
    <row r="48" ht="50" customHeight="1">
      <c r="A48" s="11" t="str">
        <v>AOW03</v>
      </c>
      <c r="C48" s="11" t="str">
        <v>Co-designed, tested and scaled up interventions (multi-platform SBCC; vouchers) for households, vendors, and communities</v>
      </c>
      <c r="D48" s="11" t="str">
        <v>Number of innovations (innovation development)</v>
      </c>
      <c r="E48" s="11" t="str">
        <v>Country: Tanzania, United Republic</v>
      </c>
      <c r="F48" s="11">
        <v>2</v>
      </c>
      <c r="G48" s="11">
        <v>180700</v>
      </c>
      <c r="I48" s="11" t="str">
        <v>Estimated costs for time of interdiscipilinary teams of researchers and local partners, data collection costs. Contracted partners: (1) "Collaborators non-CGIAR Centers" (partner to be identified). The estimated budget to this partner is $151,838 for work on end-to-end solutions for fruit and vegetable producers, traders, processors, and vendors/retailers that promote  food quality and safety, reduce food loss, and increase profits. (2) World Vegetable Center; The estimated budget to this partner is $600,000 for work on end-to-end solutions for fruit and vegetable producers, traders, processors, and vendors/retailers that promote  food quality and safety, reduce food loss,and increase profits. WorldVeg will contribute to more KPIs in AoW3. Costs will be captured in the partner tab during the replan in Q2 2026.</v>
      </c>
    </row>
    <row r="49" ht="50" customHeight="1">
      <c r="A49" s="11" t="str">
        <v>AOW03</v>
      </c>
      <c r="C49" s="11" t="str">
        <v>Analyses and results on diets/nutrition, agricultural production, food environments, and gender equity and social inclusion issues from the end-to-end evaluation in Tanzania</v>
      </c>
      <c r="D49" s="11" t="str">
        <v>Number of knowledge products</v>
      </c>
      <c r="E49" s="11" t="str">
        <v>Country: Tanzania, United Republic</v>
      </c>
      <c r="F49" s="11">
        <v>7</v>
      </c>
      <c r="G49" s="11">
        <v>180700</v>
      </c>
      <c r="I49" s="11" t="str">
        <v>Estimated costs for time of interdiscipilinary teams of researchers and local partners, data collection costs</v>
      </c>
    </row>
    <row r="50" ht="50" customHeight="1">
      <c r="A50" s="11" t="str">
        <v>AOW03</v>
      </c>
      <c r="C50" s="11" t="str">
        <v>Technical training to support multistakeholder collaboration</v>
      </c>
      <c r="D50" s="11" t="str">
        <v>Number of people trained (capacity sharing for development)</v>
      </c>
      <c r="E50" s="11" t="str">
        <v>Country: Sri Lanka, Tanzania, United Republic</v>
      </c>
      <c r="F50" s="11">
        <v>20</v>
      </c>
      <c r="G50" s="11">
        <v>133993</v>
      </c>
      <c r="I50" s="11" t="str">
        <v xml:space="preserve"> Meeting costs include venue, catering, materials, and facilitators. Contracted partner: Wageningen University and Research (WUR), The Netherlands; The estimated budget to this partner is $40,000 for work on end-to-end solutions for fruit and vegetable producers, traders, processors, and vendors/retailers that promote  food quality and safety, reduce food loss,and increase profits. Costs will be captured in the partner tab during the replan in Q2 2026.</v>
      </c>
    </row>
    <row r="51" ht="50" customHeight="1">
      <c r="A51" s="11" t="str">
        <v>AOW03</v>
      </c>
      <c r="C51" s="11" t="str">
        <v>Promoting farmers' access to high-quality diverse range of vegetable seeds to improve year-round production and availability, enhancing food safety, sustainability, and resilience in target regions</v>
      </c>
      <c r="D51" s="11" t="str">
        <v>Number of innovations (innovation development)</v>
      </c>
      <c r="E51" s="11" t="str">
        <v>Country: Sri Lanka</v>
      </c>
      <c r="F51" s="11">
        <v>5</v>
      </c>
      <c r="G51" s="11">
        <v>29326</v>
      </c>
      <c r="I51" s="11" t="str">
        <v>Personnel costs based on standard organizational salary scales.</v>
      </c>
    </row>
    <row r="52" ht="50" customHeight="1">
      <c r="A52" s="11" t="str">
        <v>AOW03</v>
      </c>
      <c r="C52" s="11" t="str">
        <v xml:space="preserve">Training materials and/or communication resources to support capacities for demand-side and supply-side interventions for end-to-end approaches  </v>
      </c>
      <c r="D52" s="11" t="str">
        <v>Number of knowledge products</v>
      </c>
      <c r="E52" s="11" t="str">
        <v>Country: Benin, Sri Lanka, Tanzania, United Republic</v>
      </c>
      <c r="F52" s="11">
        <v>6</v>
      </c>
      <c r="G52" s="11">
        <v>133000</v>
      </c>
      <c r="I52" s="11" t="str">
        <v>Personnel costs based on standard organizational salary scales</v>
      </c>
    </row>
    <row r="53" ht="50" customHeight="1">
      <c r="A53" s="11" t="str">
        <v>AOW03</v>
      </c>
      <c r="C53" s="11" t="str">
        <v xml:space="preserve"> Developing and scaling suitable package of practices for improving round the year availability, enhancing food safety, sustainability  and resilience in target regions</v>
      </c>
      <c r="D53" s="11" t="str">
        <v>Number of innovations (innovation development)</v>
      </c>
      <c r="E53" s="11" t="str">
        <v>Country: Sri Lanka</v>
      </c>
      <c r="F53" s="11">
        <v>2</v>
      </c>
      <c r="G53" s="11">
        <v>29330</v>
      </c>
      <c r="I53" s="11" t="str">
        <v>Personnel costs based on standard organizational salary scales.</v>
      </c>
    </row>
    <row r="54" ht="50" customHeight="1" xml:space="preserve">
      <c r="A54" s="11" t="str">
        <v>AOW03</v>
      </c>
      <c r="B54" s="11" t="str">
        <v xml:space="preserve"> Suite of integrated end-to-end solutions for food producers, traders, processors, and vendors/retailers that promote  food quality and safety, reduce food loss, and increase profits co-developed, tested, and scaled</v>
      </c>
      <c r="C54" s="11" t="str" xml:space="preserve">
        <v xml:space="preserve">Research brief on aquatic foods and animal source food consumption and paper on relationship between food environments and aquatic and animal source food consumption and abstract submission 
</v>
      </c>
      <c r="D54" s="11" t="str">
        <v>Number of knowledge products</v>
      </c>
      <c r="E54" s="11" t="str">
        <v>Country: Tanzania, United Republic</v>
      </c>
      <c r="F54" s="11">
        <v>2</v>
      </c>
      <c r="G54" s="11">
        <v>68000</v>
      </c>
      <c r="H54" s="11">
        <f>SUM(G54:G54)</f>
      </c>
      <c r="I54" s="11" t="str">
        <v>Personnel costs based on standard organizational salary scales.</v>
      </c>
    </row>
    <row r="55" ht="25" customHeight="1">
      <c r="B55" s="15" t="str">
        <v>HLO budget subtotal</v>
      </c>
      <c r="H55" s="15">
        <f>SUM(H35:H54)</f>
      </c>
    </row>
    <row r="56" ht="50" customHeight="1">
      <c r="A56" s="13" t="str">
        <v>AOW04</v>
      </c>
      <c r="B56" s="11" t="str">
        <v xml:space="preserve"> Policy options and engagement that address constraints to sustainable healthy diets (AoW4)</v>
      </c>
      <c r="C56" s="11" t="str">
        <v>Country policy scoping briefs meant as an input to public investment analysis to support country implementation of the CAADP Declaration on Food Fortification and Biofortification in Africa. Policy landscaping and political economy analysis will be conducted based on key informant interviews with key public and private sector stakeholders.</v>
      </c>
      <c r="D56" s="11" t="str">
        <v>Number of knowledge products</v>
      </c>
      <c r="E56" s="11" t="str">
        <v>Country: Kenya, Nigeria</v>
      </c>
      <c r="F56" s="11">
        <v>2</v>
      </c>
      <c r="G56" s="11">
        <v>50000</v>
      </c>
      <c r="H56" s="11">
        <f>SUM(G56:G56)</f>
      </c>
      <c r="I56" s="11" t="str">
        <v>Personnel costs based on standard organizational salary scales.</v>
      </c>
    </row>
    <row r="57" ht="25" customHeight="1">
      <c r="B57" s="15" t="str">
        <v>HLO budget subtotal</v>
      </c>
      <c r="H57" s="15">
        <f>SUM(H56:H56)</f>
      </c>
    </row>
    <row r="58" ht="50" customHeight="1">
      <c r="A58" s="13" t="str">
        <v>AOW06</v>
      </c>
      <c r="B58" s="11" t="str">
        <v>Regional, continental FS leadership development events to promote BDN outcomes for FST</v>
      </c>
      <c r="C58" s="11" t="str">
        <v>Critical Capabilities: knowledge product describing the engage with global and regional development banks to co-develop and secure nutrition investments</v>
      </c>
      <c r="D58" s="11" t="str">
        <v>Number of knowledge products</v>
      </c>
      <c r="E58" s="11" t="str">
        <v>Global</v>
      </c>
      <c r="F58" s="11">
        <v>2</v>
      </c>
      <c r="G58" s="11">
        <v>35038</v>
      </c>
      <c r="H58" s="11">
        <f>SUM(G58:G58)</f>
      </c>
      <c r="I58" s="11" t="str">
        <v>Personnel costs based on standard organizational salary scales.</v>
      </c>
    </row>
    <row r="59" ht="50" customHeight="1">
      <c r="A59" s="11" t="str">
        <v>AOW06</v>
      </c>
      <c r="B59" s="11" t="str">
        <v>Regional food systems transformation coordination mechanisms disseminated</v>
      </c>
      <c r="C59" s="11" t="str">
        <v>Critical Capabilities: Contributions to at least 4 major events/convenings globally</v>
      </c>
      <c r="D59" s="11" t="str">
        <v xml:space="preserve"> Number of stakeholder engagements</v>
      </c>
      <c r="E59" s="11" t="str">
        <v>Global</v>
      </c>
      <c r="F59" s="11">
        <v>4</v>
      </c>
      <c r="G59" s="11">
        <v>105113</v>
      </c>
      <c r="H59" s="11">
        <f>SUM(G59:G59)</f>
      </c>
      <c r="I59" s="11" t="str">
        <v>Personnel costs based on standard organizational salary scales.</v>
      </c>
    </row>
    <row r="60" ht="50" customHeight="1" xml:space="preserve">
      <c r="A60" s="11" t="str">
        <v>AOW06</v>
      </c>
      <c r="B60" s="11" t="str">
        <v>Synthesized knowledge products across AoWs and disseminated</v>
      </c>
      <c r="C60" s="11" t="str">
        <v>Bi-monthly webinar series for targeted stakeholders that can support regional coordination of food systems transformation efforts and agendas</v>
      </c>
      <c r="D60" s="11" t="str">
        <v xml:space="preserve"> Number of stakeholder engagements</v>
      </c>
      <c r="E60" s="11" t="str">
        <v>Global</v>
      </c>
      <c r="F60" s="11">
        <v>6</v>
      </c>
      <c r="G60" s="11">
        <v>125892</v>
      </c>
      <c r="H60" s="11">
        <f>SUM(G60:G60)</f>
      </c>
      <c r="I60" s="11" t="str" xml:space="preserve">
        <v xml:space="preserve"> Meeting costs include venue, catering, materials, and facilitators
</v>
      </c>
    </row>
    <row r="61" ht="50" customHeight="1">
      <c r="A61" s="11" t="str">
        <v>AOW06</v>
      </c>
      <c r="B61" s="11" t="str">
        <v>Targeted capacity-sharing events addressing evidence to policy actions and strategic engagement to influence food systems thinking to promote positive transformative change among diferent stakeholders including CoPs.</v>
      </c>
      <c r="C61" s="11" t="str">
        <v>Delivering for Nutrition (D4N) in South Asia conference</v>
      </c>
      <c r="D61" s="11" t="str">
        <v xml:space="preserve"> Number of stakeholder engagements</v>
      </c>
      <c r="E61" s="11" t="str">
        <v>Global</v>
      </c>
      <c r="F61" s="11">
        <v>1</v>
      </c>
      <c r="G61" s="11">
        <v>18182</v>
      </c>
      <c r="H61" s="11">
        <f>SUM(G61:G64)</f>
      </c>
      <c r="I61" s="11" t="str">
        <v xml:space="preserve"> Meeting costs include venue, catering, materials, and facilitators</v>
      </c>
    </row>
    <row r="62" ht="50" customHeight="1">
      <c r="A62" s="11" t="str">
        <v>AOW06</v>
      </c>
      <c r="C62" s="11" t="str">
        <v xml:space="preserve">Sponsored/supported session at the ANH Academy Week conference and/or other relevant academic conference </v>
      </c>
      <c r="D62" s="11" t="str">
        <v xml:space="preserve"> Number of stakeholder engagements</v>
      </c>
      <c r="E62" s="11" t="str">
        <v>Global</v>
      </c>
      <c r="F62" s="11">
        <v>2</v>
      </c>
      <c r="G62" s="11">
        <v>36364</v>
      </c>
      <c r="I62" s="11" t="str">
        <v xml:space="preserve"> Meeting costs include venue, catering, materials, and facilitators</v>
      </c>
    </row>
    <row r="63" ht="50" customHeight="1">
      <c r="A63" s="11" t="str">
        <v>AOW06</v>
      </c>
      <c r="C63" s="11" t="str">
        <v>Capacity needs assessment report on policy actions and strategic engagement to influence food systems thinking different stakeholders including CoPs.</v>
      </c>
      <c r="D63" s="11" t="str">
        <v>Number of knowledge products</v>
      </c>
      <c r="E63" s="11" t="str">
        <v>Global</v>
      </c>
      <c r="F63" s="11">
        <v>1</v>
      </c>
      <c r="G63" s="11">
        <v>18181</v>
      </c>
      <c r="I63" s="11" t="str">
        <v>Personnel costs based on standard organizational salary scales.</v>
      </c>
    </row>
    <row r="64" ht="50" customHeight="1">
      <c r="A64" s="11" t="str">
        <v>AOW06</v>
      </c>
      <c r="C64" s="11" t="str">
        <v xml:space="preserve"> Capacity needs assessment protocol on policy actions and strategic engagement to influence food systems thinking different stakeholders including CoPs</v>
      </c>
      <c r="D64" s="11" t="str">
        <v>Number of knowledge products</v>
      </c>
      <c r="E64" s="11" t="str">
        <v>Global</v>
      </c>
      <c r="F64" s="11">
        <v>1</v>
      </c>
      <c r="G64" s="11">
        <v>18181</v>
      </c>
      <c r="I64" s="11" t="str">
        <v>Personnel costs based on standard organizational salary scales.</v>
      </c>
    </row>
    <row r="65" ht="50" customHeight="1">
      <c r="A65" s="11" t="str">
        <v>AOW06</v>
      </c>
      <c r="B65" s="11" t="str">
        <v xml:space="preserve">Tools, expert community and capacities to guide CGIAR Portfolio along pathways that lead to credible impacts on nutrition, health, and food security </v>
      </c>
      <c r="C65" s="11" t="str">
        <v>Critical Capabilities: Brief describing an improved indicator for diet related outcomes from CGIAR research that can be implemented in models, and a description of how the indicator can be implemented in CGIAR research projects</v>
      </c>
      <c r="D65" s="11" t="str">
        <v>Number of knowledge products</v>
      </c>
      <c r="E65" s="11" t="str">
        <v>Global</v>
      </c>
      <c r="F65" s="11">
        <v>1</v>
      </c>
      <c r="G65" s="11">
        <v>50000</v>
      </c>
      <c r="H65" s="11">
        <f>SUM(G65:G65)</f>
      </c>
      <c r="I65" s="11" t="str">
        <v>Personnel costs based on standard organizational salary scales.</v>
      </c>
    </row>
    <row r="66" ht="25" customHeight="1">
      <c r="B66" s="15" t="str">
        <v>HLO budget subtotal</v>
      </c>
      <c r="H66" s="15">
        <f>SUM(H58:H65)</f>
      </c>
    </row>
  </sheetData>
  <mergeCells count="29">
    <mergeCell ref="A1:A2"/>
    <mergeCell ref="B1:B2"/>
    <mergeCell ref="C1:G1"/>
    <mergeCell ref="H1:H2"/>
    <mergeCell ref="I1:I2"/>
    <mergeCell ref="B3:B8"/>
    <mergeCell ref="H3:H8"/>
    <mergeCell ref="B9:B16"/>
    <mergeCell ref="H9:H16"/>
    <mergeCell ref="B17:B19"/>
    <mergeCell ref="H17:H19"/>
    <mergeCell ref="B20:G20"/>
    <mergeCell ref="A3:A20"/>
    <mergeCell ref="B22:B27"/>
    <mergeCell ref="H22:H27"/>
    <mergeCell ref="B28:B33"/>
    <mergeCell ref="H28:H33"/>
    <mergeCell ref="B34:G34"/>
    <mergeCell ref="A21:A34"/>
    <mergeCell ref="B36:B53"/>
    <mergeCell ref="H36:H53"/>
    <mergeCell ref="B55:G55"/>
    <mergeCell ref="A35:A55"/>
    <mergeCell ref="B57:G57"/>
    <mergeCell ref="A56:A57"/>
    <mergeCell ref="B61:B64"/>
    <mergeCell ref="H61:H64"/>
    <mergeCell ref="B66:G66"/>
    <mergeCell ref="A58:A66"/>
  </mergeCells>
  <ignoredErrors>
    <ignoredError numberStoredAsText="1" sqref="A1:I66"/>
  </ignoredErrors>
</worksheet>
</file>

<file path=xl/worksheets/sheet4.xml><?xml version="1.0" encoding="utf-8"?>
<worksheet xmlns="http://schemas.openxmlformats.org/spreadsheetml/2006/main" xmlns:r="http://schemas.openxmlformats.org/officeDocument/2006/relationships">
  <dimension ref="A1:F27"/>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Collaborators non-CGIAR Centers</v>
      </c>
      <c r="C2" s="11" t="str">
        <v>Suite of solutions focused on consumers that promote consumption of sustainable heathy diets co-developed, tested, and scaled with technical support and country engagement</v>
      </c>
      <c r="D2" s="11" t="str">
        <v>Philippines</v>
      </c>
      <c r="E2" s="11">
        <v>1</v>
      </c>
      <c r="F2" s="11" t="str">
        <v>The estimated budget to this partner is $275,000 for work on solutions focused on both consumers that promote consumption of sustainable healthy diets and vendors that promote employment opportunities and the sale of sustainable nutritious foods.</v>
      </c>
    </row>
    <row r="3" ht="70" customHeight="1">
      <c r="A3" s="11" t="str">
        <v>AOW01</v>
      </c>
      <c r="B3" s="11" t="str">
        <v>University of California, Davis</v>
      </c>
      <c r="C3" s="11" t="str">
        <v>Suite of solutions focused on consumers that promote consumption of sustainable heathy diets co-developed, tested, and scaled with technical support and country engagement</v>
      </c>
      <c r="D3" s="11" t="str">
        <v>Bangladesh,Benin,Ethiopia,Ghana,Philippines,Sri Lanka,Tanzania, United Republic,The Socialist Republic of Viet Nam</v>
      </c>
      <c r="E3" s="11">
        <v>1</v>
      </c>
      <c r="F3" s="11" t="str">
        <v>The estimated budget to this partner is $40,000 for work on solutions focused on consumers that promote consumption of sustainable heathy diets.</v>
      </c>
    </row>
    <row r="4" ht="70" customHeight="1">
      <c r="A4" s="11" t="str">
        <v>AOW01</v>
      </c>
      <c r="B4" s="11" t="str">
        <v>University of South Carolina</v>
      </c>
      <c r="C4" s="11" t="str">
        <v>Suite of solutions focused on consumers that promote consumption of sustainable heathy diets co-developed, tested, and scaled with technical support and country engagement</v>
      </c>
      <c r="D4" s="11" t="str">
        <v>Bangladesh,Ethiopia,The Socialist Republic of Viet Nam</v>
      </c>
      <c r="E4" s="11">
        <v>1</v>
      </c>
      <c r="F4" s="11" t="str">
        <v>The estimated budget to this partner is $35,000 for work on solutions focused on consumers that promote consumption of sustainable heathy diets.</v>
      </c>
    </row>
    <row r="5" ht="70" customHeight="1">
      <c r="A5" s="11" t="str">
        <v>AOW01</v>
      </c>
      <c r="B5" s="11" t="str">
        <v>Institute of Policy and Strategy for Agriculture and Rural Development</v>
      </c>
      <c r="C5" s="11" t="str">
        <v>Suite of solutions focused on consumers that promote consumption of sustainable heathy diets co-developed, tested, and scaled with technical support and country engagement, Policy options and engagement that support effective management of national action plans and other policy processes, for food systems transformation in  support of sustainable healthy diets</v>
      </c>
      <c r="D5" s="11" t="str">
        <v>The Socialist Republic of Viet Nam</v>
      </c>
      <c r="E5" s="11">
        <v>0</v>
      </c>
    </row>
    <row r="6" ht="70" customHeight="1">
      <c r="A6" s="11" t="str">
        <v>AOW01</v>
      </c>
      <c r="B6" s="11" t="str">
        <v>Kenya Agricultural and Livestock Research Organization</v>
      </c>
      <c r="C6" s="11" t="str">
        <v>Suite of solutions focused on consumers that promote consumption of sustainable heathy diets co-developed, tested, and scaled with technical support and country engagement</v>
      </c>
      <c r="D6" s="11" t="str">
        <v>Philippines</v>
      </c>
      <c r="E6" s="11">
        <v>0</v>
      </c>
    </row>
    <row r="7" ht="70" customHeight="1">
      <c r="A7" s="11" t="str">
        <v>AOW01</v>
      </c>
      <c r="B7" s="11" t="str">
        <v>Wageningen University and Research Centre</v>
      </c>
      <c r="C7" s="11" t="str">
        <v>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v>
      </c>
      <c r="D7" s="11" t="str">
        <v>Bangladesh,Benin,Ethiopia,Philippines,Philippines,Sri Lanka,Tanzania, United Republic,The Socialist Republic of Viet Nam</v>
      </c>
      <c r="E7" s="11">
        <v>1</v>
      </c>
      <c r="F7" s="11" t="str">
        <v>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v>
      </c>
    </row>
    <row r="8" ht="70" customHeight="1">
      <c r="C8" s="11" t="str">
        <v>Suite of solutions focused on consumers that promote consumption of sustainable heathy diets co-developed, tested, and scaled with technical support and country engagement, Suite of solutions focused on vendors that promote employment opportunities and the sale of sustainable nutritious foods co-developed, Policy options and engagement that support effective management of national action plans and other policy processes, for food systems transformation in  support of sustainable healthy diets</v>
      </c>
      <c r="D8" s="11" t="str">
        <v>Benin,Philippines,Sri Lanka,Tanzania, United Republic</v>
      </c>
      <c r="F8" s="11" t="str">
        <v>The estimated budget to this partner is $251,000 for work on solutions focused on both consumers that promote consumption of sustainable healthy diets and vendors that promote employment opportunities and the sale of sustainable nutritious foods and policy options and engagement that support effective management of national action plans and other policy processes for food systems transformation in  support of sustainable healthy diets.</v>
      </c>
    </row>
    <row r="9" ht="70" customHeight="1">
      <c r="A9" s="11" t="str">
        <v>AOW01</v>
      </c>
      <c r="B9" s="11" t="str">
        <v>Collaborators non-CGIAR Centers</v>
      </c>
      <c r="C9" s="11" t="str">
        <v>Suite of solutions focused on vendors that promote employment opportunities and the sale of sustainable nutritious foods co-developed, tested, and scaled with technical support and country engagement</v>
      </c>
      <c r="D9" s="11" t="str">
        <v>Bangladesh,Ethiopia,The Socialist Republic of Viet Nam</v>
      </c>
      <c r="E9" s="11">
        <v>1</v>
      </c>
      <c r="F9" s="11" t="str">
        <v>The estimated budget to partners (TBC) is $23,400 for work on solutions focused on both consumers that promote consumption of sustainable healthy diets and vendors that promote employment opportunities and the sale of sustainable nutritious foods.</v>
      </c>
    </row>
    <row r="10" ht="25" customHeight="1">
      <c r="B10" s="14" t="str">
        <v>Contracted partners subtotal</v>
      </c>
      <c r="E10" s="14">
        <f>SUM(E2:E9)</f>
      </c>
    </row>
    <row r="11" ht="70" customHeight="1">
      <c r="A11" s="12" t="str">
        <v>AOW02</v>
      </c>
      <c r="B11" s="11" t="str">
        <v>Shakti Foundation</v>
      </c>
      <c r="C11" s="11" t="str">
        <v>Tested solutions to increase access to finance to farm input dealers, food traders, processors, and/or retailers to increase growth in market systems for healthy foods</v>
      </c>
      <c r="D11" s="11" t="str">
        <v>Bangladesh</v>
      </c>
      <c r="E11" s="11">
        <v>1</v>
      </c>
      <c r="F11" s="11" t="str">
        <v>The estimated budget to this partner is $20,000 for work on tested solutions to increase access to finance to farm input dealers, food traders, processors, and/or retailers to increase growth in market systems for healthy foods</v>
      </c>
    </row>
    <row r="12" ht="70" customHeight="1">
      <c r="A12" s="11" t="str">
        <v>AOW02</v>
      </c>
      <c r="B12" s="11" t="str">
        <v>Addis Ababa University</v>
      </c>
      <c r="C12" s="11" t="str">
        <v>Tested solutions to increase access to finance to farm input dealers, food traders, processors, and/or retailers to increase growth in market systems for healthy foods</v>
      </c>
      <c r="D12" s="11" t="str">
        <v>Ethiopia</v>
      </c>
      <c r="E12" s="11">
        <v>1</v>
      </c>
      <c r="F12" s="11" t="str">
        <v>The estimated budget to this partner is $60,000 for work on solutions focused on farm input dealers, food traders, processors, and/or retailers that promote food quality and safety, reduce food loss, improve efficiency, and/or facilitate intermediation. Costs will be captured in the partner tab during the replan in Q2 2026.</v>
      </c>
    </row>
    <row r="13" ht="70" customHeight="1">
      <c r="A13" s="11" t="str">
        <v>AOW02</v>
      </c>
      <c r="B13" s="11" t="str">
        <v>Southeast Asian Regional Center for Graduate Study</v>
      </c>
      <c r="C13" s="11" t="str">
        <v>Tested solutions to increase access to finance to farm input dealers, food traders, processors, and/or retailers to increase growth in market systems for healthy foods</v>
      </c>
      <c r="D13" s="11" t="str">
        <v>The Socialist Republic of Viet Nam</v>
      </c>
      <c r="E13" s="11">
        <v>1</v>
      </c>
      <c r="F13" s="11" t="str">
        <v>The estimated budget to this partner is $10,000 for work on solutions focused on farm input dealers, food traders, processors, and/or retailers that promote food quality and safety, reduce food loss, improve efficiency, and/or facilitate intermediation.</v>
      </c>
    </row>
    <row r="14" ht="70" customHeight="1">
      <c r="A14" s="11" t="str">
        <v>AOW02</v>
      </c>
      <c r="B14" s="11" t="str">
        <v>Institute of Policy and Strategy for Agriculture and Rural Development</v>
      </c>
      <c r="C14" s="11" t="str">
        <v>Tested solutions to increase access to finance to farm input dealers, food traders, processors, and/or retailers to increase growth in market systems for healthy foods</v>
      </c>
      <c r="D14" s="11" t="str">
        <v>The Socialist Republic of Viet Nam</v>
      </c>
      <c r="E14" s="11">
        <v>1</v>
      </c>
      <c r="F14" s="11" t="str">
        <v>The estimated budget to this partner is $10,000 for work on solutions focused on farm input dealers, food traders, processors, and/or retailers that promote food quality and safety, reduce food loss, improve efficiency, and/or facilitate intermediation.</v>
      </c>
    </row>
    <row r="15" ht="25" customHeight="1">
      <c r="B15" s="14" t="str">
        <v>Contracted partners subtotal</v>
      </c>
      <c r="E15" s="14">
        <f>SUM(E11:E14)</f>
      </c>
    </row>
    <row r="16" ht="70" customHeight="1">
      <c r="A16" s="12" t="str">
        <v>AOW03</v>
      </c>
      <c r="B16" s="11" t="str">
        <v>Collaborators non-CGIAR Centers</v>
      </c>
      <c r="C16" s="11" t="str">
        <v>Suite of end-to-end solutions for fruit and vegetable producers, traders, processors, and vendors/retailers that promote food quality and safety, reduce food loss, and increase profits co-developed, tested, and scaled</v>
      </c>
      <c r="D16" s="11" t="str">
        <v>Benin,Philippines,Sri Lanka,Tanzania, United Republic</v>
      </c>
      <c r="E16" s="11">
        <v>1</v>
      </c>
      <c r="F16" s="11" t="str">
        <v>The estimated budget to this partner is $151,838 for work on end-to-end solutions for fruit and vegetable producers, traders, processors, and vendors/retailers that promote  food quality and safety, reduce food loss,and increase profits.</v>
      </c>
    </row>
    <row r="17" ht="70" customHeight="1">
      <c r="A17" s="11" t="str">
        <v>AOW03</v>
      </c>
      <c r="B17" s="11" t="str">
        <v>Wageningen University and Research Centre</v>
      </c>
      <c r="C17" s="11" t="str">
        <v>Suite of end-to-end solutions for fruit and vegetable producers, traders, processors, and vendors/retailers that promote food quality and safety, reduce food loss, and increase profits co-developed, tested, and scaled</v>
      </c>
      <c r="D17" s="11" t="str">
        <v>Bangladesh,Benin,Ethiopia,Philippines,Philippines,Sri Lanka,Tanzania, United Republic,The Socialist Republic of Viet Nam</v>
      </c>
      <c r="E17" s="11">
        <v>1</v>
      </c>
      <c r="F17" s="11" t="str">
        <v>The estimated budget to this partner is $40,000 for work on end-to-end solutions for fruit and vegetable producers, traders, processors, and vendors/retailers that promote  food quality and safety, reduce food loss,and increase profits.</v>
      </c>
    </row>
    <row r="18" ht="70" customHeight="1">
      <c r="C18" s="11" t="str">
        <v>Suite of end-to-end solutions for fruit and vegetable producers, traders, processors, and vendors/retailers that promote food quality and safety, reduce food loss, and increase profits co-developed, tested, and scaled</v>
      </c>
      <c r="D18" s="11" t="str">
        <v>Benin,Philippines,Sri Lanka,Tanzania, United Republic</v>
      </c>
      <c r="F18" s="11" t="str">
        <v>The estimated budget to this partner is $40,000 for work on end-to-end solutions for fruit and vegetable producers, traders, processors, and vendors/retailers that promote  food quality and safety, reduce food loss,and increase profits.</v>
      </c>
    </row>
    <row r="19" ht="70" customHeight="1">
      <c r="A19" s="11" t="str">
        <v>AOW03</v>
      </c>
      <c r="B19" s="11" t="str">
        <v>University of California, Davis</v>
      </c>
      <c r="C19" s="11" t="str">
        <v>Suite of end-to-end solutions for fruit and vegetable producers, traders, processors, and vendors/retailers that promote food quality and safety, reduce food loss, and increase profits co-developed, tested, and scaled</v>
      </c>
      <c r="D19" s="11" t="str">
        <v>Bangladesh,Benin,Ethiopia,Ghana,Philippines,Sri Lanka,Tanzania, United Republic,The Socialist Republic of Viet Nam</v>
      </c>
      <c r="E19" s="11">
        <v>1</v>
      </c>
      <c r="F19" s="11" t="str">
        <v>The estimated budget to this partner is $20,000 for work on end-to-end solutions for fruit and vegetable producers, traders, processors, and vendors/retailers that promote  food quality and safety, reduce food loss,and increase profits.</v>
      </c>
    </row>
    <row r="20" ht="70" customHeight="1">
      <c r="A20" s="11" t="str">
        <v>AOW03</v>
      </c>
      <c r="B20" s="11" t="str">
        <v>University of the Philippines Los Baños</v>
      </c>
      <c r="C20" s="11" t="str">
        <v>Suite of end-to-end solutions for fruit and vegetable producers, traders, processors, and vendors/retailers that promote food quality and safety, reduce food loss, and increase profits co-developed, tested, and scaled</v>
      </c>
      <c r="D20" s="11" t="str">
        <v>Philippines</v>
      </c>
      <c r="E20" s="11">
        <v>1</v>
      </c>
      <c r="F20" s="11" t="str">
        <v>The estimated budget to this partner is $50,000 for work on end-to-end solutions for fruit and vegetable producers, traders, processors, and vendors/retailers that promote  food quality and safety, reduce food loss,and increase profits.</v>
      </c>
    </row>
    <row r="21" ht="70" customHeight="1">
      <c r="A21" s="11" t="str">
        <v>AOW03</v>
      </c>
      <c r="B21" s="11" t="str">
        <v>Global Alliance for Improved Nutrition</v>
      </c>
      <c r="C21" s="11" t="str">
        <v>Suite of end-to-end solutions for fruit and vegetable producers, traders, processors, and vendors/retailers that promote food quality and safety, reduce food loss, and increase profits co-developed, tested, and scaled</v>
      </c>
      <c r="D21" s="11" t="str">
        <v>Tanzania, United Republic</v>
      </c>
      <c r="E21" s="11">
        <v>1</v>
      </c>
      <c r="F21" s="11" t="str">
        <v>The estimated budget to this partner is $50,000 for work on end-to-end solutions for fruit and vegetable producers, traders, processors, and vendors/retailers that promote  food quality and safety, reduce food loss,and increase profits.</v>
      </c>
    </row>
    <row r="22" ht="70" customHeight="1">
      <c r="A22" s="11" t="str">
        <v>AOW03</v>
      </c>
      <c r="B22" s="11" t="str">
        <v>Applied Horticultural Research</v>
      </c>
      <c r="C22" s="11" t="str">
        <v>Suite of end-to-end solutions for fruit and vegetable producers, traders, processors, and vendors/retailers that promote food quality and safety, reduce food loss, and increase profits co-developed, tested, and scaled</v>
      </c>
      <c r="D22" s="11" t="str">
        <v>Tanzania, United Republic</v>
      </c>
      <c r="E22" s="11">
        <v>1</v>
      </c>
      <c r="F22" s="11" t="str">
        <v>The estimated budget to this partner is $200,000 for work on end-to-end solutions for fruit and vegetable producers, traders, processors, and vendors/retailers that promote  food quality and safety, reduce food loss,and increase profits. Costs will be captured in the partner tab during the replan in Q2 2026.</v>
      </c>
    </row>
    <row r="23" ht="70" customHeight="1">
      <c r="A23" s="11" t="str">
        <v>AOW03</v>
      </c>
      <c r="B23" s="11" t="str">
        <v>The World Vegetable Center</v>
      </c>
      <c r="C23" s="11" t="str">
        <v>Suite of end-to-end solutions for fruit and vegetable producers, traders, processors, and vendors/retailers that promote food quality and safety, reduce food loss, and increase profits co-developed, tested, and scaled</v>
      </c>
      <c r="D23" s="11" t="str">
        <v>Benin,Philippines,Sri Lanka,Tanzania, United Republic</v>
      </c>
      <c r="E23" s="11">
        <v>1</v>
      </c>
      <c r="F23" s="11" t="str">
        <v>The estimated budget to this partner is $600,000 for work on end-to-end solutions for fruit and vegetable producers, traders, processors, and vendors/retailers that promote  food quality and safety, reduce food loss,and increase profits.</v>
      </c>
    </row>
    <row r="24" ht="25" customHeight="1">
      <c r="B24" s="14" t="str">
        <v>Contracted partners subtotal</v>
      </c>
      <c r="E24" s="14">
        <f>SUM(E16:E23)</f>
      </c>
    </row>
    <row r="25" ht="70" customHeight="1">
      <c r="A25" s="12" t="str">
        <v>AOW04</v>
      </c>
      <c r="B25" s="11" t="str">
        <v>Kenya Agricultural and Livestock Research Organization</v>
      </c>
      <c r="C25" s="11" t="str">
        <v>Policy options and engagement that address constraints to sustainable healthy diets (AoW4), Suite of solutions to support consumers awareness, preference, affordability and utilization of biofortified and health-enhancing crops in their diets</v>
      </c>
      <c r="D25" s="11" t="str">
        <v>Philippines</v>
      </c>
      <c r="E25" s="11">
        <v>0</v>
      </c>
    </row>
    <row r="26" ht="70" customHeight="1">
      <c r="A26" s="11" t="str">
        <v>AOW04</v>
      </c>
      <c r="B26" s="11" t="str">
        <v>Global Alliance for Improved Nutrition</v>
      </c>
      <c r="C26" s="11" t="str">
        <v>Suite of solutions to support consumers awareness, preference, affordability and utilization of biofortified and health-enhancing crops in their diets</v>
      </c>
      <c r="D26" s="11" t="str">
        <v>Tanzania, United Republic</v>
      </c>
      <c r="E26" s="11">
        <v>0</v>
      </c>
    </row>
    <row r="27" ht="25" customHeight="1">
      <c r="B27" s="14" t="str">
        <v>Contracted partners subtotal</v>
      </c>
      <c r="E27" s="14">
        <f>SUM(E25:E26)</f>
      </c>
    </row>
  </sheetData>
  <mergeCells count="12">
    <mergeCell ref="B7:B8"/>
    <mergeCell ref="E7:E8"/>
    <mergeCell ref="B10:D10"/>
    <mergeCell ref="A2:A10"/>
    <mergeCell ref="B15:D15"/>
    <mergeCell ref="A11:A15"/>
    <mergeCell ref="B17:B18"/>
    <mergeCell ref="E17:E18"/>
    <mergeCell ref="B24:D24"/>
    <mergeCell ref="A16:A24"/>
    <mergeCell ref="B27:D27"/>
    <mergeCell ref="A25:A27"/>
  </mergeCells>
  <ignoredErrors>
    <ignoredError numberStoredAsText="1" sqref="A1:F27"/>
  </ignoredErrors>
</worksheet>
</file>

<file path=xl/worksheets/sheet5.xml><?xml version="1.0" encoding="utf-8"?>
<worksheet xmlns="http://schemas.openxmlformats.org/spreadsheetml/2006/main" xmlns:r="http://schemas.openxmlformats.org/officeDocument/2006/relationships">
  <dimension ref="A1:F19"/>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N-606015-BIO-FORTIFICATION DEPLOYM</v>
      </c>
      <c r="B2" s="19" t="str">
        <v>AOW04</v>
      </c>
      <c r="C2" s="18" t="str">
        <v>Suite of solutions for producers and processors that address constraints to sustainable healthy diets co-developed, tested, and scaled with technical support and country engagement</v>
      </c>
      <c r="D2" s="19">
        <v>441662</v>
      </c>
      <c r="E2" s="19" t="str">
        <f>=SUM(D2:D2)</f>
        <v>0</v>
      </c>
      <c r="F2" s="19" t="str">
        <v>Budget subject to agreement of both parties on scope of work, deliverables to be delivered at a given period, estimation of costs, and manner of payment.</v>
      </c>
    </row>
    <row r="3" ht="30" customHeight="1">
      <c r="A3" s="18" t="str">
        <v>N-644H03-HP–GAC–ENFS</v>
      </c>
      <c r="B3" s="19" t="str">
        <v>AOW04</v>
      </c>
      <c r="C3" s="18" t="str">
        <v>Suite of solutions for producers and processors that address constraints to sustainable healthy diets co-developed, tested, and scaled with technical support and country engagement</v>
      </c>
      <c r="D3" s="19">
        <v>192130</v>
      </c>
      <c r="E3" s="19" t="str">
        <f>=SUM(D3:D4)</f>
        <v>0</v>
      </c>
      <c r="F3" s="19" t="str">
        <v>Budget subject to agreement of both parties on scope of work, deliverables to be delivered at a given period, estimation of costs, and manner of payment.</v>
      </c>
    </row>
    <row r="4" ht="30" customHeight="1">
      <c r="A4" s="18" t="str">
        <v>N-644H03-HP–GAC–ENFS</v>
      </c>
      <c r="B4" s="19" t="str">
        <v>AOW00</v>
      </c>
      <c r="C4" s="18" t="str">
        <v>Consumers demand and consume sustainable healthy diets</v>
      </c>
      <c r="D4" s="19">
        <v>192130</v>
      </c>
    </row>
    <row r="5" ht="30" customHeight="1">
      <c r="A5" s="18" t="str">
        <v>N-644H12 - NUTRIHARVEST</v>
      </c>
      <c r="B5" s="19" t="str">
        <v>AOW04</v>
      </c>
      <c r="C5" s="18" t="str">
        <v>Suite of solutions for producers and processors that address constraints to sustainable healthy diets co-developed, tested, and scaled with technical support and country engagement</v>
      </c>
      <c r="D5" s="19">
        <v>295002</v>
      </c>
      <c r="E5" s="19" t="str">
        <f>=SUM(D5:D6)</f>
        <v>0</v>
      </c>
      <c r="F5" s="19" t="str">
        <v>Budget subject to agreement of both parties on scope of work, deliverables to be delivered at a given period, estimation of costs, and manner of payment.</v>
      </c>
    </row>
    <row r="6" ht="30" customHeight="1">
      <c r="A6" s="18" t="str">
        <v>N-644H12 - NUTRIHARVEST</v>
      </c>
      <c r="B6" s="19" t="str">
        <v>AOW00</v>
      </c>
      <c r="C6" s="18" t="str">
        <v>Consumers demand and consume sustainable healthy diets</v>
      </c>
      <c r="D6" s="19">
        <v>295002</v>
      </c>
    </row>
    <row r="7" ht="30" customHeight="1">
      <c r="A7" s="18" t="str">
        <v>N-306005-NUTRITION STATUS-BIHAR&amp;OD</v>
      </c>
      <c r="B7" s="19" t="str">
        <v>AOW04</v>
      </c>
      <c r="C7" s="18" t="str">
        <v>Suite of solutions for producers and processors that address constraints to sustainable healthy diets co-developed, tested, and scaled with technical support and country engagement</v>
      </c>
      <c r="D7" s="19">
        <v>82339</v>
      </c>
      <c r="E7" s="19" t="str">
        <f>=SUM(D7:D8)</f>
        <v>0</v>
      </c>
      <c r="F7" s="19" t="str">
        <v>Budget subject to agreement of both parties on scope of work, deliverables to be delivered at a given period, estimation of costs, and manner of payment.</v>
      </c>
    </row>
    <row r="8" ht="30" customHeight="1">
      <c r="A8" s="18" t="str">
        <v>N-306005-NUTRITION STATUS-BIHAR&amp;OD</v>
      </c>
      <c r="B8" s="19" t="str">
        <v>AOW00</v>
      </c>
      <c r="C8" s="18" t="str">
        <v>Consumers demand and consume sustainable healthy diets</v>
      </c>
      <c r="D8" s="19">
        <v>82339</v>
      </c>
    </row>
    <row r="9" ht="30" customHeight="1">
      <c r="A9" s="18" t="str">
        <v>N-606024-KTM SCHOOL FEED</v>
      </c>
      <c r="B9" s="19" t="str">
        <v>AOW04</v>
      </c>
      <c r="C9" s="18" t="str">
        <v>Suite of solutions for traders and vendors that address constraints to sustainable healthy diets co-developed, tested, and scaled with technical support and country engagement</v>
      </c>
      <c r="D9" s="19">
        <v>0</v>
      </c>
      <c r="E9" s="19" t="str">
        <f>=SUM(D9:D9)</f>
        <v>0</v>
      </c>
    </row>
    <row r="10" ht="30" customHeight="1">
      <c r="A10" s="18" t="str">
        <v>N333009</v>
      </c>
      <c r="B10" s="19" t="str">
        <v>AOW05</v>
      </c>
      <c r="C10" s="18" t="str">
        <v>Suite of multisectoral solutions for government and non-government organizations that address constraints to sustainable healthy diets co-developed, tested, and scaled with technical support and country engagement</v>
      </c>
      <c r="D10" s="19">
        <v>164760</v>
      </c>
      <c r="E10" s="19" t="str">
        <f>=SUM(D10:D10)</f>
        <v>0</v>
      </c>
      <c r="F10" s="19" t="str">
        <v>Budget subject to agreement of both parties on scope of work, deliverables to be delivered at a given period, estimation of costs, and manner of payment.</v>
      </c>
    </row>
    <row r="11" ht="30" customHeight="1">
      <c r="A11" s="18" t="str">
        <v>N-644H06-HP-WV-REACTS-IN-Finance</v>
      </c>
      <c r="B11" s="19" t="str">
        <v>AOW05</v>
      </c>
      <c r="C11" s="18" t="str">
        <v>Suite of multisectoral solutions for government and non-government organizations that address constraints to sustainable healthy diets co-developed, tested, and scaled with technical support and country engagement</v>
      </c>
      <c r="D11" s="19">
        <v>572088</v>
      </c>
      <c r="E11" s="19" t="str">
        <f>=SUM(D11:D11)</f>
        <v>0</v>
      </c>
      <c r="F11" s="19" t="str">
        <v>Budget subject to agreement of both parties on scope of work, deliverables to be delivered at a given period, estimation of costs, and manner of payment.</v>
      </c>
    </row>
    <row r="12" ht="30" customHeight="1">
      <c r="A12" s="18" t="str">
        <v>N-606021-MEAL PROGRAMS INDIA</v>
      </c>
      <c r="B12" s="19" t="str">
        <v>AOW05</v>
      </c>
      <c r="C12" s="18" t="str">
        <v>Suite of multisectoral solutions for government and non-government organizations that address constraints to sustainable healthy diets co-developed, tested, and scaled with technical support and country engagement</v>
      </c>
      <c r="D12" s="19">
        <v>499318</v>
      </c>
      <c r="E12" s="19" t="str">
        <f>=SUM(D12:D12)</f>
        <v>0</v>
      </c>
      <c r="F12" s="19" t="str">
        <v>Budget subject to agreement of both parties on scope of work, deliverables to be delivered at a given period, estimation of costs, and manner of payment.</v>
      </c>
    </row>
    <row r="13" ht="30" customHeight="1">
      <c r="A13" s="18" t="str">
        <v>N-632006-PARES</v>
      </c>
      <c r="B13" s="19" t="str">
        <v>AOW05</v>
      </c>
      <c r="C13" s="18" t="str">
        <v>Suite of multisectoral solutions for government and non-government organizations that address constraints to sustainable healthy diets co-developed, tested, and scaled with technical support and country engagement</v>
      </c>
      <c r="D13" s="19">
        <v>202167</v>
      </c>
      <c r="E13" s="19" t="str">
        <f>=SUM(D13:D13)</f>
        <v>0</v>
      </c>
      <c r="F13" s="19" t="str">
        <v>Budget subject to agreement of both parties on scope of work, deliverables to be delivered at a given period, estimation of costs, and manner of payment.</v>
      </c>
    </row>
    <row r="14" ht="30" customHeight="1">
      <c r="A14" s="18" t="str">
        <v>N-301055-SOCIAL TRANS IMPROV NUTR</v>
      </c>
      <c r="B14" s="19" t="str">
        <v>AOW05</v>
      </c>
      <c r="C14" s="18" t="str">
        <v>Suite of multisectoral solutions for government and non-government organizations that address constraints to sustainable healthy diets co-developed, tested, and scaled with technical support and country engagement</v>
      </c>
      <c r="D14" s="19">
        <v>471896</v>
      </c>
      <c r="E14" s="19" t="str">
        <f>=SUM(D14:D14)</f>
        <v>0</v>
      </c>
      <c r="F14" s="19" t="str">
        <v>Budget subject to agreement of both parties on scope of work, deliverables to be delivered at a given period, estimation of costs, and manner of payment.</v>
      </c>
    </row>
    <row r="15" ht="30" customHeight="1">
      <c r="A15" s="18" t="str">
        <v>N-303026-CHILD SCHOOL LUNCH-GHANA</v>
      </c>
      <c r="B15" s="19" t="str">
        <v>AOW05</v>
      </c>
      <c r="C15" s="18" t="str">
        <v>Suite of multisectoral solutions for government and non-government organizations that address constraints to sustainable healthy diets co-developed, tested, and scaled with technical support and country engagement</v>
      </c>
      <c r="D15" s="19">
        <v>302715</v>
      </c>
      <c r="E15" s="19" t="str">
        <f>=SUM(D15:D15)</f>
        <v>0</v>
      </c>
      <c r="F15" s="19" t="str">
        <v>Budget subject to agreement of both parties on scope of work, deliverables to be delivered at a given period, estimation of costs, and manner of payment.</v>
      </c>
    </row>
    <row r="16" ht="30" customHeight="1">
      <c r="A16" s="18" t="str">
        <v>N-601170-WASTING DETECTION&amp;TREATME</v>
      </c>
      <c r="B16" s="19" t="str">
        <v>AOW05</v>
      </c>
      <c r="C16" s="18" t="str">
        <v>Suite of multisectoral solutions for government and non-government organizations that address constraints to sustainable healthy diets co-developed, tested, and scaled with technical support and country engagement</v>
      </c>
      <c r="D16" s="19">
        <v>542057</v>
      </c>
      <c r="E16" s="19" t="str">
        <f>=SUM(D16:D16)</f>
        <v>0</v>
      </c>
      <c r="F16" s="19" t="str">
        <v>Budget subject to agreement of both parties on scope of work, deliverables to be delivered at a given period, estimation of costs, and manner of payment.</v>
      </c>
    </row>
    <row r="17" ht="30" customHeight="1">
      <c r="A17" s="18" t="str">
        <v>N-303028-SMALLHOLDERS ACCESS-SOLAR</v>
      </c>
      <c r="B17" s="19" t="str">
        <v>AOW05</v>
      </c>
      <c r="C17" s="18" t="str">
        <v>Suite of multisectoral solutions for government and non-government organizations that address constraints to sustainable healthy diets co-developed, tested, and scaled with technical support and country engagement</v>
      </c>
      <c r="D17" s="19">
        <v>210578</v>
      </c>
      <c r="E17" s="19" t="str">
        <f>=SUM(D17:D17)</f>
        <v>0</v>
      </c>
      <c r="F17" s="19" t="str">
        <v>Budget subject to agreement of both parties on scope of work, deliverables to be delivered at a given period, estimation of costs, and manner of payment.</v>
      </c>
    </row>
    <row r="18" ht="30" customHeight="1">
      <c r="A18" s="18" t="str">
        <v>N-301058-POSHAN PH 3</v>
      </c>
      <c r="B18" s="19" t="str">
        <v>AOW06</v>
      </c>
      <c r="C18" s="18" t="str">
        <v>Targeted capacity-sharing events addressing evidence to policy actions and strategic engagement to influence food systems thinking to promote positive transformative change among diferent stakeholders including CoPs.</v>
      </c>
      <c r="D18" s="19">
        <v>689102</v>
      </c>
      <c r="E18" s="19" t="str">
        <f>=SUM(D18:D18)</f>
        <v>0</v>
      </c>
      <c r="F18" s="19" t="str">
        <v>Budget subject to agreement of both parties on scope of work, deliverables to be delivered at a given period, estimation of costs, and manner of payment.</v>
      </c>
    </row>
    <row r="19" ht="30" customHeight="1">
      <c r="A19" s="3" t="str">
        <v>W3/Bilateral projects subtotal</v>
      </c>
      <c r="E19" s="3">
        <f>SUM(E2:E18)</f>
      </c>
    </row>
  </sheetData>
  <mergeCells count="7">
    <mergeCell ref="A3:A4"/>
    <mergeCell ref="A5:A6"/>
    <mergeCell ref="A7:A8"/>
    <mergeCell ref="E3:E4"/>
    <mergeCell ref="E5:E6"/>
    <mergeCell ref="E7:E8"/>
    <mergeCell ref="A19:D19"/>
  </mergeCells>
  <ignoredErrors>
    <ignoredError numberStoredAsText="1" sqref="A1:F19"/>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 xml:space="preserve"> Impact assessment of the End-to-end approach to improving dietary intakes of Fruits and Vegetables in Tanzania</v>
      </c>
      <c r="B2" s="19" t="str">
        <v>AOW03</v>
      </c>
      <c r="C2" s="18" t="str">
        <v>Aquatic food, fruits and vegetables producers adopt solutions that increase production</v>
      </c>
      <c r="D2" s="19">
        <v>1</v>
      </c>
      <c r="E2" s="19" t="str">
        <f>=SUM(D2:D2)</f>
        <v>0</v>
      </c>
      <c r="F2" s="19" t="str">
        <v xml:space="preserve">The total cost of this study is $1,931,625; IFPRI's portion is $1,807,000. It is already included in the AoW3 budget. If we add the budget here, it will be double-counted so we have entered $1. </v>
      </c>
    </row>
    <row r="3" ht="30" customHeight="1" xml:space="preserve">
      <c r="A3" s="18" t="str">
        <v>Impact assessment of the End-to-end approach to improving dietary intakes of Fruits and Vegetables in Sri Lanka</v>
      </c>
      <c r="B3" s="19" t="str">
        <v>AOW03</v>
      </c>
      <c r="C3" s="18" t="str">
        <v>Aquatic food, fruits and vegetables producers adopt solutions that increase production</v>
      </c>
      <c r="D3" s="19">
        <v>1</v>
      </c>
      <c r="E3" s="19" t="str">
        <f>=SUM(D3:D3)</f>
        <v>0</v>
      </c>
      <c r="F3" s="19" t="str" xml:space="preserve">
        <v xml:space="preserve">The total cost of this study is $209,986; IFPRI's portion is $87,986. It is already included in the AoW3 budget. If we add the budget here, it will be double-counted so we have entered $1. 
</v>
      </c>
    </row>
    <row r="4" ht="30" customHeight="1">
      <c r="A4" s="18" t="str">
        <v>Impact Assessments to improve quality, efficiency, and access to finance in healthy food value chains</v>
      </c>
      <c r="B4" s="19" t="str">
        <v>AOW02</v>
      </c>
      <c r="C4" s="18" t="str">
        <v xml:space="preserve">Food traders and retailers adopt methods of differentiating food products by quality dimensions </v>
      </c>
      <c r="D4" s="19">
        <v>1</v>
      </c>
      <c r="E4" s="19" t="str">
        <f>=SUM(D4:D4)</f>
        <v>0</v>
      </c>
      <c r="F4" s="19" t="str">
        <v xml:space="preserve">The total cost of this study is $1,931,625; IFPRI's portion is $1,807,000. It is already included in the AoW3 budget. If we add the budget here, it will be double-counted so we have entered $1. </v>
      </c>
    </row>
    <row r="5" ht="30" customHeight="1">
      <c r="A5" s="3" t="str">
        <v>MELIA Studies Budget subtotal</v>
      </c>
      <c r="E5" s="3">
        <f>SUM(E2:E4)</f>
      </c>
    </row>
  </sheetData>
  <mergeCells count="1">
    <mergeCell ref="A5:D5"/>
  </mergeCells>
  <ignoredErrors>
    <ignoredError numberStoredAsText="1" sqref="A1:F5"/>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20" t="str">
        <v>Collaborators non-CGIAR centers</v>
      </c>
      <c r="B2" s="20">
        <v>0</v>
      </c>
      <c r="C2" s="20">
        <v>597990</v>
      </c>
      <c r="D2" s="20">
        <v>105952</v>
      </c>
      <c r="E2" s="20">
        <v>1243177</v>
      </c>
      <c r="F2" s="20">
        <v>0</v>
      </c>
      <c r="G2" s="20">
        <v>0</v>
      </c>
      <c r="H2" s="20">
        <v>0</v>
      </c>
      <c r="I2" s="20" t="str">
        <f>=SUM(B2:H2)</f>
        <v>0</v>
      </c>
    </row>
    <row r="3" ht="20" customHeight="1">
      <c r="A3" s="20" t="str">
        <v>Operations (supplies, consultants, travels, workshops, other)</v>
      </c>
      <c r="B3" s="20">
        <v>0</v>
      </c>
      <c r="C3" s="20">
        <v>163376</v>
      </c>
      <c r="D3" s="20">
        <v>140385</v>
      </c>
      <c r="E3" s="20">
        <v>233880</v>
      </c>
      <c r="F3" s="20">
        <v>0</v>
      </c>
      <c r="G3" s="20">
        <v>0</v>
      </c>
      <c r="H3" s="20">
        <v>109827</v>
      </c>
      <c r="I3" s="20" t="str">
        <f>=SUM(B3:H3)</f>
        <v>0</v>
      </c>
    </row>
    <row r="4" ht="20" customHeight="1">
      <c r="A4" s="20" t="str">
        <v>Staffing, Chargebacks and Indirect</v>
      </c>
      <c r="B4" s="20">
        <v>158394</v>
      </c>
      <c r="C4" s="20">
        <v>1001641</v>
      </c>
      <c r="D4" s="20">
        <v>693826</v>
      </c>
      <c r="E4" s="20">
        <v>1373429</v>
      </c>
      <c r="F4" s="20">
        <v>50000</v>
      </c>
      <c r="G4" s="20">
        <v>0</v>
      </c>
      <c r="H4" s="20">
        <v>297124</v>
      </c>
      <c r="I4" s="20" t="str">
        <f>=SUM(B4:H4)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c r="I5" s="23" t="str">
        <f>=SUM(I2:I4)</f>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