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AI-Enabled Farm Advisory at Scale.</v>
      </c>
      <c r="B5" s="2">
        <v>0</v>
      </c>
      <c r="C5" s="5">
        <v>0</v>
      </c>
      <c r="D5" s="2">
        <v>3</v>
      </c>
      <c r="E5" s="5">
        <v>20865.34</v>
      </c>
      <c r="F5" s="2">
        <v>0</v>
      </c>
      <c r="G5" s="5">
        <v>0</v>
      </c>
      <c r="H5" s="2">
        <v>6</v>
      </c>
      <c r="I5" s="5">
        <v>30269.95</v>
      </c>
      <c r="J5" s="5">
        <v>0</v>
      </c>
      <c r="K5" s="5">
        <v>0</v>
      </c>
      <c r="L5" s="5">
        <v>51135</v>
      </c>
      <c r="M5" s="5">
        <v>0</v>
      </c>
    </row>
    <row r="6" ht="20" customHeight="1">
      <c r="A6" s="2" t="str">
        <v>AOW02: Enabling Preparedness and Rapid Response to Emerging Shocks</v>
      </c>
      <c r="B6" s="2">
        <v>0</v>
      </c>
      <c r="C6" s="5">
        <v>0</v>
      </c>
      <c r="D6" s="2">
        <v>0</v>
      </c>
      <c r="E6" s="5">
        <v>0</v>
      </c>
      <c r="F6" s="2">
        <v>2</v>
      </c>
      <c r="G6" s="5">
        <v>40592.68</v>
      </c>
      <c r="H6" s="2">
        <v>0</v>
      </c>
      <c r="I6" s="5">
        <v>0</v>
      </c>
      <c r="J6" s="5">
        <v>0</v>
      </c>
      <c r="K6" s="5">
        <v>0</v>
      </c>
      <c r="L6" s="5">
        <v>40593</v>
      </c>
      <c r="M6" s="5">
        <v>0</v>
      </c>
    </row>
    <row r="7" ht="20" customHeight="1">
      <c r="A7" s="2" t="str">
        <v>AOW03: Delivering Integrated Solutions to Systemic Farm-Level Binding Constraints</v>
      </c>
      <c r="B7" s="2">
        <v>0</v>
      </c>
      <c r="C7" s="5">
        <v>0</v>
      </c>
      <c r="D7" s="2">
        <v>3</v>
      </c>
      <c r="E7" s="5">
        <v>83388.63</v>
      </c>
      <c r="F7" s="2">
        <v>0</v>
      </c>
      <c r="G7" s="5">
        <v>0</v>
      </c>
      <c r="H7" s="2">
        <v>0</v>
      </c>
      <c r="I7" s="5">
        <v>0</v>
      </c>
      <c r="J7" s="5">
        <v>0</v>
      </c>
      <c r="K7" s="5">
        <v>0</v>
      </c>
      <c r="L7" s="5">
        <v>83389</v>
      </c>
      <c r="M7" s="5">
        <v>0</v>
      </c>
    </row>
    <row r="8" ht="20" customHeight="1">
      <c r="A8" s="2" t="str">
        <v>AOW04: Incubating Innovation in Sustainable Farming</v>
      </c>
      <c r="B8" s="2">
        <v>0</v>
      </c>
      <c r="C8" s="5">
        <v>0</v>
      </c>
      <c r="D8" s="2">
        <v>0</v>
      </c>
      <c r="E8" s="5">
        <v>0</v>
      </c>
      <c r="F8" s="2">
        <v>0</v>
      </c>
      <c r="G8" s="5">
        <v>0</v>
      </c>
      <c r="H8" s="2">
        <v>0</v>
      </c>
      <c r="I8" s="5">
        <v>0</v>
      </c>
      <c r="J8" s="5">
        <v>0</v>
      </c>
      <c r="K8" s="5">
        <v>0</v>
      </c>
      <c r="L8" s="5">
        <v>0</v>
      </c>
      <c r="M8" s="5">
        <v>0</v>
      </c>
    </row>
    <row r="9" ht="20" customHeight="1">
      <c r="A9" s="2" t="str">
        <v>AOW05: Accelerating Impact</v>
      </c>
      <c r="B9" s="2">
        <v>0</v>
      </c>
      <c r="C9" s="5">
        <v>0</v>
      </c>
      <c r="D9" s="2">
        <v>0</v>
      </c>
      <c r="E9" s="5">
        <v>0</v>
      </c>
      <c r="F9" s="2">
        <v>0</v>
      </c>
      <c r="G9" s="5">
        <v>0</v>
      </c>
      <c r="H9" s="2">
        <v>2</v>
      </c>
      <c r="I9" s="5">
        <v>55592.56</v>
      </c>
      <c r="J9" s="5">
        <v>0</v>
      </c>
      <c r="K9" s="5">
        <v>0</v>
      </c>
      <c r="L9" s="5">
        <v>55593</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0</v>
      </c>
    </row>
    <row r="4" ht="45" customHeight="1">
      <c r="A4" s="11" t="str">
        <v>AOW00</v>
      </c>
      <c r="B4" s="11" t="str">
        <v xml:space="preserve">Other PMU Operations </v>
      </c>
      <c r="C4" s="11" t="str">
        <v>Travel, office supplies, and services, charge back, etc., for the PMU team</v>
      </c>
      <c r="D4" s="11">
        <v>0</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0</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0</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1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 1.1: Agronomic and farm management scientific data and analytics  </v>
      </c>
      <c r="C3" s="11" t="str">
        <v>AI-Driven Advisory System Assessment to generate new evidence on the effectiveness, usability, and integration of climate-informed livestock advisories across diverse production systems</v>
      </c>
      <c r="D3" s="11" t="str">
        <v xml:space="preserve"> Number of partnerships established</v>
      </c>
      <c r="E3" s="11" t="str">
        <v>Country: Ethiopia</v>
      </c>
      <c r="F3" s="11">
        <v>6</v>
      </c>
      <c r="G3" s="11">
        <v>30269.95</v>
      </c>
      <c r="H3" s="11">
        <f>SUM(G3:G4)</f>
      </c>
      <c r="I3" s="11" t="str">
        <v>The budget will be used for personnel, supply and service and travel</v>
      </c>
    </row>
    <row r="4" ht="50" customHeight="1">
      <c r="A4" s="11" t="str">
        <v>AOW01</v>
      </c>
      <c r="C4" s="11" t="str">
        <v>Integrated datasets, tools and evidence to generate locally adapted forage options (Prototype providing forage and feed advisory)</v>
      </c>
      <c r="D4" s="11" t="str">
        <v>Number of knowledge products</v>
      </c>
      <c r="E4" s="11" t="str">
        <v>Country: Ethiopia</v>
      </c>
      <c r="F4" s="11">
        <v>3</v>
      </c>
      <c r="G4" s="11">
        <v>20865.34</v>
      </c>
      <c r="I4" s="11" t="str">
        <v>The budget will be used for personnel, supply and service and travel</v>
      </c>
    </row>
    <row r="5" ht="25" customHeight="1">
      <c r="B5" s="14" t="str">
        <v>HLO budget subtotal</v>
      </c>
      <c r="H5" s="15">
        <f>SUM(H3:H4)</f>
      </c>
    </row>
    <row r="6" ht="50" customHeight="1">
      <c r="A6" s="13" t="str">
        <v>AOW02</v>
      </c>
      <c r="B6" s="11" t="str">
        <v xml:space="preserve">2.1: Enhanced resolution, accuracy and timeliness of early warning system </v>
      </c>
      <c r="C6" s="11" t="str">
        <v>Training material and training activities to enhance early detection of water related shocks, pests and disease occurrence using AI and digital tools</v>
      </c>
      <c r="D6" s="11" t="str">
        <v>Number of people trained (capacity sharing for development)</v>
      </c>
      <c r="E6" s="11" t="str">
        <v>Country: Kenya, Ethiopia, Philippines, Netherlands (Kingdom of the), Cameroon, Tanzania, United Republic, The Democratic Republic of the Congo, Nigeria</v>
      </c>
      <c r="F6" s="11">
        <v>2</v>
      </c>
      <c r="G6" s="11">
        <v>40592.68</v>
      </c>
      <c r="H6" s="11">
        <f>SUM(G6:G6)</f>
      </c>
      <c r="I6" s="11" t="str">
        <v>The budget will be used for personnel, supply and service and travel</v>
      </c>
    </row>
    <row r="7" ht="25" customHeight="1">
      <c r="B7" s="15" t="str">
        <v>HLO budget subtotal</v>
      </c>
      <c r="H7" s="15">
        <f>SUM(H6:H6)</f>
      </c>
    </row>
    <row r="8" ht="50" customHeight="1">
      <c r="A8" s="13" t="str">
        <v>AOW03</v>
      </c>
      <c r="B8" s="11" t="str">
        <v xml:space="preserve">3.1: Farm-level diagnostic evidence on soil, plant, water, and socio-economic constraints </v>
      </c>
      <c r="C8" s="11" t="str">
        <v>KPI 1: Diagnostic characterization of farm-level binding constraints, with corresponding best-fit solution options integrated into the Sustainable Farming Dashboard (SFD) under AoW5</v>
      </c>
      <c r="D8" s="11" t="str">
        <v>Number of knowledge products</v>
      </c>
      <c r="E8" s="11" t="str">
        <v>Country: Bangladesh, India, Malawi, Kenya, Lao People's Democratic Republic, Ethiopia, Mexico, Nepal, Peru, Ghana, Nigeria</v>
      </c>
      <c r="F8" s="11">
        <v>3</v>
      </c>
      <c r="G8" s="11">
        <v>83388.63</v>
      </c>
      <c r="H8" s="11">
        <f>SUM(G8:G8)</f>
      </c>
      <c r="I8" s="11" t="str">
        <v>The budget will be used for personnel, supply and service and travel</v>
      </c>
    </row>
    <row r="9" ht="25" customHeight="1">
      <c r="B9" s="15" t="str">
        <v>HLO budget subtotal</v>
      </c>
      <c r="H9" s="15">
        <f>SUM(H8:H8)</f>
      </c>
    </row>
    <row r="10" ht="50" customHeight="1">
      <c r="A10" s="13" t="str">
        <v>AOW05</v>
      </c>
      <c r="B10" s="11" t="str">
        <v xml:space="preserve">5.5. Well-documented, widely applicable and replicable partnership platforms </v>
      </c>
      <c r="C10" s="11" t="str">
        <v>Multi-stakeholder partnership platforms (PAASSs) engaging diverse partners to support the scaling of bundled solutions for multiple crops (cassava, maize, sorghum, soybean, teff, rice, cocoa, coffee, etc) and livestock emerging from AoWs 1–3 in different locations and countries.</v>
      </c>
      <c r="D10" s="11" t="str">
        <v xml:space="preserve"> Number of Partners engaged</v>
      </c>
      <c r="E10" s="11" t="str">
        <v>Country: Kenya, Ghana, Mexico, Malawi, Tanzania, United Republic, Nigeria, Cambodia, India, Philippines, The Socialist Republic of Viet Nam, Ethiopia</v>
      </c>
      <c r="F10" s="11">
        <v>2</v>
      </c>
      <c r="G10" s="11">
        <v>55592.56</v>
      </c>
      <c r="H10" s="11">
        <f>SUM(G10:G10)</f>
      </c>
      <c r="I10" s="11" t="str">
        <v>The budget will be used for personnel, supply and service and travel</v>
      </c>
    </row>
    <row r="11" ht="25" customHeight="1">
      <c r="B11" s="15" t="str">
        <v>HLO budget subtotal</v>
      </c>
      <c r="H11" s="15">
        <f>SUM(H10:H10)</f>
      </c>
    </row>
  </sheetData>
  <mergeCells count="15">
    <mergeCell ref="A1:A2"/>
    <mergeCell ref="B1:B2"/>
    <mergeCell ref="C1:G1"/>
    <mergeCell ref="H1:H2"/>
    <mergeCell ref="I1:I2"/>
    <mergeCell ref="B3:B4"/>
    <mergeCell ref="H3:H4"/>
    <mergeCell ref="B5:G5"/>
    <mergeCell ref="A3:A5"/>
    <mergeCell ref="B7:G7"/>
    <mergeCell ref="A6:A7"/>
    <mergeCell ref="B9:G9"/>
    <mergeCell ref="A8:A9"/>
    <mergeCell ref="B11:G11"/>
    <mergeCell ref="A10:A11"/>
  </mergeCells>
  <ignoredErrors>
    <ignoredError numberStoredAsText="1" sqref="A1:I1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xml:space="preserve">
      <c r="A2" s="18" t="str" xml:space="preserve">
        <v xml:space="preserve">Digital inclusivity of AI advisories and SFP solutions assessed using CGIAR Inclusivity Index to ensure equitable access for women, youth, and disadvantaged groups.
 </v>
      </c>
      <c r="B2" s="19" t="str">
        <v>AOW00</v>
      </c>
      <c r="C2" s="18" t="str">
        <v xml:space="preserve">5b: CGIAR and its partners leverage standardized tools, MELIA frameworks, partnership platforms, and FAIR, AI-ready </v>
      </c>
      <c r="D2" s="19">
        <v>0</v>
      </c>
      <c r="E2" s="19" t="str">
        <f>=SUM(D2:D4)</f>
        <v>0</v>
      </c>
    </row>
    <row r="3" ht="30" customHeight="1" xml:space="preserve">
      <c r="A3" s="18" t="str" xml:space="preserve">
        <v xml:space="preserve">Digital inclusivity of AI advisories and SFP solutions assessed using CGIAR Inclusivity Index to ensure equitable access for women, youth, and disadvantaged groups.
 </v>
      </c>
      <c r="B3" s="19" t="str">
        <v>AOW05</v>
      </c>
      <c r="C3" s="18" t="str">
        <v xml:space="preserve">5.4: SFP teams and partners use Standard MELIA tools and KPI framework </v>
      </c>
      <c r="D3" s="19">
        <v>0</v>
      </c>
    </row>
    <row r="4" ht="30" customHeight="1" xml:space="preserve">
      <c r="A4" s="18" t="str" xml:space="preserve">
        <v xml:space="preserve">Digital inclusivity of AI advisories and SFP solutions assessed using CGIAR Inclusivity Index to ensure equitable access for women, youth, and disadvantaged groups.
 </v>
      </c>
      <c r="B4" s="19" t="str">
        <v>AOW01</v>
      </c>
      <c r="C4" s="18" t="str">
        <v xml:space="preserve">1.3: Partners adopt benchmarking tools </v>
      </c>
      <c r="D4" s="19">
        <v>0</v>
      </c>
    </row>
    <row r="5" ht="30" customHeight="1">
      <c r="A5" s="3" t="str">
        <v>MELIA Studies Budget subtotal</v>
      </c>
      <c r="E5" s="3">
        <f>SUM(E2:E4)</f>
      </c>
    </row>
  </sheetData>
  <mergeCells count="3">
    <mergeCell ref="A2:A4"/>
    <mergeCell ref="E2:E4"/>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0</v>
      </c>
      <c r="C2" s="20">
        <v>0</v>
      </c>
      <c r="D2" s="20">
        <v>0</v>
      </c>
      <c r="E2" s="20">
        <v>0</v>
      </c>
      <c r="F2" s="20">
        <v>0</v>
      </c>
      <c r="G2" s="20">
        <v>0</v>
      </c>
      <c r="H2" s="20" t="str">
        <f>=SUM(B2:G2)</f>
        <v>0</v>
      </c>
    </row>
    <row r="3" ht="20" customHeight="1">
      <c r="A3" s="20" t="str">
        <v>Operations (supplies, consultants, travels, workshops, other)</v>
      </c>
      <c r="B3" s="20">
        <v>0</v>
      </c>
      <c r="C3" s="20">
        <v>12784</v>
      </c>
      <c r="D3" s="20">
        <v>10149</v>
      </c>
      <c r="E3" s="20">
        <v>20848</v>
      </c>
      <c r="F3" s="20">
        <v>0</v>
      </c>
      <c r="G3" s="20">
        <v>13899</v>
      </c>
      <c r="H3" s="20" t="str">
        <f>=SUM(B3:G3)</f>
        <v>0</v>
      </c>
    </row>
    <row r="4" ht="20" customHeight="1">
      <c r="A4" s="20" t="str">
        <v>Staffing, Chargebacks and Indirect</v>
      </c>
      <c r="B4" s="20">
        <v>0</v>
      </c>
      <c r="C4" s="20">
        <v>38351</v>
      </c>
      <c r="D4" s="20">
        <v>30444</v>
      </c>
      <c r="E4" s="20">
        <v>62541</v>
      </c>
      <c r="F4" s="20">
        <v>0</v>
      </c>
      <c r="G4" s="20">
        <v>41694</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