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9">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4">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0" fontId="0" fillId="0" borderId="14" xfId="0" applyBorder="1" applyAlignment="1">
      <alignment vertical="center" wrapText="true"/>
    </xf>
    <xf numFmtId="0" fontId="0" fillId="0" borderId="15" xfId="0" applyBorder="1" applyAlignment="1">
      <alignment horizontal="center" vertical="center" wrapText="true"/>
    </xf>
    <xf numFmtId="1" fontId="0" fillId="0" borderId="16" xfId="0" applyBorder="1" applyNumberFormat="1" applyAlignment="1">
      <alignment horizontal="center" vertical="center"/>
    </xf>
    <xf numFmtId="0" fontId="15" fillId="15" borderId="0" xfId="0" applyFont="1" applyFill="1" applyAlignment="1">
      <alignment horizontal="center" vertical="center"/>
    </xf>
    <xf numFmtId="1" fontId="16" fillId="16" borderId="17" xfId="0" applyFont="1" applyFill="1" applyBorder="1" applyNumberFormat="1" applyAlignment="1">
      <alignment horizontal="center" vertical="center"/>
    </xf>
    <xf numFmtId="1" fontId="17" fillId="17" borderId="18"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0</v>
      </c>
      <c r="M4" s="5">
        <v>0</v>
      </c>
    </row>
    <row r="5" ht="20" customHeight="1">
      <c r="A5" s="2" t="str">
        <v>AOW01: Future Food Systems Lab</v>
      </c>
      <c r="B5" s="2">
        <v>8</v>
      </c>
      <c r="C5" s="5">
        <v>91743</v>
      </c>
      <c r="D5" s="2">
        <v>2</v>
      </c>
      <c r="E5" s="5">
        <v>80000</v>
      </c>
      <c r="F5" s="2">
        <v>300</v>
      </c>
      <c r="G5" s="5">
        <v>30000</v>
      </c>
      <c r="H5" s="2">
        <v>0</v>
      </c>
      <c r="I5" s="5">
        <v>0</v>
      </c>
      <c r="J5" s="5">
        <v>0</v>
      </c>
      <c r="K5" s="5">
        <v>0</v>
      </c>
      <c r="L5" s="5">
        <v>201743</v>
      </c>
      <c r="M5" s="5">
        <v>0</v>
      </c>
    </row>
    <row r="6" ht="20" customHeight="1">
      <c r="A6" s="2" t="str">
        <v>AOW02: Fragile and Conflict-affected Food Systems</v>
      </c>
      <c r="B6" s="2">
        <v>3</v>
      </c>
      <c r="C6" s="5">
        <v>33250</v>
      </c>
      <c r="D6" s="2">
        <v>23</v>
      </c>
      <c r="E6" s="5">
        <v>709186</v>
      </c>
      <c r="F6" s="2">
        <v>200</v>
      </c>
      <c r="G6" s="5">
        <v>5000</v>
      </c>
      <c r="H6" s="2">
        <v>50</v>
      </c>
      <c r="I6" s="5">
        <v>13092</v>
      </c>
      <c r="J6" s="5">
        <v>43000</v>
      </c>
      <c r="K6" s="5">
        <v>162000</v>
      </c>
      <c r="L6" s="5">
        <v>965528</v>
      </c>
      <c r="M6" s="5">
        <v>1891859</v>
      </c>
    </row>
    <row r="7" ht="20" customHeight="1">
      <c r="A7" s="2" t="str">
        <v>AOW03: Urban Food Systems</v>
      </c>
      <c r="B7" s="2">
        <v>0</v>
      </c>
      <c r="C7" s="5">
        <v>0</v>
      </c>
      <c r="D7" s="2">
        <v>0</v>
      </c>
      <c r="E7" s="5">
        <v>0</v>
      </c>
      <c r="F7" s="2">
        <v>0</v>
      </c>
      <c r="G7" s="5">
        <v>0</v>
      </c>
      <c r="H7" s="2">
        <v>0</v>
      </c>
      <c r="I7" s="5">
        <v>0</v>
      </c>
      <c r="J7" s="5">
        <v>0</v>
      </c>
      <c r="K7" s="5">
        <v>0</v>
      </c>
      <c r="L7" s="5">
        <v>0</v>
      </c>
      <c r="M7" s="5">
        <v>0</v>
      </c>
    </row>
    <row r="8" ht="20" customHeight="1">
      <c r="A8" s="2" t="str">
        <v>AOW04: Island Food Systems</v>
      </c>
      <c r="B8" s="2">
        <v>0</v>
      </c>
      <c r="C8" s="5">
        <v>0</v>
      </c>
      <c r="D8" s="2">
        <v>0</v>
      </c>
      <c r="E8" s="5">
        <v>0</v>
      </c>
      <c r="F8" s="2">
        <v>0</v>
      </c>
      <c r="G8" s="5">
        <v>0</v>
      </c>
      <c r="H8" s="2">
        <v>0</v>
      </c>
      <c r="I8" s="5">
        <v>0</v>
      </c>
      <c r="J8" s="5">
        <v>0</v>
      </c>
      <c r="K8" s="5">
        <v>0</v>
      </c>
      <c r="L8" s="5">
        <v>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9"/>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Program Director Discretionary Fund</v>
      </c>
      <c r="C2" s="11" t="str">
        <v>Flexible funding available to the Program Director to respond to emerging priorities, fill gaps, and address strategic program-level matters</v>
      </c>
      <c r="D2" s="11">
        <v>0</v>
      </c>
    </row>
    <row r="3" ht="45" customHeight="1">
      <c r="A3" s="11" t="str">
        <v>AOW00</v>
      </c>
      <c r="B3" s="11" t="str">
        <v>Program Level Communication</v>
      </c>
      <c r="C3" s="11" t="str">
        <v>Delivery of the program level 2026 Communications Strategy</v>
      </c>
      <c r="D3" s="11">
        <v>0</v>
      </c>
    </row>
    <row r="4" ht="45" customHeight="1">
      <c r="A4" s="11" t="str">
        <v>AOW00</v>
      </c>
      <c r="B4" s="11" t="str">
        <v>PMU Team</v>
      </c>
      <c r="C4" s="11" t="str">
        <v>FTE support for the Program Coordinator, MELIA Focal Point, Communications Focal point, including centralized assistance for Finance.</v>
      </c>
      <c r="D4" s="11">
        <v>0</v>
      </c>
    </row>
    <row r="5" ht="45" customHeight="1">
      <c r="A5" s="11" t="str">
        <v>AOW00</v>
      </c>
      <c r="B5" s="11" t="str">
        <v xml:space="preserve">Program Director and Associated costs </v>
      </c>
      <c r="C5" s="11" t="str">
        <v>Program Director FTE, administrative support, meeting and workshop coordination, travel, short-term consultancies, and various operational expenses</v>
      </c>
      <c r="D5" s="11">
        <v>0</v>
      </c>
    </row>
    <row r="6" ht="45" customHeight="1">
      <c r="A6" s="11" t="str">
        <v>AOW00</v>
      </c>
      <c r="B6" s="11" t="str">
        <v>Area of Work (AoW) Leaders</v>
      </c>
      <c r="C6" s="11" t="str">
        <v>Four AoW Lead FTEs</v>
      </c>
      <c r="D6" s="11">
        <v>0</v>
      </c>
    </row>
    <row r="7" ht="45" customHeight="1">
      <c r="A7" s="11" t="str">
        <v>AOW00</v>
      </c>
      <c r="B7" s="11" t="str">
        <v>Program Leadership Meetings</v>
      </c>
      <c r="C7" s="11" t="str">
        <v>In-person leadership sessions for planning, oversight, and progress review, including an annual pause and reflect meeting.</v>
      </c>
      <c r="D7" s="11">
        <v>0</v>
      </c>
    </row>
    <row r="8" ht="45" customHeight="1">
      <c r="A8" s="11" t="str">
        <v>AOW00</v>
      </c>
      <c r="B8" s="11" t="str">
        <v>Program Level MELIA Activities</v>
      </c>
      <c r="C8" s="11" t="str">
        <v>Execution of 2026 MELIA activities based on the Program MELIA Plan</v>
      </c>
      <c r="D8" s="11">
        <v>0</v>
      </c>
    </row>
    <row r="9" ht="45" customHeight="1">
      <c r="A9" s="11" t="str">
        <v>AOW00</v>
      </c>
      <c r="B9" s="11" t="str">
        <v>Centralized Finance Support</v>
      </c>
      <c r="C9" s="11" t="str">
        <v xml:space="preserve">SO- Shared finance support arrangement </v>
      </c>
      <c r="D9" s="11">
        <v>0</v>
      </c>
    </row>
  </sheetData>
  <mergeCells count="1">
    <mergeCell ref="A2:A9"/>
  </mergeCells>
  <ignoredErrors>
    <ignoredError numberStoredAsText="1" sqref="A1:E9"/>
  </ignoredErrors>
</worksheet>
</file>

<file path=xl/worksheets/sheet3.xml><?xml version="1.0" encoding="utf-8"?>
<worksheet xmlns="http://schemas.openxmlformats.org/spreadsheetml/2006/main" xmlns:r="http://schemas.openxmlformats.org/officeDocument/2006/relationships">
  <dimension ref="A1:I3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1.1.1 Envisioning Food System Futures</v>
      </c>
      <c r="C3" s="11" t="str">
        <v>Critical Capability_IFPRI: Foresight and Rapid Response Modeling System: Updated modeling data systems for at least 8 countries to most recent base years. Use of FARRMS (Foresight and Rapid Response Modeling Systems) during unanticipated crises.</v>
      </c>
      <c r="D3" s="11" t="str">
        <v>Number of innovations (innovation development)</v>
      </c>
      <c r="E3" s="11" t="str">
        <v>Country: Mozambique, Ethiopia, Bangladesh, Nigeria, Burkina Faso</v>
      </c>
      <c r="F3" s="11">
        <v>8</v>
      </c>
      <c r="G3" s="11">
        <v>91743</v>
      </c>
      <c r="H3" s="11">
        <f>SUM(G3:G3)</f>
      </c>
      <c r="I3" s="11" t="str">
        <v>The budget covers the updating and maintenance of FARRMS modeling data systems for eight countries—Mozambique, Ethiopia, Bangladesh, Nigeria, and Burkina Faso—including data acquisition, cleaning, model calibration, and technical expert time. Costs also account for rapid-response modeling during unanticipated crises and the development of eight updated innovations aligned with the indicator.</v>
      </c>
    </row>
    <row r="4" ht="50" customHeight="1">
      <c r="A4" s="11" t="str">
        <v>AOW01</v>
      </c>
      <c r="B4" s="11" t="str">
        <v>1.2.2 Evidence Synthesis and Adaptive Learning</v>
      </c>
      <c r="C4" s="11" t="str">
        <v>Stakeholders’ engagement (with both government and non-government actors interested in NBS).  We will produce a policy brief and disseminate key policy messages to policymakers and other stakeholders engaged through a scaling roadmap. This will provide decisions support evidence and NBS based investment guide, leading to scaling NBS solutions and enhancing sustainability the solutions.</v>
      </c>
      <c r="D4" s="11" t="str">
        <v>Number of knowledge products</v>
      </c>
      <c r="E4" s="11" t="str">
        <v>Country: Nigeria</v>
      </c>
      <c r="F4" s="11">
        <v>1</v>
      </c>
      <c r="G4" s="11">
        <v>30000</v>
      </c>
      <c r="H4" s="11">
        <f>SUM(G4:G5)</f>
      </c>
      <c r="I4" s="11" t="str">
        <v>The budget covers stakeholder engagement activities with government and non-government actors on Nature-Based Solutions in Nigeria, including consultation meetings, synthesis of insights, and preparation of one policy brief. Cost assumptions include expert time for analysis and drafting, logistics for engagement sessions, and dissemination of key policy messages through a scaling roadmap to support NBS investment and sustainability.</v>
      </c>
    </row>
    <row r="5" ht="50" customHeight="1">
      <c r="A5" s="11" t="str">
        <v>AOW01</v>
      </c>
      <c r="C5" s="11" t="str">
        <v xml:space="preserve">Economic analysis of key components of Nature-Based Solutions (NBS) implemented as part of the Gender, Climate Change And Nutrition Integration Initiative (GCAN) in Nigeria (focusing on on-farm soil &amp; water management (soil bunds, in-field water and nutrient retention structures), ecosystem restoration, through vegetation, watershed restoration, and vegetative bunds.  We will conduct the social cost-benefit analysis (CBA) of NBS and further undertake an impact assessment (IA) of these initiatives on selected agricultural, economic, and environmental outcome outcomes. </v>
      </c>
      <c r="D5" s="11" t="str">
        <v>Number of knowledge products</v>
      </c>
      <c r="E5" s="11" t="str">
        <v>Country: Nigeria</v>
      </c>
      <c r="F5" s="11">
        <v>1</v>
      </c>
      <c r="G5" s="11">
        <v>50000</v>
      </c>
      <c r="I5" s="11" t="str">
        <v>The budget covers data collection, field verification, expert analysis, and technical reporting required to conduct a social cost–benefit analysis and impact assessment of key Nature-Based Solutions implemented under the GCAN project in northeast Nigeria. Cost assumptions include research consultancy fees, travel to project sites, stakeholder consultations, analytical modeling, and production of one knowledge product documenting evidence and methods for climate-resilient food production.</v>
      </c>
    </row>
    <row r="6" ht="50" customHeight="1">
      <c r="A6" s="11" t="str">
        <v>AOW01</v>
      </c>
      <c r="B6" s="11" t="str">
        <v>1.3.3 Entrepreneurship Support Program</v>
      </c>
      <c r="C6" s="11" t="str">
        <v xml:space="preserve">Develop the training materials (manuals); train 300 women and youth in climate-smart agriculture, eco-restoration, and leadership for inclusive agricultural water management and ecosystem restoration efforts in northeast Nigeria, Adamawa state), leading to locally lead climate adaptation actions, livelihood enhancement, and sustainability of natural resources. The  training will be aligned with an NBS intervention to promote sustainability of that intervention. </v>
      </c>
      <c r="D6" s="11" t="str">
        <v>Number of people trained (capacity sharing for development)</v>
      </c>
      <c r="E6" s="11" t="str">
        <v>Country: The Republic of the Sudan, Nigeria</v>
      </c>
      <c r="F6" s="11">
        <v>300</v>
      </c>
      <c r="G6" s="11">
        <v>30000</v>
      </c>
      <c r="H6" s="11">
        <f>SUM(G6:G6)</f>
      </c>
      <c r="I6" s="11" t="str">
        <v>The budget covers the development of training manuals and delivery of climate-smart agriculture, eco-restoration, and leadership training for 300 women and youth in northeast Nigeria and Sudan. Cost assumptions include expert fees for curriculum development, training logistics, venue and materials, participant support, and facilitation to ensure alignment with Nature-Based Solutions and to enable locally led climate adaptation and sustainable livelihood actions.</v>
      </c>
    </row>
    <row r="7" ht="25" customHeight="1">
      <c r="B7" s="14" t="str">
        <v>HLO budget subtotal</v>
      </c>
      <c r="H7" s="15">
        <f>SUM(H3:H6)</f>
      </c>
    </row>
    <row r="8" ht="50" customHeight="1">
      <c r="A8" s="13" t="str">
        <v>AOW02</v>
      </c>
      <c r="B8" s="11" t="str">
        <v>2.1.1 Prevent</v>
      </c>
      <c r="C8" s="11" t="str">
        <v>A workshop with key stakeholders and government partners</v>
      </c>
      <c r="D8" s="11" t="str">
        <v>Number of people trained (capacity sharing for development)</v>
      </c>
      <c r="E8" s="11" t="str">
        <v>Country: Nigeria</v>
      </c>
      <c r="F8" s="11">
        <v>100</v>
      </c>
      <c r="G8" s="11">
        <v>2500</v>
      </c>
      <c r="H8" s="11">
        <f>SUM(G8:G16)</f>
      </c>
      <c r="I8" s="11" t="str">
        <v>Budget covers a one-day workshop to train 100 key stakeholders and government partners in Nigeria on anticipatory action programming. It includes costs for venue, facilitation, materials, and participant engagement to enhance capacity for proactive disast</v>
      </c>
    </row>
    <row r="9" ht="50" customHeight="1">
      <c r="A9" s="11" t="str">
        <v>AOW02</v>
      </c>
      <c r="C9" s="11" t="str">
        <v>Knowledge product on the impacts of trainings on women's voice and empowerment and livelihoods and about the innovations' development and use + dissemination</v>
      </c>
      <c r="D9" s="11" t="str">
        <v>Number of knowledge products</v>
      </c>
      <c r="E9" s="11" t="str">
        <v>Country: Nigeria</v>
      </c>
      <c r="F9" s="11">
        <v>2</v>
      </c>
      <c r="G9" s="11">
        <v>0</v>
      </c>
    </row>
    <row r="10" ht="50" customHeight="1">
      <c r="A10" s="11" t="str">
        <v>AOW02</v>
      </c>
      <c r="C10" s="11" t="str">
        <v>Knowledge product on how to make anticipatory action programming gender responsive</v>
      </c>
      <c r="D10" s="11" t="str">
        <v>Number of knowledge products</v>
      </c>
      <c r="E10" s="11" t="str">
        <v>Country: Nigeria</v>
      </c>
      <c r="F10" s="11">
        <v>1</v>
      </c>
      <c r="G10" s="11">
        <v>5000</v>
      </c>
      <c r="I10" s="11" t="str">
        <v>Budget includes development of one knowledge product focused on integrating gender responsiveness into anticipatory action programming in Nigeria. It covers research, stakeholder consultations, and dissemination of practical guidance to enhance women’s pa</v>
      </c>
    </row>
    <row r="11" ht="50" customHeight="1">
      <c r="A11" s="11" t="str">
        <v>AOW02</v>
      </c>
      <c r="C11" s="11" t="str">
        <v>Knowledge product on farmer-herder conflict's impacts in the Sahel, and how to promote women's empowerment amid active conflict</v>
      </c>
      <c r="D11" s="11" t="str">
        <v>Number of knowledge products</v>
      </c>
      <c r="E11" s="11" t="str">
        <v>Country: Nigeria</v>
      </c>
      <c r="F11" s="11">
        <v>1</v>
      </c>
      <c r="G11" s="11">
        <v>15000</v>
      </c>
      <c r="I11" s="11" t="str">
        <v>Budget covers one knowledge product on farmer-herder conflict impacts and women’s empowerment in Nigeria's Sahel, including research, stakeholder engagement, and targeted dissemination to inform policy and programming. This supports gender-sensitive confl</v>
      </c>
    </row>
    <row r="12" ht="50" customHeight="1">
      <c r="A12" s="11" t="str">
        <v>AOW02</v>
      </c>
      <c r="C12" s="11" t="str">
        <v>Knowledge products plus a blog on the impact of inclusion interventions and implications for creating more sustainable food systems in Bangladesh</v>
      </c>
      <c r="D12" s="11" t="str">
        <v>Number of knowledge products</v>
      </c>
      <c r="E12" s="11" t="str">
        <v>Country: Bangladesh</v>
      </c>
      <c r="F12" s="11">
        <v>3</v>
      </c>
      <c r="G12" s="11">
        <v>43500</v>
      </c>
      <c r="I12" s="11" t="str">
        <v>The budget covers the development of three knowledge products—including one blog—on the impact of inclusion interventions and their implications for sustainable food systems in Bangladesh. Cost assumptions include research, writing, technical review, desi</v>
      </c>
    </row>
    <row r="13" ht="50" customHeight="1">
      <c r="A13" s="11" t="str">
        <v>AOW02</v>
      </c>
      <c r="C13" s="11" t="str">
        <v>A workshop with key stakeholders and government partners in Bangladesh</v>
      </c>
      <c r="D13" s="11" t="str">
        <v>Number of people trained (capacity sharing for development)</v>
      </c>
      <c r="E13" s="11" t="str">
        <v>Country: Bangladesh</v>
      </c>
      <c r="F13" s="11">
        <v>100</v>
      </c>
      <c r="G13" s="11">
        <v>0</v>
      </c>
    </row>
    <row r="14" ht="50" customHeight="1">
      <c r="A14" s="11" t="str">
        <v>AOW02</v>
      </c>
      <c r="C14" s="11" t="str">
        <v xml:space="preserve"> Innovations (inspirational videos) on promoting inclusion in fragile food systems</v>
      </c>
      <c r="D14" s="11" t="str">
        <v>Number of innovations (innovation development)</v>
      </c>
      <c r="E14" s="11" t="str">
        <v>Country: Bangladesh</v>
      </c>
      <c r="F14" s="11">
        <v>2</v>
      </c>
      <c r="G14" s="11">
        <v>6000</v>
      </c>
      <c r="I14" s="11" t="str">
        <v>The budget supports the development of two innovations in the form of inspirational videos promoting inclusion in fragile food systems. Cost assumptions cover partners cost for production</v>
      </c>
    </row>
    <row r="15" ht="50" customHeight="1">
      <c r="A15" s="11" t="str">
        <v>AOW02</v>
      </c>
      <c r="C15" s="11" t="str">
        <v>Knowledge products highlighting how effective engagement of local governance structures in fragile settings can contribute to rural development and inclusive resilience</v>
      </c>
      <c r="D15" s="11" t="str">
        <v>Number of knowledge products</v>
      </c>
      <c r="E15" s="11" t="str">
        <v>Country: Mali, Nigeria, Ethiopia</v>
      </c>
      <c r="F15" s="11">
        <v>5</v>
      </c>
      <c r="G15" s="11">
        <v>235000</v>
      </c>
      <c r="I15" s="11" t="str">
        <v>This budget covers the production costs for five country-specific knowledge products (for Mali, Nigeria, and Ethiopia) synthesizing evidence and lessons learned from these engagements.</v>
      </c>
    </row>
    <row r="16" ht="50" customHeight="1">
      <c r="A16" s="11" t="str">
        <v>AOW02</v>
      </c>
      <c r="C16" s="11" t="str">
        <v>One CGIAR innovation to be developed and disseminated with partners in-country - a toolkit that communicates the value and relevance of AA to policymakers and implementing partners and supports its take-up</v>
      </c>
      <c r="D16" s="11" t="str">
        <v>Number of innovations (innovation development)</v>
      </c>
      <c r="E16" s="11" t="str">
        <v>Country: Nigeria, Ethiopia, Mali</v>
      </c>
      <c r="F16" s="11">
        <v>1</v>
      </c>
      <c r="G16" s="11">
        <v>21250</v>
      </c>
      <c r="I16" s="11" t="str">
        <v>Costs include collaborative workshops, expert consultations, design and production of toolkit materials, and country-specific adaptation for Nigeria, Ethiopia, and Mali, targeting one innovation rollout per country. This budget covers stakeholder engageme</v>
      </c>
    </row>
    <row r="17" ht="50" customHeight="1">
      <c r="A17" s="11" t="str">
        <v>AOW02</v>
      </c>
      <c r="B17" s="11" t="str">
        <v>2.2.2 Respond</v>
      </c>
      <c r="C17" s="11" t="str">
        <v>Critical Capability_IFPRI: Impact evaluations for informing policies and programs in FCAs</v>
      </c>
      <c r="D17" s="11" t="str">
        <v>Number of knowledge products</v>
      </c>
      <c r="E17" s="11" t="str">
        <v>Country: Ethiopia, The Republic of the Sudan, Nigeria</v>
      </c>
      <c r="F17" s="11">
        <v>3</v>
      </c>
      <c r="G17" s="11">
        <v>185239</v>
      </c>
      <c r="H17" s="11">
        <f>SUM(G17:G22)</f>
      </c>
      <c r="I17" s="11" t="str">
        <v xml:space="preserve">The budget covers the programs CC allocated to IFPRI, </v>
      </c>
    </row>
    <row r="18" ht="50" customHeight="1">
      <c r="A18" s="11" t="str">
        <v>AOW02</v>
      </c>
      <c r="C18" s="11" t="str">
        <v>Discussion paper on the impact of providing digitally-supported nutrition and agricultural information through the maternal and child cash transfer program in conflict-affected Myanmar</v>
      </c>
      <c r="D18" s="11" t="str">
        <v>Number of knowledge products</v>
      </c>
      <c r="E18" s="11" t="str">
        <v>Country: Myanmar</v>
      </c>
      <c r="F18" s="11">
        <v>1</v>
      </c>
      <c r="G18" s="11">
        <v>12000</v>
      </c>
      <c r="I18" s="11" t="str">
        <v>This budget covers the production of one knowledge product analyzing the impact of integrating digital nutrition and agricultural information into a cash transfer program in conflict-affected Myanmar. Key cost elements include research design, data collec</v>
      </c>
    </row>
    <row r="19" ht="50" customHeight="1">
      <c r="A19" s="11" t="str">
        <v>AOW02</v>
      </c>
      <c r="C19" s="11" t="str">
        <v xml:space="preserve">Discussion paper on 8 year post-program  impacts of a social protection program on  men's and women's livelihoods in rural Bangladesh </v>
      </c>
      <c r="D19" s="11" t="str">
        <v>Number of knowledge products</v>
      </c>
      <c r="E19" s="11" t="str">
        <v>Country: Bangladesh</v>
      </c>
      <c r="F19" s="11">
        <v>1</v>
      </c>
      <c r="G19" s="11">
        <v>17550</v>
      </c>
      <c r="I19" s="11" t="str">
        <v>This budget covers the production of one knowledge product analyzing the 8-year post-program impacts of a social protection program on gender-disaggregated livelihoods in rural Bangladesh, including research and dissemination costs.</v>
      </c>
    </row>
    <row r="20" ht="50" customHeight="1">
      <c r="A20" s="11" t="str">
        <v>AOW02</v>
      </c>
      <c r="C20" s="11" t="str">
        <v>A policy brief to examine how formal and informal safety nets can stabilize livelihoods, promote recovery, and build resilience among IDPs, especially women. An associated presentation will be made in a policy seminar.</v>
      </c>
      <c r="D20" s="11" t="str">
        <v>Number of knowledge products</v>
      </c>
      <c r="E20" s="11" t="str">
        <v>Country: Somalia</v>
      </c>
      <c r="F20" s="11">
        <v>2</v>
      </c>
      <c r="G20" s="11">
        <v>19622</v>
      </c>
      <c r="I20" s="11" t="str">
        <v>This budget covers the development and dissemination of two knowledge products for Somalia: a policy brief analyzing how formal/informal safety nets stabilize livelihoods for IDPs (particularly women)</v>
      </c>
    </row>
    <row r="21" ht="50" customHeight="1">
      <c r="A21" s="11" t="str">
        <v>AOW02</v>
      </c>
      <c r="C21" s="11" t="str">
        <v>Stakeholder policy seminar/webinar</v>
      </c>
      <c r="D21" s="11" t="str">
        <v xml:space="preserve"> Stakeholder policy seminar/webinar</v>
      </c>
      <c r="E21" s="11" t="str">
        <v>Country: Kenya</v>
      </c>
      <c r="F21" s="11">
        <v>50</v>
      </c>
      <c r="G21" s="11">
        <v>6546</v>
      </c>
      <c r="I21" s="11" t="str">
        <v>This budget covers the costs associated with hosting a stakeholder policy seminar/webinar for 50 participants in Kenya, including platform, preparation, and facilitation expenses.</v>
      </c>
    </row>
    <row r="22" ht="50" customHeight="1">
      <c r="A22" s="11" t="str">
        <v>AOW02</v>
      </c>
      <c r="C22" s="11" t="str">
        <v>Discussion papers will examine the impacts of the EIP on livelihoods and gender dynamics.</v>
      </c>
      <c r="D22" s="11" t="str">
        <v>Number of knowledge products</v>
      </c>
      <c r="E22" s="11" t="str">
        <v>Country: Kenya</v>
      </c>
      <c r="F22" s="11">
        <v>2</v>
      </c>
      <c r="G22" s="11">
        <v>37801</v>
      </c>
      <c r="I22" s="11" t="str">
        <v>This budget covers the production costs for two discussion papers that will analyze the effects of the EIP on livelihoods and gender dynamics, with evidence and analysis specific to Kenya.</v>
      </c>
    </row>
    <row r="23" ht="50" customHeight="1">
      <c r="A23" s="11" t="str">
        <v>AOW02</v>
      </c>
      <c r="B23" s="11" t="str">
        <v>2.3.3 Recover</v>
      </c>
      <c r="C23" s="11" t="str">
        <v xml:space="preserve">Discussion paper on 8 year post-program  impacts of a social protection program on  men's and women's livelihoods in rural Bangladesh </v>
      </c>
      <c r="D23" s="11" t="str">
        <v>Number of knowledge products</v>
      </c>
      <c r="E23" s="11" t="str">
        <v>Country: Bangladesh</v>
      </c>
      <c r="F23" s="11">
        <v>1</v>
      </c>
      <c r="G23" s="11">
        <v>17551</v>
      </c>
      <c r="H23" s="11">
        <f>SUM(G23:G34)</f>
      </c>
      <c r="I23" s="11" t="str">
        <v>This budget covers the production of one knowledge product analyzing the 8-year post-program impacts of a social protection program on gender-disaggregated livelihoods in rural Bangladesh, including research and dissemination costs.</v>
      </c>
    </row>
    <row r="24" ht="50" customHeight="1">
      <c r="A24" s="11" t="str">
        <v>AOW02</v>
      </c>
      <c r="C24" s="11" t="str">
        <v>A policy brief to examine how formal and informal safety nets can stabilize livelihoods, promote recovery, and build resilience among IDPs, especially women. An associated presentation will be made in a policy seminar.</v>
      </c>
      <c r="D24" s="11" t="str">
        <v>Number of knowledge products</v>
      </c>
      <c r="E24" s="11" t="str">
        <v>Country: Somalia</v>
      </c>
      <c r="F24" s="11">
        <v>2</v>
      </c>
      <c r="G24" s="11">
        <v>19622</v>
      </c>
      <c r="I24" s="11" t="str">
        <v>This budget covers the development and dissemination of two knowledge products for Somalia: a policy brief analyzing how formal/informal safety nets stabilize livelihoods for IDPs (particularly women)</v>
      </c>
    </row>
    <row r="25" ht="50" customHeight="1">
      <c r="A25" s="11" t="str">
        <v>AOW02</v>
      </c>
      <c r="C25" s="11" t="str">
        <v>Stakeholder policy seminar/webinar</v>
      </c>
      <c r="D25" s="11" t="str">
        <v xml:space="preserve"> Stakeholder policy seminar/webinar</v>
      </c>
      <c r="E25" s="11" t="str">
        <v>Country: Kenya</v>
      </c>
      <c r="F25" s="11">
        <v>50</v>
      </c>
      <c r="G25" s="11">
        <v>6546</v>
      </c>
      <c r="I25" s="11" t="str">
        <v>This budget covers the costs associated with hosting a stakeholder policy seminar/webinar for 50 participants in Kenya, including platform, preparation, and facilitation expenses.</v>
      </c>
    </row>
    <row r="26" ht="50" customHeight="1">
      <c r="A26" s="11" t="str">
        <v>AOW02</v>
      </c>
      <c r="C26" s="11" t="str">
        <v>Discussion papers will examine the impacts of the EIP on livelihoods and gender dynamics.</v>
      </c>
      <c r="D26" s="11" t="str">
        <v>Number of knowledge products</v>
      </c>
      <c r="E26" s="11" t="str">
        <v>Country: Kenya</v>
      </c>
      <c r="F26" s="11">
        <v>2</v>
      </c>
      <c r="G26" s="11">
        <v>37801</v>
      </c>
      <c r="I26" s="11" t="str">
        <v>This budget covers the production costs for two discussion papers that will analyze the effects of the EIP on livelihoods and gender dynamics, with evidence and analysis specific to Kenya.</v>
      </c>
    </row>
    <row r="27" ht="50" customHeight="1">
      <c r="A27" s="11" t="str">
        <v>AOW02</v>
      </c>
      <c r="C27" s="11" t="str">
        <v>Produce guidance models and a Peace-Responsive RNBWS Toolkit to help partners strengthen NbS initiatives across humanitarian and development programs in fragile contexts. These resources provide step-by-step methods, templates, and metrics for integrating community engagement, gender equity, conflict sensitivity, and resilience goals into project design, implementation, and monitoring.</v>
      </c>
      <c r="D27" s="11" t="str">
        <v>Number of knowledge products</v>
      </c>
      <c r="E27" s="11" t="str">
        <v>Country: Bangladesh, Nigeria, The Republic of the Sudan, Mali, Jordan, Mozambique, Philippines, Burkina Faso, Kenya, Pakistan</v>
      </c>
      <c r="F27" s="11">
        <v>2</v>
      </c>
      <c r="G27" s="11">
        <v>0</v>
      </c>
    </row>
    <row r="28" ht="50" customHeight="1">
      <c r="A28" s="11" t="str">
        <v>AOW02</v>
      </c>
      <c r="C28" s="11" t="str">
        <v xml:space="preserve"> Innovations (inspirational videos) on promoting inclusion in fragile food systems</v>
      </c>
      <c r="D28" s="11" t="str">
        <v>Number of innovations (innovation development)</v>
      </c>
      <c r="E28" s="11" t="str">
        <v>Country: Bangladesh</v>
      </c>
      <c r="F28" s="11">
        <v>2</v>
      </c>
      <c r="G28" s="11">
        <v>6000</v>
      </c>
      <c r="I28" s="11" t="str">
        <v>The budget supports the development of two innovations in the form of inspirational videos promoting inclusion in fragile food systems. Cost assumptions cover partners cost for production</v>
      </c>
    </row>
    <row r="29" ht="50" customHeight="1">
      <c r="A29" s="11" t="str">
        <v>AOW02</v>
      </c>
      <c r="C29" s="11" t="str">
        <v>A workshop with key stakeholders and government partners in Bangladesh</v>
      </c>
      <c r="D29" s="11" t="str">
        <v>Number of people trained (capacity sharing for development)</v>
      </c>
      <c r="E29" s="11" t="str">
        <v>Country: Bangladesh</v>
      </c>
      <c r="F29" s="11">
        <v>100</v>
      </c>
      <c r="G29" s="11">
        <v>0</v>
      </c>
    </row>
    <row r="30" ht="50" customHeight="1">
      <c r="A30" s="11" t="str">
        <v>AOW02</v>
      </c>
      <c r="C30" s="11" t="str">
        <v>Knowledge products plus a blog on the impact of inclusion interventions and implications for creating more sustainable food systems in Bangladesh</v>
      </c>
      <c r="D30" s="11" t="str">
        <v>Number of knowledge products</v>
      </c>
      <c r="E30" s="11" t="str">
        <v>Country: Bangladesh</v>
      </c>
      <c r="F30" s="11">
        <v>3</v>
      </c>
      <c r="G30" s="11">
        <v>43500</v>
      </c>
      <c r="I30" s="11" t="str">
        <v>The budget covers the development of three knowledge products—including one blog—on the impact of inclusion interventions and their implications for sustainable food systems in Bangladesh. Cost assumptions include research, writing, technical review, desi</v>
      </c>
    </row>
    <row r="31" ht="50" customHeight="1">
      <c r="A31" s="11" t="str">
        <v>AOW02</v>
      </c>
      <c r="C31" s="11" t="str">
        <v>Knowledge product on farmer-herder conflict's impacts in the Sahel, and how to promote women's empowerment amid active conflict</v>
      </c>
      <c r="D31" s="11" t="str">
        <v>Number of knowledge products</v>
      </c>
      <c r="E31" s="11" t="str">
        <v>Country: Nigeria</v>
      </c>
      <c r="F31" s="11">
        <v>1</v>
      </c>
      <c r="G31" s="11">
        <v>15000</v>
      </c>
      <c r="I31" s="11" t="str">
        <v>Budget covers one knowledge product on farmer-herder conflict impacts and women’s empowerment in Nigeria's Sahel, including research, stakeholder engagement, and targeted dissemination to inform policy and programming. This supports gender-sensitive confl</v>
      </c>
    </row>
    <row r="32" ht="50" customHeight="1">
      <c r="A32" s="11" t="str">
        <v>AOW02</v>
      </c>
      <c r="C32" s="11" t="str">
        <v>Knowledge product on how to make anticipatory action programming gender responsive</v>
      </c>
      <c r="D32" s="11" t="str">
        <v>Number of knowledge products</v>
      </c>
      <c r="E32" s="11" t="str">
        <v>Country: Nigeria</v>
      </c>
      <c r="F32" s="11">
        <v>1</v>
      </c>
      <c r="G32" s="11">
        <v>5000</v>
      </c>
      <c r="I32" s="11" t="str">
        <v>Budget includes development of one knowledge product focused on integrating gender responsiveness into anticipatory action programming in Nigeria. It covers research, stakeholder consultations, and dissemination of practical guidance to enhance women’s pa</v>
      </c>
    </row>
    <row r="33" ht="50" customHeight="1">
      <c r="A33" s="11" t="str">
        <v>AOW02</v>
      </c>
      <c r="C33" s="11" t="str">
        <v>A workshop with key stakeholders and government partners</v>
      </c>
      <c r="D33" s="11" t="str">
        <v>Number of people trained (capacity sharing for development)</v>
      </c>
      <c r="E33" s="11" t="str">
        <v>Country: Nigeria</v>
      </c>
      <c r="F33" s="11">
        <v>100</v>
      </c>
      <c r="G33" s="11">
        <v>2500</v>
      </c>
      <c r="I33" s="11" t="str">
        <v>Budget covers a one-day workshop to train 100 key stakeholders and government partners in Nigeria on anticipatory action programming. It includes costs for venue, facilitation, materials, and participant engagement to enhance capacity for proactive disast</v>
      </c>
    </row>
    <row r="34" ht="50" customHeight="1">
      <c r="A34" s="11" t="str">
        <v>AOW02</v>
      </c>
      <c r="C34" s="11" t="str">
        <v>Knowledge product on the impacts of trainings on women's voice and empowerment and livelihoods and about the innovations' development and use + dissemination</v>
      </c>
      <c r="D34" s="11" t="str">
        <v>Number of knowledge products</v>
      </c>
      <c r="E34" s="11" t="str">
        <v>Country: Nigeria</v>
      </c>
      <c r="F34" s="11">
        <v>2</v>
      </c>
      <c r="G34" s="11">
        <v>0</v>
      </c>
    </row>
    <row r="35" ht="25" customHeight="1">
      <c r="B35" s="15" t="str">
        <v>HLO budget subtotal</v>
      </c>
      <c r="H35" s="15">
        <f>SUM(H8:H34)</f>
      </c>
    </row>
  </sheetData>
  <mergeCells count="17">
    <mergeCell ref="A1:A2"/>
    <mergeCell ref="B1:B2"/>
    <mergeCell ref="C1:G1"/>
    <mergeCell ref="H1:H2"/>
    <mergeCell ref="I1:I2"/>
    <mergeCell ref="B4:B5"/>
    <mergeCell ref="H4:H5"/>
    <mergeCell ref="B7:G7"/>
    <mergeCell ref="A3:A7"/>
    <mergeCell ref="B8:B16"/>
    <mergeCell ref="H8:H16"/>
    <mergeCell ref="B17:B22"/>
    <mergeCell ref="H17:H22"/>
    <mergeCell ref="B23:B34"/>
    <mergeCell ref="H23:H34"/>
    <mergeCell ref="B35:G35"/>
    <mergeCell ref="A8:A35"/>
  </mergeCells>
  <ignoredErrors>
    <ignoredError numberStoredAsText="1" sqref="A1:I35"/>
  </ignoredErrors>
</worksheet>
</file>

<file path=xl/worksheets/sheet4.xml><?xml version="1.0" encoding="utf-8"?>
<worksheet xmlns="http://schemas.openxmlformats.org/spreadsheetml/2006/main" xmlns:r="http://schemas.openxmlformats.org/officeDocument/2006/relationships">
  <dimension ref="A1:F6"/>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row r="2" ht="70" customHeight="1">
      <c r="A2" s="12" t="str">
        <v>AOW02</v>
      </c>
      <c r="B2" s="11" t="str">
        <v>Action Aid International</v>
      </c>
      <c r="C2" s="11" t="str">
        <v>2.1.1 Prevent</v>
      </c>
      <c r="D2" s="11" t="str">
        <v>Nigeria</v>
      </c>
      <c r="E2" s="11">
        <v>3000</v>
      </c>
      <c r="F2" s="11" t="str">
        <v>The budget will finance evidence generation and gender-responsive innovations with partners in Nigeria and Bangladesh, including follow-up evaluation of a 450-community trial, anticipatory action research, and youth- and women-led inclusion tools. These i</v>
      </c>
    </row>
    <row r="3" ht="70" customHeight="1">
      <c r="A3" s="11" t="str">
        <v>AOW02</v>
      </c>
      <c r="B3" s="11" t="str">
        <v>Federal Ministry of Humanitarian Affairs, Disaster Management and Social Development (Nigeria)</v>
      </c>
      <c r="C3" s="11" t="str">
        <v>2.1.1 Prevent</v>
      </c>
      <c r="D3" s="11" t="str">
        <v>Nigeria</v>
      </c>
      <c r="E3" s="11">
        <v>20000</v>
      </c>
      <c r="F3" s="11" t="str">
        <v>The budget covers expert consultancy, research, drafting, validation, and design to produce one finalized knowledge product</v>
      </c>
    </row>
    <row r="4" ht="70" customHeight="1">
      <c r="A4" s="11" t="str">
        <v>AOW02</v>
      </c>
      <c r="B4" s="11" t="str">
        <v>Government of Ethiopia</v>
      </c>
      <c r="C4" s="11" t="str">
        <v>2.1.1 Prevent, 2.2.2 Respond</v>
      </c>
      <c r="D4" s="11" t="str">
        <v>Ethiopia</v>
      </c>
      <c r="E4" s="11">
        <v>10000</v>
      </c>
      <c r="F4" s="11" t="str">
        <v>Partner to be contracted to support the delivery of the HLO</v>
      </c>
    </row>
    <row r="5" ht="70" customHeight="1">
      <c r="A5" s="11" t="str">
        <v>AOW02</v>
      </c>
      <c r="B5" s="11" t="str">
        <v>University of Social Sciences and Management of Bamako</v>
      </c>
      <c r="C5" s="11" t="str">
        <v>2.1.1 Prevent</v>
      </c>
      <c r="D5" s="11" t="str">
        <v>Mali</v>
      </c>
      <c r="E5" s="11">
        <v>10000</v>
      </c>
      <c r="F5" s="11" t="str">
        <v>This budget covers the production costs for five country-specific knowledge products (for Mali, Nigeria, and Ethiopia) synthesizing evidence and lessons learned from these engagements.</v>
      </c>
    </row>
    <row r="6" ht="25" customHeight="1">
      <c r="B6" s="14" t="str">
        <v>Contracted partners subtotal</v>
      </c>
      <c r="E6" s="14">
        <f>SUM(E2:E5)</f>
      </c>
    </row>
  </sheetData>
  <mergeCells count="2">
    <mergeCell ref="B6:D6"/>
    <mergeCell ref="A2:A6"/>
  </mergeCells>
  <ignoredErrors>
    <ignoredError numberStoredAsText="1" sqref="A1:F6"/>
  </ignoredErrors>
</worksheet>
</file>

<file path=xl/worksheets/sheet5.xml><?xml version="1.0" encoding="utf-8"?>
<worksheet xmlns="http://schemas.openxmlformats.org/spreadsheetml/2006/main" xmlns:r="http://schemas.openxmlformats.org/officeDocument/2006/relationships">
  <dimension ref="A1:F8"/>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Project title</v>
      </c>
      <c r="B1" s="17" t="str">
        <v>AOW</v>
      </c>
      <c r="C1" s="17" t="str">
        <v>High Level Outputs</v>
      </c>
      <c r="D1" s="17" t="str">
        <v>Budget (USD)</v>
      </c>
      <c r="E1" s="17" t="str">
        <v>Total budget (USD)</v>
      </c>
      <c r="F1" s="17" t="str">
        <v>Budget Assumptions</v>
      </c>
    </row>
    <row r="2" ht="30" customHeight="1">
      <c r="A2" s="18" t="str">
        <v>N-603217-FSP PHASE 4</v>
      </c>
      <c r="B2" s="19" t="str">
        <v>AOW02</v>
      </c>
      <c r="C2" s="18" t="str">
        <v>2.1.1 Prevent</v>
      </c>
      <c r="D2" s="19">
        <v>6235</v>
      </c>
      <c r="E2" s="19" t="str">
        <f>=SUM(D2:D2)</f>
        <v>0</v>
      </c>
      <c r="F2" s="19" t="str">
        <v>This Programme is a continuation of the EC-funded project on “World food crisis: Support for food security monitoring and analysis for appropriate policy responses” (Cris No: 2010 / 236-345). The first, three-year phase was initiated in 2010 in response to lessons that emerged from the 2007-08 world food crisis. Phase II of the same project ran from 2014-18 and focused upon expansion of the Global Food Security Portal (FSP) and development of an Africa South of the Sahara Food Security Portal (FSP-SSA). Several important lessons resulted from the world food price crisis, but a crucial one amongst them was that information for policymaking is not readily available at the country and regional levels. Lack of access to good information often results in inadequate and ineffective policy responses that not only exacerbate the immediate impacts of food crises but also tend to undermine long-term food security in developing countries. Such short-term policy responses may include panic purchases of food by food-deficit countries at above market prices, or food export restrictions introduced by food-surplus countries. Both responses have been shown to drive up world food prices and exacerbate price volatility. To avoid these “stop-go” policy decisions, governments require tools to rapidly assess the impact of world market and weather shocks on the food security situation and on the incomes and livelihoods of vulnerable populations. These tools inform policies and programmes that can adequately respond to the risks and opportunities presented by food crises. The 2007-08 global food price crisis also very clearly highlighted a great need for cross-country learning and dialogue. Dialogues have helped raise greater awareness about addressing food price volatility and preparedness to food price shocks. Moving forward, however, it should be recognized that, while food price volatility remains a concern today, bigger concerns are with food price volatility at the national level, more so than in global markets. Thus, greater emphasis will need to be put on monitoring country-level price changes and volatility for both staple and non-staple foods, especially in Africa.</v>
      </c>
    </row>
    <row r="3" ht="30" customHeight="1">
      <c r="A3" s="18" t="str">
        <v>2025P029</v>
      </c>
      <c r="B3" s="19" t="str">
        <v>AOW02</v>
      </c>
      <c r="C3" s="18" t="str">
        <v>2.1.1 Prevent</v>
      </c>
      <c r="D3" s="19">
        <v>445665</v>
      </c>
      <c r="E3" s="19" t="str">
        <f>=SUM(D3:D3)</f>
        <v>0</v>
      </c>
      <c r="F3" s="19" t="str">
        <v>Our research plan encompasses five distinct yet interconnected areas, each contributing uniquely to the overarching goal of enhancing food security analysis and intervention strategies. 1. Predicting Global Food Insecurity Using IPC Data 2. Enhancing Food Insecurity Predictions in Kenya Through High-Frequency Data Analysis 3. Establishing Causal Relationships Through Household and Individual-Level Analysis 4. Forecasting Food Prices as Indicators of Food Crises 5. Advancing Food Security and Climate Solutions through Integrating Ecosystem and Economic Models with AI and Satellite Observations</v>
      </c>
    </row>
    <row r="4" ht="30" customHeight="1">
      <c r="A4" s="18" t="str">
        <v>N-602250-YEMEN FOOD SECURITY-YFSRR</v>
      </c>
      <c r="B4" s="19" t="str">
        <v>AOW02</v>
      </c>
      <c r="C4" s="18" t="str">
        <v>2.2.2 Respond</v>
      </c>
      <c r="D4" s="19">
        <v>228538</v>
      </c>
      <c r="E4" s="19" t="str">
        <f>=SUM(D4:D4)</f>
        <v>0</v>
      </c>
      <c r="F4" s="19" t="str">
        <v>Assist the GOY to develop an evidence-based Food Security Preparedness Plan (FSPP) Component 5: Project Management and Knowledge Management Sub-component 5.b. Impact Assessment This subcomponent supports project evaluation of the subprojects and investments described in components 1 and 2 as part of an ongoing feedback and learning process in partnership with the Government of Yemen. This collaborative process will emphasize capacity building for government partners in understanding the role of project evaluation and interpreting and communicating the evaluation findings in support of evidence-based policy.</v>
      </c>
    </row>
    <row r="5" ht="30" customHeight="1" xml:space="preserve">
      <c r="A5" s="18" t="str">
        <v>N-601158-SPIR II</v>
      </c>
      <c r="B5" s="19" t="str">
        <v>AOW02</v>
      </c>
      <c r="C5" s="18" t="str">
        <v>2.3.3 Recover</v>
      </c>
      <c r="D5" s="19">
        <v>670712</v>
      </c>
      <c r="E5" s="19" t="str">
        <f>=SUM(D5:D5)</f>
        <v>0</v>
      </c>
      <c r="F5" s="19" t="str" xml:space="preserve">
        <v xml:space="preserve">The learning agenda is designed to support IFPRI and its learning partners to collaborate with World Vision and the implementation partners to develop and deliver research and learning that will inform Strengthen PSNP 4 Institutions and Resilience (SPIR) II implementation in line with USAID’s Collaboration, Learning and Adaptation (CLA) approach and will provide lessons for a broad set of stakeholders through learning events
</v>
      </c>
    </row>
    <row r="6" ht="30" customHeight="1">
      <c r="A6" s="18" t="str">
        <v>N-641001-CASH 4 WORK-CfW SFD-LIWP</v>
      </c>
      <c r="B6" s="19" t="str">
        <v>AOW02</v>
      </c>
      <c r="C6" s="18" t="str">
        <v>2.3.3 Recover</v>
      </c>
      <c r="D6" s="19">
        <v>346365</v>
      </c>
      <c r="E6" s="19" t="str">
        <f>=SUM(D6:D6)</f>
        <v>0</v>
      </c>
      <c r="F6" s="19" t="str">
        <v>The proposal aims to accomplish a variety of different goals. Among the goals listed, we can distinguish between six main types in terms of the types of analysis they imply: 1) causally identify impacts of the LIWP on a range of household outcomes, 2) analyze impacts on the community level 3) differentiate short/ medium/ and long-term impacts, 4) evaluate the targeting strategy, 5) measure spill-over impacts, and 6) compare the impacts of the program with cash transfers.</v>
      </c>
    </row>
    <row r="7" ht="30" customHeight="1">
      <c r="A7" s="18" t="str">
        <v>N-601149-IPV RESEARCH COLLAB PH 2</v>
      </c>
      <c r="B7" s="19" t="str">
        <v>AOW02</v>
      </c>
      <c r="C7" s="18" t="str">
        <v>2.3.3 Recover</v>
      </c>
      <c r="D7" s="19">
        <v>194344</v>
      </c>
      <c r="E7" s="19" t="str">
        <f>=SUM(D7:D7)</f>
        <v>0</v>
      </c>
      <c r="F7" s="19" t="str">
        <v>IFPRI, in collaboration with partners, the University of North Carolina (UNC), the London School of Hygiene and Tropical Medicine (LSHTM), University at Buffalo (UB, State University of New York) and Johns Hopkins Bloomberg School of Public Health (JHSPH), propose a second phase of the collaborative research program on cash transfers and intimate partner violence (IPV). The overall long-term goal of the collaborative is to advance the research agenda linking cash transfers and IPV—defining and contributing evidence to knowledge gaps, aggregating evidence, bringing together researchers and practitioners, and disseminating research findings via channels which maximize evidence uptake for policy—in order to effectively leverage cash programming for IPV prevention among poor and vulnerable women in low- and middle-income counties (LIMCs). As part of this work, the collaborative will engage in the communication of research – in particular, bridging disciplinary boundaries between Social and Behavioral Scientists, Epidemiologists and Development Economists in order to bring together the strengths of each; build partnerships between researchers and implementers working in this area to bring coherence to future research; and raise the profile of IPV on the agenda of social protection policymakers and implementers. These efforts will seek to make IPV mitigation and prevention more explicit policy objectives within gender-sensitive and transformative social protection.</v>
      </c>
    </row>
    <row r="8" ht="30" customHeight="1">
      <c r="A8" s="3" t="str">
        <v>W3/Bilateral projects subtotal</v>
      </c>
      <c r="E8" s="3">
        <f>SUM(E2:E7)</f>
      </c>
    </row>
  </sheetData>
  <mergeCells count="1">
    <mergeCell ref="A8:D8"/>
  </mergeCells>
  <ignoredErrors>
    <ignoredError numberStoredAsText="1" sqref="A1:F8"/>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75" customHeight="1">
      <c r="A1" s="16" t="str">
        <v>MELIA study</v>
      </c>
      <c r="B1" s="16" t="str">
        <v>AOW</v>
      </c>
      <c r="C1" s="16" t="str">
        <v>Supported outcomes</v>
      </c>
      <c r="D1" s="16" t="str">
        <v>AOW budget (USD)</v>
      </c>
      <c r="E1" s="16" t="str">
        <v>Total budget (USD)</v>
      </c>
      <c r="F1" s="16" t="str">
        <v>Budget Assumptions</v>
      </c>
    </row>
    <row r="2" ht="30" customHeight="1">
      <c r="A2" s="18" t="str">
        <v>Can Trainings on Women's Voice and Agency Raise Women's Aspirations, Entrepreneurial Activities, and Well-being? A Causal Impact Assessment From Rural Nigeria</v>
      </c>
      <c r="B2" s="19" t="str">
        <v>AOW02</v>
      </c>
      <c r="C2" s="18" t="str">
        <v>2.3 Programs and policies to promote recovery and stabilize livelihoods in fragile settings</v>
      </c>
      <c r="D2" s="19">
        <v>162000</v>
      </c>
      <c r="E2" s="19" t="str">
        <f>=SUM(D2:D2)</f>
        <v>0</v>
      </c>
      <c r="F2" s="19" t="str">
        <v>The budget will be spent on causal impact assessment study</v>
      </c>
    </row>
    <row r="3" ht="30" customHeight="1">
      <c r="A3" s="3" t="str">
        <v>MELIA Studies Budget subtotal</v>
      </c>
      <c r="E3" s="3">
        <f>SUM(E2:E2)</f>
      </c>
    </row>
  </sheetData>
  <mergeCells count="1">
    <mergeCell ref="A3:D3"/>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20" t="str">
        <v>Collaborators non-CGIAR centers</v>
      </c>
      <c r="B2" s="20">
        <v>0</v>
      </c>
      <c r="C2" s="20">
        <v>0</v>
      </c>
      <c r="D2" s="20">
        <v>43000</v>
      </c>
      <c r="E2" s="20">
        <v>0</v>
      </c>
      <c r="F2" s="20">
        <v>0</v>
      </c>
      <c r="G2" s="20" t="str">
        <f>=SUM(B2:F2)</f>
        <v>0</v>
      </c>
    </row>
    <row r="3" ht="20" customHeight="1">
      <c r="A3" s="20" t="str">
        <v>Operations (supplies, consultants, travels, workshops, other)</v>
      </c>
      <c r="B3" s="20">
        <v>0</v>
      </c>
      <c r="C3" s="20">
        <v>40000</v>
      </c>
      <c r="D3" s="20">
        <v>90286</v>
      </c>
      <c r="E3" s="20">
        <v>0</v>
      </c>
      <c r="F3" s="20">
        <v>0</v>
      </c>
      <c r="G3" s="20" t="str">
        <f>=SUM(B3:F3)</f>
        <v>0</v>
      </c>
    </row>
    <row r="4" ht="20" customHeight="1">
      <c r="A4" s="20" t="str">
        <v>Staffing, Chargebacks and Indirect</v>
      </c>
      <c r="B4" s="20">
        <v>234000</v>
      </c>
      <c r="C4" s="20">
        <v>161743</v>
      </c>
      <c r="D4" s="20">
        <v>832242</v>
      </c>
      <c r="E4" s="20">
        <v>0</v>
      </c>
      <c r="F4" s="20">
        <v>0</v>
      </c>
      <c r="G4" s="20" t="str">
        <f>=SUM(B4:F4)</f>
        <v>0</v>
      </c>
    </row>
    <row r="5" ht="20" customHeight="1">
      <c r="A5" s="21" t="str">
        <v>Subtotal</v>
      </c>
      <c r="B5" s="22" t="str">
        <f>=SUM(B2:B4)</f>
        <v>0</v>
      </c>
      <c r="C5" s="23" t="str">
        <f>=SUM(C2:C4)</f>
        <v>0</v>
      </c>
      <c r="D5" s="23" t="str">
        <f>=SUM(D2:D4)</f>
        <v>0</v>
      </c>
      <c r="E5" s="23" t="str">
        <f>=SUM(E2:E4)</f>
        <v>0</v>
      </c>
      <c r="F5" s="23" t="str">
        <f>=SUM(F2:F4)</f>
        <v>0</v>
      </c>
      <c r="G5" s="23"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