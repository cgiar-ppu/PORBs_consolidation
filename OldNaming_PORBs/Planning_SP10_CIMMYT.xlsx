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Ana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Solutions for Impact</v>
      </c>
      <c r="B5" s="2">
        <v>0</v>
      </c>
      <c r="C5" s="5">
        <v>0</v>
      </c>
      <c r="D5" s="2">
        <v>0</v>
      </c>
      <c r="E5" s="5">
        <v>0</v>
      </c>
      <c r="F5" s="2">
        <v>0</v>
      </c>
      <c r="G5" s="5">
        <v>0</v>
      </c>
      <c r="H5" s="2">
        <v>0</v>
      </c>
      <c r="I5" s="5">
        <v>0</v>
      </c>
      <c r="J5" s="5">
        <v>0</v>
      </c>
      <c r="K5" s="5">
        <v>0</v>
      </c>
      <c r="L5" s="5">
        <v>0</v>
      </c>
      <c r="M5" s="5">
        <v>0</v>
      </c>
    </row>
    <row r="6" ht="20" customHeight="1">
      <c r="A6" s="2" t="str">
        <v>AOW02: Accelerating Change Through Evidence</v>
      </c>
      <c r="B6" s="2">
        <v>0</v>
      </c>
      <c r="C6" s="5">
        <v>0</v>
      </c>
      <c r="D6" s="2">
        <v>5</v>
      </c>
      <c r="E6" s="5">
        <v>200000</v>
      </c>
      <c r="F6" s="2">
        <v>0</v>
      </c>
      <c r="G6" s="5">
        <v>100000</v>
      </c>
      <c r="H6" s="2">
        <v>0</v>
      </c>
      <c r="I6" s="5">
        <v>0</v>
      </c>
      <c r="J6" s="5">
        <v>0</v>
      </c>
      <c r="K6" s="5">
        <v>0</v>
      </c>
      <c r="L6" s="5">
        <v>300000</v>
      </c>
      <c r="M6" s="5">
        <v>0</v>
      </c>
    </row>
    <row r="7" ht="20" customHeight="1">
      <c r="A7" s="2" t="str">
        <v>AOW03: Youth Thrive</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Area of Work Leadership Costs</v>
      </c>
      <c r="D2" s="11">
        <v>0</v>
      </c>
    </row>
    <row r="3" ht="45" customHeight="1">
      <c r="A3" s="11" t="str">
        <v>AOW00</v>
      </c>
      <c r="B3" s="11" t="str">
        <v xml:space="preserve">PMU Team </v>
      </c>
      <c r="C3" s="11" t="str">
        <v/>
      </c>
      <c r="D3" s="11">
        <v>0</v>
      </c>
    </row>
    <row r="4" ht="45" customHeight="1">
      <c r="A4" s="11" t="str">
        <v>AOW00</v>
      </c>
      <c r="B4" s="11" t="str">
        <v>Director and associated costs</v>
      </c>
      <c r="D4" s="11">
        <v>0</v>
      </c>
    </row>
    <row r="5" ht="45" customHeight="1">
      <c r="A5" s="11" t="str">
        <v>AOW00</v>
      </c>
      <c r="B5" s="11" t="str">
        <v>Director's discretionary fund</v>
      </c>
      <c r="D5" s="11">
        <v>0</v>
      </c>
    </row>
    <row r="6" ht="45" customHeight="1">
      <c r="A6" s="11" t="str">
        <v>AOW00</v>
      </c>
      <c r="B6" s="11" t="str">
        <v>Shared finance support</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AOW02</v>
      </c>
      <c r="B3" s="11" t="str">
        <v>2.2.3: Co-design with Science Programs and Partners for integrating evidence-based solutions for equality, youth, resilience, and nutrition</v>
      </c>
      <c r="C3" s="11" t="str">
        <v>Guidance document for Science Programs on how to integrate effective evidence-based solutions and approaches for youth engagement in food, water and land systems</v>
      </c>
      <c r="D3" s="11" t="str">
        <v>Number of knowledge products</v>
      </c>
      <c r="E3" s="11" t="str">
        <v>Global</v>
      </c>
      <c r="F3" s="11">
        <v>1</v>
      </c>
      <c r="G3" s="11">
        <v>20000</v>
      </c>
      <c r="H3" s="11">
        <f>SUM(G3:G5)</f>
      </c>
      <c r="I3" s="11" t="str">
        <v>N/A</v>
      </c>
    </row>
    <row r="4" ht="50" customHeight="1">
      <c r="A4" s="11" t="str">
        <v>AOW02</v>
      </c>
      <c r="C4" s="11" t="str">
        <v>Mixed method data collection tools developed and published for use with multiple system actors on understanding constraints and opportunities for youth in food, water and land systems</v>
      </c>
      <c r="D4" s="11" t="str">
        <v>Number of knowledge products</v>
      </c>
      <c r="E4" s="11" t="str">
        <v>Global</v>
      </c>
      <c r="F4" s="11">
        <v>1</v>
      </c>
      <c r="G4" s="11">
        <v>15000</v>
      </c>
      <c r="I4" s="11" t="str">
        <v>N/A</v>
      </c>
    </row>
    <row r="5" ht="50" customHeight="1">
      <c r="A5" s="11" t="str">
        <v>AOW02</v>
      </c>
      <c r="C5" s="11" t="str">
        <v>Formative research and baseline analysis reports on youth that generate evidence for uptake by CGIAR Science Programmes and partners at regional level</v>
      </c>
      <c r="D5" s="11" t="str">
        <v>Number of knowledge products</v>
      </c>
      <c r="E5" s="11" t="str">
        <v>Regional: Latin America and the Caribbean, Sub-Saharan Africa</v>
      </c>
      <c r="F5" s="11">
        <v>1</v>
      </c>
      <c r="G5" s="11">
        <v>115000</v>
      </c>
      <c r="I5" s="11" t="str">
        <v>Collaborating partners, non-contracted: National Agricultural Council, Mexico, West and Central African Council for Agricultural Research and Development</v>
      </c>
    </row>
    <row r="6" ht="50" customHeight="1">
      <c r="A6" s="11" t="str">
        <v>AOW02</v>
      </c>
      <c r="B6" s="11" t="str">
        <v xml:space="preserve">2.3.1: Learning resources </v>
      </c>
      <c r="C6" s="11" t="str">
        <v>A modular-based course on the Reach-Benefit-Empower-Transform Framework to enable CGIAR Centers and researchers and development organizations to train their staff and partners</v>
      </c>
      <c r="D6" s="11" t="str">
        <v>Number of knowledge products</v>
      </c>
      <c r="E6" s="11" t="str">
        <v>Global</v>
      </c>
      <c r="F6" s="11">
        <v>1</v>
      </c>
      <c r="G6" s="11">
        <v>40000</v>
      </c>
      <c r="H6" s="11">
        <f>SUM(G6:G8)</f>
      </c>
      <c r="I6" s="11" t="str">
        <v>N/A</v>
      </c>
    </row>
    <row r="7" ht="50" customHeight="1">
      <c r="A7" s="11" t="str">
        <v>AOW02</v>
      </c>
      <c r="C7" s="11" t="str">
        <v xml:space="preserve">An induction course that supports the institutionalization of GEYSI responsive science and innovation for poverty eradication and equality </v>
      </c>
      <c r="D7" s="11" t="str">
        <v>Number of people trained (capacity sharing for development)</v>
      </c>
      <c r="E7" s="11" t="str">
        <v>Global</v>
      </c>
      <c r="F7" s="11">
        <v>150</v>
      </c>
      <c r="G7" s="11">
        <v>100000</v>
      </c>
      <c r="I7" s="11" t="str">
        <v>N/A</v>
      </c>
    </row>
    <row r="8" ht="50" customHeight="1">
      <c r="A8" s="11" t="str">
        <v>AOW02</v>
      </c>
      <c r="C8" s="11" t="str">
        <v>RBET marker that enables organizations to monitor and track their projects and determine those that reach (target) women, youth, marginalized groups versus those that benefit, and empower, versus those that transform norms and power relations.</v>
      </c>
      <c r="D8" s="11" t="str">
        <v>Number of knowledge products</v>
      </c>
      <c r="E8" s="11" t="str">
        <v>Global</v>
      </c>
      <c r="F8" s="11">
        <v>1</v>
      </c>
      <c r="G8" s="11">
        <v>10000</v>
      </c>
      <c r="I8" s="11" t="str">
        <v>N/A</v>
      </c>
    </row>
    <row r="9" ht="25" customHeight="1">
      <c r="B9" s="14" t="str">
        <v>HLO budget subtotal</v>
      </c>
      <c r="H9" s="15">
        <f>SUM(H3:H8)</f>
      </c>
    </row>
  </sheetData>
  <mergeCells count="11">
    <mergeCell ref="A1:A2"/>
    <mergeCell ref="B1:B2"/>
    <mergeCell ref="C1:G1"/>
    <mergeCell ref="H1:H2"/>
    <mergeCell ref="I1:I2"/>
    <mergeCell ref="B3:B5"/>
    <mergeCell ref="H3:H5"/>
    <mergeCell ref="B6:B8"/>
    <mergeCell ref="H6:H8"/>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18" t="str">
        <v>Collaborators non-CGIAR centers</v>
      </c>
      <c r="B2" s="18">
        <v>0</v>
      </c>
      <c r="C2" s="18">
        <v>0</v>
      </c>
      <c r="D2" s="18">
        <v>0</v>
      </c>
      <c r="E2" s="18">
        <v>0</v>
      </c>
      <c r="F2" s="18" t="str">
        <f>=SUM(B2:E2)</f>
        <v>0</v>
      </c>
    </row>
    <row r="3" ht="20" customHeight="1">
      <c r="A3" s="18" t="str">
        <v>Operations (supplies, consultants, travels, workshops, other)</v>
      </c>
      <c r="B3" s="18">
        <v>150000</v>
      </c>
      <c r="C3" s="18">
        <v>0</v>
      </c>
      <c r="D3" s="18">
        <v>119870</v>
      </c>
      <c r="E3" s="18">
        <v>0</v>
      </c>
      <c r="F3" s="18" t="str">
        <f>=SUM(B3:E3)</f>
        <v>0</v>
      </c>
    </row>
    <row r="4" ht="20" customHeight="1">
      <c r="A4" s="18" t="str">
        <v>Staffing, Chargebacks and Indirect</v>
      </c>
      <c r="B4" s="18">
        <v>110000</v>
      </c>
      <c r="C4" s="18">
        <v>0</v>
      </c>
      <c r="D4" s="18">
        <v>180130</v>
      </c>
      <c r="E4" s="18">
        <v>0</v>
      </c>
      <c r="F4" s="18" t="str">
        <f>=SUM(B4:E4)</f>
        <v>0</v>
      </c>
    </row>
    <row r="5" ht="20" customHeight="1">
      <c r="A5" s="19" t="str">
        <v>Subtotal</v>
      </c>
      <c r="B5" s="20" t="str">
        <f>=SUM(B2:B4)</f>
        <v>0</v>
      </c>
      <c r="C5" s="21" t="str">
        <f>=SUM(C2:C4)</f>
        <v>0</v>
      </c>
      <c r="D5" s="21" t="str">
        <f>=SUM(D2:D4)</f>
        <v>0</v>
      </c>
      <c r="E5" s="21" t="str">
        <f>=SUM(E2:E4)</f>
        <v>0</v>
      </c>
      <c r="F5" s="21"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Cross-Cutting</vt:lpstr>
      <vt:lpstr>HLO</vt:lpstr>
      <vt:lpstr>Partner</vt:lpstr>
      <vt:lpstr>W3-Bilateral projects</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