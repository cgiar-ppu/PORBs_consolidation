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Data Ecosystem</v>
      </c>
      <c r="B5" s="2">
        <v>0</v>
      </c>
      <c r="C5" s="5">
        <v>0</v>
      </c>
      <c r="D5" s="2">
        <v>2</v>
      </c>
      <c r="E5" s="5">
        <v>82314</v>
      </c>
      <c r="F5" s="2">
        <v>0</v>
      </c>
      <c r="G5" s="5">
        <v>0</v>
      </c>
      <c r="H5" s="2">
        <v>0</v>
      </c>
      <c r="I5" s="5">
        <v>0</v>
      </c>
      <c r="J5" s="5">
        <v>0</v>
      </c>
      <c r="K5" s="5">
        <v>5000</v>
      </c>
      <c r="L5" s="5">
        <v>87314</v>
      </c>
      <c r="M5" s="5">
        <v>0</v>
      </c>
    </row>
    <row r="6" ht="20" customHeight="1">
      <c r="A6" s="2" t="str">
        <v>AOW02: Action Lab</v>
      </c>
      <c r="B6" s="2">
        <v>3</v>
      </c>
      <c r="C6" s="5">
        <v>75832</v>
      </c>
      <c r="D6" s="2">
        <v>0</v>
      </c>
      <c r="E6" s="5">
        <v>0</v>
      </c>
      <c r="F6" s="2">
        <v>0</v>
      </c>
      <c r="G6" s="5">
        <v>0</v>
      </c>
      <c r="H6" s="2">
        <v>0</v>
      </c>
      <c r="I6" s="5">
        <v>0</v>
      </c>
      <c r="J6" s="5">
        <v>0</v>
      </c>
      <c r="K6" s="5">
        <v>0</v>
      </c>
      <c r="L6" s="5">
        <v>75832</v>
      </c>
      <c r="M6" s="5">
        <v>0</v>
      </c>
    </row>
    <row r="7" ht="20" customHeight="1">
      <c r="A7" s="2" t="str">
        <v>AOW03: Digital Futures</v>
      </c>
      <c r="B7" s="2">
        <v>0</v>
      </c>
      <c r="C7" s="5">
        <v>0</v>
      </c>
      <c r="D7" s="2">
        <v>3</v>
      </c>
      <c r="E7" s="5">
        <v>125000</v>
      </c>
      <c r="F7" s="2">
        <v>0</v>
      </c>
      <c r="G7" s="5">
        <v>0</v>
      </c>
      <c r="H7" s="2">
        <v>0</v>
      </c>
      <c r="I7" s="5">
        <v>0</v>
      </c>
      <c r="J7" s="5">
        <v>0</v>
      </c>
      <c r="K7" s="5">
        <v>0</v>
      </c>
      <c r="L7" s="5">
        <v>125000</v>
      </c>
      <c r="M7" s="5">
        <v>0</v>
      </c>
    </row>
    <row r="8" ht="20" customHeight="1">
      <c r="A8" s="2" t="str">
        <v>AOW04: Enabling Environment</v>
      </c>
      <c r="B8" s="2">
        <v>2</v>
      </c>
      <c r="C8" s="5">
        <v>80672</v>
      </c>
      <c r="D8" s="2">
        <v>0</v>
      </c>
      <c r="E8" s="5">
        <v>0</v>
      </c>
      <c r="F8" s="2">
        <v>0</v>
      </c>
      <c r="G8" s="5">
        <v>0</v>
      </c>
      <c r="H8" s="2">
        <v>0</v>
      </c>
      <c r="I8" s="5">
        <v>0</v>
      </c>
      <c r="J8" s="5">
        <v>0</v>
      </c>
      <c r="K8" s="5">
        <v>0</v>
      </c>
      <c r="L8" s="5">
        <v>80672</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0</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1.2.3 Standards-compliant  FAIR data corpus </v>
      </c>
      <c r="C3" s="11" t="str">
        <v>ARC 2: Number of datasets with full metadata, interoperability pipelines linking field data to AfricaRice dataverse for publications curated or produced under FAIR and standard-compliant protocols in scientific domains.</v>
      </c>
      <c r="D3" s="11" t="str">
        <v>Number of knowledge products</v>
      </c>
      <c r="E3" s="11" t="str">
        <v>Country: Côte d'Ivoire</v>
      </c>
      <c r="F3" s="11">
        <v>1</v>
      </c>
      <c r="G3" s="11">
        <v>28000</v>
      </c>
      <c r="H3" s="11">
        <f>SUM(G3:G3)</f>
      </c>
      <c r="I3" s="11" t="str">
        <v>This budget assumes that AfricaRice will have timely access to digital data collection tools, sufficient staff capacity, and the technical infrastructure required to curate datasets with full metadata and build interoperability pipelines linked to the Afr</v>
      </c>
    </row>
    <row r="4" ht="50" customHeight="1">
      <c r="A4" s="11" t="str">
        <v>AOW01</v>
      </c>
      <c r="B4" s="11" t="str">
        <v xml:space="preserve">HLO 1.3.8 &amp; 1.4.8 Governance,  incentives for data &amp; digital  management culture change </v>
      </c>
      <c r="C4" s="11" t="str">
        <v xml:space="preserve">ARC 1: Number of strategies or frameworks developed to govern and incentivize data and digital management across programs and partners. </v>
      </c>
      <c r="D4" s="11" t="str">
        <v>Number of knowledge products</v>
      </c>
      <c r="E4" s="11" t="str">
        <v>Country: Côte d'Ivoire</v>
      </c>
      <c r="F4" s="11">
        <v>1</v>
      </c>
      <c r="G4" s="11">
        <v>54314</v>
      </c>
      <c r="H4" s="11">
        <f>SUM(G4:G4)</f>
      </c>
      <c r="I4" s="11" t="str">
        <v xml:space="preserve">The budget assumes timely development, endorsement, and institutional adoption of the AfricaRice Data Governance and Open &amp; FAIR Data Policy, as well as the availability of staff and partners to operationalize standardized frameworks for access, consent, </v>
      </c>
    </row>
    <row r="5" ht="25" customHeight="1">
      <c r="B5" s="14" t="str">
        <v>HLO budget subtotal</v>
      </c>
      <c r="H5" s="15">
        <f>SUM(H3:H4)</f>
      </c>
    </row>
    <row r="6" ht="50" customHeight="1">
      <c r="A6" s="13" t="str">
        <v>AOW02</v>
      </c>
      <c r="B6" s="11" t="str">
        <v>HLO 2.1.3 Breeding programs use AI-powered phenotyping to accelerate trait discovery and breeding cycles.</v>
      </c>
      <c r="C6" s="11" t="str">
        <v>ARC 6: Number of breeding research outputs integrated with AI-powered analytics.</v>
      </c>
      <c r="D6" s="11" t="str">
        <v>Number of innovations (innovation development)</v>
      </c>
      <c r="E6" s="11" t="str">
        <v>Country: Madagascar, Congo, Ethiopia, Kenya</v>
      </c>
      <c r="F6" s="11">
        <v>3</v>
      </c>
      <c r="G6" s="11">
        <v>75832</v>
      </c>
      <c r="H6" s="11">
        <f>SUM(G6:G6)</f>
      </c>
      <c r="I6" s="11" t="str">
        <v xml:space="preserve">Successful delivery relies on access to reliable field sites, functional mobile devices, and continued collaboration with CIAT and NARES partners to refine and validate the phenotyping protocol. Includes partner budget of $15,000. </v>
      </c>
    </row>
    <row r="7" ht="25" customHeight="1">
      <c r="B7" s="15" t="str">
        <v>HLO budget subtotal</v>
      </c>
      <c r="H7" s="15">
        <f>SUM(H6:H6)</f>
      </c>
    </row>
    <row r="8" ht="50" customHeight="1">
      <c r="A8" s="13" t="str">
        <v>AOW03</v>
      </c>
      <c r="B8" s="11" t="str">
        <v>HLO 3.1.1:  Probes of a wide range of AI and/or other novel digital solutions  to support system-level scenario analysis of digital frontier technology impacts for decision-makers.</v>
      </c>
      <c r="C8" s="11" t="str">
        <v>ARC 3: Number of SOPs, knowledge products, reports, scoping studies, new initiatives produced to operationalize the digital innovation nodes.</v>
      </c>
      <c r="D8" s="11" t="str">
        <v>Number of knowledge products</v>
      </c>
      <c r="E8" s="11" t="str">
        <v>Country: Côte d'Ivoire</v>
      </c>
      <c r="F8" s="11">
        <v>2</v>
      </c>
      <c r="G8" s="11">
        <v>75000</v>
      </c>
      <c r="H8" s="11">
        <f>SUM(G8:G8)</f>
      </c>
      <c r="I8" s="11" t="str">
        <v>This budget considers that AfricaRice will have access to the expertise, digital tools, and partnerships needed to identify and assess frontier AI and digital advisory technologies, and to generate high-quality technology briefs, feasibility analyses, and</v>
      </c>
    </row>
    <row r="9" ht="50" customHeight="1">
      <c r="A9" s="11" t="str">
        <v>AOW03</v>
      </c>
      <c r="B9" s="11" t="str">
        <v>HLO 3.2.2 &amp; 3.3.2: Future case scenarios identified for digital transformation in FWL systems in addressing context-specific challenges and opportunities.</v>
      </c>
      <c r="C9" s="11" t="str">
        <v>ARC 4: Number of SOPs, knowledge products, reports, and scoping studies produced to operationalize the digital innovation nodes.</v>
      </c>
      <c r="D9" s="11" t="str">
        <v>Number of knowledge products</v>
      </c>
      <c r="E9" s="11" t="str">
        <v>Country: Madagascar, Senegal, Côte d'Ivoire, Nigeria</v>
      </c>
      <c r="F9" s="11">
        <v>1</v>
      </c>
      <c r="G9" s="11">
        <v>50000</v>
      </c>
      <c r="H9" s="11">
        <f>SUM(G9:G9)</f>
      </c>
      <c r="I9" s="11" t="str">
        <v>This budget assumes that AfricaRice will have access to the expertise, workshop participants, and creative resources required to design and deliver annual scenario-building exercises and produce high-quality thought pieces on digital transformations in ri</v>
      </c>
    </row>
    <row r="10" ht="25" customHeight="1">
      <c r="B10" s="15" t="str">
        <v>HLO budget subtotal</v>
      </c>
      <c r="H10" s="15">
        <f>SUM(H8:H9)</f>
      </c>
    </row>
    <row r="11" ht="50" customHeight="1">
      <c r="A11" s="13" t="str">
        <v>AOW04</v>
      </c>
      <c r="B11" s="11" t="str">
        <v>HLO 4.1.2 Robust, secure and flexible foundational digital infrastructure &amp; sustainable operating model across centers and hubs</v>
      </c>
      <c r="C11" s="11" t="str">
        <v>ARC 5: Number of infrastructure setups deployed for data storage and processing in target domains.</v>
      </c>
      <c r="D11" s="11" t="str">
        <v>Number of innovations (innovation development)</v>
      </c>
      <c r="E11" s="11" t="str">
        <v>Country: Côte d'Ivoire, Nigeria, Madagascar, Senegal</v>
      </c>
      <c r="F11" s="11">
        <v>2</v>
      </c>
      <c r="G11" s="11">
        <v>80672</v>
      </c>
      <c r="H11" s="11">
        <f>SUM(G11:G11)</f>
      </c>
      <c r="I11" s="11" t="str">
        <v xml:space="preserve">Strengthening the Data &amp; AI Unit relies on timely procurement of servers, storage, and cloud services, as well as stable connectivity to support high-performance data workflows. Key risks include procurement delays, volatility in cloud service costs, and </v>
      </c>
    </row>
    <row r="12" ht="25" customHeight="1">
      <c r="B12" s="15" t="str">
        <v>HLO budget subtotal</v>
      </c>
      <c r="H12" s="15">
        <f>SUM(H11:H11)</f>
      </c>
    </row>
  </sheetData>
  <mergeCells count="13">
    <mergeCell ref="A1:A2"/>
    <mergeCell ref="B1:B2"/>
    <mergeCell ref="C1:G1"/>
    <mergeCell ref="H1:H2"/>
    <mergeCell ref="I1:I2"/>
    <mergeCell ref="B5:G5"/>
    <mergeCell ref="A3:A5"/>
    <mergeCell ref="B7:G7"/>
    <mergeCell ref="A6:A7"/>
    <mergeCell ref="B10:G10"/>
    <mergeCell ref="A8:A10"/>
    <mergeCell ref="B12:G12"/>
    <mergeCell ref="A11:A12"/>
  </mergeCells>
  <ignoredErrors>
    <ignoredError numberStoredAsText="1" sqref="A1:I1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Performance evaluation of digital infrastructure upgrades and their contribution to research efficiency, data availability, and AI-readiness across AfricaRice.</v>
      </c>
      <c r="B2" s="19" t="str">
        <v>AOW01</v>
      </c>
      <c r="C2" s="18" t="str">
        <v xml:space="preserve">HLO 1.1.1 Common metadata and science data standards </v>
      </c>
      <c r="D2" s="19">
        <v>5000</v>
      </c>
      <c r="E2" s="19" t="str">
        <f>=SUM(D2:D2)</f>
        <v>0</v>
      </c>
      <c r="F2" s="19" t="str">
        <v xml:space="preserve">Effective implementation depends on timely access to usage logs, system performance metrics, and staff feedback to assess the impact of digital infrastructure upgrades on research efficiency and AI-readiness. Key risks include incomplete monitoring data, </v>
      </c>
    </row>
    <row r="3" ht="30" customHeight="1">
      <c r="A3" s="3" t="str">
        <v>MELIA Studies Budget subtotal</v>
      </c>
      <c r="E3" s="3">
        <f>SUM(E2:E2)</f>
      </c>
    </row>
  </sheetData>
  <mergeCells count="1">
    <mergeCell ref="A3:D3"/>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0</v>
      </c>
      <c r="D2" s="20">
        <v>15000</v>
      </c>
      <c r="E2" s="20">
        <v>0</v>
      </c>
      <c r="F2" s="20">
        <v>0</v>
      </c>
      <c r="G2" s="20" t="str">
        <f>=SUM(B2:F2)</f>
        <v>0</v>
      </c>
    </row>
    <row r="3" ht="20" customHeight="1">
      <c r="A3" s="20" t="str">
        <v>Operations (supplies, consultants, travels, workshops, other)</v>
      </c>
      <c r="B3" s="20">
        <v>0</v>
      </c>
      <c r="C3" s="20">
        <v>20060</v>
      </c>
      <c r="D3" s="20">
        <v>20083</v>
      </c>
      <c r="E3" s="20">
        <v>45000</v>
      </c>
      <c r="F3" s="20">
        <v>37672</v>
      </c>
      <c r="G3" s="20" t="str">
        <f>=SUM(B3:F3)</f>
        <v>0</v>
      </c>
    </row>
    <row r="4" ht="20" customHeight="1">
      <c r="A4" s="20" t="str">
        <v>Staffing, Chargebacks and Indirect</v>
      </c>
      <c r="B4" s="20">
        <v>0</v>
      </c>
      <c r="C4" s="20">
        <v>67254</v>
      </c>
      <c r="D4" s="20">
        <v>40749</v>
      </c>
      <c r="E4" s="20">
        <v>80000</v>
      </c>
      <c r="F4" s="20">
        <v>43000</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