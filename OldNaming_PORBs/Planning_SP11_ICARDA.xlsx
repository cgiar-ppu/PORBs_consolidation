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39055</v>
      </c>
      <c r="M4" s="5">
        <v>657953</v>
      </c>
    </row>
    <row r="5" ht="20" customHeight="1">
      <c r="A5" s="2" t="str">
        <v>AOW01: CapSha Innovation Laboratory</v>
      </c>
      <c r="B5" s="2">
        <v>0</v>
      </c>
      <c r="C5" s="5">
        <v>0</v>
      </c>
      <c r="D5" s="2">
        <v>0</v>
      </c>
      <c r="E5" s="5">
        <v>0</v>
      </c>
      <c r="F5" s="2">
        <v>0</v>
      </c>
      <c r="G5" s="5">
        <v>0</v>
      </c>
      <c r="H5" s="2">
        <v>0</v>
      </c>
      <c r="I5" s="5">
        <v>0</v>
      </c>
      <c r="J5" s="5">
        <v>0</v>
      </c>
      <c r="K5" s="5">
        <v>0</v>
      </c>
      <c r="L5" s="5">
        <v>0</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0</v>
      </c>
      <c r="C7" s="5">
        <v>60000</v>
      </c>
      <c r="D7" s="2">
        <v>0</v>
      </c>
      <c r="E7" s="5">
        <v>0</v>
      </c>
      <c r="F7" s="2">
        <v>0</v>
      </c>
      <c r="G7" s="5">
        <v>90199</v>
      </c>
      <c r="H7" s="2">
        <v>0</v>
      </c>
      <c r="I7" s="5">
        <v>0</v>
      </c>
      <c r="J7" s="5">
        <v>0</v>
      </c>
      <c r="K7" s="5">
        <v>0</v>
      </c>
      <c r="L7" s="5">
        <v>150199</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39055</v>
      </c>
      <c r="E5" s="11" t="str">
        <v>Travel/Workshops/Small consultancy: 39,055USD at the disposal of the CapSha Lead</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AOW03</v>
      </c>
      <c r="B3" s="11" t="str">
        <v>HLO 3.1.1: Partnership engagement mechanisms</v>
      </c>
      <c r="C3" s="11" t="str">
        <v>SSTC activities between ICAR, Embrapa, CAAS, CGIAR Centers/SPs and African NARIS are aligned, including CapSha support to institutional strenghtening for continental and regional institutions involved in CAADP</v>
      </c>
      <c r="D3" s="11" t="str">
        <v>Number of innovations (innovation development)</v>
      </c>
      <c r="E3" s="11" t="str">
        <v>Regional: Africa</v>
      </c>
      <c r="F3" s="11">
        <v>5</v>
      </c>
      <c r="G3" s="11">
        <v>60000</v>
      </c>
      <c r="H3" s="11">
        <f>SUM(G3:G6)</f>
      </c>
      <c r="I3" s="11" t="str">
        <v xml:space="preserve">Aligning activities along ICAR, Embrapa, CAAS, EU, ACIAR, CGIAR Centers/SPs and African NARIS, including CapSha institutional strengthening for continental and regional institutions involved in CAADP/ Agricultural Research, Extension and Education (AREE) </v>
      </c>
    </row>
    <row r="4" ht="50" customHeight="1">
      <c r="A4" s="11" t="str">
        <v>AOW03</v>
      </c>
      <c r="C4" s="11" t="str">
        <v>The next generation of scientists is supported by dedicated programs (including e.g., CGIAR Germany CapSha PhD/MSc Program, CGIAR UM6P CapSha Hub, NL-CGIAR Senior Expert Program, UK-CGIAR Centre Collaboration in Science and Innovation)</v>
      </c>
      <c r="D4" s="11" t="str">
        <v>Number of people trained (capacity sharing for development)</v>
      </c>
      <c r="E4" s="11" t="str">
        <v>Global</v>
      </c>
      <c r="F4" s="11">
        <v>100</v>
      </c>
      <c r="G4" s="11">
        <v>30000</v>
      </c>
      <c r="I4" s="11" t="str">
        <v>Support synergies and coordination for next generation of scientists program (including e.g., CGIAR Germany CapSha PhD/MSc Program, CGIAR UM6P CapSha Hub, NL-CGIAR Senior Expert Program, UK-CGIAR Centre Collaboration in Science and Innovation, GIZ CIM Exp</v>
      </c>
    </row>
    <row r="5" ht="50" customHeight="1">
      <c r="A5" s="11" t="str">
        <v>AOW03</v>
      </c>
      <c r="C5" s="11" t="str">
        <v>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v>
      </c>
      <c r="D5" s="11" t="str">
        <v>Number of people trained (capacity sharing for development)</v>
      </c>
      <c r="E5" s="11" t="str">
        <v>Global</v>
      </c>
      <c r="F5" s="11">
        <v>30</v>
      </c>
      <c r="G5" s="11">
        <v>30000</v>
      </c>
      <c r="I5" s="11" t="str">
        <v xml:space="preserve">Coordinate the establishment of the CapSha CoP on SSTC through the organization and planning meeting of the SSTC CoP with key institutional partners engaged in SSTC programming to allow synergies and identification of joint action program. </v>
      </c>
    </row>
    <row r="6" ht="50" customHeight="1">
      <c r="A6" s="11" t="str">
        <v>AOW03</v>
      </c>
      <c r="C6" s="11" t="str">
        <v>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v>
      </c>
      <c r="D6" s="11" t="str">
        <v>Number of people trained (capacity sharing for development)</v>
      </c>
      <c r="E6" s="11" t="str">
        <v>Global</v>
      </c>
      <c r="F6" s="11">
        <v>100</v>
      </c>
      <c r="G6" s="11">
        <v>30199</v>
      </c>
      <c r="I6" s="11" t="str">
        <v>Support to bilateral workshops with institutions engaged in SSTC programs and promoting collaboration within the CGIAR Portfolio with a special focus on the development of SSTC Capacity Sharing program with EU as such as with ACIAR to complement the one's</v>
      </c>
    </row>
    <row r="7" ht="50" customHeight="1">
      <c r="A7" s="11" t="str">
        <v>AOW03</v>
      </c>
      <c r="B7" s="11" t="str">
        <v>HLO 3.1.3: SSTC cases analyzed</v>
      </c>
      <c r="C7" s="11" t="str">
        <v>Research on SSTC actors and on selected SSTC cases is conducted and published</v>
      </c>
      <c r="D7" s="11" t="str">
        <v>Number of knowledge products</v>
      </c>
      <c r="E7" s="11" t="str">
        <v>Global</v>
      </c>
      <c r="F7" s="11">
        <v>6</v>
      </c>
      <c r="G7" s="11">
        <v>0</v>
      </c>
      <c r="H7" s="11">
        <f>SUM(G7:G7)</f>
      </c>
    </row>
    <row r="8" ht="50" customHeight="1">
      <c r="A8" s="11" t="str">
        <v>AOW03</v>
      </c>
      <c r="B8" s="11" t="str">
        <v>HLO 3.1.4: CapSha SSTC engagmenents</v>
      </c>
      <c r="C8" s="11" t="str">
        <v>CapSha actively supports the planning, implementation and learning from key SSTC engagements, including SSTC initiatives with Brazil (Embrapa), China (CAAS) and India (ICAR), targeting African regional and national agricultural research organisations</v>
      </c>
      <c r="D8" s="11" t="str">
        <v>Number of people trained (capacity sharing for development)</v>
      </c>
      <c r="E8" s="11" t="str">
        <v>Country: Kenya, Ethiopia, Nigeria, China, Brazil, India</v>
      </c>
      <c r="F8" s="11">
        <v>200</v>
      </c>
      <c r="G8" s="11">
        <v>0</v>
      </c>
      <c r="H8" s="11">
        <f>SUM(G8:G8)</f>
      </c>
    </row>
    <row r="9" ht="25" customHeight="1">
      <c r="B9" s="14" t="str">
        <v>HLO budget subtotal</v>
      </c>
      <c r="H9" s="15">
        <f>SUM(H3:H8)</f>
      </c>
    </row>
  </sheetData>
  <mergeCells count="9">
    <mergeCell ref="A1:A2"/>
    <mergeCell ref="B1:B2"/>
    <mergeCell ref="C1:G1"/>
    <mergeCell ref="H1:H2"/>
    <mergeCell ref="I1:I2"/>
    <mergeCell ref="B3:B6"/>
    <mergeCell ref="H3:H6"/>
    <mergeCell ref="B9:G9"/>
    <mergeCell ref="A3:A9"/>
  </mergeCells>
  <ignoredErrors>
    <ignoredError numberStoredAsText="1" sqref="A1:I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D-100817-AFESD Dryland Academy</v>
      </c>
      <c r="B2" s="19" t="str">
        <v>AOW00</v>
      </c>
      <c r="C2" s="18" t="str">
        <v>CapSha mainstreamed</v>
      </c>
      <c r="D2" s="19">
        <v>168171</v>
      </c>
      <c r="E2" s="19" t="str">
        <f>=SUM(D2:D2)</f>
        <v>0</v>
      </c>
    </row>
    <row r="3" ht="30" customHeight="1">
      <c r="A3" s="18" t="str">
        <v>D-200399-AFESD - ICARDA Dryland Academy: Capacity Developmen</v>
      </c>
      <c r="B3" s="19" t="str">
        <v>AOW00</v>
      </c>
      <c r="C3" s="18" t="str">
        <v>CapSha mainstreamed</v>
      </c>
      <c r="D3" s="19">
        <v>489782</v>
      </c>
      <c r="E3" s="19" t="str">
        <f>=SUM(D3:D3)</f>
        <v>0</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70000</v>
      </c>
      <c r="C2" s="20">
        <v>0</v>
      </c>
      <c r="D2" s="20">
        <v>0</v>
      </c>
      <c r="E2" s="20">
        <v>7000</v>
      </c>
      <c r="F2" s="20" t="str">
        <f>=SUM(B2:E2)</f>
        <v>0</v>
      </c>
    </row>
    <row r="3" ht="20" customHeight="1">
      <c r="A3" s="20" t="str">
        <v>Operations (supplies, consultants, travels, workshops, other)</v>
      </c>
      <c r="B3" s="20">
        <v>39055</v>
      </c>
      <c r="C3" s="20">
        <v>0</v>
      </c>
      <c r="D3" s="20">
        <v>0</v>
      </c>
      <c r="E3" s="20">
        <v>77268</v>
      </c>
      <c r="F3" s="20" t="str">
        <f>=SUM(B3:E3)</f>
        <v>0</v>
      </c>
    </row>
    <row r="4" ht="20" customHeight="1">
      <c r="A4" s="20" t="str">
        <v>Staffing, Chargebacks and Indirect</v>
      </c>
      <c r="B4" s="20">
        <v>96606</v>
      </c>
      <c r="C4" s="20">
        <v>0</v>
      </c>
      <c r="D4" s="20">
        <v>0</v>
      </c>
      <c r="E4" s="20">
        <v>65931</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