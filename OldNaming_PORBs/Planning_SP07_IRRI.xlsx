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1"/>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 xml:space="preserve">AOW01: Foresight and Prioritization </v>
      </c>
      <c r="B5" s="2">
        <v>0</v>
      </c>
      <c r="C5" s="5">
        <v>0</v>
      </c>
      <c r="D5" s="2">
        <v>0</v>
      </c>
      <c r="E5" s="5">
        <v>0</v>
      </c>
      <c r="F5" s="2">
        <v>0</v>
      </c>
      <c r="G5" s="5">
        <v>0</v>
      </c>
      <c r="H5" s="2">
        <v>0</v>
      </c>
      <c r="I5" s="5">
        <v>0</v>
      </c>
      <c r="J5" s="5">
        <v>0</v>
      </c>
      <c r="K5" s="5">
        <v>0</v>
      </c>
      <c r="L5" s="5">
        <v>0</v>
      </c>
      <c r="M5" s="5">
        <v>0</v>
      </c>
    </row>
    <row r="6" ht="20" customHeight="1">
      <c r="A6" s="2" t="str">
        <v xml:space="preserve">AOW02: Market-led Food Systems Transformation </v>
      </c>
      <c r="B6" s="2">
        <v>0</v>
      </c>
      <c r="C6" s="5">
        <v>0</v>
      </c>
      <c r="D6" s="2">
        <v>0</v>
      </c>
      <c r="E6" s="5">
        <v>0</v>
      </c>
      <c r="F6" s="2">
        <v>0</v>
      </c>
      <c r="G6" s="5">
        <v>0</v>
      </c>
      <c r="H6" s="2">
        <v>11</v>
      </c>
      <c r="I6" s="5">
        <v>316290</v>
      </c>
      <c r="J6" s="5">
        <v>0</v>
      </c>
      <c r="K6" s="5">
        <v>0</v>
      </c>
      <c r="L6" s="5">
        <v>316290</v>
      </c>
      <c r="M6" s="5">
        <v>0</v>
      </c>
    </row>
    <row r="7" ht="20" customHeight="1">
      <c r="A7" s="2" t="str">
        <v xml:space="preserve">AOW03: Governance and Political Economy </v>
      </c>
      <c r="B7" s="2">
        <v>0</v>
      </c>
      <c r="C7" s="5">
        <v>0</v>
      </c>
      <c r="D7" s="2">
        <v>0</v>
      </c>
      <c r="E7" s="5">
        <v>0</v>
      </c>
      <c r="F7" s="2">
        <v>0</v>
      </c>
      <c r="G7" s="5">
        <v>0</v>
      </c>
      <c r="H7" s="2">
        <v>0</v>
      </c>
      <c r="I7" s="5">
        <v>0</v>
      </c>
      <c r="J7" s="5">
        <v>0</v>
      </c>
      <c r="K7" s="5">
        <v>0</v>
      </c>
      <c r="L7" s="5">
        <v>0</v>
      </c>
      <c r="M7" s="5">
        <v>0</v>
      </c>
    </row>
    <row r="8" ht="20" customHeight="1">
      <c r="A8" s="2" t="str">
        <v xml:space="preserve">AOW04: Water, Energy, Food, and Environment (WEFE) Nexus Policy </v>
      </c>
      <c r="B8" s="2">
        <v>0</v>
      </c>
      <c r="C8" s="5">
        <v>0</v>
      </c>
      <c r="D8" s="2">
        <v>1</v>
      </c>
      <c r="E8" s="5">
        <v>74601</v>
      </c>
      <c r="F8" s="2">
        <v>0</v>
      </c>
      <c r="G8" s="5">
        <v>0</v>
      </c>
      <c r="H8" s="2">
        <v>0</v>
      </c>
      <c r="I8" s="5">
        <v>0</v>
      </c>
      <c r="J8" s="5">
        <v>0</v>
      </c>
      <c r="K8" s="5">
        <v>0</v>
      </c>
      <c r="L8" s="5">
        <v>74601</v>
      </c>
      <c r="M8" s="5">
        <v>46398</v>
      </c>
    </row>
    <row r="9" ht="20" customHeight="1">
      <c r="A9" s="2" t="str">
        <v>AOW05: Country and Regional Strategy and Engagement</v>
      </c>
      <c r="B9" s="2">
        <v>0</v>
      </c>
      <c r="C9" s="5">
        <v>0</v>
      </c>
      <c r="D9" s="2">
        <v>0</v>
      </c>
      <c r="E9" s="5">
        <v>0</v>
      </c>
      <c r="F9" s="2">
        <v>0</v>
      </c>
      <c r="G9" s="5">
        <v>0</v>
      </c>
      <c r="H9" s="2">
        <v>0</v>
      </c>
      <c r="I9" s="5">
        <v>0</v>
      </c>
      <c r="J9" s="5">
        <v>0</v>
      </c>
      <c r="K9" s="5">
        <v>0</v>
      </c>
      <c r="L9" s="5">
        <v>0</v>
      </c>
      <c r="M9" s="5">
        <v>0</v>
      </c>
    </row>
    <row r="10" ht="20" customHeight="1">
      <c r="A10" s="2" t="str">
        <v xml:space="preserve">AOW06: Global Poverty and Jobs Policy Knowledge Brokering Hub </v>
      </c>
      <c r="B10" s="2">
        <v>0</v>
      </c>
      <c r="C10" s="5">
        <v>0</v>
      </c>
      <c r="D10" s="2">
        <v>0</v>
      </c>
      <c r="E10" s="5">
        <v>0</v>
      </c>
      <c r="F10" s="2">
        <v>0</v>
      </c>
      <c r="G10" s="5">
        <v>0</v>
      </c>
      <c r="H10" s="2">
        <v>0</v>
      </c>
      <c r="I10" s="5">
        <v>0</v>
      </c>
      <c r="J10" s="5">
        <v>0</v>
      </c>
      <c r="K10" s="5">
        <v>0</v>
      </c>
      <c r="L10" s="5">
        <v>0</v>
      </c>
      <c r="M10" s="5">
        <v>0</v>
      </c>
    </row>
    <row r="11" ht="25" customHeight="1">
      <c r="A11" s="6" t="str">
        <v>Total</v>
      </c>
      <c r="B11" s="7">
        <f>SUM(B4:B10)</f>
      </c>
      <c r="C11" s="7">
        <f>SUM(C4:C10)</f>
      </c>
      <c r="D11" s="7">
        <f>SUM(D4:D10)</f>
      </c>
      <c r="E11" s="7">
        <f>SUM(E4:E10)</f>
      </c>
      <c r="F11" s="7">
        <f>SUM(F4:F10)</f>
      </c>
      <c r="G11" s="7">
        <f>SUM(G4:G10)</f>
      </c>
      <c r="H11" s="7">
        <f>SUM(H4:H10)</f>
      </c>
      <c r="I11" s="7">
        <f>SUM(I4:I10)</f>
      </c>
      <c r="J11" s="7">
        <f>SUM(J4:J10)</f>
      </c>
      <c r="K11" s="7">
        <f>SUM(K4:K10)</f>
      </c>
      <c r="L11" s="7">
        <f>SUM(L4:L10)</f>
      </c>
      <c r="M11" s="7">
        <f>SUM(M4:M10)</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11"/>
  </ignoredErrors>
</worksheet>
</file>

<file path=xl/worksheets/sheet2.xml><?xml version="1.0" encoding="utf-8"?>
<worksheet xmlns="http://schemas.openxmlformats.org/spreadsheetml/2006/main" xmlns:r="http://schemas.openxmlformats.org/officeDocument/2006/relationships">
  <dimension ref="A1:E6"/>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Director costs</v>
      </c>
      <c r="C2" s="11" t="str">
        <v/>
      </c>
      <c r="D2" s="11">
        <v>0</v>
      </c>
    </row>
    <row r="3" ht="45" customHeight="1">
      <c r="A3" s="11" t="str">
        <v>AOW00</v>
      </c>
      <c r="B3" s="11" t="str">
        <v>PMU</v>
      </c>
      <c r="C3" s="11" t="str">
        <v/>
      </c>
      <c r="D3" s="11">
        <v>0</v>
      </c>
    </row>
    <row r="4" ht="45" customHeight="1">
      <c r="A4" s="11" t="str">
        <v>AOW00</v>
      </c>
      <c r="B4" s="11" t="str">
        <v>Discretionary funds</v>
      </c>
      <c r="D4" s="11">
        <v>0</v>
      </c>
    </row>
    <row r="5" ht="45" customHeight="1">
      <c r="A5" s="11" t="str">
        <v>AOW00</v>
      </c>
      <c r="B5" s="11" t="str">
        <v>AoW Leads</v>
      </c>
      <c r="D5" s="11">
        <v>0</v>
      </c>
    </row>
    <row r="6" ht="45" customHeight="1">
      <c r="A6" s="11" t="str">
        <v>AOW00</v>
      </c>
      <c r="B6" s="11" t="str">
        <v>SO Finance Shared</v>
      </c>
      <c r="C6" s="11" t="str">
        <v>Centralized Finance</v>
      </c>
      <c r="D6" s="11">
        <v>0</v>
      </c>
    </row>
  </sheetData>
  <mergeCells count="1">
    <mergeCell ref="A2:A6"/>
  </mergeCells>
  <ignoredErrors>
    <ignoredError numberStoredAsText="1" sqref="A1:E6"/>
  </ignoredErrors>
</worksheet>
</file>

<file path=xl/worksheets/sheet3.xml><?xml version="1.0" encoding="utf-8"?>
<worksheet xmlns="http://schemas.openxmlformats.org/spreadsheetml/2006/main" xmlns:r="http://schemas.openxmlformats.org/officeDocument/2006/relationships">
  <dimension ref="A1:I12"/>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xml:space="preserve">
      <c r="A3" s="13" t="str">
        <v>AOW02</v>
      </c>
      <c r="B3" s="11" t="str">
        <v>2.2.  Policy response</v>
      </c>
      <c r="C3" s="11" t="str" xml:space="preserve">
        <v xml:space="preserve">Analysis of impacts of different subsidy policies on groundwater use and rice production in India. Policies informed based on policy recommendations.
</v>
      </c>
      <c r="D3" s="11" t="str">
        <v xml:space="preserve"> Policy informed</v>
      </c>
      <c r="E3" s="11" t="str">
        <v>Country: India</v>
      </c>
      <c r="F3" s="11">
        <v>1</v>
      </c>
      <c r="G3" s="11">
        <v>20981</v>
      </c>
      <c r="H3" s="11">
        <f>SUM(G3:G9)</f>
      </c>
      <c r="I3" s="11" t="str" xml:space="preserve">
        <v xml:space="preserve">National Institute of Agricultural Economics and Policy Research - $20,000 (All activities)
</v>
      </c>
    </row>
    <row r="4" ht="50" customHeight="1">
      <c r="A4" s="11" t="str">
        <v>AOW02</v>
      </c>
      <c r="C4" s="11" t="str">
        <v>Trade modeling of impacts of future scenarios of India’s rice exports on global rice markets, especially import dependent countries (e.g. from among priority African and Asian countries for the program) (using the Global Rice Trade Model and MIRAGRODEP) : Policies informed based on policy recommendations.</v>
      </c>
      <c r="D4" s="11" t="str">
        <v xml:space="preserve"> Policy informed</v>
      </c>
      <c r="E4" s="11" t="str">
        <v>Country: India, Bangladesh, Uganda, Nepal, Ethiopia, Kenya, Nigeria</v>
      </c>
      <c r="F4" s="11">
        <v>1</v>
      </c>
      <c r="G4" s="11">
        <v>32639</v>
      </c>
      <c r="I4" s="11" t="str">
        <v>Budget and partners to be added Q1 2026</v>
      </c>
    </row>
    <row r="5" ht="50" customHeight="1">
      <c r="A5" s="11" t="str">
        <v>AOW02</v>
      </c>
      <c r="C5" s="11" t="str">
        <v>Analysis of the impacts of resulting future rice trade shifts as well as productivity shocks (improved seeds, fertiliser subsidy, etc.) on agricultural profits, poverty levels, and rural employment (using the Equilibrium Displacement Model).  Policy makers informed based on policy recommendations developed</v>
      </c>
      <c r="D5" s="11" t="str">
        <v xml:space="preserve"> Policy informed</v>
      </c>
      <c r="E5" s="11" t="str">
        <v>Country: Nigeria, Nepal, Kenya, Ethiopia, Uganda, India, Bangladesh</v>
      </c>
      <c r="F5" s="11">
        <v>1</v>
      </c>
      <c r="G5" s="11">
        <v>20981</v>
      </c>
      <c r="I5" s="11" t="str">
        <v>Budget and partners to be added Q1 2026</v>
      </c>
    </row>
    <row r="6" ht="50" customHeight="1">
      <c r="A6" s="11" t="str">
        <v>AOW02</v>
      </c>
      <c r="C6" s="11" t="str">
        <v xml:space="preserve">Critical Capability - Tool - IRRI's Global Rice Model, which is a core element of its critical capabilities under the Policy Innovation Program, will be used for modeling of trade impacts of future scenarios of India’s rice exports on global rice markets, especially import dependent countries (e.g. from among priority African and Asian countries for the program). This will also directly contribute and related to other activities under the Innovative Rice Policy package conducted by IRRI, IFPRI, AfricaRice and ICRISAT, including on analysis of subsidies and opportunities for repurposing subsidies, poverty implications of future rice trade scenarios, as affected by various subsidy and trade regimes. Output - Slide deck Summarizing key results from rice model. </v>
      </c>
      <c r="D6" s="11" t="str">
        <v xml:space="preserve"> Policy Recommendation</v>
      </c>
      <c r="E6" s="11" t="str">
        <v>Country: Uganda, Nepal, Ethiopia, Bangladesh, Nigeria, India, Kenya</v>
      </c>
      <c r="F6" s="11">
        <v>2</v>
      </c>
      <c r="G6" s="11">
        <v>167087</v>
      </c>
      <c r="I6" s="11" t="str">
        <v>Budget and partners to be added Q1 2026</v>
      </c>
    </row>
    <row r="7" ht="50" customHeight="1" xml:space="preserve">
      <c r="A7" s="11" t="str">
        <v>AOW02</v>
      </c>
      <c r="C7" s="11" t="str" xml:space="preserve">
        <v xml:space="preserve">Analysis of the impacts of resulting future rice trade shifts as well as productivity shocks (improved seeds, fertiliser subsidy, etc.) on agricultural profits, poverty levels, and rural employment (using the Equilibrium Displacement Model).  Policy recommendations produced  from country analyses
</v>
      </c>
      <c r="D7" s="11" t="str">
        <v xml:space="preserve"> Policy recommendation</v>
      </c>
      <c r="E7" s="11" t="str">
        <v>Country: Kenya, Nepal, Bangladesh, Uganda, Nigeria, Ethiopia, India</v>
      </c>
      <c r="F7" s="11">
        <v>2</v>
      </c>
      <c r="G7" s="11">
        <v>20981</v>
      </c>
      <c r="I7" s="11" t="str">
        <v>Budget and partners to be added Q1 2026</v>
      </c>
    </row>
    <row r="8" ht="50" customHeight="1" xml:space="preserve">
      <c r="A8" s="11" t="str">
        <v>AOW02</v>
      </c>
      <c r="C8" s="11" t="str" xml:space="preserve">
        <v xml:space="preserve">Trade modeling of impacts of future scenarios of India’s rice exports on global rice markets, especially import dependent countries (e.g. from among priority African and Asian countries for the program) (using the Global Rice Trade Model and MIRAGRODEP). Policy brief with policy recommendations developed.
</v>
      </c>
      <c r="D8" s="11" t="str">
        <v xml:space="preserve"> Policy recommendation</v>
      </c>
      <c r="E8" s="11" t="str">
        <v>Country: Nigeria, Uganda, Kenya, Bangladesh, India, Nepal, Ethiopia</v>
      </c>
      <c r="F8" s="11">
        <v>2</v>
      </c>
      <c r="G8" s="11">
        <v>32640</v>
      </c>
      <c r="I8" s="11" t="str">
        <v>Budget and partners to be added Q1 2026</v>
      </c>
    </row>
    <row r="9" ht="50" customHeight="1" xml:space="preserve">
      <c r="A9" s="11" t="str">
        <v>AOW02</v>
      </c>
      <c r="C9" s="11" t="str" xml:space="preserve">
        <v xml:space="preserve">Analysis of impacts of different subsidy policies on groundwater use and rice production in India. Policy recommendations summarized in reports
</v>
      </c>
      <c r="D9" s="11" t="str">
        <v xml:space="preserve"> Policy recommendation</v>
      </c>
      <c r="E9" s="11" t="str">
        <v>Country: India</v>
      </c>
      <c r="F9" s="11">
        <v>2</v>
      </c>
      <c r="G9" s="11">
        <v>20981</v>
      </c>
      <c r="I9" s="11" t="str" xml:space="preserve">
        <v xml:space="preserve">National Institute of Agricultural Economics and Policy Research - $20,000 (All activities)
</v>
      </c>
    </row>
    <row r="10" ht="25" customHeight="1">
      <c r="B10" s="14" t="str">
        <v>HLO budget subtotal</v>
      </c>
      <c r="H10" s="15">
        <f>SUM(H3:H9)</f>
      </c>
    </row>
    <row r="11" ht="50" customHeight="1">
      <c r="A11" s="13" t="str">
        <v>AOW04</v>
      </c>
      <c r="B11" s="11" t="str">
        <v>4.2. Policy response</v>
      </c>
      <c r="C11" s="11" t="str">
        <v>Integrated Hydrological model for assessing Tradeoff and synergy of WEFE policies in Ganges basin and Technical Report identifying groundwater hotspots and impact of various rice policies on future groundwater storage</v>
      </c>
      <c r="D11" s="11" t="str">
        <v>Number of knowledge products</v>
      </c>
      <c r="E11" s="11" t="str">
        <v>Country: India</v>
      </c>
      <c r="F11" s="11">
        <v>1</v>
      </c>
      <c r="G11" s="11">
        <v>74601</v>
      </c>
      <c r="H11" s="11">
        <f>SUM(G11:G11)</f>
      </c>
      <c r="I11" s="11" t="str">
        <v>Budget and partner to be added Q1 2026</v>
      </c>
    </row>
    <row r="12" ht="25" customHeight="1">
      <c r="B12" s="15" t="str">
        <v>HLO budget subtotal</v>
      </c>
      <c r="H12" s="15">
        <f>SUM(H11:H11)</f>
      </c>
    </row>
  </sheetData>
  <mergeCells count="11">
    <mergeCell ref="A1:A2"/>
    <mergeCell ref="B1:B2"/>
    <mergeCell ref="C1:G1"/>
    <mergeCell ref="H1:H2"/>
    <mergeCell ref="I1:I2"/>
    <mergeCell ref="B3:B9"/>
    <mergeCell ref="H3:H9"/>
    <mergeCell ref="B10:G10"/>
    <mergeCell ref="A3:A10"/>
    <mergeCell ref="B12:G12"/>
    <mergeCell ref="A11:A12"/>
  </mergeCells>
  <ignoredErrors>
    <ignoredError numberStoredAsText="1" sqref="A1:I12"/>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F4"/>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c r="A2" s="18" t="str">
        <v>R-A-2022-118-Credits Offsetting Rice Emissions</v>
      </c>
      <c r="B2" s="19" t="str">
        <v>AOW06</v>
      </c>
      <c r="C2" s="18" t="str">
        <v>6.1. Agenda Setting</v>
      </c>
      <c r="D2" s="19">
        <v>0</v>
      </c>
      <c r="E2" s="19" t="str">
        <f>=SUM(D2:D2)</f>
        <v>0</v>
      </c>
    </row>
    <row r="3" ht="30" customHeight="1">
      <c r="A3" s="18" t="str">
        <v>R-A-2023-24-ASEAN-CGIAR Innovate for Food Regional Program</v>
      </c>
      <c r="B3" s="19" t="str">
        <v>AOW04</v>
      </c>
      <c r="C3" s="18" t="str">
        <v>4.2. Policy response</v>
      </c>
      <c r="D3" s="19">
        <v>46398</v>
      </c>
      <c r="E3" s="19" t="str">
        <f>=SUM(D3:D3)</f>
        <v>0</v>
      </c>
      <c r="F3" s="19" t="str">
        <v>'</v>
      </c>
    </row>
    <row r="4" ht="30" customHeight="1">
      <c r="A4" s="3" t="str">
        <v>W3/Bilateral projects subtotal</v>
      </c>
      <c r="E4" s="3">
        <f>SUM(E2:E3)</f>
      </c>
    </row>
  </sheetData>
  <mergeCells count="1">
    <mergeCell ref="A4:D4"/>
  </mergeCells>
  <ignoredErrors>
    <ignoredError numberStoredAsText="1" sqref="A1:F4"/>
  </ignoredErrors>
</worksheet>
</file>

<file path=xl/worksheets/sheet6.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MELIA study</v>
      </c>
      <c r="B1" s="16" t="str">
        <v>AOW</v>
      </c>
      <c r="C1" s="16" t="str">
        <v>Supported outcomes</v>
      </c>
      <c r="D1" s="16" t="str">
        <v>AOW budget (USD)</v>
      </c>
      <c r="E1" s="16" t="str">
        <v>Total budget (USD)</v>
      </c>
      <c r="F1" s="16" t="str">
        <v>Budget Assumptions</v>
      </c>
    </row>
    <row r="2">
      <c r="E2" s="3">
        <f>SUM(E2:E1)</f>
      </c>
    </row>
    <row r="3">
      <c r="A3" s="2" t="str">
        <v>MELIA Studies Budget subtotal</v>
      </c>
    </row>
  </sheetData>
  <mergeCells count="1">
    <mergeCell ref="A2:D2"/>
  </mergeCells>
  <ignoredErrors>
    <ignoredError numberStoredAsText="1" sqref="A1:F3"/>
  </ignoredErrors>
</worksheet>
</file>

<file path=xl/worksheets/sheet7.xml><?xml version="1.0" encoding="utf-8"?>
<worksheet xmlns="http://schemas.openxmlformats.org/spreadsheetml/2006/main" xmlns:r="http://schemas.openxmlformats.org/officeDocument/2006/relationships">
  <dimension ref="A1:I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20.83203125" customWidth="1"/>
  </cols>
  <sheetData>
    <row r="1" ht="25" customHeight="1">
      <c r="A1" s="3" t="str">
        <v>Main Accounts</v>
      </c>
      <c r="B1" s="3" t="str">
        <v>AOW00</v>
      </c>
      <c r="C1" s="3" t="str">
        <v>AOW01</v>
      </c>
      <c r="D1" s="3" t="str">
        <v>AOW02</v>
      </c>
      <c r="E1" s="3" t="str">
        <v>AOW03</v>
      </c>
      <c r="F1" s="3" t="str">
        <v>AOW04</v>
      </c>
      <c r="G1" s="3" t="str">
        <v>AOW05</v>
      </c>
      <c r="H1" s="3" t="str">
        <v>AOW06</v>
      </c>
      <c r="I1" s="3" t="str">
        <v>Total budget (USD)</v>
      </c>
    </row>
    <row r="2" ht="20" customHeight="1">
      <c r="A2" s="20" t="str">
        <v>Collaborators non-CGIAR centers</v>
      </c>
      <c r="B2" s="20">
        <v>0</v>
      </c>
      <c r="C2" s="20">
        <v>0</v>
      </c>
      <c r="D2" s="20">
        <v>19840</v>
      </c>
      <c r="E2" s="20">
        <v>0</v>
      </c>
      <c r="F2" s="20">
        <v>0</v>
      </c>
      <c r="G2" s="20">
        <v>0</v>
      </c>
      <c r="H2" s="20">
        <v>0</v>
      </c>
      <c r="I2" s="20" t="str">
        <f>=SUM(B2:H2)</f>
        <v>0</v>
      </c>
    </row>
    <row r="3" ht="20" customHeight="1">
      <c r="A3" s="20" t="str">
        <v>Operations (supplies, consultants, travels, workshops, other)</v>
      </c>
      <c r="B3" s="20">
        <v>0</v>
      </c>
      <c r="C3" s="20">
        <v>0</v>
      </c>
      <c r="D3" s="20">
        <v>75006</v>
      </c>
      <c r="E3" s="20">
        <v>0</v>
      </c>
      <c r="F3" s="20">
        <v>522</v>
      </c>
      <c r="G3" s="20">
        <v>0</v>
      </c>
      <c r="H3" s="20">
        <v>0</v>
      </c>
      <c r="I3" s="20" t="str">
        <f>=SUM(B3:H3)</f>
        <v>0</v>
      </c>
    </row>
    <row r="4" ht="20" customHeight="1">
      <c r="A4" s="20" t="str">
        <v>Staffing, Chargebacks and Indirect</v>
      </c>
      <c r="B4" s="20">
        <v>0</v>
      </c>
      <c r="C4" s="20">
        <v>0</v>
      </c>
      <c r="D4" s="20">
        <v>221444</v>
      </c>
      <c r="E4" s="20">
        <v>0</v>
      </c>
      <c r="F4" s="20">
        <v>74079</v>
      </c>
      <c r="G4" s="20">
        <v>0</v>
      </c>
      <c r="H4" s="20">
        <v>0</v>
      </c>
      <c r="I4" s="20" t="str">
        <f>=SUM(B4:H4)</f>
        <v>0</v>
      </c>
    </row>
    <row r="5" ht="20" customHeight="1">
      <c r="A5" s="21" t="str">
        <v>Subtotal</v>
      </c>
      <c r="B5" s="22" t="str">
        <f>=SUM(B2:B4)</f>
        <v>0</v>
      </c>
      <c r="C5" s="23" t="str">
        <f>=SUM(C2:C4)</f>
        <v>0</v>
      </c>
      <c r="D5" s="23" t="str">
        <f>=SUM(D2:D4)</f>
        <v>0</v>
      </c>
      <c r="E5" s="23" t="str">
        <f>=SUM(E2:E4)</f>
        <v>0</v>
      </c>
      <c r="F5" s="23" t="str">
        <f>=SUM(F2:F4)</f>
        <v>0</v>
      </c>
      <c r="G5" s="23" t="str">
        <f>=SUM(G2:G4)</f>
        <v>0</v>
      </c>
      <c r="H5" s="23" t="str">
        <f>=SUM(H2:H4)</f>
        <v>0</v>
      </c>
      <c r="I5" s="23" t="str">
        <f>=SUM(I2:I4)</f>
        <v>0</v>
      </c>
    </row>
  </sheetData>
  <ignoredErrors>
    <ignoredError numberStoredAsText="1" sqref="A1:I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