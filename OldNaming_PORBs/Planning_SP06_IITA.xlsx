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 xml:space="preserve">AOW01: Prioritization and Coordination of Climate Action </v>
      </c>
      <c r="B5" s="2">
        <v>2</v>
      </c>
      <c r="C5" s="5">
        <v>45000</v>
      </c>
      <c r="D5" s="2">
        <v>4</v>
      </c>
      <c r="E5" s="5">
        <v>46000</v>
      </c>
      <c r="F5" s="2">
        <v>0</v>
      </c>
      <c r="G5" s="5">
        <v>0</v>
      </c>
      <c r="H5" s="2">
        <v>0</v>
      </c>
      <c r="I5" s="5">
        <v>0</v>
      </c>
      <c r="J5" s="5">
        <v>0</v>
      </c>
      <c r="K5" s="5">
        <v>0</v>
      </c>
      <c r="L5" s="5">
        <v>91000</v>
      </c>
      <c r="M5" s="5">
        <v>0</v>
      </c>
    </row>
    <row r="6" ht="20" customHeight="1">
      <c r="A6" s="2" t="str">
        <v xml:space="preserve">AOW02: Digital Advisories and Climate Risk Management  </v>
      </c>
      <c r="B6" s="2">
        <v>0</v>
      </c>
      <c r="C6" s="5">
        <v>0</v>
      </c>
      <c r="D6" s="2">
        <v>0</v>
      </c>
      <c r="E6" s="5">
        <v>0</v>
      </c>
      <c r="F6" s="2">
        <v>0</v>
      </c>
      <c r="G6" s="5">
        <v>0</v>
      </c>
      <c r="H6" s="2">
        <v>0</v>
      </c>
      <c r="I6" s="5">
        <v>0</v>
      </c>
      <c r="J6" s="5">
        <v>0</v>
      </c>
      <c r="K6" s="5">
        <v>0</v>
      </c>
      <c r="L6" s="5">
        <v>0</v>
      </c>
      <c r="M6" s="5">
        <v>0</v>
      </c>
    </row>
    <row r="7" ht="20" customHeight="1">
      <c r="A7" s="2" t="str">
        <v xml:space="preserve">AOW03: Locally-led Adaptation  </v>
      </c>
      <c r="B7" s="2">
        <v>0</v>
      </c>
      <c r="C7" s="5">
        <v>0</v>
      </c>
      <c r="D7" s="2">
        <v>0</v>
      </c>
      <c r="E7" s="5">
        <v>0</v>
      </c>
      <c r="F7" s="2">
        <v>0</v>
      </c>
      <c r="G7" s="5">
        <v>0</v>
      </c>
      <c r="H7" s="2">
        <v>0</v>
      </c>
      <c r="I7" s="5">
        <v>0</v>
      </c>
      <c r="J7" s="5">
        <v>0</v>
      </c>
      <c r="K7" s="5">
        <v>0</v>
      </c>
      <c r="L7" s="5">
        <v>0</v>
      </c>
      <c r="M7" s="5">
        <v>82721</v>
      </c>
    </row>
    <row r="8" ht="20" customHeight="1">
      <c r="A8" s="2" t="str">
        <v xml:space="preserve">AOW04: Low-emission Transitions  </v>
      </c>
      <c r="B8" s="2">
        <v>5</v>
      </c>
      <c r="C8" s="5">
        <v>305000</v>
      </c>
      <c r="D8" s="2">
        <v>0</v>
      </c>
      <c r="E8" s="5">
        <v>0</v>
      </c>
      <c r="F8" s="2">
        <v>0</v>
      </c>
      <c r="G8" s="5">
        <v>0</v>
      </c>
      <c r="H8" s="2">
        <v>2</v>
      </c>
      <c r="I8" s="5">
        <v>55000</v>
      </c>
      <c r="J8" s="5">
        <v>0</v>
      </c>
      <c r="K8" s="5">
        <v>0</v>
      </c>
      <c r="L8" s="5">
        <v>360000</v>
      </c>
      <c r="M8" s="5">
        <v>231903</v>
      </c>
    </row>
    <row r="9" ht="20" customHeight="1">
      <c r="A9" s="2" t="str">
        <v xml:space="preserve">AOW05: Finance and Policy for Scaling Solutions </v>
      </c>
      <c r="B9" s="2">
        <v>0</v>
      </c>
      <c r="C9" s="5">
        <v>0</v>
      </c>
      <c r="D9" s="2">
        <v>0</v>
      </c>
      <c r="E9" s="5">
        <v>0</v>
      </c>
      <c r="F9" s="2">
        <v>0</v>
      </c>
      <c r="G9" s="5">
        <v>0</v>
      </c>
      <c r="H9" s="2">
        <v>0</v>
      </c>
      <c r="I9" s="5">
        <v>0</v>
      </c>
      <c r="J9" s="5">
        <v>0</v>
      </c>
      <c r="K9" s="5">
        <v>0</v>
      </c>
      <c r="L9" s="5">
        <v>0</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xml:space="preserve">
      <c r="A2" s="10" t="str">
        <v>AOW00</v>
      </c>
      <c r="B2" s="11" t="str" xml:space="preserve">
        <v xml:space="preserve">Innovation Fund
</v>
      </c>
      <c r="C2" s="11" t="str" xml:space="preserve">
        <v xml:space="preserve">Costs for Climate Action Innovation Fund
</v>
      </c>
      <c r="D2" s="11">
        <v>0</v>
      </c>
    </row>
    <row r="3" ht="45" customHeight="1">
      <c r="A3" s="11" t="str">
        <v>AOW00</v>
      </c>
      <c r="B3" s="11" t="str">
        <v>Portfolio-level Financing Support</v>
      </c>
      <c r="C3" s="11" t="str">
        <v>Funding for Portfolio-level Finance support</v>
      </c>
      <c r="D3" s="11">
        <v>0</v>
      </c>
    </row>
    <row r="4" ht="45" customHeight="1" xml:space="preserve">
      <c r="A4" s="11" t="str">
        <v>AOW00</v>
      </c>
      <c r="B4" s="11" t="str" xml:space="preserve">
        <v xml:space="preserve">Program Director and Associated Costs 
</v>
      </c>
      <c r="C4" s="11" t="str" xml:space="preserve">
        <v xml:space="preserve">Global HR, Travel, Meetings, workshops, consultants, and other Miscellaneous Costs for the Program Director
</v>
      </c>
      <c r="D4" s="11">
        <v>0</v>
      </c>
    </row>
    <row r="5" ht="45" customHeight="1" xml:space="preserve">
      <c r="A5" s="11" t="str">
        <v>AOW00</v>
      </c>
      <c r="B5" s="11" t="str" xml:space="preserve">
        <v xml:space="preserve">AoW Leadership and PMU Costs
</v>
      </c>
      <c r="C5" s="11" t="str" xml:space="preserve">
        <v xml:space="preserve">Global HR, Travel, Meetings, workshops, and other Miscellaneous Costs for the AoW Leads and PMU staff
</v>
      </c>
      <c r="D5" s="11">
        <v>0</v>
      </c>
    </row>
    <row r="6" ht="45" customHeight="1" xml:space="preserve">
      <c r="A6" s="11" t="str">
        <v>AOW00</v>
      </c>
      <c r="B6" s="11" t="str" xml:space="preserve">
        <v xml:space="preserve">Consolidating CGIAR's climate offer
</v>
      </c>
      <c r="C6" s="11" t="str">
        <v>Funding for Climate Hub packages of deliverables to be allocated to relevant Centers on defining the evidence-base for CGIAR's climate activities. These funds will be allocated to AoW1 in Q1 2026.</v>
      </c>
      <c r="D6" s="11">
        <v>0</v>
      </c>
    </row>
    <row r="7" ht="45" customHeight="1" xml:space="preserve">
      <c r="A7" s="11" t="str">
        <v>AOW00</v>
      </c>
      <c r="B7" s="11" t="str" xml:space="preserve">
        <v xml:space="preserve">Program Director Discretionary Fund 
</v>
      </c>
      <c r="C7" s="11" t="str" xml:space="preserve">
        <v xml:space="preserve">Funds accessible to the Director for emerging opportunities, gaps, and other strategic interventions.
</v>
      </c>
      <c r="D7" s="11">
        <v>0</v>
      </c>
    </row>
    <row r="8" ht="45" customHeight="1" xml:space="preserve">
      <c r="A8" s="11" t="str">
        <v>AOW00</v>
      </c>
      <c r="B8" s="11" t="str" xml:space="preserve">
        <v xml:space="preserve">Gender Focal Point and targeted research
</v>
      </c>
      <c r="C8" s="11" t="str" xml:space="preserve">
        <v xml:space="preserve">Costs for Gender Focal Point and targeted Gender research activities.
</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8"/>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1.1.3 &amp; 1.3.2 Harmonized data, simulations, insights and decision support tools</v>
      </c>
      <c r="C3" s="11" t="str">
        <v>Number of datasets/simulations/insights/decision support tools developed and shared</v>
      </c>
      <c r="D3" s="11" t="str">
        <v>Number of innovations (innovation development)</v>
      </c>
      <c r="E3" s="11" t="str">
        <v>Global</v>
      </c>
      <c r="F3" s="11">
        <v>2</v>
      </c>
      <c r="G3" s="11">
        <v>45000</v>
      </c>
      <c r="H3" s="11">
        <f>SUM(G3:G4)</f>
      </c>
      <c r="I3" s="11" t="str">
        <v xml:space="preserve">CA28_IITA: IITA’s climate-smart agriculture datasets and analytical tools integrated into the Africa Agriculture Adaptation Atlas to enhance regional data coverage and interoperability, and for the development of bilateral notebooks and climate-risk Data </v>
      </c>
    </row>
    <row r="4" ht="50" customHeight="1" xml:space="preserve">
      <c r="A4" s="11" t="str">
        <v>AOW01</v>
      </c>
      <c r="C4" s="11" t="str">
        <v>Number of datasets included/compiled in a common/shared platform</v>
      </c>
      <c r="D4" s="11" t="str">
        <v>Number of knowledge products</v>
      </c>
      <c r="E4" s="11" t="str">
        <v>Global</v>
      </c>
      <c r="F4" s="11">
        <v>4</v>
      </c>
      <c r="G4" s="11">
        <v>46000</v>
      </c>
      <c r="I4" s="11" t="str" xml:space="preserve">
        <v xml:space="preserve">CA28_IITA:"Theory of Change for Atlas and Data Hub developed and aligned with CGIAR’s Climate strategy, identifying impact pathways. 
Development of capacity sharing and training activities for use of the Data Hub developed and integrated. User-tracking s</v>
      </c>
    </row>
    <row r="5" ht="25" customHeight="1">
      <c r="B5" s="14" t="str">
        <v>HLO budget subtotal</v>
      </c>
      <c r="H5" s="15">
        <f>SUM(H3:H4)</f>
      </c>
    </row>
    <row r="6" ht="50" customHeight="1">
      <c r="A6" s="13" t="str">
        <v>AOW04</v>
      </c>
      <c r="B6" s="11" t="str">
        <v>4.1.1 &amp; 4.2.1 Evidence and partnerships to inform low-emission development</v>
      </c>
      <c r="C6" s="11" t="str">
        <v>Number of private sector actors engaged in co-development of low-emission strategies across production systems with supporting policies/incentives</v>
      </c>
      <c r="D6" s="11" t="str">
        <v>Number of partners/actors engaged</v>
      </c>
      <c r="E6" s="11" t="str">
        <v>Country: Ghana, Kenya, Colombia, Nigeria, The Socialist Republic of Viet Nam, Philippines</v>
      </c>
      <c r="F6" s="11">
        <v>2</v>
      </c>
      <c r="G6" s="11">
        <v>55000</v>
      </c>
      <c r="H6" s="11">
        <f>SUM(G6:G6)</f>
      </c>
      <c r="I6" s="11" t="str">
        <v>CA88_IITA: Two emissions and co-benefits hotspots within two value chains (cocoa and maize) mapped to inform low-emission sourcing models and procurement signals. Cocoa, as a cash export crop, and maize, as a staple crop, offer complementary insights to d</v>
      </c>
    </row>
    <row r="7" ht="50" customHeight="1">
      <c r="A7" s="11" t="str">
        <v>AOW04</v>
      </c>
      <c r="B7" s="11" t="str">
        <v>4.2.4 &amp; 4.3.3 &amp; 4.4.1 Tools and approaches for monitoring, reporting and verification (MRV)</v>
      </c>
      <c r="C7" s="11" t="str">
        <v>Number of MRV tools/approaches for low-emission farming developed</v>
      </c>
      <c r="D7" s="11" t="str">
        <v>Number of innovations (innovation development)</v>
      </c>
      <c r="E7" s="11" t="str">
        <v>Country: Colombia, Ghana, India, Zambia, Egypt, Nigeria, Kenya</v>
      </c>
      <c r="F7" s="11">
        <v>5</v>
      </c>
      <c r="G7" s="11">
        <v>305000</v>
      </c>
      <c r="H7" s="11">
        <f>SUM(G7:G7)</f>
      </c>
      <c r="I7" s="11" t="str">
        <v>CA88_IITA	A concept for a digital monitoring, results, and verification (MRV) system developed with an eye on future integration into existing tools (e.g., AKILIMO). Incorporating climate resilience measurement into MRV. Harmonized prototype LCA Carbon Fr</v>
      </c>
    </row>
    <row r="8" ht="25" customHeight="1">
      <c r="B8" s="15" t="str">
        <v>HLO budget subtotal</v>
      </c>
      <c r="H8" s="15">
        <f>SUM(H6:H7)</f>
      </c>
    </row>
  </sheetData>
  <mergeCells count="11">
    <mergeCell ref="A1:A2"/>
    <mergeCell ref="B1:B2"/>
    <mergeCell ref="C1:G1"/>
    <mergeCell ref="H1:H2"/>
    <mergeCell ref="I1:I2"/>
    <mergeCell ref="B3:B4"/>
    <mergeCell ref="H3:H4"/>
    <mergeCell ref="B5:G5"/>
    <mergeCell ref="A3:A5"/>
    <mergeCell ref="B8:G8"/>
    <mergeCell ref="A6:A8"/>
  </mergeCells>
  <ignoredErrors>
    <ignoredError numberStoredAsText="1" sqref="A1:I8"/>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7"/>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T-PJ-003517: Chicken, Fish and Pigs Feed and Organic Fertilizer Value Chain Development Using BSF-Based Urban Biowaste Processing in Ghana, Mali, Niger and the Democratic Republic of Congo</v>
      </c>
      <c r="B2" s="19" t="str">
        <v>AOW04</v>
      </c>
      <c r="C2" s="18" t="str">
        <v>4.2.4 &amp; 4.3.3 &amp; 4.4.1 Tools and approaches for monitoring, reporting and verification (MRV)</v>
      </c>
      <c r="D2" s="19">
        <v>231903</v>
      </c>
      <c r="E2" s="19" t="str">
        <f>=SUM(D2:D4)</f>
        <v>0</v>
      </c>
      <c r="F2" s="19" t="str">
        <v>None</v>
      </c>
    </row>
    <row r="3" ht="30" customHeight="1">
      <c r="A3" s="18" t="str">
        <v>T-PJ-003517: Chicken, Fish and Pigs Feed and Organic Fertilizer Value Chain Development Using BSF-Based Urban Biowaste Processing in Ghana, Mali, Niger and the Democratic Republic of Congo</v>
      </c>
      <c r="B3" s="19" t="str">
        <v>AOW00</v>
      </c>
      <c r="C3" s="18" t="str">
        <v>New finance for just climate action and transitions</v>
      </c>
      <c r="D3" s="19">
        <v>0</v>
      </c>
    </row>
    <row r="4" ht="30" customHeight="1">
      <c r="A4" s="18" t="str">
        <v>T-PJ-003517: Chicken, Fish and Pigs Feed and Organic Fertilizer Value Chain Development Using BSF-Based Urban Biowaste Processing in Ghana, Mali, Niger and the Democratic Republic of Congo</v>
      </c>
      <c r="B4" s="19" t="str">
        <v>AOW03</v>
      </c>
      <c r="C4" s="18" t="str">
        <v>3.1.1. Institutional innovations and technical practices</v>
      </c>
      <c r="D4" s="19">
        <v>0</v>
      </c>
    </row>
    <row r="5" ht="30" customHeight="1">
      <c r="A5" s="18" t="str">
        <v>PJ-003953: APPUI A LA TRANSFORMATION ET A LA RESILIENCE DES SYSTEMES ALIMENTAIRES DE MADAGASCAR A TRAVERS LA RECHERCHE POUR LE DEVELOPPEMENT</v>
      </c>
      <c r="B5" s="19" t="str">
        <v>AOW00</v>
      </c>
      <c r="C5" s="18" t="str">
        <v>New finance for just climate action and transitions</v>
      </c>
      <c r="D5" s="19">
        <v>0</v>
      </c>
      <c r="E5" s="19" t="str">
        <f>=SUM(D5:D6)</f>
        <v>0</v>
      </c>
    </row>
    <row r="6" ht="30" customHeight="1">
      <c r="A6" s="18" t="str">
        <v>PJ-003953: APPUI A LA TRANSFORMATION ET A LA RESILIENCE DES SYSTEMES ALIMENTAIRES DE MADAGASCAR A TRAVERS LA RECHERCHE POUR LE DEVELOPPEMENT</v>
      </c>
      <c r="B6" s="19" t="str">
        <v>AOW03</v>
      </c>
      <c r="C6" s="18" t="str">
        <v>3.1.1. Institutional innovations and technical practices</v>
      </c>
      <c r="D6" s="19">
        <v>82721</v>
      </c>
      <c r="F6" s="19" t="str">
        <v>None</v>
      </c>
    </row>
    <row r="7" ht="30" customHeight="1">
      <c r="A7" s="3" t="str">
        <v>W3/Bilateral projects subtotal</v>
      </c>
      <c r="E7" s="3">
        <f>SUM(E2:E6)</f>
      </c>
    </row>
  </sheetData>
  <mergeCells count="5">
    <mergeCell ref="A2:A4"/>
    <mergeCell ref="A5:A6"/>
    <mergeCell ref="E2:E4"/>
    <mergeCell ref="E5:E6"/>
    <mergeCell ref="A7:D7"/>
  </mergeCells>
  <ignoredErrors>
    <ignoredError numberStoredAsText="1" sqref="A1:F7"/>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0</v>
      </c>
      <c r="D2" s="20">
        <v>0</v>
      </c>
      <c r="E2" s="20">
        <v>0</v>
      </c>
      <c r="F2" s="20">
        <v>0</v>
      </c>
      <c r="G2" s="20">
        <v>0</v>
      </c>
      <c r="H2" s="20" t="str">
        <f>=SUM(B2:G2)</f>
        <v>0</v>
      </c>
    </row>
    <row r="3" ht="20" customHeight="1">
      <c r="A3" s="20" t="str">
        <v>Operations (supplies, consultants, travels, workshops, other)</v>
      </c>
      <c r="B3" s="20">
        <v>86468</v>
      </c>
      <c r="C3" s="20">
        <v>41202</v>
      </c>
      <c r="D3" s="20">
        <v>0</v>
      </c>
      <c r="E3" s="20">
        <v>0</v>
      </c>
      <c r="F3" s="20">
        <v>72727</v>
      </c>
      <c r="G3" s="20">
        <v>0</v>
      </c>
      <c r="H3" s="20" t="str">
        <f>=SUM(B3:G3)</f>
        <v>0</v>
      </c>
    </row>
    <row r="4" ht="20" customHeight="1">
      <c r="A4" s="20" t="str">
        <v>Staffing, Chargebacks and Indirect</v>
      </c>
      <c r="B4" s="20">
        <v>277025</v>
      </c>
      <c r="C4" s="20">
        <v>49798</v>
      </c>
      <c r="D4" s="20">
        <v>0</v>
      </c>
      <c r="E4" s="20">
        <v>0</v>
      </c>
      <c r="F4" s="20">
        <v>287273</v>
      </c>
      <c r="G4" s="20">
        <v>0</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