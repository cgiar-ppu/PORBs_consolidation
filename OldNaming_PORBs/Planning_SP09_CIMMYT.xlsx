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3</v>
      </c>
      <c r="E5" s="5">
        <v>110000</v>
      </c>
      <c r="F5" s="2">
        <v>6</v>
      </c>
      <c r="G5" s="5">
        <v>150000</v>
      </c>
      <c r="H5" s="2">
        <v>2</v>
      </c>
      <c r="I5" s="5">
        <v>70000</v>
      </c>
      <c r="J5" s="5">
        <v>0</v>
      </c>
      <c r="K5" s="5">
        <v>0</v>
      </c>
      <c r="L5" s="5">
        <v>330000</v>
      </c>
      <c r="M5" s="5">
        <v>152320</v>
      </c>
    </row>
    <row r="6" ht="20" customHeight="1">
      <c r="A6" s="2" t="str">
        <v>AOW02: Grand Challenges and Scaling Flagships</v>
      </c>
      <c r="B6" s="2">
        <v>0</v>
      </c>
      <c r="C6" s="5">
        <v>0</v>
      </c>
      <c r="D6" s="2">
        <v>0</v>
      </c>
      <c r="E6" s="5">
        <v>0</v>
      </c>
      <c r="F6" s="2">
        <v>0</v>
      </c>
      <c r="G6" s="5">
        <v>0</v>
      </c>
      <c r="H6" s="2">
        <v>1560613</v>
      </c>
      <c r="I6" s="5">
        <v>1634971</v>
      </c>
      <c r="J6" s="5">
        <v>180000</v>
      </c>
      <c r="K6" s="5">
        <v>0</v>
      </c>
      <c r="L6" s="5">
        <v>1814971</v>
      </c>
      <c r="M6" s="5">
        <v>1269078</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4</v>
      </c>
      <c r="C8" s="5">
        <v>105977</v>
      </c>
      <c r="D8" s="2">
        <v>0</v>
      </c>
      <c r="E8" s="5">
        <v>0</v>
      </c>
      <c r="F8" s="2">
        <v>0</v>
      </c>
      <c r="G8" s="5">
        <v>0</v>
      </c>
      <c r="H8" s="2">
        <v>0</v>
      </c>
      <c r="I8" s="5">
        <v>0</v>
      </c>
      <c r="J8" s="5">
        <v>0</v>
      </c>
      <c r="K8" s="5">
        <v>0</v>
      </c>
      <c r="L8" s="5">
        <v>105977</v>
      </c>
      <c r="M8" s="5">
        <v>0</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4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Building on the 2025 policy inventory and analysis, the 2026 work integrates qualitative and participatory approaches into a coherent toolbox for identifying stakeholder demand across CGIAR impact areas and analyzing alignment, gaps, and opportunities between national policies and CGIAR research priorities. The framework will be applied and refined through country implementations and participatory agenda-setting processes in Bangladesh, Nepal, Colombia, Nigeria, and Ethiopia, enabling CGIAR Programs and partners to synthesize demand signals from public policies and national programs and co-design country-specific action points for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knowledge products</v>
      </c>
      <c r="E3" s="11" t="str">
        <v>Country: Nepal, Bangladesh</v>
      </c>
      <c r="F3" s="11">
        <v>1</v>
      </c>
      <c r="G3" s="11">
        <v>20000</v>
      </c>
      <c r="H3" s="11">
        <f>SUM(G3:G5)</f>
      </c>
      <c r="I3" s="11" t="str">
        <v>Strong cross-Center collaboration; ongoing support from national policy stakeholders; demand for the methodology within Programs and Accelerators.</v>
      </c>
    </row>
    <row r="4" ht="50" customHeight="1" xml:space="preserve">
      <c r="A4" s="11" t="str">
        <v>AOW01</v>
      </c>
      <c r="C4" s="11" t="str" xml:space="preserve">
        <v xml:space="preserve">A1P2.1: PoD name: Agrifood knowledge and innovation systems for demand-driven scaling (AKIS-DS). Lead Center: CIMMYT. PoD KPI: 1 – One finalized demand-driven roadmap developed, validated, and disseminated in Bangladesh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PoD Description: This package strengthens agrifood knowledge and innovation systems by generating and using socially inclusive evidence on stakeholder demand to guide research prioritization, scaling coordination, and policy alignment in Colombia, Nigeria, Kenya, and Bangladesh, with this deliverable focused on Bangladesh. By 2026, it will co-develop and validate a demand-driven roadmap that translates AKIS diagnostic insights into shared national priorities for research, policy, and investment, aligning Bangladesh’s agricultural innovation agenda with CGIAR’s portfolio and enhancing coordination among government, research, and private actors for adaptive, inclusive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D4" s="11" t="str">
        <v xml:space="preserve"> Other Output- Number of strategies.</v>
      </c>
      <c r="E4" s="11" t="str">
        <v>Country: Bangladesh</v>
      </c>
      <c r="F4" s="11">
        <v>1</v>
      </c>
      <c r="G4" s="11">
        <v>40000</v>
      </c>
      <c r="I4" s="11" t="str">
        <v>Continued political commitment to scaling and innovation system strengthening, active stakeholder engagement, and stable policy support for CGIAR collaboration.</v>
      </c>
    </row>
    <row r="5" ht="50" customHeight="1" xml:space="preserve">
      <c r="A5" s="11" t="str">
        <v>AOW01</v>
      </c>
      <c r="C5" s="11" t="str" xml:space="preserve">
        <v xml:space="preserve">A1P2.2: PoD name: Agrifood knowledge and innovation systems for demand-driven scaling (AKIS-DS). Lead Center: CIMMYT. PoD KPI: 1 – One finalized AKIS diagnostic methodology and report completed and disseminated in Bangladesh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Bangladesh. By 2026, it will design and implement a harmonized AKIS diagnostic methodology that integrates quantitative and qualitative tools from existing HLO 1.1a/1.1c work to assess the structure, function, capacity, and enabling environment of Bangladesh’s agrifood knowledge and innovation system. The diagnostic will identify actor needs, coordination gaps, institutional bottlenecks, and opportunities to improve governance, policy coherence, and demand-driven innovation, providing a foundation for adaptive management, targeted investment, and alignment of CGIAR’s portfolio with national priorities.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D5" s="11" t="str">
        <v>Number of knowledge products</v>
      </c>
      <c r="E5" s="11" t="str">
        <v>Country: Bangladesh</v>
      </c>
      <c r="F5" s="11">
        <v>1</v>
      </c>
      <c r="G5" s="11">
        <v>60000</v>
      </c>
      <c r="I5" s="11" t="str">
        <v>Assumptions: Stable political conditions, institutional support for AKIS diagnostics, and active collaboration with national and local stakeholders.</v>
      </c>
    </row>
    <row r="6" ht="50" customHeight="1" xml:space="preserve">
      <c r="A6" s="11" t="str">
        <v>AOW01</v>
      </c>
      <c r="B6" s="11" t="str">
        <v>HLO 1.1.2: Feedback and adaptive research and scaling prioritization</v>
      </c>
      <c r="C6" s="11" t="str" xml:space="preserve">
        <v xml:space="preserve">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engaged across participating CGIAR Programs of Center management Units. Indicator type: Capacity Sharing. Unit: Number of CGIAR programs or accelerators.
PoD Description: This package will develop and operationalize a stakeholder engagement and uptake strategy to ensure adaptive-learning tools—such as the Modular Adaptive Management Playbook and related systems—are meaningfully used across CGIAR programs and partner institutions. Using political-economy and behavioral-insight methods, the work will identify key decision-makers, map incentives, and co-design tailored engagement pathways and dialogues that embed feedback loops into portfolio learning cycles. By 2026, it will produce a Stakeholder Engagement and Uptake Playbook, influence analyses, and communication products, and support institutionalization of adaptive learning in priority CGIAR programs and national partners, with a focus on Africa and South Asia.   Accountable Center leading this PoD: CIMMYT. Anticipated partners: AfricaRice; IWMI; CGIAR Performance and Change Unit (PCU); Kenya Institute of Public Policy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people trained (capacity sharing for development)</v>
      </c>
      <c r="E6" s="11" t="str">
        <v>Global</v>
      </c>
      <c r="F6" s="11">
        <v>4</v>
      </c>
      <c r="G6" s="11">
        <v>100000</v>
      </c>
      <c r="H6" s="11">
        <f>SUM(G6:G6)</f>
      </c>
      <c r="I6" s="11" t="str">
        <v>Assumptions: Continued prioritization of adaptive learning under W1/2 portfolio governance and active participation of decision-makers.</v>
      </c>
    </row>
    <row r="7" ht="50" customHeight="1" xml:space="preserve">
      <c r="A7" s="11" t="str">
        <v>AOW01</v>
      </c>
      <c r="B7" s="11" t="str">
        <v>HLO 1.1.3: Enhance strategies and coordination</v>
      </c>
      <c r="C7" s="11" t="str" xml:space="preserve">
        <v xml:space="preserve">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Capacity Sharing. Unit: Number of workshops and reports.
PoD Description: This package strengthens CGIAR’s demand signaling capacity by developing and applying a standardized methodology that links national priorities with scaling for impact. Building on the 2025 policy inventory and analysis, the 2026 work under this deliverable focuses on Bangladesh, where the demand-signaling framework will be used to translate policy and institutional analysis into concrete, co-designed action agendas. Through a structured participatory workshop, CGIAR and national stakeholders will validate findings from policy and institutional assessments and jointly formulate a “Demand for Scaling” agenda that aligns CGIAR research and scaling pathways with Bangladesh’s priorities. This will enhance institutional learning, support adaptive management of CGIAR programs, and contribute to AoW1 HLO 1.1 on demand signaling and 2030 Outcome 1 on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and other national policy and research stakeholders engaged in agenda co-design.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people trained (capacity sharing for development)</v>
      </c>
      <c r="E7" s="11" t="str">
        <v>Country: Nepal, Bangladesh</v>
      </c>
      <c r="F7" s="11">
        <v>2</v>
      </c>
      <c r="G7" s="11">
        <v>50000</v>
      </c>
      <c r="H7" s="11">
        <f>SUM(G7:G9)</f>
      </c>
      <c r="I7" s="11" t="str">
        <v>Assumptions: Continued partner willingness to co-design agendas, stable political conditions, and availability of validated demand data from preceding diagnostics.</v>
      </c>
    </row>
    <row r="8" ht="50" customHeight="1" xml:space="preserve">
      <c r="A8" s="11" t="str">
        <v>AOW01</v>
      </c>
      <c r="C8" s="11" t="str" xml:space="preserve">
        <v xml:space="preserve">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developing and applying a standardized policy and institutional analysis methodology that links national priorities with scaling for impact. Building on the 2025 policy inventory and analysis, the 2026 work stream focuses in Bangladesh on applying the demand-signaling framework to assess alignment, gaps, and opportunities between national policies and CGIAR research and scaling priorities. The deliverable produces country policy and institutional analysis that synthesizes demand signals from public policies and national programs for research, investment, and scaling, and informs participatory agenda-setting processes with government and other stakeholders. This evidence base will help co-design actionable country agendas for adaptive scaling and improved policy alignment, directly contributing to AoW1 HLO 1.1 on demand signaling and to 2030 Outcome 1 on adaptive, demand-driven CGIAR research and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knowledge products</v>
      </c>
      <c r="E8" s="11" t="str">
        <v>Country: Bangladesh</v>
      </c>
      <c r="F8" s="11">
        <v>1</v>
      </c>
      <c r="G8" s="11">
        <v>30000</v>
      </c>
      <c r="I8" s="11" t="str">
        <v>Assumptions: Continued collaboration between CGIAR Centers, government, and private partners; availability of validated AKIS and roadmap data; stable institutional interest in adaptive learning and feedback processes.</v>
      </c>
    </row>
    <row r="9" ht="50" customHeight="1" xml:space="preserve">
      <c r="A9" s="11" t="str">
        <v>AOW01</v>
      </c>
      <c r="C9" s="11" t="str" xml:space="preserve">
        <v xml:space="preserve">A1P15.1: PoD name: Agrifood knowledge and innovation systems for demand-driven scaling (AKIS-DS). Lead Center: CIMMYT. PoD KPI: 1 – One finalized demand-driven scaling report completed and disseminated in Bangladesh by the end of 2026, accompanied by a validated communication strategy that integrates AKIS diagnostic and roadmap insights to guide demand-driven scaling of CGIAR-linked innovations. Suggested Disaggregation: Not applicable for this report-level KPI (number of reports and strategies rather than individual beneficiaries). Indicator type: Other Output. Unit: Number of reports.
PoD Description: The AKIS-DS package strengthens national agrifood innovation systems by generating robust, socially inclusive evidence on stakeholder needs and translating this evidence into demand-driven scaling guidance. Building on participatory diagnostics and engagement frameworks developed under S4I AoW1, this deliverable focuses on Bangladesh, where diagnostic and roadmap insights will be synthesized into a demand-driven scaling report and companion communication strategy. Co-designed with AKIS actors, these outputs will translate system-level evidence into actionable messages for research, policy, and investment, improving institutional learning, evidence-based coordination, and alignment of CGIAR’s portfolio with national priorities for climate-resilient, inclusive innovation at scale.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D9" s="11" t="str">
        <v xml:space="preserve"> Other Output</v>
      </c>
      <c r="E9" s="11" t="str">
        <v>Country: Bangladesh</v>
      </c>
      <c r="F9" s="11">
        <v>1</v>
      </c>
      <c r="G9" s="11">
        <v>30000</v>
      </c>
      <c r="I9" s="11" t="str">
        <v>Continued collaboration between CGIAR Centers, government, and private partners; availability of validated AKIS and roadmap data; stable institutional interest in adaptive learning and feedback processes.</v>
      </c>
    </row>
    <row r="10" ht="25" customHeight="1">
      <c r="B10" s="14" t="str">
        <v>HLO budget subtotal</v>
      </c>
      <c r="H10" s="15">
        <f>SUM(H3:H9)</f>
      </c>
    </row>
    <row r="11" ht="50" customHeight="1" xml:space="preserve">
      <c r="A11" s="13" t="str">
        <v>AOW02</v>
      </c>
      <c r="B11" s="11" t="str">
        <v>HLO 2.2.1: Access climate services and smart water management tools that improve adaptation decisions and resource efficiency.</v>
      </c>
      <c r="C11" s="11" t="str" xml:space="preserve">
        <v xml:space="preserve">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Number of individuals </v>
      </c>
      <c r="E11" s="11" t="str">
        <v>Country: Bangladesh</v>
      </c>
      <c r="F11" s="11">
        <v>1000000</v>
      </c>
      <c r="G11" s="11">
        <v>248424</v>
      </c>
      <c r="H11" s="11">
        <f>SUM(G11:G11)</f>
      </c>
      <c r="I11" s="11" t="str">
        <v>Assumption: Stable government commitment and strong public-private partnerships sustain Agvisely's institutionalization and user growth.</v>
      </c>
    </row>
    <row r="12" ht="50" customHeight="1" xml:space="preserve">
      <c r="A12" s="11" t="str">
        <v>AOW02</v>
      </c>
      <c r="B12" s="11" t="str">
        <v>HLO 2.2.2: Inclusive and efficient innovation delivery systems that support biodiverse, sustainable production, generate new jobs, and expand access for women, youth, and small and medium enterprises.</v>
      </c>
      <c r="C12" s="11" t="str" xml:space="preserve">
        <v xml:space="preserve">CRITICAL CAPABILITY: A2CIMMYT-CC-2.3. PoD name: Support to Hub-networks in South Asia. Lead Center: CIMMYT. PoD KPI: 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USD leveraged for scaling.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D12" s="11" t="str">
        <v>USD leveraged for scaling</v>
      </c>
      <c r="E12" s="11" t="str">
        <v>Country: Bangladesh, Nepal</v>
      </c>
      <c r="F12" s="11">
        <v>300000</v>
      </c>
      <c r="G12" s="11">
        <v>63190</v>
      </c>
      <c r="H12" s="11">
        <f>SUM(G12:G33)</f>
      </c>
      <c r="I12" s="11" t="str">
        <v>Financial Risk: Ongoing uncertainty in W1/W2 funding levels could delay platform integration and partnerships. Mitigation: Leverage AIM4Scale and bilateral co-financing to phase implementation and protect core integration activities;  Leverage co-financin</v>
      </c>
    </row>
    <row r="13" ht="50" customHeight="1" xml:space="preserve">
      <c r="A13" s="11" t="str">
        <v>AOW02</v>
      </c>
      <c r="C13" s="11" t="str" xml:space="preserve">
        <v xml:space="preserve">CRITICAL CAPABILITY: A2CIMMYT-CC-1.1. PoD name: Support to Long-term Network of Scaling Partnerships in Southern Africa. Lead Center: CIMMYT. PoD KPI: 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 Suggested Disaggregation: 500 women and youth (100%), 0 marginalized groups (0%), 0 other individuals (0%). Indicator type: Other Output. Unit: Number of jobs.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D13" s="11" t="str">
        <v xml:space="preserve"> Number of jobs</v>
      </c>
      <c r="E13" s="11" t="str">
        <v>Country: Zambia, Malawi</v>
      </c>
      <c r="F13" s="11">
        <v>500</v>
      </c>
      <c r="G13" s="11">
        <v>50000</v>
      </c>
      <c r="I13" s="11" t="str" xml:space="preserve">
        <v xml:space="preserve">Funding risk: Potential W1/W2 funding uncertainty may limit subgranting and the way we can engage with partnerships.  Mitigation: Leverage ongoing bilateral investments (e.g., SIFAZ, Ukama Ustawi). Financial and Institutional Risk: Private and Public sect
Allocation for Partner: 40K
Machinga ADD, TLC, CFU, ZARI, CAMCO, SARO, MoA, Growmore, ZANACO, AgLeaseCo, Kurima, Seed companies</v>
      </c>
    </row>
    <row r="14" ht="50" customHeight="1" xml:space="preserve">
      <c r="A14" s="11" t="str">
        <v>AOW02</v>
      </c>
      <c r="C14" s="11" t="str" xml:space="preserve">
        <v xml:space="preserve">CRITICAL CAPABILITY: A2CIMMYT-CC-1.2. PoD name: Support to Long-term Network of Scaling Partnerships in Southern Africa. Lead Center: CIMMYT. PoD KPI: 15,000 –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Other Output. Unit: Number of individuals.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D14" s="11" t="str">
        <v xml:space="preserve"> Number of individuals</v>
      </c>
      <c r="E14" s="11" t="str">
        <v>Country: Malawi, Zambia</v>
      </c>
      <c r="F14" s="11">
        <v>15000</v>
      </c>
      <c r="G14" s="11">
        <v>40000</v>
      </c>
      <c r="I14" s="11" t="str" xml:space="preserve">
        <v xml:space="preserve">Funding risk: Potential W1/W2 funding uncertainty may limit subgranting and the way we can engage with partnerships.  Mitigation: Leverage ongoing bilateral investments (e.g., SIFAZ, Ukama Ustawi). Financial and Institutional Risk: Private and Public sect
Allocation to Partner: 40K
Machinga ADD, TLC, CFU, ZARI, CAMCO, SARO, MoA, Growmore, ZANACO, AgLeaseCo, Kurima, Seed companies</v>
      </c>
    </row>
    <row r="15" ht="50" customHeight="1" xml:space="preserve">
      <c r="A15" s="11" t="str">
        <v>AOW02</v>
      </c>
      <c r="C15" s="11" t="str" xml:space="preserve">
        <v xml:space="preserve">CRITICAL CAPABILITY: A2CIMMYT-CC-1.3. PoD name: Support to Long-term Network of Scaling Partnerships in Southern Africa. Lead Center: CIMMYT. PoD KPI: USD 21,000 – Twenty-one thousand U.S. dollars leveraged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USD leveraged for scaling.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 </v>
      </c>
      <c r="D15" s="11" t="str">
        <v xml:space="preserve"> USD leveraged for scaling</v>
      </c>
      <c r="E15" s="11" t="str">
        <v>Country: Zambia, Malawi</v>
      </c>
      <c r="F15" s="11">
        <v>21000</v>
      </c>
      <c r="G15" s="11">
        <v>63191</v>
      </c>
      <c r="I15" s="11" t="str">
        <v>Funding risk: Potential W1/W2 funding uncertainty may limit subgranting and the way we can engage with partnerships.  Mitigation: Leverage ongoing bilateral investments (e.g., SIFAZ, Ukama Ustawi). Financial and Institutional Risk: Private and Public sect</v>
      </c>
    </row>
    <row r="16" ht="50" customHeight="1" xml:space="preserve">
      <c r="A16" s="11" t="str">
        <v>AOW02</v>
      </c>
      <c r="C16" s="11" t="str" xml:space="preserve">
        <v xml:space="preserve">CRITICAL CAPABILITY: A2CIMMYT-CC-2.1. PoD name: Support to Hub-networks in South Asia. Lead Center: CIMMYT. PoD KPI: 26,000 – Twenty-six thousand jobs created or improved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Other Output. Unit: Number of jobs.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D16" s="11" t="str">
        <v xml:space="preserve"> Number of jobs</v>
      </c>
      <c r="E16" s="11" t="str">
        <v>Country: Bangladesh, Nepal</v>
      </c>
      <c r="F16" s="11">
        <v>26000</v>
      </c>
      <c r="G16" s="11">
        <v>50000</v>
      </c>
      <c r="I16" s="11" t="str" xml:space="preserve">
        <v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40K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v>
      </c>
    </row>
    <row r="17" ht="50" customHeight="1" xml:space="preserve">
      <c r="A17" s="11" t="str">
        <v>AOW02</v>
      </c>
      <c r="C17" s="11" t="str" xml:space="preserve">
        <v xml:space="preserve">CRITICAL CAPABILITY: A2CIMMYT-CC-2.2. PoD name: Support to Hub-networks in South Asia. Lead Center: CIMMYT. PoD KPI: 865,600 –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Other Output. Unit: Number of individuals.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D17" s="11" t="str">
        <v xml:space="preserve"> Number of Individual</v>
      </c>
      <c r="E17" s="11" t="str">
        <v>Country: Bangladesh, Nepal</v>
      </c>
      <c r="F17" s="11">
        <v>865600</v>
      </c>
      <c r="G17" s="11">
        <v>20000</v>
      </c>
      <c r="I17" s="11" t="str" xml:space="preserve">
        <v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60K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v>
      </c>
    </row>
    <row r="18" ht="50" customHeight="1" xml:space="preserve">
      <c r="A18" s="11" t="str">
        <v>AOW02</v>
      </c>
      <c r="C18" s="11" t="str" xml:space="preserve">
        <v xml:space="preserve">A2P12.3: PoD name: Scaling Inclusive Rice Transplanting Mechanization Services in Bangladesh. Lead Center: CIMMYT. PoD KPI: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Other Output. Unit: Number of hectares.
PoD Description: This package accelerates the adoption of climate-smart and mechanized rice transplanting systems in Bangladesh by integrating rice transplanter services with women-led seedling enterprises. Through inclusive Machinery Service Providers (MSPs) and coordinated partnerships with government, private sector, and financial institutions, it aims to overcome labor shortages, reduce production costs, and enhance yield stability. By 2026, 6,000 hectares of rice cultivation will be under mechanized transplanting practices across 15–20 districts, benefiting approximately 10,000 smallholder farmers (at least 40% women and youth). The approach leverages strong policy alignment with the Government of Bangladesh’s mechanization strategy and co-investment from private firms to ensure scalability and sustainability.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 Other Output</v>
      </c>
      <c r="E18" s="11" t="str">
        <v>Country: Bangladesh</v>
      </c>
      <c r="F18" s="11">
        <v>6000</v>
      </c>
      <c r="G18" s="11">
        <v>118297</v>
      </c>
      <c r="I18" s="11" t="str">
        <v>Assumption: Stable policy support from GoB's mechanization strategy and continued private-sector interest in scaling mechanized transplanting services.</v>
      </c>
    </row>
    <row r="19" ht="50" customHeight="1" xml:space="preserve">
      <c r="A19" s="11" t="str">
        <v>AOW02</v>
      </c>
      <c r="C19" s="11" t="str" xml:space="preserve">
        <v xml:space="preserve">A2P12.2: PoD name: Scaling Inclusive Rice Transplanting Mechanization Services in Bangladesh. Lead Center: CIMMYT. PoD KPI: 20,000 – Twenty thousand smallholder farmers applying CGIAR-linked mechanized transplanting innovations by the end of 2026 across Bangladesh. Suggested Disaggregation: 8,000 women (40%), 2,000 marginalized groups (10%), and 10,000 men–youth (50%). Indicator type: Other Output. Unit: Number of individuals.
PoD Description: This package scales an inclusive mechanization model combining rice transplanter (RT) service provision with women-led seedling enterprises to reduce labor bottlenecks, cut production costs, and enhance climate resilience among smallholder farmers in Bangladesh. It promotes equitable access to mechanized rice transplanting through 900 MSPs and 600 women-led enterprises across 15–20 districts, directly benefiting 20,000 farmers (8,000 women and 12,000 men–youth). The initiative leverages strong government alignment with the mechanization strategy, private-sector engagement (ACI Motors, Metal Ltd.), and blended finance through banks and OEM partnerships to ensure sustainable scaling and inclusive rural employment.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v>
      </c>
      <c r="D19" s="11" t="str">
        <v xml:space="preserve"> Other Output</v>
      </c>
      <c r="E19" s="11" t="str">
        <v>Country: Bangladesh</v>
      </c>
      <c r="F19" s="11">
        <v>20000</v>
      </c>
      <c r="G19" s="11">
        <v>118297</v>
      </c>
      <c r="I19" s="11" t="str">
        <v>Assumption: Strong policy alignment and co-financing from GoB's mechanization strategy and private partners sustain expansion to new districts through 2027–2030.</v>
      </c>
    </row>
    <row r="20" ht="50" customHeight="1" xml:space="preserve">
      <c r="A20" s="11" t="str">
        <v>AOW02</v>
      </c>
      <c r="C20" s="11" t="str" xml:space="preserve">
        <v xml:space="preserve">A2P12.1: PoD name: Scaling Inclusive Rice Transplanting Mechanization Services in Bangladesh. Lead Center: CIMMYT. PoD KPI: 3,000 – Three thousand total jobs created or improved by the end of 2026 across Bangladesh through youth-led MSPs and women-led seedling enterprises. Suggested Disaggregation: 1,200 women (40%), 300 marginalized individuals (10%), and 1,500 men–youth (50%). Indicator type: Other Output. Unit: Number of jobs.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20 districts, generating employment and improving productivity through mechanized, climate-smart rice systems. It contributes to the Government of Bangladesh’s mechanization strategy and aligns with private-sector partnerships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v>
      </c>
      <c r="D20" s="11" t="str">
        <v xml:space="preserve"> Other Output</v>
      </c>
      <c r="E20" s="11" t="str">
        <v>Country: Bangladesh</v>
      </c>
      <c r="F20" s="11">
        <v>3000</v>
      </c>
      <c r="G20" s="11">
        <v>118297</v>
      </c>
      <c r="I20" s="11" t="str">
        <v>Assumption: Strong alignment with GoB's mechanization strategy and continued private-sector engagement to scale women- and youth-led agricultural enterprises.</v>
      </c>
    </row>
    <row r="21" ht="50" customHeight="1" xml:space="preserve">
      <c r="A21" s="11" t="str">
        <v>AOW02</v>
      </c>
      <c r="C21" s="11" t="str" xml:space="preserve">
        <v xml:space="preserve">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v>
      </c>
      <c r="D21" s="11" t="str">
        <v xml:space="preserve"> Other Output</v>
      </c>
      <c r="E21" s="11" t="str">
        <v>Country: Nepal</v>
      </c>
      <c r="F21" s="11">
        <v>65600</v>
      </c>
      <c r="G21" s="11">
        <v>133085</v>
      </c>
      <c r="I21" s="11" t="str">
        <v>Assumption: Continued government and donor support for Terai-focused climate-resilient agriculture.</v>
      </c>
    </row>
    <row r="22" ht="50" customHeight="1" xml:space="preserve">
      <c r="A22" s="11" t="str">
        <v>AOW02</v>
      </c>
      <c r="C22" s="11" t="str" xml:space="preserve">
        <v xml:space="preserve">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v>
      </c>
      <c r="D22" s="11" t="str">
        <v xml:space="preserve"> Other output</v>
      </c>
      <c r="E22" s="11" t="str">
        <v>Country: Nepal</v>
      </c>
      <c r="F22" s="11">
        <v>3780</v>
      </c>
      <c r="G22" s="11">
        <v>133085</v>
      </c>
      <c r="I22" s="11" t="str">
        <v xml:space="preserve">2,835 – Two thousand eight hundred thirty-five individuals applying CGIAR-linked innovations by the end of 2026 across Nepal’s Terai region. </v>
      </c>
    </row>
    <row r="23" ht="50" customHeight="1" xml:space="preserve">
      <c r="A23" s="11" t="str">
        <v>AOW02</v>
      </c>
      <c r="C23" s="11" t="str" xml:space="preserve">
        <v xml:space="preserve">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v>
      </c>
      <c r="D23" s="11" t="str">
        <v>Number of individuals</v>
      </c>
      <c r="E23" s="11" t="str">
        <v>Country: Gambia, Côte d'Ivoire, Cameroon, Nigeria</v>
      </c>
      <c r="F23" s="11">
        <v>200000</v>
      </c>
      <c r="G23" s="11">
        <v>29574</v>
      </c>
      <c r="I23" s="11" t="str" xml:space="preserve">
        <v xml:space="preserve">Assumption: Strong government policy backing through ECOWAS Rice Offensive and national programs in Nigeria and Côte d'Ivoire sustains co-investment and adoption momentum.
</v>
      </c>
    </row>
    <row r="24" ht="50" customHeight="1" xml:space="preserve">
      <c r="A24" s="11" t="str">
        <v>AOW02</v>
      </c>
      <c r="C24" s="11" t="str">
        <v>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v>
      </c>
      <c r="D24" s="11" t="str">
        <v xml:space="preserve">Number of jobs </v>
      </c>
      <c r="E24" s="11" t="str">
        <v>Country: Nigeria, Gambia, Côte d'Ivoire, Cameroon</v>
      </c>
      <c r="F24" s="11">
        <v>12500</v>
      </c>
      <c r="G24" s="11">
        <v>29574</v>
      </c>
      <c r="I24" s="11" t="str" xml:space="preserve">
        <v xml:space="preserve">Assumption: Governments of Côte d'Ivoire and Nigeria maintain strong policy support for rice value chain investment and employment generation.
</v>
      </c>
    </row>
    <row r="25" ht="50" customHeight="1" xml:space="preserve">
      <c r="A25" s="11" t="str">
        <v>AOW02</v>
      </c>
      <c r="C25" s="11" t="str" xml:space="preserve">
        <v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v>
      </c>
      <c r="D25" s="11" t="str">
        <v>Other Output</v>
      </c>
      <c r="E25" s="11" t="str">
        <v>Country: Nigeria, Cameroon, Côte d'Ivoire, Gambia</v>
      </c>
      <c r="F25" s="11">
        <v>75000</v>
      </c>
      <c r="G25" s="11">
        <v>29574</v>
      </c>
      <c r="I25" s="11" t="str" xml:space="preserve">
        <v xml:space="preserve">Assumption: Governments of Côte d'Ivoire and Nigeria maintain active support for rice value chain investments and PPP-based scaling.
</v>
      </c>
    </row>
    <row r="26" ht="50" customHeight="1" xml:space="preserve">
      <c r="A26" s="11" t="str">
        <v>AOW02</v>
      </c>
      <c r="C26" s="11" t="str" xml:space="preserve">
        <v xml:space="preserve">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26" s="11" t="str">
        <v xml:space="preserve">Number of hectares </v>
      </c>
      <c r="E26" s="11" t="str">
        <v>Country: India</v>
      </c>
      <c r="F26" s="11">
        <v>10000</v>
      </c>
      <c r="G26" s="11">
        <v>22181</v>
      </c>
      <c r="I26" s="11" t="str" xml:space="preserve">
        <v xml:space="preserve">Assumption: Continued policy commitment and co-financing from the Government of India and private partners to expand mechanized, low-emission rice–wheat systems.
</v>
      </c>
    </row>
    <row r="27" ht="50" customHeight="1" xml:space="preserve">
      <c r="A27" s="11" t="str">
        <v>AOW02</v>
      </c>
      <c r="C27" s="11" t="str" xml:space="preserve">
        <v xml:space="preserve">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v>
      </c>
      <c r="D27" s="11" t="str">
        <v>Number of jobs</v>
      </c>
      <c r="E27" s="11" t="str">
        <v>Country: Malawi, Zambia</v>
      </c>
      <c r="F27" s="11">
        <v>500</v>
      </c>
      <c r="G27" s="11">
        <v>68248</v>
      </c>
      <c r="I27" s="11" t="str">
        <v>Assumption: Continued demand from governments and private sector for inclusive mechanization business models that create rural employment and improve productivity.</v>
      </c>
    </row>
    <row r="28" ht="50" customHeight="1" xml:space="preserve">
      <c r="A28" s="11" t="str">
        <v>AOW02</v>
      </c>
      <c r="C28" s="11" t="str" xml:space="preserve">
        <v xml:space="preserve">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v>
      </c>
      <c r="D28" s="11" t="str">
        <v>Number of Jobs</v>
      </c>
      <c r="E28" s="11" t="str">
        <v>Country: India</v>
      </c>
      <c r="F28" s="11">
        <v>1330</v>
      </c>
      <c r="G28" s="11">
        <v>22181</v>
      </c>
      <c r="I28" s="11" t="str" xml:space="preserve">
        <v xml:space="preserve">Assumption: Continued commitment from state governments, World Bank project partners, and private sector to promote mechanization-led climate-smart agriculture.
</v>
      </c>
    </row>
    <row r="29" ht="50" customHeight="1" xml:space="preserve">
      <c r="A29" s="11" t="str">
        <v>AOW02</v>
      </c>
      <c r="C29" s="11" t="str" xml:space="preserve">
        <v xml:space="preserve">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29" s="11" t="str">
        <v>Number of individuals</v>
      </c>
      <c r="E29" s="11" t="str">
        <v>Country: India</v>
      </c>
      <c r="F29" s="11">
        <v>3333</v>
      </c>
      <c r="G29" s="11">
        <v>22181</v>
      </c>
      <c r="I29" s="11" t="str" xml:space="preserve">
        <v xml:space="preserve">Assumption: Continued state government commitment, partner co-financing, and private-sector engagement for scaling climate-smart mechanization.
</v>
      </c>
    </row>
    <row r="30" ht="50" customHeight="1" xml:space="preserve">
      <c r="A30" s="11" t="str">
        <v>AOW02</v>
      </c>
      <c r="C30" s="11" t="str" xml:space="preserve">
        <v xml:space="preserve">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30" s="11" t="str">
        <v>Number of Jobs</v>
      </c>
      <c r="E30" s="11" t="str">
        <v>Country: India</v>
      </c>
      <c r="F30" s="11">
        <v>1350</v>
      </c>
      <c r="G30" s="11">
        <v>22181</v>
      </c>
      <c r="I30" s="11" t="str" xml:space="preserve">
        <v xml:space="preserve">Assumption: Sustained government and private-sector commitment to mechanization-based climate-smart agriculture and continued co-financing for service expansion.
</v>
      </c>
    </row>
    <row r="31" ht="50" customHeight="1" xml:space="preserve">
      <c r="A31" s="11" t="str">
        <v>AOW02</v>
      </c>
      <c r="C31" s="11" t="str" xml:space="preserve">
        <v xml:space="preserve">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v>
      </c>
      <c r="D31" s="11" t="str">
        <v xml:space="preserve">Number of farmers </v>
      </c>
      <c r="E31" s="11" t="str">
        <v>Country: Malawi, Zambia</v>
      </c>
      <c r="F31" s="11">
        <v>15000</v>
      </c>
      <c r="G31" s="11">
        <v>61423</v>
      </c>
      <c r="I31" s="11" t="str">
        <v>Assumes continued policy alignment and market interest in private-sector-led mechanization for smallholder systems.</v>
      </c>
    </row>
    <row r="32" ht="50" customHeight="1" xml:space="preserve">
      <c r="A32" s="11" t="str">
        <v>AOW02</v>
      </c>
      <c r="C32" s="11" t="str" xml:space="preserve">
        <v xml:space="preserve">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v>
      </c>
      <c r="D32" s="11" t="str">
        <v>Amount in USD</v>
      </c>
      <c r="E32" s="11" t="str">
        <v>Country: Malawi, Zambia</v>
      </c>
      <c r="F32" s="11">
        <v>30000</v>
      </c>
      <c r="G32" s="11">
        <v>34124</v>
      </c>
      <c r="I32" s="11" t="str">
        <v>Assumes consistent government and private-sector demand for mechanization finance to support youth and women entrepreneurs.</v>
      </c>
    </row>
    <row r="33" ht="50" customHeight="1" xml:space="preserve">
      <c r="A33" s="11" t="str">
        <v>AOW02</v>
      </c>
      <c r="C33" s="11" t="str" xml:space="preserve">
        <v xml:space="preserve">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v>
      </c>
      <c r="D33" s="11" t="str">
        <v>Number of policy/market intervention</v>
      </c>
      <c r="E33" s="11" t="str">
        <v>Country: Malawi, Zambia</v>
      </c>
      <c r="F33" s="11">
        <v>1</v>
      </c>
      <c r="G33" s="11">
        <v>13650</v>
      </c>
      <c r="I33" s="11" t="str">
        <v>Assumption: Continued government and donor commitment to mechanization as a lever for climate-smart agricultural transformation and youth employment.</v>
      </c>
    </row>
    <row r="34" ht="50" customHeight="1" xml:space="preserve">
      <c r="A34" s="11" t="str">
        <v>AOW02</v>
      </c>
      <c r="B34" s="11" t="str">
        <v>HLO 2.2.3: Nutrition-smart crop and livestock systems and inclusive food markets, with increased jobs, improved livelihoods, and enhanced access for women and youth to diverse, safe, and affordable diets.</v>
      </c>
      <c r="C34" s="11" t="str" xml:space="preserve">
        <v xml:space="preserve">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v>
      </c>
      <c r="D34" s="11" t="str">
        <v>Number of hectares</v>
      </c>
      <c r="E34" s="11" t="str">
        <v>Country: Malawi, Zambia</v>
      </c>
      <c r="F34" s="11">
        <v>9000</v>
      </c>
      <c r="G34" s="11">
        <v>36856</v>
      </c>
      <c r="H34" s="11">
        <f>SUM(G34:G36)</f>
      </c>
      <c r="I34" s="11" t="str">
        <v>Institutional fragmentation among finance, extension, and private actors could delay coordination; mitigation: formalize multi-stakeholder engagement through the Ministry of Agriculture's mechanization platform.</v>
      </c>
    </row>
    <row r="35" ht="50" customHeight="1" xml:space="preserve">
      <c r="A35" s="11" t="str">
        <v>AOW02</v>
      </c>
      <c r="C35" s="11" t="str" xml:space="preserve">
        <v xml:space="preserve">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v>
      </c>
      <c r="D35" s="11" t="str">
        <v>Number of individuals</v>
      </c>
      <c r="E35" s="11" t="str">
        <v>Country: Malawi, Zambia</v>
      </c>
      <c r="F35" s="11">
        <v>10000</v>
      </c>
      <c r="G35" s="11">
        <v>34124</v>
      </c>
      <c r="I35" s="11" t="str" xml:space="preserve">
        <v xml:space="preserve">Extension networks and local service centers will reduce logistics barriers, while adaptive coordination through Zambia's mechanization platform ensures regulatory alignment and partner accountability.
2026 Target"</v>
      </c>
    </row>
    <row r="36" ht="50" customHeight="1" xml:space="preserve">
      <c r="A36" s="11" t="str">
        <v>AOW02</v>
      </c>
      <c r="C36" s="11" t="str" xml:space="preserve">
        <v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v>
      </c>
      <c r="D36" s="11" t="str">
        <v>Number of smallholder farmers</v>
      </c>
      <c r="E36" s="11" t="str">
        <v>Country: Ethiopia, Zambia</v>
      </c>
      <c r="F36" s="11">
        <v>53234</v>
      </c>
      <c r="G36" s="11">
        <v>53234</v>
      </c>
      <c r="I36" s="11" t="str" xml:space="preserve">
        <v xml:space="preserve">Assumption: Continued government prioritization of livestock feed systems and stable policy support for private-sector engagement in forage markets.
</v>
      </c>
    </row>
    <row r="37" ht="25" customHeight="1">
      <c r="B37" s="15" t="str">
        <v>HLO budget subtotal</v>
      </c>
      <c r="H37" s="15">
        <f>SUM(H11:H36)</f>
      </c>
    </row>
    <row r="38" ht="50" customHeight="1" xml:space="preserve">
      <c r="A38" s="13" t="str">
        <v>AOW04</v>
      </c>
      <c r="B38" s="11" t="str">
        <v>HLO 4.4.1: CGIAR Expertise and Solutions Embedded in Development Investments and Partnerships</v>
      </c>
      <c r="C38" s="11" t="str" xml:space="preserve">
        <v xml:space="preserve">A4P7.2: PoD name: ISDB MENA AIM 4 SCALE Innovation Clearinghouse Lead Center: CIMMYT, PoD KPI: 2 – Two validated innovation packages completed and ready for piloting and integration into IsDB agricultural investments in Bangladesh, Egypt, and Morocco, embedding cost-effectiveness, ROI, and resilience metrics to strengthen science-based scaling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addressing food security and climate resilience by bridging the gap between research outcomes and implementation in government-led programs.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38" s="11" t="str">
        <v>Number of innovations (innovation development)</v>
      </c>
      <c r="E38" s="11" t="str">
        <v>Country: Morocco, Egypt, Bangladesh</v>
      </c>
      <c r="F38" s="11">
        <v>2</v>
      </c>
      <c r="G38" s="11">
        <v>52988.5</v>
      </c>
      <c r="H38" s="11">
        <f>SUM(G38:G39)</f>
      </c>
      <c r="I38" s="11" t="str">
        <v>Assumptions: IsDB remains committed to institutionalizing the CGIAR–IsDB Clearinghouse partnership; ICARDA, CIMMYT, and IWMI maintain strong technical coordination; and Bangladesh, Egypt, and Morocco governments actively support innovation integration wit</v>
      </c>
    </row>
    <row r="39" ht="50" customHeight="1" xml:space="preserve">
      <c r="A39" s="11" t="str">
        <v>AOW04</v>
      </c>
      <c r="C39" s="11" t="str" xml:space="preserve">
        <v xml:space="preserve">A4P7.3: PoD name: ISDB MENA AIM 4 SCALE Innovation Clearinghouse Lead Center: CIMMYT, PoD KPI: 2 – Two validated innovation packages co-developed with IsDB and national counterparts in Bangladesh, Egypt, and Morocco, ready for integration into IsDB-financed agricultural investment projects to strengthen scaling through evidence-based design and performance metrics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bridging the gap between research outcomes and implementation in government-led programs to enhance food security and climate resilience.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v>
      </c>
      <c r="D39" s="11" t="str">
        <v>Number of innovations (innovation development)</v>
      </c>
      <c r="E39" s="11" t="str">
        <v>Country: Egypt, Morocco, Bangladesh</v>
      </c>
      <c r="F39" s="11">
        <v>2</v>
      </c>
      <c r="G39" s="11">
        <v>52988.5</v>
      </c>
      <c r="I39" s="11" t="str">
        <v>Continued demand from IsDB to align its agricultural investment programs with CGIAR innovations; strong collaboration between CIMMYT, IWMI, and ICARDA on diagnostics and packaging; and government support in Bangladesh, Egypt, and Morocco to co-develop and</v>
      </c>
    </row>
    <row r="40" ht="25" customHeight="1">
      <c r="B40" s="15" t="str">
        <v>HLO budget subtotal</v>
      </c>
      <c r="H40" s="15">
        <f>SUM(H38:H39)</f>
      </c>
    </row>
  </sheetData>
  <mergeCells count="21">
    <mergeCell ref="A1:A2"/>
    <mergeCell ref="B1:B2"/>
    <mergeCell ref="C1:G1"/>
    <mergeCell ref="H1:H2"/>
    <mergeCell ref="I1:I2"/>
    <mergeCell ref="B3:B5"/>
    <mergeCell ref="H3:H5"/>
    <mergeCell ref="B7:B9"/>
    <mergeCell ref="H7:H9"/>
    <mergeCell ref="B10:G10"/>
    <mergeCell ref="A3:A10"/>
    <mergeCell ref="B12:B33"/>
    <mergeCell ref="H12:H33"/>
    <mergeCell ref="B34:B36"/>
    <mergeCell ref="H34:H36"/>
    <mergeCell ref="B37:G37"/>
    <mergeCell ref="A11:A37"/>
    <mergeCell ref="B38:B39"/>
    <mergeCell ref="H38:H39"/>
    <mergeCell ref="B40:G40"/>
    <mergeCell ref="A38:A40"/>
  </mergeCells>
  <ignoredErrors>
    <ignoredError numberStoredAsText="1" sqref="A1:I40"/>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Bangladesh,Malawi,Nepal,Zambia,Zimbabwe</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Bangladesh,Malawi,Nepal,Zambia,Zimbabwe</v>
      </c>
      <c r="E4" s="11">
        <v>180000</v>
      </c>
      <c r="F4" s="11" t="str" xml:space="preserve">
        <v xml:space="preserve">Placeholder budget for the following partners ; 
Africa: Machinga ADD, TLC, CFU, ZARI, CAMCO, SARO, MoA, Growmore, ZANACO, AgLeaseCo, Kurima, Seed companies
ASIA: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Bangladesh,Malawi,Nepal,Zambia,Zimbabwe</v>
      </c>
      <c r="E6" s="11">
        <v>0</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Bangladesh,Malawi,Nepal,Zambia,Zimbabwe</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Bangladesh,Malawi,Nepal,Zambia,Zimbabwe</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V0165-ACIAR-ICCCAD</v>
      </c>
      <c r="B2" s="19" t="str">
        <v>AOW01</v>
      </c>
      <c r="C2" s="18" t="str">
        <v>HLO 1.1.2: Feedback and adaptive research and scaling prioritization</v>
      </c>
      <c r="D2" s="19">
        <v>152320</v>
      </c>
      <c r="E2" s="19" t="str">
        <f>=SUM(D2:D2)</f>
        <v>0</v>
      </c>
      <c r="F2" s="19" t="str">
        <v>V0165-ACIAR-ICCCAD: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V0146-AID-I : Southern Africa</v>
      </c>
      <c r="B3" s="19" t="str">
        <v>AOW02</v>
      </c>
      <c r="C3" s="18" t="str">
        <v>HLO 2.2.1: Access climate services and smart water management tools that improve adaptation decisions and resource efficiency.</v>
      </c>
      <c r="D3" s="19">
        <v>0</v>
      </c>
      <c r="E3" s="19" t="str">
        <f>=SUM(D3:D3)</f>
        <v>0</v>
      </c>
    </row>
    <row r="4" ht="30" customHeight="1">
      <c r="A4" s="18" t="str">
        <v>V0145-Sustainable AgriFood Systems Approach for Sudan - SA</v>
      </c>
      <c r="B4" s="19" t="str">
        <v>AOW02</v>
      </c>
      <c r="C4" s="18" t="str">
        <v>HLO 2.2.1: Access climate services and smart water management tools that improve adaptation decisions and resource efficiency.</v>
      </c>
      <c r="D4" s="19">
        <v>0</v>
      </c>
      <c r="E4" s="19" t="str">
        <f>=SUM(D4:D4)</f>
        <v>0</v>
      </c>
    </row>
    <row r="5" ht="30" customHeight="1" xml:space="preserve">
      <c r="A5" s="18" t="str">
        <v>C0042 USAID-CSISA-MEA</v>
      </c>
      <c r="B5" s="19" t="str">
        <v>AOW02</v>
      </c>
      <c r="C5" s="18" t="str">
        <v>HLO 2.2.1: Access climate services and smart water management tools that improve adaptation decisions and resource efficiency.</v>
      </c>
      <c r="D5" s="19">
        <v>975502</v>
      </c>
      <c r="E5" s="19" t="str">
        <f>=SUM(D5:D5)</f>
        <v>0</v>
      </c>
      <c r="F5" s="19" t="str" xml:space="preserve">
        <v xml:space="preserve">C0042 USAID-CSISA-MEA: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6" ht="30" customHeight="1" xml:space="preserve">
      <c r="A6" s="18" t="str">
        <v>V0156-Wheat Disease Early Warning Advisory System (Wheat D</v>
      </c>
      <c r="B6" s="19" t="str">
        <v>AOW02</v>
      </c>
      <c r="C6" s="18" t="str">
        <v>HLO 2.2.1: Access climate services and smart water management tools that improve adaptation decisions and resource efficiency.</v>
      </c>
      <c r="D6" s="19">
        <v>293576</v>
      </c>
      <c r="E6" s="19" t="str">
        <f>=SUM(D6:D6)</f>
        <v>0</v>
      </c>
      <c r="F6" s="19" t="str" xml:space="preserve">
        <v xml:space="preserve">V0156-Wheat Disease Early Warning Advisory System (Wheat 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
</v>
      </c>
    </row>
    <row r="7" ht="30" customHeight="1">
      <c r="A7" s="3" t="str">
        <v>W3/Bilateral projects subtotal</v>
      </c>
      <c r="E7" s="3">
        <f>SUM(E2:E6)</f>
      </c>
    </row>
  </sheetData>
  <mergeCells count="1">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Closing the Adaptation Gap in agriculture: Scaling Agvisely Climate Services to Build Resilient Farming Systems in Bangladesh package of deliverables in Area of Work 2.</v>
      </c>
      <c r="B2" s="19" t="str">
        <v>AOW02</v>
      </c>
      <c r="C2" s="18" t="str">
        <v>HLO 2.2.1: Access climate services and smart water management tools that improve adaptation decisions and resource efficiency.</v>
      </c>
      <c r="D2" s="19">
        <v>0</v>
      </c>
      <c r="E2" s="19" t="str">
        <f>=SUM(D2:D2)</f>
        <v>0</v>
      </c>
    </row>
    <row r="3" ht="30" customHeight="1">
      <c r="A3" s="18" t="str">
        <v>This MELIA study will support dynamic learning and adaptive evaluation of the progress towards targeted deliverables and inform improvements in implementation from learning in the Market led partnerships for resilient agri-food systems in Terai region of Nepal   package of deliverables in Area of Work 2.</v>
      </c>
      <c r="B3" s="19" t="str">
        <v>AOW02</v>
      </c>
      <c r="C3" s="18" t="str">
        <v>HLO 2.2.3: Nutrition-smart crop and livestock systems and inclusive food markets, with increased jobs, improved livelihoods, and enhanced access for women and youth to diverse, safe, and affordable diets.</v>
      </c>
      <c r="D3" s="19">
        <v>0</v>
      </c>
      <c r="E3" s="19" t="str">
        <f>=SUM(D3:D3)</f>
        <v>0</v>
      </c>
    </row>
    <row r="4" ht="30" customHeight="1">
      <c r="A4" s="18" t="str">
        <v>This MELIA study will support dynamic learning and adaptive evaluation of the progress towards targeted deliverables and inform improvements in implementation from learning in the Scaling Inclusive Mechanization through Rural Entrepreneurship and Financial Innovation package of deliverables in Area of Work 2.</v>
      </c>
      <c r="B4" s="19" t="str">
        <v>AOW02</v>
      </c>
      <c r="C4" s="18" t="str">
        <v>HLO 2.2.2: Inclusive and efficient innovation delivery systems that support biodiverse, sustainable production, generate new jobs, and expand access for women, youth, and small and medium enterprises.</v>
      </c>
      <c r="D4" s="19">
        <v>0</v>
      </c>
      <c r="E4" s="19" t="str">
        <f>=SUM(D4:D4)</f>
        <v>0</v>
      </c>
    </row>
    <row r="5" ht="30" customHeight="1">
      <c r="A5" s="18" t="str">
        <v>This MELIA study will support dynamic learning and adaptive evaluation of the progress towards targeted deliverables and inform improvements in implementation from learning in the Scaling Inclusive Rice Transplanting Mechanization Services in Bangladesh package of deliverables in Area of Work 2.</v>
      </c>
      <c r="B5" s="19" t="str">
        <v>AOW02</v>
      </c>
      <c r="C5" s="18" t="str">
        <v>HLO 2.2.2: Inclusive and efficient innovation delivery systems that support biodiverse, sustainable production, generate new jobs, and expand access for women, youth, and small and medium enterprises.</v>
      </c>
      <c r="D5" s="19">
        <v>0</v>
      </c>
      <c r="E5" s="19" t="str">
        <f>=SUM(D5:D5)</f>
        <v>0</v>
      </c>
    </row>
    <row r="6" ht="30" customHeight="1">
      <c r="A6" s="3" t="str">
        <v>MELIA Studies Budget subtotal</v>
      </c>
      <c r="E6" s="3">
        <f>SUM(E2:E5)</f>
      </c>
    </row>
  </sheetData>
  <mergeCells count="1">
    <mergeCell ref="A6:D6"/>
  </mergeCells>
  <ignoredErrors>
    <ignoredError numberStoredAsText="1" sqref="A1:F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180000</v>
      </c>
      <c r="E2" s="20">
        <v>0</v>
      </c>
      <c r="F2" s="20">
        <v>0</v>
      </c>
      <c r="G2" s="20">
        <v>0</v>
      </c>
      <c r="H2" s="20" t="str">
        <f>=SUM(B2:G2)</f>
        <v>0</v>
      </c>
    </row>
    <row r="3" ht="20" customHeight="1">
      <c r="A3" s="20" t="str">
        <v>Operations (supplies, consultants, travels, workshops, other)</v>
      </c>
      <c r="B3" s="20">
        <v>150000</v>
      </c>
      <c r="C3" s="20">
        <v>99000</v>
      </c>
      <c r="D3" s="20">
        <v>520962</v>
      </c>
      <c r="E3" s="20">
        <v>0</v>
      </c>
      <c r="F3" s="20">
        <v>31793</v>
      </c>
      <c r="G3" s="20">
        <v>0</v>
      </c>
      <c r="H3" s="20" t="str">
        <f>=SUM(B3:G3)</f>
        <v>0</v>
      </c>
    </row>
    <row r="4" ht="20" customHeight="1">
      <c r="A4" s="20" t="str">
        <v>Staffing, Chargebacks and Indirect</v>
      </c>
      <c r="B4" s="20">
        <v>110000</v>
      </c>
      <c r="C4" s="20">
        <v>231000</v>
      </c>
      <c r="D4" s="20">
        <v>1114009</v>
      </c>
      <c r="E4" s="20">
        <v>0</v>
      </c>
      <c r="F4" s="20">
        <v>74184</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