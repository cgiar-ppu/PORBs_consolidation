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 xml:space="preserve">AOW01: Prioritization and Coordination of Climate Action </v>
      </c>
      <c r="B5" s="2">
        <v>11</v>
      </c>
      <c r="C5" s="5">
        <v>78207</v>
      </c>
      <c r="D5" s="2">
        <v>29</v>
      </c>
      <c r="E5" s="5">
        <v>81747</v>
      </c>
      <c r="F5" s="2">
        <v>0</v>
      </c>
      <c r="G5" s="5">
        <v>0</v>
      </c>
      <c r="H5" s="2">
        <v>2</v>
      </c>
      <c r="I5" s="5">
        <v>21979</v>
      </c>
      <c r="J5" s="5">
        <v>20000</v>
      </c>
      <c r="K5" s="5">
        <v>0</v>
      </c>
      <c r="L5" s="5">
        <v>201933</v>
      </c>
      <c r="M5" s="5">
        <v>0</v>
      </c>
    </row>
    <row r="6" ht="20" customHeight="1">
      <c r="A6" s="2" t="str">
        <v xml:space="preserve">AOW02: Digital Advisories and Climate Risk Management  </v>
      </c>
      <c r="B6" s="2">
        <v>6</v>
      </c>
      <c r="C6" s="5">
        <v>62832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62832</v>
      </c>
      <c r="M6" s="5">
        <v>0</v>
      </c>
    </row>
    <row r="7" ht="20" customHeight="1">
      <c r="A7" s="2" t="str">
        <v xml:space="preserve">AOW03: Locally-led Adaptation  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 xml:space="preserve">AOW04: Low-emission Transitions  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 xml:space="preserve">AOW05: Finance and Policy for Scaling Solutions 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 xml:space="preserve">
      <c r="A2" s="10" t="str">
        <v>AOW00</v>
      </c>
      <c r="B2" s="11" t="str" xml:space="preserve">
        <v xml:space="preserve">Innovation Fund
</v>
      </c>
      <c r="C2" s="11" t="str" xml:space="preserve">
        <v xml:space="preserve">Costs for Climate Action Innovation Fund
</v>
      </c>
      <c r="D2" s="11">
        <v>0</v>
      </c>
    </row>
    <row r="3" ht="45" customHeight="1">
      <c r="A3" s="11" t="str">
        <v>AOW00</v>
      </c>
      <c r="B3" s="11" t="str">
        <v>Portfolio-level Financing Support</v>
      </c>
      <c r="C3" s="11" t="str">
        <v>Funding for Portfolio-level Finance support</v>
      </c>
      <c r="D3" s="11">
        <v>0</v>
      </c>
    </row>
    <row r="4" ht="45" customHeight="1" xml:space="preserve">
      <c r="A4" s="11" t="str">
        <v>AOW00</v>
      </c>
      <c r="B4" s="11" t="str" xml:space="preserve">
        <v xml:space="preserve">Program Director and Associated Costs 
</v>
      </c>
      <c r="C4" s="11" t="str" xml:space="preserve">
        <v xml:space="preserve">Global HR, Travel, Meetings, workshops, consultants, and other Miscellaneous Costs for the Program Director
</v>
      </c>
      <c r="D4" s="11">
        <v>0</v>
      </c>
    </row>
    <row r="5" ht="45" customHeight="1" xml:space="preserve">
      <c r="A5" s="11" t="str">
        <v>AOW00</v>
      </c>
      <c r="B5" s="11" t="str" xml:space="preserve">
        <v xml:space="preserve">AoW Leadership and PMU Costs
</v>
      </c>
      <c r="C5" s="11" t="str" xml:space="preserve">
        <v xml:space="preserve">Global HR, Travel, Meetings, workshops, and other Miscellaneous Costs for the AoW Leads and PMU staff
</v>
      </c>
      <c r="D5" s="11">
        <v>0</v>
      </c>
    </row>
    <row r="6" ht="45" customHeight="1" xml:space="preserve">
      <c r="A6" s="11" t="str">
        <v>AOW00</v>
      </c>
      <c r="B6" s="11" t="str" xml:space="preserve">
        <v xml:space="preserve">Consolidating CGIAR's climate offer
</v>
      </c>
      <c r="C6" s="11" t="str">
        <v>Funding for Climate Hub packages of deliverables to be allocated to relevant Centers on defining the evidence-base for CGIAR's climate activities. These funds will be allocated to AoW1 in Q1 2026.</v>
      </c>
      <c r="D6" s="11">
        <v>0</v>
      </c>
    </row>
    <row r="7" ht="45" customHeight="1" xml:space="preserve">
      <c r="A7" s="11" t="str">
        <v>AOW00</v>
      </c>
      <c r="B7" s="11" t="str" xml:space="preserve">
        <v xml:space="preserve">Program Director Discretionary Fund 
</v>
      </c>
      <c r="C7" s="11" t="str" xml:space="preserve">
        <v xml:space="preserve">Funds accessible to the Director for emerging opportunities, gaps, and other strategic interventions.
</v>
      </c>
      <c r="D7" s="11">
        <v>0</v>
      </c>
    </row>
    <row r="8" ht="45" customHeight="1" xml:space="preserve">
      <c r="A8" s="11" t="str">
        <v>AOW00</v>
      </c>
      <c r="B8" s="11" t="str" xml:space="preserve">
        <v xml:space="preserve">Gender Focal Point and targeted research
</v>
      </c>
      <c r="C8" s="11" t="str" xml:space="preserve">
        <v xml:space="preserve">Costs for Gender Focal Point and targeted Gender research activities.
</v>
      </c>
      <c r="D8" s="11">
        <v>0</v>
      </c>
    </row>
  </sheetData>
  <mergeCells count="1">
    <mergeCell ref="A2:A8"/>
  </mergeCells>
  <ignoredErrors>
    <ignoredError numberStoredAsText="1" sqref="A1:E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1.1.2. Frameworks, strategies and tools for vulnerability root causes, climate justice pathways</v>
      </c>
      <c r="C3" s="11" t="str">
        <v>Number of frameworks/strategies/tools developed and shared</v>
      </c>
      <c r="D3" s="11" t="str">
        <v>Number of innovations (innovation development)</v>
      </c>
      <c r="E3" s="11" t="str">
        <v>Global</v>
      </c>
      <c r="F3" s="11">
        <v>2</v>
      </c>
      <c r="G3" s="11">
        <v>33027</v>
      </c>
      <c r="H3" s="11">
        <f>SUM(G3:G3)</f>
      </c>
      <c r="I3" s="11" t="str">
        <v>Targets are the same as CIAT's PORB. CA42_Alliance of Bioversity International and CIAT - Assumes 50% of personnel costs are assigned to HLO 1.2 and the other 50% to HLO 1.3. Assumes 20,000 allocated to partners.</v>
      </c>
    </row>
    <row r="4" ht="50" customHeight="1">
      <c r="A4" s="11" t="str">
        <v>AOW01</v>
      </c>
      <c r="B4" s="11" t="str">
        <v>1.1.3 &amp; 1.3.2 Harmonized data, simulations, insights and decision support tools</v>
      </c>
      <c r="C4" s="11" t="str">
        <v>Critical capabilities: Prioritization Report and Roadmap to guide the Climate Data Hub development, dataset integration priorities, and design of climate rationale and investment-support analytics.</v>
      </c>
      <c r="D4" s="11" t="str">
        <v>Number of knowledge products</v>
      </c>
      <c r="E4" s="11" t="str">
        <v>Country: Mali, Ethiopia, Philippines, Zambia, Guatemala, Ghana, Colombia, Honduras, Senegal, Kenya</v>
      </c>
      <c r="F4" s="11">
        <v>1</v>
      </c>
      <c r="G4" s="11">
        <v>13417</v>
      </c>
      <c r="H4" s="11">
        <f>SUM(G4:G8)</f>
      </c>
      <c r="I4" s="11" t="str">
        <v>Targets are shared with CIAT. Critical capability package CACC2. Assumes personnel costs are distributed evenly across KPIs.</v>
      </c>
    </row>
    <row r="5" ht="50" customHeight="1">
      <c r="A5" s="11" t="str">
        <v>AOW01</v>
      </c>
      <c r="C5" s="11" t="str">
        <v>Critical capabilities: Number of datasets/simulations/insights/decision support tools developed and shared</v>
      </c>
      <c r="D5" s="11" t="str">
        <v>Number of innovations (innovation development)</v>
      </c>
      <c r="E5" s="11" t="str">
        <v>Global</v>
      </c>
      <c r="F5" s="11">
        <v>3</v>
      </c>
      <c r="G5" s="11">
        <v>13417</v>
      </c>
      <c r="I5" s="11" t="str">
        <v>Targets are shared with CIAT. Critical capability package CACC2. Assumes personnel costs are distributed evenly across KPIs.</v>
      </c>
    </row>
    <row r="6" ht="50" customHeight="1">
      <c r="A6" s="11" t="str">
        <v>AOW01</v>
      </c>
      <c r="C6" s="11" t="str">
        <v>Critical capabilities: Number of datasets included/compiled in a common/shared platform/reports/papers</v>
      </c>
      <c r="D6" s="11" t="str">
        <v>Number of knowledge products</v>
      </c>
      <c r="E6" s="11" t="str">
        <v>Country: Senegal, Kenya, Honduras, Zambia, Nepal, Ethiopia, Sri Lanka, Pakistan, Ghana, Philippines, Mali</v>
      </c>
      <c r="F6" s="11">
        <v>23</v>
      </c>
      <c r="G6" s="11">
        <v>13417</v>
      </c>
      <c r="I6" s="11" t="str">
        <v>Targets are shared with CIAT. Critical capability package CACC2. Assumes personnel costs are distributed evenly across KPIs.</v>
      </c>
    </row>
    <row r="7" ht="50" customHeight="1">
      <c r="A7" s="11" t="str">
        <v>AOW01</v>
      </c>
      <c r="C7" s="11" t="str">
        <v>Number of datasets/simulations/insights/decision support tools developed and shared</v>
      </c>
      <c r="D7" s="11" t="str">
        <v>Number of innovations (innovation development)</v>
      </c>
      <c r="E7" s="11" t="str">
        <v>Global</v>
      </c>
      <c r="F7" s="11">
        <v>9</v>
      </c>
      <c r="G7" s="11">
        <v>31763</v>
      </c>
      <c r="I7" s="11" t="str">
        <v>Targets are the same as CIAT's PORB. CA42_Alliance of Bioversity International and CIAT - Assumes personnel costs are shared evenly across KPIs for HLO 1.3.</v>
      </c>
    </row>
    <row r="8" ht="50" customHeight="1">
      <c r="A8" s="11" t="str">
        <v>AOW01</v>
      </c>
      <c r="C8" s="11" t="str">
        <v>Number of datasets included/compiled in a common/shared platform</v>
      </c>
      <c r="D8" s="11" t="str">
        <v>Number of knowledge products</v>
      </c>
      <c r="E8" s="11" t="str">
        <v>Global</v>
      </c>
      <c r="F8" s="11">
        <v>25</v>
      </c>
      <c r="G8" s="11">
        <v>31762</v>
      </c>
      <c r="I8" s="11" t="str">
        <v>Targets are the same as CIAT's PORB. CA42_Alliance of Bioversity International and CIAT - Assumes personnel costs are shared evenly across KPIs for HLO 1.3.</v>
      </c>
    </row>
    <row r="9" ht="50" customHeight="1">
      <c r="A9" s="11" t="str">
        <v>AOW01</v>
      </c>
      <c r="B9" s="11" t="str">
        <v>1.1.4. Synthesis products, advocacy and communication materials</v>
      </c>
      <c r="C9" s="11" t="str">
        <v>Critical capabilities: Number of synthesis products</v>
      </c>
      <c r="D9" s="11" t="str">
        <v>Number of knowledge products</v>
      </c>
      <c r="E9" s="11" t="str">
        <v>Global</v>
      </c>
      <c r="F9" s="11">
        <v>4</v>
      </c>
      <c r="G9" s="11">
        <v>23151</v>
      </c>
      <c r="H9" s="11">
        <f>SUM(G9:G9)</f>
      </c>
      <c r="I9" s="11" t="str">
        <v>Targets are shared with CIAT. Critical capability package CACC3. Assumes personnel costs are included in this specific KPI.</v>
      </c>
    </row>
    <row r="10" ht="50" customHeight="1">
      <c r="A10" s="11" t="str">
        <v>AOW01</v>
      </c>
      <c r="B10" s="11" t="str">
        <v>1.3.3 Strategic engagements with global climate bodies</v>
      </c>
      <c r="C10" s="11" t="str">
        <v>Critical capabilities: Number of meetings and workshops facilitated to support CGIAR Centers in stakeholder engagement processes related to GCF</v>
      </c>
      <c r="D10" s="11" t="str">
        <v xml:space="preserve"> Number of engagements</v>
      </c>
      <c r="E10" s="11" t="str">
        <v>Global</v>
      </c>
      <c r="F10" s="11">
        <v>2</v>
      </c>
      <c r="G10" s="11">
        <v>6718</v>
      </c>
      <c r="H10" s="11">
        <f>SUM(G10:G12)</f>
      </c>
      <c r="I10" s="11" t="str">
        <v>Targets are shared with CIAT. Critical capability package CACC1. Assumes personnel costs are distributed evenly across KPIs.</v>
      </c>
    </row>
    <row r="11" ht="50" customHeight="1">
      <c r="A11" s="11" t="str">
        <v>AOW01</v>
      </c>
      <c r="C11" s="11" t="str">
        <v>Critical capabilities: Number of climate finance proposals or concept notes supported</v>
      </c>
      <c r="D11" s="11" t="str">
        <v>Number of climate finance proposals or concept notes supported</v>
      </c>
      <c r="E11" s="11" t="str">
        <v>Global</v>
      </c>
      <c r="F11" s="11">
        <v>9</v>
      </c>
      <c r="G11" s="11">
        <v>6718</v>
      </c>
      <c r="I11" s="11" t="str">
        <v>Targets are shared with CIAT. Critical capability package CACC1. Assumes personnel costs are distributed evenly across KPIs.</v>
      </c>
    </row>
    <row r="12" ht="50" customHeight="1">
      <c r="A12" s="11" t="str">
        <v>AOW01</v>
      </c>
      <c r="C12" s="11" t="str">
        <v>Critical capabilities: Pipeline of entry points for new CGIAR-led GCF projects</v>
      </c>
      <c r="D12" s="11" t="str">
        <v xml:space="preserve">Number of pipeline of entry points </v>
      </c>
      <c r="E12" s="11" t="str">
        <v>Global</v>
      </c>
      <c r="F12" s="11">
        <v>1</v>
      </c>
      <c r="G12" s="11">
        <v>8543</v>
      </c>
      <c r="I12" s="11" t="str">
        <v>Targets are shared with CIAT. Critical capability package CACC1. Assumes personnel costs are distributed evenly across KPIs.</v>
      </c>
    </row>
    <row r="13" ht="25" customHeight="1">
      <c r="B13" s="14" t="str">
        <v>HLO budget subtotal</v>
      </c>
      <c r="H13" s="15">
        <f>SUM(H3:H12)</f>
      </c>
    </row>
    <row r="14" ht="50" customHeight="1" xml:space="preserve">
      <c r="A14" s="13" t="str">
        <v>AOW02</v>
      </c>
      <c r="B14" s="11" t="str">
        <v>2.1.1 &amp; 2.2.1 Climate information products and services</v>
      </c>
      <c r="C14" s="11" t="str">
        <v>Number of human-centered climate information products/services improved, co-designed, or co-developed</v>
      </c>
      <c r="D14" s="11" t="str">
        <v>Number of innovations (innovation development)</v>
      </c>
      <c r="E14" s="11" t="str">
        <v>Country: Senegal, Mali, Ethiopia, India, Bangladesh, Nigeria, Zambia, Philippines, Kenya, The Socialist Republic of Viet Nam</v>
      </c>
      <c r="F14" s="11">
        <v>3</v>
      </c>
      <c r="G14" s="11">
        <v>48810</v>
      </c>
      <c r="H14" s="11">
        <f>SUM(G14:G14)</f>
      </c>
      <c r="I14" s="11" t="str" xml:space="preserve">
        <v xml:space="preserve">"Targets are the same as CIAT's PORB. CA21_Alliance of Bioversity and CIAT - Participatory co-production platforms (LTACs, PSP, PICSA) across Africa and Latin America applying human-centered design (HCD) principles. 
CA36_Alliance of Bioversity and CIAT - Climate+: Weather-Informed Advisory for Resilient Rice Systems. Assumes personnel/operations costs are split evenly between HLO 2.1 and 2.2."</v>
      </c>
    </row>
    <row r="15" ht="50" customHeight="1">
      <c r="A15" s="11" t="str">
        <v>AOW02</v>
      </c>
      <c r="B15" s="11" t="str">
        <v>2.2.2 &amp; 2.3.1 &amp; 2.4.1 Multi-hazard early warning and anticipatory action instruments</v>
      </c>
      <c r="C15" s="11" t="str">
        <v>Number of early warning systems (EWS) and anticipatory instruments co-designed with partners</v>
      </c>
      <c r="D15" s="11" t="str">
        <v>Number of innovations (innovation development)</v>
      </c>
      <c r="E15" s="11" t="str">
        <v>Country: The Socialist Republic of Viet Nam, India, Kenya, Ethiopia, Philippines</v>
      </c>
      <c r="F15" s="11">
        <v>3</v>
      </c>
      <c r="G15" s="11">
        <v>14022</v>
      </c>
      <c r="H15" s="11">
        <f>SUM(G15:G15)</f>
      </c>
      <c r="I15" s="11" t="str">
        <v>Targets are the same as CIAT's PORB. CA36_Alliance of Bioversity and CIAT - Climate+: Weather-Informed Advisory for Resilient Rice Systems. Assumes personnel/operations costs are split evenly between HLO 2.1 and 2.2.</v>
      </c>
    </row>
    <row r="16" ht="25" customHeight="1">
      <c r="B16" s="15" t="str">
        <v>HLO budget subtotal</v>
      </c>
      <c r="H16" s="15">
        <f>SUM(H14:H15)</f>
      </c>
    </row>
    <row r="17" ht="50" customHeight="1">
      <c r="A17" s="13" t="str">
        <v>AOW05</v>
      </c>
      <c r="B17" s="11" t="str">
        <v>5.2.4 &amp; 5.3.3 Methodologies and evidence for Loss and Damage Fund</v>
      </c>
      <c r="C17" s="11" t="str">
        <v>Number of methodology elements and evidence available to operationalize the Loss and Damage Fund developed and communicated</v>
      </c>
      <c r="D17" s="11" t="str">
        <v>Number of innovations (innovation development)</v>
      </c>
      <c r="E17" s="11" t="str">
        <v>Global</v>
      </c>
      <c r="F17" s="11">
        <v>0</v>
      </c>
      <c r="G17" s="11">
        <v>0</v>
      </c>
      <c r="H17" s="11">
        <f>SUM(G17:G17)</f>
      </c>
    </row>
    <row r="18" ht="50" customHeight="1">
      <c r="A18" s="11" t="str">
        <v>AOW05</v>
      </c>
      <c r="B18" s="11" t="str">
        <v>5.2.5 &amp; 5.3.4 Carbon market frameworks</v>
      </c>
      <c r="C18" s="11" t="str">
        <v>Number of partners engaged with new carbon market frameworks</v>
      </c>
      <c r="D18" s="11" t="str">
        <v xml:space="preserve"> Number of partners/actors engaged</v>
      </c>
      <c r="E18" s="11" t="str">
        <v>Global</v>
      </c>
      <c r="F18" s="11">
        <v>0</v>
      </c>
      <c r="G18" s="11">
        <v>0</v>
      </c>
      <c r="H18" s="11">
        <f>SUM(G18:G18)</f>
      </c>
    </row>
    <row r="19" ht="25" customHeight="1">
      <c r="B19" s="15" t="str">
        <v>HLO budget subtotal</v>
      </c>
      <c r="H19" s="15">
        <f>SUM(H17:H18)</f>
      </c>
    </row>
  </sheetData>
  <mergeCells count="15">
    <mergeCell ref="A1:A2"/>
    <mergeCell ref="B1:B2"/>
    <mergeCell ref="C1:G1"/>
    <mergeCell ref="H1:H2"/>
    <mergeCell ref="I1:I2"/>
    <mergeCell ref="B4:B8"/>
    <mergeCell ref="H4:H8"/>
    <mergeCell ref="B10:B12"/>
    <mergeCell ref="H10:H12"/>
    <mergeCell ref="B13:G13"/>
    <mergeCell ref="A3:A13"/>
    <mergeCell ref="B16:G16"/>
    <mergeCell ref="A14:A16"/>
    <mergeCell ref="B19:G19"/>
    <mergeCell ref="A17:A19"/>
  </mergeCells>
  <ignoredErrors>
    <ignoredError numberStoredAsText="1" sqref="A1:I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  <row r="2" ht="70" customHeight="1" xml:space="preserve">
      <c r="A2" s="12" t="str">
        <v>AOW01</v>
      </c>
      <c r="B2" s="11" t="str">
        <v>SCIO Private Company</v>
      </c>
      <c r="C2" s="11" t="str">
        <v>1.1.3 &amp; 1.3.2 Harmonized data, simulations, insights and decision support tools</v>
      </c>
      <c r="D2" s="11" t="str">
        <v>Honduras</v>
      </c>
      <c r="E2" s="11">
        <v>20000</v>
      </c>
      <c r="F2" s="11" t="str" xml:space="preserve">
        <v xml:space="preserve">"CA42_Alliance of Bioversity and CIAT - Expand the Climate Security Observatory (CSO) to generate country-level profiles integrating climate, conflict, and fragility analytics that inform policy decisions and investments in Honduras enhancing early warning systems and the design of peace-responsive climate strategies.
"</v>
      </c>
    </row>
    <row r="3" ht="25" customHeight="1">
      <c r="B3" s="14" t="str">
        <v>Contracted partners subtotal</v>
      </c>
      <c r="E3" s="14">
        <f>SUM(E2:E2)</f>
      </c>
    </row>
  </sheetData>
  <mergeCells count="2">
    <mergeCell ref="B3:D3"/>
    <mergeCell ref="A2:A3"/>
  </mergeCells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 ht="30" customHeight="1">
      <c r="A2" s="18" t="str">
        <v>Study to test whether training accelerates adoption of agroforestry practices and improves farm performance in Colombia (tentative)</v>
      </c>
      <c r="B2" s="19" t="str">
        <v>AOW00</v>
      </c>
      <c r="C2" s="18" t="str">
        <v xml:space="preserve">Use of climate adaptation or low-emissions solutions </v>
      </c>
      <c r="D2" s="19">
        <v>0</v>
      </c>
      <c r="E2" s="19" t="str">
        <f>=SUM(D2:D5)</f>
        <v>0</v>
      </c>
    </row>
    <row r="3" ht="30" customHeight="1">
      <c r="A3" s="18" t="str">
        <v>Study to test whether training accelerates adoption of agroforestry practices and improves farm performance in Colombia (tentative)</v>
      </c>
      <c r="B3" s="19" t="str">
        <v>AOW04</v>
      </c>
      <c r="C3" s="18" t="str">
        <v>4.5. Increased agency of women, youth and marginalized groups for climate mitigation</v>
      </c>
      <c r="D3" s="19">
        <v>0</v>
      </c>
    </row>
    <row r="4" ht="30" customHeight="1">
      <c r="A4" s="18" t="str">
        <v>Study to test whether training accelerates adoption of agroforestry practices and improves farm performance in Colombia (tentative)</v>
      </c>
      <c r="B4" s="19" t="str">
        <v>AOW02</v>
      </c>
      <c r="C4" s="18" t="str">
        <v>2.2 Strengthened capacities for early warning, detection, communication, preparedness, and targeting</v>
      </c>
      <c r="D4" s="19">
        <v>0</v>
      </c>
    </row>
    <row r="5" ht="30" customHeight="1">
      <c r="A5" s="18" t="str">
        <v>Study to test whether training accelerates adoption of agroforestry practices and improves farm performance in Colombia (tentative)</v>
      </c>
      <c r="B5" s="19" t="str">
        <v>AOW03</v>
      </c>
      <c r="C5" s="18" t="str">
        <v>3.1. Local institutions scale climate solutions and adaptation pathways</v>
      </c>
      <c r="D5" s="19">
        <v>0</v>
      </c>
    </row>
    <row r="6" ht="30" customHeight="1">
      <c r="A6" s="18" t="str">
        <v>Document how CASP influences national climate commitments and policy processes including improved monitoring to better document the contributions of the program (tentative)</v>
      </c>
      <c r="B6" s="19" t="str">
        <v>AOW00</v>
      </c>
      <c r="C6" s="18" t="str">
        <v>New finance for just climate action and transitions</v>
      </c>
      <c r="D6" s="19">
        <v>0</v>
      </c>
      <c r="E6" s="19" t="str">
        <f>=SUM(D6:D8)</f>
        <v>0</v>
      </c>
    </row>
    <row r="7" ht="30" customHeight="1">
      <c r="A7" s="18" t="str">
        <v>Document how CASP influences national climate commitments and policy processes including improved monitoring to better document the contributions of the program (tentative)</v>
      </c>
      <c r="B7" s="19" t="str">
        <v>AOW05</v>
      </c>
      <c r="C7" s="18" t="str">
        <v>5.2. Enhanced capacity for designing, implementing and tracking climate policies, projects and financing</v>
      </c>
      <c r="D7" s="19">
        <v>0</v>
      </c>
    </row>
    <row r="8" ht="30" customHeight="1">
      <c r="A8" s="18" t="str">
        <v>Document how CASP influences national climate commitments and policy processes including improved monitoring to better document the contributions of the program (tentative)</v>
      </c>
      <c r="B8" s="19" t="str">
        <v>AOW04</v>
      </c>
      <c r="C8" s="18" t="str">
        <v>4.5. Increased agency of women, youth and marginalized groups for climate mitigation</v>
      </c>
      <c r="D8" s="19">
        <v>0</v>
      </c>
    </row>
    <row r="9" ht="30" customHeight="1">
      <c r="A9" s="18" t="str">
        <v>MELIA Study: Optimize and digitize climate advisory workflows to link public programs (ACB) and private platforms (WeatherPlus). Enhance data interoperability, decision-support systems, and dissemination channels while embedding gender and social inclusion to ensure equitable access, usability, and impact across diverse user groups. With progress assessed against MELIA framework.</v>
      </c>
      <c r="B9" s="19" t="str">
        <v>AOW00</v>
      </c>
      <c r="C9" s="18" t="str">
        <v xml:space="preserve">Use of climate adaptation or low-emissions solutions </v>
      </c>
      <c r="D9" s="19">
        <v>0</v>
      </c>
      <c r="E9" s="19" t="str">
        <f>=SUM(D9:D10)</f>
        <v>0</v>
      </c>
    </row>
    <row r="10" ht="30" customHeight="1">
      <c r="A10" s="18" t="str">
        <v>MELIA Study: Optimize and digitize climate advisory workflows to link public programs (ACB) and private platforms (WeatherPlus). Enhance data interoperability, decision-support systems, and dissemination channels while embedding gender and social inclusion to ensure equitable access, usability, and impact across diverse user groups. With progress assessed against MELIA framework.</v>
      </c>
      <c r="B10" s="19" t="str">
        <v>AOW02</v>
      </c>
      <c r="C10" s="18" t="str">
        <v>2.1 Organizations leverage and use participatory research approaches</v>
      </c>
      <c r="D10" s="19">
        <v>0</v>
      </c>
    </row>
    <row r="11" ht="30" customHeight="1">
      <c r="A11" s="18" t="str">
        <v>MELIA study: Assessing the use of climate information among farmers, extension agents, and institutional users in Colombia, Ethiopia, and India</v>
      </c>
      <c r="B11" s="19" t="str">
        <v>AOW00</v>
      </c>
      <c r="C11" s="18" t="str">
        <v xml:space="preserve">Use of climate adaptation or low-emissions solutions </v>
      </c>
      <c r="D11" s="19">
        <v>0</v>
      </c>
      <c r="E11" s="19" t="str">
        <f>=SUM(D11:D12)</f>
        <v>0</v>
      </c>
    </row>
    <row r="12" ht="30" customHeight="1">
      <c r="A12" s="18" t="str">
        <v>MELIA study: Assessing the use of climate information among farmers, extension agents, and institutional users in Colombia, Ethiopia, and India</v>
      </c>
      <c r="B12" s="19" t="str">
        <v>AOW02</v>
      </c>
      <c r="C12" s="18" t="str">
        <v>2.1 Organizations leverage and use participatory research approaches</v>
      </c>
      <c r="D12" s="19">
        <v>0</v>
      </c>
    </row>
    <row r="13" ht="30" customHeight="1">
      <c r="A13" s="18" t="str">
        <v>Evidence, Learning, and Policy Uptake Package: Comprehensive MELIA framework implemented to assess access, use, and benefits of digital advisories. Outputs include a learning brief, policy recommendations, and investment concept notes shared at the 2026 Sahel Digital Climate Forum, demonstrating impact, fostering donor alignment, and guiding future scaling across West Africa</v>
      </c>
      <c r="B13" s="19" t="str">
        <v>AOW00</v>
      </c>
      <c r="C13" s="18" t="str">
        <v xml:space="preserve">Use of climate adaptation or low-emissions solutions </v>
      </c>
      <c r="D13" s="19">
        <v>0</v>
      </c>
      <c r="E13" s="19" t="str">
        <f>=SUM(D13:D14)</f>
        <v>0</v>
      </c>
    </row>
    <row r="14" ht="30" customHeight="1">
      <c r="A14" s="18" t="str">
        <v>Evidence, Learning, and Policy Uptake Package: Comprehensive MELIA framework implemented to assess access, use, and benefits of digital advisories. Outputs include a learning brief, policy recommendations, and investment concept notes shared at the 2026 Sahel Digital Climate Forum, demonstrating impact, fostering donor alignment, and guiding future scaling across West Africa</v>
      </c>
      <c r="B14" s="19" t="str">
        <v>AOW02</v>
      </c>
      <c r="C14" s="18" t="str">
        <v>2.1 Organizations leverage and use participatory research approaches</v>
      </c>
      <c r="D14" s="19">
        <v>0</v>
      </c>
    </row>
    <row r="15" ht="30" customHeight="1" xml:space="preserve">
      <c r="A15" s="18" t="str" xml:space="preserve">
        <v xml:space="preserve">Development of an impact assessment framework to generate evidence of CASP outcomes and other SPs contributions to global mitigation and adaptation goals (tentative)
</v>
      </c>
      <c r="B15" s="19" t="str">
        <v>AOW00</v>
      </c>
      <c r="C15" s="18" t="str">
        <v>New finance for just climate action and transitions</v>
      </c>
      <c r="D15" s="19">
        <v>0</v>
      </c>
      <c r="E15" s="19" t="str">
        <f>=SUM(D15:D16)</f>
        <v>0</v>
      </c>
    </row>
    <row r="16" ht="30" customHeight="1" xml:space="preserve">
      <c r="A16" s="18" t="str" xml:space="preserve">
        <v xml:space="preserve">Development of an impact assessment framework to generate evidence of CASP outcomes and other SPs contributions to global mitigation and adaptation goals (tentative)
</v>
      </c>
      <c r="B16" s="19" t="str">
        <v>AOW01</v>
      </c>
      <c r="C16" s="18" t="str">
        <v>1.1. Utlization of harmonized data, evidence, methodologies, frameworks and insights</v>
      </c>
      <c r="D16" s="19">
        <v>0</v>
      </c>
    </row>
    <row r="17" ht="30" customHeight="1">
      <c r="A17" s="18" t="str">
        <v>Support to MELIA studies of Climate Action AOWs</v>
      </c>
      <c r="B17" s="19" t="str">
        <v>AOW00</v>
      </c>
      <c r="C17" s="18" t="str">
        <v>New finance for just climate action and transitions</v>
      </c>
      <c r="D17" s="19">
        <v>0</v>
      </c>
      <c r="E17" s="19" t="str">
        <f>=SUM(D17:D18)</f>
        <v>0</v>
      </c>
    </row>
    <row r="18" ht="30" customHeight="1">
      <c r="A18" s="18" t="str">
        <v>Support to MELIA studies of Climate Action AOWs</v>
      </c>
      <c r="B18" s="19" t="str">
        <v>AOW01</v>
      </c>
      <c r="C18" s="18" t="str">
        <v>1.1. Utlization of harmonized data, evidence, methodologies, frameworks and insights</v>
      </c>
      <c r="D18" s="19">
        <v>0</v>
      </c>
    </row>
    <row r="19" ht="30" customHeight="1">
      <c r="A19" s="3" t="str">
        <v>MELIA Studies Budget subtotal</v>
      </c>
      <c r="E19" s="3">
        <f>SUM(E2:E18)</f>
      </c>
    </row>
  </sheetData>
  <mergeCells count="15">
    <mergeCell ref="A2:A5"/>
    <mergeCell ref="A6:A8"/>
    <mergeCell ref="A9:A10"/>
    <mergeCell ref="A11:A12"/>
    <mergeCell ref="A13:A14"/>
    <mergeCell ref="A15:A16"/>
    <mergeCell ref="A17:A18"/>
    <mergeCell ref="E2:E5"/>
    <mergeCell ref="E6:E8"/>
    <mergeCell ref="E9:E10"/>
    <mergeCell ref="E11:E12"/>
    <mergeCell ref="E13:E14"/>
    <mergeCell ref="E15:E16"/>
    <mergeCell ref="E17:E18"/>
    <mergeCell ref="A19:D19"/>
  </mergeCells>
  <ignoredErrors>
    <ignoredError numberStoredAsText="1" sqref="A1:F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20000</v>
      </c>
      <c r="D2" s="20">
        <v>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0</v>
      </c>
      <c r="D3" s="20">
        <v>4350</v>
      </c>
      <c r="E3" s="20">
        <v>0</v>
      </c>
      <c r="F3" s="20">
        <v>0</v>
      </c>
      <c r="G3" s="20">
        <v>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40000</v>
      </c>
      <c r="C4" s="20">
        <v>181933</v>
      </c>
      <c r="D4" s="20">
        <v>58482</v>
      </c>
      <c r="E4" s="20">
        <v>0</v>
      </c>
      <c r="F4" s="20">
        <v>0</v>
      </c>
      <c r="G4" s="20">
        <v>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