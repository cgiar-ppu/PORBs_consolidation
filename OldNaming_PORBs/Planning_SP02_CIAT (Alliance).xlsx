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14</v>
      </c>
      <c r="C5" s="5">
        <v>354002</v>
      </c>
      <c r="D5" s="2">
        <v>7</v>
      </c>
      <c r="E5" s="5">
        <v>229103</v>
      </c>
      <c r="F5" s="2">
        <v>30000</v>
      </c>
      <c r="G5" s="5">
        <v>30000</v>
      </c>
      <c r="H5" s="2">
        <v>2</v>
      </c>
      <c r="I5" s="5">
        <v>79327</v>
      </c>
      <c r="J5" s="5">
        <v>30000</v>
      </c>
      <c r="K5" s="5">
        <v>0</v>
      </c>
      <c r="L5" s="5">
        <v>722432</v>
      </c>
      <c r="M5" s="5">
        <v>0</v>
      </c>
    </row>
    <row r="6" ht="20" customHeight="1">
      <c r="A6" s="2" t="str">
        <v>AOW02: Enabling Preparedness and Rapid Response to Emerging Shocks</v>
      </c>
      <c r="B6" s="2">
        <v>2</v>
      </c>
      <c r="C6" s="5">
        <v>100821</v>
      </c>
      <c r="D6" s="2">
        <v>3</v>
      </c>
      <c r="E6" s="5">
        <v>71595</v>
      </c>
      <c r="F6" s="2">
        <v>0</v>
      </c>
      <c r="G6" s="5">
        <v>0</v>
      </c>
      <c r="H6" s="2">
        <v>0</v>
      </c>
      <c r="I6" s="5">
        <v>0</v>
      </c>
      <c r="J6" s="5">
        <v>0</v>
      </c>
      <c r="K6" s="5">
        <v>0</v>
      </c>
      <c r="L6" s="5">
        <v>172416</v>
      </c>
      <c r="M6" s="5">
        <v>0</v>
      </c>
    </row>
    <row r="7" ht="20" customHeight="1">
      <c r="A7" s="2" t="str">
        <v>AOW03: Delivering Integrated Solutions to Systemic Farm-Level Binding Constraints</v>
      </c>
      <c r="B7" s="2">
        <v>0</v>
      </c>
      <c r="C7" s="5">
        <v>0</v>
      </c>
      <c r="D7" s="2">
        <v>8</v>
      </c>
      <c r="E7" s="5">
        <v>365249</v>
      </c>
      <c r="F7" s="2">
        <v>0</v>
      </c>
      <c r="G7" s="5">
        <v>0</v>
      </c>
      <c r="H7" s="2">
        <v>0</v>
      </c>
      <c r="I7" s="5">
        <v>0</v>
      </c>
      <c r="J7" s="5">
        <v>10000</v>
      </c>
      <c r="K7" s="5">
        <v>0</v>
      </c>
      <c r="L7" s="5">
        <v>375249</v>
      </c>
      <c r="M7" s="5">
        <v>1177773</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3</v>
      </c>
      <c r="C9" s="5">
        <v>164788.1</v>
      </c>
      <c r="D9" s="2">
        <v>6</v>
      </c>
      <c r="E9" s="5">
        <v>23865</v>
      </c>
      <c r="F9" s="2">
        <v>0</v>
      </c>
      <c r="G9" s="5">
        <v>0</v>
      </c>
      <c r="H9" s="2">
        <v>30</v>
      </c>
      <c r="I9" s="5">
        <v>40000</v>
      </c>
      <c r="J9" s="5">
        <v>0</v>
      </c>
      <c r="K9" s="5">
        <v>0</v>
      </c>
      <c r="L9" s="5">
        <v>228653</v>
      </c>
      <c r="M9" s="5">
        <v>2238885</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2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v>
      </c>
      <c r="D3" s="11" t="str">
        <v>Number of knowledge products</v>
      </c>
      <c r="E3" s="11" t="str">
        <v>Global</v>
      </c>
      <c r="F3" s="11">
        <v>4</v>
      </c>
      <c r="G3" s="11">
        <v>99551</v>
      </c>
      <c r="H3" s="11">
        <f>SUM(G3:G12)</f>
      </c>
      <c r="I3" s="11" t="str">
        <v>2026 Budget</v>
      </c>
    </row>
    <row r="4" ht="50" customHeight="1">
      <c r="A4" s="11" t="str">
        <v>AOW01</v>
      </c>
      <c r="C4" s="11" t="str">
        <v>A curated “Golden Q&amp;A” (1000 dataset/entries) to address core user challenges/farmer queries and strengthen the performance of current AI-enabled advisory tools (e.g., TUNAIMI, CROPPIE, AgWise)</v>
      </c>
      <c r="D4" s="11" t="str">
        <v>Number of knowledge products</v>
      </c>
      <c r="E4" s="11" t="str">
        <v>Global</v>
      </c>
      <c r="F4" s="11">
        <v>1</v>
      </c>
      <c r="G4" s="11">
        <v>50000</v>
      </c>
      <c r="I4" s="11" t="str">
        <v>2026 budget</v>
      </c>
    </row>
    <row r="5" ht="50" customHeight="1">
      <c r="A5" s="11" t="str">
        <v>AOW01</v>
      </c>
      <c r="C5" s="11" t="str">
        <v xml:space="preserve">Functional variability (fertilizer price shifts and local input access) into Farmer.Chat and aligned tools (AgWise chatbot and virtual agronomist) to generate improved context-specific recommendations that accommodate risk, cost and effectiveness </v>
      </c>
      <c r="D5" s="11" t="str">
        <v>Number of innovations (innovation development)</v>
      </c>
      <c r="E5" s="11" t="str">
        <v>Country: Bangladesh, Malawi, Mexico, India, Kenya, Ethiopia, Ghana</v>
      </c>
      <c r="F5" s="11">
        <v>1</v>
      </c>
      <c r="G5" s="11">
        <v>41820</v>
      </c>
      <c r="I5" s="11" t="str">
        <v>2026 budget</v>
      </c>
    </row>
    <row r="6" ht="50" customHeight="1">
      <c r="A6" s="11" t="str">
        <v>AOW01</v>
      </c>
      <c r="C6" s="11" t="str">
        <v>A well-designed AgWise System Architecture and Framework essential for efficiently developing and integrating the various advisory components within the farm system</v>
      </c>
      <c r="D6" s="11" t="str">
        <v>Number of knowledge products</v>
      </c>
      <c r="E6" s="11" t="str">
        <v>Global</v>
      </c>
      <c r="F6" s="11">
        <v>1</v>
      </c>
      <c r="G6" s="11">
        <v>39776</v>
      </c>
      <c r="I6" s="11" t="str">
        <v>as per the description</v>
      </c>
    </row>
    <row r="7" ht="50" customHeight="1">
      <c r="A7" s="11" t="str">
        <v>AOW01</v>
      </c>
      <c r="C7" s="11" t="str">
        <v>Validated AgWise (6) modules including crop system innovation, insurance, credit access, organic fertilizer, whole farm integrated /bundled advisories, forage and feed advisory --KPI is Number of modules</v>
      </c>
      <c r="D7" s="11" t="str">
        <v>Number of innovations (innovation development)</v>
      </c>
      <c r="E7" s="11" t="str">
        <v>Country: Ghana, Malawi, Nigeria, Ethiopia, Côte d'Ivoire</v>
      </c>
      <c r="F7" s="11">
        <v>6</v>
      </c>
      <c r="G7" s="11">
        <v>79551</v>
      </c>
      <c r="I7" s="11" t="str">
        <v>as per the description</v>
      </c>
    </row>
    <row r="8" ht="50" customHeight="1">
      <c r="A8" s="11" t="str">
        <v>AOW01</v>
      </c>
      <c r="C8" s="11" t="str">
        <v xml:space="preserve">Prototype for forage and feed advisory at farm/household that integrates current regional feed budgeting and planning at lower spatial scales </v>
      </c>
      <c r="D8" s="11" t="str">
        <v>Number of innovations (innovation development)</v>
      </c>
      <c r="E8" s="11" t="str">
        <v>Country: Ghana, Ethiopia, Malawi, Rwanda, Kenya</v>
      </c>
      <c r="F8" s="11">
        <v>1</v>
      </c>
      <c r="G8" s="11">
        <v>47731</v>
      </c>
      <c r="I8" s="11" t="str">
        <v>as per the description</v>
      </c>
    </row>
    <row r="9" ht="50" customHeight="1">
      <c r="A9" s="11" t="str">
        <v>AOW01</v>
      </c>
      <c r="C9" s="11" t="str">
        <v>An integrated Feedback, Learning, and Evidence System within AgWise and the Virtual Agronomist to capture and analyze user inputs, enabling real-time refinement of advisories and experimental impact evaluations with integrated qualitative and quantitative data</v>
      </c>
      <c r="D9" s="11" t="str">
        <v>Number of innovations (innovation development)</v>
      </c>
      <c r="E9" s="11" t="str">
        <v>Country: Ghana, Kenya, Malawi, Ethiopia</v>
      </c>
      <c r="F9" s="11">
        <v>4</v>
      </c>
      <c r="G9" s="11">
        <v>83528</v>
      </c>
      <c r="I9" s="11" t="str">
        <v>as per the description</v>
      </c>
    </row>
    <row r="10" ht="50" customHeight="1" xml:space="preserve">
      <c r="A10" s="11" t="str">
        <v>AOW01</v>
      </c>
      <c r="C10" s="11" t="str" xml:space="preserve">
        <v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v>
      </c>
      <c r="D10" s="11" t="str">
        <v>Number of innovations (innovation development)</v>
      </c>
      <c r="E10" s="11" t="str">
        <v>Country: Colombia, Kenya</v>
      </c>
      <c r="F10" s="11">
        <v>1</v>
      </c>
      <c r="G10" s="11">
        <v>39776</v>
      </c>
      <c r="I10" s="11" t="str">
        <v>as per the description</v>
      </c>
    </row>
    <row r="11" ht="50" customHeight="1">
      <c r="A11" s="11" t="str">
        <v>AOW01</v>
      </c>
      <c r="C11" s="11" t="str">
        <v xml:space="preserve"> Artificial Intelligence and Natural Language Processing (AI/NLP) pipelines developed using NDIZI Sikia stack to analyze farmer dialogues</v>
      </c>
      <c r="D11" s="11" t="str">
        <v>Number of innovations (innovation development)</v>
      </c>
      <c r="E11" s="11" t="str">
        <v>Country: Kenya, Tanzania, United Republic, Ethiopia</v>
      </c>
      <c r="F11" s="11">
        <v>1</v>
      </c>
      <c r="G11" s="11">
        <v>61596</v>
      </c>
      <c r="I11" s="11" t="str">
        <v>as per the description</v>
      </c>
    </row>
    <row r="12" ht="50" customHeight="1">
      <c r="A12" s="11" t="str">
        <v>AOW01</v>
      </c>
      <c r="C12" s="11" t="str">
        <v xml:space="preserve">Strategic roadmap on the use of AI-assisted analytics for smallholder coffee systems, mapping opportunities and readiness across user needs </v>
      </c>
      <c r="D12" s="11" t="str">
        <v>Number of knowledge products</v>
      </c>
      <c r="E12" s="11" t="str">
        <v>Country: Colombia, Kenya</v>
      </c>
      <c r="F12" s="11">
        <v>1</v>
      </c>
      <c r="G12" s="11">
        <v>39776</v>
      </c>
      <c r="I12" s="11" t="str">
        <v>as per the description</v>
      </c>
    </row>
    <row r="13" ht="50" customHeight="1">
      <c r="A13" s="11" t="str">
        <v>AOW01</v>
      </c>
      <c r="B13" s="11" t="str">
        <v xml:space="preserve">1.3: Farmer utilization and adoption of AI-enabled advisory services </v>
      </c>
      <c r="C13" s="11" t="str">
        <v xml:space="preserve"> AgWise calibrated to national needs and deployed advisories (planting windows, cultivar selection, cropping innovations, fertilizers, and bundled recommendations) for key crops across 5 countries</v>
      </c>
      <c r="D13" s="11" t="str">
        <v>Number of people trained (capacity sharing for development)</v>
      </c>
      <c r="E13" s="11" t="str">
        <v>Country: Ethiopia, Ghana, Rwanda</v>
      </c>
      <c r="F13" s="11">
        <v>30000</v>
      </c>
      <c r="G13" s="11">
        <v>30000</v>
      </c>
      <c r="H13" s="11">
        <f>SUM(G13:G14)</f>
      </c>
      <c r="I13" s="11" t="str">
        <v>as per the description</v>
      </c>
    </row>
    <row r="14" ht="50" customHeight="1">
      <c r="A14" s="11" t="str">
        <v>AOW01</v>
      </c>
      <c r="C14" s="11" t="str">
        <v xml:space="preserve"> AgWise calibrated to national needs and deployed advisories (planting windows, cultivar selection, cropping innovations, fertilizers, and bundled recommendations) for key crops across 5 countries</v>
      </c>
      <c r="D14" s="11" t="str">
        <v xml:space="preserve">Number of countries deploying AgWise advisories </v>
      </c>
      <c r="E14" s="11" t="str">
        <v>Country: Ethiopia, Ghana, Kenya, Rwanda, Malawi</v>
      </c>
      <c r="F14" s="11">
        <v>2</v>
      </c>
      <c r="G14" s="11">
        <v>79327</v>
      </c>
      <c r="I14" s="11" t="str">
        <v>we will work jointly with Centers like IITA</v>
      </c>
    </row>
    <row r="15" ht="25" customHeight="1">
      <c r="B15" s="14" t="str">
        <v>HLO budget subtotal</v>
      </c>
      <c r="H15" s="15">
        <f>SUM(H3:H14)</f>
      </c>
    </row>
    <row r="16" ht="50" customHeight="1">
      <c r="A16" s="13" t="str">
        <v>AOW02</v>
      </c>
      <c r="B16" s="11" t="str">
        <v xml:space="preserve">2.1: Enhanced resolution, accuracy and timeliness of early warning system </v>
      </c>
      <c r="C16" s="11" t="str">
        <v>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v>
      </c>
      <c r="D16" s="11" t="str">
        <v>Number of innovations (innovation development)</v>
      </c>
      <c r="E16" s="11" t="str">
        <v>Country: Colombia</v>
      </c>
      <c r="F16" s="11">
        <v>2</v>
      </c>
      <c r="G16" s="11">
        <v>100821</v>
      </c>
      <c r="H16" s="11">
        <f>SUM(G16:G17)</f>
      </c>
      <c r="I16" s="11" t="str">
        <v>This work will build on previous efforts</v>
      </c>
    </row>
    <row r="17" ht="50" customHeight="1">
      <c r="A17" s="11" t="str">
        <v>AOW02</v>
      </c>
      <c r="C17" s="11" t="str">
        <v>Enhanced data sets to enhance detection, distribution, diversity and forecasting of current and emerging pests or diseases for different cropping systems (yam, bean, cassava, banana, sorghum, potato, and sweet potato)</v>
      </c>
      <c r="D17" s="11" t="str">
        <v>Number of knowledge products</v>
      </c>
      <c r="E17" s="11" t="str">
        <v>Country: Ethiopia, Tanzania, United Republic, Togo, Niger, Zambia, Burkina Faso, South Sudan, Kenya, Mozambique, Uganda, Colombia, Ghana, Senegal, Zimbabwe, Cameroon, Mali, India, Chad, Nigeria</v>
      </c>
      <c r="F17" s="11">
        <v>3</v>
      </c>
      <c r="G17" s="11">
        <v>71595</v>
      </c>
      <c r="I17" s="11" t="str">
        <v>as per the description</v>
      </c>
    </row>
    <row r="18" ht="25" customHeight="1">
      <c r="B18" s="15" t="str">
        <v>HLO budget subtotal</v>
      </c>
      <c r="H18" s="15">
        <f>SUM(H16:H17)</f>
      </c>
    </row>
    <row r="19" ht="50" customHeight="1">
      <c r="A19" s="13" t="str">
        <v>AOW03</v>
      </c>
      <c r="B19" s="11" t="str">
        <v xml:space="preserve">3.1: Farm-level diagnostic evidence on soil, plant, water, and socio-economic constraints </v>
      </c>
      <c r="C19" s="11" t="str">
        <v>KPI 1: Diagnostic characterization of farm-level binding constraints, with corresponding best-fit solution options integrated into the Sustainable Farming Dashboard (SFD) under AoW5</v>
      </c>
      <c r="D19" s="11" t="str">
        <v>Number of knowledge products</v>
      </c>
      <c r="E19" s="11" t="str">
        <v>Country: Bangladesh, India, Malawi, Kenya, Lao People's Democratic Republic, Ethiopia, Mexico, Nepal, Peru, Ghana, Nigeria</v>
      </c>
      <c r="F19" s="11">
        <v>2</v>
      </c>
      <c r="G19" s="11">
        <v>47731</v>
      </c>
      <c r="H19" s="11">
        <f>SUM(G19:G19)</f>
      </c>
      <c r="I19" s="11" t="str">
        <v>as per the description</v>
      </c>
    </row>
    <row r="20" ht="50" customHeight="1">
      <c r="A20" s="11" t="str">
        <v>AOW03</v>
      </c>
      <c r="B20" s="11" t="str">
        <v xml:space="preserve">3.2. Validated, farm-level management solutions </v>
      </c>
      <c r="C20" s="11" t="str">
        <v>KPI 3: Validated agronomic solution packages that effectively address soil health-related limitations and demonstrate quantifiable improvements in agronomic gain</v>
      </c>
      <c r="D20" s="11" t="str">
        <v>Number of knowledge products</v>
      </c>
      <c r="E20" s="11" t="str">
        <v>Country: Ghana, Kenya, Malawi, Egypt, Morocco, Ethiopia, India</v>
      </c>
      <c r="F20" s="11">
        <v>3</v>
      </c>
      <c r="G20" s="11">
        <v>131147</v>
      </c>
      <c r="H20" s="11">
        <f>SUM(G20:G21)</f>
      </c>
      <c r="I20" s="11" t="str">
        <v>as per the description</v>
      </c>
    </row>
    <row r="21" ht="50" customHeight="1">
      <c r="A21" s="11" t="str">
        <v>AOW03</v>
      </c>
      <c r="C21" s="11" t="str">
        <v>KPI 5: Integrated, farm-level intervention packages that tackle clusters of interacting farm-level constraints to optimize agronomic outcomes</v>
      </c>
      <c r="D21" s="11" t="str">
        <v>Number of knowledge products</v>
      </c>
      <c r="E21" s="11" t="str">
        <v>Country: India, Tanzania, United Republic, Morocco, Madagascar, Ghana, Malawi, Kenya, Ethiopia, The Socialist Republic of Viet Nam</v>
      </c>
      <c r="F21" s="11">
        <v>3</v>
      </c>
      <c r="G21" s="11">
        <v>186371</v>
      </c>
      <c r="I21" s="11" t="str">
        <v>as per the description</v>
      </c>
    </row>
    <row r="22" ht="25" customHeight="1">
      <c r="B22" s="15" t="str">
        <v>HLO budget subtotal</v>
      </c>
      <c r="H22" s="15">
        <f>SUM(H19:H21)</f>
      </c>
    </row>
    <row r="23" ht="50" customHeight="1">
      <c r="A23" s="13" t="str">
        <v>AOW05</v>
      </c>
      <c r="B23" s="11" t="str">
        <v xml:space="preserve">5.2: Well- documented and communicated SFP impact assessments </v>
      </c>
      <c r="C23" s="11"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D23" s="11" t="str">
        <v>Number of knowledge products</v>
      </c>
      <c r="E23" s="11" t="str">
        <v>Country: Ghana, Nigeria, Malawi, Ethiopia, Kenya</v>
      </c>
      <c r="F23" s="11">
        <v>2</v>
      </c>
      <c r="G23" s="11">
        <v>23865</v>
      </c>
      <c r="H23" s="11">
        <f>SUM(G23:G23)</f>
      </c>
      <c r="I23" s="11" t="str">
        <v xml:space="preserve">Other centers are engaged in same PoD. </v>
      </c>
    </row>
    <row r="24" ht="50" customHeight="1">
      <c r="A24" s="11" t="str">
        <v>AOW05</v>
      </c>
      <c r="B24" s="11" t="str">
        <v>5.3 FAIR, AI-ready data corpus, data and metadata standards</v>
      </c>
      <c r="C24" s="11" t="str">
        <v xml:space="preserve">New Database of standardized data ("Carob") including workflows to quality-control, clean and render data standards-compliant using R scripts and R packages. </v>
      </c>
      <c r="D24" s="11" t="str">
        <v>Number of knowledge products</v>
      </c>
      <c r="E24" s="11" t="str">
        <v>Country: Malawi, Ethiopia, Ghana, Kenya</v>
      </c>
      <c r="F24" s="11">
        <v>4</v>
      </c>
      <c r="G24" s="11">
        <v>0</v>
      </c>
      <c r="H24" s="11">
        <f>SUM(G24:G26)</f>
      </c>
    </row>
    <row r="25" ht="50" customHeight="1">
      <c r="A25" s="11" t="str">
        <v>AOW05</v>
      </c>
      <c r="C25" s="11" t="str">
        <v>Open, extensible toolkit for researchers and technical users to compare, adapt, and deploy decision support models &amp; workflows quickly for new contexts (e.g., Agwise codebase and R package).</v>
      </c>
      <c r="D25" s="11" t="str">
        <v>Number of innovations (innovation development)</v>
      </c>
      <c r="E25" s="11" t="str">
        <v>Global</v>
      </c>
      <c r="F25" s="11">
        <v>1</v>
      </c>
      <c r="G25" s="11">
        <v>39776.1</v>
      </c>
      <c r="I25" s="11" t="str">
        <v>as per the description</v>
      </c>
    </row>
    <row r="26" ht="50" customHeight="1">
      <c r="A26" s="11" t="str">
        <v>AOW05</v>
      </c>
      <c r="C26" s="11" t="str">
        <v>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D26" s="11" t="str">
        <v>Number of innovations (innovation development)</v>
      </c>
      <c r="E26" s="11" t="str">
        <v>Country: Greece, Kenya</v>
      </c>
      <c r="F26" s="11">
        <v>1</v>
      </c>
      <c r="G26" s="11">
        <v>31820</v>
      </c>
      <c r="I26" s="11" t="str">
        <v>as per the description</v>
      </c>
    </row>
    <row r="27" ht="50" customHeight="1">
      <c r="A27" s="11" t="str">
        <v>AOW05</v>
      </c>
      <c r="B27" s="11" t="str">
        <v xml:space="preserve">5.5. Well-documented, widely applicable and replicable partnership platforms </v>
      </c>
      <c r="C27" s="11"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D27" s="11" t="str">
        <v>Number of innovations (innovation development)</v>
      </c>
      <c r="E27" s="11" t="str">
        <v>Country: The Democratic Republic of the Congo, Ghana, Kenya, Nigeria, Tanzania, United Republic, Malawi, Mexico, Ethiopia, Egypt, Morocco, The Socialist Republic of Viet Nam, India, Philippines, Cambodia</v>
      </c>
      <c r="F27" s="11">
        <v>3</v>
      </c>
      <c r="G27" s="11">
        <v>93192</v>
      </c>
      <c r="H27" s="11">
        <f>SUM(G27:G28)</f>
      </c>
      <c r="I27" s="11" t="str">
        <v>as per the description</v>
      </c>
    </row>
    <row r="28" ht="50" customHeight="1">
      <c r="A28" s="11" t="str">
        <v>AOW05</v>
      </c>
      <c r="C28"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28" s="11" t="str">
        <v xml:space="preserve"> Number of Partners engaged</v>
      </c>
      <c r="E28" s="11" t="str">
        <v>Country: Kenya, Ghana, Mexico, Malawi, Tanzania, United Republic, Nigeria, Cambodia, India, Philippines, The Socialist Republic of Viet Nam, Ethiopia</v>
      </c>
      <c r="F28" s="11">
        <v>30</v>
      </c>
      <c r="G28" s="11">
        <v>40000</v>
      </c>
      <c r="I28" s="11" t="str">
        <v>as per the description</v>
      </c>
    </row>
    <row r="29" ht="25" customHeight="1">
      <c r="B29" s="15" t="str">
        <v>HLO budget subtotal</v>
      </c>
      <c r="H29" s="15">
        <f>SUM(H23:H28)</f>
      </c>
    </row>
  </sheetData>
  <mergeCells count="25">
    <mergeCell ref="A1:A2"/>
    <mergeCell ref="B1:B2"/>
    <mergeCell ref="C1:G1"/>
    <mergeCell ref="H1:H2"/>
    <mergeCell ref="I1:I2"/>
    <mergeCell ref="B3:B12"/>
    <mergeCell ref="H3:H12"/>
    <mergeCell ref="B13:B14"/>
    <mergeCell ref="H13:H14"/>
    <mergeCell ref="B15:G15"/>
    <mergeCell ref="A3:A15"/>
    <mergeCell ref="B16:B17"/>
    <mergeCell ref="H16:H17"/>
    <mergeCell ref="B18:G18"/>
    <mergeCell ref="A16:A18"/>
    <mergeCell ref="B20:B21"/>
    <mergeCell ref="H20:H21"/>
    <mergeCell ref="B22:G22"/>
    <mergeCell ref="A19:A22"/>
    <mergeCell ref="B24:B26"/>
    <mergeCell ref="H24:H26"/>
    <mergeCell ref="B27:B28"/>
    <mergeCell ref="H27:H28"/>
    <mergeCell ref="B29:G29"/>
    <mergeCell ref="A23:A29"/>
  </mergeCells>
  <ignoredErrors>
    <ignoredError numberStoredAsText="1" sqref="A1:I29"/>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Ethiopian Institute of Agricultural Research</v>
      </c>
      <c r="C2" s="11" t="str">
        <v>1.3: Farmer utilization and adoption of AI-enabled advisory services, 1.1: Agronomic and farm management scientific data and analytics</v>
      </c>
      <c r="D2" s="11" t="str">
        <v>Ethiopia</v>
      </c>
      <c r="E2" s="11">
        <v>10000</v>
      </c>
      <c r="F2" s="11" t="str">
        <v>2026 budget</v>
      </c>
    </row>
    <row r="3" ht="70" customHeight="1">
      <c r="A3" s="11" t="str">
        <v>AOW01</v>
      </c>
      <c r="B3" s="11" t="str">
        <v>Kenya Agricultural and Livestock Research Organization</v>
      </c>
      <c r="C3" s="11" t="str">
        <v>1.1: Agronomic and farm management scientific data and analytics, 1.2: Benchmarking and performance validation systems</v>
      </c>
      <c r="D3" s="11" t="str">
        <v>Kenya,Kenya</v>
      </c>
      <c r="E3" s="11">
        <v>10000</v>
      </c>
      <c r="F3" s="11" t="str">
        <v>2026 budget</v>
      </c>
    </row>
    <row r="4" ht="70" customHeight="1">
      <c r="A4" s="11" t="str">
        <v>AOW01</v>
      </c>
      <c r="B4" s="11" t="str">
        <v>Ministry of Agriculture (Malawi)</v>
      </c>
      <c r="C4" s="11" t="str">
        <v>1.1: Agronomic and farm management scientific data and analytics</v>
      </c>
      <c r="D4" s="11" t="str">
        <v>Malawi</v>
      </c>
      <c r="E4" s="11">
        <v>10000</v>
      </c>
      <c r="F4" s="11" t="str">
        <v>as per the description</v>
      </c>
    </row>
    <row r="5" ht="25" customHeight="1">
      <c r="B5" s="14" t="str">
        <v>Contracted partners subtotal</v>
      </c>
      <c r="E5" s="14">
        <f>SUM(E2:E4)</f>
      </c>
    </row>
    <row r="6" ht="70" customHeight="1">
      <c r="A6" s="12" t="str">
        <v>AOW02</v>
      </c>
      <c r="B6" s="11" t="str">
        <v>Kenya Agricultural and Livestock Research Organization</v>
      </c>
      <c r="C6" s="11" t="str">
        <v>2.3: Responses effectiveness and trade-offs to climate, pests and diseases shocks</v>
      </c>
      <c r="D6" s="11" t="str">
        <v>Kenya,Kenya</v>
      </c>
      <c r="E6" s="11">
        <v>0</v>
      </c>
    </row>
    <row r="7" ht="70" customHeight="1">
      <c r="A7" s="11" t="str">
        <v>AOW02</v>
      </c>
      <c r="B7" s="11" t="str">
        <v>Ethiopian Institute of Agricultural Research</v>
      </c>
      <c r="C7" s="11" t="str">
        <v>2.3: Responses effectiveness and trade-offs to climate, pests and diseases shocks, 2.2: Strategies for response to water related shocks, 2.1: Enhanced resolution, accuracy and timeliness of early warning system</v>
      </c>
      <c r="D7" s="11" t="str">
        <v>Ethiopia</v>
      </c>
      <c r="E7" s="11">
        <v>0</v>
      </c>
    </row>
    <row r="8" ht="70" customHeight="1">
      <c r="A8" s="11" t="str">
        <v>AOW02</v>
      </c>
      <c r="B8" s="11" t="str">
        <v>Ministry of Agriculture (Malawi)</v>
      </c>
      <c r="C8" s="11" t="str">
        <v>2.3: Responses effectiveness and trade-offs to climate, pests and diseases shocks, 2.2: Strategies for response to water related shocks</v>
      </c>
      <c r="D8" s="11" t="str">
        <v>Malawi</v>
      </c>
      <c r="E8" s="11">
        <v>0</v>
      </c>
    </row>
    <row r="9" ht="25" customHeight="1">
      <c r="B9" s="14" t="str">
        <v>Contracted partners subtotal</v>
      </c>
      <c r="E9" s="14">
        <f>SUM(E6:E8)</f>
      </c>
    </row>
    <row r="10" ht="70" customHeight="1">
      <c r="A10" s="12" t="str">
        <v>AOW03</v>
      </c>
      <c r="B10" s="11" t="str">
        <v>Ethiopian Institute of Agricultural Research</v>
      </c>
      <c r="C10" s="11" t="str">
        <v>3.2. Validated, farm-level management solutions</v>
      </c>
      <c r="D10" s="11" t="str">
        <v>Ethiopia</v>
      </c>
      <c r="E10" s="11">
        <v>0</v>
      </c>
    </row>
    <row r="11" ht="70" customHeight="1">
      <c r="A11" s="11" t="str">
        <v>AOW03</v>
      </c>
      <c r="B11" s="11" t="str">
        <v>Kenya Agricultural and Livestock Research Organization</v>
      </c>
      <c r="C11" s="11" t="str">
        <v>3.2. Validated, farm-level management solutions</v>
      </c>
      <c r="D11" s="11" t="str">
        <v>Kenya,Kenya</v>
      </c>
      <c r="E11" s="11">
        <v>10000</v>
      </c>
      <c r="F11" s="11" t="str">
        <v>2026 budget</v>
      </c>
    </row>
    <row r="12" ht="70" customHeight="1">
      <c r="A12" s="11" t="str">
        <v>AOW03</v>
      </c>
      <c r="B12" s="11" t="str">
        <v>Ministry of Agriculture (Malawi)</v>
      </c>
      <c r="C12" s="11" t="str">
        <v>3.2. Validated, farm-level management solutions, 3.1: Farm-level diagnostic evidence on soil, plant, water, and socio-economic constraints</v>
      </c>
      <c r="D12" s="11" t="str">
        <v>Malawi</v>
      </c>
      <c r="E12" s="11">
        <v>0</v>
      </c>
    </row>
    <row r="13" ht="25" customHeight="1">
      <c r="B13" s="14" t="str">
        <v>Contracted partners subtotal</v>
      </c>
      <c r="E13" s="14">
        <f>SUM(E10:E12)</f>
      </c>
    </row>
    <row r="14" ht="70" customHeight="1">
      <c r="A14" s="12" t="str">
        <v>AOW05</v>
      </c>
      <c r="B14" s="11" t="str">
        <v>Ethiopian Institute of Agricultural Research</v>
      </c>
      <c r="C14" s="11" t="str">
        <v>5.5. Well-documented, widely applicable and replicable partnership platforms</v>
      </c>
      <c r="D14" s="11" t="str">
        <v>Ethiopia</v>
      </c>
      <c r="E14" s="11">
        <v>0</v>
      </c>
    </row>
    <row r="15" ht="70" customHeight="1">
      <c r="A15" s="11" t="str">
        <v>AOW05</v>
      </c>
      <c r="B15" s="11" t="str">
        <v>Kenya Agricultural and Livestock Research Organization</v>
      </c>
      <c r="C15" s="11" t="str">
        <v>5.2: Well- documented and communicated SFP impact assessments</v>
      </c>
      <c r="D15" s="11" t="str">
        <v>Kenya,Kenya</v>
      </c>
      <c r="E15" s="11">
        <v>0</v>
      </c>
    </row>
    <row r="16" ht="25" customHeight="1">
      <c r="B16" s="14" t="str">
        <v>Contracted partners subtotal</v>
      </c>
      <c r="E16" s="14">
        <f>SUM(E14:E15)</f>
      </c>
    </row>
  </sheetData>
  <mergeCells count="8">
    <mergeCell ref="B5:D5"/>
    <mergeCell ref="A2:A5"/>
    <mergeCell ref="B9:D9"/>
    <mergeCell ref="A6:A9"/>
    <mergeCell ref="B13:D13"/>
    <mergeCell ref="A10:A13"/>
    <mergeCell ref="B16:D16"/>
    <mergeCell ref="A14: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F9"/>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UNITED KINGDOM - FCDO -iSPARK: Innovation in sustainability, policy, adaptation and resilience in Kenya (IA Lead of D511)</v>
      </c>
      <c r="B2" s="19" t="str">
        <v>AOW05</v>
      </c>
      <c r="C2" s="18" t="str">
        <v xml:space="preserve">5.5. Well-documented, widely applicable and replicable partnership platforms </v>
      </c>
      <c r="D2" s="19">
        <v>203018</v>
      </c>
      <c r="E2" s="19" t="str">
        <f>=SUM(D2:D3)</f>
        <v>0</v>
      </c>
      <c r="F2" s="19" t="str">
        <v>2026 budget from the dashboard</v>
      </c>
    </row>
    <row r="3" ht="30" customHeight="1">
      <c r="A3" s="18" t="str">
        <v>UNITED KINGDOM - FCDO -iSPARK: Innovation in sustainability, policy, adaptation and resilience in Kenya (IA Lead of D511)</v>
      </c>
      <c r="B3" s="19" t="str">
        <v>AOW01</v>
      </c>
      <c r="C3" s="18" t="str">
        <v xml:space="preserve">1.1: Partners running AI-enabled advisory services integrate evidence-based data </v>
      </c>
      <c r="D3" s="19">
        <v>0</v>
      </c>
    </row>
    <row r="4" ht="30" customHeight="1">
      <c r="A4" s="18" t="str">
        <v>Climate-smart initiatives for climate change adaptation and sustainability in prioritized agricultural production systems in Colombia (CSICAP)</v>
      </c>
      <c r="B4" s="19" t="str">
        <v>AOW05</v>
      </c>
      <c r="C4" s="18" t="str">
        <v xml:space="preserve">5.5. Well-documented, widely applicable and replicable partnership platforms </v>
      </c>
      <c r="D4" s="19">
        <v>2035867</v>
      </c>
      <c r="E4" s="19" t="str">
        <f>=SUM(D4:D6)</f>
        <v>0</v>
      </c>
      <c r="F4" s="19" t="str">
        <v>2026 budget from the dashboard</v>
      </c>
    </row>
    <row r="5" ht="30" customHeight="1">
      <c r="A5" s="18" t="str">
        <v>Climate-smart initiatives for climate change adaptation and sustainability in prioritized agricultural production systems in Colombia (CSICAP)</v>
      </c>
      <c r="B5" s="19" t="str">
        <v>AOW01</v>
      </c>
      <c r="C5" s="18" t="str">
        <v xml:space="preserve">1.1: Partners running AI-enabled advisory services integrate evidence-based data </v>
      </c>
      <c r="D5" s="19">
        <v>0</v>
      </c>
    </row>
    <row r="6" ht="30" customHeight="1">
      <c r="A6" s="18" t="str">
        <v>Climate-smart initiatives for climate change adaptation and sustainability in prioritized agricultural production systems in Colombia (CSICAP)</v>
      </c>
      <c r="B6" s="19" t="str">
        <v>AOW03</v>
      </c>
      <c r="C6" s="18" t="str">
        <v xml:space="preserve">3.3: Scaled and adopted farm management solutions </v>
      </c>
      <c r="D6" s="19">
        <v>0</v>
      </c>
    </row>
    <row r="7" ht="30" customHeight="1">
      <c r="A7" s="18" t="str">
        <v>Fertilize Right Colombia</v>
      </c>
      <c r="B7" s="19" t="str">
        <v>AOW03</v>
      </c>
      <c r="C7" s="18" t="str">
        <v xml:space="preserve">3.3: Scaled and adopted farm management solutions </v>
      </c>
      <c r="D7" s="19">
        <v>528962</v>
      </c>
      <c r="E7" s="19" t="str">
        <f>=SUM(D7:D7)</f>
        <v>0</v>
      </c>
      <c r="F7" s="19" t="str">
        <v>2026 budget from the dashboard</v>
      </c>
    </row>
    <row r="8" ht="30" customHeight="1">
      <c r="A8" s="18" t="str">
        <v>BIUSA (Bezos Earth Fund)-Using genetic diversity to capture carbon through deep root systems in tropical soils  (Research and Capacity development)</v>
      </c>
      <c r="B8" s="19" t="str">
        <v>AOW03</v>
      </c>
      <c r="C8" s="18" t="str">
        <v xml:space="preserve">3.1: Farm-level diagnostic evidence on soil, plant, water, and socio-economic constraints </v>
      </c>
      <c r="D8" s="19">
        <v>648811</v>
      </c>
      <c r="E8" s="19" t="str">
        <f>=SUM(D8:D8)</f>
        <v>0</v>
      </c>
      <c r="F8" s="19" t="str">
        <v>2026 budget from the dashboard</v>
      </c>
    </row>
    <row r="9" ht="30" customHeight="1">
      <c r="A9" s="3" t="str">
        <v>W3/Bilateral projects subtotal</v>
      </c>
      <c r="E9" s="3">
        <f>SUM(E2:E8)</f>
      </c>
    </row>
  </sheetData>
  <mergeCells count="5">
    <mergeCell ref="A2:A3"/>
    <mergeCell ref="A4:A6"/>
    <mergeCell ref="E2:E3"/>
    <mergeCell ref="E4:E6"/>
    <mergeCell ref="A9:D9"/>
  </mergeCells>
  <ignoredErrors>
    <ignoredError numberStoredAsText="1" sqref="A1:F9"/>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30000</v>
      </c>
      <c r="D2" s="20">
        <v>0</v>
      </c>
      <c r="E2" s="20">
        <v>10000</v>
      </c>
      <c r="F2" s="20">
        <v>0</v>
      </c>
      <c r="G2" s="20">
        <v>0</v>
      </c>
      <c r="H2" s="20" t="str">
        <f>=SUM(B2:G2)</f>
        <v>0</v>
      </c>
    </row>
    <row r="3" ht="20" customHeight="1">
      <c r="A3" s="20" t="str">
        <v>Operations (supplies, consultants, travels, workshops, other)</v>
      </c>
      <c r="B3" s="20">
        <v>0</v>
      </c>
      <c r="C3" s="20">
        <v>207729</v>
      </c>
      <c r="D3" s="20">
        <v>51726</v>
      </c>
      <c r="E3" s="20">
        <v>109575</v>
      </c>
      <c r="F3" s="20">
        <v>0</v>
      </c>
      <c r="G3" s="20">
        <v>68596</v>
      </c>
      <c r="H3" s="20" t="str">
        <f>=SUM(B3:G3)</f>
        <v>0</v>
      </c>
    </row>
    <row r="4" ht="20" customHeight="1">
      <c r="A4" s="20" t="str">
        <v>Staffing, Chargebacks and Indirect</v>
      </c>
      <c r="B4" s="20">
        <v>0</v>
      </c>
      <c r="C4" s="20">
        <v>484703</v>
      </c>
      <c r="D4" s="20">
        <v>120690</v>
      </c>
      <c r="E4" s="20">
        <v>255674</v>
      </c>
      <c r="F4" s="20">
        <v>0</v>
      </c>
      <c r="G4" s="20">
        <v>160057</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