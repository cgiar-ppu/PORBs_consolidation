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2576167</v>
      </c>
    </row>
    <row r="5" ht="20" customHeight="1">
      <c r="A5" s="2" t="str">
        <v>AOW01: CapSha Innovation Laboratory</v>
      </c>
      <c r="B5" s="2">
        <v>0</v>
      </c>
      <c r="C5" s="5">
        <v>0</v>
      </c>
      <c r="D5" s="2">
        <v>0</v>
      </c>
      <c r="E5" s="5">
        <v>0</v>
      </c>
      <c r="F5" s="2">
        <v>0</v>
      </c>
      <c r="G5" s="5">
        <v>0</v>
      </c>
      <c r="H5" s="2">
        <v>0</v>
      </c>
      <c r="I5" s="5">
        <v>0</v>
      </c>
      <c r="J5" s="5">
        <v>0</v>
      </c>
      <c r="K5" s="5">
        <v>0</v>
      </c>
      <c r="L5" s="5">
        <v>0</v>
      </c>
      <c r="M5" s="5">
        <v>0</v>
      </c>
    </row>
    <row r="6" ht="20" customHeight="1">
      <c r="A6" s="2" t="str">
        <v>AOW02: CapSha Marketplace</v>
      </c>
      <c r="B6" s="2">
        <v>0</v>
      </c>
      <c r="C6" s="5">
        <v>0</v>
      </c>
      <c r="D6" s="2">
        <v>0</v>
      </c>
      <c r="E6" s="5">
        <v>0</v>
      </c>
      <c r="F6" s="2">
        <v>0</v>
      </c>
      <c r="G6" s="5">
        <v>0</v>
      </c>
      <c r="H6" s="2">
        <v>0</v>
      </c>
      <c r="I6" s="5">
        <v>0</v>
      </c>
      <c r="J6" s="5">
        <v>0</v>
      </c>
      <c r="K6" s="5">
        <v>0</v>
      </c>
      <c r="L6" s="5">
        <v>0</v>
      </c>
      <c r="M6" s="5">
        <v>0</v>
      </c>
    </row>
    <row r="7" ht="20" customHeight="1">
      <c r="A7" s="2" t="str">
        <v>AOW03: CapSha South-South and Triangular Cooperation</v>
      </c>
      <c r="B7" s="2">
        <v>5</v>
      </c>
      <c r="C7" s="5">
        <v>0</v>
      </c>
      <c r="D7" s="2">
        <v>0</v>
      </c>
      <c r="E7" s="5">
        <v>20000</v>
      </c>
      <c r="F7" s="2">
        <v>0</v>
      </c>
      <c r="G7" s="5">
        <v>153250</v>
      </c>
      <c r="H7" s="2">
        <v>0</v>
      </c>
      <c r="I7" s="5">
        <v>0</v>
      </c>
      <c r="J7" s="5">
        <v>0</v>
      </c>
      <c r="K7" s="5">
        <v>0</v>
      </c>
      <c r="L7" s="5">
        <v>173250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Shared Finance Support</v>
      </c>
      <c r="D2" s="11">
        <v>0</v>
      </c>
    </row>
    <row r="3" ht="45" customHeight="1">
      <c r="A3" s="11" t="str">
        <v>AOW00</v>
      </c>
      <c r="B3" s="11" t="str">
        <v>PMU (shared with other Accelerators)</v>
      </c>
      <c r="C3" s="11" t="str">
        <v/>
      </c>
      <c r="D3" s="11">
        <v>0</v>
      </c>
    </row>
    <row r="4" ht="45" customHeight="1">
      <c r="A4" s="11" t="str">
        <v>AOW00</v>
      </c>
      <c r="B4" s="11" t="str">
        <v>Leads for AoW1-3</v>
      </c>
      <c r="D4" s="11">
        <v>0</v>
      </c>
    </row>
    <row r="5" ht="45" customHeight="1">
      <c r="A5" s="11" t="str">
        <v>AOW00</v>
      </c>
      <c r="B5" s="11" t="str">
        <v>Operational funds for the CapSha Lead</v>
      </c>
      <c r="D5" s="11">
        <v>0</v>
      </c>
    </row>
    <row r="6" ht="45" customHeight="1">
      <c r="A6" s="11" t="str">
        <v>AOW00</v>
      </c>
      <c r="B6" s="11" t="str">
        <v>CapSha Accelerator Lead</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AOW03</v>
      </c>
      <c r="B3" s="11" t="str">
        <v>HLO 3.1.1: Partnership engagement mechanisms</v>
      </c>
      <c r="C3" s="11" t="str">
        <v>SSTC activities between ICAR, Embrapa, CAAS, CGIAR Centers/SPs and African NARIS are aligned, including CapSha support to institutional strenghtening for continental and regional institutions involved in CAADP</v>
      </c>
      <c r="D3" s="11" t="str">
        <v>Number of innovations (innovation development)</v>
      </c>
      <c r="E3" s="11" t="str">
        <v>Regional: Africa</v>
      </c>
      <c r="F3" s="11">
        <v>5</v>
      </c>
      <c r="G3" s="11">
        <v>0</v>
      </c>
      <c r="H3" s="11">
        <f>SUM(G3:G6)</f>
      </c>
    </row>
    <row r="4" ht="50" customHeight="1">
      <c r="A4" s="11" t="str">
        <v>AOW03</v>
      </c>
      <c r="C4" s="11" t="str">
        <v>The next generation of scientists is supported by dedicated programs (including e.g., CGIAR Germany CapSha PhD/MSc Program, CGIAR UM6P CapSha Hub, NL-CGIAR Senior Expert Program, UK-CGIAR Centre Collaboration in Science and Innovation)</v>
      </c>
      <c r="D4" s="11" t="str">
        <v>Number of people trained (capacity sharing for development)</v>
      </c>
      <c r="E4" s="11" t="str">
        <v>Global</v>
      </c>
      <c r="F4" s="11">
        <v>100</v>
      </c>
      <c r="G4" s="11">
        <v>0</v>
      </c>
    </row>
    <row r="5" ht="50" customHeight="1">
      <c r="A5" s="11" t="str">
        <v>AOW03</v>
      </c>
      <c r="C5" s="11" t="str">
        <v>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v>
      </c>
      <c r="D5" s="11" t="str">
        <v>Number of people trained (capacity sharing for development)</v>
      </c>
      <c r="E5" s="11" t="str">
        <v>Global</v>
      </c>
      <c r="F5" s="11">
        <v>30</v>
      </c>
      <c r="G5" s="11">
        <v>10000</v>
      </c>
      <c r="I5" s="11" t="str">
        <v>Establish and support the CapSha CoP in close coordination with other AoWs and with a regional perspective.</v>
      </c>
    </row>
    <row r="6" ht="50" customHeight="1">
      <c r="A6" s="11" t="str">
        <v>AOW03</v>
      </c>
      <c r="C6" s="11" t="str">
        <v>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v>
      </c>
      <c r="D6" s="11" t="str">
        <v>Number of people trained (capacity sharing for development)</v>
      </c>
      <c r="E6" s="11" t="str">
        <v>Global</v>
      </c>
      <c r="F6" s="11">
        <v>100</v>
      </c>
      <c r="G6" s="11">
        <v>20000</v>
      </c>
      <c r="I6" s="11" t="str">
        <v>Support to bilateral workshops with institutions engaged in SSTC programs and promoting the collaboration within the CGIAR Portfolio and the CapSha SSTC Program between Brazil/Embrapa and Africa</v>
      </c>
    </row>
    <row r="7" ht="50" customHeight="1">
      <c r="A7" s="11" t="str">
        <v>AOW03</v>
      </c>
      <c r="B7" s="11" t="str">
        <v>HLO 3.1.3: SSTC cases analyzed</v>
      </c>
      <c r="C7" s="11" t="str">
        <v>Research on SSTC actors and on selected SSTC cases is conducted and published</v>
      </c>
      <c r="D7" s="11" t="str">
        <v>Number of knowledge products</v>
      </c>
      <c r="E7" s="11" t="str">
        <v>Global</v>
      </c>
      <c r="F7" s="11">
        <v>6</v>
      </c>
      <c r="G7" s="11">
        <v>20000</v>
      </c>
      <c r="H7" s="11">
        <f>SUM(G7:G7)</f>
      </c>
      <c r="I7" s="11" t="str">
        <v>Lessons learned publications on Brazil-Africa SSTC cases.</v>
      </c>
    </row>
    <row r="8" ht="50" customHeight="1">
      <c r="A8" s="11" t="str">
        <v>AOW03</v>
      </c>
      <c r="B8" s="11" t="str">
        <v>HLO 3.1.4: CapSha SSTC engagmenents</v>
      </c>
      <c r="C8" s="11" t="str">
        <v>CapSha actively supports the planning, implementation and learning from key SSTC engagements, including SSTC initiatives with Brazil (Embrapa), China (CAAS) and India (ICAR), targeting African regional and national agricultural research organisations</v>
      </c>
      <c r="D8" s="11" t="str">
        <v>Number of people trained (capacity sharing for development)</v>
      </c>
      <c r="E8" s="11" t="str">
        <v>Country: Kenya, Ethiopia, Nigeria, China, Brazil, India</v>
      </c>
      <c r="F8" s="11">
        <v>200</v>
      </c>
      <c r="G8" s="11">
        <v>123250</v>
      </c>
      <c r="H8" s="11">
        <f>SUM(G8:G8)</f>
      </c>
      <c r="I8" s="11" t="str">
        <v>Coordinate Embrapa-Africa SSTCs</v>
      </c>
    </row>
    <row r="9" ht="25" customHeight="1">
      <c r="B9" s="14" t="str">
        <v>HLO budget subtotal</v>
      </c>
      <c r="H9" s="15">
        <f>SUM(H3:H8)</f>
      </c>
    </row>
  </sheetData>
  <mergeCells count="9">
    <mergeCell ref="A1:A2"/>
    <mergeCell ref="B1:B2"/>
    <mergeCell ref="C1:G1"/>
    <mergeCell ref="H1:H2"/>
    <mergeCell ref="I1:I2"/>
    <mergeCell ref="B3:B6"/>
    <mergeCell ref="H3:H6"/>
    <mergeCell ref="B9:G9"/>
    <mergeCell ref="A3:A9"/>
  </mergeCells>
  <ignoredErrors>
    <ignoredError numberStoredAsText="1" sqref="A1:I9"/>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V0215 VACS Capacity</v>
      </c>
      <c r="B2" s="19" t="str">
        <v>AOW00</v>
      </c>
      <c r="C2" s="18" t="str">
        <v>CapSha mainstreamed</v>
      </c>
      <c r="D2" s="19">
        <v>2576167</v>
      </c>
      <c r="E2" s="19" t="str">
        <f>=SUM(D2:D2)</f>
        <v>0</v>
      </c>
    </row>
    <row r="3" ht="30" customHeight="1">
      <c r="A3" s="3" t="str">
        <v>W3/Bilateral projects subtotal</v>
      </c>
      <c r="E3" s="3">
        <f>SUM(E2:E2)</f>
      </c>
    </row>
  </sheetData>
  <mergeCells count="1">
    <mergeCell ref="A3:D3"/>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1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Implementation monitoring and corrective action</v>
      </c>
      <c r="B2" s="19" t="str">
        <v>AOW03</v>
      </c>
      <c r="C2" s="18" t="str">
        <v>HLO 3.1.1: Partnership engagement mechanisms</v>
      </c>
      <c r="D2" s="19">
        <v>0</v>
      </c>
      <c r="E2" s="19" t="str">
        <f>=SUM(D2:D5)</f>
        <v>0</v>
      </c>
    </row>
    <row r="3" ht="30" customHeight="1">
      <c r="A3" s="18" t="str">
        <v>Implementation monitoring and corrective action</v>
      </c>
      <c r="B3" s="19" t="str">
        <v>AOW00</v>
      </c>
      <c r="C3" s="18" t="str">
        <v>CapSha mainstreamed</v>
      </c>
      <c r="D3" s="19">
        <v>0</v>
      </c>
    </row>
    <row r="4" ht="30" customHeight="1">
      <c r="A4" s="18" t="str">
        <v>Implementation monitoring and corrective action</v>
      </c>
      <c r="B4" s="19" t="str">
        <v>AOW01</v>
      </c>
      <c r="C4" s="18" t="str">
        <v>HLO 1.1.1: CapSha research</v>
      </c>
      <c r="D4" s="19">
        <v>0</v>
      </c>
    </row>
    <row r="5" ht="30" customHeight="1">
      <c r="A5" s="18" t="str">
        <v>Implementation monitoring and corrective action</v>
      </c>
      <c r="B5" s="19" t="str">
        <v>AOW02</v>
      </c>
      <c r="C5" s="18" t="str">
        <v>HLO 2.1.1: Supply mapped</v>
      </c>
      <c r="D5" s="19">
        <v>0</v>
      </c>
    </row>
    <row r="6" ht="30" customHeight="1">
      <c r="A6" s="18" t="str">
        <v>Stakeholder consultation and collaborative learning</v>
      </c>
      <c r="B6" s="19" t="str">
        <v>AOW03</v>
      </c>
      <c r="C6" s="18" t="str">
        <v>HLO 3.1.1: Partnership engagement mechanisms</v>
      </c>
      <c r="D6" s="19">
        <v>0</v>
      </c>
      <c r="E6" s="19" t="str">
        <f>=SUM(D6:D9)</f>
        <v>0</v>
      </c>
    </row>
    <row r="7" ht="30" customHeight="1">
      <c r="A7" s="18" t="str">
        <v>Stakeholder consultation and collaborative learning</v>
      </c>
      <c r="B7" s="19" t="str">
        <v>AOW00</v>
      </c>
      <c r="C7" s="18" t="str">
        <v>CapSha mainstreamed</v>
      </c>
      <c r="D7" s="19">
        <v>0</v>
      </c>
    </row>
    <row r="8" ht="30" customHeight="1">
      <c r="A8" s="18" t="str">
        <v>Stakeholder consultation and collaborative learning</v>
      </c>
      <c r="B8" s="19" t="str">
        <v>AOW01</v>
      </c>
      <c r="C8" s="18" t="str">
        <v>HLO 1.1.1: CapSha research</v>
      </c>
      <c r="D8" s="19">
        <v>0</v>
      </c>
    </row>
    <row r="9" ht="30" customHeight="1">
      <c r="A9" s="18" t="str">
        <v>Stakeholder consultation and collaborative learning</v>
      </c>
      <c r="B9" s="19" t="str">
        <v>AOW02</v>
      </c>
      <c r="C9" s="18" t="str">
        <v>HLO 2.1.1: Supply mapped</v>
      </c>
      <c r="D9" s="19">
        <v>0</v>
      </c>
    </row>
    <row r="10" ht="30" customHeight="1">
      <c r="A10" s="18" t="str">
        <v>Independent mid-term evaluation of the CapSha Accelerator</v>
      </c>
      <c r="B10" s="19" t="str">
        <v>AOW03</v>
      </c>
      <c r="C10" s="18" t="str">
        <v>IOC 0.1: CapSha CoP successful</v>
      </c>
      <c r="D10" s="19">
        <v>0</v>
      </c>
      <c r="E10" s="19" t="str">
        <f>=SUM(D10:D13)</f>
        <v>0</v>
      </c>
    </row>
    <row r="11" ht="30" customHeight="1">
      <c r="A11" s="18" t="str">
        <v>Independent mid-term evaluation of the CapSha Accelerator</v>
      </c>
      <c r="B11" s="19" t="str">
        <v>AOW00</v>
      </c>
      <c r="C11" s="18" t="str">
        <v>CapSha mainstreamed</v>
      </c>
      <c r="D11" s="19">
        <v>0</v>
      </c>
    </row>
    <row r="12" ht="30" customHeight="1">
      <c r="A12" s="18" t="str">
        <v>Independent mid-term evaluation of the CapSha Accelerator</v>
      </c>
      <c r="B12" s="19" t="str">
        <v>AOW01</v>
      </c>
      <c r="C12" s="18" t="str">
        <v>IOC 1.1: CapSha adopted</v>
      </c>
      <c r="D12" s="19">
        <v>0</v>
      </c>
    </row>
    <row r="13" ht="30" customHeight="1">
      <c r="A13" s="18" t="str">
        <v>Independent mid-term evaluation of the CapSha Accelerator</v>
      </c>
      <c r="B13" s="19" t="str">
        <v>AOW02</v>
      </c>
      <c r="C13" s="18" t="str">
        <v>IOC 2.1: CapSha Marketplace used</v>
      </c>
      <c r="D13" s="19">
        <v>0</v>
      </c>
    </row>
    <row r="14" ht="30" customHeight="1">
      <c r="A14" s="18" t="str">
        <v>Independent evaluation of the CapSha Accelerator</v>
      </c>
      <c r="B14" s="19" t="str">
        <v>AOW03</v>
      </c>
      <c r="C14" s="18" t="str">
        <v>IOC 0.1: CapSha CoP successful</v>
      </c>
      <c r="D14" s="19">
        <v>0</v>
      </c>
      <c r="E14" s="19" t="str">
        <f>=SUM(D14:D17)</f>
        <v>0</v>
      </c>
    </row>
    <row r="15" ht="30" customHeight="1">
      <c r="A15" s="18" t="str">
        <v>Independent evaluation of the CapSha Accelerator</v>
      </c>
      <c r="B15" s="19" t="str">
        <v>AOW00</v>
      </c>
      <c r="C15" s="18" t="str">
        <v>CapSha mainstreamed</v>
      </c>
      <c r="D15" s="19">
        <v>0</v>
      </c>
    </row>
    <row r="16" ht="30" customHeight="1">
      <c r="A16" s="18" t="str">
        <v>Independent evaluation of the CapSha Accelerator</v>
      </c>
      <c r="B16" s="19" t="str">
        <v>AOW01</v>
      </c>
      <c r="C16" s="18" t="str">
        <v>IOC 1.1: CapSha adopted</v>
      </c>
      <c r="D16" s="19">
        <v>0</v>
      </c>
    </row>
    <row r="17" ht="30" customHeight="1">
      <c r="A17" s="18" t="str">
        <v>Independent evaluation of the CapSha Accelerator</v>
      </c>
      <c r="B17" s="19" t="str">
        <v>AOW02</v>
      </c>
      <c r="C17" s="18" t="str">
        <v>IOC 2.1: CapSha Marketplace used</v>
      </c>
      <c r="D17" s="19">
        <v>0</v>
      </c>
    </row>
    <row r="18" ht="30" customHeight="1">
      <c r="A18" s="3" t="str">
        <v>MELIA Studies Budget subtotal</v>
      </c>
      <c r="E18" s="3">
        <f>SUM(E2:E17)</f>
      </c>
    </row>
  </sheetData>
  <mergeCells count="9">
    <mergeCell ref="A2:A5"/>
    <mergeCell ref="A6:A9"/>
    <mergeCell ref="A10:A13"/>
    <mergeCell ref="A14:A17"/>
    <mergeCell ref="E2:E5"/>
    <mergeCell ref="E6:E9"/>
    <mergeCell ref="E10:E13"/>
    <mergeCell ref="E14:E17"/>
    <mergeCell ref="A18:D18"/>
  </mergeCells>
  <ignoredErrors>
    <ignoredError numberStoredAsText="1" sqref="A1:F18"/>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0</v>
      </c>
      <c r="C2" s="20">
        <v>0</v>
      </c>
      <c r="D2" s="20">
        <v>0</v>
      </c>
      <c r="E2" s="20">
        <v>10000</v>
      </c>
      <c r="F2" s="20" t="str">
        <f>=SUM(B2:E2)</f>
        <v>0</v>
      </c>
    </row>
    <row r="3" ht="20" customHeight="1">
      <c r="A3" s="20" t="str">
        <v>Operations (supplies, consultants, travels, workshops, other)</v>
      </c>
      <c r="B3" s="20">
        <v>150000</v>
      </c>
      <c r="C3" s="20">
        <v>0</v>
      </c>
      <c r="D3" s="20">
        <v>0</v>
      </c>
      <c r="E3" s="20">
        <v>70000</v>
      </c>
      <c r="F3" s="20" t="str">
        <f>=SUM(B3:E3)</f>
        <v>0</v>
      </c>
    </row>
    <row r="4" ht="20" customHeight="1">
      <c r="A4" s="20" t="str">
        <v>Staffing, Chargebacks and Indirect</v>
      </c>
      <c r="B4" s="20">
        <v>110000</v>
      </c>
      <c r="C4" s="20">
        <v>0</v>
      </c>
      <c r="D4" s="20">
        <v>0</v>
      </c>
      <c r="E4" s="20">
        <v>93250</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