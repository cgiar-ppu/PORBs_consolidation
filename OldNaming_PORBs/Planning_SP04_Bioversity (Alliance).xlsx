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 xml:space="preserve">AOW01: Solutions and Innovations: Agroecology, Nature-positive, Regenerative and Nutrition-sensitive </v>
      </c>
      <c r="B5" s="2">
        <v>9</v>
      </c>
      <c r="C5" s="5">
        <v>328500</v>
      </c>
      <c r="D5" s="2">
        <v>14</v>
      </c>
      <c r="E5" s="5">
        <v>369200</v>
      </c>
      <c r="F5" s="2">
        <v>50</v>
      </c>
      <c r="G5" s="5">
        <v>35500</v>
      </c>
      <c r="H5" s="2">
        <v>2</v>
      </c>
      <c r="I5" s="5">
        <v>53250</v>
      </c>
      <c r="J5" s="5">
        <v>0</v>
      </c>
      <c r="K5" s="5">
        <v>0</v>
      </c>
      <c r="L5" s="5">
        <v>786450</v>
      </c>
      <c r="M5" s="5">
        <v>0</v>
      </c>
    </row>
    <row r="6" ht="20" customHeight="1">
      <c r="A6" s="2" t="str">
        <v>AOW02: Landscape Optimization and Inclusive Planning</v>
      </c>
      <c r="B6" s="2">
        <v>11</v>
      </c>
      <c r="C6" s="5">
        <v>240006</v>
      </c>
      <c r="D6" s="2">
        <v>27</v>
      </c>
      <c r="E6" s="5">
        <v>153131</v>
      </c>
      <c r="F6" s="2">
        <v>8</v>
      </c>
      <c r="G6" s="5">
        <v>21421</v>
      </c>
      <c r="H6" s="2">
        <v>10020</v>
      </c>
      <c r="I6" s="5">
        <v>64716</v>
      </c>
      <c r="J6" s="5">
        <v>0</v>
      </c>
      <c r="K6" s="5">
        <v>0</v>
      </c>
      <c r="L6" s="5">
        <v>479274</v>
      </c>
      <c r="M6" s="5">
        <v>0</v>
      </c>
    </row>
    <row r="7" ht="20" customHeight="1">
      <c r="A7" s="2" t="str">
        <v>AOW03: Business Models, Markets, and Sustainable Finance</v>
      </c>
      <c r="B7" s="2">
        <v>3</v>
      </c>
      <c r="C7" s="5">
        <v>29168</v>
      </c>
      <c r="D7" s="2">
        <v>8</v>
      </c>
      <c r="E7" s="5">
        <v>109380</v>
      </c>
      <c r="F7" s="2">
        <v>100</v>
      </c>
      <c r="G7" s="5">
        <v>10938</v>
      </c>
      <c r="H7" s="2">
        <v>0</v>
      </c>
      <c r="I7" s="5">
        <v>0</v>
      </c>
      <c r="J7" s="5">
        <v>0</v>
      </c>
      <c r="K7" s="5">
        <v>0</v>
      </c>
      <c r="L7" s="5">
        <v>149486</v>
      </c>
      <c r="M7" s="5">
        <v>0</v>
      </c>
    </row>
    <row r="8" ht="20" customHeight="1">
      <c r="A8" s="2" t="str">
        <v>AOW04: Governance, Institutions, Policy, and Inclusion</v>
      </c>
      <c r="B8" s="2">
        <v>3</v>
      </c>
      <c r="C8" s="5">
        <v>29168</v>
      </c>
      <c r="D8" s="2">
        <v>13</v>
      </c>
      <c r="E8" s="5">
        <v>58336</v>
      </c>
      <c r="F8" s="2">
        <v>0</v>
      </c>
      <c r="G8" s="5">
        <v>0</v>
      </c>
      <c r="H8" s="2">
        <v>0</v>
      </c>
      <c r="I8" s="5">
        <v>0</v>
      </c>
      <c r="J8" s="5">
        <v>0</v>
      </c>
      <c r="K8" s="5">
        <v>0</v>
      </c>
      <c r="L8" s="5">
        <v>87504</v>
      </c>
      <c r="M8" s="5">
        <v>0</v>
      </c>
    </row>
    <row r="9" ht="20" customHeight="1">
      <c r="A9" s="2" t="str">
        <v>AOW05: Performance Assessments &amp; Evidence Generation</v>
      </c>
      <c r="B9" s="2">
        <v>4</v>
      </c>
      <c r="C9" s="5">
        <v>429292</v>
      </c>
      <c r="D9" s="2">
        <v>4</v>
      </c>
      <c r="E9" s="5">
        <v>94796</v>
      </c>
      <c r="F9" s="2">
        <v>0</v>
      </c>
      <c r="G9" s="5">
        <v>0</v>
      </c>
      <c r="H9" s="2">
        <v>0</v>
      </c>
      <c r="I9" s="5">
        <v>0</v>
      </c>
      <c r="J9" s="5">
        <v>0</v>
      </c>
      <c r="K9" s="5">
        <v>0</v>
      </c>
      <c r="L9" s="5">
        <v>524088</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0</v>
      </c>
    </row>
    <row r="3" ht="45" customHeight="1" xml:space="preserve">
      <c r="A3" s="11" t="str">
        <v>AOW00</v>
      </c>
      <c r="B3" s="11" t="str">
        <v>Area of Work (AoW) Leaders</v>
      </c>
      <c r="C3" s="11" t="str" xml:space="preserve">
        <v xml:space="preserve">Fixed amount of USD 80,000 per AoW lead, for five AoW leads (one per AoW).
</v>
      </c>
      <c r="D3" s="11">
        <v>0</v>
      </c>
    </row>
    <row r="4" ht="45" customHeight="1">
      <c r="A4" s="11" t="str">
        <v>AOW00</v>
      </c>
      <c r="B4" s="11" t="str">
        <v>Global Engagement Activities</v>
      </c>
      <c r="C4" s="11" t="str">
        <v>Staff and operations for global engagement activities.</v>
      </c>
      <c r="D4" s="11">
        <v>0</v>
      </c>
    </row>
    <row r="5" ht="45" customHeight="1">
      <c r="A5" s="11" t="str">
        <v>AOW00</v>
      </c>
      <c r="B5" s="11" t="str">
        <v>PMU Team</v>
      </c>
      <c r="C5" s="11" t="str">
        <v xml:space="preserve">Position costs for Coordination Focal Point, MELIA Focal Point, Finance Focal Point and Communications Focal Point. </v>
      </c>
      <c r="D5" s="11">
        <v>0</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4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OP 1.1.1. – Bundles of farm-level solutions</v>
      </c>
      <c r="C3" s="11" t="str" xml:space="preserve">
        <v xml:space="preserve">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v>
      </c>
      <c r="D3" s="11" t="str">
        <v>Number of people trained (capacity sharing for development)</v>
      </c>
      <c r="E3" s="11" t="str">
        <v>Country: Peru, Colombia, India</v>
      </c>
      <c r="F3" s="11">
        <v>50</v>
      </c>
      <c r="G3" s="11">
        <v>35500</v>
      </c>
      <c r="H3" s="11">
        <f>SUM(G3:G8)</f>
      </c>
      <c r="I3" s="11" t="str">
        <v>.</v>
      </c>
    </row>
    <row r="4" ht="50" customHeight="1" xml:space="preserve">
      <c r="A4" s="11" t="str">
        <v>AOW01</v>
      </c>
      <c r="C4" s="11" t="str" xml:space="preserve">
        <v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v>
      </c>
      <c r="D4" s="11" t="str">
        <v>Number of knowledge products</v>
      </c>
      <c r="E4" s="11" t="str">
        <v>Country: Kenya, Colombia, Peru, Tanzania, United Republic, The Socialist Republic of Viet Nam, India</v>
      </c>
      <c r="F4" s="11">
        <v>3</v>
      </c>
      <c r="G4" s="11">
        <v>156200</v>
      </c>
      <c r="I4" s="11" t="str">
        <v>.</v>
      </c>
    </row>
    <row r="5" ht="50" customHeight="1" xml:space="preserve">
      <c r="A5" s="11" t="str">
        <v>AOW01</v>
      </c>
      <c r="C5" s="11"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v>
      </c>
      <c r="D5" s="11" t="str">
        <v>Number of innovations (innovation development)</v>
      </c>
      <c r="E5" s="11" t="str">
        <v>Country: The Socialist Republic of Viet Nam, Peru, Colombia</v>
      </c>
      <c r="F5" s="11">
        <v>3</v>
      </c>
      <c r="G5" s="11">
        <v>222000</v>
      </c>
      <c r="I5" s="11" t="str">
        <v>.</v>
      </c>
    </row>
    <row r="6" ht="50" customHeight="1" xml:space="preserve">
      <c r="A6" s="11" t="str">
        <v>AOW01</v>
      </c>
      <c r="C6" s="11" t="str" xml:space="preserve">
        <v xml:space="preserve">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v>
      </c>
      <c r="D6" s="11" t="str">
        <v xml:space="preserve"> Number of opportunity crops tested with national partners</v>
      </c>
      <c r="E6" s="11" t="str">
        <v>Country: Kenya, Ethiopia</v>
      </c>
      <c r="F6" s="11">
        <v>2</v>
      </c>
      <c r="G6" s="11">
        <v>53250</v>
      </c>
      <c r="I6" s="11" t="str">
        <v>.</v>
      </c>
    </row>
    <row r="7" ht="50" customHeight="1" xml:space="preserve">
      <c r="A7" s="11" t="str">
        <v>AOW01</v>
      </c>
      <c r="C7" s="11" t="str" xml:space="preserve">
        <v xml:space="preserve">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v>
      </c>
      <c r="D7" s="11" t="str">
        <v>Number of innovations (innovation development)</v>
      </c>
      <c r="E7" s="11" t="str">
        <v>Country: The Socialist Republic of Viet Nam, Colombia, Peru</v>
      </c>
      <c r="F7" s="11">
        <v>3</v>
      </c>
      <c r="G7" s="11">
        <v>35500</v>
      </c>
      <c r="I7" s="11" t="str">
        <v>.</v>
      </c>
    </row>
    <row r="8" ht="50" customHeight="1" xml:space="preserve">
      <c r="A8" s="11" t="str">
        <v>AOW01</v>
      </c>
      <c r="C8" s="11" t="str" xml:space="preserve">
        <v xml:space="preserve">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v>
      </c>
      <c r="D8" s="11" t="str">
        <v>Number of innovations (innovation development)</v>
      </c>
      <c r="E8" s="11" t="str">
        <v>Country: Kenya</v>
      </c>
      <c r="F8" s="11">
        <v>3</v>
      </c>
      <c r="G8" s="11">
        <v>71000</v>
      </c>
      <c r="I8" s="11" t="str">
        <v>.</v>
      </c>
    </row>
    <row r="9" ht="50" customHeight="1" xml:space="preserve">
      <c r="A9" s="11" t="str">
        <v>AOW01</v>
      </c>
      <c r="B9" s="11" t="str">
        <v>OP 1.2.5. – Nutrition-sensitive innovations</v>
      </c>
      <c r="C9" s="11" t="str" xml:space="preserve">
        <v xml:space="preserve">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v>
      </c>
      <c r="D9" s="11" t="str">
        <v>Number of knowledge products</v>
      </c>
      <c r="E9" s="11" t="str">
        <v>Country: Colombia, Kenya, The Socialist Republic of Viet Nam</v>
      </c>
      <c r="F9" s="11">
        <v>8</v>
      </c>
      <c r="G9" s="11">
        <v>106500</v>
      </c>
      <c r="H9" s="11">
        <f>SUM(G9:G10)</f>
      </c>
      <c r="I9" s="11" t="str">
        <v>.</v>
      </c>
    </row>
    <row r="10" ht="50" customHeight="1" xml:space="preserve">
      <c r="A10" s="11" t="str">
        <v>AOW01</v>
      </c>
      <c r="C10" s="11" t="str" xml:space="preserve">
        <v xml:space="preserve">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v>
      </c>
      <c r="D10" s="11" t="str">
        <v>Number of knowledge products</v>
      </c>
      <c r="E10" s="11" t="str">
        <v>Country: The Socialist Republic of Viet Nam, Colombia, Kenya</v>
      </c>
      <c r="F10" s="11">
        <v>3</v>
      </c>
      <c r="G10" s="11">
        <v>106500</v>
      </c>
      <c r="I10" s="11" t="str">
        <v>.</v>
      </c>
    </row>
    <row r="11" ht="25" customHeight="1">
      <c r="B11" s="14" t="str">
        <v>HLO budget subtotal</v>
      </c>
      <c r="H11" s="15">
        <f>SUM(H3:H10)</f>
      </c>
    </row>
    <row r="12" ht="50" customHeight="1" xml:space="preserve">
      <c r="A12" s="13" t="str">
        <v>AOW02</v>
      </c>
      <c r="B12" s="11" t="str">
        <v>OP 2.1.1. – Hotspot mapping &amp; characterization</v>
      </c>
      <c r="C12" s="11" t="str" xml:space="preserve">
        <v xml:space="preserve">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v>
      </c>
      <c r="D12" s="11" t="str">
        <v>Number of knowledge products</v>
      </c>
      <c r="E12" s="11" t="str">
        <v>Country: India</v>
      </c>
      <c r="F12" s="11">
        <v>1</v>
      </c>
      <c r="G12" s="11">
        <v>7292</v>
      </c>
      <c r="H12" s="11">
        <f>SUM(G12:G15)</f>
      </c>
      <c r="I12" s="11" t="str">
        <v>.</v>
      </c>
    </row>
    <row r="13" ht="50" customHeight="1" xml:space="preserve">
      <c r="A13" s="11" t="str">
        <v>AOW02</v>
      </c>
      <c r="C13" s="11" t="str" xml:space="preserve">
        <v xml:space="preserve">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v>
      </c>
      <c r="D13" s="11" t="str">
        <v>Number of knowledge products</v>
      </c>
      <c r="E13" s="11" t="str">
        <v>Country: India</v>
      </c>
      <c r="F13" s="11">
        <v>10</v>
      </c>
      <c r="G13" s="11">
        <v>12153</v>
      </c>
      <c r="I13" s="11" t="str">
        <v>.</v>
      </c>
    </row>
    <row r="14" ht="50" customHeight="1" xml:space="preserve">
      <c r="A14" s="11" t="str">
        <v>AOW02</v>
      </c>
      <c r="C14" s="11" t="str" xml:space="preserve">
        <v xml:space="preserve">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v>
      </c>
      <c r="D14" s="11" t="str">
        <v>Number of innovations (innovation development)</v>
      </c>
      <c r="E14" s="11" t="str">
        <v>Country: Peru, The Socialist Republic of Viet Nam, India, Ethiopia, Colombia</v>
      </c>
      <c r="F14" s="11">
        <v>4</v>
      </c>
      <c r="G14" s="11">
        <v>87504</v>
      </c>
      <c r="I14" s="11" t="str">
        <v>.</v>
      </c>
    </row>
    <row r="15" ht="50" customHeight="1" xml:space="preserve">
      <c r="A15" s="11" t="str">
        <v>AOW02</v>
      </c>
      <c r="C15" s="11" t="str" xml:space="preserve">
        <v xml:space="preserve">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v>
      </c>
      <c r="D15" s="11" t="str">
        <v>Number of knowledge products</v>
      </c>
      <c r="E15" s="11" t="str">
        <v>Country: India, Kenya</v>
      </c>
      <c r="F15" s="11">
        <v>1</v>
      </c>
      <c r="G15" s="11">
        <v>8993</v>
      </c>
      <c r="I15" s="11" t="str">
        <v>.</v>
      </c>
    </row>
    <row r="16" ht="50" customHeight="1">
      <c r="A16" s="11" t="str">
        <v>AOW02</v>
      </c>
      <c r="B16" s="11" t="str">
        <v>OP 2.2.3. – Integrated planning &amp; scenarios</v>
      </c>
      <c r="C16" s="11" t="str">
        <v>Number of recommended interventions (e.g., restoration, agroecology, conservation, water investments) that are spatially targeted using the optimized scenarios in target landscapes</v>
      </c>
      <c r="D16" s="11" t="str">
        <v>Number of innovations (innovation development)</v>
      </c>
      <c r="E16" s="11" t="str">
        <v>Global</v>
      </c>
      <c r="F16" s="11">
        <v>3</v>
      </c>
      <c r="G16" s="11">
        <v>0</v>
      </c>
      <c r="H16" s="11">
        <f>SUM(G16:G23)</f>
      </c>
    </row>
    <row r="17" ht="50" customHeight="1" xml:space="preserve">
      <c r="A17" s="11" t="str">
        <v>AOW02</v>
      </c>
      <c r="C17" s="11" t="str" xml:space="preserve">
        <v xml:space="preserve">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v>
      </c>
      <c r="D17" s="11" t="str">
        <v xml:space="preserve"> Number of stakeholder groups involved MyFarmTrees capacity building</v>
      </c>
      <c r="E17" s="11" t="str">
        <v>Country: Peru, Colombia, Kenya, India, Lao People's Democratic Republic, The Socialist Republic of Viet Nam, Tanzania, United Republic, Ethiopia</v>
      </c>
      <c r="F17" s="11">
        <v>10</v>
      </c>
      <c r="G17" s="11">
        <v>21420</v>
      </c>
      <c r="I17" s="11" t="str">
        <v>.</v>
      </c>
    </row>
    <row r="18" ht="50" customHeight="1" xml:space="preserve">
      <c r="A18" s="11" t="str">
        <v>AOW02</v>
      </c>
      <c r="C18" s="11" t="str" xml:space="preserve">
        <v xml:space="preserve">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v>
      </c>
      <c r="D18" s="11" t="str">
        <v xml:space="preserve"> Area in ha under MyFarmTress restoration</v>
      </c>
      <c r="E18" s="11" t="str">
        <v>Country: Tanzania, United Republic, Lao People's Democratic Republic, Ethiopia, Kenya, Colombia, The Socialist Republic of Viet Nam, India, Peru</v>
      </c>
      <c r="F18" s="11">
        <v>10000</v>
      </c>
      <c r="G18" s="11">
        <v>21420</v>
      </c>
      <c r="I18" s="11" t="str">
        <v>.</v>
      </c>
    </row>
    <row r="19" ht="50" customHeight="1" xml:space="preserve">
      <c r="A19" s="11" t="str">
        <v>AOW02</v>
      </c>
      <c r="C19" s="11" t="str" xml:space="preserve">
        <v xml:space="preserve">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v>
      </c>
      <c r="D19" s="11" t="str">
        <v>Number of people trained (capacity sharing for development)</v>
      </c>
      <c r="E19" s="11" t="str">
        <v>Country: Colombia, Kenya, Ethiopia, Peru, Tanzania, United Republic, The Socialist Republic of Viet Nam, India, Lao People's Democratic Republic</v>
      </c>
      <c r="F19" s="11">
        <v>8</v>
      </c>
      <c r="G19" s="11">
        <v>21421</v>
      </c>
      <c r="I19" s="11" t="str">
        <v>.</v>
      </c>
    </row>
    <row r="20" ht="50" customHeight="1" xml:space="preserve">
      <c r="A20" s="11" t="str">
        <v>AOW02</v>
      </c>
      <c r="C20" s="11" t="str" xml:space="preserve">
        <v xml:space="preserve">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v>
      </c>
      <c r="D20" s="11" t="str">
        <v>Number of innovations (innovation development)</v>
      </c>
      <c r="E20" s="11" t="str">
        <v>Country: India, Lao People's Democratic Republic, Colombia, Ethiopia, The Socialist Republic of Viet Nam, Peru</v>
      </c>
      <c r="F20" s="11">
        <v>2</v>
      </c>
      <c r="G20" s="11">
        <v>100000</v>
      </c>
      <c r="I20" s="11" t="str">
        <v>.</v>
      </c>
    </row>
    <row r="21" ht="50" customHeight="1" xml:space="preserve">
      <c r="A21" s="11" t="str">
        <v>AOW02</v>
      </c>
      <c r="C21" s="11" t="str" xml:space="preserve">
        <v xml:space="preserve">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v>
      </c>
      <c r="D21" s="11" t="str">
        <v>Number of innovations (innovation development)</v>
      </c>
      <c r="E21" s="11" t="str">
        <v>Country: India, The Socialist Republic of Viet Nam, Kenya, Ethiopia</v>
      </c>
      <c r="F21" s="11">
        <v>1</v>
      </c>
      <c r="G21" s="11">
        <v>21876</v>
      </c>
      <c r="I21" s="11" t="str">
        <v>.</v>
      </c>
    </row>
    <row r="22" ht="50" customHeight="1" xml:space="preserve">
      <c r="A22" s="11" t="str">
        <v>AOW02</v>
      </c>
      <c r="C22" s="11" t="str" xml:space="preserve">
        <v xml:space="preserve">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v>
      </c>
      <c r="D22" s="11" t="str">
        <v xml:space="preserve"> Number of stakeholder groups involved in  Living Landscape validation using digital tools</v>
      </c>
      <c r="E22" s="11" t="str">
        <v>Country: Kenya, India, The Socialist Republic of Viet Nam, Ethiopia</v>
      </c>
      <c r="F22" s="11">
        <v>10</v>
      </c>
      <c r="G22" s="11">
        <v>21876</v>
      </c>
      <c r="I22" s="11" t="str">
        <v>.</v>
      </c>
    </row>
    <row r="23" ht="50" customHeight="1" xml:space="preserve">
      <c r="A23" s="11" t="str">
        <v>AOW02</v>
      </c>
      <c r="C23" s="11" t="str" xml:space="preserve">
        <v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v>
      </c>
      <c r="D23" s="11" t="str">
        <v>Number of knowledge products</v>
      </c>
      <c r="E23" s="11" t="str">
        <v>Country: Kenya, Colombia, Peru, India</v>
      </c>
      <c r="F23" s="11">
        <v>2</v>
      </c>
      <c r="G23" s="11">
        <v>43752</v>
      </c>
      <c r="I23" s="11" t="str">
        <v>.</v>
      </c>
    </row>
    <row r="24" ht="50" customHeight="1" xml:space="preserve">
      <c r="A24" s="11" t="str">
        <v>AOW02</v>
      </c>
      <c r="B24" s="11" t="str">
        <v>OP 2.2.4. – Digital Twins for foresight</v>
      </c>
      <c r="C24" s="11" t="str" xml:space="preserve">
        <v xml:space="preserve">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v>
      </c>
      <c r="D24" s="11" t="str">
        <v>Number of innovations (innovation development)</v>
      </c>
      <c r="E24" s="11" t="str">
        <v>Global</v>
      </c>
      <c r="F24" s="11">
        <v>1</v>
      </c>
      <c r="G24" s="11">
        <v>30626</v>
      </c>
      <c r="H24" s="11">
        <f>SUM(G24:G27)</f>
      </c>
      <c r="I24" s="11" t="str">
        <v>.</v>
      </c>
    </row>
    <row r="25" ht="50" customHeight="1" xml:space="preserve">
      <c r="A25" s="11" t="str">
        <v>AOW02</v>
      </c>
      <c r="C25" s="11" t="str" xml:space="preserve">
        <v xml:space="preserve">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v>
      </c>
      <c r="D25" s="11" t="str">
        <v>Number of knowledge products</v>
      </c>
      <c r="E25" s="11" t="str">
        <v>Global</v>
      </c>
      <c r="F25" s="11">
        <v>2</v>
      </c>
      <c r="G25" s="11">
        <v>27710</v>
      </c>
      <c r="I25" s="11" t="str">
        <v>.</v>
      </c>
    </row>
    <row r="26" ht="50" customHeight="1" xml:space="preserve">
      <c r="A26" s="11" t="str">
        <v>AOW02</v>
      </c>
      <c r="C26" s="11" t="str" xml:space="preserve">
        <v xml:space="preserve">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v>
      </c>
      <c r="D26" s="11" t="str">
        <v>Number of knowledge products</v>
      </c>
      <c r="E26" s="11" t="str">
        <v>Global</v>
      </c>
      <c r="F26" s="11">
        <v>1</v>
      </c>
      <c r="G26" s="11">
        <v>17987</v>
      </c>
      <c r="I26" s="11" t="str">
        <v>.</v>
      </c>
    </row>
    <row r="27" ht="50" customHeight="1" xml:space="preserve">
      <c r="A27" s="11" t="str">
        <v>AOW02</v>
      </c>
      <c r="C27" s="11" t="str" xml:space="preserve">
        <v xml:space="preserve">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v>
      </c>
      <c r="D27" s="11" t="str">
        <v>Number of knowledge products</v>
      </c>
      <c r="E27" s="11" t="str">
        <v>Global</v>
      </c>
      <c r="F27" s="11">
        <v>10</v>
      </c>
      <c r="G27" s="11">
        <v>35244</v>
      </c>
      <c r="I27" s="11" t="str">
        <v>.</v>
      </c>
    </row>
    <row r="28" ht="25" customHeight="1">
      <c r="B28" s="15" t="str">
        <v>HLO budget subtotal</v>
      </c>
      <c r="H28" s="15">
        <f>SUM(H12:H27)</f>
      </c>
    </row>
    <row r="29" ht="50" customHeight="1" xml:space="preserve">
      <c r="A29" s="13" t="str">
        <v>AOW03</v>
      </c>
      <c r="B29" s="11" t="str">
        <v>OP 3.1.1. Capacity strengthening for producer organizations &amp; value chains</v>
      </c>
      <c r="C29" s="11" t="str" xml:space="preserve">
        <v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v>
      </c>
      <c r="D29" s="11" t="str">
        <v>Number of people trained (capacity sharing for development)</v>
      </c>
      <c r="E29" s="11" t="str">
        <v>Country: Kenya</v>
      </c>
      <c r="F29" s="11">
        <v>100</v>
      </c>
      <c r="G29" s="11">
        <v>10938</v>
      </c>
      <c r="H29" s="11">
        <f>SUM(G29:G29)</f>
      </c>
      <c r="I29" s="11" t="str">
        <v>.</v>
      </c>
    </row>
    <row r="30" ht="50" customHeight="1" xml:space="preserve">
      <c r="A30" s="11" t="str">
        <v>AOW03</v>
      </c>
      <c r="B30" s="11" t="str">
        <v>OP 3.2.2. Inclusive business models</v>
      </c>
      <c r="C30" s="11" t="str" xml:space="preserve">
        <v xml:space="preserve">Deliverable - Market Study to Enhance Local Crop Diversity and Market Access for Indigenous Rice Varieties: Enhancing Local Crop Diversity and Market Access in Maharashtra - market study of local rice varieties
Indicator: Number of market study of local rice varieties</v>
      </c>
      <c r="D30" s="11" t="str">
        <v>Number of knowledge products</v>
      </c>
      <c r="E30" s="11" t="str">
        <v>Country: India</v>
      </c>
      <c r="F30" s="11">
        <v>1</v>
      </c>
      <c r="G30" s="11">
        <v>21876</v>
      </c>
      <c r="H30" s="11">
        <f>SUM(G30:G32)</f>
      </c>
      <c r="I30" s="11" t="str">
        <v>.</v>
      </c>
    </row>
    <row r="31" ht="50" customHeight="1" xml:space="preserve">
      <c r="A31" s="11" t="str">
        <v>AOW03</v>
      </c>
      <c r="C31" s="11" t="str" xml:space="preserve">
        <v xml:space="preserve">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v>
      </c>
      <c r="D31" s="11" t="str">
        <v>Number of innovations (innovation development)</v>
      </c>
      <c r="E31" s="11" t="str">
        <v>Country: The Socialist Republic of Viet Nam</v>
      </c>
      <c r="F31" s="11">
        <v>3</v>
      </c>
      <c r="G31" s="11">
        <v>29168</v>
      </c>
      <c r="I31" s="11" t="str">
        <v>.</v>
      </c>
    </row>
    <row r="32" ht="50" customHeight="1" xml:space="preserve">
      <c r="A32" s="11" t="str">
        <v>AOW03</v>
      </c>
      <c r="C32" s="11" t="str" xml:space="preserve">
        <v xml:space="preserve">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v>
      </c>
      <c r="D32" s="11" t="str">
        <v>Number of knowledge products</v>
      </c>
      <c r="E32" s="11" t="str">
        <v>Country: The Socialist Republic of Viet Nam</v>
      </c>
      <c r="F32" s="11">
        <v>3</v>
      </c>
      <c r="G32" s="11">
        <v>29168</v>
      </c>
      <c r="I32" s="11" t="str">
        <v>.</v>
      </c>
    </row>
    <row r="33" ht="50" customHeight="1" xml:space="preserve">
      <c r="A33" s="11" t="str">
        <v>AOW03</v>
      </c>
      <c r="B33" s="11" t="str">
        <v>OP 3.3.3. Co-designed inclusive market and non-market mechanisms for optimizing ecosystem services</v>
      </c>
      <c r="C33" s="11" t="str" xml:space="preserve">
        <v xml:space="preserve">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v>
      </c>
      <c r="D33" s="11" t="str">
        <v>Number of knowledge products</v>
      </c>
      <c r="E33" s="11" t="str">
        <v>Country: Colombia, Peru</v>
      </c>
      <c r="F33" s="11">
        <v>1</v>
      </c>
      <c r="G33" s="11">
        <v>14584</v>
      </c>
      <c r="H33" s="11">
        <f>SUM(G33:G35)</f>
      </c>
      <c r="I33" s="11" t="str">
        <v>.</v>
      </c>
    </row>
    <row r="34" ht="50" customHeight="1" xml:space="preserve">
      <c r="A34" s="11" t="str">
        <v>AOW03</v>
      </c>
      <c r="C34" s="11" t="str" xml:space="preserve">
        <v xml:space="preserve">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v>
      </c>
      <c r="D34" s="11" t="str">
        <v>Number of knowledge products</v>
      </c>
      <c r="E34" s="11" t="str">
        <v>Country: Colombia</v>
      </c>
      <c r="F34" s="11">
        <v>1</v>
      </c>
      <c r="G34" s="11">
        <v>14584</v>
      </c>
      <c r="I34" s="11" t="str">
        <v>.</v>
      </c>
    </row>
    <row r="35" ht="50" customHeight="1" xml:space="preserve">
      <c r="A35" s="11" t="str">
        <v>AOW03</v>
      </c>
      <c r="C35" s="11" t="str" xml:space="preserve">
        <v xml:space="preserve">Deliverable - Business Plans for Aggregated Farms: Business Plan developed for Agoro East, Jimo East and Vihiga based on the aggregation of the economic activities of the Aggregated Farm
Indicator: Number of Business Plans developed on Aggregated Farm models</v>
      </c>
      <c r="D35" s="11" t="str">
        <v>Number of knowledge products</v>
      </c>
      <c r="E35" s="11" t="str">
        <v>Country: Kenya</v>
      </c>
      <c r="F35" s="11">
        <v>2</v>
      </c>
      <c r="G35" s="11">
        <v>29168</v>
      </c>
      <c r="I35" s="11" t="str">
        <v>.</v>
      </c>
    </row>
    <row r="36" ht="25" customHeight="1">
      <c r="B36" s="15" t="str">
        <v>HLO budget subtotal</v>
      </c>
      <c r="H36" s="15">
        <f>SUM(H29:H35)</f>
      </c>
    </row>
    <row r="37" ht="50" customHeight="1" xml:space="preserve">
      <c r="A37" s="13" t="str">
        <v>AOW04</v>
      </c>
      <c r="B37" s="11" t="str">
        <v>OP 4.1.1. Inclusive governance architectures</v>
      </c>
      <c r="C37" s="11" t="str" xml:space="preserve">
        <v xml:space="preserve">Deliverable: Co-designing and developing bio-community protocols for access and benefit sharing of genetic resources
Indicator: Number of bio-community protocols co-designed
</v>
      </c>
      <c r="D37" s="11" t="str">
        <v>Number of knowledge products</v>
      </c>
      <c r="E37" s="11" t="str">
        <v>Country: Tanzania, United Republic, Kenya</v>
      </c>
      <c r="F37" s="11">
        <v>8</v>
      </c>
      <c r="G37" s="11">
        <v>29168</v>
      </c>
      <c r="H37" s="11">
        <f>SUM(G37:G39)</f>
      </c>
      <c r="I37" s="11" t="str">
        <v>.</v>
      </c>
    </row>
    <row r="38" ht="50" customHeight="1" xml:space="preserve">
      <c r="A38" s="11" t="str">
        <v>AOW04</v>
      </c>
      <c r="C38" s="11" t="str" xml:space="preserve">
        <v xml:space="preserve">Deliverable: Local governance designs for aggregated farms in Kenya including benefit sharing, conflict resolution and adaptive management practices.
Indicator: Number of reports on governance designs</v>
      </c>
      <c r="D38" s="11" t="str">
        <v>Number of innovations (innovation development)</v>
      </c>
      <c r="E38" s="11" t="str">
        <v>Country: Tanzania, United Republic, Kenya</v>
      </c>
      <c r="F38" s="11">
        <v>3</v>
      </c>
      <c r="G38" s="11">
        <v>29168</v>
      </c>
      <c r="I38" s="11" t="str">
        <v>.</v>
      </c>
    </row>
    <row r="39" ht="50" customHeight="1" xml:space="preserve">
      <c r="A39" s="11" t="str">
        <v>AOW04</v>
      </c>
      <c r="C39" s="11" t="str" xml:space="preserve">
        <v xml:space="preserve">Deliverable - Designing two CSB-NGB collaboration protocols (protocols on collaboration between community seedbanks and national gene banks )
Indicator: Number of CSB-NGB collaboration protocols designed</v>
      </c>
      <c r="D39" s="11" t="str">
        <v>Number of knowledge products</v>
      </c>
      <c r="E39" s="11" t="str">
        <v>Country: Kenya, Tanzania, United Republic</v>
      </c>
      <c r="F39" s="11">
        <v>5</v>
      </c>
      <c r="G39" s="11">
        <v>29168</v>
      </c>
      <c r="I39" s="11" t="str">
        <v>.</v>
      </c>
    </row>
    <row r="40" ht="25" customHeight="1">
      <c r="B40" s="15" t="str">
        <v>HLO budget subtotal</v>
      </c>
      <c r="H40" s="15">
        <f>SUM(H37:H39)</f>
      </c>
    </row>
    <row r="41" ht="50" customHeight="1" xml:space="preserve">
      <c r="A41" s="13" t="str">
        <v>AOW05</v>
      </c>
      <c r="B41" s="11" t="str">
        <v>OP 5.1.2 Landscape-specific assessment frameworks</v>
      </c>
      <c r="C41" s="11" t="str" xml:space="preserve">
        <v xml:space="preserve">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v>
      </c>
      <c r="D41" s="11" t="str">
        <v>Number of innovations (innovation development)</v>
      </c>
      <c r="E41" s="11" t="str">
        <v>Country: India</v>
      </c>
      <c r="F41" s="11">
        <v>1</v>
      </c>
      <c r="G41" s="11">
        <v>80212</v>
      </c>
      <c r="H41" s="11">
        <f>SUM(G41:G44)</f>
      </c>
      <c r="I41" s="11" t="str">
        <v>.</v>
      </c>
    </row>
    <row r="42" ht="50" customHeight="1" xml:space="preserve">
      <c r="A42" s="11" t="str">
        <v>AOW05</v>
      </c>
      <c r="C42" s="11" t="str" xml:space="preserve">
        <v xml:space="preserve">Deliverable - Landscape performance assessment policy briefs and scientific publication for India, Kenya, Peru, Tunisia and cross-country landscapes 
Indicator: Number of policy briefs</v>
      </c>
      <c r="D42" s="11" t="str">
        <v>Number of knowledge products</v>
      </c>
      <c r="E42" s="11" t="str">
        <v>Country: Tunisia, India, Peru, Kenya</v>
      </c>
      <c r="F42" s="11">
        <v>3</v>
      </c>
      <c r="G42" s="11">
        <v>58336</v>
      </c>
      <c r="I42" s="11" t="str">
        <v>.</v>
      </c>
    </row>
    <row r="43" ht="50" customHeight="1" xml:space="preserve">
      <c r="A43" s="11" t="str">
        <v>AOW05</v>
      </c>
      <c r="C43" s="11" t="str" xml:space="preserve">
        <v xml:space="preserve">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v>
      </c>
      <c r="D43" s="11" t="str">
        <v>Number of knowledge products</v>
      </c>
      <c r="E43" s="11" t="str">
        <v>Country: Ethiopia, Peru</v>
      </c>
      <c r="F43" s="11">
        <v>1</v>
      </c>
      <c r="G43" s="11">
        <v>36460</v>
      </c>
      <c r="I43" s="11" t="str">
        <v>.</v>
      </c>
    </row>
    <row r="44" ht="50" customHeight="1" xml:space="preserve">
      <c r="A44" s="11" t="str">
        <v>AOW05</v>
      </c>
      <c r="C44" s="11" t="str" xml:space="preserve">
        <v xml:space="preserve">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v>
      </c>
      <c r="D44" s="11" t="str">
        <v>Number of innovations (innovation development)</v>
      </c>
      <c r="E44" s="11" t="str">
        <v>Country: Kenya, India, Ethiopia</v>
      </c>
      <c r="F44" s="11">
        <v>1</v>
      </c>
      <c r="G44" s="11">
        <v>43752</v>
      </c>
      <c r="I44" s="11" t="str">
        <v>.</v>
      </c>
    </row>
    <row r="45" ht="50" customHeight="1" xml:space="preserve">
      <c r="A45" s="11" t="str">
        <v>AOW05</v>
      </c>
      <c r="B45" s="11" t="str">
        <v>OP 5.2.1. Knowledge and information hubs</v>
      </c>
      <c r="C45" s="11" t="str" xml:space="preserve">
        <v xml:space="preserve">Deliverable - Knowledge and Information Hub launched 
Indicator: Number of comprehensive open-access knowledge and information hubs on multifunctional landscape performance launched</v>
      </c>
      <c r="D45" s="11" t="str">
        <v>Number of innovations (innovation development)</v>
      </c>
      <c r="E45" s="11" t="str">
        <v>Country: Lao People's Democratic Republic, Cambodia, The Socialist Republic of Viet Nam, Tunisia, Kenya, India, Senegal, Peru, Colombia, Zimbabwe, Ethiopia, Tanzania, United Republic</v>
      </c>
      <c r="F45" s="11">
        <v>1</v>
      </c>
      <c r="G45" s="11">
        <v>145840</v>
      </c>
      <c r="H45" s="11">
        <f>SUM(G45:G46)</f>
      </c>
      <c r="I45" s="11" t="str">
        <v>.</v>
      </c>
    </row>
    <row r="46" ht="50" customHeight="1" xml:space="preserve">
      <c r="A46" s="11" t="str">
        <v>AOW05</v>
      </c>
      <c r="C46" s="11" t="str" xml:space="preserve">
        <v xml:space="preserve">Deliverable - Interactive knowledge hub providing access to data and evidence on the performance of multifunctional fields, farms and landscapes 
Indicator: Number of knowledge hubs on evidence on multifunctional fields, farms and landscapes</v>
      </c>
      <c r="D46" s="11" t="str">
        <v>Number of innovations (innovation development)</v>
      </c>
      <c r="E46" s="11" t="str">
        <v>Country: Lao People's Democratic Republic, Tunisia, Senegal, Ethiopia, India, Zimbabwe, Peru, Cambodia, Tanzania, United Republic, The Socialist Republic of Viet Nam, Kenya, Colombia</v>
      </c>
      <c r="F46" s="11">
        <v>1</v>
      </c>
      <c r="G46" s="11">
        <v>159488</v>
      </c>
      <c r="I46" s="11" t="str">
        <v>.</v>
      </c>
    </row>
    <row r="47" ht="25" customHeight="1">
      <c r="B47" s="15" t="str">
        <v>HLO budget subtotal</v>
      </c>
      <c r="H47" s="15">
        <f>SUM(H41:H46)</f>
      </c>
    </row>
  </sheetData>
  <mergeCells count="35">
    <mergeCell ref="A1:A2"/>
    <mergeCell ref="B1:B2"/>
    <mergeCell ref="C1:G1"/>
    <mergeCell ref="H1:H2"/>
    <mergeCell ref="I1:I2"/>
    <mergeCell ref="B3:B8"/>
    <mergeCell ref="H3:H8"/>
    <mergeCell ref="B9:B10"/>
    <mergeCell ref="H9:H10"/>
    <mergeCell ref="B11:G11"/>
    <mergeCell ref="A3:A11"/>
    <mergeCell ref="B12:B15"/>
    <mergeCell ref="H12:H15"/>
    <mergeCell ref="B16:B23"/>
    <mergeCell ref="H16:H23"/>
    <mergeCell ref="B24:B27"/>
    <mergeCell ref="H24:H27"/>
    <mergeCell ref="B28:G28"/>
    <mergeCell ref="A12:A28"/>
    <mergeCell ref="B30:B32"/>
    <mergeCell ref="H30:H32"/>
    <mergeCell ref="B33:B35"/>
    <mergeCell ref="H33:H35"/>
    <mergeCell ref="B36:G36"/>
    <mergeCell ref="A29:A36"/>
    <mergeCell ref="B37:B39"/>
    <mergeCell ref="H37:H39"/>
    <mergeCell ref="B40:G40"/>
    <mergeCell ref="A37:A40"/>
    <mergeCell ref="B41:B44"/>
    <mergeCell ref="H41:H44"/>
    <mergeCell ref="B45:B46"/>
    <mergeCell ref="H45:H46"/>
    <mergeCell ref="B47:G47"/>
    <mergeCell ref="A41:A47"/>
  </mergeCells>
  <ignoredErrors>
    <ignoredError numberStoredAsText="1" sqref="A1:I4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8" t="str">
        <v>Collaborators non-CGIAR centers</v>
      </c>
      <c r="B2" s="18">
        <v>110000</v>
      </c>
      <c r="C2" s="18">
        <v>0</v>
      </c>
      <c r="D2" s="18">
        <v>0</v>
      </c>
      <c r="E2" s="18">
        <v>0</v>
      </c>
      <c r="F2" s="18">
        <v>0</v>
      </c>
      <c r="G2" s="18">
        <v>0</v>
      </c>
      <c r="H2" s="18" t="str">
        <f>=SUM(B2:G2)</f>
        <v>0</v>
      </c>
    </row>
    <row r="3" ht="20" customHeight="1">
      <c r="A3" s="18" t="str">
        <v>Operations (supplies, consultants, travels, workshops, other)</v>
      </c>
      <c r="B3" s="18">
        <v>285000</v>
      </c>
      <c r="C3" s="18">
        <v>266888</v>
      </c>
      <c r="D3" s="18">
        <v>170334</v>
      </c>
      <c r="E3" s="18">
        <v>53127</v>
      </c>
      <c r="F3" s="18">
        <v>31099</v>
      </c>
      <c r="G3" s="18">
        <v>186261</v>
      </c>
      <c r="H3" s="18" t="str">
        <f>=SUM(B3:G3)</f>
        <v>0</v>
      </c>
    </row>
    <row r="4" ht="20" customHeight="1">
      <c r="A4" s="18" t="str">
        <v>Staffing, Chargebacks and Indirect</v>
      </c>
      <c r="B4" s="18">
        <v>40000</v>
      </c>
      <c r="C4" s="18">
        <v>519562</v>
      </c>
      <c r="D4" s="18">
        <v>308940</v>
      </c>
      <c r="E4" s="18">
        <v>96359</v>
      </c>
      <c r="F4" s="18">
        <v>56405</v>
      </c>
      <c r="G4" s="18">
        <v>337827</v>
      </c>
      <c r="H4" s="18" t="str">
        <f>=SUM(B4:G4)</f>
        <v>0</v>
      </c>
    </row>
    <row r="5" ht="20" customHeight="1">
      <c r="A5" s="19" t="str">
        <v>Subtotal</v>
      </c>
      <c r="B5" s="20" t="str">
        <f>=SUM(B2:B4)</f>
        <v>0</v>
      </c>
      <c r="C5" s="21" t="str">
        <f>=SUM(C2:C4)</f>
        <v>0</v>
      </c>
      <c r="D5" s="21" t="str">
        <f>=SUM(D2:D4)</f>
        <v>0</v>
      </c>
      <c r="E5" s="21" t="str">
        <f>=SUM(E2:E4)</f>
        <v>0</v>
      </c>
      <c r="F5" s="21" t="str">
        <f>=SUM(F2:F4)</f>
        <v>0</v>
      </c>
      <c r="G5" s="21" t="str">
        <f>=SUM(G2:G4)</f>
        <v>0</v>
      </c>
      <c r="H5" s="21"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