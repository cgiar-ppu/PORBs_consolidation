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5</v>
      </c>
      <c r="E5" s="5">
        <v>37301</v>
      </c>
      <c r="F5" s="2">
        <v>0</v>
      </c>
      <c r="G5" s="5">
        <v>0</v>
      </c>
      <c r="H5" s="2">
        <v>5</v>
      </c>
      <c r="I5" s="5">
        <v>37301</v>
      </c>
      <c r="J5" s="5">
        <v>0</v>
      </c>
      <c r="K5" s="5">
        <v>0</v>
      </c>
      <c r="L5" s="5">
        <v>74602</v>
      </c>
      <c r="M5" s="5">
        <v>0</v>
      </c>
    </row>
    <row r="6" ht="20" customHeight="1">
      <c r="A6" s="2" t="str">
        <v xml:space="preserve">AOW02: Market-led Food Systems Transformation </v>
      </c>
      <c r="B6" s="2">
        <v>0</v>
      </c>
      <c r="C6" s="5">
        <v>0</v>
      </c>
      <c r="D6" s="2">
        <v>0</v>
      </c>
      <c r="E6" s="5">
        <v>0</v>
      </c>
      <c r="F6" s="2">
        <v>0</v>
      </c>
      <c r="G6" s="5">
        <v>0</v>
      </c>
      <c r="H6" s="2">
        <v>0</v>
      </c>
      <c r="I6" s="5">
        <v>0</v>
      </c>
      <c r="J6" s="5">
        <v>0</v>
      </c>
      <c r="K6" s="5">
        <v>0</v>
      </c>
      <c r="L6" s="5">
        <v>0</v>
      </c>
      <c r="M6" s="5">
        <v>0</v>
      </c>
    </row>
    <row r="7" ht="20" customHeight="1">
      <c r="A7" s="2" t="str">
        <v xml:space="preserve">AOW03: Governance and Political Economy </v>
      </c>
      <c r="B7" s="2">
        <v>0</v>
      </c>
      <c r="C7" s="5">
        <v>0</v>
      </c>
      <c r="D7" s="2">
        <v>1</v>
      </c>
      <c r="E7" s="5">
        <v>13062</v>
      </c>
      <c r="F7" s="2">
        <v>10</v>
      </c>
      <c r="G7" s="5">
        <v>17707</v>
      </c>
      <c r="H7" s="2">
        <v>4</v>
      </c>
      <c r="I7" s="5">
        <v>43832</v>
      </c>
      <c r="J7" s="5">
        <v>0</v>
      </c>
      <c r="K7" s="5">
        <v>0</v>
      </c>
      <c r="L7" s="5">
        <v>74601</v>
      </c>
      <c r="M7" s="5">
        <v>0</v>
      </c>
    </row>
    <row r="8" ht="20" customHeight="1">
      <c r="A8" s="2" t="str">
        <v xml:space="preserve">AOW04: Water, Energy, Food, and Environment (WEFE) Nexus Policy </v>
      </c>
      <c r="B8" s="2">
        <v>0</v>
      </c>
      <c r="C8" s="5">
        <v>0</v>
      </c>
      <c r="D8" s="2">
        <v>0</v>
      </c>
      <c r="E8" s="5">
        <v>0</v>
      </c>
      <c r="F8" s="2">
        <v>0</v>
      </c>
      <c r="G8" s="5">
        <v>0</v>
      </c>
      <c r="H8" s="2">
        <v>0</v>
      </c>
      <c r="I8" s="5">
        <v>0</v>
      </c>
      <c r="J8" s="5">
        <v>0</v>
      </c>
      <c r="K8" s="5">
        <v>0</v>
      </c>
      <c r="L8" s="5">
        <v>0</v>
      </c>
      <c r="M8" s="5">
        <v>0</v>
      </c>
    </row>
    <row r="9" ht="20" customHeight="1">
      <c r="A9" s="2" t="str">
        <v>AOW05: Country and Regional Strategy and Engagement</v>
      </c>
      <c r="B9" s="2">
        <v>0</v>
      </c>
      <c r="C9" s="5">
        <v>0</v>
      </c>
      <c r="D9" s="2">
        <v>0</v>
      </c>
      <c r="E9" s="5">
        <v>0</v>
      </c>
      <c r="F9" s="2">
        <v>0</v>
      </c>
      <c r="G9" s="5">
        <v>0</v>
      </c>
      <c r="H9" s="2">
        <v>0</v>
      </c>
      <c r="I9" s="5">
        <v>0</v>
      </c>
      <c r="J9" s="5">
        <v>0</v>
      </c>
      <c r="K9" s="5">
        <v>0</v>
      </c>
      <c r="L9" s="5">
        <v>0</v>
      </c>
      <c r="M9" s="5">
        <v>0</v>
      </c>
    </row>
    <row r="10" ht="20" customHeight="1">
      <c r="A10" s="2" t="str">
        <v xml:space="preserve">AOW06: Global Poverty and Jobs Policy Knowledge Brokering Hub </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 Agenda Setting</v>
      </c>
      <c r="C3" s="11" t="str">
        <v>Regional and commodity-specific briefs (from animal-sourced foods global report): Policy recommendations developed from report</v>
      </c>
      <c r="D3" s="11" t="str">
        <v xml:space="preserve"> Policy recommendation </v>
      </c>
      <c r="E3" s="11" t="str">
        <v>Country: Bangladesh, Ethiopia, Kenya</v>
      </c>
      <c r="F3" s="11">
        <v>5</v>
      </c>
      <c r="G3" s="11">
        <v>37301</v>
      </c>
      <c r="H3" s="11">
        <f>SUM(G3:G4)</f>
      </c>
      <c r="I3" s="11" t="str">
        <v>Budget and partners to be added Q1 2026</v>
      </c>
    </row>
    <row r="4" ht="50" customHeight="1">
      <c r="A4" s="11" t="str">
        <v>AOW01</v>
      </c>
      <c r="C4" s="11" t="str">
        <v>Regional and commodity-specific briefs  (from animal-sourced foods global report)</v>
      </c>
      <c r="D4" s="11" t="str">
        <v>Number of knowledge products</v>
      </c>
      <c r="E4" s="11" t="str">
        <v>Country: Kenya, Ethiopia, Bangladesh</v>
      </c>
      <c r="F4" s="11">
        <v>5</v>
      </c>
      <c r="G4" s="11">
        <v>37301</v>
      </c>
      <c r="I4" s="11" t="str">
        <v>Budget and partners to be added Q1 2026</v>
      </c>
    </row>
    <row r="5" ht="25" customHeight="1">
      <c r="B5" s="14" t="str">
        <v>HLO budget subtotal</v>
      </c>
      <c r="H5" s="15">
        <f>SUM(H3:H4)</f>
      </c>
    </row>
    <row r="6" ht="50" customHeight="1">
      <c r="A6" s="13" t="str">
        <v>AOW03</v>
      </c>
      <c r="B6" s="11" t="str">
        <v>3.2. Policy response</v>
      </c>
      <c r="C6" s="11" t="str">
        <v>Kenya Fisheries Subsidies Diagnostic and Reform Roadmap. This roadmap will be shared with the Government to inform their policy. Verification that Policy was informed will be provided based on standard verification procedure (Public or written statement of decision maker).</v>
      </c>
      <c r="D6" s="11" t="str">
        <v xml:space="preserve"> Policy informed</v>
      </c>
      <c r="E6" s="11" t="str">
        <v>Country: Kenya</v>
      </c>
      <c r="F6" s="11">
        <v>1</v>
      </c>
      <c r="G6" s="11">
        <v>13063</v>
      </c>
      <c r="H6" s="11">
        <f>SUM(G6:G8)</f>
      </c>
      <c r="I6" s="11" t="str">
        <v>Budget and partners to be added Q1 2026</v>
      </c>
    </row>
    <row r="7" ht="50" customHeight="1">
      <c r="A7" s="11" t="str">
        <v>AOW03</v>
      </c>
      <c r="C7" s="11" t="str">
        <v>Kenya Fisheries Subsidies Diagnostic and Reform Roadmap</v>
      </c>
      <c r="D7" s="11" t="str">
        <v xml:space="preserve"> No. of policy recommendations developed</v>
      </c>
      <c r="E7" s="11" t="str">
        <v>Country: Malaysia, Kenya</v>
      </c>
      <c r="F7" s="11">
        <v>2</v>
      </c>
      <c r="G7" s="11">
        <v>13063</v>
      </c>
      <c r="I7" s="11" t="str">
        <v>Budget and partners to be added Q1 2026</v>
      </c>
    </row>
    <row r="8" ht="50" customHeight="1">
      <c r="A8" s="11" t="str">
        <v>AOW03</v>
      </c>
      <c r="C8" s="11" t="str">
        <v>Kenya Fisheries Subsidies Diagnostic and Reform Roadmap</v>
      </c>
      <c r="D8" s="11" t="str">
        <v>Number of knowledge products</v>
      </c>
      <c r="E8" s="11" t="str">
        <v>Country: Malaysia, Kenya</v>
      </c>
      <c r="F8" s="11">
        <v>1</v>
      </c>
      <c r="G8" s="11">
        <v>13062</v>
      </c>
      <c r="I8" s="11" t="str">
        <v>Budget and partners to be added Q1 2026</v>
      </c>
    </row>
    <row r="9" ht="50" customHeight="1">
      <c r="A9" s="11" t="str">
        <v>AOW03</v>
      </c>
      <c r="B9" s="11" t="str">
        <v>3.3. Capacity sharing activities</v>
      </c>
      <c r="C9" s="11" t="str">
        <v>Policy Dialogue &amp; Capacity Strengthening: to co-design equitable reform pathways for repurposing  subsidies, domesticating the WTO agreement</v>
      </c>
      <c r="D9" s="11" t="str">
        <v xml:space="preserve"> Policy demand, consultations &amp; dialogues</v>
      </c>
      <c r="E9" s="11" t="str">
        <v>Country: Kenya, Malaysia</v>
      </c>
      <c r="F9" s="11">
        <v>1</v>
      </c>
      <c r="G9" s="11">
        <v>17706</v>
      </c>
      <c r="H9" s="11">
        <f>SUM(G9:G10)</f>
      </c>
      <c r="I9" s="11" t="str">
        <v>Budget and partners to be added Q1 2026</v>
      </c>
    </row>
    <row r="10" ht="50" customHeight="1">
      <c r="A10" s="11" t="str">
        <v>AOW03</v>
      </c>
      <c r="C10" s="11" t="str">
        <v>Policy Dialogue &amp; Capacity Strengthening: to co-design equitable reform pathways for repurposing  subsidies, domesticating the WTO agreement: Capacity sharing workshop</v>
      </c>
      <c r="D10" s="11" t="str">
        <v>Number of people trained (capacity sharing for development)</v>
      </c>
      <c r="E10" s="11" t="str">
        <v>Country: Malaysia, Kenya</v>
      </c>
      <c r="F10" s="11">
        <v>10</v>
      </c>
      <c r="G10" s="11">
        <v>17707</v>
      </c>
      <c r="I10" s="11" t="str">
        <v>Budget and partners to be added Q1 2026</v>
      </c>
    </row>
    <row r="11" ht="25" customHeight="1">
      <c r="B11" s="15" t="str">
        <v>HLO budget subtotal</v>
      </c>
      <c r="H11" s="15">
        <f>SUM(H6:H10)</f>
      </c>
    </row>
  </sheetData>
  <mergeCells count="15">
    <mergeCell ref="A1:A2"/>
    <mergeCell ref="B1:B2"/>
    <mergeCell ref="C1:G1"/>
    <mergeCell ref="H1:H2"/>
    <mergeCell ref="I1:I2"/>
    <mergeCell ref="B3:B4"/>
    <mergeCell ref="H3:H4"/>
    <mergeCell ref="B5:G5"/>
    <mergeCell ref="A3:A5"/>
    <mergeCell ref="B6:B8"/>
    <mergeCell ref="H6:H8"/>
    <mergeCell ref="B9:B10"/>
    <mergeCell ref="H9:H10"/>
    <mergeCell ref="B11:G11"/>
    <mergeCell ref="A6:A11"/>
  </mergeCells>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18" t="str">
        <v>Collaborators non-CGIAR centers</v>
      </c>
      <c r="B2" s="18">
        <v>0</v>
      </c>
      <c r="C2" s="18">
        <v>0</v>
      </c>
      <c r="D2" s="18">
        <v>0</v>
      </c>
      <c r="E2" s="18">
        <v>0</v>
      </c>
      <c r="F2" s="18">
        <v>0</v>
      </c>
      <c r="G2" s="18">
        <v>0</v>
      </c>
      <c r="H2" s="18">
        <v>0</v>
      </c>
      <c r="I2" s="18" t="str">
        <f>=SUM(B2:H2)</f>
        <v>0</v>
      </c>
    </row>
    <row r="3" ht="20" customHeight="1">
      <c r="A3" s="18" t="str">
        <v>Operations (supplies, consultants, travels, workshops, other)</v>
      </c>
      <c r="B3" s="18">
        <v>0</v>
      </c>
      <c r="C3" s="18">
        <v>13989</v>
      </c>
      <c r="D3" s="18">
        <v>0</v>
      </c>
      <c r="E3" s="18">
        <v>14267</v>
      </c>
      <c r="F3" s="18">
        <v>0</v>
      </c>
      <c r="G3" s="18">
        <v>0</v>
      </c>
      <c r="H3" s="18">
        <v>0</v>
      </c>
      <c r="I3" s="18" t="str">
        <f>=SUM(B3:H3)</f>
        <v>0</v>
      </c>
    </row>
    <row r="4" ht="20" customHeight="1">
      <c r="A4" s="18" t="str">
        <v>Staffing, Chargebacks and Indirect</v>
      </c>
      <c r="B4" s="18">
        <v>20200</v>
      </c>
      <c r="C4" s="18">
        <v>60613</v>
      </c>
      <c r="D4" s="18">
        <v>0</v>
      </c>
      <c r="E4" s="18">
        <v>60334</v>
      </c>
      <c r="F4" s="18">
        <v>0</v>
      </c>
      <c r="G4" s="18">
        <v>0</v>
      </c>
      <c r="H4" s="18">
        <v>0</v>
      </c>
      <c r="I4" s="18" t="str">
        <f>=SUM(B4:H4)</f>
        <v>0</v>
      </c>
    </row>
    <row r="5" ht="20" customHeight="1">
      <c r="A5" s="19" t="str">
        <v>Subtotal</v>
      </c>
      <c r="B5" s="20" t="str">
        <f>=SUM(B2:B4)</f>
        <v>0</v>
      </c>
      <c r="C5" s="21" t="str">
        <f>=SUM(C2:C4)</f>
        <v>0</v>
      </c>
      <c r="D5" s="21" t="str">
        <f>=SUM(D2:D4)</f>
        <v>0</v>
      </c>
      <c r="E5" s="21" t="str">
        <f>=SUM(E2:E4)</f>
        <v>0</v>
      </c>
      <c r="F5" s="21" t="str">
        <f>=SUM(F2:F4)</f>
        <v>0</v>
      </c>
      <c r="G5" s="21" t="str">
        <f>=SUM(G2:G4)</f>
        <v>0</v>
      </c>
      <c r="H5" s="21" t="str">
        <f>=SUM(H2:H4)</f>
        <v>0</v>
      </c>
      <c r="I5" s="21"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