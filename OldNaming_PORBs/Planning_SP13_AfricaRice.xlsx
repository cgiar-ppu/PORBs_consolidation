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Biodiversity Conservation</v>
      </c>
      <c r="B5" s="2">
        <v>5</v>
      </c>
      <c r="C5" s="5">
        <v>90394</v>
      </c>
      <c r="D5" s="2">
        <v>3</v>
      </c>
      <c r="E5" s="5">
        <v>43000</v>
      </c>
      <c r="F5" s="2">
        <v>0</v>
      </c>
      <c r="G5" s="5">
        <v>0</v>
      </c>
      <c r="H5" s="2">
        <v>774</v>
      </c>
      <c r="I5" s="5">
        <v>287736</v>
      </c>
      <c r="J5" s="5">
        <v>0</v>
      </c>
      <c r="K5" s="5">
        <v>0</v>
      </c>
      <c r="L5" s="5">
        <v>421130</v>
      </c>
      <c r="M5" s="5">
        <v>0</v>
      </c>
    </row>
    <row r="6" ht="20" customHeight="1">
      <c r="A6" s="2" t="str">
        <v>AOW02: Strategic User Engagement</v>
      </c>
      <c r="B6" s="2">
        <v>0</v>
      </c>
      <c r="C6" s="5">
        <v>0</v>
      </c>
      <c r="D6" s="2">
        <v>2</v>
      </c>
      <c r="E6" s="5">
        <v>5000</v>
      </c>
      <c r="F6" s="2">
        <v>0</v>
      </c>
      <c r="G6" s="5">
        <v>0</v>
      </c>
      <c r="H6" s="2">
        <v>11</v>
      </c>
      <c r="I6" s="5">
        <v>25000</v>
      </c>
      <c r="J6" s="5">
        <v>0</v>
      </c>
      <c r="K6" s="5">
        <v>0</v>
      </c>
      <c r="L6" s="5">
        <v>30000</v>
      </c>
      <c r="M6" s="5">
        <v>0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Germplasm Health</v>
      </c>
      <c r="B8" s="2">
        <v>4</v>
      </c>
      <c r="C8" s="5">
        <v>60000</v>
      </c>
      <c r="D8" s="2">
        <v>5</v>
      </c>
      <c r="E8" s="5">
        <v>60000</v>
      </c>
      <c r="F8" s="2">
        <v>0</v>
      </c>
      <c r="G8" s="5">
        <v>0</v>
      </c>
      <c r="H8" s="2">
        <v>76</v>
      </c>
      <c r="I8" s="5">
        <v>60000</v>
      </c>
      <c r="J8" s="5">
        <v>0</v>
      </c>
      <c r="K8" s="5">
        <v>0</v>
      </c>
      <c r="L8" s="5">
        <v>180000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1</v>
      </c>
      <c r="E9" s="5">
        <v>3000</v>
      </c>
      <c r="F9" s="2">
        <v>3</v>
      </c>
      <c r="G9" s="5">
        <v>10000</v>
      </c>
      <c r="H9" s="2">
        <v>1001</v>
      </c>
      <c r="I9" s="5">
        <v>191000</v>
      </c>
      <c r="J9" s="5">
        <v>0</v>
      </c>
      <c r="K9" s="5">
        <v>0</v>
      </c>
      <c r="L9" s="5">
        <v>204000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Annual planning + consultation + communications</v>
      </c>
      <c r="D4" s="11">
        <v>0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0</v>
      </c>
    </row>
    <row r="6" ht="45" customHeight="1">
      <c r="A6" s="11" t="str">
        <v>AOW00</v>
      </c>
      <c r="B6" s="11" t="str">
        <v>PMU (Coordinator, MELIA, Communication, Finance)</v>
      </c>
      <c r="D6" s="11">
        <v>0</v>
      </c>
    </row>
    <row r="7" ht="45" customHeight="1">
      <c r="A7" s="11" t="str">
        <v>AOW00</v>
      </c>
      <c r="B7" s="11" t="str">
        <v>Director costs</v>
      </c>
      <c r="D7" s="11">
        <v>0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 xml:space="preserve">
      <c r="A3" s="13" t="str">
        <v>AOW01</v>
      </c>
      <c r="B3" s="11" t="str">
        <v>1.1. All collections conserved according to international standards and best practices</v>
      </c>
      <c r="C3" s="11" t="str">
        <v>1.1.6. Accessions distributed to users outside the Genebank each year</v>
      </c>
      <c r="D3" s="11" t="str">
        <v xml:space="preserve"> </v>
      </c>
      <c r="E3" s="11" t="str">
        <v>Global</v>
      </c>
      <c r="F3" s="11">
        <v>200</v>
      </c>
      <c r="G3" s="11">
        <v>15000</v>
      </c>
      <c r="H3" s="11">
        <f>SUM(G3:G7)</f>
      </c>
      <c r="I3" s="11" t="str" xml:space="preserve">
        <v xml:space="preserve">Personnel costs will continue to increase at approximately 10% per year due to institutional salary adjustments
</v>
      </c>
    </row>
    <row r="4" ht="50" customHeight="1" xml:space="preserve">
      <c r="A4" s="11" t="str">
        <v>AOW01</v>
      </c>
      <c r="C4" s="11" t="str">
        <v>1.1.5. Crop collections reach and sustain genebank performance targets  (90% availability, safety duplication, documentation and Quality Management System (QMS))</v>
      </c>
      <c r="D4" s="11" t="str">
        <v xml:space="preserve"> </v>
      </c>
      <c r="E4" s="11" t="str">
        <v>Global</v>
      </c>
      <c r="F4" s="11">
        <v>1</v>
      </c>
      <c r="G4" s="11">
        <v>5000</v>
      </c>
      <c r="I4" s="11" t="str" xml:space="preserve">
        <v xml:space="preserve">Personnel costs will continue to increase at approximately 10% per year due to institutional salary adjustments
</v>
      </c>
    </row>
    <row r="5" ht="50" customHeight="1">
      <c r="A5" s="11" t="str">
        <v>AOW01</v>
      </c>
      <c r="C5" s="11" t="str">
        <v>1.1.1. Accessions made available for global distribution from CGIAR genebanks</v>
      </c>
      <c r="D5" s="11" t="str">
        <v xml:space="preserve"> </v>
      </c>
      <c r="E5" s="11" t="str">
        <v>Global</v>
      </c>
      <c r="F5" s="11">
        <v>95</v>
      </c>
      <c r="G5" s="11">
        <v>10000</v>
      </c>
      <c r="I5" s="11" t="str">
        <v>Personnel costs will continue to increase at approximately 10% per year due to institutional salary adjustments</v>
      </c>
    </row>
    <row r="6" ht="50" customHeight="1" xml:space="preserve">
      <c r="A6" s="11" t="str">
        <v>AOW01</v>
      </c>
      <c r="C6" s="11" t="str">
        <v>1.1.4. Average number of Quality Management System (QMS) elements in place across genebanks</v>
      </c>
      <c r="D6" s="11" t="str">
        <v xml:space="preserve"> </v>
      </c>
      <c r="E6" s="11" t="str">
        <v>Global</v>
      </c>
      <c r="F6" s="11">
        <v>35</v>
      </c>
      <c r="G6" s="11">
        <v>17236</v>
      </c>
      <c r="I6" s="11" t="str" xml:space="preserve">
        <v xml:space="preserve">Personnel costs will continue to increase at approximately 10% per year due to institutional salary adjustments
</v>
      </c>
    </row>
    <row r="7" ht="50" customHeight="1" xml:space="preserve">
      <c r="A7" s="11" t="str">
        <v>AOW01</v>
      </c>
      <c r="C7" s="11" t="str">
        <v>1.1.2. Seed accessions managed at CGIAR genebanks safety duplicated at two sites</v>
      </c>
      <c r="D7" s="11" t="str">
        <v xml:space="preserve"> </v>
      </c>
      <c r="E7" s="11" t="str">
        <v>Global</v>
      </c>
      <c r="F7" s="11">
        <v>96</v>
      </c>
      <c r="G7" s="11">
        <v>10000</v>
      </c>
      <c r="I7" s="11" t="str" xml:space="preserve">
        <v xml:space="preserve">Personnel costs will continue to increase at approximately 10% per year due to institutional salary adjustments
</v>
      </c>
    </row>
    <row r="8" ht="50" customHeight="1" xml:space="preserve">
      <c r="A8" s="11" t="str">
        <v>AOW01</v>
      </c>
      <c r="B8" s="11" t="str">
        <v>1.2. Innovations to enhance the efficiency of conserving collections</v>
      </c>
      <c r="C8" s="11" t="str">
        <v>1.2.5. Journal articles related to innovations to Seed Quality Management (SQM), in vitro and cryopreservation published each year</v>
      </c>
      <c r="D8" s="11" t="str">
        <v>Number of knowledge products</v>
      </c>
      <c r="E8" s="11" t="str">
        <v>Global</v>
      </c>
      <c r="F8" s="11">
        <v>2</v>
      </c>
      <c r="G8" s="11">
        <v>40000</v>
      </c>
      <c r="H8" s="11">
        <f>SUM(G8:G11)</f>
      </c>
      <c r="I8" s="11" t="str" xml:space="preserve">
        <v xml:space="preserve">Personnel costs will continue to increase at approximately 10% per year due to institutional salary adjustments
</v>
      </c>
    </row>
    <row r="9" ht="50" customHeight="1" xml:space="preserve">
      <c r="A9" s="11" t="str">
        <v>AOW01</v>
      </c>
      <c r="C9" s="11" t="str">
        <v>1.2.1. Crops for which multispectral-imaging algorithms for seed characterization and/or viability estimation are available</v>
      </c>
      <c r="D9" s="11" t="str">
        <v>Number of innovations (innovation development)</v>
      </c>
      <c r="E9" s="11" t="str">
        <v>Global</v>
      </c>
      <c r="F9" s="11">
        <v>1</v>
      </c>
      <c r="G9" s="11">
        <v>30394</v>
      </c>
      <c r="I9" s="11" t="str" xml:space="preserve">
        <v xml:space="preserve">Personnel costs will continue to increase at approximately 10% per year due to institutional salary adjustments
</v>
      </c>
    </row>
    <row r="10" ht="50" customHeight="1" xml:space="preserve">
      <c r="A10" s="11" t="str">
        <v>AOW01</v>
      </c>
      <c r="C10" s="11" t="str">
        <v>1.2.4. New or improved protocols to enhance the efficiency of conservation or to increase the availability of accessions</v>
      </c>
      <c r="D10" s="11" t="str">
        <v>Number of innovations (innovation development)</v>
      </c>
      <c r="E10" s="11" t="str">
        <v>Global</v>
      </c>
      <c r="F10" s="11">
        <v>3</v>
      </c>
      <c r="G10" s="11">
        <v>40000</v>
      </c>
      <c r="I10" s="11" t="str" xml:space="preserve">
        <v xml:space="preserve">Personnel costs will continue to increase at approximately 10% per year due to institutional salary adjustments
</v>
      </c>
    </row>
    <row r="11" ht="50" customHeight="1" xml:space="preserve">
      <c r="A11" s="11" t="str">
        <v>AOW01</v>
      </c>
      <c r="C11" s="11" t="str">
        <v>1.2.2. Taxa for which new viability testing protocols are made available each year</v>
      </c>
      <c r="D11" s="11" t="str">
        <v>Number of innovations (innovation development)</v>
      </c>
      <c r="E11" s="11" t="str">
        <v>Global</v>
      </c>
      <c r="F11" s="11">
        <v>1</v>
      </c>
      <c r="G11" s="11">
        <v>20000</v>
      </c>
      <c r="I11" s="11" t="str" xml:space="preserve">
        <v xml:space="preserve">Personnel costs will continue to increase at approximately 10% per year due to institutional salary adjustments
</v>
      </c>
    </row>
    <row r="12" ht="50" customHeight="1" xml:space="preserve">
      <c r="A12" s="11" t="str">
        <v>AOW01</v>
      </c>
      <c r="B12" s="11" t="str">
        <v xml:space="preserve">1.3. Optimized collection composition and structure to represent crop gene pools </v>
      </c>
      <c r="C12" s="11" t="str">
        <v>1.3.4. Journal articles related to optimized collections published</v>
      </c>
      <c r="D12" s="11" t="str">
        <v>Number of knowledge products</v>
      </c>
      <c r="E12" s="11" t="str">
        <v>Global</v>
      </c>
      <c r="F12" s="11">
        <v>1</v>
      </c>
      <c r="G12" s="11">
        <v>3000</v>
      </c>
      <c r="H12" s="11">
        <f>SUM(G12:G15)</f>
      </c>
      <c r="I12" s="11" t="str" xml:space="preserve">
        <v xml:space="preserve">Personnel costs will continue to increase at approximately 10% per year due to institutional salary adjustments
</v>
      </c>
    </row>
    <row r="13" ht="50" customHeight="1">
      <c r="A13" s="11" t="str">
        <v>AOW01</v>
      </c>
      <c r="C13" s="11" t="str">
        <v xml:space="preserve">1.3.3. Updated document on CGIAR accession management to include criteria and policies for eliminating redundant accessions </v>
      </c>
      <c r="D13" s="11" t="str">
        <v>Number of knowledge products</v>
      </c>
      <c r="E13" s="11" t="str">
        <v>Global</v>
      </c>
      <c r="F13" s="11">
        <v>1</v>
      </c>
      <c r="G13" s="11">
        <v>0</v>
      </c>
    </row>
    <row r="14" ht="50" customHeight="1" xml:space="preserve">
      <c r="A14" s="11" t="str">
        <v>AOW01</v>
      </c>
      <c r="C14" s="11" t="str">
        <v>1.3.2. Accessions earmarked as potentially redundant and/or archived each year</v>
      </c>
      <c r="D14" s="11" t="str">
        <v xml:space="preserve"> </v>
      </c>
      <c r="E14" s="11" t="str">
        <v>Global</v>
      </c>
      <c r="F14" s="11">
        <v>50</v>
      </c>
      <c r="G14" s="11">
        <v>37000</v>
      </c>
      <c r="I14" s="11" t="str" xml:space="preserve">
        <v xml:space="preserve">Personnel costs will continue to increase at approximately 10% per year due to institutional salary adjustments
</v>
      </c>
    </row>
    <row r="15" ht="50" customHeight="1" xml:space="preserve">
      <c r="A15" s="11" t="str">
        <v>AOW01</v>
      </c>
      <c r="C15" s="11" t="str">
        <v>1.3.1. New accessions acquired from in/ex situ</v>
      </c>
      <c r="D15" s="11" t="str">
        <v xml:space="preserve"> </v>
      </c>
      <c r="E15" s="11" t="str">
        <v>Global</v>
      </c>
      <c r="F15" s="11">
        <v>100</v>
      </c>
      <c r="G15" s="11">
        <v>70000</v>
      </c>
      <c r="I15" s="11" t="str" xml:space="preserve">
        <v xml:space="preserve">Personnel costs will continue to increase at approximately 10% per year due to institutional salary adjustments
</v>
      </c>
    </row>
    <row r="16" ht="50" customHeight="1">
      <c r="A16" s="11" t="str">
        <v>AOW01</v>
      </c>
      <c r="B16" s="11" t="str">
        <v>1.4. Effective and AI-ready data management systems using harmonized data standards across Centers</v>
      </c>
      <c r="C16" s="11" t="str">
        <v>1.4.2. Average % of genebank processes fully digitized through AI-ready, state-of-the-art database systems that adhere to harmonized data standards</v>
      </c>
      <c r="D16" s="11" t="str">
        <v xml:space="preserve"> </v>
      </c>
      <c r="E16" s="11" t="str">
        <v>Global</v>
      </c>
      <c r="F16" s="11">
        <v>100</v>
      </c>
      <c r="G16" s="11">
        <v>80000</v>
      </c>
      <c r="H16" s="11">
        <f>SUM(G16:G18)</f>
      </c>
      <c r="I16" s="11" t="str">
        <v>Personnel costs will continue to increase at approximately 10% per year due to institutional salary adjustments</v>
      </c>
    </row>
    <row r="17" ht="50" customHeight="1">
      <c r="A17" s="11" t="str">
        <v>AOW01</v>
      </c>
      <c r="C17" s="11" t="str">
        <v>1.4.3. Datasets uploaded to the GIGWA database to manage molecular accession data</v>
      </c>
      <c r="D17" s="11" t="str">
        <v xml:space="preserve"> </v>
      </c>
      <c r="E17" s="11" t="str">
        <v>Global</v>
      </c>
      <c r="F17" s="11">
        <v>4</v>
      </c>
      <c r="G17" s="11">
        <v>23500</v>
      </c>
      <c r="I17" s="11" t="str">
        <v>Personnel costs will continue to increase at approximately 10% per year due to institutional salary adjustments</v>
      </c>
    </row>
    <row r="18" ht="50" customHeight="1">
      <c r="A18" s="11" t="str">
        <v>AOW01</v>
      </c>
      <c r="C18" s="11" t="str">
        <v>1.4.1. Average % of accessions for which all static (passport, characterization, etc.) and dynamic (inventory, viability, etc.) data have been fully curated/validated</v>
      </c>
      <c r="D18" s="11" t="str">
        <v xml:space="preserve"> </v>
      </c>
      <c r="E18" s="11" t="str">
        <v>Global</v>
      </c>
      <c r="F18" s="11">
        <v>93</v>
      </c>
      <c r="G18" s="11">
        <v>20000</v>
      </c>
      <c r="I18" s="11" t="str">
        <v>Personnel costs will continue to increase at approximately 10% per year due to institutional salary adjustments</v>
      </c>
    </row>
    <row r="19" ht="25" customHeight="1">
      <c r="B19" s="14" t="str">
        <v>HLO budget subtotal</v>
      </c>
      <c r="H19" s="15">
        <f>SUM(H3:H18)</f>
      </c>
    </row>
    <row r="20" ht="50" customHeight="1">
      <c r="A20" s="13" t="str">
        <v>AOW02</v>
      </c>
      <c r="B20" s="11" t="str">
        <v>2.2. Enhanced germplasm information for more precise accession targeting</v>
      </c>
      <c r="C20" s="11" t="str">
        <v>2.2.2. Journal articles related to enhanced accessions data published</v>
      </c>
      <c r="D20" s="11" t="str">
        <v>Number of knowledge products</v>
      </c>
      <c r="E20" s="11" t="str">
        <v>Global</v>
      </c>
      <c r="F20" s="11">
        <v>2</v>
      </c>
      <c r="G20" s="11">
        <v>5000</v>
      </c>
      <c r="H20" s="11">
        <f>SUM(G20:G21)</f>
      </c>
      <c r="I20" s="11" t="str">
        <v>Personnel costs will continue to increase at approximately 10% per year due to institutional salary adjustments</v>
      </c>
    </row>
    <row r="21" ht="50" customHeight="1">
      <c r="A21" s="11" t="str">
        <v>AOW02</v>
      </c>
      <c r="C21" s="11" t="str">
        <v>2.2.1. Datasets generated and uploaded into open-source databases ​</v>
      </c>
      <c r="D21" s="11" t="str">
        <v xml:space="preserve"> </v>
      </c>
      <c r="E21" s="11" t="str">
        <v>Global</v>
      </c>
      <c r="F21" s="11">
        <v>5</v>
      </c>
      <c r="G21" s="11">
        <v>15000</v>
      </c>
      <c r="I21" s="11" t="str">
        <v>Personnel costs will continue to increase at approximately 10% per year due to institutional salary adjustments</v>
      </c>
    </row>
    <row r="22" ht="50" customHeight="1">
      <c r="A22" s="11" t="str">
        <v>AOW02</v>
      </c>
      <c r="B22" s="11" t="str">
        <v>2.3. CGIAR-wide portal with AI enabled digital infrastructure for germplasm data and requests</v>
      </c>
      <c r="C22" s="11" t="str">
        <v xml:space="preserve">2.3.2. Websites related to germplasm request updated </v>
      </c>
      <c r="D22" s="11" t="str">
        <v xml:space="preserve"> </v>
      </c>
      <c r="E22" s="11" t="str">
        <v>Global</v>
      </c>
      <c r="F22" s="11">
        <v>1</v>
      </c>
      <c r="G22" s="11">
        <v>5000</v>
      </c>
      <c r="H22" s="11">
        <f>SUM(G22:G22)</f>
      </c>
      <c r="I22" s="11" t="str">
        <v>Personnel costs will continue to increase at approximately 10% per year due to institutional salary adjustments</v>
      </c>
    </row>
    <row r="23" ht="50" customHeight="1">
      <c r="A23" s="11" t="str">
        <v>AOW02</v>
      </c>
      <c r="B23" s="11" t="str">
        <v>2.4. Genebank product development to enhance diversity use</v>
      </c>
      <c r="C23" s="11" t="str">
        <v>2.4.2. Subsets developed and uploaded in GENESYS</v>
      </c>
      <c r="D23" s="11" t="str">
        <v xml:space="preserve"> </v>
      </c>
      <c r="E23" s="11" t="str">
        <v>Global</v>
      </c>
      <c r="F23" s="11">
        <v>5</v>
      </c>
      <c r="G23" s="11">
        <v>5000</v>
      </c>
      <c r="H23" s="11">
        <f>SUM(G23:G23)</f>
      </c>
      <c r="I23" s="11" t="str">
        <v>Personnel costs will continue to increase at approximately 10% per year due to institutional salary adjustments</v>
      </c>
    </row>
    <row r="24" ht="25" customHeight="1">
      <c r="B24" s="15" t="str">
        <v>HLO budget subtotal</v>
      </c>
      <c r="H24" s="15">
        <f>SUM(H20:H23)</f>
      </c>
    </row>
    <row r="25" ht="50" customHeight="1">
      <c r="A25" s="13" t="str">
        <v>AOW04</v>
      </c>
      <c r="B25" s="11" t="str">
        <v>4.1. Optimized phytosanitary health delivery system</v>
      </c>
      <c r="C25" s="11" t="str">
        <v>4.1.4. Harmonized/updated SOPs/QMS processes and standards</v>
      </c>
      <c r="D25" s="11" t="str">
        <v xml:space="preserve"> </v>
      </c>
      <c r="E25" s="11" t="str">
        <v>Global</v>
      </c>
      <c r="F25" s="11">
        <v>2</v>
      </c>
      <c r="G25" s="11">
        <v>20000</v>
      </c>
      <c r="H25" s="11">
        <f>SUM(G25:G28)</f>
      </c>
      <c r="I25" s="11" t="str">
        <v>Personnel costs will continue to increase at approximately 10% per year due to institutional salary adjustments</v>
      </c>
    </row>
    <row r="26" ht="50" customHeight="1">
      <c r="A26" s="11" t="str">
        <v>AOW04</v>
      </c>
      <c r="C26" s="11" t="str">
        <v>4.1.2. Germplasm Health Unit (GHU) data dashboards published</v>
      </c>
      <c r="D26" s="11" t="str">
        <v xml:space="preserve"> </v>
      </c>
      <c r="E26" s="11" t="str">
        <v>Global</v>
      </c>
      <c r="F26" s="11">
        <v>1</v>
      </c>
      <c r="G26" s="11">
        <v>10000</v>
      </c>
      <c r="I26" s="11" t="str">
        <v>Personnel costs will continue to increase at approximately 10% per year due to institutional salary adjustments</v>
      </c>
    </row>
    <row r="27" ht="50" customHeight="1">
      <c r="A27" s="11" t="str">
        <v>AOW04</v>
      </c>
      <c r="C27" s="11" t="str">
        <v xml:space="preserve">4.1.1. Service requests processed on time per year </v>
      </c>
      <c r="D27" s="11" t="str">
        <v xml:space="preserve"> </v>
      </c>
      <c r="E27" s="11" t="str">
        <v>Global</v>
      </c>
      <c r="F27" s="11">
        <v>70</v>
      </c>
      <c r="G27" s="11">
        <v>10000</v>
      </c>
      <c r="I27" s="11" t="str">
        <v>Personnel costs will continue to increase at approximately 10% per year due to institutional salary adjustments</v>
      </c>
    </row>
    <row r="28" ht="50" customHeight="1">
      <c r="A28" s="11" t="str">
        <v>AOW04</v>
      </c>
      <c r="C28" s="11" t="str">
        <v>4.1.3. GHUs applying costing processes and cost-recovery</v>
      </c>
      <c r="D28" s="11" t="str">
        <v xml:space="preserve"> </v>
      </c>
      <c r="E28" s="11" t="str">
        <v>Global</v>
      </c>
      <c r="F28" s="11">
        <v>1</v>
      </c>
      <c r="G28" s="11">
        <v>10000</v>
      </c>
      <c r="I28" s="11" t="str">
        <v>Personnel costs will continue to increase at approximately 10% per year due to institutional salary adjustments</v>
      </c>
    </row>
    <row r="29" ht="50" customHeight="1">
      <c r="A29" s="11" t="str">
        <v>AOW04</v>
      </c>
      <c r="B29" s="11" t="str">
        <v>4.2. Improved diagnostics and novel therapies for efficient germplasm health testing and phytosanitation​</v>
      </c>
      <c r="C29" s="11" t="str">
        <v>4.2.1. Upgraded/new protocols for germplasm health diagnostics and health monitoring</v>
      </c>
      <c r="D29" s="11" t="str">
        <v>Number of innovations (innovation development)</v>
      </c>
      <c r="E29" s="11" t="str">
        <v>Global</v>
      </c>
      <c r="F29" s="11">
        <v>2</v>
      </c>
      <c r="G29" s="11">
        <v>30000</v>
      </c>
      <c r="H29" s="11">
        <f>SUM(G29:G30)</f>
      </c>
      <c r="I29" s="11" t="str">
        <v>Personnel costs will continue to increase at approximately 10% per year due to institutional salary adjustments</v>
      </c>
    </row>
    <row r="30" ht="50" customHeight="1">
      <c r="A30" s="11" t="str">
        <v>AOW04</v>
      </c>
      <c r="C30" s="11" t="str">
        <v>4.2.2. Improved phytosanitary protocols for clonal and seed germplasm, including novel virus therapies and chemicals for seed dressing</v>
      </c>
      <c r="D30" s="11" t="str">
        <v>Number of innovations (innovation development)</v>
      </c>
      <c r="E30" s="11" t="str">
        <v>Global</v>
      </c>
      <c r="F30" s="11">
        <v>2</v>
      </c>
      <c r="G30" s="11">
        <v>30000</v>
      </c>
      <c r="I30" s="11" t="str">
        <v>Personnel costs will continue to increase at approximately 10% per year due to institutional salary adjustments</v>
      </c>
    </row>
    <row r="31" ht="50" customHeight="1">
      <c r="A31" s="11" t="str">
        <v>AOW04</v>
      </c>
      <c r="B31" s="11" t="str">
        <v>4.3. Enhanced knowledge for effective control of germplasm-borne pests and diseases</v>
      </c>
      <c r="C31" s="11" t="str">
        <v>4.3.3. Knowledge products on key seed-borne pests and diseases published</v>
      </c>
      <c r="D31" s="11" t="str">
        <v>Number of knowledge products</v>
      </c>
      <c r="E31" s="11" t="str">
        <v>Global</v>
      </c>
      <c r="F31" s="11">
        <v>2</v>
      </c>
      <c r="G31" s="11">
        <v>20000</v>
      </c>
      <c r="H31" s="11">
        <f>SUM(G31:G33)</f>
      </c>
      <c r="I31" s="11" t="str">
        <v>Personnel costs will continue to increase at approximately 10% per year due to institutional salary adjustments</v>
      </c>
    </row>
    <row r="32" ht="50" customHeight="1">
      <c r="A32" s="11" t="str">
        <v>AOW04</v>
      </c>
      <c r="C32" s="11" t="str">
        <v xml:space="preserve">4.3.1. P&amp;D intercepted in germplasm </v>
      </c>
      <c r="D32" s="11" t="str">
        <v>Number of knowledge products</v>
      </c>
      <c r="E32" s="11" t="str">
        <v>Global</v>
      </c>
      <c r="F32" s="11">
        <v>1</v>
      </c>
      <c r="G32" s="11">
        <v>10000</v>
      </c>
      <c r="I32" s="11" t="str">
        <v>Personnel costs will continue to increase at approximately 10% per year due to institutional salary adjustments</v>
      </c>
    </row>
    <row r="33" ht="50" customHeight="1">
      <c r="A33" s="11" t="str">
        <v>AOW04</v>
      </c>
      <c r="C33" s="11" t="str">
        <v>4.3.2. Augmented control measures to prevent seed-transmission.</v>
      </c>
      <c r="D33" s="11" t="str">
        <v xml:space="preserve"> </v>
      </c>
      <c r="E33" s="11" t="str">
        <v>Global</v>
      </c>
      <c r="F33" s="11">
        <v>2</v>
      </c>
      <c r="G33" s="11">
        <v>10000</v>
      </c>
      <c r="I33" s="11" t="str">
        <v>Personnel costs will continue to increase at approximately 10% per year due to institutional salary adjustments</v>
      </c>
    </row>
    <row r="34" ht="50" customHeight="1">
      <c r="A34" s="11" t="str">
        <v>AOW04</v>
      </c>
      <c r="B34" s="11" t="str">
        <v>4.4. Systems-based phytosanitary protocol for expedited germplasm delivery​</v>
      </c>
      <c r="C34" s="11" t="str">
        <v>4.4.1. Average time to clear shipments under systems-based protocol.</v>
      </c>
      <c r="D34" s="11" t="str">
        <v xml:space="preserve"> </v>
      </c>
      <c r="E34" s="11" t="str">
        <v>Global</v>
      </c>
      <c r="F34" s="11">
        <v>0</v>
      </c>
      <c r="G34" s="11">
        <v>0</v>
      </c>
      <c r="H34" s="11">
        <f>SUM(G34:G35)</f>
      </c>
    </row>
    <row r="35" ht="50" customHeight="1">
      <c r="A35" s="11" t="str">
        <v>AOW04</v>
      </c>
      <c r="C35" s="11" t="str">
        <v>4.4.2. Formal protocols for expedited germplasm exchange developed through stakeholder consultations and submitted for accreditation by relevant NPPOs</v>
      </c>
      <c r="D35" s="11" t="str">
        <v>Number of knowledge products</v>
      </c>
      <c r="E35" s="11" t="str">
        <v>Global</v>
      </c>
      <c r="F35" s="11">
        <v>2</v>
      </c>
      <c r="G35" s="11">
        <v>30000</v>
      </c>
      <c r="I35" s="11" t="str">
        <v>Personnel costs will continue to increase at approximately 10% per year due to institutional salary adjustments</v>
      </c>
    </row>
    <row r="36" ht="25" customHeight="1">
      <c r="B36" s="15" t="str">
        <v>HLO budget subtotal</v>
      </c>
      <c r="H36" s="15">
        <f>SUM(H25:H35)</f>
      </c>
    </row>
    <row r="37" ht="50" customHeight="1">
      <c r="A37" s="13" t="str">
        <v>AOW05</v>
      </c>
      <c r="B37" s="11" t="str">
        <v>5.1. Regional hubs for increasing capacities and saving crop diversity at risk</v>
      </c>
      <c r="C37" s="11" t="str">
        <v>5.1.1. Regional hubs established or maintained</v>
      </c>
      <c r="D37" s="11" t="str">
        <v xml:space="preserve"> </v>
      </c>
      <c r="E37" s="11" t="str">
        <v>Regional: Latin America and the Caribbean, Asia, Africa</v>
      </c>
      <c r="F37" s="11">
        <v>1</v>
      </c>
      <c r="G37" s="11">
        <v>15000</v>
      </c>
      <c r="H37" s="11">
        <f>SUM(G37:G37)</f>
      </c>
      <c r="I37" s="11" t="str">
        <v>Personnel costs will continue to increase at approximately 10% per year due to institutional salary adjustments</v>
      </c>
    </row>
    <row r="38" ht="50" customHeight="1">
      <c r="A38" s="11" t="str">
        <v>AOW05</v>
      </c>
      <c r="B38" s="11" t="str">
        <v>5.2. Communities of Practices and networks  at a regional level for strategic conservation and use​</v>
      </c>
      <c r="C38" s="11" t="str">
        <v>5.2.2. Knowledge products co-authored with NARS</v>
      </c>
      <c r="D38" s="11" t="str">
        <v>Number of knowledge products</v>
      </c>
      <c r="E38" s="11" t="str">
        <v>Global</v>
      </c>
      <c r="F38" s="11">
        <v>1</v>
      </c>
      <c r="G38" s="11">
        <v>3000</v>
      </c>
      <c r="H38" s="11">
        <f>SUM(G38:G39)</f>
      </c>
      <c r="I38" s="11" t="str">
        <v>Personnel costs will continue to increase at approximately 10% per year due to institutional salary adjustments</v>
      </c>
    </row>
    <row r="39" ht="50" customHeight="1">
      <c r="A39" s="11" t="str">
        <v>AOW05</v>
      </c>
      <c r="C39" s="11" t="str">
        <v xml:space="preserve">5.2.1. Communities of Practice (CoPs) / networks in place, created, or re-activated </v>
      </c>
      <c r="D39" s="11" t="str">
        <v xml:space="preserve"> </v>
      </c>
      <c r="E39" s="11" t="str">
        <v>Regional: Africa, Asia, Latin America and the Caribbean</v>
      </c>
      <c r="F39" s="11">
        <v>1</v>
      </c>
      <c r="G39" s="11">
        <v>164000</v>
      </c>
      <c r="I39" s="11" t="str">
        <v>Personnel costs will continue to increase at approximately 10% per year due to institutional salary adjustments</v>
      </c>
    </row>
    <row r="40" ht="50" customHeight="1">
      <c r="A40" s="11" t="str">
        <v>AOW05</v>
      </c>
      <c r="B40" s="11" t="str">
        <v>5.3. Capacity strengthened at a national and regional level for collection, conservation, SQM and characterization, phytosanitary measures for germplasm exchange and policy</v>
      </c>
      <c r="C40" s="11" t="str">
        <v>5.3.1. Individuals trained on collection, SQM, cryo, germplasm health, in situ, community genebanks</v>
      </c>
      <c r="D40" s="11" t="str">
        <v>Number of people trained (capacity sharing for development)</v>
      </c>
      <c r="E40" s="11" t="str">
        <v>Global</v>
      </c>
      <c r="F40" s="11">
        <v>3</v>
      </c>
      <c r="G40" s="11">
        <v>10000</v>
      </c>
      <c r="H40" s="11">
        <f>SUM(G40:G40)</f>
      </c>
      <c r="I40" s="11" t="str">
        <v>Personnel costs will continue to increase at approximately 10% per year due to institutional salary adjustments</v>
      </c>
    </row>
    <row r="41" ht="50" customHeight="1">
      <c r="A41" s="11" t="str">
        <v>AOW05</v>
      </c>
      <c r="B41" s="11" t="str">
        <v xml:space="preserve">5.4. Unique crop diversity under threat is safeguarded through the integration of in situ and ex situ conservation strategies </v>
      </c>
      <c r="C41" s="11" t="str">
        <v>5.4.2. Unique accessions shared by non CG genebanks to be safeguarded at CG Genebanks</v>
      </c>
      <c r="D41" s="11" t="str">
        <v xml:space="preserve"> </v>
      </c>
      <c r="E41" s="11" t="str">
        <v>Global</v>
      </c>
      <c r="F41" s="11">
        <v>1000</v>
      </c>
      <c r="G41" s="11">
        <v>12000</v>
      </c>
      <c r="H41" s="11">
        <f>SUM(G41:G41)</f>
      </c>
      <c r="I41" s="11" t="str">
        <v>Personnel costs will continue to increase at approximately 10% per year due to institutional salary adjustments</v>
      </c>
    </row>
    <row r="42" ht="25" customHeight="1">
      <c r="B42" s="15" t="str">
        <v>HLO budget subtotal</v>
      </c>
      <c r="H42" s="15">
        <f>SUM(H37:H41)</f>
      </c>
    </row>
  </sheetData>
  <mergeCells count="33">
    <mergeCell ref="A1:A2"/>
    <mergeCell ref="B1:B2"/>
    <mergeCell ref="C1:G1"/>
    <mergeCell ref="H1:H2"/>
    <mergeCell ref="I1:I2"/>
    <mergeCell ref="B3:B7"/>
    <mergeCell ref="H3:H7"/>
    <mergeCell ref="B8:B11"/>
    <mergeCell ref="H8:H11"/>
    <mergeCell ref="B12:B15"/>
    <mergeCell ref="H12:H15"/>
    <mergeCell ref="B16:B18"/>
    <mergeCell ref="H16:H18"/>
    <mergeCell ref="B19:G19"/>
    <mergeCell ref="A3:A19"/>
    <mergeCell ref="B20:B21"/>
    <mergeCell ref="H20:H21"/>
    <mergeCell ref="B24:G24"/>
    <mergeCell ref="A20:A24"/>
    <mergeCell ref="B25:B28"/>
    <mergeCell ref="H25:H28"/>
    <mergeCell ref="B29:B30"/>
    <mergeCell ref="H29:H30"/>
    <mergeCell ref="B31:B33"/>
    <mergeCell ref="H31:H33"/>
    <mergeCell ref="B34:B35"/>
    <mergeCell ref="H34:H35"/>
    <mergeCell ref="B36:G36"/>
    <mergeCell ref="A25:A36"/>
    <mergeCell ref="B38:B39"/>
    <mergeCell ref="H38:H39"/>
    <mergeCell ref="B42:G42"/>
    <mergeCell ref="A37:A42"/>
  </mergeCells>
  <ignoredErrors>
    <ignoredError numberStoredAsText="1" sqref="A1:I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Long Term Patnership Grant for conservation of the rice biodiversity at AfricaRice genebank</v>
      </c>
      <c r="B2" s="19" t="str">
        <v>AOW01</v>
      </c>
      <c r="C2" s="18" t="str">
        <v>1.1. All collections conserved according to international standards and best practices</v>
      </c>
      <c r="D2" s="19">
        <v>0</v>
      </c>
      <c r="E2" s="19" t="str">
        <f>=SUM(D2:D2)</f>
        <v>0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155818</v>
      </c>
      <c r="D3" s="20">
        <v>11100</v>
      </c>
      <c r="E3" s="20">
        <v>0</v>
      </c>
      <c r="F3" s="20">
        <v>66600</v>
      </c>
      <c r="G3" s="20">
        <v>75480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0</v>
      </c>
      <c r="C4" s="20">
        <v>265312</v>
      </c>
      <c r="D4" s="20">
        <v>18900</v>
      </c>
      <c r="E4" s="20">
        <v>0</v>
      </c>
      <c r="F4" s="20">
        <v>113400</v>
      </c>
      <c r="G4" s="20">
        <v>128520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