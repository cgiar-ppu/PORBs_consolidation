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6472470</v>
      </c>
    </row>
    <row r="5" ht="20" customHeight="1">
      <c r="A5" s="2" t="str">
        <v>AOW01: Market Intelligence</v>
      </c>
      <c r="B5" s="2">
        <v>0</v>
      </c>
      <c r="C5" s="5">
        <v>0</v>
      </c>
      <c r="D5" s="2">
        <v>0</v>
      </c>
      <c r="E5" s="5">
        <v>0</v>
      </c>
      <c r="F5" s="2">
        <v>0</v>
      </c>
      <c r="G5" s="5">
        <v>0</v>
      </c>
      <c r="H5" s="2">
        <v>0</v>
      </c>
      <c r="I5" s="5">
        <v>0</v>
      </c>
      <c r="J5" s="5">
        <v>0</v>
      </c>
      <c r="K5" s="5">
        <v>0</v>
      </c>
      <c r="L5" s="5">
        <v>0</v>
      </c>
      <c r="M5" s="5">
        <v>0</v>
      </c>
    </row>
    <row r="6" ht="20" customHeight="1">
      <c r="A6" s="2" t="str">
        <v>AOW02: Accelerated Breeding</v>
      </c>
      <c r="B6" s="2">
        <v>2947</v>
      </c>
      <c r="C6" s="5">
        <v>935000</v>
      </c>
      <c r="D6" s="2">
        <v>0</v>
      </c>
      <c r="E6" s="5">
        <v>0</v>
      </c>
      <c r="F6" s="2">
        <v>0</v>
      </c>
      <c r="G6" s="5">
        <v>0</v>
      </c>
      <c r="H6" s="2">
        <v>262</v>
      </c>
      <c r="I6" s="5">
        <v>442034</v>
      </c>
      <c r="J6" s="5">
        <v>67000</v>
      </c>
      <c r="K6" s="5">
        <v>0</v>
      </c>
      <c r="L6" s="5">
        <v>1444034</v>
      </c>
      <c r="M6" s="5">
        <v>4364495</v>
      </c>
    </row>
    <row r="7" ht="20" customHeight="1">
      <c r="A7" s="2" t="str">
        <v>AOW03: Inclusive Delivery</v>
      </c>
      <c r="B7" s="2">
        <v>10</v>
      </c>
      <c r="C7" s="5">
        <v>207000</v>
      </c>
      <c r="D7" s="2">
        <v>9</v>
      </c>
      <c r="E7" s="5">
        <v>160000</v>
      </c>
      <c r="F7" s="2">
        <v>0</v>
      </c>
      <c r="G7" s="5">
        <v>0</v>
      </c>
      <c r="H7" s="2">
        <v>168</v>
      </c>
      <c r="I7" s="5">
        <v>718000</v>
      </c>
      <c r="J7" s="5">
        <v>95000</v>
      </c>
      <c r="K7" s="5">
        <v>0</v>
      </c>
      <c r="L7" s="5">
        <v>1180000</v>
      </c>
      <c r="M7" s="5">
        <v>0</v>
      </c>
    </row>
    <row r="8" ht="20" customHeight="1">
      <c r="A8" s="2" t="str">
        <v>AOW04: Breeding Resources</v>
      </c>
      <c r="B8" s="2">
        <v>0</v>
      </c>
      <c r="C8" s="5">
        <v>0</v>
      </c>
      <c r="D8" s="2">
        <v>0</v>
      </c>
      <c r="E8" s="5">
        <v>0</v>
      </c>
      <c r="F8" s="2">
        <v>35</v>
      </c>
      <c r="G8" s="5">
        <v>80000</v>
      </c>
      <c r="H8" s="2">
        <v>0</v>
      </c>
      <c r="I8" s="5">
        <v>0</v>
      </c>
      <c r="J8" s="5">
        <v>0</v>
      </c>
      <c r="K8" s="5">
        <v>0</v>
      </c>
      <c r="L8" s="5">
        <v>80000</v>
      </c>
      <c r="M8" s="5">
        <v>0</v>
      </c>
    </row>
    <row r="9" ht="20" customHeight="1">
      <c r="A9" s="2" t="str">
        <v>AOW05: Enable</v>
      </c>
      <c r="B9" s="2">
        <v>0</v>
      </c>
      <c r="C9" s="5">
        <v>0</v>
      </c>
      <c r="D9" s="2">
        <v>2</v>
      </c>
      <c r="E9" s="5">
        <v>0</v>
      </c>
      <c r="F9" s="2">
        <v>80</v>
      </c>
      <c r="G9" s="5">
        <v>150000</v>
      </c>
      <c r="H9" s="2">
        <v>10</v>
      </c>
      <c r="I9" s="5">
        <v>150000</v>
      </c>
      <c r="J9" s="5">
        <v>0</v>
      </c>
      <c r="K9" s="5">
        <v>0</v>
      </c>
      <c r="L9" s="5">
        <v>300000</v>
      </c>
      <c r="M9" s="5">
        <v>1081568</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10"/>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NARES leadership team meeting</v>
      </c>
      <c r="C2" s="11" t="str">
        <v>For High level NARES meeting under ENABLE (150k)</v>
      </c>
      <c r="D2" s="11">
        <v>0</v>
      </c>
    </row>
    <row r="3" ht="45" customHeight="1">
      <c r="A3" s="11" t="str">
        <v>AOW00</v>
      </c>
      <c r="B3" s="11" t="str">
        <v>DIscretionary funds</v>
      </c>
      <c r="C3" s="11" t="str">
        <v xml:space="preserve">To be allocated </v>
      </c>
      <c r="D3" s="11">
        <v>0</v>
      </c>
    </row>
    <row r="4" ht="45" customHeight="1">
      <c r="A4" s="11" t="str">
        <v>AOW00</v>
      </c>
      <c r="B4" s="11" t="str">
        <v>To be allocated to research</v>
      </c>
      <c r="C4" s="11" t="str">
        <v>PODs pending</v>
      </c>
      <c r="D4" s="11">
        <v>0</v>
      </c>
    </row>
    <row r="5" ht="45" customHeight="1">
      <c r="A5" s="11" t="str">
        <v>AOW00</v>
      </c>
      <c r="B5" s="11" t="str">
        <v>Director Salary and costs</v>
      </c>
      <c r="C5" s="11" t="str">
        <v>510k for the Director's salary + relevant costs, as outlined by instructions</v>
      </c>
      <c r="D5" s="11">
        <v>0</v>
      </c>
    </row>
    <row r="6" ht="45" customHeight="1">
      <c r="A6" s="11" t="str">
        <v>AOW00</v>
      </c>
      <c r="B6" s="11" t="str">
        <v>Finance Focal point</v>
      </c>
      <c r="C6" s="11" t="str">
        <v>Mandated by Finance for 36.5k</v>
      </c>
      <c r="D6" s="11">
        <v>0</v>
      </c>
    </row>
    <row r="7" ht="45" customHeight="1" xml:space="preserve">
      <c r="A7" s="11" t="str">
        <v>AOW00</v>
      </c>
      <c r="B7" s="11" t="str">
        <v xml:space="preserve">Travel costs </v>
      </c>
      <c r="C7" s="11" t="str" xml:space="preserve">
        <v xml:space="preserve">Budget for two meetings of 75k costs each
</v>
      </c>
      <c r="D7" s="11">
        <v>0</v>
      </c>
    </row>
    <row r="8" ht="45" customHeight="1">
      <c r="A8" s="11" t="str">
        <v>AOW00</v>
      </c>
      <c r="B8" s="11" t="str">
        <v>AoW lead total salary costs at up to 50% of time</v>
      </c>
      <c r="C8" s="11" t="str">
        <v>For four AoW leads at 50% and two at 25%</v>
      </c>
      <c r="D8" s="11">
        <v>0</v>
      </c>
    </row>
    <row r="9" ht="45" customHeight="1">
      <c r="A9" s="11" t="str">
        <v>AOW00</v>
      </c>
      <c r="B9" s="11" t="str">
        <v>PMU costs (Program Coordinator; Communications Focal Point;  MELIA Focal Point)</v>
      </c>
      <c r="C9" s="11" t="str">
        <v>All at 50% FTE</v>
      </c>
      <c r="D9" s="11">
        <v>0</v>
      </c>
    </row>
    <row r="10" ht="45" customHeight="1">
      <c r="A10" s="11" t="str">
        <v>AOW00</v>
      </c>
      <c r="B10" s="11" t="str">
        <v>Consultants</v>
      </c>
      <c r="C10" s="11" t="str">
        <v>Primary consultants for B4T</v>
      </c>
      <c r="D10" s="11">
        <v>0</v>
      </c>
    </row>
  </sheetData>
  <mergeCells count="1">
    <mergeCell ref="A2:A10"/>
  </mergeCells>
  <ignoredErrors>
    <ignoredError numberStoredAsText="1" sqref="A1:E10"/>
  </ignoredErrors>
</worksheet>
</file>

<file path=xl/worksheets/sheet3.xml><?xml version="1.0" encoding="utf-8"?>
<worksheet xmlns="http://schemas.openxmlformats.org/spreadsheetml/2006/main" xmlns:r="http://schemas.openxmlformats.org/officeDocument/2006/relationships">
  <dimension ref="A1:I37"/>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AOW02</v>
      </c>
      <c r="B3" s="11" t="str">
        <v>HLO6.AOW2.IO1 Refocus to markets</v>
      </c>
      <c r="C3" s="11" t="str">
        <v>Product Creation and Testing: Evaluate early and late-stage cowpea breeding lines using genomic selection and multi-environment testing to identify resistant, high-yielding lines for product advancement. ---- IITA - COWPEA - (Deliverable 2 — Product Creation and Testing: Evaluate early and late-stage cowpea breeding lines using genomic selection and multi-environment testing to identify resistant, high-yielding  lines for product advancement.)-- Number of breeding pipelines developed</v>
      </c>
      <c r="D3" s="11" t="str">
        <v>Number of innovations (innovation development)</v>
      </c>
      <c r="E3" s="11" t="str">
        <v>Country: Niger, Cameroon, Senegal, Mali, Ghana, Burkina Faso, Nigeria</v>
      </c>
      <c r="F3" s="11">
        <v>4</v>
      </c>
      <c r="G3" s="11">
        <v>247000</v>
      </c>
      <c r="H3" s="11">
        <f>SUM(G3:G4)</f>
      </c>
      <c r="I3" s="11" t="str" xml:space="preserve">
        <v xml:space="preserve">HLO6.AOW2.IO1 Refocus to markets and to be managed by Ousmane Boukar to work in five different countries 
</v>
      </c>
    </row>
    <row r="4" ht="50" customHeight="1">
      <c r="A4" s="11" t="str">
        <v>AOW02</v>
      </c>
      <c r="C4" s="11" t="str">
        <v>Discovery and development of foundational genetic resources such as traits, high-value haplotypes and elite lines that can deliver on targeted product profiles. ---- IITA - MAIZE  (High yielding extra-early, early, intermediate and late maturing white, yellow and orange maize varieties) --------- Number of breeding pipelines developed</v>
      </c>
      <c r="D4" s="11" t="str">
        <v>Number of innovations (innovation development)</v>
      </c>
      <c r="E4" s="11" t="str">
        <v>Country: Benin, Nigeria, Ghana, Mali</v>
      </c>
      <c r="F4" s="11">
        <v>2935</v>
      </c>
      <c r="G4" s="11">
        <v>440000</v>
      </c>
      <c r="I4" s="11" t="str">
        <v>HLO6.AOW2.IO1 Refocus to markets, and will be managed by John Derera in three different countries, working with different NARS, Benin, Mali, Nigeria and Ghana</v>
      </c>
    </row>
    <row r="5" ht="50" customHeight="1">
      <c r="A5" s="11" t="str">
        <v>AOW02</v>
      </c>
      <c r="B5" s="11" t="str">
        <v>HLO7.AOW2.IO2 Accelerating genetic gain</v>
      </c>
      <c r="C5" s="11" t="str">
        <v>CRITICAL CAPABILITIES - IITA --Banana  with CIAT. Field evaluation of diverse set of diploid banana germplasm at Sendusu, Uganda, to generate more data needed to develop and validate models for predicting drought and heat stress response under field conditions. -----------------------------------Number of tools developed to evaluate banana germplasm in the field</v>
      </c>
      <c r="D5" s="11" t="str">
        <v xml:space="preserve"> Number of tools developed to evaluate banana germplasm in the field</v>
      </c>
      <c r="E5" s="11" t="str">
        <v>Country: Uganda</v>
      </c>
      <c r="F5" s="11">
        <v>2</v>
      </c>
      <c r="G5" s="11">
        <v>107999</v>
      </c>
      <c r="H5" s="11">
        <f>SUM(G5:G6)</f>
      </c>
      <c r="I5" s="11" t="str">
        <v>This is a critical capability under the HLO7.AOW2.IO2 Accelerating genetic gain, to be used by IITA in collaboration with CIAT.  This budget will be managed by IITA for the service provider</v>
      </c>
    </row>
    <row r="6" ht="50" customHeight="1" xml:space="preserve">
      <c r="A6" s="11" t="str">
        <v>AOW02</v>
      </c>
      <c r="C6" s="11" t="str">
        <v xml:space="preserve">CRITICAL CAPABILITIES - IITA --Soybean -  with NARS in Zambia, Malawi and Uganda for Rust  Screening and testing disease resistance in multilocation across focus countries))) --------------------------------- Number of late stage varieties to be screened for trait inclusion	</v>
      </c>
      <c r="D6" s="11" t="str">
        <v xml:space="preserve">  Number of late stage varieties to be screened for trait inclusion</v>
      </c>
      <c r="E6" s="11" t="str">
        <v>Country: Uganda, Malawi, Zambia</v>
      </c>
      <c r="F6" s="11">
        <v>60</v>
      </c>
      <c r="G6" s="11">
        <v>200000</v>
      </c>
      <c r="I6" s="11" t="str" xml:space="preserve">
        <v xml:space="preserve">HLO7.AOW2.IO2 Accelerating genetic gain. This is for critical capability and and this will be managed by Godfree Chigeza to work with NARS in Uganda, Malawi and Zambia to address leaf rust.
This budget will be managed by IITA for the service provider. IITA may look for the service provider to pay for the service.</v>
      </c>
    </row>
    <row r="7" ht="50" customHeight="1">
      <c r="A7" s="11" t="str">
        <v>AOW02</v>
      </c>
      <c r="B7" s="11" t="str">
        <v>HLO8.AOW2.IO2 Discover genetic potential</v>
      </c>
      <c r="C7" s="11" t="str">
        <v xml:space="preserve">Discovery and development of foundational genetic resources such as traits, high-value haplotypes and elite lines that can deliver on targeted product profiles ------------------ CRITICAL CAPABILITIES - IITA (with CIAT) - CASSAVA - (Dual CBSD &amp; CMD Cassava (CIAT–IITA Collaboration) for Focus Countries - Screening and testing disease resistance in multilocation across focus countries)))----------------- Number of late stage varieties to be screened for trait inclusion	</v>
      </c>
      <c r="D7" s="11" t="str">
        <v xml:space="preserve"> Number of late stage varieties to be screened for trait inclusion	</v>
      </c>
      <c r="E7" s="11" t="str">
        <v>Country: Uganda, Tanzania, United Republic</v>
      </c>
      <c r="F7" s="11">
        <v>100</v>
      </c>
      <c r="G7" s="11">
        <v>80000</v>
      </c>
      <c r="H7" s="11">
        <f>SUM(G7:G10)</f>
      </c>
      <c r="I7" s="11" t="str">
        <v>HLO8.AOW2.IO2 Discover genetic potential. This critical capability resource will be managed by Ismail Rabbi and Ismail Kayondo to work in Uganda and Tanzania. This budget will be managed by IITA for the service provider. IITA may look for the service provider to pay for the service.</v>
      </c>
    </row>
    <row r="8" ht="50" customHeight="1">
      <c r="A8" s="11" t="str">
        <v>AOW02</v>
      </c>
      <c r="C8" s="11" t="str">
        <v>Discovery and development of foundational genetic resources such as traits, high-value haplotypes and elite lines that can deliver on targeted product profiles ------------------ CRITICAL CAPABILITIES - IITA - CASSAVA - (Dual CBSD and CMD Resistance Cassava for Fresh &amp; Processing Markets in ESA - Screening and testing disease resistance in multilocation across focus countries for CBSD and for CMD in two countries:))----------------- Number of late stage varieties to be screened for trait inclusion</v>
      </c>
      <c r="D8" s="11" t="str">
        <v xml:space="preserve"> Number of late stage varieties to be screened for trait inclusion</v>
      </c>
      <c r="E8" s="11" t="str">
        <v>Country: Tanzania, United Republic, Uganda</v>
      </c>
      <c r="F8" s="11">
        <v>100</v>
      </c>
      <c r="G8" s="11">
        <v>54035</v>
      </c>
      <c r="I8" s="11" t="str">
        <v>HLO8.AOW2.IO2 Discover genetic potential. This critical capability resource will be managed by Ismail Rabbi and Ismail Kayondo to work in Uganda and Tanzania. This budget will be managed by IITA for the service provider. IITA may look for the service provider to pay for the service.</v>
      </c>
    </row>
    <row r="9" ht="50" customHeight="1" xml:space="preserve">
      <c r="A9" s="11" t="str">
        <v>AOW02</v>
      </c>
      <c r="C9" s="11" t="str" xml:space="preserve">
        <v xml:space="preserve">Discovery and development of foundational genetic resources such as traits, high-value haplotypes and elite lines that can deliver on targeted product profiles----- IITA - CASSAVA (Number of CMD/CBSD resistant cassava clones evaluated through early and late multi-environment testing and advanced to pre-release nomination)----- Number of breeding schemes and pipelines designed with optimized breeding cycle time as compared to 2025
</v>
      </c>
      <c r="D9" s="11" t="str">
        <v>Number of innovations (innovation development)</v>
      </c>
      <c r="E9" s="11" t="str">
        <v>Country: Tanzania, United Republic, Uganda</v>
      </c>
      <c r="F9" s="11">
        <v>2</v>
      </c>
      <c r="G9" s="11">
        <v>180000</v>
      </c>
      <c r="I9" s="11" t="str" xml:space="preserve">
        <v xml:space="preserve">HLO8.AOW2.IO2 Discover genetic potential will be managed by Ismail Rabbi and Ismail Kayondo. This resource is allocated to IITA POD and will be used by the breeders in two countries, including Uganda and Tanzania 
Note, all AoW 2 Partner budgets removed from this line item (totalling 67k removed from a previous total budget of 215k) - to be adjusted in 2026 if flow through amounts incorrect</v>
      </c>
    </row>
    <row r="10" ht="50" customHeight="1" xml:space="preserve">
      <c r="A10" s="11" t="str">
        <v>AOW02</v>
      </c>
      <c r="C10" s="11" t="str" xml:space="preserve">
        <v xml:space="preserve">Discovery and development of foundational genetic resources such as traits, high-value haplotypes and elite lines that can deliver on targeted product profiles ---- IITA - CASSAVA -- (CMD–CBSD resistance and whitefly tolerance pre-breeding populations  for use in regional breeding pipelines.)      ---- Average stage of trait discovery and deployment efforts across the portfolio	
</v>
      </c>
      <c r="D10" s="11" t="str">
        <v>Number of innovations (innovation development)</v>
      </c>
      <c r="E10" s="11" t="str">
        <v>Country: Tanzania, United Republic, Uganda</v>
      </c>
      <c r="F10" s="11">
        <v>6</v>
      </c>
      <c r="G10" s="11">
        <v>68000</v>
      </c>
      <c r="I10" s="11" t="str">
        <v xml:space="preserve">HLO8.AOW2.IO2 Discover genetic potential will be manage by Ismail Rabbi and Ismail Kayondo. This resource is allocated to IITA POD and will be used by the breeder in two countries, include Uganda and Tanzania </v>
      </c>
    </row>
    <row r="11" ht="25" customHeight="1">
      <c r="B11" s="14" t="str">
        <v>HLO budget subtotal</v>
      </c>
      <c r="H11" s="15">
        <f>SUM(H3:H10)</f>
      </c>
    </row>
    <row r="12" ht="50" customHeight="1" xml:space="preserve">
      <c r="A12" s="13" t="str">
        <v>AOW03</v>
      </c>
      <c r="B12" s="11" t="str">
        <v>HLO11.AOW3.IO4 Position for demand</v>
      </c>
      <c r="C12" s="11" t="str">
        <v xml:space="preserve">Strategies to position quality seed and increase scaling partner demand for new varieties, encouraging variety replacement and Product Lifecycle Management.---- IITA - (4. Low cost accurate tools for lab and field testing of EGS to enhance quality control (QC)). ------------Number of new products per segments validated or introduced 	</v>
      </c>
      <c r="D12" s="11" t="str">
        <v>Number of innovations (innovation development)</v>
      </c>
      <c r="E12" s="11" t="str">
        <v>Country: Nigeria, Tanzania, United Republic</v>
      </c>
      <c r="F12" s="11">
        <v>3</v>
      </c>
      <c r="G12" s="11">
        <v>45000</v>
      </c>
      <c r="H12" s="11">
        <f>SUM(G12:G18)</f>
      </c>
      <c r="I12" s="11" t="str" xml:space="preserve">
        <v xml:space="preserve">Responsible. Lava Kumar
Budget to include staff time, lab materials, and partner funds for Nigeria and Tanzania</v>
      </c>
    </row>
    <row r="13" ht="50" customHeight="1" xml:space="preserve">
      <c r="A13" s="11" t="str">
        <v>AOW03</v>
      </c>
      <c r="C13" s="11" t="str" xml:space="preserve">
        <v xml:space="preserve">Strategies to position quality seed and increase scaling partner demand for new varieties, encouraging variety replacement and Product Lifecycle Management. ----------------IITA (2. Target annual production volumes quantified for EGS seed producers for 20 crop/EGS producer combinations)---------Number of EGS producers with quantified target production volumes
</v>
      </c>
      <c r="D13" s="11" t="str">
        <v xml:space="preserve"> Number of EGS producers with quantified target production volumes</v>
      </c>
      <c r="E13" s="11" t="str">
        <v>Country: Tanzania, United Republic, Nigeria</v>
      </c>
      <c r="F13" s="11">
        <v>100</v>
      </c>
      <c r="G13" s="11">
        <v>45000</v>
      </c>
      <c r="I13" s="11" t="str" xml:space="preserve">
        <v xml:space="preserve">Responsible: James Legg
Budget to include staff time, funds for partners in Nigeria and Tanzania and for travel to visit partners and EGS producers</v>
      </c>
    </row>
    <row r="14" ht="50" customHeight="1" xml:space="preserve">
      <c r="A14" s="11" t="str">
        <v>AOW03</v>
      </c>
      <c r="C14" s="11" t="str">
        <v>Strategies to position quality seed and increase scaling partner demand for new varieties, encouraging variety replacement and Product Lifecycle Management. ----- IITA - (3. A geospatial model that can be applied to match seed production and demand for 6 crop/country combinations) -------- Number of model x crop x country combinations</v>
      </c>
      <c r="D14" s="11" t="str">
        <v>Number of knowledge products</v>
      </c>
      <c r="E14" s="11" t="str">
        <v>Country: Tanzania, United Republic, Nigeria</v>
      </c>
      <c r="F14" s="11">
        <v>6</v>
      </c>
      <c r="G14" s="11">
        <v>70000</v>
      </c>
      <c r="I14" s="11" t="str" xml:space="preserve">
        <v xml:space="preserve">Responsible: James Legg
Budget to include staff time, consultancy with Geospace, travel and publication costs</v>
      </c>
    </row>
    <row r="15" ht="50" customHeight="1" xml:space="preserve">
      <c r="A15" s="11" t="str">
        <v>AOW03</v>
      </c>
      <c r="C15" s="11" t="str" xml:space="preserve">
        <v xml:space="preserve">Strategies to position quality seed and increase scaling partner demand for new varieties, encouraging variety replacement and Product Lifecycle Management.---- IITA - (4. Country-level maps illustrating differences between seed production and demand at major administrative level)  ------------ Number of maps produced
</v>
      </c>
      <c r="D15" s="11" t="str">
        <v xml:space="preserve"> Number of maps</v>
      </c>
      <c r="E15" s="11" t="str">
        <v>Country: Nigeria, Tanzania, United Republic</v>
      </c>
      <c r="F15" s="11">
        <v>15</v>
      </c>
      <c r="G15" s="11">
        <v>40000</v>
      </c>
      <c r="I15" s="11" t="str" xml:space="preserve">
        <v xml:space="preserve">Responsible: James Legg
Budget to include staff time, consultancy with Geospace, and travel funds for visiting partners</v>
      </c>
    </row>
    <row r="16" ht="50" customHeight="1" xml:space="preserve">
      <c r="A16" s="11" t="str">
        <v>AOW03</v>
      </c>
      <c r="C16" s="11" t="str">
        <v>Strategies to position quality seed and increase scaling partner demand for new varieties, encouraging variety replacement and Product Lifecycle Management. ----------------IITA (1. Standard optimized protocols to increase the quality and volume of EGS production for vegetatively propagated crops including banana, cassava and yam using tissue culture, micropropagules and semi-autotrophic hydroponics &amp; tunnels systems (with CIAT))--------- Number of new products per segments validated or introduced</v>
      </c>
      <c r="D16" s="11" t="str">
        <v xml:space="preserve"> Number of new products per segments validated or introduced</v>
      </c>
      <c r="E16" s="11" t="str">
        <v>Country: Tanzania, United Republic, Nigeria, Uganda, Ghana</v>
      </c>
      <c r="F16" s="11">
        <v>3</v>
      </c>
      <c r="G16" s="11">
        <v>81000</v>
      </c>
      <c r="I16" s="11" t="str" xml:space="preserve">
        <v xml:space="preserve">Responsible: Morufat Balogun
Budget to include staff time, partner funds, travel funds for visiting partners, and publication costs for protocols</v>
      </c>
    </row>
    <row r="17" ht="50" customHeight="1" xml:space="preserve">
      <c r="A17" s="11" t="str">
        <v>AOW03</v>
      </c>
      <c r="C17" s="11" t="str">
        <v>Strategies to position quality seed and increase scaling partner demand for new varieties, encouraging variety replacement and Product Lifecycle Management. ----------------IITA (2. Space and time isolations for cowpea, maize and soybean EGS production)------------------- Number of CG-collaborative varieties newly scaled</v>
      </c>
      <c r="D17" s="11" t="str">
        <v xml:space="preserve"> </v>
      </c>
      <c r="E17" s="11" t="str">
        <v>Country: Ghana, Mozambique, Nigeria</v>
      </c>
      <c r="F17" s="11">
        <v>15</v>
      </c>
      <c r="G17" s="11">
        <v>81000</v>
      </c>
      <c r="I17" s="11" t="str" xml:space="preserve">
        <v xml:space="preserve">Responsible: Lucky Omoigui
Budget to include staff time, partner funds, travel funds for visiting partners, and costs for EGS seed production</v>
      </c>
    </row>
    <row r="18" ht="50" customHeight="1" xml:space="preserve">
      <c r="A18" s="11" t="str">
        <v>AOW03</v>
      </c>
      <c r="C18" s="11" t="str">
        <v>Strategies to position quality seed and increase scaling partner demand for new varieties, encouraging variety replacement and Product Lifecycle Management.---- IITA - (1. Seed demand estimates for 20 crop/country combinations in SSA)------------ Number of seed demand estimates</v>
      </c>
      <c r="D18" s="11" t="str">
        <v xml:space="preserve"> Seed demand estimates</v>
      </c>
      <c r="E18" s="11" t="str">
        <v>Country: Tanzania, United Republic, Nigeria</v>
      </c>
      <c r="F18" s="11">
        <v>20</v>
      </c>
      <c r="G18" s="11">
        <v>63000</v>
      </c>
      <c r="I18" s="11" t="str" xml:space="preserve">
        <v xml:space="preserve">Responsible: James Legg
Budget to include staff time, partner funds, travel funds for visiting partners, and publication costs</v>
      </c>
    </row>
    <row r="19" ht="50" customHeight="1">
      <c r="A19" s="11" t="str">
        <v>AOW03</v>
      </c>
      <c r="B19" s="11" t="str">
        <v>HLO12.AOW3.IO5 Deploy seed</v>
      </c>
      <c r="C19" s="11" t="str">
        <v>CRITICAL CAPABILITIES - IITA - MAIZE - Supporting NARS on seeds  production (OPV, Hybrid) - NUMBER OF SEED PRODUCTION TRAININGS DELIVERED TO NARES PARTNERS</v>
      </c>
      <c r="D19" s="11" t="str">
        <v xml:space="preserve"> NUMBER OF SEED PRODUCTION TRAININGS DELIVERED TO NARES PARTNERS</v>
      </c>
      <c r="E19" s="11" t="str">
        <v>Country: Nigeria, Ghana, Benin, Mali</v>
      </c>
      <c r="F19" s="11">
        <v>4</v>
      </c>
      <c r="G19" s="11">
        <v>100000</v>
      </c>
      <c r="H19" s="11">
        <f>SUM(G19:G24)</f>
      </c>
      <c r="I19" s="11" t="str">
        <v xml:space="preserve">This will be managed by John Derera under the IITA CRITICAL CAPABILITIES - IITA - MAIZE - Supporting NARS on seeds production (OPV, Hybrid) in Benin, Ghana, Mali and Nigeria. The budget will be managed by IITA to support NARS </v>
      </c>
    </row>
    <row r="20" ht="50" customHeight="1" xml:space="preserve">
      <c r="A20" s="11" t="str">
        <v>AOW03</v>
      </c>
      <c r="C20" s="11" t="str" xml:space="preserve">
        <v xml:space="preserve">Strategies to position quality seed and increase scaling partner demand for new varieties, encouraging variety replacement and Product Lifecycle Management. ----- IITA - BANANA (A multi-stakeholder variety deployment platform will be institutionalized in Nigeria, Tanzania and Uganda to fast-track scaling of improved banana varieties) - Number of strategies that increase production and supply of new varieties by scaling partners 
</v>
      </c>
      <c r="D20" s="11" t="str">
        <v xml:space="preserve"> Number of strategies that increase production and supply of new varieties by scaling partners </v>
      </c>
      <c r="E20" s="11" t="str">
        <v>Country: Uganda, Tanzania, United Republic, Nigeria</v>
      </c>
      <c r="F20" s="11">
        <v>3</v>
      </c>
      <c r="G20" s="11">
        <v>27000</v>
      </c>
      <c r="I20" s="11" t="str" xml:space="preserve">
        <v xml:space="preserve">Responsible: Delphine Amah
Budget to include staff time, partner funds, travel funds for visiting partners, and meetings</v>
      </c>
    </row>
    <row r="21" ht="50" customHeight="1" xml:space="preserve">
      <c r="A21" s="11" t="str">
        <v>AOW03</v>
      </c>
      <c r="C21" s="11" t="str" xml:space="preserve">
        <v xml:space="preserve">Strategies to position quality seed and increase scaling partner demand for new varieties, encouraging variety replacement and Product Lifecycle Management. ----- IITA - BANANA (Efficient rapid multiplication technologies and good agronomic practices will be adapted for community-based seed production of newly released banana and yam varieties in Tanzania, Uganda, Nigeria, and Ghana) - Number of strategies that increase production and supply of new varieties by scaling partners	
</v>
      </c>
      <c r="D21" s="11" t="str">
        <v xml:space="preserve"> Number of strategies that increase production and supply of new varieties by scaling partners	</v>
      </c>
      <c r="E21" s="11" t="str">
        <v>Country: Tanzania, United Republic, Uganda, Niger</v>
      </c>
      <c r="F21" s="11">
        <v>2</v>
      </c>
      <c r="G21" s="11">
        <v>117000</v>
      </c>
      <c r="I21" s="11" t="str" xml:space="preserve">
        <v xml:space="preserve">Responsible: Delphine Amah
Budget to include staff time, partner funds, travel funds for visiting partners, Meetings, and support to partners for increasing the efficiency and scale of seed production</v>
      </c>
    </row>
    <row r="22" ht="50" customHeight="1" xml:space="preserve">
      <c r="A22" s="11" t="str">
        <v>AOW03</v>
      </c>
      <c r="C22" s="11" t="str" xml:space="preserve">
        <v xml:space="preserve">Strategies to position quality seed and increase scaling partner demand for new varieties, encouraging variety replacement and Product Lifecycle Management. ----- IITA - BANANA (Linkages with private seed companies will be strengthened to accelerate the delivery of market-demanded varieties of cowpea and maize in Nigeria and Ghana and with soybean in Mozambique.) - Number of strategies that increase production and supply of new varieties by scaling partners	
</v>
      </c>
      <c r="D22" s="11" t="str" xml:space="preserve">
        <v xml:space="preserve"> Number of strategies that increase production and supply of new varieties by scaling partners	
</v>
      </c>
      <c r="E22" s="11" t="str">
        <v>Country: Nigeria, Mozambique</v>
      </c>
      <c r="F22" s="11">
        <v>5</v>
      </c>
      <c r="G22" s="11">
        <v>108000</v>
      </c>
      <c r="I22" s="11" t="str" xml:space="preserve">
        <v xml:space="preserve">Responsible: Lucky Omoigui
Budget to include staff time, partner funds, travel funds for visiting partners, meetings, support to partners for increasing the efficiency and scale of seed production, and work to strengthen linkages with private sector seed </v>
      </c>
    </row>
    <row r="23" ht="50" customHeight="1" xml:space="preserve">
      <c r="A23" s="11" t="str">
        <v>AOW03</v>
      </c>
      <c r="C23" s="11" t="str" xml:space="preserve">
        <v xml:space="preserve">Strategies to position quality seed and increase scaling partner demand for new varieties, encouraging variety replacement and Product Lifecycle Management. ----- IITA - BANANA (Seed producer association models ) - Number of strategies that increase production and supply of new varieties by scaling partners	
</v>
      </c>
      <c r="D23" s="11" t="str">
        <v xml:space="preserve"> Number of strategies that increase production and supply of new varieties by scaling partners	</v>
      </c>
      <c r="E23" s="11" t="str">
        <v>Country: Tanzania, United Republic, Nigeria, Uganda, Ghana</v>
      </c>
      <c r="F23" s="11">
        <v>1</v>
      </c>
      <c r="G23" s="11">
        <v>56000</v>
      </c>
      <c r="I23" s="11" t="str" xml:space="preserve">
        <v xml:space="preserve">Responsible: James Legg
Budget to include staff time, travel funds for visiting seed producer groups, Consultancy Precise Solutions, Meetings, and communication materials to promote seed producer association functions and benefits</v>
      </c>
    </row>
    <row r="24" ht="50" customHeight="1" xml:space="preserve">
      <c r="A24" s="11" t="str">
        <v>AOW03</v>
      </c>
      <c r="C24" s="11" t="str" xml:space="preserve">
        <v xml:space="preserve">Strategies to position quality seed and increase scaling partner demand for new varieties, encouraging variety replacement and Product Lifecycle Management. ----- IITA - BANANA, CASSAVA (Strengthened seed quality management will be delivered through testing and validation of novel bioinoculants for cassava and banana) - Number of strategies that increase production and supply of new varieties by scaling partners	
</v>
      </c>
      <c r="D24" s="11" t="str">
        <v>Number of knowledge products</v>
      </c>
      <c r="E24" s="11" t="str">
        <v>Country: Kenya, Tanzania, United Republic, Nigeria</v>
      </c>
      <c r="F24" s="11">
        <v>2</v>
      </c>
      <c r="G24" s="11">
        <v>54000</v>
      </c>
      <c r="I24" s="11" t="str" xml:space="preserve">
        <v xml:space="preserve">Responsible: James Legg
Budget to include staff time, production/purchase of bioinoculants, field and screenhouse experiments, travel funds for trial visits, and publication costs</v>
      </c>
    </row>
    <row r="25" ht="50" customHeight="1" xml:space="preserve">
      <c r="A25" s="11" t="str">
        <v>AOW03</v>
      </c>
      <c r="B25" s="11" t="str">
        <v>HLO14.AOW3.IO5 TRACK adoption</v>
      </c>
      <c r="C25" s="11" t="str">
        <v xml:space="preserve">Methods and tools to track variety adoption and turnover at scale ----IITA (Banana; cassava; maize; cowpea; soybean; yam) - Digital tools for EGS demand quantification---- Number of tools (to track variety adoption/scale turnover) available	</v>
      </c>
      <c r="D25" s="11" t="str">
        <v>Number of innovations (innovation development)</v>
      </c>
      <c r="E25" s="11" t="str">
        <v>Country: Tanzania, United Republic, Nigeria</v>
      </c>
      <c r="F25" s="11">
        <v>1</v>
      </c>
      <c r="G25" s="11">
        <v>27000</v>
      </c>
      <c r="H25" s="11">
        <f>SUM(G25:G29)</f>
      </c>
      <c r="I25" s="11" t="str" xml:space="preserve">
        <v xml:space="preserve">Responsible: Lava Kumar
Budget to include staff time, digital tools development, travel funds for tools testing with users</v>
      </c>
    </row>
    <row r="26" ht="50" customHeight="1" xml:space="preserve">
      <c r="A26" s="11" t="str">
        <v>AOW03</v>
      </c>
      <c r="C26" s="11" t="str" xml:space="preserve">
        <v xml:space="preserve">Methods and tools to track variety adoption and turnover at scale ------------------ IITA -- SeedTracker. -------------------------Number of tools (to track variety adoption/scale turnover) available
</v>
      </c>
      <c r="D26" s="11" t="str">
        <v>Number of innovations (innovation development)</v>
      </c>
      <c r="E26" s="11" t="str">
        <v>Country: Nigeria, Tanzania, United Republic</v>
      </c>
      <c r="F26" s="11">
        <v>1</v>
      </c>
      <c r="G26" s="11">
        <v>63000</v>
      </c>
      <c r="I26" s="11" t="str" xml:space="preserve">
        <v xml:space="preserve">Responsible: Lava Kumar
Budget to include staff time, Seed Tracker development, Seed Tracker training, and travel funds for scaling Seedtracker use in new geographies
</v>
      </c>
    </row>
    <row r="27" ht="50" customHeight="1" xml:space="preserve">
      <c r="A27" s="11" t="str">
        <v>AOW03</v>
      </c>
      <c r="C27" s="11" t="str" xml:space="preserve">
        <v xml:space="preserve">Methods and tools to track variety adoption and turnover at scale ----IITA -------Trait-Based Varietal Turnover Assessment Report---- Number of tools (to track variety adoption/scale turnover) available	Number of innovations (innovation development)	
</v>
      </c>
      <c r="D27" s="11" t="str">
        <v>Number of knowledge products</v>
      </c>
      <c r="E27" s="11" t="str">
        <v>Country: Nigeria, Ethiopia</v>
      </c>
      <c r="F27" s="11">
        <v>1</v>
      </c>
      <c r="G27" s="11">
        <v>36000</v>
      </c>
      <c r="I27" s="11" t="str" xml:space="preserve">
        <v xml:space="preserve">Responsible: Tesfamichael Wossen
Budget to include: staff time, travel funds for data collection and publication costs</v>
      </c>
    </row>
    <row r="28" ht="50" customHeight="1" xml:space="preserve">
      <c r="A28" s="11" t="str">
        <v>AOW03</v>
      </c>
      <c r="C28" s="11" t="str">
        <v>Methods and tools to track variety adoption and turnover at scale ----IITA (4. AI diagnostic tool - PlantVillage Nuru). ---- Number of tools (to track variety adoption/scale turnover) available</v>
      </c>
      <c r="D28" s="11" t="str">
        <v>Number of innovations (innovation development)</v>
      </c>
      <c r="E28" s="11" t="str">
        <v>Country: Nigeria, Tanzania, United Republic</v>
      </c>
      <c r="F28" s="11">
        <v>1</v>
      </c>
      <c r="G28" s="11">
        <v>36000</v>
      </c>
      <c r="I28" s="11" t="str" xml:space="preserve">
        <v xml:space="preserve">Responsible: James Legg
Budget to include staff time, AI diagnostics for new diseases of yam and banana, travel for image collection, and partner funds and meetings</v>
      </c>
    </row>
    <row r="29" ht="50" customHeight="1" xml:space="preserve">
      <c r="A29" s="11" t="str">
        <v>AOW03</v>
      </c>
      <c r="C29" s="11" t="str" xml:space="preserve">
        <v xml:space="preserve">Methods and tools to track variety adoption and turnover at scale ----IITA (MULTI-CROP) -  (3. CropVAR for AI-driven in-field identification of key market-demanded varieties for major crops) ---- Number of tools (to track variety adoption/scale turnover) available	Number of innovations (innovation development)	
</v>
      </c>
      <c r="D29" s="11" t="str">
        <v>Number of innovations (innovation development)</v>
      </c>
      <c r="E29" s="11" t="str">
        <v>Country: Tanzania, United Republic</v>
      </c>
      <c r="F29" s="11">
        <v>4</v>
      </c>
      <c r="G29" s="11">
        <v>36000</v>
      </c>
      <c r="I29" s="11" t="str">
        <v>40000</v>
      </c>
    </row>
    <row r="30" ht="25" customHeight="1">
      <c r="B30" s="15" t="str">
        <v>HLO budget subtotal</v>
      </c>
      <c r="H30" s="15">
        <f>SUM(H12:H29)</f>
      </c>
    </row>
    <row r="31" ht="50" customHeight="1" xml:space="preserve">
      <c r="A31" s="13" t="str">
        <v>AOW04</v>
      </c>
      <c r="B31" s="11" t="str">
        <v>HLO16.AOW4.IO3 Shared services</v>
      </c>
      <c r="C31" s="11" t="str" xml:space="preserve">
        <v xml:space="preserve">A portfolio of connected tools and services that collectively meet current and emerging needs for modernized breeding is made available to breeding networks ---------------------- CRITICAL CAPABILITIES - IITA - COWPEA (Cowpea Breeding Products for SSA-Strengthening Patners through Regional training on EBS, bioflow and digital data capturing) -----------------Number of individuals from research or scaling partner organizations who attended CGIAR trainings
</v>
      </c>
      <c r="D31" s="11" t="str">
        <v>Number of people trained (capacity sharing for development)</v>
      </c>
      <c r="E31" s="11" t="str">
        <v>Country: Nigeria, Niger, Mali</v>
      </c>
      <c r="F31" s="11">
        <v>35</v>
      </c>
      <c r="G31" s="11">
        <v>80000</v>
      </c>
      <c r="H31" s="11">
        <f>SUM(G31:G31)</f>
      </c>
      <c r="I31" s="11" t="str">
        <v xml:space="preserve">The budget will be managed by IITA, and the budget won't be transferred to the partners. IITA cowpea breeding will pay for the service  </v>
      </c>
    </row>
    <row r="32" ht="25" customHeight="1">
      <c r="B32" s="15" t="str">
        <v>HLO budget subtotal</v>
      </c>
      <c r="H32" s="15">
        <f>SUM(H31:H31)</f>
      </c>
    </row>
    <row r="33" ht="50" customHeight="1">
      <c r="A33" s="13" t="str">
        <v>AOW05</v>
      </c>
      <c r="B33" s="11" t="str">
        <v>HLO18.AOW5.IO2 Partnered networks</v>
      </c>
      <c r="C33" s="11" t="str">
        <v>Enable coordinated, efficient, and data-driven breeding operations for RTB crops across Africa through harmonized digital systems, shared services, and regional product advancement processes -------IITA - RTB Breeding Network Coordination &amp; Enablement (Number of Network members that received targeted capacity-sharing on data management, analytics, and product advancement protocols.) --- Number of Network members</v>
      </c>
      <c r="D33" s="11" t="str">
        <v>Number of people trained (capacity sharing for development)</v>
      </c>
      <c r="E33" s="11" t="str">
        <v>Country: Benin, Zambia, Côte d'Ivoire, Ghana, Tanzania, United Republic, The Democratic Republic of the Congo, Uganda, Nigeria</v>
      </c>
      <c r="F33" s="11">
        <v>80</v>
      </c>
      <c r="G33" s="11">
        <v>150000</v>
      </c>
      <c r="H33" s="11">
        <f>SUM(G33:G34)</f>
      </c>
      <c r="I33" s="11" t="str">
        <v>HLO18.AOW5.IO2 Partnered networks will be managed by IITA, and the money. Allocation won't be provided to the partners; however, during training, NARS will be invited to attend the training at the cost of IITA.</v>
      </c>
    </row>
    <row r="34" ht="50" customHeight="1" xml:space="preserve">
      <c r="A34" s="11" t="str">
        <v>AOW05</v>
      </c>
      <c r="C34" s="11" t="str" xml:space="preserve">
        <v xml:space="preserve">Strategic planning of crop x region breeding networks that enables collaboration on common challenges and opportunities---- IITA - (Maize, Cowpea, Soybean) REGIONAL ADVANCEMENT MEETINGS -----Number of Crops with Level 1 &amp; Level 2 partner countries characterized 
</v>
      </c>
      <c r="D34" s="11" t="str">
        <v xml:space="preserve"> Number of Crops with Level 1 &amp; Level 2 partner countries characterized</v>
      </c>
      <c r="E34" s="11" t="str">
        <v>Country: Nigeria, Benin, Zambia, The Democratic Republic of the Congo, Côte d'Ivoire, Mozambique, Uganda, Ghana, Malawi, Tanzania, United Republic, Kenya</v>
      </c>
      <c r="F34" s="11">
        <v>2</v>
      </c>
      <c r="G34" s="11">
        <v>150000</v>
      </c>
      <c r="I34" s="11" t="str">
        <v>HLO18.AOW5.IO2 Partnered networks will be managed by IITA, and the money. Allocation won't be provided to the partners; however, during training, NARS will be invited to attend the training at the cost of IITA.</v>
      </c>
    </row>
    <row r="35" ht="50" customHeight="1" xml:space="preserve">
      <c r="A35" s="11" t="str">
        <v>AOW05</v>
      </c>
      <c r="B35" s="11" t="str">
        <v>HLO22.AOW5.IO5 Exchange genetic resources</v>
      </c>
      <c r="C35" s="11" t="str" xml:space="preserve">
        <v xml:space="preserve">Recommendations and guidance on genetic resources policies and practices relating to the use and exchange of genetic resources -------IITA - COWPEA (Number of new pre-breeding populations developed; Number of validated trait-linked markers shared) --- Number of users of genetic products
</v>
      </c>
      <c r="D35" s="11" t="str">
        <v xml:space="preserve"> Number of users of genetic products</v>
      </c>
      <c r="E35" s="11" t="str">
        <v>Country: Nigeria</v>
      </c>
      <c r="F35" s="11">
        <v>8</v>
      </c>
      <c r="G35" s="11">
        <v>0</v>
      </c>
      <c r="H35" s="11">
        <f>SUM(G35:G36)</f>
      </c>
    </row>
    <row r="36" ht="50" customHeight="1">
      <c r="A36" s="11" t="str">
        <v>AOW05</v>
      </c>
      <c r="C36" s="11" t="str">
        <v>IITA ------------------ Actionable evidence on trends, patterns, and strategies related to licensing, exchange, and use of PGRFA</v>
      </c>
      <c r="D36" s="11" t="str">
        <v>Number of knowledge products</v>
      </c>
      <c r="E36" s="11" t="str">
        <v>Country: China, Kenya, United States of America</v>
      </c>
      <c r="F36" s="11">
        <v>2</v>
      </c>
      <c r="G36" s="11">
        <v>0</v>
      </c>
    </row>
    <row r="37" ht="25" customHeight="1">
      <c r="B37" s="15" t="str">
        <v>HLO budget subtotal</v>
      </c>
      <c r="H37" s="15">
        <f>SUM(H33:H36)</f>
      </c>
    </row>
  </sheetData>
  <mergeCells count="29">
    <mergeCell ref="A1:A2"/>
    <mergeCell ref="B1:B2"/>
    <mergeCell ref="C1:G1"/>
    <mergeCell ref="H1:H2"/>
    <mergeCell ref="I1:I2"/>
    <mergeCell ref="B3:B4"/>
    <mergeCell ref="H3:H4"/>
    <mergeCell ref="B5:B6"/>
    <mergeCell ref="H5:H6"/>
    <mergeCell ref="B7:B10"/>
    <mergeCell ref="H7:H10"/>
    <mergeCell ref="B11:G11"/>
    <mergeCell ref="A3:A11"/>
    <mergeCell ref="B12:B18"/>
    <mergeCell ref="H12:H18"/>
    <mergeCell ref="B19:B24"/>
    <mergeCell ref="H19:H24"/>
    <mergeCell ref="B25:B29"/>
    <mergeCell ref="H25:H29"/>
    <mergeCell ref="B30:G30"/>
    <mergeCell ref="A12:A30"/>
    <mergeCell ref="B32:G32"/>
    <mergeCell ref="A31:A32"/>
    <mergeCell ref="B33:B34"/>
    <mergeCell ref="H33:H34"/>
    <mergeCell ref="B35:B36"/>
    <mergeCell ref="H35:H36"/>
    <mergeCell ref="B37:G37"/>
    <mergeCell ref="A33:A37"/>
  </mergeCells>
  <ignoredErrors>
    <ignoredError numberStoredAsText="1" sqref="A1:I37"/>
  </ignoredErrors>
</worksheet>
</file>

<file path=xl/worksheets/sheet4.xml><?xml version="1.0" encoding="utf-8"?>
<worksheet xmlns="http://schemas.openxmlformats.org/spreadsheetml/2006/main" xmlns:r="http://schemas.openxmlformats.org/officeDocument/2006/relationships">
  <dimension ref="A1:F58"/>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AOW01</v>
      </c>
      <c r="B2" s="11" t="str">
        <v>Agricultural Research Institute - Tanzania</v>
      </c>
      <c r="C2" s="11" t="str">
        <v>HLO2.AOW1.IO1 Target markets</v>
      </c>
      <c r="D2" s="11" t="str">
        <v>Tanzania, United Republic,Tanzania, United Republic</v>
      </c>
      <c r="E2" s="11">
        <v>0</v>
      </c>
    </row>
    <row r="3" ht="25" customHeight="1">
      <c r="B3" s="14" t="str">
        <v>Contracted partners subtotal</v>
      </c>
      <c r="E3" s="14">
        <f>SUM(E2:E2)</f>
      </c>
    </row>
    <row r="4" ht="70" customHeight="1">
      <c r="A4" s="12" t="str">
        <v>AOW02</v>
      </c>
      <c r="B4" s="11" t="str">
        <v>Institute of Agricultural Research (Nigeria)</v>
      </c>
      <c r="C4" s="11" t="str">
        <v>HLO6.AOW2.IO1 Refocus to markets</v>
      </c>
      <c r="D4" s="11" t="str">
        <v>Nigeria,Nigeria</v>
      </c>
      <c r="E4" s="11">
        <v>4000</v>
      </c>
      <c r="F4" s="11" t="str">
        <v>IITA to work with this NARS</v>
      </c>
    </row>
    <row r="5" ht="70" customHeight="1" xml:space="preserve">
      <c r="A5" s="11" t="str">
        <v>AOW02</v>
      </c>
      <c r="B5" s="11" t="str">
        <v>Institut National de la Recherche Agronomique du Niger</v>
      </c>
      <c r="C5" s="11" t="str">
        <v>HLO6.AOW2.IO1 Refocus to markets, HLO9.AOW2.IO2 Create products</v>
      </c>
      <c r="D5" s="11" t="str">
        <v>Niger</v>
      </c>
      <c r="E5" s="11">
        <v>3000</v>
      </c>
      <c r="F5" s="11" t="str" xml:space="preserve">
        <v xml:space="preserve">IITA to work with this NARS
</v>
      </c>
    </row>
    <row r="6" ht="70" customHeight="1">
      <c r="A6" s="11" t="str">
        <v>AOW02</v>
      </c>
      <c r="B6" s="11" t="str">
        <v>Savannah Agricultural Research Institute</v>
      </c>
      <c r="C6" s="11" t="str">
        <v>HLO6.AOW2.IO1 Refocus to markets, HLO9.AOW2.IO2 Create products</v>
      </c>
      <c r="D6" s="11" t="str">
        <v>Ghana</v>
      </c>
      <c r="E6" s="11">
        <v>4000</v>
      </c>
      <c r="F6" s="11" t="str">
        <v xml:space="preserve">Cowpea breeding program to work with SARI </v>
      </c>
    </row>
    <row r="7" ht="70" customHeight="1" xml:space="preserve">
      <c r="A7" s="11" t="str">
        <v>AOW02</v>
      </c>
      <c r="B7" s="11" t="str">
        <v>Institut de l’Environnement et de Recherches Agricoles (Burkina Faso)</v>
      </c>
      <c r="C7" s="11" t="str">
        <v>HLO6.AOW2.IO1 Refocus to markets, HLO9.AOW2.IO2 Create products</v>
      </c>
      <c r="D7" s="11" t="str">
        <v>Burkina Faso</v>
      </c>
      <c r="E7" s="11">
        <v>3000</v>
      </c>
      <c r="F7" s="11" t="str" xml:space="preserve">
        <v xml:space="preserve">IITA cowpea breeding to work with this NARS
</v>
      </c>
    </row>
    <row r="8" ht="70" customHeight="1">
      <c r="A8" s="11" t="str">
        <v>AOW02</v>
      </c>
      <c r="B8" s="11" t="str">
        <v>Institut Senegalais de Recherche Agricole</v>
      </c>
      <c r="C8" s="11" t="str">
        <v>HLO6.AOW2.IO1 Refocus to markets, HLO9.AOW2.IO2 Create products</v>
      </c>
      <c r="D8" s="11" t="str">
        <v>Senegal</v>
      </c>
      <c r="E8" s="11">
        <v>3000</v>
      </c>
      <c r="F8" s="11" t="str">
        <v>IITA to work with this NARS</v>
      </c>
    </row>
    <row r="9" ht="70" customHeight="1" xml:space="preserve">
      <c r="A9" s="11" t="str">
        <v>AOW02</v>
      </c>
      <c r="B9" s="11" t="str">
        <v>Institut d’Economie Rurale (Mali)</v>
      </c>
      <c r="C9" s="11" t="str">
        <v>HLO6.AOW2.IO1 Refocus to markets, HLO9.AOW2.IO2 Create products</v>
      </c>
      <c r="D9" s="11" t="str">
        <v>Mali</v>
      </c>
      <c r="E9" s="11">
        <v>3000</v>
      </c>
      <c r="F9" s="11" t="str" xml:space="preserve">
        <v xml:space="preserve">IITA to work with this NARS
</v>
      </c>
    </row>
    <row r="10" ht="70" customHeight="1">
      <c r="A10" s="11" t="str">
        <v>AOW02</v>
      </c>
      <c r="B10" s="11" t="str">
        <v>Institut National de la Recherche Agronomique</v>
      </c>
      <c r="C10" s="11" t="str">
        <v>HLO8.AOW2.IO2 Discover genetic potential, HLO7.AOW2.IO2 Accelerating genetic gain</v>
      </c>
      <c r="D10" s="11" t="str">
        <v>Benin</v>
      </c>
      <c r="E10" s="11">
        <v>10000</v>
      </c>
      <c r="F10" s="11" t="str">
        <v>4000 from the maize critical capability and 6000 from the Maize approved POD</v>
      </c>
    </row>
    <row r="11" ht="70" customHeight="1">
      <c r="A11" s="11" t="str">
        <v>AOW02</v>
      </c>
      <c r="B11" s="11" t="str">
        <v>Zambia Agriculture Research Institute</v>
      </c>
      <c r="C11" s="11" t="str">
        <v>HLO8.AOW2.IO2 Discover genetic potential, HLO7.AOW2.IO2 Accelerating genetic gain, HLO9.AOW2.IO2 Create products</v>
      </c>
      <c r="D11" s="11" t="str">
        <v>Zambia</v>
      </c>
      <c r="E11" s="11">
        <v>6000</v>
      </c>
      <c r="F11" s="11" t="str">
        <v>Under the critical capability, the soybean program will work with this NARS for field phenotyping</v>
      </c>
    </row>
    <row r="12" ht="70" customHeight="1">
      <c r="A12" s="11" t="str">
        <v>AOW02</v>
      </c>
      <c r="B12" s="11" t="str">
        <v>Agricultural Research Institute - Tanzania</v>
      </c>
      <c r="C12" s="11" t="str">
        <v>HLO8.AOW2.IO2 Discover genetic potential, HLO7.AOW2.IO2 Accelerating genetic gain</v>
      </c>
      <c r="D12" s="11" t="str">
        <v>Tanzania, United Republic,Tanzania, United Republic</v>
      </c>
      <c r="E12" s="11">
        <v>10000</v>
      </c>
      <c r="F12" s="11" t="str">
        <v>Agricultural Research Institute will receive funds from IITA under the HLO8.AOW2.IO2 Discover genetic potential, HLO7.AOW2.IO2 Accelerating genetic gain to Evaluate Cassava genotypes for disease (CBSD and CMD)</v>
      </c>
    </row>
    <row r="13" ht="70" customHeight="1" xml:space="preserve">
      <c r="A13" s="11" t="str">
        <v>AOW02</v>
      </c>
      <c r="B13" s="11" t="str">
        <v>National Agricultural Research Organisation (Uganda)</v>
      </c>
      <c r="C13" s="11" t="str">
        <v>HLO8.AOW2.IO2 Discover genetic potential, HLO7.AOW2.IO2 Accelerating genetic gain, HLO9.AOW2.IO2 Create products</v>
      </c>
      <c r="D13" s="11" t="str">
        <v>Uganda,Uganda</v>
      </c>
      <c r="E13" s="11">
        <v>15000</v>
      </c>
      <c r="F13" s="11" t="str" xml:space="preserve">
        <v xml:space="preserve">HLO8.AOW2.IO2 Discover genetic potential, HLO7.AOW2.IO2 Accelerating genetic gain, HLO9.AOW2.IO2 Create products
10000 from banana and 5000 from soybean</v>
      </c>
    </row>
    <row r="14" ht="70" customHeight="1">
      <c r="A14" s="11" t="str">
        <v>AOW02</v>
      </c>
      <c r="B14" s="11" t="str">
        <v>Kenya Agricultural and Livestock Research Organization</v>
      </c>
      <c r="C14" s="11" t="str">
        <v>HLO7.AOW2.IO2 Accelerating genetic gain, HLO9.AOW2.IO2 Create products</v>
      </c>
      <c r="D14" s="11" t="str">
        <v>Kenya</v>
      </c>
      <c r="E14" s="11">
        <v>0</v>
      </c>
    </row>
    <row r="15" ht="70" customHeight="1">
      <c r="A15" s="11" t="str">
        <v>AOW02</v>
      </c>
      <c r="B15" s="11" t="str">
        <v>Ethiopian Institute of Agricultural Research</v>
      </c>
      <c r="C15" s="11" t="str">
        <v>HLO7.AOW2.IO2 Accelerating genetic gain, HLO9.AOW2.IO2 Create products</v>
      </c>
      <c r="D15" s="11" t="str">
        <v>Ethiopia</v>
      </c>
      <c r="E15" s="11">
        <v>0</v>
      </c>
    </row>
    <row r="16" ht="70" customHeight="1">
      <c r="A16" s="11" t="str">
        <v>AOW02</v>
      </c>
      <c r="B16" s="11" t="str">
        <v>National Root Crops Research Institute</v>
      </c>
      <c r="C16" s="11" t="str">
        <v>HLO7.AOW2.IO2 Accelerating genetic gain, HLO9.AOW2.IO2 Create products</v>
      </c>
      <c r="D16" s="11" t="str">
        <v>Nigeria</v>
      </c>
      <c r="E16" s="11">
        <v>0</v>
      </c>
    </row>
    <row r="17" ht="70" customHeight="1">
      <c r="A17" s="11" t="str">
        <v>AOW02</v>
      </c>
      <c r="B17" s="11" t="str">
        <v>Ministry of Agriculture, Irrigation and Water Development (Malawi)</v>
      </c>
      <c r="C17" s="11" t="str">
        <v>HLO9.AOW2.IO2 Create products</v>
      </c>
      <c r="D17" s="11" t="str">
        <v>Malawi</v>
      </c>
      <c r="E17" s="11">
        <v>6000</v>
      </c>
      <c r="F17" s="11" t="str">
        <v>Under the critical capability, the soybreeding program will work with this NARS for field phenotyping</v>
      </c>
    </row>
    <row r="18" ht="70" customHeight="1">
      <c r="A18" s="11" t="str">
        <v>AOW02</v>
      </c>
      <c r="B18" s="11" t="str">
        <v>Instituto de Investigacao Agraria de Mozambique</v>
      </c>
      <c r="C18" s="11" t="str">
        <v>HLO9.AOW2.IO2 Create products</v>
      </c>
      <c r="D18" s="11" t="str">
        <v>Mozambique</v>
      </c>
      <c r="E18" s="11">
        <v>0</v>
      </c>
    </row>
    <row r="19" ht="25" customHeight="1">
      <c r="B19" s="14" t="str">
        <v>Contracted partners subtotal</v>
      </c>
      <c r="E19" s="14">
        <f>SUM(E4:E18)</f>
      </c>
    </row>
    <row r="20" ht="70" customHeight="1">
      <c r="A20" s="12" t="str">
        <v>AOW03</v>
      </c>
      <c r="B20" s="11" t="str">
        <v>National Agricultural Research Organisation (Uganda)</v>
      </c>
      <c r="C20" s="11" t="str">
        <v>HLO11.AOW3.IO4 Position for demand, HLO14.AOW3.IO5 TRACK adoption</v>
      </c>
      <c r="D20" s="11" t="str">
        <v>Uganda,Uganda</v>
      </c>
      <c r="E20" s="11">
        <v>7000</v>
      </c>
      <c r="F20" s="11" t="str">
        <v>Partner costs for travel and supplies</v>
      </c>
    </row>
    <row r="21" ht="70" customHeight="1">
      <c r="A21" s="11" t="str">
        <v>AOW03</v>
      </c>
      <c r="B21" s="11" t="str">
        <v>Instituto de Investigacao Agraria de Mozambique</v>
      </c>
      <c r="C21" s="11" t="str">
        <v>HLO11.AOW3.IO4 Position for demand, HLO12.AOW3.IO5 Deploy seed, HLO14.AOW3.IO5 TRACK adoption</v>
      </c>
      <c r="D21" s="11" t="str">
        <v>Mozambique</v>
      </c>
      <c r="E21" s="11">
        <v>6000</v>
      </c>
      <c r="F21" s="11" t="str">
        <v>Partner costs for travel and supplies</v>
      </c>
    </row>
    <row r="22" ht="70" customHeight="1">
      <c r="A22" s="11" t="str">
        <v>AOW03</v>
      </c>
      <c r="B22" s="11" t="str">
        <v>Kenya Agricultural and Livestock Research Organization</v>
      </c>
      <c r="C22" s="11" t="str">
        <v>HLO11.AOW3.IO4 Position for demand, HLO12.AOW3.IO5 Deploy seed, HLO13.AOW3.IO5 Power seed scaling, HLO14.AOW3.IO5 TRACK adoption</v>
      </c>
      <c r="D22" s="11" t="str">
        <v>Kenya</v>
      </c>
      <c r="E22" s="11">
        <v>2000</v>
      </c>
      <c r="F22" s="11" t="str">
        <v>Partner costs for travel and supplies</v>
      </c>
    </row>
    <row r="23" ht="70" customHeight="1">
      <c r="A23" s="11" t="str">
        <v>AOW03</v>
      </c>
      <c r="B23" s="11" t="str">
        <v>Institut d’Economie Rurale (Mali)</v>
      </c>
      <c r="C23" s="11" t="str">
        <v>HLO11.AOW3.IO4 Position for demand, HLO13.AOW3.IO5 Power seed scaling, HLO14.AOW3.IO5 TRACK adoption</v>
      </c>
      <c r="D23" s="11" t="str">
        <v>Mali</v>
      </c>
      <c r="E23" s="11">
        <v>0</v>
      </c>
    </row>
    <row r="24" ht="70" customHeight="1">
      <c r="A24" s="11" t="str">
        <v>AOW03</v>
      </c>
      <c r="B24" s="11" t="str">
        <v>National Horticultural Research Institute</v>
      </c>
      <c r="C24" s="11" t="str">
        <v>HLO11.AOW3.IO4 Position for demand, HLO12.AOW3.IO5 Deploy seed, HLO14.AOW3.IO5 TRACK adoption</v>
      </c>
      <c r="D24" s="11" t="str">
        <v>Nigeria</v>
      </c>
      <c r="E24" s="11">
        <v>4000</v>
      </c>
      <c r="F24" s="11" t="str">
        <v>Partner costs for travel and supplies</v>
      </c>
    </row>
    <row r="25" ht="70" customHeight="1">
      <c r="A25" s="11" t="str">
        <v>AOW03</v>
      </c>
      <c r="B25" s="11" t="str">
        <v>Institute of Agricultural Research (Nigeria)</v>
      </c>
      <c r="C25" s="11" t="str">
        <v>HLO11.AOW3.IO4 Position for demand, HLO12.AOW3.IO5 Deploy seed, HLO14.AOW3.IO5 TRACK adoption</v>
      </c>
      <c r="D25" s="11" t="str">
        <v>Nigeria,Nigeria</v>
      </c>
      <c r="E25" s="11">
        <v>12000</v>
      </c>
      <c r="F25" s="11" t="str">
        <v>Partner costs for travel and supplies</v>
      </c>
    </row>
    <row r="26" ht="70" customHeight="1">
      <c r="A26" s="11" t="str">
        <v>AOW03</v>
      </c>
      <c r="B26" s="11" t="str">
        <v>Crops Research Institute, Ghana</v>
      </c>
      <c r="C26" s="11" t="str">
        <v>HLO11.AOW3.IO4 Position for demand, HLO12.AOW3.IO5 Deploy seed, HLO14.AOW3.IO5 TRACK adoption</v>
      </c>
      <c r="D26" s="11" t="str">
        <v>Ghana</v>
      </c>
      <c r="E26" s="11">
        <v>6000</v>
      </c>
      <c r="F26" s="11" t="str">
        <v>Partner costs for travel and supplies</v>
      </c>
    </row>
    <row r="27" ht="70" customHeight="1">
      <c r="A27" s="11" t="str">
        <v>AOW03</v>
      </c>
      <c r="B27" s="11" t="str">
        <v>Agricultural Research Institute - Tanzania</v>
      </c>
      <c r="C27" s="11" t="str">
        <v>HLO11.AOW3.IO4 Position for demand, HLO12.AOW3.IO5 Deploy seed, HLO13.AOW3.IO5 Power seed scaling, HLO14.AOW3.IO5 TRACK adoption</v>
      </c>
      <c r="D27" s="11" t="str">
        <v>Tanzania, United Republic,Tanzania, United Republic</v>
      </c>
      <c r="E27" s="11">
        <v>24000</v>
      </c>
      <c r="F27" s="11" t="str">
        <v>Partner costs for travel and supplies</v>
      </c>
    </row>
    <row r="28" ht="70" customHeight="1">
      <c r="A28" s="11" t="str">
        <v>AOW03</v>
      </c>
      <c r="B28" s="11" t="str">
        <v>National Root Crops Research Institute</v>
      </c>
      <c r="C28" s="11" t="str">
        <v>HLO11.AOW3.IO4 Position for demand, HLO12.AOW3.IO5 Deploy seed, HLO14.AOW3.IO5 TRACK adoption</v>
      </c>
      <c r="D28" s="11" t="str">
        <v>Nigeria</v>
      </c>
      <c r="E28" s="11">
        <v>25000</v>
      </c>
      <c r="F28" s="11" t="str">
        <v>Partner costs for travel and supplies</v>
      </c>
    </row>
    <row r="29" ht="70" customHeight="1">
      <c r="A29" s="11" t="str">
        <v>AOW03</v>
      </c>
      <c r="B29" s="11" t="str">
        <v>Zambia Agriculture Research Institute</v>
      </c>
      <c r="C29" s="11" t="str">
        <v>HLO11.AOW3.IO4 Position for demand, HLO14.AOW3.IO5 TRACK adoption</v>
      </c>
      <c r="D29" s="11" t="str">
        <v>Zambia</v>
      </c>
      <c r="E29" s="11">
        <v>0</v>
      </c>
    </row>
    <row r="30" ht="70" customHeight="1">
      <c r="A30" s="11" t="str">
        <v>AOW03</v>
      </c>
      <c r="B30" s="11" t="str">
        <v>Ethiopian Institute of Agricultural Research</v>
      </c>
      <c r="C30" s="11" t="str">
        <v>HLO11.AOW3.IO4 Position for demand, HLO12.AOW3.IO5 Deploy seed</v>
      </c>
      <c r="D30" s="11" t="str">
        <v>Ethiopia</v>
      </c>
      <c r="E30" s="11">
        <v>2000</v>
      </c>
      <c r="F30" s="11" t="str">
        <v>Partner costs for travel and supplies</v>
      </c>
    </row>
    <row r="31" ht="70" customHeight="1">
      <c r="A31" s="11" t="str">
        <v>AOW03</v>
      </c>
      <c r="B31" s="11" t="str">
        <v>Tanzania Official Seed Certification Institute</v>
      </c>
      <c r="C31" s="11" t="str">
        <v>HLO12.AOW3.IO5 Deploy seed, HLO14.AOW3.IO5 TRACK adoption</v>
      </c>
      <c r="D31" s="11" t="str">
        <v>Tanzania, United Republic</v>
      </c>
      <c r="E31" s="11">
        <v>3000</v>
      </c>
      <c r="F31" s="11" t="str">
        <v>Partner costs for travel and supplies</v>
      </c>
    </row>
    <row r="32" ht="70" customHeight="1">
      <c r="A32" s="11" t="str">
        <v>AOW03</v>
      </c>
      <c r="B32" s="11" t="str">
        <v>National Agricultural Seeds Council</v>
      </c>
      <c r="C32" s="11" t="str">
        <v>HLO12.AOW3.IO5 Deploy seed, HLO14.AOW3.IO5 TRACK adoption</v>
      </c>
      <c r="D32" s="11" t="str">
        <v>Nigeria</v>
      </c>
      <c r="E32" s="11">
        <v>4000</v>
      </c>
      <c r="F32" s="11" t="str">
        <v>Partner costs for travel and supplies</v>
      </c>
    </row>
    <row r="33" ht="70" customHeight="1">
      <c r="A33" s="11" t="str">
        <v>AOW03</v>
      </c>
      <c r="B33" s="11" t="str">
        <v>Ministry of Agriculture, Irrigation and Water Development (Malawi)</v>
      </c>
      <c r="C33" s="11" t="str">
        <v>HLO14.AOW3.IO5 TRACK adoption</v>
      </c>
      <c r="D33" s="11" t="str">
        <v>Malawi</v>
      </c>
      <c r="E33" s="11">
        <v>0</v>
      </c>
    </row>
    <row r="34" ht="70" customHeight="1">
      <c r="A34" s="11" t="str">
        <v>AOW03</v>
      </c>
      <c r="B34" s="11" t="str">
        <v>Institut Senegalais de Recherche Agricole</v>
      </c>
      <c r="C34" s="11" t="str">
        <v>HLO14.AOW3.IO5 TRACK adoption</v>
      </c>
      <c r="D34" s="11" t="str">
        <v>Senegal</v>
      </c>
      <c r="E34" s="11">
        <v>0</v>
      </c>
    </row>
    <row r="35" ht="70" customHeight="1">
      <c r="A35" s="11" t="str">
        <v>AOW03</v>
      </c>
      <c r="B35" s="11" t="str">
        <v>Institut de l’Environnement et de Recherches Agricoles (Burkina Faso)</v>
      </c>
      <c r="C35" s="11" t="str">
        <v>HLO14.AOW3.IO5 TRACK adoption</v>
      </c>
      <c r="D35" s="11" t="str">
        <v>Burkina Faso</v>
      </c>
      <c r="E35" s="11">
        <v>0</v>
      </c>
    </row>
    <row r="36" ht="25" customHeight="1">
      <c r="B36" s="14" t="str">
        <v>Contracted partners subtotal</v>
      </c>
      <c r="E36" s="14">
        <f>SUM(E20:E35)</f>
      </c>
    </row>
    <row r="37" ht="70" customHeight="1">
      <c r="A37" s="12" t="str">
        <v>AOW04</v>
      </c>
      <c r="B37" s="11" t="str">
        <v>National Agricultural Research Organisation (Uganda)</v>
      </c>
      <c r="C37" s="11" t="str">
        <v>HLO17.AOW4.IO3 FAIR principles, HLO15.AOW4.IO2 Hub &amp; spoke scaling, HLO16.AOW4.IO3 Shared services</v>
      </c>
      <c r="D37" s="11" t="str">
        <v>Uganda,Uganda</v>
      </c>
      <c r="E37" s="11">
        <v>0</v>
      </c>
    </row>
    <row r="38" ht="70" customHeight="1">
      <c r="A38" s="11" t="str">
        <v>AOW04</v>
      </c>
      <c r="B38" s="11" t="str">
        <v>Savannah Agricultural Research Institute</v>
      </c>
      <c r="C38" s="11" t="str">
        <v>HLO15.AOW4.IO2 Hub &amp; spoke scaling, HLO16.AOW4.IO3 Shared services</v>
      </c>
      <c r="D38" s="11" t="str">
        <v>Ghana</v>
      </c>
      <c r="E38" s="11">
        <v>0</v>
      </c>
    </row>
    <row r="39" ht="70" customHeight="1">
      <c r="A39" s="11" t="str">
        <v>AOW04</v>
      </c>
      <c r="B39" s="11" t="str">
        <v>Institut de l’Environnement et de Recherches Agricoles (Burkina Faso)</v>
      </c>
      <c r="C39" s="11" t="str">
        <v>HLO15.AOW4.IO2 Hub &amp; spoke scaling, HLO16.AOW4.IO3 Shared services</v>
      </c>
      <c r="D39" s="11" t="str">
        <v>Burkina Faso</v>
      </c>
      <c r="E39" s="11">
        <v>0</v>
      </c>
    </row>
    <row r="40" ht="70" customHeight="1">
      <c r="A40" s="11" t="str">
        <v>AOW04</v>
      </c>
      <c r="B40" s="11" t="str">
        <v>Kenya Agricultural and Livestock Research Organization</v>
      </c>
      <c r="C40" s="11" t="str">
        <v>HLO15.AOW4.IO2 Hub &amp; spoke scaling, HLO16.AOW4.IO3 Shared services</v>
      </c>
      <c r="D40" s="11" t="str">
        <v>Kenya</v>
      </c>
      <c r="E40" s="11">
        <v>0</v>
      </c>
    </row>
    <row r="41" ht="70" customHeight="1">
      <c r="A41" s="11" t="str">
        <v>AOW04</v>
      </c>
      <c r="B41" s="11" t="str">
        <v>Institut d’Economie Rurale (Mali)</v>
      </c>
      <c r="C41" s="11" t="str">
        <v>HLO15.AOW4.IO2 Hub &amp; spoke scaling, HLO16.AOW4.IO3 Shared services</v>
      </c>
      <c r="D41" s="11" t="str">
        <v>Mali</v>
      </c>
      <c r="E41" s="11">
        <v>0</v>
      </c>
    </row>
    <row r="42" ht="70" customHeight="1">
      <c r="A42" s="11" t="str">
        <v>AOW04</v>
      </c>
      <c r="B42" s="11" t="str">
        <v>Institut Senegalais de Recherche Agricole</v>
      </c>
      <c r="C42" s="11" t="str">
        <v>HLO15.AOW4.IO2 Hub &amp; spoke scaling, HLO16.AOW4.IO3 Shared services</v>
      </c>
      <c r="D42" s="11" t="str">
        <v>Senegal</v>
      </c>
      <c r="E42" s="11">
        <v>0</v>
      </c>
    </row>
    <row r="43" ht="70" customHeight="1">
      <c r="A43" s="11" t="str">
        <v>AOW04</v>
      </c>
      <c r="B43" s="11" t="str">
        <v>Crops Research Institute, Ghana</v>
      </c>
      <c r="C43" s="11" t="str">
        <v>HLO15.AOW4.IO2 Hub &amp; spoke scaling, HLO16.AOW4.IO3 Shared services</v>
      </c>
      <c r="D43" s="11" t="str">
        <v>Ghana</v>
      </c>
      <c r="E43" s="11">
        <v>0</v>
      </c>
    </row>
    <row r="44" ht="70" customHeight="1">
      <c r="A44" s="11" t="str">
        <v>AOW04</v>
      </c>
      <c r="B44" s="11" t="str">
        <v>Ethiopian Institute of Agricultural Research</v>
      </c>
      <c r="C44" s="11" t="str">
        <v>HLO15.AOW4.IO2 Hub &amp; spoke scaling, HLO16.AOW4.IO3 Shared services</v>
      </c>
      <c r="D44" s="11" t="str">
        <v>Ethiopia</v>
      </c>
      <c r="E44" s="11">
        <v>0</v>
      </c>
    </row>
    <row r="45" ht="70" customHeight="1">
      <c r="A45" s="11" t="str">
        <v>AOW04</v>
      </c>
      <c r="B45" s="11" t="str">
        <v>Agricultural Research Institute - Tanzania</v>
      </c>
      <c r="C45" s="11" t="str">
        <v>HLO16.AOW4.IO3 Shared services</v>
      </c>
      <c r="D45" s="11" t="str">
        <v>Tanzania, United Republic,Tanzania, United Republic</v>
      </c>
      <c r="E45" s="11">
        <v>0</v>
      </c>
    </row>
    <row r="46" ht="70" customHeight="1">
      <c r="A46" s="11" t="str">
        <v>AOW04</v>
      </c>
      <c r="B46" s="11" t="str">
        <v>Instituto de Investigacao Agraria de Mozambique</v>
      </c>
      <c r="C46" s="11" t="str">
        <v>HLO16.AOW4.IO3 Shared services</v>
      </c>
      <c r="D46" s="11" t="str">
        <v>Mozambique</v>
      </c>
      <c r="E46" s="11">
        <v>0</v>
      </c>
    </row>
    <row r="47" ht="25" customHeight="1">
      <c r="B47" s="14" t="str">
        <v>Contracted partners subtotal</v>
      </c>
      <c r="E47" s="14">
        <f>SUM(E37:E46)</f>
      </c>
    </row>
    <row r="48" ht="70" customHeight="1">
      <c r="A48" s="12" t="str">
        <v>AOW05</v>
      </c>
      <c r="B48" s="11" t="str">
        <v>Institute of Agricultural Research (Nigeria)</v>
      </c>
      <c r="C48" s="11" t="str">
        <v>HLO22.AOW5.IO5 Exchange genetic resources</v>
      </c>
      <c r="D48" s="11" t="str">
        <v>Nigeria,Nigeria</v>
      </c>
      <c r="E48" s="11">
        <v>0</v>
      </c>
    </row>
    <row r="49" ht="70" customHeight="1">
      <c r="A49" s="11" t="str">
        <v>AOW05</v>
      </c>
      <c r="B49" s="11" t="str">
        <v>Institut National de la Recherche Agronomique du Niger</v>
      </c>
      <c r="C49" s="11" t="str">
        <v>HLO22.AOW5.IO5 Exchange genetic resources</v>
      </c>
      <c r="D49" s="11" t="str">
        <v>Niger</v>
      </c>
      <c r="E49" s="11">
        <v>0</v>
      </c>
    </row>
    <row r="50" ht="70" customHeight="1">
      <c r="A50" s="11" t="str">
        <v>AOW05</v>
      </c>
      <c r="B50" s="11" t="str">
        <v>Savannah Agricultural Research Institute</v>
      </c>
      <c r="C50" s="11" t="str">
        <v>HLO22.AOW5.IO5 Exchange genetic resources</v>
      </c>
      <c r="D50" s="11" t="str">
        <v>Ghana</v>
      </c>
      <c r="E50" s="11">
        <v>0</v>
      </c>
    </row>
    <row r="51" ht="70" customHeight="1">
      <c r="A51" s="11" t="str">
        <v>AOW05</v>
      </c>
      <c r="B51" s="11" t="str">
        <v>Institut de l’Environnement et de Recherches Agricoles (Burkina Faso)</v>
      </c>
      <c r="C51" s="11" t="str">
        <v>HLO22.AOW5.IO5 Exchange genetic resources</v>
      </c>
      <c r="D51" s="11" t="str">
        <v>Burkina Faso</v>
      </c>
      <c r="E51" s="11">
        <v>0</v>
      </c>
    </row>
    <row r="52" ht="70" customHeight="1">
      <c r="A52" s="11" t="str">
        <v>AOW05</v>
      </c>
      <c r="B52" s="11" t="str">
        <v>Institut Senegalais de Recherche Agricole</v>
      </c>
      <c r="C52" s="11" t="str">
        <v>HLO22.AOW5.IO5 Exchange genetic resources</v>
      </c>
      <c r="D52" s="11" t="str">
        <v>Senegal</v>
      </c>
      <c r="E52" s="11">
        <v>0</v>
      </c>
    </row>
    <row r="53" ht="70" customHeight="1">
      <c r="A53" s="11" t="str">
        <v>AOW05</v>
      </c>
      <c r="B53" s="11" t="str">
        <v>Institut d’Economie Rurale (Mali)</v>
      </c>
      <c r="C53" s="11" t="str">
        <v>HLO22.AOW5.IO5 Exchange genetic resources</v>
      </c>
      <c r="D53" s="11" t="str">
        <v>Mali</v>
      </c>
      <c r="E53" s="11">
        <v>0</v>
      </c>
    </row>
    <row r="54" ht="70" customHeight="1">
      <c r="A54" s="11" t="str">
        <v>AOW05</v>
      </c>
      <c r="B54" s="11" t="str">
        <v>Kenya Agricultural and Livestock Research Organization</v>
      </c>
      <c r="C54" s="11" t="str">
        <v>HLO18.AOW5.IO2 Partnered networks, HLO19.AOW5.IO2 Share capacity</v>
      </c>
      <c r="D54" s="11" t="str">
        <v>Kenya</v>
      </c>
      <c r="E54" s="11">
        <v>0</v>
      </c>
    </row>
    <row r="55" ht="70" customHeight="1">
      <c r="A55" s="11" t="str">
        <v>AOW05</v>
      </c>
      <c r="B55" s="11" t="str">
        <v>Ethiopian Institute of Agricultural Research</v>
      </c>
      <c r="C55" s="11" t="str">
        <v>HLO18.AOW5.IO2 Partnered networks, HLO19.AOW5.IO2 Share capacity</v>
      </c>
      <c r="D55" s="11" t="str">
        <v>Ethiopia</v>
      </c>
      <c r="E55" s="11">
        <v>0</v>
      </c>
    </row>
    <row r="56" ht="70" customHeight="1">
      <c r="A56" s="11" t="str">
        <v>AOW05</v>
      </c>
      <c r="B56" s="11" t="str">
        <v>Agricultural Research Institute - Tanzania</v>
      </c>
      <c r="C56" s="11" t="str">
        <v>HLO19.AOW5.IO2 Share capacity</v>
      </c>
      <c r="D56" s="11" t="str">
        <v>Tanzania, United Republic,Tanzania, United Republic</v>
      </c>
      <c r="E56" s="11">
        <v>0</v>
      </c>
    </row>
    <row r="57" ht="70" customHeight="1">
      <c r="A57" s="11" t="str">
        <v>AOW05</v>
      </c>
      <c r="B57" s="11" t="str">
        <v>National Agricultural Research Organisation (Uganda)</v>
      </c>
      <c r="C57" s="11" t="str">
        <v>HLO19.AOW5.IO2 Share capacity</v>
      </c>
      <c r="D57" s="11" t="str">
        <v>Uganda,Uganda</v>
      </c>
      <c r="E57" s="11">
        <v>0</v>
      </c>
    </row>
    <row r="58" ht="25" customHeight="1">
      <c r="B58" s="14" t="str">
        <v>Contracted partners subtotal</v>
      </c>
      <c r="E58" s="14">
        <f>SUM(E48:E57)</f>
      </c>
    </row>
  </sheetData>
  <mergeCells count="10">
    <mergeCell ref="B3:D3"/>
    <mergeCell ref="A2:A3"/>
    <mergeCell ref="B19:D19"/>
    <mergeCell ref="A4:A19"/>
    <mergeCell ref="B36:D36"/>
    <mergeCell ref="A20:A36"/>
    <mergeCell ref="B47:D47"/>
    <mergeCell ref="A37:A47"/>
    <mergeCell ref="B58:D58"/>
    <mergeCell ref="A48:A58"/>
  </mergeCells>
  <ignoredErrors>
    <ignoredError numberStoredAsText="1" sqref="A1:F58"/>
  </ignoredErrors>
</worksheet>
</file>

<file path=xl/worksheets/sheet5.xml><?xml version="1.0" encoding="utf-8"?>
<worksheet xmlns="http://schemas.openxmlformats.org/spreadsheetml/2006/main" xmlns:r="http://schemas.openxmlformats.org/officeDocument/2006/relationships">
  <dimension ref="A1:F2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T-PJ-003651-Program for Seed System Innovation for VPCs in Africa (PROSSIVA)</v>
      </c>
      <c r="B2" s="19" t="str">
        <v>AOW00</v>
      </c>
      <c r="C2" s="18" t="str">
        <v xml:space="preserve">IOC5 Equitable access to improved varieties </v>
      </c>
      <c r="D2" s="19">
        <v>4819138</v>
      </c>
      <c r="E2" s="19" t="str">
        <f>=SUM(D2:D3)</f>
        <v>0</v>
      </c>
    </row>
    <row r="3" ht="30" customHeight="1">
      <c r="A3" s="18" t="str">
        <v>T-PJ-003651-Program for Seed System Innovation for VPCs in Africa (PROSSIVA)</v>
      </c>
      <c r="B3" s="19" t="str">
        <v>AOW03</v>
      </c>
      <c r="C3" s="18" t="str">
        <v>HLO11.AOW3.IO4 Position for demand</v>
      </c>
      <c r="D3" s="19">
        <v>0</v>
      </c>
    </row>
    <row r="4" ht="30" customHeight="1">
      <c r="A4" s="18" t="str">
        <v>PJ-003953: APPUI A LA TRANSFORMATION ET A LA RESILIENCE DES SYSTEMES ALIMENTAIRES DE MADAGASCAR A TRAVERS LA RECHERCHE POUR LE DEVELOPPEMENT</v>
      </c>
      <c r="B4" s="19" t="str">
        <v>AOW00</v>
      </c>
      <c r="C4" s="18" t="str">
        <v xml:space="preserve">IOC5 Equitable access to improved varieties </v>
      </c>
      <c r="D4" s="19">
        <v>661771</v>
      </c>
      <c r="E4" s="19" t="str">
        <f>=SUM(D4:D4)</f>
        <v>0</v>
      </c>
    </row>
    <row r="5" ht="30" customHeight="1">
      <c r="A5" s="18" t="str">
        <v>T-PJ-003911-CGIAR Genetic Innovations Public-Private Partnership Platform</v>
      </c>
      <c r="B5" s="19" t="str">
        <v>AOW00</v>
      </c>
      <c r="C5" s="18" t="str">
        <v>IOC3 Cost-effective product development by Breeding Networks.</v>
      </c>
      <c r="D5" s="19">
        <v>0</v>
      </c>
      <c r="E5" s="19" t="str">
        <f>=SUM(D5:D8)</f>
        <v>0</v>
      </c>
    </row>
    <row r="6" ht="30" customHeight="1">
      <c r="A6" s="18" t="str">
        <v>T-PJ-003911-CGIAR Genetic Innovations Public-Private Partnership Platform</v>
      </c>
      <c r="B6" s="19" t="str">
        <v>AOW05</v>
      </c>
      <c r="C6" s="18" t="str">
        <v>HLO18.AOW5.IO2 Partnered networks</v>
      </c>
      <c r="D6" s="19">
        <v>1081568</v>
      </c>
      <c r="F6" s="19" t="str">
        <v>John Derera</v>
      </c>
    </row>
    <row r="7" ht="30" customHeight="1">
      <c r="A7" s="18" t="str">
        <v>T-PJ-003911-CGIAR Genetic Innovations Public-Private Partnership Platform</v>
      </c>
      <c r="B7" s="19" t="str">
        <v>AOW02</v>
      </c>
      <c r="C7" s="18" t="str">
        <v>HLO7.AOW2.IO2 Accelerating genetic gain</v>
      </c>
      <c r="D7" s="19">
        <v>0</v>
      </c>
    </row>
    <row r="8" ht="30" customHeight="1">
      <c r="A8" s="18" t="str">
        <v>T-PJ-003911-CGIAR Genetic Innovations Public-Private Partnership Platform</v>
      </c>
      <c r="B8" s="19" t="str">
        <v>AOW04</v>
      </c>
      <c r="C8" s="18" t="str">
        <v>HLO16.AOW4.IO3 Shared services</v>
      </c>
      <c r="D8" s="19">
        <v>0</v>
      </c>
    </row>
    <row r="9" ht="30" customHeight="1">
      <c r="A9" s="18" t="str">
        <v>T-PJ-003778-SGP-RTB - Roots Tubers and Bananas Breeding: a consolidated investment</v>
      </c>
      <c r="B9" s="19" t="str">
        <v>AOW00</v>
      </c>
      <c r="C9" s="18" t="str">
        <v>IOC3 Cost-effective product development by Breeding Networks.</v>
      </c>
      <c r="D9" s="19">
        <v>0</v>
      </c>
      <c r="E9" s="19" t="str">
        <f>=SUM(D9:D12)</f>
        <v>0</v>
      </c>
    </row>
    <row r="10" ht="30" customHeight="1">
      <c r="A10" s="18" t="str">
        <v>T-PJ-003778-SGP-RTB - Roots Tubers and Bananas Breeding: a consolidated investment</v>
      </c>
      <c r="B10" s="19" t="str">
        <v>AOW05</v>
      </c>
      <c r="C10" s="18" t="str">
        <v>HLO18.AOW5.IO2 Partnered networks</v>
      </c>
      <c r="D10" s="19">
        <v>0</v>
      </c>
    </row>
    <row r="11" ht="30" customHeight="1">
      <c r="A11" s="18" t="str">
        <v>T-PJ-003778-SGP-RTB - Roots Tubers and Bananas Breeding: a consolidated investment</v>
      </c>
      <c r="B11" s="19" t="str">
        <v>AOW02</v>
      </c>
      <c r="C11" s="18" t="str">
        <v>HLO7.AOW2.IO2 Accelerating genetic gain</v>
      </c>
      <c r="D11" s="19">
        <v>2181537</v>
      </c>
      <c r="F11" s="19" t="str">
        <v>Rony, Rabbi and Asrat are responsible for this resource T-PJ-003778-SGP-RTB - Roots Tubers and Bananas Breeding: a consolidated investment</v>
      </c>
    </row>
    <row r="12" ht="30" customHeight="1">
      <c r="A12" s="18" t="str">
        <v>T-PJ-003778-SGP-RTB - Roots Tubers and Bananas Breeding: a consolidated investment</v>
      </c>
      <c r="B12" s="19" t="str">
        <v>AOW04</v>
      </c>
      <c r="C12" s="18" t="str">
        <v>HLO16.AOW4.IO3 Shared services</v>
      </c>
      <c r="D12" s="19">
        <v>0</v>
      </c>
    </row>
    <row r="13" ht="30" customHeight="1">
      <c r="A13" s="18" t="str">
        <v>T-PJ-003994-BMGF/IITA - YAM OPTIMIZED ARCHITECTURE THROUGH G</v>
      </c>
      <c r="B13" s="19" t="str">
        <v>AOW00</v>
      </c>
      <c r="C13" s="18" t="str">
        <v>IOC4 Scaling partners increase uptake</v>
      </c>
      <c r="D13" s="19">
        <v>712413</v>
      </c>
      <c r="E13" s="19" t="str">
        <f>=SUM(D13:D13)</f>
        <v>0</v>
      </c>
    </row>
    <row r="14" ht="30" customHeight="1" xml:space="preserve">
      <c r="A14" s="18" t="str">
        <v>Redesigning banana breeding</v>
      </c>
      <c r="B14" s="19" t="str">
        <v>AOW00</v>
      </c>
      <c r="C14" s="18" t="str" xml:space="preserve">
        <v xml:space="preserve">IOC1 Prioritization of products 
</v>
      </c>
      <c r="D14" s="19">
        <v>279148</v>
      </c>
      <c r="E14" s="19" t="str">
        <f>=SUM(D14:D15)</f>
        <v>0</v>
      </c>
    </row>
    <row r="15" ht="30" customHeight="1">
      <c r="A15" s="18" t="str">
        <v>Redesigning banana breeding</v>
      </c>
      <c r="B15" s="19" t="str">
        <v>AOW02</v>
      </c>
      <c r="C15" s="18" t="str">
        <v>HLO6.AOW2.IO1 Refocus to markets</v>
      </c>
      <c r="D15" s="19">
        <v>0</v>
      </c>
    </row>
    <row r="16" ht="30" customHeight="1">
      <c r="A16" s="18" t="str">
        <v>T-PJ-003917-Strengthening soybean crop improvement in Africa to accelerate development of a stream of climate-smart varieties for small-scale producers, enabling their income growth, improved nutrition and national economic growth.</v>
      </c>
      <c r="B16" s="19" t="str">
        <v>AOW00</v>
      </c>
      <c r="C16" s="18" t="str">
        <v xml:space="preserve">IOC2 - Active collaboration to develop products </v>
      </c>
      <c r="D16" s="19">
        <v>0</v>
      </c>
      <c r="E16" s="19" t="str">
        <f>=SUM(D16:D18)</f>
        <v>0</v>
      </c>
    </row>
    <row r="17" ht="30" customHeight="1">
      <c r="A17" s="18" t="str">
        <v>T-PJ-003917-Strengthening soybean crop improvement in Africa to accelerate development of a stream of climate-smart varieties for small-scale producers, enabling their income growth, improved nutrition and national economic growth.</v>
      </c>
      <c r="B17" s="19" t="str">
        <v>AOW02</v>
      </c>
      <c r="C17" s="18" t="str">
        <v>HLO7.AOW2.IO2 Accelerating genetic gain</v>
      </c>
      <c r="D17" s="19">
        <v>1268525</v>
      </c>
      <c r="F17" s="19" t="str">
        <v>Godfree is responsible to manage this budget under the T-PJ-003917-Strengthening soybean crop improvement in Africa to accelerate development of a stream of climate-smart varieties for small-scale producers, enabling their income growth, improved nutrition and national economic growth.</v>
      </c>
    </row>
    <row r="18" ht="30" customHeight="1">
      <c r="A18" s="18" t="str">
        <v>T-PJ-003917-Strengthening soybean crop improvement in Africa to accelerate development of a stream of climate-smart varieties for small-scale producers, enabling their income growth, improved nutrition and national economic growth.</v>
      </c>
      <c r="B18" s="19" t="str">
        <v>AOW03</v>
      </c>
      <c r="C18" s="18" t="str">
        <v>HLO11.AOW3.IO4 Position for demand</v>
      </c>
      <c r="D18" s="19">
        <v>0</v>
      </c>
    </row>
    <row r="19" ht="30" customHeight="1">
      <c r="A19" s="18" t="str">
        <v>PJ-003978: Cassava Source Sink (CASS) Phase III</v>
      </c>
      <c r="B19" s="19" t="str">
        <v>AOW00</v>
      </c>
      <c r="C19" s="18" t="str">
        <v xml:space="preserve">IOC2 - Active collaboration to develop products </v>
      </c>
      <c r="D19" s="19">
        <v>0</v>
      </c>
      <c r="E19" s="19" t="str">
        <f>=SUM(D19:D20)</f>
        <v>0</v>
      </c>
    </row>
    <row r="20" ht="30" customHeight="1">
      <c r="A20" s="18" t="str">
        <v>PJ-003978: Cassava Source Sink (CASS) Phase III</v>
      </c>
      <c r="B20" s="19" t="str">
        <v>AOW02</v>
      </c>
      <c r="C20" s="18" t="str">
        <v>HLO9.AOW2.IO2 Create products</v>
      </c>
      <c r="D20" s="19">
        <v>523984</v>
      </c>
      <c r="F20" s="19" t="str">
        <v>Budget to be managed by Rabbi under the PJ-003978: Cassava Source Sink (CASS) Phase III</v>
      </c>
    </row>
    <row r="21" ht="30" customHeight="1">
      <c r="A21" s="18" t="str">
        <v>T-PJ-003776: Crops to End Hunger (CteH) Research project "CtEH-07: Upgrading Infrastructure and Facilities for Accelerated Breeding and Genetic Gain in Cassava; CteH-16 Regional Germplasm Hub for Vegetatively Propagated Crops @ KEPHIS Muguga; CtEH-OneCGIAR-Facilities upgrade and Mechanization Improvement"</v>
      </c>
      <c r="B21" s="19" t="str">
        <v>AOW00</v>
      </c>
      <c r="C21" s="18" t="str">
        <v xml:space="preserve">IOC2 - Active collaboration to develop products </v>
      </c>
      <c r="D21" s="19">
        <v>0</v>
      </c>
      <c r="E21" s="19" t="str">
        <f>=SUM(D21:D22)</f>
        <v>0</v>
      </c>
    </row>
    <row r="22" ht="30" customHeight="1">
      <c r="A22" s="18" t="str">
        <v>T-PJ-003776: Crops to End Hunger (CteH) Research project "CtEH-07: Upgrading Infrastructure and Facilities for Accelerated Breeding and Genetic Gain in Cassava; CteH-16 Regional Germplasm Hub for Vegetatively Propagated Crops @ KEPHIS Muguga; CtEH-OneCGIAR-Facilities upgrade and Mechanization Improvement"</v>
      </c>
      <c r="B22" s="19" t="str">
        <v>AOW02</v>
      </c>
      <c r="C22" s="18" t="str">
        <v>HLO7.AOW2.IO2 Accelerating genetic gain</v>
      </c>
      <c r="D22" s="19">
        <v>0</v>
      </c>
    </row>
    <row r="23" ht="30" customHeight="1">
      <c r="A23" s="3" t="str">
        <v>W3/Bilateral projects subtotal</v>
      </c>
      <c r="E23" s="3">
        <f>SUM(E2:E22)</f>
      </c>
    </row>
  </sheetData>
  <mergeCells count="15">
    <mergeCell ref="A2:A3"/>
    <mergeCell ref="A5:A8"/>
    <mergeCell ref="A9:A12"/>
    <mergeCell ref="A14:A15"/>
    <mergeCell ref="A16:A18"/>
    <mergeCell ref="A19:A20"/>
    <mergeCell ref="A21:A22"/>
    <mergeCell ref="E2:E3"/>
    <mergeCell ref="E5:E8"/>
    <mergeCell ref="E9:E12"/>
    <mergeCell ref="E14:E15"/>
    <mergeCell ref="E16:E18"/>
    <mergeCell ref="E19:E20"/>
    <mergeCell ref="E21:E22"/>
    <mergeCell ref="A23:D23"/>
  </mergeCells>
  <ignoredErrors>
    <ignoredError numberStoredAsText="1" sqref="A1:F23"/>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0</v>
      </c>
      <c r="D2" s="20">
        <v>67000</v>
      </c>
      <c r="E2" s="20">
        <v>95000</v>
      </c>
      <c r="F2" s="20">
        <v>0</v>
      </c>
      <c r="G2" s="20">
        <v>0</v>
      </c>
      <c r="H2" s="20" t="str">
        <f>=SUM(B2:G2)</f>
        <v>0</v>
      </c>
    </row>
    <row r="3" ht="20" customHeight="1">
      <c r="A3" s="20" t="str">
        <v>Operations (supplies, consultants, travels, workshops, other)</v>
      </c>
      <c r="B3" s="20">
        <v>0</v>
      </c>
      <c r="C3" s="20">
        <v>0</v>
      </c>
      <c r="D3" s="20">
        <v>415711</v>
      </c>
      <c r="E3" s="20">
        <v>329000</v>
      </c>
      <c r="F3" s="20">
        <v>80000</v>
      </c>
      <c r="G3" s="20">
        <v>300000</v>
      </c>
      <c r="H3" s="20" t="str">
        <f>=SUM(B3:G3)</f>
        <v>0</v>
      </c>
    </row>
    <row r="4" ht="20" customHeight="1">
      <c r="A4" s="20" t="str">
        <v>Staffing, Chargebacks and Indirect</v>
      </c>
      <c r="B4" s="20">
        <v>277025</v>
      </c>
      <c r="C4" s="20">
        <v>0</v>
      </c>
      <c r="D4" s="20">
        <v>961323</v>
      </c>
      <c r="E4" s="20">
        <v>756000</v>
      </c>
      <c r="F4" s="20">
        <v>0</v>
      </c>
      <c r="G4" s="20">
        <v>0</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