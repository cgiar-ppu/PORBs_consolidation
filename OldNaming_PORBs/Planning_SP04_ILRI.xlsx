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Solutions and Innovations: Agroecology, Nature-positive, Regenerative and Nutrition-sensitive </v>
      </c>
      <c r="B5" s="2">
        <v>3</v>
      </c>
      <c r="C5" s="5">
        <v>127996</v>
      </c>
      <c r="D5" s="2">
        <v>0</v>
      </c>
      <c r="E5" s="5">
        <v>0</v>
      </c>
      <c r="F5" s="2">
        <v>0</v>
      </c>
      <c r="G5" s="5">
        <v>0</v>
      </c>
      <c r="H5" s="2">
        <v>300000</v>
      </c>
      <c r="I5" s="5">
        <v>239625</v>
      </c>
      <c r="J5" s="5">
        <v>0</v>
      </c>
      <c r="K5" s="5">
        <v>0</v>
      </c>
      <c r="L5" s="5">
        <v>367621</v>
      </c>
      <c r="M5" s="5">
        <v>0</v>
      </c>
    </row>
    <row r="6" ht="20" customHeight="1">
      <c r="A6" s="2" t="str">
        <v>AOW02: Landscape Optimization and Inclusive Planning</v>
      </c>
      <c r="B6" s="2">
        <v>4</v>
      </c>
      <c r="C6" s="5">
        <v>73752</v>
      </c>
      <c r="D6" s="2">
        <v>0</v>
      </c>
      <c r="E6" s="5">
        <v>0</v>
      </c>
      <c r="F6" s="2">
        <v>0</v>
      </c>
      <c r="G6" s="5">
        <v>0</v>
      </c>
      <c r="H6" s="2">
        <v>1323101</v>
      </c>
      <c r="I6" s="5">
        <v>192483</v>
      </c>
      <c r="J6" s="5">
        <v>0</v>
      </c>
      <c r="K6" s="5">
        <v>0</v>
      </c>
      <c r="L6" s="5">
        <v>266235</v>
      </c>
      <c r="M6" s="5">
        <v>0</v>
      </c>
    </row>
    <row r="7" ht="20" customHeight="1">
      <c r="A7" s="2" t="str">
        <v>AOW03: Business Models, Markets, and Sustainable Finance</v>
      </c>
      <c r="B7" s="2">
        <v>0</v>
      </c>
      <c r="C7" s="5">
        <v>0</v>
      </c>
      <c r="D7" s="2">
        <v>0</v>
      </c>
      <c r="E7" s="5">
        <v>0</v>
      </c>
      <c r="F7" s="2">
        <v>0</v>
      </c>
      <c r="G7" s="5">
        <v>0</v>
      </c>
      <c r="H7" s="2">
        <v>0</v>
      </c>
      <c r="I7" s="5">
        <v>0</v>
      </c>
      <c r="J7" s="5">
        <v>0</v>
      </c>
      <c r="K7" s="5">
        <v>0</v>
      </c>
      <c r="L7" s="5">
        <v>0</v>
      </c>
      <c r="M7" s="5">
        <v>0</v>
      </c>
    </row>
    <row r="8" ht="20" customHeight="1">
      <c r="A8" s="2" t="str">
        <v>AOW04: Governance, Institutions, Policy, and Inclusion</v>
      </c>
      <c r="B8" s="2">
        <v>7</v>
      </c>
      <c r="C8" s="5">
        <v>97504</v>
      </c>
      <c r="D8" s="2">
        <v>10</v>
      </c>
      <c r="E8" s="5">
        <v>153425</v>
      </c>
      <c r="F8" s="2">
        <v>206</v>
      </c>
      <c r="G8" s="5">
        <v>0</v>
      </c>
      <c r="H8" s="2">
        <v>60</v>
      </c>
      <c r="I8" s="5">
        <v>117398</v>
      </c>
      <c r="J8" s="5">
        <v>0</v>
      </c>
      <c r="K8" s="5">
        <v>0</v>
      </c>
      <c r="L8" s="5">
        <v>368327</v>
      </c>
      <c r="M8" s="5">
        <v>0</v>
      </c>
    </row>
    <row r="9" ht="20" customHeight="1">
      <c r="A9" s="2" t="str">
        <v>AOW05: Performance Assessments &amp; Evidence Generation</v>
      </c>
      <c r="B9" s="2">
        <v>0</v>
      </c>
      <c r="C9" s="5">
        <v>0</v>
      </c>
      <c r="D9" s="2">
        <v>5</v>
      </c>
      <c r="E9" s="5">
        <v>379696</v>
      </c>
      <c r="F9" s="2">
        <v>0</v>
      </c>
      <c r="G9" s="5">
        <v>0</v>
      </c>
      <c r="H9" s="2">
        <v>2</v>
      </c>
      <c r="I9" s="5">
        <v>49057</v>
      </c>
      <c r="J9" s="5">
        <v>0</v>
      </c>
      <c r="K9" s="5">
        <v>0</v>
      </c>
      <c r="L9" s="5">
        <v>428753</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Other PMU Operations</v>
      </c>
      <c r="C2" s="11" t="str">
        <v>Travel and other operations budget for all PMU roles.</v>
      </c>
      <c r="D2" s="11">
        <v>0</v>
      </c>
    </row>
    <row r="3" ht="45" customHeight="1" xml:space="preserve">
      <c r="A3" s="11" t="str">
        <v>AOW00</v>
      </c>
      <c r="B3" s="11" t="str">
        <v>Area of Work (AoW) Leaders</v>
      </c>
      <c r="C3" s="11" t="str" xml:space="preserve">
        <v xml:space="preserve">Fixed amount of USD 80,000 per AoW lead, for five AoW leads (one per AoW).
</v>
      </c>
      <c r="D3" s="11">
        <v>0</v>
      </c>
    </row>
    <row r="4" ht="45" customHeight="1">
      <c r="A4" s="11" t="str">
        <v>AOW00</v>
      </c>
      <c r="B4" s="11" t="str">
        <v>Global Engagement Activities</v>
      </c>
      <c r="C4" s="11" t="str">
        <v>Staff and operations for global engagement activities.</v>
      </c>
      <c r="D4" s="11">
        <v>0</v>
      </c>
    </row>
    <row r="5" ht="45" customHeight="1">
      <c r="A5" s="11" t="str">
        <v>AOW00</v>
      </c>
      <c r="B5" s="11" t="str">
        <v>PMU Team</v>
      </c>
      <c r="C5" s="11" t="str">
        <v xml:space="preserve">Position costs for Coordination Focal Point, MELIA Focal Point, Finance Focal Point and Communications Focal Point. </v>
      </c>
      <c r="D5" s="11">
        <v>0</v>
      </c>
    </row>
    <row r="6" ht="45" customHeight="1">
      <c r="A6" s="11" t="str">
        <v>AOW00</v>
      </c>
      <c r="B6" s="11" t="str">
        <v>Shared Finance Support</v>
      </c>
      <c r="D6" s="11">
        <v>0</v>
      </c>
    </row>
    <row r="7" ht="45" customHeight="1">
      <c r="A7" s="11" t="str">
        <v>AOW00</v>
      </c>
      <c r="B7" s="11" t="str">
        <v>Program Director and Associated Costs</v>
      </c>
      <c r="C7" s="11" t="str">
        <v>Standard cost defined by System Office for Director, administrative support, meetings and workshops, travel, smaller consultancies, and miscellaneous operating costs.</v>
      </c>
      <c r="D7" s="11">
        <v>0</v>
      </c>
    </row>
    <row r="8" ht="45" customHeight="1">
      <c r="A8" s="11" t="str">
        <v>AOW00</v>
      </c>
      <c r="B8" s="11" t="str">
        <v>Program Director Discretionary Fund</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2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OP 1.1.1. – Bundles of farm-level solutions</v>
      </c>
      <c r="C3" s="11" t="str" xml:space="preserve">
        <v xml:space="preserve">Deliverable - Integration of livestock including livestock waste management into Climate-Smart Farm Packages: Co-develop and demonstrate livestock waste management and manure recycling practices that reduce greenhouse gas emissions, improve soil fertility, and support circular nutrient flows, with field implementation and validation in Tanzania (and additional sites where relevant).
Indicator: Number innovations on integration of livestock waste management into climate-smart farm packages</v>
      </c>
      <c r="D3" s="11" t="str">
        <v>Number of innovations (innovation development)</v>
      </c>
      <c r="E3" s="11" t="str">
        <v>Country: Tanzania, United Republic</v>
      </c>
      <c r="F3" s="11">
        <v>1</v>
      </c>
      <c r="G3" s="11">
        <v>45000</v>
      </c>
      <c r="H3" s="11">
        <f>SUM(G3:G3)</f>
      </c>
      <c r="I3" s="11" t="str">
        <v>.</v>
      </c>
    </row>
    <row r="4" ht="50" customHeight="1" xml:space="preserve">
      <c r="A4" s="11" t="str">
        <v>AOW01</v>
      </c>
      <c r="B4" s="11" t="str">
        <v>OP 1.1.3. – Common pool resource bundles</v>
      </c>
      <c r="C4" s="11" t="str" xml:space="preserve">
        <v xml:space="preserve">Deliverable - Participatory Rangeland Management (PRM) Strengthening Across Four Countries: Co-develop and implement Participatory Rangeland Management (PRM) processes in Tanzania, Kenya, Senegal, and Ethiopia, including the development of PRM plans, co-designed rangeland restoration strategies, tools and approaches for invasive species control and rehabilitation, and support for inclusive governance institutions and policy engagement at national and global levels.
Indicator: Number of hectares targeted in report on participatory rangeland management</v>
      </c>
      <c r="D4" s="11" t="str">
        <v xml:space="preserve"> Number of hectares under improved rangeland management</v>
      </c>
      <c r="E4" s="11" t="str">
        <v>Country: Kenya, Ethiopia, Tanzania, United Republic, Senegal</v>
      </c>
      <c r="F4" s="11">
        <v>300000</v>
      </c>
      <c r="G4" s="11">
        <v>239625</v>
      </c>
      <c r="H4" s="11">
        <f>SUM(G4:G4)</f>
      </c>
      <c r="I4" s="11" t="str">
        <v>.</v>
      </c>
    </row>
    <row r="5" ht="50" customHeight="1" xml:space="preserve">
      <c r="A5" s="11" t="str">
        <v>AOW01</v>
      </c>
      <c r="B5" s="11" t="str">
        <v>OP 1.2.5. – Nutrition-sensitive innovations</v>
      </c>
      <c r="C5" s="11" t="str" xml:space="preserve">
        <v xml:space="preserve">Deliverable - Forage and Grass Integration into Community Seed and Tree Bank Systems: Generate evidence and support the integration of forage and grass species into community seed and tree banks and nurseries, including co-development of inclusive seed bank business and service delivery models, and establishment of collaboration protocols between national genebanks and community seed banks in Tanzania, Kenya and Ethiopia
Indicator: Number of community seed banks strengthened</v>
      </c>
      <c r="D5" s="11" t="str">
        <v>Number of innovations (innovation development)</v>
      </c>
      <c r="E5" s="11" t="str">
        <v>Country: Kenya, Tanzania, United Republic, Ethiopia</v>
      </c>
      <c r="F5" s="11">
        <v>2</v>
      </c>
      <c r="G5" s="11">
        <v>82996</v>
      </c>
      <c r="H5" s="11">
        <f>SUM(G5:G5)</f>
      </c>
      <c r="I5" s="11" t="str">
        <v>.</v>
      </c>
    </row>
    <row r="6" ht="25" customHeight="1">
      <c r="B6" s="14" t="str">
        <v>HLO budget subtotal</v>
      </c>
      <c r="H6" s="15">
        <f>SUM(H3:H5)</f>
      </c>
    </row>
    <row r="7" ht="50" customHeight="1" xml:space="preserve">
      <c r="A7" s="13" t="str">
        <v>AOW02</v>
      </c>
      <c r="B7" s="11" t="str">
        <v>OP 2.1.1. – Hotspot mapping &amp; characterization</v>
      </c>
      <c r="C7" s="11" t="str" xml:space="preserve">
        <v xml:space="preserve">Deliverable -  Decision-support tool and associated species suitability maps deployed iin multifunctional landscape sites, incorporating datasets on rangeland  forage trees, invasive species, and bush encroachment, and used to inform restoration planning with at least two partner institutions.
Indicator: Number of spatial-oriented decision-support tools for managing vegetation in rangelands</v>
      </c>
      <c r="D7" s="11" t="str">
        <v>Number of innovations (innovation development)</v>
      </c>
      <c r="E7" s="11" t="str">
        <v>Country: Ethiopia, Tunisia, Senegal, Kenya, Tanzania, United Republic</v>
      </c>
      <c r="F7" s="11">
        <v>1</v>
      </c>
      <c r="G7" s="11">
        <v>73752</v>
      </c>
      <c r="H7" s="11">
        <f>SUM(G7:G7)</f>
      </c>
      <c r="I7" s="11" t="str">
        <v>.</v>
      </c>
    </row>
    <row r="8" ht="50" customHeight="1" xml:space="preserve">
      <c r="A8" s="11" t="str">
        <v>AOW02</v>
      </c>
      <c r="B8" s="11" t="str">
        <v>OP 2.2.2. – Landscape visions &amp; co-developed plans</v>
      </c>
      <c r="C8" s="11" t="str" xml:space="preserve">
        <v xml:space="preserve">Deliverable - Landscape Vision to Action (LV2A) Implementation – Tanzania: Facilitate multi-stakeholder visioning and priority-setting for the selected landscape in Tanzania, leading to a validated Landscape Vision and Action Framework that identifies shared goals, priority interventions, governance arrangements, and pathways for coordinated implementation.
Indicator: Number of Vision to Action multistakeholder processes undertaken</v>
      </c>
      <c r="D8" s="11" t="str">
        <v>Number of multistakeholder processes</v>
      </c>
      <c r="E8" s="11" t="str">
        <v>Country: Tanzania, United Republic</v>
      </c>
      <c r="F8" s="11">
        <v>1</v>
      </c>
      <c r="G8" s="11">
        <v>52483</v>
      </c>
      <c r="H8" s="11">
        <f>SUM(G8:G9)</f>
      </c>
      <c r="I8" s="11" t="str">
        <v>.</v>
      </c>
    </row>
    <row r="9" ht="50" customHeight="1">
      <c r="A9" s="11" t="str">
        <v>AOW02</v>
      </c>
      <c r="C9" s="11" t="str">
        <v>Number of multi-stakeholder multifunctional landscape adaptive management plans co-designed that integrate ecological, social, and economic objectives</v>
      </c>
      <c r="D9" s="11" t="str">
        <v>Number of innovations (innovation development)</v>
      </c>
      <c r="E9" s="11" t="str">
        <v>Country: Ethiopia, India, Zimbabwe, Tanzania, United Republic, Colombia, Cambodia, Peru, Kenya, The Socialist Republic of Viet Nam, Lao People's Democratic Republic, Tunisia, Senegal</v>
      </c>
      <c r="F9" s="11">
        <v>3</v>
      </c>
      <c r="G9" s="11">
        <v>0</v>
      </c>
    </row>
    <row r="10" ht="50" customHeight="1" xml:space="preserve">
      <c r="A10" s="11" t="str">
        <v>AOW02</v>
      </c>
      <c r="B10" s="11" t="str">
        <v>OP 2.2.3. – Integrated planning &amp; scenarios</v>
      </c>
      <c r="C10" s="11" t="str" xml:space="preserve">
        <v xml:space="preserve">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optimisation of multifunctionality The process will also be used to build capacity of teams from other MFL Living Landscapes for adaptation and replication. Jointly undertaken with ICRISAT.      
Indicator: Number of hectares targeted in the integrated multifunctional land use report in Kiteto district, Tanzania </v>
      </c>
      <c r="D10" s="11" t="str">
        <v xml:space="preserve"> Number of hectares targeted by integrated multifunctional land use plan in Kiteto district, Tanzania</v>
      </c>
      <c r="E10" s="11" t="str">
        <v>Country: Tanzania, United Republic</v>
      </c>
      <c r="F10" s="11">
        <v>1323100</v>
      </c>
      <c r="G10" s="11">
        <v>140000</v>
      </c>
      <c r="H10" s="11">
        <f>SUM(G10:G10)</f>
      </c>
      <c r="I10" s="11" t="str">
        <v>.</v>
      </c>
    </row>
    <row r="11" ht="25" customHeight="1">
      <c r="B11" s="15" t="str">
        <v>HLO budget subtotal</v>
      </c>
      <c r="H11" s="15">
        <f>SUM(H7:H10)</f>
      </c>
    </row>
    <row r="12" ht="50" customHeight="1" xml:space="preserve">
      <c r="A12" s="13" t="str">
        <v>AOW04</v>
      </c>
      <c r="B12" s="11" t="str">
        <v>OP 4.1.1. Inclusive governance architectures</v>
      </c>
      <c r="C12" s="11" t="str" xml:space="preserve">
        <v xml:space="preserve">Deliverable: Responsible Investment and Carbon Stewardship Framework for Community-Managed Common Lands (Tanzania). Co-designed guidelines for responsible CSR and carbon market investments in the restoration of common land and community commons governance in Tanzania
Indicator: Number of cases for co-designed guidelines for responsible CSR and carbon market investments for restoration of commons
</v>
      </c>
      <c r="D12" s="11" t="str">
        <v>Number of knowledge products</v>
      </c>
      <c r="E12" s="11" t="str">
        <v>Country: Tanzania, United Republic</v>
      </c>
      <c r="F12" s="11">
        <v>2</v>
      </c>
      <c r="G12" s="11">
        <v>29168</v>
      </c>
      <c r="H12" s="11">
        <f>SUM(G12:G13)</f>
      </c>
      <c r="I12" s="11" t="str">
        <v>.</v>
      </c>
    </row>
    <row r="13" ht="50" customHeight="1">
      <c r="A13" s="11" t="str">
        <v>AOW04</v>
      </c>
      <c r="C13" s="11" t="str">
        <v>Number of inclusive multifunctional landscapes governance and management arrangements designed</v>
      </c>
      <c r="D13" s="11" t="str">
        <v>Number of innovations (innovation development)</v>
      </c>
      <c r="E13" s="11" t="str">
        <v>Country: Ethiopia, Senegal, Peru, Kenya, Tunisia, Tanzania, United Republic, India, Colombia</v>
      </c>
      <c r="F13" s="11">
        <v>3</v>
      </c>
      <c r="G13" s="11">
        <v>0</v>
      </c>
    </row>
    <row r="14" ht="50" customHeight="1" xml:space="preserve">
      <c r="A14" s="11" t="str">
        <v>AOW04</v>
      </c>
      <c r="B14" s="11" t="str">
        <v>OP 4.1.2 GEYSI for co-creation and inclusive governance</v>
      </c>
      <c r="C14" s="11" t="str" xml:space="preserve">
        <v xml:space="preserve">Deliverable: Develop and support GEYSI capacities in Tanzania and Senegal landscapes to implement gender responsive and transformative approaches in rangelands; document and provide evidence about GESI methodologies that increase equitable landscape governance
Indicator: Number of gender transformative approaches developed to support rangeland management  </v>
      </c>
      <c r="D14" s="11" t="str">
        <v>Number of innovations (innovation development)</v>
      </c>
      <c r="E14" s="11" t="str">
        <v>Country: Tanzania, United Republic, Ethiopia, Senegal</v>
      </c>
      <c r="F14" s="11">
        <v>2</v>
      </c>
      <c r="G14" s="11">
        <v>58336</v>
      </c>
      <c r="H14" s="11">
        <f>SUM(G14:G14)</f>
      </c>
      <c r="I14" s="11" t="str">
        <v>.</v>
      </c>
    </row>
    <row r="15" ht="50" customHeight="1" xml:space="preserve">
      <c r="A15" s="11" t="str">
        <v>AOW04</v>
      </c>
      <c r="B15" s="11" t="str">
        <v>OP 4.2.2. Demand driven capacity sharing for policy makers and landscape stakeholders</v>
      </c>
      <c r="C15" s="11" t="str" xml:space="preserve">
        <v xml:space="preserve">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v>
      </c>
      <c r="D15" s="11" t="str">
        <v xml:space="preserve"> Number of actors engaged in CoP</v>
      </c>
      <c r="E15" s="11" t="str">
        <v>Global</v>
      </c>
      <c r="F15" s="11">
        <v>40</v>
      </c>
      <c r="G15" s="11">
        <v>117398</v>
      </c>
      <c r="H15" s="11">
        <f>SUM(G15:G18)</f>
      </c>
      <c r="I15" s="11" t="str">
        <v>.</v>
      </c>
    </row>
    <row r="16" ht="50" customHeight="1" xml:space="preserve">
      <c r="A16" s="11" t="str">
        <v>AOW04</v>
      </c>
      <c r="C16" s="11" t="str" xml:space="preserve">
        <v xml:space="preserve">Deliverable: Socially Inclusive Land Use Planning and Governance for Multifunctional Landscapes (MFL-LLs): Integration of social inclusion in land use planning and governance and particularly in livestock producer communities in the development of the guidelines on optimisation and planning of MFL LLs, and the piloting of this in Tanzania. Specific guidance for improving GEYSI will be provided in the guidelines, as well as specific training materials. Additionally, GEYSI activities to build capacity of women, youth and IPs to participate in MSPs established as part of planning process. 	
Indicator: Number of innovations developed to support GEYSI oriented land use planning, governance, institutions and business models explicitly addressing barriers for marginalized people.
</v>
      </c>
      <c r="D16" s="11" t="str">
        <v>Number of innovations (innovation development)</v>
      </c>
      <c r="E16" s="11" t="str">
        <v>Country: Kenya, Tanzania, United Republic</v>
      </c>
      <c r="F16" s="11">
        <v>2</v>
      </c>
      <c r="G16" s="11">
        <v>39168</v>
      </c>
      <c r="I16" s="11" t="str">
        <v>.</v>
      </c>
    </row>
    <row r="17" ht="50" customHeight="1">
      <c r="A17" s="11" t="str">
        <v>AOW04</v>
      </c>
      <c r="C17" s="11" t="str">
        <v xml:space="preserve">Number of landscape actors (IPLCs, women, youth, vulnerable groups, farmer organizations, extension services, land user planners, private sector, market agents, policy makers, academia, research organizations, statistics bureaus, NBSAP team, and LDN target team) in each MFL country engaged in the international MFL co-learning network </v>
      </c>
      <c r="D17" s="11" t="str">
        <v>Number of CoP member institutions</v>
      </c>
      <c r="E17" s="11" t="str">
        <v>Global</v>
      </c>
      <c r="F17" s="11">
        <v>20</v>
      </c>
      <c r="G17" s="11">
        <v>0</v>
      </c>
    </row>
    <row r="18" ht="50" customHeight="1">
      <c r="A18" s="11" t="str">
        <v>AOW04</v>
      </c>
      <c r="C18" s="11" t="str">
        <v>Number of landscape stakeholders trained on multifunctional landscapes disaggregated by type of organization and nature of the training</v>
      </c>
      <c r="D18" s="11" t="str">
        <v>Number of people trained (capacity sharing for development)</v>
      </c>
      <c r="E18" s="11" t="str">
        <v>Country: The Socialist Republic of Viet Nam, Colombia, Kenya, Tanzania, United Republic, Peru, Senegal, Lao People's Democratic Republic, India, Cambodia, Zimbabwe, Tunisia</v>
      </c>
      <c r="F18" s="11">
        <v>200</v>
      </c>
      <c r="G18" s="11">
        <v>0</v>
      </c>
    </row>
    <row r="19" ht="50" customHeight="1" xml:space="preserve">
      <c r="A19" s="11" t="str">
        <v>AOW04</v>
      </c>
      <c r="B19" s="11" t="str">
        <v>OP 4.3.2. Engagement frameworks and pilots</v>
      </c>
      <c r="C19" s="11" t="str" xml:space="preserve">
        <v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v>
      </c>
      <c r="D19" s="11" t="str">
        <v>Number of knowledge products</v>
      </c>
      <c r="E19" s="11" t="str">
        <v>Country: Peru, The Socialist Republic of Viet Nam, India, Tanzania, United Republic, Tunisia, Ethiopia, Zimbabwe, Cambodia, Lao People's Democratic Republic, Colombia, Senegal</v>
      </c>
      <c r="F19" s="11">
        <v>8</v>
      </c>
      <c r="G19" s="11">
        <v>124257</v>
      </c>
      <c r="H19" s="11">
        <f>SUM(G19:G20)</f>
      </c>
      <c r="I19" s="11" t="str">
        <v>.</v>
      </c>
    </row>
    <row r="20" ht="50" customHeight="1">
      <c r="A20" s="11" t="str">
        <v>AOW04</v>
      </c>
      <c r="C20" s="11" t="str">
        <v>Number of multifunctional landscapes events in which members of the multifunctional landscapes communities of practice have participated in.</v>
      </c>
      <c r="D20" s="11" t="str">
        <v>Number of people trained (capacity sharing for development)</v>
      </c>
      <c r="E20" s="11" t="str">
        <v>Country: Colombia, Cambodia, Senegal, The Socialist Republic of Viet Nam, Lao People's Democratic Republic, Peru, India, Kenya, Tunisia, Zimbabwe, Tanzania, United Republic</v>
      </c>
      <c r="F20" s="11">
        <v>6</v>
      </c>
      <c r="G20" s="11">
        <v>0</v>
      </c>
    </row>
    <row r="21" ht="25" customHeight="1">
      <c r="B21" s="15" t="str">
        <v>HLO budget subtotal</v>
      </c>
      <c r="H21" s="15">
        <f>SUM(H12:H20)</f>
      </c>
    </row>
    <row r="22" ht="50" customHeight="1" xml:space="preserve">
      <c r="A22" s="13" t="str">
        <v>AOW05</v>
      </c>
      <c r="B22" s="11" t="str">
        <v>OP 5.1.1 – Metrics database</v>
      </c>
      <c r="C22" s="11" t="str" xml:space="preserve">
        <v xml:space="preserve">Deliverable: Critical Capabilities - Framework for GHG emission, nutrient dynamics and ecosystem health: Drawing on the critical capabilities of ILRI under the ‘Mazingira’ centre, the MFL science program and its concept of living landscapes will be supported through a framework to measure GHG emissions and nutrient dynamics that support monitoring, reporting and verification (MRV), ecosystem health indicators such as species diversity and soil cover,  and system nutrient circularity.
Indicator: Number of Living Landscapes equipped with operational GHG and nutrient monitoring frameworks
</v>
      </c>
      <c r="D22" s="11" t="str">
        <v>Number of knowledge products</v>
      </c>
      <c r="E22" s="11" t="str">
        <v>Country: Tanzania, United Republic, Kenya, Colombia</v>
      </c>
      <c r="F22" s="11">
        <v>3</v>
      </c>
      <c r="G22" s="11">
        <v>285686</v>
      </c>
      <c r="H22" s="11">
        <f>SUM(G22:G22)</f>
      </c>
      <c r="I22" s="11" t="str">
        <v>.</v>
      </c>
    </row>
    <row r="23" ht="50" customHeight="1" xml:space="preserve">
      <c r="A23" s="11" t="str">
        <v>AOW05</v>
      </c>
      <c r="B23" s="11" t="str">
        <v>OP 5.1.3. Cross-CGIAR assessment frameworks of impact indicators</v>
      </c>
      <c r="C23" s="11" t="str" xml:space="preserve">
        <v xml:space="preserve">Deliverable - Capacity strengthening on assessment frameworks : 1. Trainings for environmental health and biodiversity assessments (including rangelands)
2. Environmental assessment reports for India and Kenya (including rangelands and pasture lands)
3.  Biodiversity assessment reports for Kenya and India (including livestock)
4. Dissemination of the assessment findings on India, Kenya, and beyond
Indicator:  Number of trainings for environmental health and biodiversity health assessments in rangelands completed</v>
      </c>
      <c r="D23" s="11" t="str">
        <v xml:space="preserve"> Number of trainings for environmental health and biodiversity health assessments in rangelands completed</v>
      </c>
      <c r="E23" s="11" t="str">
        <v>Country: Colombia, Tanzania, United Republic, Kenya, India</v>
      </c>
      <c r="F23" s="11">
        <v>2</v>
      </c>
      <c r="G23" s="11">
        <v>49057</v>
      </c>
      <c r="H23" s="11">
        <f>SUM(G23:G24)</f>
      </c>
      <c r="I23" s="11" t="str">
        <v>.</v>
      </c>
    </row>
    <row r="24" ht="50" customHeight="1" xml:space="preserve">
      <c r="A24" s="11" t="str">
        <v>AOW05</v>
      </c>
      <c r="C24" s="11" t="str" xml:space="preserve">
        <v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v>
      </c>
      <c r="D24" s="11" t="str">
        <v>Number of knowledge products</v>
      </c>
      <c r="E24" s="11" t="str">
        <v>Country: Ethiopia, Cambodia, The Socialist Republic of Viet Nam, Peru, Senegal, Kenya, Lao People's Democratic Republic, Zimbabwe, Colombia, Tunisia, India, Tanzania, United Republic</v>
      </c>
      <c r="F24" s="11">
        <v>2</v>
      </c>
      <c r="G24" s="11">
        <v>94010</v>
      </c>
      <c r="I24" s="11" t="str">
        <v>.</v>
      </c>
    </row>
    <row r="25" ht="25" customHeight="1">
      <c r="B25" s="15" t="str">
        <v>HLO budget subtotal</v>
      </c>
      <c r="H25" s="15">
        <f>SUM(H22:H24)</f>
      </c>
    </row>
  </sheetData>
  <mergeCells count="23">
    <mergeCell ref="A1:A2"/>
    <mergeCell ref="B1:B2"/>
    <mergeCell ref="C1:G1"/>
    <mergeCell ref="H1:H2"/>
    <mergeCell ref="I1:I2"/>
    <mergeCell ref="B6:G6"/>
    <mergeCell ref="A3:A6"/>
    <mergeCell ref="B8:B9"/>
    <mergeCell ref="H8:H9"/>
    <mergeCell ref="B11:G11"/>
    <mergeCell ref="A7:A11"/>
    <mergeCell ref="B12:B13"/>
    <mergeCell ref="H12:H13"/>
    <mergeCell ref="B15:B18"/>
    <mergeCell ref="H15:H18"/>
    <mergeCell ref="B19:B20"/>
    <mergeCell ref="H19:H20"/>
    <mergeCell ref="B21:G21"/>
    <mergeCell ref="A12:A21"/>
    <mergeCell ref="B23:B24"/>
    <mergeCell ref="H23:H24"/>
    <mergeCell ref="B25:G25"/>
    <mergeCell ref="A22:A25"/>
  </mergeCells>
  <ignoredErrors>
    <ignoredError numberStoredAsText="1" sqref="A1:I25"/>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6"/>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L-IUC001-Sustainable Investments for Large-scale Rangeland R</v>
      </c>
      <c r="B2" s="19" t="str">
        <v>AOW00</v>
      </c>
      <c r="C2" s="18" t="str">
        <v>Poverty Reduction, Livelihoods and Jobs</v>
      </c>
      <c r="D2" s="19">
        <v>0</v>
      </c>
      <c r="E2" s="19" t="str">
        <f>=SUM(D2:D5)</f>
        <v>0</v>
      </c>
    </row>
    <row r="3" ht="30" customHeight="1">
      <c r="A3" s="18" t="str">
        <v>L-IUC001-Sustainable Investments for Large-scale Rangeland R</v>
      </c>
      <c r="B3" s="19" t="str">
        <v>AOW05</v>
      </c>
      <c r="C3" s="18" t="str">
        <v>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v>
      </c>
      <c r="D3" s="19">
        <v>0</v>
      </c>
    </row>
    <row r="4" ht="30" customHeight="1">
      <c r="A4" s="18" t="str">
        <v>L-IUC001-Sustainable Investments for Large-scale Rangeland R</v>
      </c>
      <c r="B4" s="19" t="str">
        <v>AOW02</v>
      </c>
      <c r="C4" s="18" t="str">
        <v>AOW-IOC 2.1. Landscape stakeholder groups have strengthened capacity to optimize landscape multifunctionality.</v>
      </c>
      <c r="D4" s="19">
        <v>0</v>
      </c>
    </row>
    <row r="5" ht="30" customHeight="1">
      <c r="A5" s="18" t="str">
        <v>L-IUC001-Sustainable Investments for Large-scale Rangeland R</v>
      </c>
      <c r="B5" s="19" t="str">
        <v>AOW04</v>
      </c>
      <c r="C5" s="18" t="str">
        <v>AOW-IOC 4.1. Landscape stakeholders establish governance structures for coordinated landscape management.</v>
      </c>
      <c r="D5" s="19">
        <v>0</v>
      </c>
    </row>
    <row r="6" ht="30" customHeight="1">
      <c r="A6" s="3" t="str">
        <v>W3/Bilateral projects subtotal</v>
      </c>
      <c r="E6" s="3">
        <f>SUM(E2:E5)</f>
      </c>
    </row>
  </sheetData>
  <mergeCells count="3">
    <mergeCell ref="A2:A5"/>
    <mergeCell ref="E2:E5"/>
    <mergeCell ref="A6:D6"/>
  </mergeCells>
  <ignoredErrors>
    <ignoredError numberStoredAsText="1" sqref="A1:F6"/>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0</v>
      </c>
      <c r="E2" s="20">
        <v>0</v>
      </c>
      <c r="F2" s="20">
        <v>0</v>
      </c>
      <c r="G2" s="20">
        <v>0</v>
      </c>
      <c r="H2" s="20" t="str">
        <f>=SUM(B2:G2)</f>
        <v>0</v>
      </c>
    </row>
    <row r="3" ht="20" customHeight="1">
      <c r="A3" s="20" t="str">
        <v>Operations (supplies, consultants, travels, workshops, other)</v>
      </c>
      <c r="B3" s="20">
        <v>0</v>
      </c>
      <c r="C3" s="20">
        <v>183810</v>
      </c>
      <c r="D3" s="20">
        <v>133117</v>
      </c>
      <c r="E3" s="20">
        <v>0</v>
      </c>
      <c r="F3" s="20">
        <v>184163</v>
      </c>
      <c r="G3" s="20">
        <v>203854</v>
      </c>
      <c r="H3" s="20" t="str">
        <f>=SUM(B3:G3)</f>
        <v>0</v>
      </c>
    </row>
    <row r="4" ht="20" customHeight="1">
      <c r="A4" s="20" t="str">
        <v>Staffing, Chargebacks and Indirect</v>
      </c>
      <c r="B4" s="20">
        <v>216267</v>
      </c>
      <c r="C4" s="20">
        <v>183811</v>
      </c>
      <c r="D4" s="20">
        <v>133118</v>
      </c>
      <c r="E4" s="20">
        <v>0</v>
      </c>
      <c r="F4" s="20">
        <v>184164</v>
      </c>
      <c r="G4" s="20">
        <v>224899</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