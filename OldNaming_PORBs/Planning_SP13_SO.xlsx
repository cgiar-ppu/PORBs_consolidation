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542900</v>
      </c>
      <c r="M4" s="5">
        <v>0</v>
      </c>
    </row>
    <row r="5" ht="20" customHeight="1">
      <c r="A5" s="2" t="str">
        <v>AOW01: Biodiversity Conservation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Strategic User Engagement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44900</v>
      </c>
      <c r="E6" s="11" t="str">
        <v>Extra finance person in SO as determined by SO finance</v>
      </c>
    </row>
    <row r="7" ht="45" customHeight="1">
      <c r="A7" s="11" t="str">
        <v>AOW00</v>
      </c>
      <c r="B7" s="11" t="str">
        <v>Director costs</v>
      </c>
      <c r="D7" s="11">
        <v>498000</v>
      </c>
      <c r="E7" s="11" t="str">
        <v>Include salary and wages, Consultants, workshops and conferences, and travel.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5" t="str">
        <v>Collaborators non-CGIAR centers</v>
      </c>
      <c r="B2" s="15">
        <v>75000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 t="str">
        <f>=SUM(B2:G2)</f>
        <v>0</v>
      </c>
    </row>
    <row r="3" ht="20" customHeight="1">
      <c r="A3" s="15" t="str">
        <v>Operations (supplies, consultants, travels, workshops, other)</v>
      </c>
      <c r="B3" s="15">
        <v>141348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 t="str">
        <f>=SUM(B3:G3)</f>
        <v>0</v>
      </c>
    </row>
    <row r="4" ht="20" customHeight="1">
      <c r="A4" s="15" t="str">
        <v>Staffing, Chargebacks and Indirect</v>
      </c>
      <c r="B4" s="15">
        <v>326552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 t="str">
        <f>=SUM(B4:G4)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