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304094</v>
      </c>
      <c r="M4" s="5">
        <v>0</v>
      </c>
    </row>
    <row r="5" ht="20" customHeight="1">
      <c r="A5" s="2" t="str">
        <v>AOW01: Accelerating AI-Enabled Farm Advisory at Scale.</v>
      </c>
      <c r="B5" s="2">
        <v>0</v>
      </c>
      <c r="C5" s="5">
        <v>0</v>
      </c>
      <c r="D5" s="2">
        <v>2</v>
      </c>
      <c r="E5" s="5">
        <v>156597.5</v>
      </c>
      <c r="F5" s="2">
        <v>0</v>
      </c>
      <c r="G5" s="5">
        <v>0</v>
      </c>
      <c r="H5" s="2">
        <v>0</v>
      </c>
      <c r="I5" s="5">
        <v>0</v>
      </c>
      <c r="J5" s="5">
        <v>0</v>
      </c>
      <c r="K5" s="5">
        <v>0</v>
      </c>
      <c r="L5" s="5">
        <v>156598</v>
      </c>
      <c r="M5" s="5">
        <v>0</v>
      </c>
    </row>
    <row r="6" ht="20" customHeight="1">
      <c r="A6" s="2" t="str">
        <v>AOW02: Enabling Preparedness and Rapid Response to Emerging Shocks</v>
      </c>
      <c r="B6" s="2">
        <v>0</v>
      </c>
      <c r="C6" s="5">
        <v>0</v>
      </c>
      <c r="D6" s="2">
        <v>5</v>
      </c>
      <c r="E6" s="5">
        <v>215141.59999999998</v>
      </c>
      <c r="F6" s="2">
        <v>0</v>
      </c>
      <c r="G6" s="5">
        <v>0</v>
      </c>
      <c r="H6" s="2">
        <v>0</v>
      </c>
      <c r="I6" s="5">
        <v>0</v>
      </c>
      <c r="J6" s="5">
        <v>0</v>
      </c>
      <c r="K6" s="5">
        <v>0</v>
      </c>
      <c r="L6" s="5">
        <v>215142</v>
      </c>
      <c r="M6" s="5">
        <v>0</v>
      </c>
    </row>
    <row r="7" ht="20" customHeight="1">
      <c r="A7" s="2" t="str">
        <v>AOW03: Delivering Integrated Solutions to Systemic Farm-Level Binding Constraints</v>
      </c>
      <c r="B7" s="2">
        <v>3</v>
      </c>
      <c r="C7" s="5">
        <v>7339.55</v>
      </c>
      <c r="D7" s="2">
        <v>6</v>
      </c>
      <c r="E7" s="5">
        <v>136372.5</v>
      </c>
      <c r="F7" s="2">
        <v>0</v>
      </c>
      <c r="G7" s="5">
        <v>0</v>
      </c>
      <c r="H7" s="2">
        <v>100</v>
      </c>
      <c r="I7" s="5">
        <v>59660.54</v>
      </c>
      <c r="J7" s="5">
        <v>0</v>
      </c>
      <c r="K7" s="5">
        <v>0</v>
      </c>
      <c r="L7" s="5">
        <v>203373</v>
      </c>
      <c r="M7" s="5">
        <v>0</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2</v>
      </c>
      <c r="C9" s="5">
        <v>24641.88</v>
      </c>
      <c r="D9" s="2">
        <v>5</v>
      </c>
      <c r="E9" s="5">
        <v>104656.18</v>
      </c>
      <c r="F9" s="2">
        <v>0</v>
      </c>
      <c r="G9" s="5">
        <v>0</v>
      </c>
      <c r="H9" s="2">
        <v>0</v>
      </c>
      <c r="I9" s="5">
        <v>0</v>
      </c>
      <c r="J9" s="5">
        <v>0</v>
      </c>
      <c r="K9" s="5">
        <v>16588</v>
      </c>
      <c r="L9" s="5">
        <v>145886</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15000</v>
      </c>
      <c r="E4" s="11" t="str">
        <v>Covers PMU members office costs, supplies, services, travel and other operational expenses.</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214894</v>
      </c>
      <c r="E6" s="11" t="str">
        <v>FTE for the Program Coordinator, including budget for technical support for Administration function.</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74200</v>
      </c>
      <c r="E10" s="11" t="str">
        <v>Planned 2 physical leadership meetings with a pause and reflect forum.</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2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 xml:space="preserve">Contextual and adapted AgroTutor AI platform with Potato Model </v>
      </c>
      <c r="D3" s="11" t="str">
        <v>Number of knowledge products</v>
      </c>
      <c r="E3" s="11" t="str">
        <v>Country: Peru</v>
      </c>
      <c r="F3" s="11">
        <v>1</v>
      </c>
      <c r="G3" s="11">
        <v>96933.75</v>
      </c>
      <c r="H3" s="11">
        <f>SUM(G3:G3)</f>
      </c>
      <c r="I3" s="11" t="str">
        <v>CIP internal institutional priorities don't change</v>
      </c>
    </row>
    <row r="4" ht="50" customHeight="1">
      <c r="A4" s="11" t="str">
        <v>AOW01</v>
      </c>
      <c r="B4" s="11" t="str">
        <v xml:space="preserve">1.3: Farmer utilization and adoption of AI-enabled advisory services </v>
      </c>
      <c r="C4" s="11" t="str">
        <v>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v>
      </c>
      <c r="D4" s="11" t="str">
        <v>Number of knowledge products</v>
      </c>
      <c r="E4" s="11" t="str">
        <v>Country: Malawi, Tanzania, United Republic, Nigeria, Ghana, Mexico, Ethiopia, The Socialist Republic of Viet Nam, Kenya</v>
      </c>
      <c r="F4" s="11">
        <v>1</v>
      </c>
      <c r="G4" s="11">
        <v>59663.75</v>
      </c>
      <c r="H4" s="11">
        <f>SUM(G4:G4)</f>
      </c>
      <c r="I4" s="11" t="str">
        <v>CIP internal institutional priorities don't change</v>
      </c>
    </row>
    <row r="5" ht="25" customHeight="1">
      <c r="B5" s="14" t="str">
        <v>HLO budget subtotal</v>
      </c>
      <c r="H5" s="15">
        <f>SUM(H3:H4)</f>
      </c>
    </row>
    <row r="6" ht="50" customHeight="1" xml:space="preserve">
      <c r="A6" s="13" t="str">
        <v>AOW02</v>
      </c>
      <c r="B6" s="11" t="str">
        <v xml:space="preserve">2.1: Enhanced resolution, accuracy and timeliness of early warning system </v>
      </c>
      <c r="C6" s="11" t="str" xml:space="preserve">
        <v xml:space="preserve">Critical Capabilities: Validated phenology models and risk maps for major pests in cassava, banana, maize, and vegetables developed and made available to CGIAR Centers to inform targeted pest management and early warning systems. Major pests include cassava chinch bug, green mite and mealybug, banana aphid, maize (fall army worm, maize stalk borer, spotted stalk borer) and vegetables (whiteflies, leafminer, tobacco splitworm) 
</v>
      </c>
      <c r="D6" s="11" t="str">
        <v>Number of knowledge products</v>
      </c>
      <c r="E6" s="11" t="str">
        <v>Country: Peru</v>
      </c>
      <c r="F6" s="11">
        <v>3</v>
      </c>
      <c r="G6" s="11">
        <v>30921.68</v>
      </c>
      <c r="H6" s="11">
        <f>SUM(G6:G7)</f>
      </c>
      <c r="I6" s="11" t="str">
        <v>CIP internal institutional priorities don't change</v>
      </c>
    </row>
    <row r="7" ht="50" customHeight="1">
      <c r="A7" s="11" t="str">
        <v>AOW02</v>
      </c>
      <c r="C7" s="11" t="str">
        <v>Enhanced models, templates, frameworks, maps or data tools to detect pests (potato cyst nematode,  cassava chinch bug, green mite and mealybug, banana aphid, maize (fall army worm, maize stalk borer, spotted stalk borer) and vegetables (whiteflies, leafminer, tobacco splitworm) ), diseases (soybean, wheat rust, rice diseases, Bactericera cockerelli) or contamination (aflatoxin) to improve early warning components</v>
      </c>
      <c r="D7" s="11" t="str">
        <v>Number of knowledge products</v>
      </c>
      <c r="E7" s="11" t="str">
        <v>Country: Rwanda, Malawi, Benin, Kenya, Côte d'Ivoire, Zambia, Philippines, Uganda, Peru, Nigeria</v>
      </c>
      <c r="F7" s="11">
        <v>1</v>
      </c>
      <c r="G7" s="11">
        <v>76244.72</v>
      </c>
      <c r="I7" s="11" t="str">
        <v>CIP internal institutional priorities don't change</v>
      </c>
    </row>
    <row r="8" ht="50" customHeight="1">
      <c r="A8" s="11" t="str">
        <v>AOW02</v>
      </c>
      <c r="B8" s="11" t="str">
        <v>2.2: Strategies for response to water related shocks</v>
      </c>
      <c r="C8" s="11" t="str">
        <v>Knowledge products that enhance farmer level response towards water related shocks (e.g. droughts, floods), pests and disease outbreaks (e.g. BBTV, BXW, and FoC TR4, legume viral disease, potato purple top complex disease)</v>
      </c>
      <c r="D8" s="11" t="str">
        <v>Number of knowledge products</v>
      </c>
      <c r="E8" s="11" t="str">
        <v>Country: Zambia, Peru, Ethiopia, Lebanon, Tanzania, United Republic, Nigeria, Cameroon, Uganda</v>
      </c>
      <c r="F8" s="11">
        <v>1</v>
      </c>
      <c r="G8" s="11">
        <v>107975.2</v>
      </c>
      <c r="H8" s="11">
        <f>SUM(G8:G8)</f>
      </c>
      <c r="I8" s="11" t="str">
        <v>CIP internal institutional priorities don't change</v>
      </c>
    </row>
    <row r="9" ht="25" customHeight="1">
      <c r="B9" s="15" t="str">
        <v>HLO budget subtotal</v>
      </c>
      <c r="H9" s="15">
        <f>SUM(H6:H8)</f>
      </c>
    </row>
    <row r="10" ht="50" customHeight="1">
      <c r="A10" s="13" t="str">
        <v>AOW03</v>
      </c>
      <c r="B10" s="11" t="str">
        <v xml:space="preserve">3.1: Farm-level diagnostic evidence on soil, plant, water, and socio-economic constraints </v>
      </c>
      <c r="C10" s="11" t="str">
        <v>KPI 1: Diagnostic characterization of farm-level binding constraints, with corresponding best-fit solution options integrated into the Sustainable Farming Dashboard (SFD) under AoW5</v>
      </c>
      <c r="D10" s="11" t="str">
        <v>Number of knowledge products</v>
      </c>
      <c r="E10" s="11" t="str">
        <v>Country: Bangladesh, India, Malawi, Kenya, Lao People's Democratic Republic, Ethiopia, Mexico, Nepal, Peru, Ghana, Nigeria</v>
      </c>
      <c r="F10" s="11">
        <v>2</v>
      </c>
      <c r="G10" s="11">
        <v>18711.96</v>
      </c>
      <c r="H10" s="11">
        <f>SUM(G10:G10)</f>
      </c>
      <c r="I10" s="11" t="str">
        <v>CIP internal institutional priorities don't change</v>
      </c>
    </row>
    <row r="11" ht="50" customHeight="1">
      <c r="A11" s="11" t="str">
        <v>AOW03</v>
      </c>
      <c r="B11" s="11" t="str">
        <v xml:space="preserve">3.2. Validated, farm-level management solutions </v>
      </c>
      <c r="C11" s="11" t="str">
        <v>KPI 4: Integrated plant health management packages, grounded in evidence, that reduce biotic pressures limiting crop performance</v>
      </c>
      <c r="D11" s="11" t="str">
        <v>Number of knowledge products</v>
      </c>
      <c r="E11" s="11" t="str">
        <v>Country: Ethiopia, Peru, Nigeria, The Socialist Republic of Viet Nam, Colombia, Rwanda, Uganda, The Democratic Republic of the Congo</v>
      </c>
      <c r="F11" s="11">
        <v>3</v>
      </c>
      <c r="G11" s="11">
        <v>59660.54</v>
      </c>
      <c r="H11" s="11">
        <f>SUM(G11:G13)</f>
      </c>
      <c r="I11" s="11" t="str">
        <v>CIP internal institutional priorities don't change</v>
      </c>
    </row>
    <row r="12" ht="50" customHeight="1">
      <c r="A12" s="11" t="str">
        <v>AOW03</v>
      </c>
      <c r="C12" s="11" t="str">
        <v>KPI4: Integrated plant health management packages, grounded in evidence, that reduce biotic pressures limiting crop performance</v>
      </c>
      <c r="D12" s="11" t="str">
        <v xml:space="preserve"> Number of isolates genotyped</v>
      </c>
      <c r="E12" s="11" t="str">
        <v>Country: Ethiopia, Peru</v>
      </c>
      <c r="F12" s="11">
        <v>100</v>
      </c>
      <c r="G12" s="11">
        <v>59660.54</v>
      </c>
      <c r="I12" s="11" t="str">
        <v>CIP internal institutional priorities don't change</v>
      </c>
    </row>
    <row r="13" ht="50" customHeight="1">
      <c r="A13" s="11" t="str">
        <v>AOW03</v>
      </c>
      <c r="C13" s="11" t="str">
        <v>KPI 6: Systematic assessment capturing farmer uptake, contextual adaptation, and scaling trajectories of validated solutions addressing binding constraints</v>
      </c>
      <c r="D13" s="11" t="str">
        <v>Number of innovations (innovation development)</v>
      </c>
      <c r="E13" s="11" t="str">
        <v>Country: Kenya, India, Morocco, The Socialist Republic of Viet Nam, Cambodia, Philippines</v>
      </c>
      <c r="F13" s="11">
        <v>3</v>
      </c>
      <c r="G13" s="11">
        <v>7339.55</v>
      </c>
      <c r="I13" s="11" t="str">
        <v>CIP internal institutional priorities don't change</v>
      </c>
    </row>
    <row r="14" ht="50" customHeight="1">
      <c r="A14" s="11" t="str">
        <v>AOW03</v>
      </c>
      <c r="B14" s="11" t="str">
        <v xml:space="preserve">3.3: Scaled and adopted farm management solutions </v>
      </c>
      <c r="C14" s="11" t="str">
        <v>KPI 6: Systematic assessment capturing farmer uptake, contextual adaptation, and scaling trajectories of validated solutions addressing binding constraints</v>
      </c>
      <c r="D14" s="11" t="str">
        <v>Number of knowledge products</v>
      </c>
      <c r="E14" s="11" t="str">
        <v>Country: Malawi, Kenya</v>
      </c>
      <c r="F14" s="11">
        <v>1</v>
      </c>
      <c r="G14" s="11">
        <v>58000</v>
      </c>
      <c r="H14" s="11">
        <f>SUM(G14:G14)</f>
      </c>
      <c r="I14" s="11" t="str">
        <v>CIP internal institutional priorities don't change</v>
      </c>
    </row>
    <row r="15" ht="25" customHeight="1">
      <c r="B15" s="15" t="str">
        <v>HLO budget subtotal</v>
      </c>
      <c r="H15" s="15">
        <f>SUM(H10:H14)</f>
      </c>
    </row>
    <row r="16" ht="50" customHeight="1">
      <c r="A16" s="13" t="str">
        <v>AOW05</v>
      </c>
      <c r="B16" s="11" t="str">
        <v xml:space="preserve">5.2: Well- documented and communicated SFP impact assessments </v>
      </c>
      <c r="C16" s="11"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D16" s="11" t="str">
        <v>Number of knowledge products</v>
      </c>
      <c r="E16" s="11" t="str">
        <v>Country: Ghana, Nigeria, Malawi, Ethiopia, Kenya</v>
      </c>
      <c r="F16" s="11">
        <v>1</v>
      </c>
      <c r="G16" s="11">
        <v>48153.92</v>
      </c>
      <c r="H16" s="11">
        <f>SUM(G16:G16)</f>
      </c>
      <c r="I16" s="11" t="str">
        <v>CIP internal institutional priorities don't change</v>
      </c>
    </row>
    <row r="17" ht="50" customHeight="1" xml:space="preserve">
      <c r="A17" s="11" t="str">
        <v>AOW05</v>
      </c>
      <c r="B17" s="11" t="str">
        <v>5.3 FAIR, AI-ready data corpus, data and metadata standards</v>
      </c>
      <c r="C17" s="11" t="str" xml:space="preserve">
        <v xml:space="preserve">Critical Capability: High-quality agricultural insights on crop mapping, yield estimation, planting-date detection, and assessments of agronomic gains generated, producing actionable evidence for targeting, and spatial models to evaluate drivers, water limitations, soil moisture dynamics, and key biological constraints made available to Alliance of Bioversity and CIAT; CIMMYT; CIP; IRRI
</v>
      </c>
      <c r="D17" s="11" t="str">
        <v>Number of knowledge products</v>
      </c>
      <c r="E17" s="11" t="str">
        <v>Country: Rwanda</v>
      </c>
      <c r="F17" s="11">
        <v>2</v>
      </c>
      <c r="G17" s="11">
        <v>26738.98</v>
      </c>
      <c r="H17" s="11">
        <f>SUM(G17:G21)</f>
      </c>
      <c r="I17" s="11" t="str">
        <v>CIP internal institutional priorities don't change</v>
      </c>
    </row>
    <row r="18" ht="50" customHeight="1">
      <c r="A18" s="11" t="str">
        <v>AOW05</v>
      </c>
      <c r="C18" s="11" t="str">
        <v>Benchmarking and external validation of carob against other global databases</v>
      </c>
      <c r="D18" s="11" t="str">
        <v>Number of knowledge products</v>
      </c>
      <c r="E18" s="11" t="str">
        <v>Country: Rwanda</v>
      </c>
      <c r="F18" s="11">
        <v>1</v>
      </c>
      <c r="G18" s="11">
        <v>14881.64</v>
      </c>
      <c r="I18" s="11" t="str">
        <v>CIP internal institutional priorities don't change</v>
      </c>
    </row>
    <row r="19" ht="50" customHeight="1">
      <c r="A19" s="11" t="str">
        <v>AOW05</v>
      </c>
      <c r="C19" s="11" t="str">
        <v>Data-to-model pipelines and APIs made available for scientists to use FAIR, AI-ready data (using existing elements developed through previous Science Portfolios where relevant (e.g., GARDIAN, Data Lake, Adaptation Atlas, Climate Hub).</v>
      </c>
      <c r="D19" s="11" t="str">
        <v>Number of innovations (innovation development)</v>
      </c>
      <c r="E19" s="11" t="str">
        <v>Country: Rwanda, Ethiopia, Kenya, United States of America</v>
      </c>
      <c r="F19" s="11">
        <v>1</v>
      </c>
      <c r="G19" s="11">
        <v>11467.76</v>
      </c>
      <c r="I19" s="11" t="str">
        <v>CIP internal institutional priorities don't change</v>
      </c>
    </row>
    <row r="20" ht="50" customHeight="1" xml:space="preserve">
      <c r="A20" s="11" t="str">
        <v>AOW05</v>
      </c>
      <c r="C20" s="11" t="str" xml:space="preserve">
        <v xml:space="preserve">Database of standardized data ("Carob") including workflows to quality-control, clean and render data standards-compliant using R scripts and R packages. 
</v>
      </c>
      <c r="D20" s="11" t="str">
        <v>Number of innovations (innovation development)</v>
      </c>
      <c r="E20" s="11" t="str">
        <v>Country: Zambia, India, Malawi, Tanzania, United Republic, Nepal, Bangladesh, Ethiopia, Uganda, Philippines, Kenya, United States of America, Mexico</v>
      </c>
      <c r="F20" s="11">
        <v>1</v>
      </c>
      <c r="G20" s="11">
        <v>13174.12</v>
      </c>
      <c r="I20" s="11" t="str">
        <v>CIP internal institutional priorities don't change</v>
      </c>
    </row>
    <row r="21" ht="50" customHeight="1" xml:space="preserve">
      <c r="A21" s="11" t="str">
        <v>AOW05</v>
      </c>
      <c r="C21" s="11" t="str" xml:space="preserve">
        <v xml:space="preserve">Assessment of carob data quality, including built-in QA/QC procedures using internal validation as part of the carobiner associated software (40 correct data points)
</v>
      </c>
      <c r="D21" s="11" t="str">
        <v>Number of knowledge products</v>
      </c>
      <c r="E21" s="11" t="str">
        <v>Country: Rwanda, United States of America, Kenya</v>
      </c>
      <c r="F21" s="11">
        <v>1</v>
      </c>
      <c r="G21" s="11">
        <v>14881.64</v>
      </c>
      <c r="I21" s="11" t="str">
        <v>CIP internal institutional priorities don't change</v>
      </c>
    </row>
    <row r="22" ht="25" customHeight="1">
      <c r="B22" s="15" t="str">
        <v>HLO budget subtotal</v>
      </c>
      <c r="H22" s="15">
        <f>SUM(H16:H21)</f>
      </c>
    </row>
  </sheetData>
  <mergeCells count="19">
    <mergeCell ref="A1:A2"/>
    <mergeCell ref="B1:B2"/>
    <mergeCell ref="C1:G1"/>
    <mergeCell ref="H1:H2"/>
    <mergeCell ref="I1:I2"/>
    <mergeCell ref="B5:G5"/>
    <mergeCell ref="A3:A5"/>
    <mergeCell ref="B6:B7"/>
    <mergeCell ref="H6:H7"/>
    <mergeCell ref="B9:G9"/>
    <mergeCell ref="A6:A9"/>
    <mergeCell ref="B11:B13"/>
    <mergeCell ref="H11:H13"/>
    <mergeCell ref="B15:G15"/>
    <mergeCell ref="A10:A15"/>
    <mergeCell ref="B17:B21"/>
    <mergeCell ref="H17:H21"/>
    <mergeCell ref="B22:G22"/>
    <mergeCell ref="A16:A22"/>
  </mergeCells>
  <ignoredErrors>
    <ignoredError numberStoredAsText="1" sqref="A1:I2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1414-EC00 DESIRA</v>
      </c>
      <c r="B2" s="19" t="str">
        <v>AOW03</v>
      </c>
      <c r="C2" s="18" t="str">
        <v xml:space="preserve">3.1: Farm-level diagnostic evidence on soil, plant, water, and socio-economic constraints </v>
      </c>
      <c r="D2" s="19">
        <v>0</v>
      </c>
      <c r="E2" s="19" t="str">
        <f>=SUM(D2:D2)</f>
        <v>0</v>
      </c>
    </row>
    <row r="3" ht="30" customHeight="1">
      <c r="A3" s="3" t="str">
        <v>W3/Bilateral projects subtotal</v>
      </c>
      <c r="E3" s="3">
        <f>SUM(E2:E2)</f>
      </c>
    </row>
  </sheetData>
  <mergeCells count="1">
    <mergeCell ref="A3:D3"/>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89200</v>
      </c>
      <c r="C3" s="20">
        <v>20000</v>
      </c>
      <c r="D3" s="20">
        <v>19000</v>
      </c>
      <c r="E3" s="20">
        <v>53834</v>
      </c>
      <c r="F3" s="20">
        <v>0</v>
      </c>
      <c r="G3" s="20">
        <v>24102</v>
      </c>
      <c r="H3" s="20" t="str">
        <f>=SUM(B3:G3)</f>
        <v>0</v>
      </c>
    </row>
    <row r="4" ht="20" customHeight="1">
      <c r="A4" s="20" t="str">
        <v>Staffing, Chargebacks and Indirect</v>
      </c>
      <c r="B4" s="20">
        <v>214894</v>
      </c>
      <c r="C4" s="20">
        <v>136598</v>
      </c>
      <c r="D4" s="20">
        <v>196142</v>
      </c>
      <c r="E4" s="20">
        <v>149539</v>
      </c>
      <c r="F4" s="20">
        <v>0</v>
      </c>
      <c r="G4" s="20">
        <v>121784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