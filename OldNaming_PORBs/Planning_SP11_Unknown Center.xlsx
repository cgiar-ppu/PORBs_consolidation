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0" fontId="0" fillId="0" borderId="11" xfId="0" applyBorder="1" applyAlignment="1">
      <alignment vertical="center" wrapText="true"/>
    </xf>
    <xf numFmtId="0" fontId="0" fillId="0" borderId="12" xfId="0" applyBorder="1" applyAlignment="1">
      <alignment horizontal="center" vertical="center" wrapText="true"/>
    </xf>
    <xf numFmtId="1" fontId="0" fillId="0" borderId="13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4" xfId="0" applyFont="1" applyFill="1" applyBorder="1" applyNumberFormat="1" applyAlignment="1">
      <alignment horizontal="center" vertical="center"/>
    </xf>
    <xf numFmtId="1" fontId="14" fillId="14" borderId="15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10000</v>
      </c>
      <c r="L4" s="5">
        <v>126200</v>
      </c>
      <c r="M4" s="5">
        <v>0</v>
      </c>
    </row>
    <row r="5" ht="20" customHeight="1">
      <c r="A5" s="2" t="str">
        <v>AOW01: CapSha Innovation Laboratory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CapSha Marketplace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CapSha South-South and Triangular Cooperation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5" customHeight="1">
      <c r="A8" s="6" t="str">
        <v>Total</v>
      </c>
      <c r="B8" s="7">
        <f>SUM(B4:B7)</f>
      </c>
      <c r="C8" s="7">
        <f>SUM(C4:C7)</f>
      </c>
      <c r="D8" s="7">
        <f>SUM(D4:D7)</f>
      </c>
      <c r="E8" s="7">
        <f>SUM(E4:E7)</f>
      </c>
      <c r="F8" s="7">
        <f>SUM(F4:F7)</f>
      </c>
      <c r="G8" s="7">
        <f>SUM(G4:G7)</f>
      </c>
      <c r="H8" s="7">
        <f>SUM(H4:H7)</f>
      </c>
      <c r="I8" s="7">
        <f>SUM(I4:I7)</f>
      </c>
      <c r="J8" s="7">
        <f>SUM(J4:J7)</f>
      </c>
      <c r="K8" s="7">
        <f>SUM(K4:K7)</f>
      </c>
      <c r="L8" s="7">
        <f>SUM(L4:L7)</f>
      </c>
      <c r="M8" s="7">
        <f>SUM(M4:M7)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Shared Finance Support</v>
      </c>
      <c r="D2" s="11">
        <v>0</v>
      </c>
    </row>
    <row r="3" ht="45" customHeight="1">
      <c r="A3" s="11" t="str">
        <v>AOW00</v>
      </c>
      <c r="B3" s="11" t="str">
        <v>PMU (shared with other Accelerators)</v>
      </c>
      <c r="C3" s="11" t="str">
        <v/>
      </c>
      <c r="D3" s="11">
        <v>26200</v>
      </c>
      <c r="E3" s="11" t="str">
        <v xml:space="preserve">10% FTE for Finance = 10,000USD (minus 3,800USD allocated for shared finance support to SO) 10% FTE with Com shared with SO = 10,000USD 10% FTE for MELIA person to be shared with other Science Programs/Accelerators = 10,000USD </v>
      </c>
    </row>
    <row r="4" ht="45" customHeight="1">
      <c r="A4" s="11" t="str">
        <v>AOW00</v>
      </c>
      <c r="B4" s="11" t="str">
        <v>Leads for AoW1-3</v>
      </c>
      <c r="D4" s="11">
        <v>90000</v>
      </c>
      <c r="E4" s="11" t="str">
        <v xml:space="preserve">15%-20% FTE time depending exact cost estimation (using high salary full cost recovery of 200,000USD x 15% = 30,000 x 3 AoW Lead = 90,000USD </v>
      </c>
    </row>
    <row r="5" ht="45" customHeight="1">
      <c r="A5" s="11" t="str">
        <v>AOW00</v>
      </c>
      <c r="B5" s="11" t="str">
        <v>Operational funds for the CapSha Lead</v>
      </c>
      <c r="D5" s="11">
        <v>0</v>
      </c>
    </row>
    <row r="6" ht="45" customHeight="1">
      <c r="A6" s="11" t="str">
        <v>AOW00</v>
      </c>
      <c r="B6" s="11" t="str">
        <v>CapSha Accelerator Lead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 ht="30" customHeight="1">
      <c r="A2" s="15" t="str">
        <v>Implementation monitoring and corrective action</v>
      </c>
      <c r="B2" s="16" t="str">
        <v>AOW03</v>
      </c>
      <c r="C2" s="15" t="str">
        <v>HLO 3.1.1: Partnership engagement mechanisms</v>
      </c>
      <c r="D2" s="16">
        <v>0</v>
      </c>
      <c r="E2" s="16" t="str">
        <f>=SUM(D2:D5)</f>
        <v>0</v>
      </c>
    </row>
    <row r="3" ht="30" customHeight="1">
      <c r="A3" s="15" t="str">
        <v>Implementation monitoring and corrective action</v>
      </c>
      <c r="B3" s="16" t="str">
        <v>AOW00</v>
      </c>
      <c r="C3" s="15" t="str">
        <v>CapSha mainstreamed</v>
      </c>
      <c r="D3" s="16">
        <v>5000</v>
      </c>
    </row>
    <row r="4" ht="30" customHeight="1">
      <c r="A4" s="15" t="str">
        <v>Implementation monitoring and corrective action</v>
      </c>
      <c r="B4" s="16" t="str">
        <v>AOW01</v>
      </c>
      <c r="C4" s="15" t="str">
        <v>HLO 1.1.1: CapSha research</v>
      </c>
      <c r="D4" s="16">
        <v>0</v>
      </c>
    </row>
    <row r="5" ht="30" customHeight="1">
      <c r="A5" s="15" t="str">
        <v>Implementation monitoring and corrective action</v>
      </c>
      <c r="B5" s="16" t="str">
        <v>AOW02</v>
      </c>
      <c r="C5" s="15" t="str">
        <v>HLO 2.1.1: Supply mapped</v>
      </c>
      <c r="D5" s="16">
        <v>0</v>
      </c>
    </row>
    <row r="6" ht="30" customHeight="1">
      <c r="A6" s="15" t="str">
        <v>Stakeholder consultation and collaborative learning</v>
      </c>
      <c r="B6" s="16" t="str">
        <v>AOW03</v>
      </c>
      <c r="C6" s="15" t="str">
        <v>HLO 3.1.1: Partnership engagement mechanisms</v>
      </c>
      <c r="D6" s="16">
        <v>0</v>
      </c>
      <c r="E6" s="16" t="str">
        <f>=SUM(D6:D9)</f>
        <v>0</v>
      </c>
    </row>
    <row r="7" ht="30" customHeight="1">
      <c r="A7" s="15" t="str">
        <v>Stakeholder consultation and collaborative learning</v>
      </c>
      <c r="B7" s="16" t="str">
        <v>AOW00</v>
      </c>
      <c r="C7" s="15" t="str">
        <v>CapSha mainstreamed</v>
      </c>
      <c r="D7" s="16">
        <v>5000</v>
      </c>
    </row>
    <row r="8" ht="30" customHeight="1">
      <c r="A8" s="15" t="str">
        <v>Stakeholder consultation and collaborative learning</v>
      </c>
      <c r="B8" s="16" t="str">
        <v>AOW01</v>
      </c>
      <c r="C8" s="15" t="str">
        <v>HLO 1.1.1: CapSha research</v>
      </c>
      <c r="D8" s="16">
        <v>0</v>
      </c>
    </row>
    <row r="9" ht="30" customHeight="1">
      <c r="A9" s="15" t="str">
        <v>Stakeholder consultation and collaborative learning</v>
      </c>
      <c r="B9" s="16" t="str">
        <v>AOW02</v>
      </c>
      <c r="C9" s="15" t="str">
        <v>HLO 2.1.1: Supply mapped</v>
      </c>
      <c r="D9" s="16">
        <v>0</v>
      </c>
    </row>
    <row r="10" ht="30" customHeight="1">
      <c r="A10" s="15" t="str">
        <v>Independent mid-term evaluation of the CapSha Accelerator</v>
      </c>
      <c r="B10" s="16" t="str">
        <v>AOW03</v>
      </c>
      <c r="C10" s="15" t="str">
        <v>IOC 0.1: CapSha CoP successful</v>
      </c>
      <c r="D10" s="16">
        <v>0</v>
      </c>
      <c r="E10" s="16" t="str">
        <f>=SUM(D10:D13)</f>
        <v>0</v>
      </c>
    </row>
    <row r="11" ht="30" customHeight="1">
      <c r="A11" s="15" t="str">
        <v>Independent mid-term evaluation of the CapSha Accelerator</v>
      </c>
      <c r="B11" s="16" t="str">
        <v>AOW00</v>
      </c>
      <c r="C11" s="15" t="str">
        <v>CapSha mainstreamed</v>
      </c>
      <c r="D11" s="16">
        <v>0</v>
      </c>
    </row>
    <row r="12" ht="30" customHeight="1">
      <c r="A12" s="15" t="str">
        <v>Independent mid-term evaluation of the CapSha Accelerator</v>
      </c>
      <c r="B12" s="16" t="str">
        <v>AOW01</v>
      </c>
      <c r="C12" s="15" t="str">
        <v>IOC 1.1: CapSha adopted</v>
      </c>
      <c r="D12" s="16">
        <v>0</v>
      </c>
    </row>
    <row r="13" ht="30" customHeight="1">
      <c r="A13" s="15" t="str">
        <v>Independent mid-term evaluation of the CapSha Accelerator</v>
      </c>
      <c r="B13" s="16" t="str">
        <v>AOW02</v>
      </c>
      <c r="C13" s="15" t="str">
        <v>IOC 2.1: CapSha Marketplace used</v>
      </c>
      <c r="D13" s="16">
        <v>0</v>
      </c>
    </row>
    <row r="14" ht="30" customHeight="1">
      <c r="A14" s="15" t="str">
        <v>Independent evaluation of the CapSha Accelerator</v>
      </c>
      <c r="B14" s="16" t="str">
        <v>AOW03</v>
      </c>
      <c r="C14" s="15" t="str">
        <v>IOC 0.1: CapSha CoP successful</v>
      </c>
      <c r="D14" s="16">
        <v>0</v>
      </c>
      <c r="E14" s="16" t="str">
        <f>=SUM(D14:D17)</f>
        <v>0</v>
      </c>
    </row>
    <row r="15" ht="30" customHeight="1">
      <c r="A15" s="15" t="str">
        <v>Independent evaluation of the CapSha Accelerator</v>
      </c>
      <c r="B15" s="16" t="str">
        <v>AOW00</v>
      </c>
      <c r="C15" s="15" t="str">
        <v>CapSha mainstreamed</v>
      </c>
      <c r="D15" s="16">
        <v>0</v>
      </c>
    </row>
    <row r="16" ht="30" customHeight="1">
      <c r="A16" s="15" t="str">
        <v>Independent evaluation of the CapSha Accelerator</v>
      </c>
      <c r="B16" s="16" t="str">
        <v>AOW01</v>
      </c>
      <c r="C16" s="15" t="str">
        <v>IOC 1.1: CapSha adopted</v>
      </c>
      <c r="D16" s="16">
        <v>0</v>
      </c>
    </row>
    <row r="17" ht="30" customHeight="1">
      <c r="A17" s="15" t="str">
        <v>Independent evaluation of the CapSha Accelerator</v>
      </c>
      <c r="B17" s="16" t="str">
        <v>AOW02</v>
      </c>
      <c r="C17" s="15" t="str">
        <v>IOC 2.1: CapSha Marketplace used</v>
      </c>
      <c r="D17" s="16">
        <v>0</v>
      </c>
    </row>
    <row r="18" ht="30" customHeight="1">
      <c r="A18" s="3" t="str">
        <v>MELIA Studies Budget subtotal</v>
      </c>
      <c r="E18" s="3">
        <f>SUM(E2:E17)</f>
      </c>
    </row>
  </sheetData>
  <mergeCells count="9">
    <mergeCell ref="A2:A5"/>
    <mergeCell ref="A6:A9"/>
    <mergeCell ref="A10:A13"/>
    <mergeCell ref="A14:A17"/>
    <mergeCell ref="E2:E5"/>
    <mergeCell ref="E6:E9"/>
    <mergeCell ref="E10:E13"/>
    <mergeCell ref="E14:E17"/>
    <mergeCell ref="A18:D18"/>
  </mergeCells>
  <ignoredErrors>
    <ignoredError numberStoredAsText="1" sqref="A1:F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17" t="str">
        <v>Collaborators non-CGIAR centers</v>
      </c>
      <c r="B2" s="17">
        <v>0</v>
      </c>
      <c r="C2" s="17">
        <v>0</v>
      </c>
      <c r="D2" s="17">
        <v>0</v>
      </c>
      <c r="E2" s="17">
        <v>0</v>
      </c>
      <c r="F2" s="17" t="str">
        <f>=SUM(B2:E2)</f>
        <v>0</v>
      </c>
    </row>
    <row r="3" ht="20" customHeight="1">
      <c r="A3" s="17" t="str">
        <v>Operations (supplies, consultants, travels, workshops, other)</v>
      </c>
      <c r="B3" s="17">
        <v>10000</v>
      </c>
      <c r="C3" s="17">
        <v>0</v>
      </c>
      <c r="D3" s="17">
        <v>0</v>
      </c>
      <c r="E3" s="17">
        <v>0</v>
      </c>
      <c r="F3" s="17" t="str">
        <f>=SUM(B3:E3)</f>
        <v>0</v>
      </c>
    </row>
    <row r="4" ht="20" customHeight="1">
      <c r="A4" s="17" t="str">
        <v>Staffing, Chargebacks and Indirect</v>
      </c>
      <c r="B4" s="17">
        <v>116200</v>
      </c>
      <c r="C4" s="17">
        <v>0</v>
      </c>
      <c r="D4" s="17">
        <v>0</v>
      </c>
      <c r="E4" s="17">
        <v>0</v>
      </c>
      <c r="F4" s="17" t="str">
        <f>=SUM(B4:E4)</f>
        <v>0</v>
      </c>
    </row>
    <row r="5" ht="20" customHeight="1">
      <c r="A5" s="18" t="str">
        <v>Subtotal</v>
      </c>
      <c r="B5" s="19" t="str">
        <f>=SUM(B2:B4)</f>
        <v>0</v>
      </c>
      <c r="C5" s="20" t="str">
        <f>=SUM(C2:C4)</f>
        <v>0</v>
      </c>
      <c r="D5" s="20" t="str">
        <f>=SUM(D2:D4)</f>
        <v>0</v>
      </c>
      <c r="E5" s="20" t="str">
        <f>=SUM(E2:E4)</f>
        <v>0</v>
      </c>
      <c r="F5" s="20" t="str">
        <f>=SUM(F2:F4)</f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