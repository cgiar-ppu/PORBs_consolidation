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706364</v>
      </c>
    </row>
    <row r="5" ht="20" customHeight="1">
      <c r="A5" s="2" t="str">
        <v>AOW01: Accelerating Solutions for Impact</v>
      </c>
      <c r="B5" s="2">
        <v>5</v>
      </c>
      <c r="C5" s="5">
        <v>208000</v>
      </c>
      <c r="D5" s="2">
        <v>4</v>
      </c>
      <c r="E5" s="5">
        <v>110000</v>
      </c>
      <c r="F5" s="2">
        <v>0</v>
      </c>
      <c r="G5" s="5">
        <v>0</v>
      </c>
      <c r="H5" s="2">
        <v>0</v>
      </c>
      <c r="I5" s="5">
        <v>0</v>
      </c>
      <c r="J5" s="5">
        <v>112000</v>
      </c>
      <c r="K5" s="5">
        <v>0</v>
      </c>
      <c r="L5" s="5">
        <v>430000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11</v>
      </c>
      <c r="E6" s="5">
        <v>485833</v>
      </c>
      <c r="F6" s="2">
        <v>0</v>
      </c>
      <c r="G6" s="5">
        <v>0</v>
      </c>
      <c r="H6" s="2">
        <v>20</v>
      </c>
      <c r="I6" s="5">
        <v>86917</v>
      </c>
      <c r="J6" s="5">
        <v>98000</v>
      </c>
      <c r="K6" s="5">
        <v>0</v>
      </c>
      <c r="L6" s="5">
        <v>670750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1.1.2: Interventions for addressing restrictive norms</v>
      </c>
      <c r="C3" s="11" t="str">
        <v xml:space="preserve">Pilot models for inclusive nutrition-focused enterprises co-designed with women and youth </v>
      </c>
      <c r="D3" s="11" t="str">
        <v>Number of innovations (innovation development)</v>
      </c>
      <c r="E3" s="11" t="str">
        <v>Country: India</v>
      </c>
      <c r="F3" s="11">
        <v>1</v>
      </c>
      <c r="G3" s="11">
        <v>50000</v>
      </c>
      <c r="H3" s="11">
        <f>SUM(G3:G3)</f>
      </c>
      <c r="I3" s="11" t="str">
        <v>Collaborating partner, non-contracted: Department Mission Shakti, Odisha</v>
      </c>
    </row>
    <row r="4" ht="50" customHeight="1">
      <c r="A4" s="11" t="str">
        <v>AOW01</v>
      </c>
      <c r="B4" s="11" t="str">
        <v xml:space="preserve">1.2.1: Co-designed socio-technical innovation bundles for productivity and resilience </v>
      </c>
      <c r="C4" s="11" t="str">
        <v>Validated gender-intentional STIB prototypes</v>
      </c>
      <c r="D4" s="11" t="str">
        <v>Number of innovations (innovation development)</v>
      </c>
      <c r="E4" s="11" t="str">
        <v>Country: Uganda, Philippines</v>
      </c>
      <c r="F4" s="11">
        <v>2</v>
      </c>
      <c r="G4" s="11">
        <v>50000</v>
      </c>
      <c r="H4" s="11">
        <f>SUM(G4:G5)</f>
      </c>
      <c r="I4" s="11" t="str">
        <v>N/A</v>
      </c>
    </row>
    <row r="5" ht="50" customHeight="1">
      <c r="A5" s="11" t="str">
        <v>AOW01</v>
      </c>
      <c r="C5" s="11" t="str">
        <v>Rice system learning labs established in two countries</v>
      </c>
      <c r="D5" s="11" t="str">
        <v>Number of innovations (innovation development)</v>
      </c>
      <c r="E5" s="11" t="str">
        <v>Country: Uganda, Philippines</v>
      </c>
      <c r="F5" s="11">
        <v>2</v>
      </c>
      <c r="G5" s="11">
        <v>108000</v>
      </c>
      <c r="I5" s="11" t="str">
        <v>32,000 USD will go to partners: 7,000 USD to Makerere University and 25,000 USD to IIRR</v>
      </c>
    </row>
    <row r="6" ht="50" customHeight="1">
      <c r="A6" s="11" t="str">
        <v>AOW01</v>
      </c>
      <c r="B6" s="11" t="str">
        <v>1.2.2: Performance and cost effectiveness of socio-technical bundles</v>
      </c>
      <c r="C6" s="11" t="str">
        <v>Mixed-Methods Impact Assessment Toolkit for STIBs</v>
      </c>
      <c r="D6" s="11" t="str">
        <v>Number of knowledge products</v>
      </c>
      <c r="E6" s="11" t="str">
        <v>Country: Uganda, Philippines</v>
      </c>
      <c r="F6" s="11">
        <v>1</v>
      </c>
      <c r="G6" s="11">
        <v>40000</v>
      </c>
      <c r="H6" s="11">
        <f>SUM(G6:G7)</f>
      </c>
      <c r="I6" s="11" t="str">
        <v>N/A</v>
      </c>
    </row>
    <row r="7" ht="50" customHeight="1">
      <c r="A7" s="11" t="str">
        <v>AOW01</v>
      </c>
      <c r="C7" s="11" t="str">
        <v>Methodological and technical deliverables including STIBs evaluation toolkit and digital monitoring platform</v>
      </c>
      <c r="D7" s="11" t="str">
        <v>Number of knowledge products</v>
      </c>
      <c r="E7" s="11" t="str">
        <v>Country: India</v>
      </c>
      <c r="F7" s="11">
        <v>1</v>
      </c>
      <c r="G7" s="11">
        <v>20000</v>
      </c>
      <c r="I7" s="11" t="str">
        <v>Staff FTE and operational cost for the platform; 20,000 of this to go to another partner when selected. 60,000 through partners already identified.</v>
      </c>
    </row>
    <row r="8" ht="50" customHeight="1">
      <c r="A8" s="11" t="str">
        <v>AOW01</v>
      </c>
      <c r="B8" s="11" t="str">
        <v xml:space="preserve">1.2.3: Scaling socio-technical innovation bundles  </v>
      </c>
      <c r="C8" s="11" t="str">
        <v>Evidence Briefs and Scaling Pathways developed</v>
      </c>
      <c r="D8" s="11" t="str">
        <v>Number of knowledge products</v>
      </c>
      <c r="E8" s="11" t="str">
        <v>Country: Uganda, Philippines</v>
      </c>
      <c r="F8" s="11">
        <v>2</v>
      </c>
      <c r="G8" s="11">
        <v>50000</v>
      </c>
      <c r="H8" s="11">
        <f>SUM(G8:G8)</f>
      </c>
      <c r="I8" s="11" t="str">
        <v>N/A</v>
      </c>
    </row>
    <row r="9" ht="25" customHeight="1">
      <c r="B9" s="14" t="str">
        <v>HLO budget subtotal</v>
      </c>
      <c r="H9" s="15">
        <f>SUM(H3:H8)</f>
      </c>
    </row>
    <row r="10" ht="50" customHeight="1">
      <c r="A10" s="13" t="str">
        <v>AOW02</v>
      </c>
      <c r="B10" s="11" t="str">
        <v xml:space="preserve">2.2.1: Research prioritization in gender, youth and social inclusion  </v>
      </c>
      <c r="C10" s="11" t="str">
        <v>Youth Engagement Evidence Synthesis: A global or regional evidence synthesis on youth aspirations, barriers, and effective policy/institutional instruments for inclusive engagement in food, land, and water systems</v>
      </c>
      <c r="D10" s="11" t="str">
        <v>Number of knowledge products</v>
      </c>
      <c r="E10" s="11" t="str">
        <v>Regional: Sub-Saharan Africa</v>
      </c>
      <c r="F10" s="11">
        <v>1</v>
      </c>
      <c r="G10" s="11">
        <v>47000</v>
      </c>
      <c r="H10" s="11">
        <f>SUM(G10:G10)</f>
      </c>
      <c r="I10" s="11" t="str">
        <v>3,000 USD will be implemented through Makerere University</v>
      </c>
    </row>
    <row r="11" ht="50" customHeight="1">
      <c r="A11" s="11" t="str">
        <v>AOW02</v>
      </c>
      <c r="B11" s="11" t="str">
        <v>2.2.2: Policy engagement and outreach for equality, youth, and resilience</v>
      </c>
      <c r="C11" s="11" t="str">
        <v>Published technical report that documents action research on how evidence informs policy decisions in India</v>
      </c>
      <c r="D11" s="11" t="str">
        <v>Number of knowledge products</v>
      </c>
      <c r="E11" s="11" t="str">
        <v>Country: India</v>
      </c>
      <c r="F11" s="11">
        <v>1</v>
      </c>
      <c r="G11" s="11">
        <v>86916</v>
      </c>
      <c r="H11" s="11">
        <f>SUM(G11:G12)</f>
      </c>
      <c r="I11" s="11" t="str">
        <v>20,000 USD goes to CSA</v>
      </c>
    </row>
    <row r="12" ht="50" customHeight="1">
      <c r="A12" s="11" t="str">
        <v>AOW02</v>
      </c>
      <c r="C12" s="11" t="str">
        <v>Policy dialogues with relevant stakeholders for dissemination of findings from the action research on evidence to policy and determining future learning needs</v>
      </c>
      <c r="D12" s="11" t="str">
        <v xml:space="preserve"> Number of stakeholders participating in policy dialogue</v>
      </c>
      <c r="E12" s="11" t="str">
        <v>Country: India</v>
      </c>
      <c r="F12" s="11">
        <v>20</v>
      </c>
      <c r="G12" s="11">
        <v>86917</v>
      </c>
      <c r="I12" s="11" t="str">
        <v>Staff FTE and workshop; 20,000 USD goes to CSA</v>
      </c>
    </row>
    <row r="13" ht="50" customHeight="1">
      <c r="A13" s="11" t="str">
        <v>AOW02</v>
      </c>
      <c r="B13" s="11" t="str">
        <v>2.2.3: Co-design with Science Programs and Partners for integrating evidence-based solutions for equality, youth, resilience, and nutrition</v>
      </c>
      <c r="C13" s="11" t="str">
        <v>Evidence explainer on evidence synthesis of GTA pilots and cases</v>
      </c>
      <c r="D13" s="11" t="str">
        <v>Number of knowledge products</v>
      </c>
      <c r="E13" s="11" t="str">
        <v>Global</v>
      </c>
      <c r="F13" s="11">
        <v>1</v>
      </c>
      <c r="G13" s="11">
        <v>30000</v>
      </c>
      <c r="H13" s="11">
        <f>SUM(G13:G18)</f>
      </c>
      <c r="I13" s="11" t="str">
        <v>10,000 USD will be implemented through a partner once they are identified.</v>
      </c>
    </row>
    <row r="14" ht="50" customHeight="1">
      <c r="A14" s="11" t="str">
        <v>AOW02</v>
      </c>
      <c r="C14" s="11" t="str">
        <v>Meta evidence report: evidence synthesis of GTA pilots and cases</v>
      </c>
      <c r="D14" s="11" t="str">
        <v>Number of knowledge products</v>
      </c>
      <c r="E14" s="11" t="str">
        <v>Global</v>
      </c>
      <c r="F14" s="11">
        <v>1</v>
      </c>
      <c r="G14" s="11">
        <v>100000</v>
      </c>
      <c r="I14" s="11" t="str">
        <v>10,000 USD will be implemented through a partner once they are identified.</v>
      </c>
    </row>
    <row r="15" ht="50" customHeight="1">
      <c r="A15" s="11" t="str">
        <v>AOW02</v>
      </c>
      <c r="C15" s="11" t="str">
        <v>Dissemination of Business case for GR-EAS: Infographic, Podcast, Policy brief, Webinar</v>
      </c>
      <c r="D15" s="11" t="str">
        <v>Number of knowledge products</v>
      </c>
      <c r="E15" s="11" t="str">
        <v>Global</v>
      </c>
      <c r="F15" s="11">
        <v>4</v>
      </c>
      <c r="G15" s="11">
        <v>20000</v>
      </c>
      <c r="I15" s="11" t="str">
        <v>10,000 USD goes to GFRAS</v>
      </c>
    </row>
    <row r="16" ht="50" customHeight="1">
      <c r="A16" s="11" t="str">
        <v>AOW02</v>
      </c>
      <c r="C16" s="11" t="str">
        <v>Evidence Explainer Business case for GR-EAS</v>
      </c>
      <c r="D16" s="11" t="str">
        <v>Number of knowledge products</v>
      </c>
      <c r="E16" s="11" t="str">
        <v>Global</v>
      </c>
      <c r="F16" s="11">
        <v>1</v>
      </c>
      <c r="G16" s="11">
        <v>20000</v>
      </c>
      <c r="I16" s="11" t="str">
        <v>10,000 goes to GFRAS</v>
      </c>
    </row>
    <row r="17" ht="50" customHeight="1">
      <c r="A17" s="11" t="str">
        <v>AOW02</v>
      </c>
      <c r="C17" s="11" t="str">
        <v>Business case for gender-responsive extension and advisory services: report</v>
      </c>
      <c r="D17" s="11" t="str">
        <v>Number of knowledge products</v>
      </c>
      <c r="E17" s="11" t="str">
        <v>Global</v>
      </c>
      <c r="F17" s="11">
        <v>1</v>
      </c>
      <c r="G17" s="11">
        <v>95000</v>
      </c>
      <c r="I17" s="11" t="str">
        <v>15,000 USD goes to GFRAS</v>
      </c>
    </row>
    <row r="18" ht="50" customHeight="1">
      <c r="A18" s="11" t="str">
        <v>AOW02</v>
      </c>
      <c r="C18" s="11" t="str">
        <v>Policy brief on causal pathways for evidence to policy</v>
      </c>
      <c r="D18" s="11" t="str">
        <v>Number of knowledge products</v>
      </c>
      <c r="E18" s="11" t="str">
        <v>Country: India</v>
      </c>
      <c r="F18" s="11">
        <v>1</v>
      </c>
      <c r="G18" s="11">
        <v>86917</v>
      </c>
      <c r="I18" s="11" t="str">
        <v>20,000 USD goes to CSA</v>
      </c>
    </row>
    <row r="19" ht="25" customHeight="1">
      <c r="B19" s="15" t="str">
        <v>HLO budget subtotal</v>
      </c>
      <c r="H19" s="15">
        <f>SUM(H10:H18)</f>
      </c>
    </row>
  </sheetData>
  <mergeCells count="17">
    <mergeCell ref="A1:A2"/>
    <mergeCell ref="B1:B2"/>
    <mergeCell ref="C1:G1"/>
    <mergeCell ref="H1:H2"/>
    <mergeCell ref="I1:I2"/>
    <mergeCell ref="B4:B5"/>
    <mergeCell ref="H4:H5"/>
    <mergeCell ref="B6:B7"/>
    <mergeCell ref="H6:H7"/>
    <mergeCell ref="B9:G9"/>
    <mergeCell ref="A3:A9"/>
    <mergeCell ref="B11:B12"/>
    <mergeCell ref="H11:H12"/>
    <mergeCell ref="B13:B18"/>
    <mergeCell ref="H13:H18"/>
    <mergeCell ref="B19:G19"/>
    <mergeCell ref="A10:A19"/>
  </mergeCells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AOW01</v>
      </c>
      <c r="B2" s="11" t="str">
        <v>International Institute of Rural Reconstruction</v>
      </c>
      <c r="C2" s="11" t="str">
        <v>1.2.1: Co-designed socio-technical innovation bundles for productivity and resilience</v>
      </c>
      <c r="D2" s="11" t="str">
        <v>Philippines</v>
      </c>
      <c r="E2" s="11">
        <v>25000</v>
      </c>
      <c r="F2" s="11" t="str">
        <v>Funds to partner for the rice system learning labs KPI</v>
      </c>
    </row>
    <row r="3" ht="70" customHeight="1">
      <c r="A3" s="11" t="str">
        <v>AOW01</v>
      </c>
      <c r="B3" s="11" t="str">
        <v>Makerere University</v>
      </c>
      <c r="C3" s="11" t="str">
        <v>1.2.1: Co-designed socio-technical innovation bundles for productivity and resilience</v>
      </c>
      <c r="D3" s="11" t="str">
        <v>Uganda,Uganda</v>
      </c>
      <c r="E3" s="11">
        <v>7000</v>
      </c>
      <c r="F3" s="11" t="str">
        <v>N/A</v>
      </c>
    </row>
    <row r="4" ht="70" customHeight="1">
      <c r="A4" s="11" t="str">
        <v>AOW01</v>
      </c>
      <c r="B4" s="11" t="str">
        <v>Change Initiatives</v>
      </c>
      <c r="C4" s="11" t="str">
        <v>1.2.2: Performance and cost effectiveness of socio-technical bundles</v>
      </c>
      <c r="D4" s="11" t="str">
        <v>India</v>
      </c>
      <c r="E4" s="11">
        <v>20000</v>
      </c>
      <c r="F4" s="11" t="str">
        <v>For methodological and technical deliverables including STIBs evaluation toolkit and Digital Monitoring Platform</v>
      </c>
    </row>
    <row r="5" ht="70" customHeight="1">
      <c r="A5" s="11" t="str">
        <v>AOW01</v>
      </c>
      <c r="B5" s="11" t="str">
        <v>Participatory Research India</v>
      </c>
      <c r="C5" s="11" t="str">
        <v>1.2.2: Performance and cost effectiveness of socio-technical bundles</v>
      </c>
      <c r="D5" s="11" t="str">
        <v>India</v>
      </c>
      <c r="E5" s="11">
        <v>10000</v>
      </c>
      <c r="F5" s="11" t="str">
        <v>For methodological and technical deliverables including STIBs evaluation toolkit and Digital Monitoring Platform</v>
      </c>
    </row>
    <row r="6" ht="70" customHeight="1">
      <c r="A6" s="11" t="str">
        <v>AOW01</v>
      </c>
      <c r="B6" s="11" t="str">
        <v>Indian Council of Agricultural Research</v>
      </c>
      <c r="C6" s="11" t="str">
        <v>1.2.2: Performance and cost effectiveness of socio-technical bundles</v>
      </c>
      <c r="D6" s="11" t="str">
        <v>India</v>
      </c>
      <c r="E6" s="11">
        <v>10000</v>
      </c>
      <c r="F6" s="11" t="str">
        <v>N/A</v>
      </c>
    </row>
    <row r="7" ht="70" customHeight="1">
      <c r="A7" s="11" t="str">
        <v>AOW01</v>
      </c>
      <c r="B7" s="11" t="str">
        <v>Heifer International</v>
      </c>
      <c r="C7" s="11" t="str">
        <v>1.2.2: Performance and cost effectiveness of socio-technical bundles</v>
      </c>
      <c r="D7" s="11" t="str">
        <v>India</v>
      </c>
      <c r="E7" s="11">
        <v>10000</v>
      </c>
      <c r="F7" s="11" t="str">
        <v>For PGPL for methodological and technical deliverables including STIBs evaluation toolkit and Digital Monitoring Platform</v>
      </c>
    </row>
    <row r="8" ht="70" customHeight="1">
      <c r="A8" s="11" t="str">
        <v>AOW01</v>
      </c>
      <c r="B8" s="11" t="str">
        <v>Society for Equitable Voluntary Actions</v>
      </c>
      <c r="C8" s="11" t="str">
        <v>1.2.2: Performance and cost effectiveness of socio-technical bundles</v>
      </c>
      <c r="D8" s="11" t="str">
        <v>India</v>
      </c>
      <c r="E8" s="11">
        <v>20000</v>
      </c>
      <c r="F8" s="11" t="str">
        <v>For methodological and technical deliverables including STIBs evaluation toolkit and Digital Monitoring Platform</v>
      </c>
    </row>
    <row r="9" ht="70" customHeight="1">
      <c r="A9" s="11" t="str">
        <v>AOW01</v>
      </c>
      <c r="B9" s="11" t="str">
        <v xml:space="preserve"> Ramakrishna Mission Vivekananda Educational and Research Institute</v>
      </c>
      <c r="C9" s="11" t="str">
        <v>1.2.2: Performance and cost effectiveness of socio-technical bundles</v>
      </c>
      <c r="D9" s="11" t="str">
        <v>India</v>
      </c>
      <c r="E9" s="11">
        <v>10000</v>
      </c>
      <c r="F9" s="11" t="str">
        <v>For methodological and technical deliverables including STIBs evaluation toolkit and Digital Monitoring Platform</v>
      </c>
    </row>
    <row r="10" ht="25" customHeight="1">
      <c r="B10" s="14" t="str">
        <v>Contracted partners subtotal</v>
      </c>
      <c r="E10" s="14">
        <f>SUM(E2:E9)</f>
      </c>
    </row>
    <row r="11" ht="70" customHeight="1">
      <c r="A11" s="12" t="str">
        <v>AOW02</v>
      </c>
      <c r="B11" s="11" t="str">
        <v>Centre for Sustainable Agriculture</v>
      </c>
      <c r="C11" s="11" t="str">
        <v>2.2.2: Policy engagement and outreach for equality, youth, and resilience, 2.2.3: Co-design with Science Programs and Partners for integrating evidence-based solutions for equality, youth, resilience, and nutrition</v>
      </c>
      <c r="D11" s="11" t="str">
        <v>India</v>
      </c>
      <c r="E11" s="11">
        <v>60000</v>
      </c>
      <c r="F11" s="11" t="str">
        <v>20,000 USD for action research on evidence to policy; 20,000 USD for policy brief on causal pathways; 20,000 for policy dialogues</v>
      </c>
    </row>
    <row r="12" ht="70" customHeight="1">
      <c r="A12" s="11" t="str">
        <v>AOW02</v>
      </c>
      <c r="B12" s="11" t="str">
        <v>Makerere University</v>
      </c>
      <c r="C12" s="11" t="str">
        <v>2.2.3: Co-design with Science Programs and Partners for integrating evidence-based solutions for equality, youth, resilience, and nutrition</v>
      </c>
      <c r="D12" s="11" t="str">
        <v>Uganda,Uganda</v>
      </c>
      <c r="E12" s="11">
        <v>3000</v>
      </c>
      <c r="F12" s="11" t="str">
        <v>For deliverable under 2.2.1 HLO</v>
      </c>
    </row>
    <row r="13" ht="70" customHeight="1">
      <c r="A13" s="11" t="str">
        <v>AOW02</v>
      </c>
      <c r="B13" s="11" t="str">
        <v>Global Forum for Rural Advisory Services</v>
      </c>
      <c r="C13" s="11" t="str">
        <v>2.2.3: Co-design with Science Programs and Partners for integrating evidence-based solutions for equality, youth, resilience, and nutrition</v>
      </c>
      <c r="D13" s="11" t="str">
        <v>Switzerland</v>
      </c>
      <c r="E13" s="11">
        <v>35000</v>
      </c>
      <c r="F13" s="11" t="str">
        <v>15,000 USD for business case for GR-EAS; 10,000 USD for evidence explainer; 10,000 USD for dissemination products</v>
      </c>
    </row>
    <row r="14" ht="25" customHeight="1">
      <c r="B14" s="14" t="str">
        <v>Contracted partners subtotal</v>
      </c>
      <c r="E14" s="14">
        <f>SUM(E11:E13)</f>
      </c>
    </row>
  </sheetData>
  <mergeCells count="4">
    <mergeCell ref="B10:D10"/>
    <mergeCell ref="A2:A10"/>
    <mergeCell ref="B14:D14"/>
    <mergeCell ref="A11:A14"/>
  </mergeCells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R-A-2023-77 Rice Productivity MZ</v>
      </c>
      <c r="B2" s="19" t="str">
        <v>AOW00</v>
      </c>
      <c r="C2" s="18" t="str">
        <v>1.2 Evidence-based support for women and youth empowerment</v>
      </c>
      <c r="D2" s="19">
        <v>87873</v>
      </c>
      <c r="E2" s="19" t="str">
        <f>=SUM(D2:D2)</f>
        <v>0</v>
      </c>
    </row>
    <row r="3" ht="30" customHeight="1">
      <c r="A3" s="18" t="str">
        <v>R-A-2023-116-Entrep Rice Value Addition</v>
      </c>
      <c r="B3" s="19" t="str">
        <v>AOW00</v>
      </c>
      <c r="C3" s="18" t="str">
        <v>4. Women, youth and socially excluded groups equitably benefit from innovations</v>
      </c>
      <c r="D3" s="19">
        <v>618491</v>
      </c>
      <c r="E3" s="19" t="str">
        <f>=SUM(D3:D3)</f>
        <v>0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112000</v>
      </c>
      <c r="D2" s="20">
        <v>118000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43000</v>
      </c>
      <c r="D3" s="20">
        <v>252750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0</v>
      </c>
      <c r="C4" s="20">
        <v>275000</v>
      </c>
      <c r="D4" s="20">
        <v>300000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