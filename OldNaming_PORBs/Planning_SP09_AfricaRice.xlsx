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Engage and Empower</v>
      </c>
      <c r="B5" s="2">
        <v>0</v>
      </c>
      <c r="C5" s="5">
        <v>0</v>
      </c>
      <c r="D5" s="2">
        <v>1</v>
      </c>
      <c r="E5" s="5">
        <v>64000</v>
      </c>
      <c r="F5" s="2">
        <v>0</v>
      </c>
      <c r="G5" s="5">
        <v>0</v>
      </c>
      <c r="H5" s="2">
        <v>0</v>
      </c>
      <c r="I5" s="5">
        <v>0</v>
      </c>
      <c r="J5" s="5">
        <v>16000</v>
      </c>
      <c r="K5" s="5">
        <v>0</v>
      </c>
      <c r="L5" s="5">
        <v>80000</v>
      </c>
      <c r="M5" s="5">
        <v>0</v>
      </c>
    </row>
    <row r="6" ht="20" customHeight="1">
      <c r="A6" s="2" t="str">
        <v>AOW02: Grand Challenges and Scaling Flagships</v>
      </c>
      <c r="B6" s="2">
        <v>0</v>
      </c>
      <c r="C6" s="5">
        <v>0</v>
      </c>
      <c r="D6" s="2">
        <v>0</v>
      </c>
      <c r="E6" s="5">
        <v>0</v>
      </c>
      <c r="F6" s="2">
        <v>0</v>
      </c>
      <c r="G6" s="5">
        <v>0</v>
      </c>
      <c r="H6" s="2">
        <v>0</v>
      </c>
      <c r="I6" s="5">
        <v>212169</v>
      </c>
      <c r="J6" s="5">
        <v>54000</v>
      </c>
      <c r="K6" s="5">
        <v>0</v>
      </c>
      <c r="L6" s="5">
        <v>266169</v>
      </c>
      <c r="M6" s="5">
        <v>1799948</v>
      </c>
    </row>
    <row r="7" ht="20" customHeight="1">
      <c r="A7" s="2" t="str">
        <v>AOW03: Enabling Environment Lab</v>
      </c>
      <c r="B7" s="2">
        <v>0</v>
      </c>
      <c r="C7" s="5">
        <v>0</v>
      </c>
      <c r="D7" s="2">
        <v>0</v>
      </c>
      <c r="E7" s="5">
        <v>0</v>
      </c>
      <c r="F7" s="2">
        <v>0</v>
      </c>
      <c r="G7" s="5">
        <v>0</v>
      </c>
      <c r="H7" s="2">
        <v>0</v>
      </c>
      <c r="I7" s="5">
        <v>0</v>
      </c>
      <c r="J7" s="5">
        <v>0</v>
      </c>
      <c r="K7" s="5">
        <v>0</v>
      </c>
      <c r="L7" s="5">
        <v>0</v>
      </c>
      <c r="M7" s="5">
        <v>0</v>
      </c>
    </row>
    <row r="8" ht="20" customHeight="1">
      <c r="A8" s="2" t="str">
        <v>AOW04: Achieving Impact by Unlocking Finance and Partnerships</v>
      </c>
      <c r="B8" s="2">
        <v>0</v>
      </c>
      <c r="C8" s="5">
        <v>0</v>
      </c>
      <c r="D8" s="2">
        <v>0</v>
      </c>
      <c r="E8" s="5">
        <v>0</v>
      </c>
      <c r="F8" s="2">
        <v>0</v>
      </c>
      <c r="G8" s="5">
        <v>0</v>
      </c>
      <c r="H8" s="2">
        <v>655000000</v>
      </c>
      <c r="I8" s="5">
        <v>511693</v>
      </c>
      <c r="J8" s="5">
        <v>132000</v>
      </c>
      <c r="K8" s="5">
        <v>0</v>
      </c>
      <c r="L8" s="5">
        <v>643693</v>
      </c>
      <c r="M8" s="5">
        <v>1852388</v>
      </c>
    </row>
    <row r="9" ht="20" customHeight="1">
      <c r="A9" s="2" t="str">
        <v>AOW05: Learning for Impact</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HLO 1.1.2: Feedback and adaptive research and scaling prioritization</v>
      </c>
      <c r="C3" s="11" t="str" xml:space="preserve">
        <v xml:space="preserve">A1P9.1: PoD name: Modular Adaptive Management Toolkit. Lead Center: AfricaRice. PoD KPI: 1 finalized Modular Adaptive Management Toolkit (MAMT) Version 1.0 co-developed, validated, and released by end-2026, strengthening adaptive management, learning, and evidence-to-decision linkages across CGIAR's scaling portfolio. KPI type: Knowledge Product. Unit: Number of tools.
PoD Description: This package will design, test, and institutionalize a Modular Adaptive Management Toolkit (MAMT) that enables CGIAR Programs, Accelerators, and bilateral projects to embed reflection, learning, and course correction into their scaling cycles in a structured but flexible way. Through plug-and-play modules on adaptive planning, evidence use, and decision triggers, the toolkit will draw on lessons from CGIAR Pause &amp; Reflect processes and global adaptive-management frameworks co-developed with AfricaRice, CIMMYT, IWMI, and the PCU. Co-design sprints and pilot testing with initiatives in multiple countries will ensure that MAMT is value-chain agnostic, user-friendly across different program maturities, and aligned with S4I’s demand-signaling and feedback HLOs. A Version 1.0 toolkit, supported by an adoption playbook and communication products hosted on the P&amp;R Hub and within the Adaptive Management Community of Practice, will enhance evidence-to-decision linkages, improve portfolio learning, and support more coherent scaling strategies across CGIAR. Mid-2026 target value: 1 beta version of the MAMT produced and tested through two co-design workshops and pilot applications with at least 25 rice-sector stakeholders (≥40 percent women), assessing module usability, decision-trigger logic, and compatibility with existing Pause &amp; Reflect practices. End-2026 cumulative target value: 1 finalized MAMT Version 1.0 incorporating feedback from at least 50 stakeholders (≥40 percent women) through structured after-action reviews, validation workshops, and institutional learning sessions. Responsible Centers: AfricaRice (lead), CIMMYT, IWMI, PCU. Partner modality: in-kind support for testing, workshop facilitation, and integration into institutional processes, with some sub-granting to partners to enable pilot implementation and coordinated review activities. Evidence will be drawn from co-design workshop reports, pilot test documentation, stakeholder validation records, user-feedback analyses, and publication of a synthesis brief describing adoption and institutionalization pathways. Risks &amp; Assumptions: potential low participation in pilots, uneven uptake across programs, or contextual misalignment of toolkit modules; mitigation includes flexible engagement formats, embedding Toolkit use within MELIA cycles, and broad co-design across diverse user groups. MELIA: Monitoring, evaluation, and learning plans will be developed in early 2026 in cooperation with the S4I PMU and AoW-5, and/or where needed will include baseline assessments and indicator tracking and reporting in line with Program and CGIAR guidelines.</v>
      </c>
      <c r="D3" s="11" t="str">
        <v>Number of knowledge products</v>
      </c>
      <c r="E3" s="11" t="str">
        <v>Global</v>
      </c>
      <c r="F3" s="11">
        <v>1</v>
      </c>
      <c r="G3" s="11">
        <v>64000</v>
      </c>
      <c r="H3" s="11">
        <f>SUM(G3:G3)</f>
      </c>
      <c r="I3" s="11" t="str" xml:space="preserve">
        <v xml:space="preserve">Limited participation of stakeholders in pilot testing. Mitigation: Offer flexible engagement formats (virtual/in-person) and incentives for participation. Institutional Risk: Low uptake of adaptive management tools across programs.
Budget allocation to partner is 16K ! Ethiopia Institute of Agricultutal Research, Kenya Agricultual and Livestock Research Organization, National Cereals Research Institute, Ministries of Agriculture, private sector actors.</v>
      </c>
    </row>
    <row r="4" ht="25" customHeight="1">
      <c r="B4" s="14" t="str">
        <v>HLO budget subtotal</v>
      </c>
      <c r="H4" s="15">
        <f>SUM(H3:H3)</f>
      </c>
    </row>
    <row r="5" ht="50" customHeight="1" xml:space="preserve">
      <c r="A5" s="13" t="str">
        <v>AOW02</v>
      </c>
      <c r="B5" s="11" t="str">
        <v>HLO 2.2.2: Inclusive and efficient innovation delivery systems that support biodiverse, sustainable production, generate new jobs, and expand access for women, youth, and small and medium enterprises.</v>
      </c>
      <c r="C5" s="11" t="str" xml:space="preserve">
        <v xml:space="preserve">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v>
      </c>
      <c r="D5" s="11" t="str">
        <v>Number of individuals</v>
      </c>
      <c r="E5" s="11" t="str">
        <v>Country: Gambia, Côte d'Ivoire, Cameroon, Nigeria</v>
      </c>
      <c r="F5" s="11">
        <v>200000</v>
      </c>
      <c r="G5" s="11">
        <v>70723</v>
      </c>
      <c r="H5" s="11">
        <f>SUM(G5:G7)</f>
      </c>
      <c r="I5" s="11" t="str" xml:space="preserve">
        <v xml:space="preserve">Assumption: Strong government policy backing through ECOWAS Rice Offensive and national programs in Nigeria and Côte d'Ivoire sustains co-investment and adoption momentum.
Budget allocation to Partners is 18K! Anchored in the Ministry of Agriculture, NARI, NSS, and Gambia College of Agriculture, MARUO Farms and mechanization SMEs, VIVA-Bénoué, MEADEN, MINADER, IRAD, UNVDA, and the RVCDP-MU</v>
      </c>
    </row>
    <row r="6" ht="50" customHeight="1" xml:space="preserve">
      <c r="A6" s="11" t="str">
        <v>AOW02</v>
      </c>
      <c r="C6" s="11" t="str">
        <v>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v>
      </c>
      <c r="D6" s="11" t="str">
        <v xml:space="preserve">Number of jobs </v>
      </c>
      <c r="E6" s="11" t="str">
        <v>Country: Nigeria, Gambia, Côte d'Ivoire, Cameroon</v>
      </c>
      <c r="F6" s="11">
        <v>12500</v>
      </c>
      <c r="G6" s="11">
        <v>70723</v>
      </c>
      <c r="I6" s="11" t="str" xml:space="preserve">
        <v xml:space="preserve">Assumption: Governments of Côte d'Ivoire and Nigeria maintain strong policy support for rice value chain investment and employment generation.
Budget allocation to Partners is 18K! Anchored in the Ministry of Agriculture, NARI, NSS, and Gambia College of Agriculture, MARUO Farms and mechanization SMEs, VIVA-Bénoué, MEADEN, MINADER, IRAD, UNVDA, and the RVCDP-MU</v>
      </c>
    </row>
    <row r="7" ht="50" customHeight="1" xml:space="preserve">
      <c r="A7" s="11" t="str">
        <v>AOW02</v>
      </c>
      <c r="C7" s="11" t="str" xml:space="preserve">
        <v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v>
      </c>
      <c r="D7" s="11" t="str">
        <v>Other Output</v>
      </c>
      <c r="E7" s="11" t="str">
        <v>Country: Nigeria, Cameroon, Côte d'Ivoire, Gambia</v>
      </c>
      <c r="F7" s="11">
        <v>75000</v>
      </c>
      <c r="G7" s="11">
        <v>70723</v>
      </c>
      <c r="I7" s="11" t="str" xml:space="preserve">
        <v xml:space="preserve"> Assumption: Governments of Côte d'Ivoire and Nigeria maintain active support for rice value chain investments and PPP-based scaling.
Budget allocation to Partners is 18K! Anchored in the Ministry of Agriculture, NARI, NSS, and Gambia College of Agriculture, MARUO Farms and mechanization SMEs, VIVA-Bénoué, MEADEN, MINADER, IRAD, UNVDA, and the RVCDP-MU</v>
      </c>
    </row>
    <row r="8" ht="25" customHeight="1">
      <c r="B8" s="15" t="str">
        <v>HLO budget subtotal</v>
      </c>
      <c r="H8" s="15">
        <f>SUM(H5:H7)</f>
      </c>
    </row>
    <row r="9" ht="50" customHeight="1" xml:space="preserve">
      <c r="A9" s="13" t="str">
        <v>AOW04</v>
      </c>
      <c r="B9" s="11" t="str">
        <v>HLO 4.4.1: CGIAR Expertise and Solutions Embedded in Development Investments and Partnerships</v>
      </c>
      <c r="C9" s="11" t="str" xml:space="preserve">
        <v xml:space="preserve">CRITICAL CAPABILITY: A4AfricaRice-CC-1.2. PoD name: AoW 4 Critical Capability – Smart Valleys Investment Alignment (Côte d'Ivoire) Lead Center: AfricaRice, PoD KPI: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KPI type: Other output. Unit: USD leveraged for scaling through CGIAR influence, technical assistance and advisory support.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v>
      </c>
      <c r="D9" s="11" t="str">
        <v xml:space="preserve"> USD leveraged</v>
      </c>
      <c r="E9" s="11" t="str">
        <v>Country: Côte d'Ivoire</v>
      </c>
      <c r="F9" s="11">
        <v>500000000</v>
      </c>
      <c r="G9" s="11">
        <v>148915</v>
      </c>
      <c r="H9" s="11">
        <f>SUM(G9:G13)</f>
      </c>
      <c r="I9" s="11" t="str" xml:space="preserve">
        <v xml:space="preserve">Assumptions include sustained political commitment to rice self-sufficiency, continued government preference for Smart Valleys as a cost-effective water-control option, strong collaboration with CNRA and reliable coordination with national extension servi
Allocation for the Partner -53K for Institut National de la Recherche Agronomique (CNRA),  National Cereals Research Institute,Institute of Agricultural Research for Development, Institut National pour l'Etude Agronomique, National Agricultural Research Institute, Ministries of Agriculture, Private enterprises</v>
      </c>
    </row>
    <row r="10" ht="50" customHeight="1" xml:space="preserve">
      <c r="A10" s="11" t="str">
        <v>AOW04</v>
      </c>
      <c r="C10" s="11" t="str" xml:space="preserve">
        <v xml:space="preserve">CRITICAL CAPABILITY: A4AfricaRice-CC-1.1. PoD name: AoW 4 Critical Capability – Smart Valleys Investment Alignment (Nigeria) Lead Center: AfricaRice, PoD KPI: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KPI type: Other output. Unit: USD leveraged through CGIAR technical assistance and advisory support.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 USD leveraged</v>
      </c>
      <c r="E10" s="11" t="str">
        <v>Country: Nigeria</v>
      </c>
      <c r="F10" s="11">
        <v>20000000</v>
      </c>
      <c r="G10" s="11">
        <v>50479</v>
      </c>
      <c r="I10" s="11" t="str">
        <v>Assumptions include continued political interest from Niger State, stable rice-sector funding channels, active cooperation from state agricultural agencies, and reliable access to inland valley sites for design and demonstration activities. Mitigation inc</v>
      </c>
    </row>
    <row r="11" ht="50" customHeight="1" xml:space="preserve">
      <c r="A11" s="11" t="str">
        <v>AOW04</v>
      </c>
      <c r="C11" s="11" t="str" xml:space="preserve">
        <v xml:space="preserve">A4P6.1: PoD name (Lead Center: AfricaRice): Investment Integration Hub. PoD KPI: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KPI type: Other Output. Unit: USD leveraged for scaling through CGIAR influence, technical assistance, and advisory support.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v>
      </c>
      <c r="D11" s="11" t="str">
        <v xml:space="preserve"> Other Output</v>
      </c>
      <c r="E11" s="11" t="str">
        <v>Country: Côte d'Ivoire, Nigeria</v>
      </c>
      <c r="F11" s="11">
        <v>100000000</v>
      </c>
      <c r="G11" s="11">
        <v>107509</v>
      </c>
      <c r="I11" s="11" t="str" xml:space="preserve">
        <v xml:space="preserve">Effective coordination mechanisms are maintained across Centers; IFI and government partners continue to demand CGIAR's technical support; and country investment priorities remain stable, allowing alignment of CGIAR innovations within loan and grant opera
Allocation for Partner - 27K-  Institut National de la Recherche Agronomique (CNRA),  National Cereals Research Institute,Institute of Agricultural Research for Development, Institut National pour l'Etude Agronomique, National Agricultural Research Institute, Ministries of Agriculture, Private enterprises</v>
      </c>
    </row>
    <row r="12" ht="50" customHeight="1" xml:space="preserve">
      <c r="A12" s="11" t="str">
        <v>AOW04</v>
      </c>
      <c r="C12" s="11" t="str" xml:space="preserve">
        <v xml:space="preserve">A4P1.1: PoD name: Impact Finance Facility. Lead Center: AfricaRice. PoD KPI:  USD 30,000,000 in cumulative private and blended finance mobilized by end-2026 through AfricaRice-led Impact Finance Facility partnerships in West Africa, directly contributing to AoW 4's 2030 Outcome 4.1 on embedding CGIAR solutions in investment portfolios. KPI type: Other Output. Unit: USD leveraged for scaling through CGIAR influence, technical assistance, and advisory support.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v>
      </c>
      <c r="D12" s="11" t="str">
        <v xml:space="preserve"> Other Output</v>
      </c>
      <c r="E12" s="11" t="str">
        <v>Country: Côte d'Ivoire, Nigeria</v>
      </c>
      <c r="F12" s="11">
        <v>30000000</v>
      </c>
      <c r="G12" s="11">
        <v>107509</v>
      </c>
      <c r="I12" s="11" t="str" xml:space="preserve">
        <v xml:space="preserve">IFIs, impact investors, and regional banks remain committed to co-designing and capitalizing the Facility; SME partners adopt CGIAR innovations aligned with gender and climate performance metrics; and AfricaRice maintains strong partnerships with AfDB, Is
Allocation for the Partner -27K ! Institut National de la Recherche Agronomique (CNRA),  National Cereals Research Institute,Institute of Agricultural Research for Development, Institut National pour l'Etude Agronomique, National Agricultural Research Institute, Ministries of Agriculture, Private enterprises</v>
      </c>
    </row>
    <row r="13" ht="50" customHeight="1" xml:space="preserve">
      <c r="A13" s="11" t="str">
        <v>AOW04</v>
      </c>
      <c r="C13" s="11" t="str" xml:space="preserve">
        <v xml:space="preserve">A4P10.1: PoD name (Lead Center: AfricaRice): Scaling Clearinghouse. oD KPI: USD 5,000,000 in cumulative IFI and government-financed rice investments influenced through the AfricaRice-hosted Scaling Clearinghouse by end-2026, embedding CGIAR rice innovations in AfDB, IsDB, World Bank, and national programs under AoW 4. KPI type: Other Output. Unit: USD leveraged for scaling through CGIAR influence, technical assistance, and advisory support.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PMid-2026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v>
      </c>
      <c r="D13" s="11" t="str">
        <v xml:space="preserve"> Other Output</v>
      </c>
      <c r="E13" s="11" t="str">
        <v>Country: Côte d'Ivoire, Nigeria</v>
      </c>
      <c r="F13" s="11">
        <v>5000000</v>
      </c>
      <c r="G13" s="11">
        <v>97281</v>
      </c>
      <c r="I13" s="11" t="str" xml:space="preserve">
        <v xml:space="preserve">IFI and government partners maintain strong demand for CGIAR technical assistance; AfricaRice continues coordination with IITA within the TAAT Clearinghouse; national programs actively participate in co-financing mechanisms; and enabling policy conditions
Allocation for Partner 25K ! Institut National de la Recherche Agronomique (CNRA),  National Cereals Research Institute,Institute of Agricultural Research for Development, Institut National pour l'Etude Agronomique, National Agricultural Research Institute, Ministries of Agriculture, Private enterprises</v>
      </c>
    </row>
    <row r="14" ht="25" customHeight="1">
      <c r="B14" s="15" t="str">
        <v>HLO budget subtotal</v>
      </c>
      <c r="H14" s="15">
        <f>SUM(H9:H13)</f>
      </c>
    </row>
  </sheetData>
  <mergeCells count="15">
    <mergeCell ref="A1:A2"/>
    <mergeCell ref="B1:B2"/>
    <mergeCell ref="C1:G1"/>
    <mergeCell ref="H1:H2"/>
    <mergeCell ref="I1:I2"/>
    <mergeCell ref="B4:G4"/>
    <mergeCell ref="A3:A4"/>
    <mergeCell ref="B5:B7"/>
    <mergeCell ref="H5:H7"/>
    <mergeCell ref="B8:G8"/>
    <mergeCell ref="A5:A8"/>
    <mergeCell ref="B9:B13"/>
    <mergeCell ref="H9:H13"/>
    <mergeCell ref="B14:G14"/>
    <mergeCell ref="A9:A14"/>
  </mergeCells>
  <ignoredErrors>
    <ignoredError numberStoredAsText="1" sqref="A1:I14"/>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Ethiopian Institute of Agricultural Research</v>
      </c>
      <c r="C2" s="11" t="str">
        <v>HLO 1.1.2: Feedback and adaptive research and scaling prioritization</v>
      </c>
      <c r="D2" s="11" t="str">
        <v>Ethiopia,Kenya</v>
      </c>
      <c r="E2" s="11">
        <v>16000</v>
      </c>
      <c r="F2" s="11" t="str">
        <v>This is a placeholder budget for Ethiopia Institute of Agricultutal Research, Kenya Agricultual and Livestock Research Organization, National Cereals Research Institute, Ministries of Agriculture, private sector actors.</v>
      </c>
    </row>
    <row r="3" ht="25" customHeight="1">
      <c r="B3" s="14" t="str">
        <v>Contracted partners subtotal</v>
      </c>
      <c r="E3" s="14">
        <f>SUM(E2:E2)</f>
      </c>
    </row>
    <row r="4" ht="70" customHeight="1">
      <c r="A4" s="12" t="str">
        <v>AOW02</v>
      </c>
      <c r="B4" s="11" t="str">
        <v>Ethiopian Institute of Agricultural Research</v>
      </c>
      <c r="C4" s="11" t="str">
        <v>HLO 2.2.2: Inclusive and efficient innovation delivery systems that support biodiverse, sustainable production, generate new jobs, and expand access for women, youth, and small and medium enterprises.</v>
      </c>
      <c r="D4" s="11" t="str">
        <v>Ethiopia,Kenya</v>
      </c>
      <c r="E4" s="11">
        <v>0</v>
      </c>
    </row>
    <row r="5" ht="70" customHeight="1">
      <c r="A5" s="11" t="str">
        <v>AOW02</v>
      </c>
      <c r="B5" s="11" t="str">
        <v>Ministry of Agriculture and Rural development</v>
      </c>
      <c r="C5" s="11" t="str">
        <v>HLO 2.2.2: Inclusive and efficient innovation delivery systems that support biodiverse, sustainable production, generate new jobs, and expand access for women, youth, and small and medium enterprises.</v>
      </c>
      <c r="D5" s="11" t="str">
        <v>Cameroon,Côte d'Ivoire,Gambia,Niger</v>
      </c>
      <c r="E5" s="11">
        <v>54000</v>
      </c>
      <c r="F5" s="11" t="str">
        <v>This is a placeholder budget for the Ministry of Agriculture, NARI, NSS, and Gambia College of Agriculture, MARUO Farms and mechanization SMEs, VIVA-Bénoué, MEADEN, MINADER, IRAD, UNVDA, and the RVCDP-MU</v>
      </c>
    </row>
    <row r="6" ht="25" customHeight="1">
      <c r="B6" s="14" t="str">
        <v>Contracted partners subtotal</v>
      </c>
      <c r="E6" s="14">
        <f>SUM(E4:E5)</f>
      </c>
    </row>
    <row r="7" ht="70" customHeight="1">
      <c r="A7" s="12" t="str">
        <v>AOW04</v>
      </c>
      <c r="B7" s="11" t="str">
        <v>Centre national de recherche agronomique</v>
      </c>
      <c r="C7" s="11" t="str">
        <v>HLO 4.4.1: CGIAR Expertise and Solutions Embedded in Development Investments and Partnerships</v>
      </c>
      <c r="D7" s="11" t="str">
        <v>Côte d'Ivoire</v>
      </c>
      <c r="E7" s="11">
        <v>132000</v>
      </c>
      <c r="F7" s="11" t="str">
        <v>This is a placeholder budget for - Institut National de la Recherche Agronomique (CNRA),  National Cereals Research Institute,Institute of Agricultural Research for Development, Institut National pour l'Etude Agronomique, National Agricultural Research Institute, Ministries of Agriculture, Private enterprises</v>
      </c>
    </row>
    <row r="8" ht="25" customHeight="1">
      <c r="B8" s="14" t="str">
        <v>Contracted partners subtotal</v>
      </c>
      <c r="E8" s="14">
        <f>SUM(E7:E7)</f>
      </c>
    </row>
  </sheetData>
  <mergeCells count="6">
    <mergeCell ref="B3:D3"/>
    <mergeCell ref="A2:A3"/>
    <mergeCell ref="B6:D6"/>
    <mergeCell ref="A4:A6"/>
    <mergeCell ref="B8:D8"/>
    <mergeCell ref="A7: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A-AG10185-A-AG10185-Building resilient seed systems for rice</v>
      </c>
      <c r="B2" s="19" t="str">
        <v>AOW02</v>
      </c>
      <c r="C2" s="18" t="str">
        <v>HLO 2.2.2: Inclusive and efficient innovation delivery systems that support biodiverse, sustainable production, generate new jobs, and expand access for women, youth, and small and medium enterprises.</v>
      </c>
      <c r="D2" s="19">
        <v>1799948</v>
      </c>
      <c r="E2" s="19" t="str">
        <f>=SUM(D2:D2)</f>
        <v>0</v>
      </c>
      <c r="F2" s="19" t="str">
        <v>A-AG10185-A-AG10185-Building resilient seed systems for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xml:space="preserve">
      <c r="A3" s="18" t="str">
        <v>A-HP2023-003-World Bank-Food Systems Resilience</v>
      </c>
      <c r="B3" s="19" t="str">
        <v>AOW04</v>
      </c>
      <c r="C3" s="18" t="str">
        <v>HLO 4.4.1: CGIAR Expertise and Solutions Embedded in Development Investments and Partnerships</v>
      </c>
      <c r="D3" s="19">
        <v>561468</v>
      </c>
      <c r="E3" s="19" t="str">
        <f>=SUM(D3:D3)</f>
        <v>0</v>
      </c>
      <c r="F3" s="19" t="str" xml:space="preserve">
        <v xml:space="preserve">A-HP2023-003-World Bank-Food Systems Resilience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xml:space="preserve">
      <c r="A4" s="18" t="str">
        <v>A-HP2023-002-MasterCard - WAEMU</v>
      </c>
      <c r="B4" s="19" t="str">
        <v>AOW04</v>
      </c>
      <c r="C4" s="18" t="str">
        <v>HLO 4.4.1: CGIAR Expertise and Solutions Embedded in Development Investments and Partnerships</v>
      </c>
      <c r="D4" s="19">
        <v>1290920</v>
      </c>
      <c r="E4" s="19" t="str">
        <f>=SUM(D4:D4)</f>
        <v>0</v>
      </c>
      <c r="F4" s="19" t="str" xml:space="preserve">
        <v xml:space="preserve">A-HP2023-002-MasterCard - WAEMU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5" ht="30" customHeight="1">
      <c r="A5" s="3" t="str">
        <v>W3/Bilateral projects subtotal</v>
      </c>
      <c r="E5" s="3">
        <f>SUM(E2:E4)</f>
      </c>
    </row>
  </sheetData>
  <mergeCells count="1">
    <mergeCell ref="A5:D5"/>
  </mergeCells>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Leveraging Public–Private Rice Partnership Models to Enhance Food and Nutrition Security in Côte d’Ivoire and Nigeria package of deliverables in Area of Work 2.</v>
      </c>
      <c r="B2" s="19" t="str">
        <v>AOW02</v>
      </c>
      <c r="C2" s="18" t="str">
        <v>HLO 2.2.2: Inclusive and efficient innovation delivery systems that support biodiverse, sustainable production, generate new jobs, and expand access for women, youth, and small and medium enterprises.</v>
      </c>
      <c r="D2" s="19">
        <v>0</v>
      </c>
      <c r="E2" s="19" t="str">
        <f>=SUM(D2:D2)</f>
        <v>0</v>
      </c>
    </row>
    <row r="3" ht="30" customHeight="1">
      <c r="A3" s="3" t="str">
        <v>MELIA Studies Budget subtotal</v>
      </c>
      <c r="E3" s="3">
        <f>SUM(E2:E2)</f>
      </c>
    </row>
  </sheetData>
  <mergeCells count="1">
    <mergeCell ref="A3:D3"/>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16000</v>
      </c>
      <c r="D2" s="20">
        <v>54000</v>
      </c>
      <c r="E2" s="20">
        <v>0</v>
      </c>
      <c r="F2" s="20">
        <v>132000</v>
      </c>
      <c r="G2" s="20">
        <v>0</v>
      </c>
      <c r="H2" s="20" t="str">
        <f>=SUM(B2:G2)</f>
        <v>0</v>
      </c>
    </row>
    <row r="3" ht="20" customHeight="1">
      <c r="A3" s="20" t="str">
        <v>Operations (supplies, consultants, travels, workshops, other)</v>
      </c>
      <c r="B3" s="20">
        <v>0</v>
      </c>
      <c r="C3" s="20">
        <v>19200</v>
      </c>
      <c r="D3" s="20">
        <v>63651</v>
      </c>
      <c r="E3" s="20">
        <v>0</v>
      </c>
      <c r="F3" s="20">
        <v>153508</v>
      </c>
      <c r="G3" s="20">
        <v>0</v>
      </c>
      <c r="H3" s="20" t="str">
        <f>=SUM(B3:G3)</f>
        <v>0</v>
      </c>
    </row>
    <row r="4" ht="20" customHeight="1">
      <c r="A4" s="20" t="str">
        <v>Staffing, Chargebacks and Indirect</v>
      </c>
      <c r="B4" s="20">
        <v>0</v>
      </c>
      <c r="C4" s="20">
        <v>44800</v>
      </c>
      <c r="D4" s="20">
        <v>148518</v>
      </c>
      <c r="E4" s="20">
        <v>0</v>
      </c>
      <c r="F4" s="20">
        <v>358185</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