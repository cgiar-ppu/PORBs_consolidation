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Cross-Cutting" sheetId="2" r:id="rId2"/>
    <sheet name="HLO" sheetId="3" r:id="rId3"/>
    <sheet name="Partner" sheetId="4" r:id="rId4"/>
    <sheet name="W3-Bilateral projects" sheetId="5" r:id="rId5"/>
    <sheet name="MELIA" sheetId="6" r:id="rId6"/>
    <sheet name="Anapla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000000"/>
    </font>
    <font>
      <sz val="11"/>
      <name val="Calibri"/>
      <b/>
      <color rgb="000000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E6E6E6"/>
        <bgColor/>
      </patternFill>
    </fill>
    <fill>
      <patternFill patternType="solid">
        <fgColor rgb="FFE6E6E6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  <fill>
      <patternFill patternType="solid">
        <fgColor rgb="FF2B3C53"/>
        <bgColor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</borders>
  <cellStyleXfs>
    <xf numFmtId="0" fontId="0" fillId="0" borderId="0"/>
  </cellStyleXfs>
  <cellXfs count="2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4" xfId="0" applyFont="1" applyFill="1" applyBorder="1" applyAlignment="1">
      <alignment horizontal="center" vertical="center" wrapText="true"/>
    </xf>
    <xf numFmtId="0" fontId="7" fillId="7" borderId="5" xfId="0" applyFont="1" applyFill="1" applyBorder="1" applyAlignment="1">
      <alignment horizontal="center" vertical="center" wrapText="true"/>
    </xf>
    <xf numFmtId="0" fontId="8" fillId="8" borderId="6" xfId="0" applyFont="1" applyFill="1" applyBorder="1" applyAlignment="1">
      <alignment horizontal="center" vertical="center" wrapText="true"/>
    </xf>
    <xf numFmtId="0" fontId="0" fillId="0" borderId="7" xfId="0" applyBorder="1" applyAlignment="1">
      <alignment horizontal="center" vertical="center" wrapText="true"/>
    </xf>
    <xf numFmtId="0" fontId="9" fillId="9" borderId="8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1" borderId="10" xfId="0" applyFont="1" applyFill="1" applyBorder="1" applyAlignment="1">
      <alignment horizontal="center" vertical="center" wrapText="true"/>
    </xf>
    <xf numFmtId="0" fontId="12" fillId="12" borderId="11" xfId="0" applyFont="1" applyFill="1" applyBorder="1" applyAlignment="1">
      <alignment horizontal="center" vertical="center" wrapText="true"/>
    </xf>
    <xf numFmtId="0" fontId="13" fillId="13" borderId="12" xfId="0" applyFont="1" applyFill="1" applyBorder="1" applyAlignment="1">
      <alignment horizontal="center" vertical="center" wrapText="true"/>
    </xf>
    <xf numFmtId="0" fontId="14" fillId="14" borderId="13" xfId="0" applyFont="1" applyFill="1" applyBorder="1" applyAlignment="1">
      <alignment horizontal="center" vertical="center" wrapText="true"/>
    </xf>
    <xf numFmtId="1" fontId="0" fillId="0" borderId="14" xfId="0" applyBorder="1" applyNumberFormat="1" applyAlignment="1">
      <alignment horizontal="center" vertical="center"/>
    </xf>
    <xf numFmtId="0" fontId="15" fillId="15" borderId="0" xfId="0" applyFont="1" applyFill="1" applyAlignment="1">
      <alignment horizontal="center" vertical="center"/>
    </xf>
    <xf numFmtId="1" fontId="16" fillId="16" borderId="15" xfId="0" applyFont="1" applyFill="1" applyBorder="1" applyNumberFormat="1" applyAlignment="1">
      <alignment horizontal="center" vertical="center"/>
    </xf>
    <xf numFmtId="1" fontId="17" fillId="17" borderId="16" xfId="0" applyFont="1" applyFill="1" applyBorder="1" applyNumberFormat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cols>
    <col min="1" max="1" width="30.83203125" customWidth="1"/>
    <col min="2" max="2" width="12.83203125" customWidth="1"/>
    <col min="3" max="3" width="15.83203125" customWidth="1"/>
    <col min="4" max="4" width="12.83203125" customWidth="1"/>
    <col min="5" max="5" width="15.83203125" customWidth="1"/>
    <col min="6" max="6" width="12.83203125" customWidth="1"/>
    <col min="7" max="7" width="15.83203125" customWidth="1"/>
    <col min="8" max="8" width="12.83203125" customWidth="1"/>
    <col min="9" max="9" width="15.83203125" customWidth="1"/>
    <col min="10" max="10" width="25.83203125" customWidth="1"/>
    <col min="11" max="11" width="25.83203125" customWidth="1"/>
    <col min="12" max="12" width="35.83203125" customWidth="1"/>
    <col min="13" max="13" width="30.83203125" customWidth="1"/>
  </cols>
  <sheetData>
    <row r="1" ht="15" customHeight="1">
      <c r="A1" s="3" t="str">
        <v>Area of Work</v>
      </c>
      <c r="B1" s="4" t="str">
        <v>Pooled Funding</v>
      </c>
      <c r="M1" s="4" t="str">
        <v>W3/ Bilateral Project (USD)</v>
      </c>
    </row>
    <row r="2" ht="15" customHeight="1">
      <c r="B2" s="4" t="str">
        <v>Innovation Development</v>
      </c>
      <c r="D2" s="4" t="str">
        <v>Knowledge product</v>
      </c>
      <c r="F2" s="4" t="str">
        <v>Capacity Sharing</v>
      </c>
      <c r="H2" s="4" t="str">
        <v>Others outputs</v>
      </c>
      <c r="J2" s="4" t="str">
        <v>Partner budget</v>
      </c>
      <c r="K2" s="4" t="str">
        <v>MELIA Studies budget</v>
      </c>
      <c r="L2" s="4" t="str">
        <v>Total Pooled Funding budget (USD)</v>
      </c>
    </row>
    <row r="3" ht="15" customHeight="1">
      <c r="B3" s="4" t="str">
        <v>Target</v>
      </c>
      <c r="C3" s="4" t="str">
        <v>Budget</v>
      </c>
      <c r="D3" s="4" t="str">
        <v>Target</v>
      </c>
      <c r="E3" s="4" t="str">
        <v>Budget</v>
      </c>
      <c r="F3" s="4" t="str">
        <v>Target</v>
      </c>
      <c r="G3" s="4" t="str">
        <v>Budget</v>
      </c>
      <c r="H3" s="4" t="str">
        <v>Target</v>
      </c>
      <c r="I3" s="4" t="str">
        <v>Budget</v>
      </c>
    </row>
    <row r="4" ht="20" customHeight="1">
      <c r="A4" s="2" t="str">
        <v>AOW00: Cross-Cutting and Management</v>
      </c>
      <c r="B4" s="2">
        <v>0</v>
      </c>
      <c r="C4" s="5">
        <v>0</v>
      </c>
      <c r="D4" s="2">
        <v>0</v>
      </c>
      <c r="E4" s="5">
        <v>0</v>
      </c>
      <c r="F4" s="2">
        <v>0</v>
      </c>
      <c r="G4" s="5">
        <v>0</v>
      </c>
      <c r="H4" s="2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</row>
    <row r="5" ht="20" customHeight="1">
      <c r="A5" s="2" t="str">
        <v>AOW01: Consumers and Food Environments</v>
      </c>
      <c r="B5" s="2">
        <v>1</v>
      </c>
      <c r="C5" s="5">
        <v>6830</v>
      </c>
      <c r="D5" s="2">
        <v>3</v>
      </c>
      <c r="E5" s="5">
        <v>20489</v>
      </c>
      <c r="F5" s="2">
        <v>0</v>
      </c>
      <c r="G5" s="5">
        <v>0</v>
      </c>
      <c r="H5" s="2">
        <v>0</v>
      </c>
      <c r="I5" s="5">
        <v>0</v>
      </c>
      <c r="J5" s="5">
        <v>0</v>
      </c>
      <c r="K5" s="5">
        <v>0</v>
      </c>
      <c r="L5" s="5">
        <v>27319</v>
      </c>
      <c r="M5" s="5">
        <v>0</v>
      </c>
    </row>
    <row r="6" ht="20" customHeight="1">
      <c r="A6" s="2" t="str">
        <v>AOW02: Market Systems</v>
      </c>
      <c r="B6" s="2">
        <v>0</v>
      </c>
      <c r="C6" s="5">
        <v>0</v>
      </c>
      <c r="D6" s="2">
        <v>0</v>
      </c>
      <c r="E6" s="5">
        <v>0</v>
      </c>
      <c r="F6" s="2">
        <v>0</v>
      </c>
      <c r="G6" s="5">
        <v>0</v>
      </c>
      <c r="H6" s="2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ht="20" customHeight="1">
      <c r="A7" s="2" t="str">
        <v>AOW03: End-to-end Solutions</v>
      </c>
      <c r="B7" s="2">
        <v>0</v>
      </c>
      <c r="C7" s="5">
        <v>0</v>
      </c>
      <c r="D7" s="2">
        <v>2</v>
      </c>
      <c r="E7" s="5">
        <v>147000</v>
      </c>
      <c r="F7" s="2">
        <v>0</v>
      </c>
      <c r="G7" s="5">
        <v>0</v>
      </c>
      <c r="H7" s="2">
        <v>0</v>
      </c>
      <c r="I7" s="5">
        <v>0</v>
      </c>
      <c r="J7" s="5">
        <v>0</v>
      </c>
      <c r="K7" s="5">
        <v>0</v>
      </c>
      <c r="L7" s="5">
        <v>147000</v>
      </c>
      <c r="M7" s="5">
        <v>0</v>
      </c>
    </row>
    <row r="8" ht="20" customHeight="1">
      <c r="A8" s="2" t="str">
        <v>AOW04: Biofortified and Health-enhancing Staples</v>
      </c>
      <c r="B8" s="2">
        <v>0</v>
      </c>
      <c r="C8" s="5">
        <v>0</v>
      </c>
      <c r="D8" s="2">
        <v>0</v>
      </c>
      <c r="E8" s="5">
        <v>0</v>
      </c>
      <c r="F8" s="2">
        <v>0</v>
      </c>
      <c r="G8" s="5">
        <v>0</v>
      </c>
      <c r="H8" s="2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</row>
    <row r="9" ht="20" customHeight="1">
      <c r="A9" s="2" t="str">
        <v>AOW05: Multisectoral systems</v>
      </c>
      <c r="B9" s="2">
        <v>0</v>
      </c>
      <c r="C9" s="5">
        <v>0</v>
      </c>
      <c r="D9" s="2">
        <v>0</v>
      </c>
      <c r="E9" s="5">
        <v>0</v>
      </c>
      <c r="F9" s="2">
        <v>0</v>
      </c>
      <c r="G9" s="5">
        <v>0</v>
      </c>
      <c r="H9" s="2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</row>
    <row r="10" ht="20" customHeight="1">
      <c r="A10" s="2" t="str">
        <v>AOW06: Transformative leadership</v>
      </c>
      <c r="B10" s="2">
        <v>0</v>
      </c>
      <c r="C10" s="5">
        <v>0</v>
      </c>
      <c r="D10" s="2">
        <v>5</v>
      </c>
      <c r="E10" s="5">
        <v>168132</v>
      </c>
      <c r="F10" s="2">
        <v>0</v>
      </c>
      <c r="G10" s="5">
        <v>0</v>
      </c>
      <c r="H10" s="2">
        <v>3</v>
      </c>
      <c r="I10" s="5">
        <v>31868</v>
      </c>
      <c r="J10" s="5">
        <v>0</v>
      </c>
      <c r="K10" s="5">
        <v>0</v>
      </c>
      <c r="L10" s="5">
        <v>200000</v>
      </c>
      <c r="M10" s="5">
        <v>0</v>
      </c>
    </row>
    <row r="11" ht="25" customHeight="1">
      <c r="A11" s="6" t="str">
        <v>Total</v>
      </c>
      <c r="B11" s="7">
        <f>SUM(B4:B10)</f>
      </c>
      <c r="C11" s="7">
        <f>SUM(C4:C10)</f>
      </c>
      <c r="D11" s="7">
        <f>SUM(D4:D10)</f>
      </c>
      <c r="E11" s="7">
        <f>SUM(E4:E10)</f>
      </c>
      <c r="F11" s="7">
        <f>SUM(F4:F10)</f>
      </c>
      <c r="G11" s="7">
        <f>SUM(G4:G10)</f>
      </c>
      <c r="H11" s="7">
        <f>SUM(H4:H10)</f>
      </c>
      <c r="I11" s="7">
        <f>SUM(I4:I10)</f>
      </c>
      <c r="J11" s="7">
        <f>SUM(J4:J10)</f>
      </c>
      <c r="K11" s="7">
        <f>SUM(K4:K10)</f>
      </c>
      <c r="L11" s="7">
        <f>SUM(L4:L10)</f>
      </c>
      <c r="M11" s="7">
        <f>SUM(M4:M10)</f>
      </c>
    </row>
  </sheetData>
  <mergeCells count="10">
    <mergeCell ref="A1:A3"/>
    <mergeCell ref="B1:L1"/>
    <mergeCell ref="M1:M3"/>
    <mergeCell ref="B2:C2"/>
    <mergeCell ref="D2:E2"/>
    <mergeCell ref="F2:G2"/>
    <mergeCell ref="H2:I2"/>
    <mergeCell ref="J2:J3"/>
    <mergeCell ref="K2:K3"/>
    <mergeCell ref="L2:L3"/>
  </mergeCells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0.83203125" customWidth="1"/>
    <col min="2" max="2" width="40.83203125" customWidth="1"/>
    <col min="3" max="3" width="25.83203125" customWidth="1"/>
  </cols>
  <sheetData>
    <row r="1" ht="60" customHeight="1">
      <c r="A1" s="8" t="str">
        <v>AOW</v>
      </c>
      <c r="B1" s="9" t="str">
        <v>Cross-Cutting</v>
      </c>
      <c r="C1" s="9" t="str">
        <v>Description</v>
      </c>
      <c r="D1" s="9" t="str">
        <v>Pooled Funded (USD)</v>
      </c>
      <c r="E1" s="9" t="str">
        <v>Budget Assumptions</v>
      </c>
    </row>
    <row r="2" ht="45" customHeight="1">
      <c r="A2" s="10" t="str">
        <v>AOW00</v>
      </c>
      <c r="B2" s="11" t="str">
        <v>SO Finance Support</v>
      </c>
      <c r="D2" s="11">
        <v>0</v>
      </c>
    </row>
    <row r="3" ht="45" customHeight="1">
      <c r="A3" s="11" t="str">
        <v>AOW00</v>
      </c>
      <c r="B3" s="11" t="str">
        <v>Discretionary funds</v>
      </c>
      <c r="D3" s="11">
        <v>0</v>
      </c>
    </row>
    <row r="4" ht="45" customHeight="1">
      <c r="A4" s="11" t="str">
        <v>AOW00</v>
      </c>
      <c r="B4" s="11" t="str">
        <v>AoW Leads</v>
      </c>
      <c r="D4" s="11">
        <v>0</v>
      </c>
    </row>
    <row r="5" ht="45" customHeight="1">
      <c r="A5" s="11" t="str">
        <v>AOW00</v>
      </c>
      <c r="B5" s="11" t="str">
        <v>Director costs</v>
      </c>
      <c r="D5" s="11">
        <v>0</v>
      </c>
    </row>
    <row r="6" ht="45" customHeight="1">
      <c r="A6" s="11" t="str">
        <v>AOW00</v>
      </c>
      <c r="B6" s="11" t="str">
        <v>PMU (Coordinator, MELIA + Communication)</v>
      </c>
      <c r="D6" s="11">
        <v>0</v>
      </c>
    </row>
  </sheetData>
  <mergeCells count="1">
    <mergeCell ref="A2:A6"/>
  </mergeCells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8.83203125" customWidth="1"/>
    <col min="2" max="2" width="40.83203125" customWidth="1"/>
    <col min="3" max="3" width="30.83203125" customWidth="1"/>
    <col min="4" max="4" width="30.83203125" customWidth="1"/>
    <col min="5" max="5" width="30.83203125" customWidth="1"/>
    <col min="6" max="6" width="10.83203125" customWidth="1"/>
    <col min="7" max="7" width="15.83203125" customWidth="1"/>
    <col min="8" max="8" width="20.83203125" customWidth="1"/>
    <col min="9" max="9" width="30.83203125" customWidth="1"/>
  </cols>
  <sheetData>
    <row r="1" ht="30" customHeight="1">
      <c r="A1" s="12" t="str">
        <v>AOW</v>
      </c>
      <c r="B1" s="8" t="str">
        <v>High Level Output</v>
      </c>
      <c r="C1" s="8" t="str">
        <v>Key Performance Indicators</v>
      </c>
      <c r="H1" s="8" t="str">
        <v>Total Budget (USD)</v>
      </c>
      <c r="I1" s="8" t="str">
        <v>Budget Assumptions</v>
      </c>
    </row>
    <row r="2" ht="30" customHeight="1">
      <c r="C2" s="8" t="str">
        <v>Description</v>
      </c>
      <c r="D2" s="8" t="str">
        <v>Type</v>
      </c>
      <c r="E2" s="8" t="str">
        <v>Geographic Location</v>
      </c>
      <c r="F2" s="8" t="str">
        <v>Target</v>
      </c>
      <c r="G2" s="8" t="str">
        <v>Budget (USD)</v>
      </c>
    </row>
    <row r="3" ht="50" customHeight="1">
      <c r="A3" s="13" t="str">
        <v>AOW01</v>
      </c>
      <c r="B3" s="11" t="str">
        <v>Suite of solutions focused on consumers that promote consumption of sustainable heathy diets co-developed, tested, and scaled with technical support and country engagement</v>
      </c>
      <c r="C3" s="11" t="str">
        <v>Scientific manuscripts describing the development and validation of the food safety perception scale</v>
      </c>
      <c r="D3" s="11" t="str">
        <v>Number of knowledge products</v>
      </c>
      <c r="E3" s="11" t="str">
        <v>Global</v>
      </c>
      <c r="F3" s="11">
        <v>2</v>
      </c>
      <c r="G3" s="11">
        <v>13660</v>
      </c>
      <c r="H3" s="11">
        <f>SUM(G3:G5)</f>
      </c>
      <c r="I3" s="11" t="str">
        <v>Personnel costs based on standard organizational salary scales.</v>
      </c>
    </row>
    <row r="4" ht="50" customHeight="1">
      <c r="A4" s="11" t="str">
        <v>AOW01</v>
      </c>
      <c r="C4" s="11" t="str">
        <v>User guide for the food safety perception scale</v>
      </c>
      <c r="D4" s="11" t="str">
        <v>Number of knowledge products</v>
      </c>
      <c r="E4" s="11" t="str">
        <v>Global</v>
      </c>
      <c r="F4" s="11">
        <v>1</v>
      </c>
      <c r="G4" s="11">
        <v>6829</v>
      </c>
      <c r="I4" s="11" t="str">
        <v>Personnel costs based on standard organizational salary scales.</v>
      </c>
    </row>
    <row r="5" ht="50" customHeight="1">
      <c r="A5" s="11" t="str">
        <v>AOW01</v>
      </c>
      <c r="C5" s="11" t="str">
        <v>Finalized food safety perception scale, an innovation that assesses food safety experiences and concerns of consumers in low- and middle-income countries and diagnoses constraints to consumption of sustainable nutritious foods</v>
      </c>
      <c r="D5" s="11" t="str">
        <v>Number of innovations (innovation development)</v>
      </c>
      <c r="E5" s="11" t="str">
        <v>Global</v>
      </c>
      <c r="F5" s="11">
        <v>1</v>
      </c>
      <c r="G5" s="11">
        <v>6830</v>
      </c>
      <c r="I5" s="11" t="str">
        <v>Personnel costs based on standard organizational salary scales.</v>
      </c>
    </row>
    <row r="6" ht="25" customHeight="1">
      <c r="B6" s="14" t="str">
        <v>HLO budget subtotal</v>
      </c>
      <c r="H6" s="15">
        <f>SUM(H3:H5)</f>
      </c>
    </row>
    <row r="7" ht="50" customHeight="1">
      <c r="A7" s="13" t="str">
        <v>AOW03</v>
      </c>
      <c r="B7" s="11" t="str">
        <v xml:space="preserve"> Suite of end-to-end solutions for terrestrial animal-source food producers, traders, processors, and vendors/retailers that promote  food quality and safety, reduce food loss,and increase profits co-developed, tested, and scaled</v>
      </c>
      <c r="C7" s="11" t="str">
        <v>Status review paper on animal source foods consumption in Tanzania</v>
      </c>
      <c r="D7" s="11" t="str">
        <v>Number of knowledge products</v>
      </c>
      <c r="E7" s="11" t="str">
        <v>Country: Tanzania, United Republic</v>
      </c>
      <c r="F7" s="11">
        <v>1</v>
      </c>
      <c r="G7" s="11">
        <v>74625</v>
      </c>
      <c r="H7" s="11">
        <f>SUM(G7:G7)</f>
      </c>
      <c r="I7" s="11" t="str">
        <v>Personnel costs based on standard organizational salary scales.</v>
      </c>
    </row>
    <row r="8" ht="50" customHeight="1">
      <c r="A8" s="11" t="str">
        <v>AOW03</v>
      </c>
      <c r="B8" s="11" t="str">
        <v xml:space="preserve"> Suite of integrated end-to-end solutions for food producers, traders, processors, and vendors/retailers that promote  food quality and safety, reduce food loss, and increase profits co-developed, tested, and scaled</v>
      </c>
      <c r="C8" s="11" t="str">
        <v xml:space="preserve">Paper summarizing analysis of the relationship between livestock keeping and animal source food consumption in Tanzania </v>
      </c>
      <c r="D8" s="11" t="str">
        <v>Number of knowledge products</v>
      </c>
      <c r="E8" s="11" t="str">
        <v>Country: Tanzania, United Republic</v>
      </c>
      <c r="F8" s="11">
        <v>1</v>
      </c>
      <c r="G8" s="11">
        <v>72375</v>
      </c>
      <c r="H8" s="11">
        <f>SUM(G8:G8)</f>
      </c>
      <c r="I8" s="11" t="str">
        <v>Personnel costs based on standard organizational salary scales.</v>
      </c>
    </row>
    <row r="9" ht="25" customHeight="1">
      <c r="B9" s="15" t="str">
        <v>HLO budget subtotal</v>
      </c>
      <c r="H9" s="15">
        <f>SUM(H7:H8)</f>
      </c>
    </row>
    <row r="10" ht="50" customHeight="1">
      <c r="A10" s="13" t="str">
        <v>AOW06</v>
      </c>
      <c r="B10" s="11" t="str">
        <v>Regional, continental FS leadership development events to promote BDN outcomes for FST</v>
      </c>
      <c r="C10" s="11" t="str">
        <v xml:space="preserve">Training materials for transformative leadership development and/or learning events that promote momentum on food systems transformation based on available evidence beyond just rhetoric and guided by common visions of national pathways. </v>
      </c>
      <c r="D10" s="11" t="str">
        <v>Number of knowledge products</v>
      </c>
      <c r="E10" s="11" t="str">
        <v>Global</v>
      </c>
      <c r="F10" s="11">
        <v>1</v>
      </c>
      <c r="G10" s="11">
        <v>76231</v>
      </c>
      <c r="H10" s="11">
        <f>SUM(G10:G12)</f>
      </c>
      <c r="I10" s="11" t="str">
        <v>Communication and dissemination costs include design, printing, and events participation.</v>
      </c>
    </row>
    <row r="11" ht="50" customHeight="1">
      <c r="A11" s="11" t="str">
        <v>AOW06</v>
      </c>
      <c r="C11" s="11" t="str">
        <v>Tailored food systems transformation information briefs that help align national, regional and global agendas towards better diets and nutrition.</v>
      </c>
      <c r="D11" s="11" t="str">
        <v>Number of knowledge products</v>
      </c>
      <c r="E11" s="11" t="str">
        <v>Global</v>
      </c>
      <c r="F11" s="11">
        <v>3</v>
      </c>
      <c r="G11" s="11">
        <v>18759</v>
      </c>
      <c r="I11" s="11" t="str">
        <v>Communication and dissemination costs include design, printing, and events participation.</v>
      </c>
    </row>
    <row r="12" ht="50" customHeight="1">
      <c r="A12" s="11" t="str">
        <v>AOW06</v>
      </c>
      <c r="C12" s="11" t="str">
        <v>Food systems transformation webinars targeted towards communities of practice and selected coalitions of action working on food systems transformation towards better diets and nutrition</v>
      </c>
      <c r="D12" s="11" t="str">
        <v xml:space="preserve"> Number of engagements</v>
      </c>
      <c r="E12" s="11" t="str">
        <v>Global</v>
      </c>
      <c r="F12" s="11">
        <v>3</v>
      </c>
      <c r="G12" s="11">
        <v>31868</v>
      </c>
      <c r="I12" s="11" t="str">
        <v>Communication and dissemination costs include design, printing, and events participation.</v>
      </c>
    </row>
    <row r="13" ht="50" customHeight="1">
      <c r="A13" s="11" t="str">
        <v>AOW06</v>
      </c>
      <c r="B13" s="11" t="str">
        <v>Targeted capacity-sharing events addressing evidence to policy actions and strategic engagement to influence food systems thinking to promote positive transformative change among diferent stakeholders including CoPs.</v>
      </c>
      <c r="C13" s="11" t="str">
        <v>Report summarizing the learning events on food systems transformation trade-offs and benefits</v>
      </c>
      <c r="D13" s="11" t="str">
        <v>Number of knowledge products</v>
      </c>
      <c r="E13" s="11" t="str">
        <v>Global</v>
      </c>
      <c r="F13" s="11">
        <v>1</v>
      </c>
      <c r="G13" s="11">
        <v>73142</v>
      </c>
      <c r="H13" s="11">
        <f>SUM(G13:G13)</f>
      </c>
      <c r="I13" s="11" t="str">
        <v>Communication and dissemination costs include design, printing, and events participation.</v>
      </c>
    </row>
    <row r="14" ht="25" customHeight="1">
      <c r="B14" s="15" t="str">
        <v>HLO budget subtotal</v>
      </c>
      <c r="H14" s="15">
        <f>SUM(H10:H13)</f>
      </c>
    </row>
  </sheetData>
  <mergeCells count="15">
    <mergeCell ref="A1:A2"/>
    <mergeCell ref="B1:B2"/>
    <mergeCell ref="C1:G1"/>
    <mergeCell ref="H1:H2"/>
    <mergeCell ref="I1:I2"/>
    <mergeCell ref="B3:B5"/>
    <mergeCell ref="H3:H5"/>
    <mergeCell ref="B6:G6"/>
    <mergeCell ref="A3:A6"/>
    <mergeCell ref="B9:G9"/>
    <mergeCell ref="A7:A9"/>
    <mergeCell ref="B10:B12"/>
    <mergeCell ref="H10:H12"/>
    <mergeCell ref="B14:G14"/>
    <mergeCell ref="A10:A14"/>
  </mergeCells>
  <ignoredErrors>
    <ignoredError numberStoredAsText="1" sqref="A1:I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cols>
    <col min="1" max="1" width="8.83203125" customWidth="1"/>
    <col min="2" max="2" width="40.83203125" customWidth="1"/>
    <col min="3" max="3" width="60.83203125" customWidth="1"/>
    <col min="4" max="4" width="30.83203125" customWidth="1"/>
    <col min="5" max="5" width="15.83203125" customWidth="1"/>
  </cols>
  <sheetData>
    <row r="1" ht="30" customHeight="1">
      <c r="A1" s="8" t="str">
        <v>AOW</v>
      </c>
      <c r="B1" s="8" t="str">
        <v>Partner</v>
      </c>
      <c r="C1" s="8" t="str">
        <v>High level outputs</v>
      </c>
      <c r="D1" s="8" t="str">
        <v>Geographic location</v>
      </c>
      <c r="E1" s="8" t="str">
        <v>Total Budget (USD)</v>
      </c>
      <c r="F1" s="8" t="str">
        <v>Budeget Assumptions</v>
      </c>
    </row>
  </sheetData>
  <ignoredErrors>
    <ignoredError numberStoredAsText="1" sqref="A1:F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Project title</v>
      </c>
      <c r="B1" s="17" t="str">
        <v>AOW</v>
      </c>
      <c r="C1" s="17" t="str">
        <v>High Level Outputs</v>
      </c>
      <c r="D1" s="17" t="str">
        <v>Budget (USD)</v>
      </c>
      <c r="E1" s="17" t="str">
        <v>Total budget (USD)</v>
      </c>
      <c r="F1" s="17" t="str">
        <v>Budget Assumptions</v>
      </c>
    </row>
    <row r="2">
      <c r="E2" s="3">
        <f>SUM(E2:E1)</f>
      </c>
    </row>
    <row r="3">
      <c r="A3" s="2" t="str">
        <v>W3/Bilateral projects subtotal</v>
      </c>
    </row>
  </sheetData>
  <mergeCells count="1">
    <mergeCell ref="A2:D2"/>
  </mergeCells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41.6640625" customWidth="1"/>
    <col min="2" max="2" width="10.00390625" customWidth="1"/>
    <col min="3" max="3" width="58.33203125" customWidth="1"/>
    <col min="4" max="4" width="16.6640625" customWidth="1"/>
    <col min="5" max="5" width="20.00390625" customWidth="1"/>
  </cols>
  <sheetData>
    <row r="1" ht="30" customHeight="1">
      <c r="A1" s="16" t="str">
        <v>MELIA study</v>
      </c>
      <c r="B1" s="16" t="str">
        <v>AOW</v>
      </c>
      <c r="C1" s="16" t="str">
        <v>Supported outcomes</v>
      </c>
      <c r="D1" s="16" t="str">
        <v>AOW budget (USD)</v>
      </c>
      <c r="E1" s="16" t="str">
        <v>Total budget (USD)</v>
      </c>
      <c r="F1" s="16" t="str">
        <v>Budget Assumptions</v>
      </c>
    </row>
    <row r="2">
      <c r="E2" s="3">
        <f>SUM(E2:E1)</f>
      </c>
    </row>
    <row r="3">
      <c r="A3" s="2" t="str">
        <v>MELIA Studies Budget subtotal</v>
      </c>
    </row>
  </sheetData>
  <mergeCells count="1">
    <mergeCell ref="A2:D2"/>
  </mergeCells>
  <ignoredErrors>
    <ignoredError numberStoredAsText="1" sqref="A1:F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25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20.83203125" customWidth="1"/>
  </cols>
  <sheetData>
    <row r="1" ht="25" customHeight="1">
      <c r="A1" s="3" t="str">
        <v>Main Accounts</v>
      </c>
      <c r="B1" s="3" t="str">
        <v>AOW00</v>
      </c>
      <c r="C1" s="3" t="str">
        <v>AOW01</v>
      </c>
      <c r="D1" s="3" t="str">
        <v>AOW02</v>
      </c>
      <c r="E1" s="3" t="str">
        <v>AOW03</v>
      </c>
      <c r="F1" s="3" t="str">
        <v>AOW04</v>
      </c>
      <c r="G1" s="3" t="str">
        <v>AOW05</v>
      </c>
      <c r="H1" s="3" t="str">
        <v>AOW06</v>
      </c>
      <c r="I1" s="3" t="str">
        <v>Total budget (USD)</v>
      </c>
    </row>
    <row r="2" ht="20" customHeight="1">
      <c r="A2" s="18" t="str">
        <v>Collaborators non-CGIAR centers</v>
      </c>
      <c r="B2" s="18">
        <v>0</v>
      </c>
      <c r="C2" s="18">
        <v>0</v>
      </c>
      <c r="D2" s="18">
        <v>0</v>
      </c>
      <c r="E2" s="18">
        <v>0</v>
      </c>
      <c r="F2" s="18">
        <v>0</v>
      </c>
      <c r="G2" s="18">
        <v>0</v>
      </c>
      <c r="H2" s="18">
        <v>0</v>
      </c>
      <c r="I2" s="18" t="str">
        <f>=SUM(B2:H2)</f>
        <v>0</v>
      </c>
    </row>
    <row r="3" ht="20" customHeight="1">
      <c r="A3" s="18" t="str">
        <v>Operations (supplies, consultants, travels, workshops, other)</v>
      </c>
      <c r="B3" s="18">
        <v>0</v>
      </c>
      <c r="C3" s="18">
        <v>0</v>
      </c>
      <c r="D3" s="18">
        <v>0</v>
      </c>
      <c r="E3" s="18">
        <v>7988</v>
      </c>
      <c r="F3" s="18">
        <v>0</v>
      </c>
      <c r="G3" s="18">
        <v>0</v>
      </c>
      <c r="H3" s="18">
        <v>86764</v>
      </c>
      <c r="I3" s="18" t="str">
        <f>=SUM(B3:H3)</f>
        <v>0</v>
      </c>
    </row>
    <row r="4" ht="20" customHeight="1">
      <c r="A4" s="18" t="str">
        <v>Staffing, Chargebacks and Indirect</v>
      </c>
      <c r="B4" s="18">
        <v>216267</v>
      </c>
      <c r="C4" s="18">
        <v>27319</v>
      </c>
      <c r="D4" s="18">
        <v>0</v>
      </c>
      <c r="E4" s="18">
        <v>139012</v>
      </c>
      <c r="F4" s="18">
        <v>0</v>
      </c>
      <c r="G4" s="18">
        <v>0</v>
      </c>
      <c r="H4" s="18">
        <v>113236</v>
      </c>
      <c r="I4" s="18" t="str">
        <f>=SUM(B4:H4)</f>
        <v>0</v>
      </c>
    </row>
    <row r="5" ht="20" customHeight="1">
      <c r="A5" s="19" t="str">
        <v>Subtotal</v>
      </c>
      <c r="B5" s="20" t="str">
        <f>=SUM(B2:B4)</f>
        <v>0</v>
      </c>
      <c r="C5" s="21" t="str">
        <f>=SUM(C2:C4)</f>
        <v>0</v>
      </c>
      <c r="D5" s="21" t="str">
        <f>=SUM(D2:D4)</f>
        <v>0</v>
      </c>
      <c r="E5" s="21" t="str">
        <f>=SUM(E2:E4)</f>
        <v>0</v>
      </c>
      <c r="F5" s="21" t="str">
        <f>=SUM(F2:F4)</f>
        <v>0</v>
      </c>
      <c r="G5" s="21" t="str">
        <f>=SUM(G2:G4)</f>
        <v>0</v>
      </c>
      <c r="H5" s="21" t="str">
        <f>=SUM(H2:H4)</f>
        <v>0</v>
      </c>
      <c r="I5" s="21" t="str">
        <f>=SUM(I2:I4)</f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Cross-Cutting</vt:lpstr>
      <vt:lpstr>HLO</vt:lpstr>
      <vt:lpstr>Partner</vt:lpstr>
      <vt:lpstr>W3-Bilateral projects</vt:lpstr>
      <vt:lpstr>MELIA</vt:lpstr>
      <vt:lpstr>Anaplan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