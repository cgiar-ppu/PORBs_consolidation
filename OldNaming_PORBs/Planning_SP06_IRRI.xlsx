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Prioritization and Coordination of Climate Action </v>
      </c>
      <c r="B5" s="2">
        <v>1</v>
      </c>
      <c r="C5" s="5">
        <v>30000</v>
      </c>
      <c r="D5" s="2">
        <v>6</v>
      </c>
      <c r="E5" s="5">
        <v>50233</v>
      </c>
      <c r="F5" s="2">
        <v>0</v>
      </c>
      <c r="G5" s="5">
        <v>0</v>
      </c>
      <c r="H5" s="2">
        <v>0</v>
      </c>
      <c r="I5" s="5">
        <v>0</v>
      </c>
      <c r="J5" s="5">
        <v>0</v>
      </c>
      <c r="K5" s="5">
        <v>0</v>
      </c>
      <c r="L5" s="5">
        <v>80233</v>
      </c>
      <c r="M5" s="5">
        <v>429711</v>
      </c>
    </row>
    <row r="6" ht="20" customHeight="1">
      <c r="A6" s="2" t="str">
        <v xml:space="preserve">AOW02: Digital Advisories and Climate Risk Management  </v>
      </c>
      <c r="B6" s="2">
        <v>1</v>
      </c>
      <c r="C6" s="5">
        <v>100000</v>
      </c>
      <c r="D6" s="2">
        <v>1</v>
      </c>
      <c r="E6" s="5">
        <v>0</v>
      </c>
      <c r="F6" s="2">
        <v>20</v>
      </c>
      <c r="G6" s="5">
        <v>30000</v>
      </c>
      <c r="H6" s="2">
        <v>0</v>
      </c>
      <c r="I6" s="5">
        <v>0</v>
      </c>
      <c r="J6" s="5">
        <v>0</v>
      </c>
      <c r="K6" s="5">
        <v>20000</v>
      </c>
      <c r="L6" s="5">
        <v>150000</v>
      </c>
      <c r="M6" s="5">
        <v>0</v>
      </c>
    </row>
    <row r="7" ht="20" customHeight="1">
      <c r="A7" s="2" t="str">
        <v xml:space="preserve">AOW03: Locally-led Adaptation  </v>
      </c>
      <c r="B7" s="2">
        <v>0</v>
      </c>
      <c r="C7" s="5">
        <v>0</v>
      </c>
      <c r="D7" s="2">
        <v>5</v>
      </c>
      <c r="E7" s="5">
        <v>335294</v>
      </c>
      <c r="F7" s="2">
        <v>2500</v>
      </c>
      <c r="G7" s="5">
        <v>50000</v>
      </c>
      <c r="H7" s="2">
        <v>8</v>
      </c>
      <c r="I7" s="5">
        <v>50000</v>
      </c>
      <c r="J7" s="5">
        <v>0</v>
      </c>
      <c r="K7" s="5">
        <v>0</v>
      </c>
      <c r="L7" s="5">
        <v>435294</v>
      </c>
      <c r="M7" s="5">
        <v>34999</v>
      </c>
    </row>
    <row r="8" ht="20" customHeight="1">
      <c r="A8" s="2" t="str">
        <v xml:space="preserve">AOW04: Low-emission Transitions  </v>
      </c>
      <c r="B8" s="2">
        <v>5</v>
      </c>
      <c r="C8" s="5">
        <v>325000</v>
      </c>
      <c r="D8" s="2">
        <v>0</v>
      </c>
      <c r="E8" s="5">
        <v>0</v>
      </c>
      <c r="F8" s="2">
        <v>0</v>
      </c>
      <c r="G8" s="5">
        <v>0</v>
      </c>
      <c r="H8" s="2">
        <v>150</v>
      </c>
      <c r="I8" s="5">
        <v>50000</v>
      </c>
      <c r="J8" s="5">
        <v>60000</v>
      </c>
      <c r="K8" s="5">
        <v>0</v>
      </c>
      <c r="L8" s="5">
        <v>435000</v>
      </c>
      <c r="M8" s="5">
        <v>1337170</v>
      </c>
    </row>
    <row r="9" ht="20" customHeight="1">
      <c r="A9" s="2" t="str">
        <v xml:space="preserve">AOW05: Finance and Policy for Scaling Solutions </v>
      </c>
      <c r="B9" s="2">
        <v>4</v>
      </c>
      <c r="C9" s="5">
        <v>200000</v>
      </c>
      <c r="D9" s="2">
        <v>0</v>
      </c>
      <c r="E9" s="5">
        <v>0</v>
      </c>
      <c r="F9" s="2">
        <v>0</v>
      </c>
      <c r="G9" s="5">
        <v>0</v>
      </c>
      <c r="H9" s="2">
        <v>0</v>
      </c>
      <c r="I9" s="5">
        <v>0</v>
      </c>
      <c r="J9" s="5">
        <v>0</v>
      </c>
      <c r="K9" s="5">
        <v>0</v>
      </c>
      <c r="L9" s="5">
        <v>200000</v>
      </c>
      <c r="M9" s="5">
        <v>1075313</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0</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0</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1.1.3 &amp; 1.3.2 Harmonized data, simulations, insights and decision support tools</v>
      </c>
      <c r="C3" s="11" t="str">
        <v>Number of datasets/simulations/insights/decision support tools developed and shared</v>
      </c>
      <c r="D3" s="11" t="str">
        <v>Number of innovations (innovation development)</v>
      </c>
      <c r="E3" s="11" t="str">
        <v>Global</v>
      </c>
      <c r="F3" s="11">
        <v>1</v>
      </c>
      <c r="G3" s="11">
        <v>30000</v>
      </c>
      <c r="H3" s="11">
        <f>SUM(G3:G4)</f>
      </c>
      <c r="I3" s="11" t="str">
        <v>CA42_IRRI: Dataset, Method, Tool &amp; Expert Mapping – Develop a system linking datasets, methods, and experts across CGIAR Programs. Linked to the user-engagement, the tool embeds a validated prioritization framework to identify high-demand data assets and</v>
      </c>
    </row>
    <row r="4" ht="50" customHeight="1" xml:space="preserve">
      <c r="A4" s="11" t="str">
        <v>AOW01</v>
      </c>
      <c r="C4" s="11" t="str">
        <v>Number of datasets included/compiled in a common/shared platform</v>
      </c>
      <c r="D4" s="11" t="str">
        <v>Number of knowledge products</v>
      </c>
      <c r="E4" s="11" t="str">
        <v>Global</v>
      </c>
      <c r="F4" s="11">
        <v>6</v>
      </c>
      <c r="G4" s="11">
        <v>50233</v>
      </c>
      <c r="I4" s="11" t="str" xml:space="preserve">
        <v xml:space="preserve">CA42_IRRI: Rice Data Integration especially methane – Coordinate datasets within the Climate Data Hub, ensuring alignment with Hub metadata standards and QA/QC protocols.
	User Engagement &amp; Demand Mapping – Systematically capture and prioritize dataset an</v>
      </c>
    </row>
    <row r="5" ht="25" customHeight="1">
      <c r="B5" s="14" t="str">
        <v>HLO budget subtotal</v>
      </c>
      <c r="H5" s="15">
        <f>SUM(H3:H4)</f>
      </c>
    </row>
    <row r="6" ht="50" customHeight="1">
      <c r="A6" s="13" t="str">
        <v>AOW02</v>
      </c>
      <c r="B6" s="11" t="str">
        <v>2.1.1 &amp; 2.2.1 Climate information products and services</v>
      </c>
      <c r="C6" s="11" t="str">
        <v>Number of recommendations/modules/synthesis products</v>
      </c>
      <c r="D6" s="11" t="str">
        <v>Number of knowledge products</v>
      </c>
      <c r="E6" s="11" t="str">
        <v>Country: The Socialist Republic of Viet Nam, Kenya, Mali, Colombia, India, Zambia, Philippines, Nigeria, Bangladesh, Ethiopia</v>
      </c>
      <c r="F6" s="11">
        <v>1</v>
      </c>
      <c r="G6" s="11">
        <v>0</v>
      </c>
      <c r="H6" s="11">
        <f>SUM(G6:G7)</f>
      </c>
    </row>
    <row r="7" ht="50" customHeight="1">
      <c r="A7" s="11" t="str">
        <v>AOW02</v>
      </c>
      <c r="C7" s="11" t="str">
        <v>Number of human-centered climate information products/services improved, co-designed, or co-developed</v>
      </c>
      <c r="D7" s="11" t="str">
        <v>Number of innovations (innovation development)</v>
      </c>
      <c r="E7" s="11" t="str">
        <v>Country: Senegal, Mali, Ethiopia, India, Bangladesh, Nigeria, Zambia, Philippines, Kenya, The Socialist Republic of Viet Nam</v>
      </c>
      <c r="F7" s="11">
        <v>1</v>
      </c>
      <c r="G7" s="11">
        <v>100000</v>
      </c>
      <c r="I7" s="11" t="str">
        <v>CA36_IRRI	Enhancement of Climate+ decision logic utilizing API-shared PAGASA forecast on temperature, humidity, and inclusion of probabilistic weather forecast in the Philippines for an improved agro-advisory. The upgraded solution will be replicated in I</v>
      </c>
    </row>
    <row r="8" ht="50" customHeight="1" xml:space="preserve">
      <c r="A8" s="11" t="str">
        <v>AOW02</v>
      </c>
      <c r="B8" s="11" t="str">
        <v>2.2.2 &amp; 2.3.1 &amp; 2.4.1 Multi-hazard early warning and anticipatory action instruments</v>
      </c>
      <c r="C8" s="11" t="str">
        <v>Number of organizations members engaged in capacity development initiatives (disaggregated by type, age, sex, ethnic group)</v>
      </c>
      <c r="D8" s="11" t="str">
        <v>Number of people trained (capacity sharing for development)</v>
      </c>
      <c r="E8" s="11" t="str">
        <v>Country: Mali, Nigeria, Philippines</v>
      </c>
      <c r="F8" s="11">
        <v>20</v>
      </c>
      <c r="G8" s="11">
        <v>30000</v>
      </c>
      <c r="H8" s="11">
        <f>SUM(G8:G8)</f>
      </c>
      <c r="I8" s="11" t="str" xml:space="preserve">
        <v xml:space="preserve">CA36_IRRI: "Capacity development and stakeholder engagement for Climate+ Institutionalization
Strengthen institutional and human capacities on Climate+ operations in the Philippines. Conduct multi-stakeholder engagement to co-develop pathways for scaling </v>
      </c>
    </row>
    <row r="9" ht="25" customHeight="1">
      <c r="B9" s="15" t="str">
        <v>HLO budget subtotal</v>
      </c>
      <c r="H9" s="15">
        <f>SUM(H6:H8)</f>
      </c>
    </row>
    <row r="10" ht="50" customHeight="1">
      <c r="A10" s="13" t="str">
        <v>AOW03</v>
      </c>
      <c r="B10" s="11" t="str">
        <v>3.1.2. Methodologies for implementing locally-led adaptation</v>
      </c>
      <c r="C10" s="11" t="str">
        <v>Number of people trained on  locally led adaptation methodologies/tools</v>
      </c>
      <c r="D10" s="11" t="str">
        <v>Number of people trained (capacity sharing for development)</v>
      </c>
      <c r="E10" s="11" t="str">
        <v>Global</v>
      </c>
      <c r="F10" s="11">
        <v>2500</v>
      </c>
      <c r="G10" s="11">
        <v>50000</v>
      </c>
      <c r="H10" s="11">
        <f>SUM(G10:G10)</f>
      </c>
      <c r="I10" s="11" t="str">
        <v>CA50_IRRI	Educational tools based on use cases of LL</v>
      </c>
    </row>
    <row r="11" ht="50" customHeight="1" xml:space="preserve">
      <c r="A11" s="11" t="str">
        <v>AOW03</v>
      </c>
      <c r="B11" s="11" t="str">
        <v>3.1.3 &amp; 3.2.1 Guidelines on scaling  and implementing climate solutions and processes</v>
      </c>
      <c r="C11" s="11" t="str">
        <v>Number of guidelines on scaling and implementing climate solutions procuded and communicated</v>
      </c>
      <c r="D11" s="11" t="str">
        <v>Number of knowledge products</v>
      </c>
      <c r="E11" s="11" t="str">
        <v>Country: China, Brazil, Nigeria, Kenya, Tanzania, United Republic, India</v>
      </c>
      <c r="F11" s="11">
        <v>5</v>
      </c>
      <c r="G11" s="11">
        <v>335294</v>
      </c>
      <c r="H11" s="11">
        <f>SUM(G11:G11)</f>
      </c>
      <c r="I11" s="11" t="str" xml:space="preserve">
        <v xml:space="preserve">CA119_IRRI	Compendium of examples of LLCA principles being translated into practice by partners including locsl government authoriries
	Handbook on methodologies and tools that strengthen understanding of, support to, and accountability for adaptation pro</v>
      </c>
    </row>
    <row r="12" ht="50" customHeight="1">
      <c r="A12" s="11" t="str">
        <v>AOW03</v>
      </c>
      <c r="B12" s="11" t="str">
        <v xml:space="preserve">3.1.5 &amp; 3.2.4 Systematic engagement for developing capacity for locally-led adaptation and mitigation </v>
      </c>
      <c r="C12" s="11" t="str">
        <v xml:space="preserve"> Number of new/expanded partnership agreements established for locally led adaptation solutions</v>
      </c>
      <c r="D12" s="11" t="str">
        <v>Number of partnerships</v>
      </c>
      <c r="E12" s="11" t="str">
        <v>Country: India, China, Nigeria, Brazil</v>
      </c>
      <c r="F12" s="11">
        <v>8</v>
      </c>
      <c r="G12" s="11">
        <v>50000</v>
      </c>
      <c r="H12" s="11">
        <f>SUM(G12:G12)</f>
      </c>
      <c r="I12" s="11" t="str">
        <v>CA84_IRRI	New partnerships for locally-led adaptation developed</v>
      </c>
    </row>
    <row r="13" ht="25" customHeight="1">
      <c r="B13" s="15" t="str">
        <v>HLO budget subtotal</v>
      </c>
      <c r="H13" s="15">
        <f>SUM(H10:H12)</f>
      </c>
    </row>
    <row r="14" ht="50" customHeight="1">
      <c r="A14" s="13" t="str">
        <v>AOW04</v>
      </c>
      <c r="B14" s="11" t="str">
        <v>4.1.1 &amp; 4.2.1 Evidence and partnerships to inform low-emission development</v>
      </c>
      <c r="C14" s="11" t="str">
        <v>Number of private sector actors engaged in co-development of low-emission strategies across production systems with supporting policies/incentives</v>
      </c>
      <c r="D14" s="11" t="str">
        <v>Number of partners/actors engaged</v>
      </c>
      <c r="E14" s="11" t="str">
        <v>Country: Ghana, Kenya, Colombia, Nigeria, The Socialist Republic of Viet Nam, Philippines</v>
      </c>
      <c r="F14" s="11">
        <v>150</v>
      </c>
      <c r="G14" s="11">
        <v>50000</v>
      </c>
      <c r="H14" s="11">
        <f>SUM(G14:G15)</f>
      </c>
      <c r="I14" s="11" t="str">
        <v>CA112_IRRI: Stakeholder engagement for co-designing methane reduction pathways in agriculture. This involves collaborative consultations with government agencies, non-government entities (CCAC, GMH), farmers, and private sector actors. This process ensure</v>
      </c>
    </row>
    <row r="15" ht="50" customHeight="1">
      <c r="A15" s="11" t="str">
        <v>AOW04</v>
      </c>
      <c r="C15" s="11" t="str">
        <v>Number of low-emission strategies across production systems co-developed with partners</v>
      </c>
      <c r="D15" s="11" t="str">
        <v>Number of innovations (innovation development)</v>
      </c>
      <c r="E15" s="11" t="str">
        <v>Country: Ghana, Philippines, Tanzania, United Republic, Egypt, India, Colombia</v>
      </c>
      <c r="F15" s="11">
        <v>2</v>
      </c>
      <c r="G15" s="11">
        <v>120000</v>
      </c>
      <c r="I15" s="11" t="str">
        <v>CA112_IRRI	Cost assessments of methane reduction scenarios evaluate the cost-effectiveness of different methane reduction strategies and estimate the financial requirements. This analysis helps identify economically viable mitigation options, optimize res</v>
      </c>
    </row>
    <row r="16" ht="50" customHeight="1">
      <c r="A16" s="11" t="str">
        <v>AOW04</v>
      </c>
      <c r="B16" s="11" t="str">
        <v>4.1.2 &amp; 4.2.2 &amp; 4.3.1 Socio-technological and ecological bundles for reducing methane emissions</v>
      </c>
      <c r="C16" s="11" t="str">
        <v>Number of integrated socio-technological and ecological bundles co-developed and piloted</v>
      </c>
      <c r="D16" s="11" t="str">
        <v>Number of innovations (innovation development)</v>
      </c>
      <c r="E16" s="11" t="str">
        <v>Country: Philippines, Tanzania, United Republic, Ghana, Brazil, Uganda, Egypt, India, Mali, Pakistan, Nigeria, China, Kenya, Colombia, Ethiopia, The Socialist Republic of Viet Nam</v>
      </c>
      <c r="F16" s="11">
        <v>0</v>
      </c>
      <c r="G16" s="11">
        <v>0</v>
      </c>
      <c r="H16" s="11">
        <f>SUM(G16:G17)</f>
      </c>
    </row>
    <row r="17" ht="50" customHeight="1">
      <c r="A17" s="11" t="str">
        <v>AOW04</v>
      </c>
      <c r="C17" s="11" t="str">
        <v>Number of partners involved in piloting integrated socio-technological and ecological bundles</v>
      </c>
      <c r="D17" s="11" t="str">
        <v xml:space="preserve"> Number of partners/actors engaged</v>
      </c>
      <c r="E17" s="11" t="str">
        <v>Country: Philippines, Uganda, Kenya, India, Egypt, Colombia, Brazil, Pakistan, The Socialist Republic of Viet Nam, China, Nigeria, Ethiopia, Ghana, Tanzania, United Republic, Mali</v>
      </c>
      <c r="F17" s="11">
        <v>0</v>
      </c>
      <c r="G17" s="11">
        <v>0</v>
      </c>
    </row>
    <row r="18" ht="50" customHeight="1">
      <c r="A18" s="11" t="str">
        <v>AOW04</v>
      </c>
      <c r="B18" s="11" t="str">
        <v>4.2.4 &amp; 4.3.3 &amp; 4.4.1 Tools and approaches for monitoring, reporting and verification (MRV)</v>
      </c>
      <c r="C18" s="11" t="str">
        <v>Number of MRV tools/approaches for low-emission farming developed</v>
      </c>
      <c r="D18" s="11" t="str">
        <v>Number of innovations (innovation development)</v>
      </c>
      <c r="E18" s="11" t="str">
        <v>Country: Colombia, Ghana, India, Zambia, Egypt, Nigeria, Kenya</v>
      </c>
      <c r="F18" s="11">
        <v>3</v>
      </c>
      <c r="G18" s="11">
        <v>205000</v>
      </c>
      <c r="H18" s="11">
        <f>SUM(G18:G19)</f>
      </c>
      <c r="I18" s="11" t="str">
        <v>(a) CA117_IRRI	The integration of Earth Observation and machine learning to remotely monitor water regimes in rice fields to support accurate national inventories and cost-effective MRV. This cloud-based rice growth and Tier-3 GHG simulation model will al</v>
      </c>
    </row>
    <row r="19" ht="50" customHeight="1">
      <c r="A19" s="11" t="str">
        <v>AOW04</v>
      </c>
      <c r="C19" s="11" t="str">
        <v>Number of guidelines/communication materials on scaling and implementing low emission strategies</v>
      </c>
      <c r="D19" s="11" t="str">
        <v>Number of knowledge products</v>
      </c>
      <c r="E19" s="11" t="str">
        <v>Country: Nigeria, Ethiopia, Uganda</v>
      </c>
      <c r="F19" s="11">
        <v>0</v>
      </c>
      <c r="G19" s="11">
        <v>0</v>
      </c>
    </row>
    <row r="20" ht="25" customHeight="1">
      <c r="B20" s="15" t="str">
        <v>HLO budget subtotal</v>
      </c>
      <c r="H20" s="15">
        <f>SUM(H14:H19)</f>
      </c>
    </row>
    <row r="21" ht="50" customHeight="1">
      <c r="A21" s="13" t="str">
        <v>AOW05</v>
      </c>
      <c r="B21" s="11" t="str">
        <v>5.1.1 &amp; 5.2.1 Evidence and tools for climate policies and institutions</v>
      </c>
      <c r="C21" s="11" t="str">
        <v>Number of tools and types of evidence developed</v>
      </c>
      <c r="D21" s="11" t="str">
        <v>Number of innovations (innovation development)</v>
      </c>
      <c r="E21" s="11" t="str">
        <v>Country: Ghana, Ethiopia, Kenya</v>
      </c>
      <c r="F21" s="11">
        <v>1</v>
      </c>
      <c r="G21" s="11">
        <v>55000</v>
      </c>
      <c r="H21" s="11">
        <f>SUM(G21:G21)</f>
      </c>
      <c r="I21" s="11" t="str">
        <v>CA113_IRRI: During baseline assessment for carbon projects, a digital tool will automatically aggregate farmers into strata based on location, cropping patterns, and management practices, enabling efficient and accurate grouping for streamlined assessment</v>
      </c>
    </row>
    <row r="22" ht="50" customHeight="1">
      <c r="A22" s="11" t="str">
        <v>AOW05</v>
      </c>
      <c r="B22" s="11" t="str">
        <v>5.2.5 &amp; 5.3.4 Carbon market frameworks</v>
      </c>
      <c r="C22" s="11" t="str">
        <v>Number of carbon market framework elements developed that benefit smallholder women and men farmer</v>
      </c>
      <c r="D22" s="11" t="str">
        <v>Number of innovations (innovation development)</v>
      </c>
      <c r="E22" s="11" t="str">
        <v>Global</v>
      </c>
      <c r="F22" s="11">
        <v>3</v>
      </c>
      <c r="G22" s="11">
        <v>145000</v>
      </c>
      <c r="H22" s="11">
        <f>SUM(G22:G22)</f>
      </c>
      <c r="I22" s="11" t="str">
        <v>CA113_IRRI: Benefit/burden sharing models will be developed to ensure that carbon revenues, responsibilities, risks, and impacts are fairly distributed among stakeholders, promoting transparency and inclusiveness in results-based carbon projects. While MR</v>
      </c>
    </row>
    <row r="23" ht="25" customHeight="1">
      <c r="B23" s="15" t="str">
        <v>HLO budget subtotal</v>
      </c>
      <c r="H23" s="15">
        <f>SUM(H21:H22)</f>
      </c>
    </row>
  </sheetData>
  <mergeCells count="25">
    <mergeCell ref="A1:A2"/>
    <mergeCell ref="B1:B2"/>
    <mergeCell ref="C1:G1"/>
    <mergeCell ref="H1:H2"/>
    <mergeCell ref="I1:I2"/>
    <mergeCell ref="B3:B4"/>
    <mergeCell ref="H3:H4"/>
    <mergeCell ref="B5:G5"/>
    <mergeCell ref="A3:A5"/>
    <mergeCell ref="B6:B7"/>
    <mergeCell ref="H6:H7"/>
    <mergeCell ref="B9:G9"/>
    <mergeCell ref="A6:A9"/>
    <mergeCell ref="B13:G13"/>
    <mergeCell ref="A10:A13"/>
    <mergeCell ref="B14:B15"/>
    <mergeCell ref="H14:H15"/>
    <mergeCell ref="B16:B17"/>
    <mergeCell ref="H16:H17"/>
    <mergeCell ref="B18:B19"/>
    <mergeCell ref="H18:H19"/>
    <mergeCell ref="B20:G20"/>
    <mergeCell ref="A14:A20"/>
    <mergeCell ref="B23:G23"/>
    <mergeCell ref="A21:A23"/>
  </mergeCells>
  <ignoredErrors>
    <ignoredError numberStoredAsText="1" sqref="A1:I23"/>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AOW02</v>
      </c>
      <c r="B2" s="11" t="str">
        <v>Department of Agriculture (Philippines)</v>
      </c>
      <c r="C2" s="11" t="str">
        <v>2.1.1 &amp; 2.2.1 Climate information products and services, 2.2.2 &amp; 2.3.1 &amp; 2.4.1 Multi-hazard early warning and anticipatory action instruments</v>
      </c>
      <c r="D2" s="11" t="str">
        <v>Philippines</v>
      </c>
      <c r="E2" s="11">
        <v>0</v>
      </c>
    </row>
    <row r="3" ht="25" customHeight="1">
      <c r="B3" s="14" t="str">
        <v>Contracted partners subtotal</v>
      </c>
      <c r="E3" s="14">
        <f>SUM(E2:E2)</f>
      </c>
    </row>
    <row r="4" ht="70" customHeight="1">
      <c r="A4" s="12" t="str">
        <v>AOW04</v>
      </c>
      <c r="B4" s="11" t="str">
        <v>Department of Agriculture (Philippines)</v>
      </c>
      <c r="C4" s="11" t="str">
        <v>4.2.4 &amp; 4.3.3 &amp; 4.4.1 Tools and approaches for monitoring, reporting and verification (MRV), 4.1.1 &amp; 4.2.1 Evidence and partnerships to inform low-emission development</v>
      </c>
      <c r="D4" s="11" t="str">
        <v>Philippines</v>
      </c>
      <c r="E4" s="11">
        <v>30000</v>
      </c>
      <c r="F4" s="11" t="str">
        <v>None</v>
      </c>
    </row>
    <row r="5" ht="70" customHeight="1">
      <c r="A5" s="11" t="str">
        <v>AOW04</v>
      </c>
      <c r="B5" s="11" t="str">
        <v>Ministry of Agriculture and Rural Development (Vietnam)</v>
      </c>
      <c r="C5" s="11" t="str">
        <v>4.1.1 &amp; 4.2.1 Evidence and partnerships to inform low-emission development</v>
      </c>
      <c r="D5" s="11" t="str">
        <v>The Socialist Republic of Viet Nam</v>
      </c>
      <c r="E5" s="11">
        <v>30000</v>
      </c>
      <c r="F5" s="11" t="str">
        <v>None</v>
      </c>
    </row>
    <row r="6" ht="25" customHeight="1">
      <c r="B6" s="14" t="str">
        <v>Contracted partners subtotal</v>
      </c>
      <c r="E6" s="14">
        <f>SUM(E4:E5)</f>
      </c>
    </row>
  </sheetData>
  <mergeCells count="4">
    <mergeCell ref="B3:D3"/>
    <mergeCell ref="A2:A3"/>
    <mergeCell ref="B6:D6"/>
    <mergeCell ref="A4: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F2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R-A-2024-25-Madhya Pradesh_Rice Inbreds and Hybrids</v>
      </c>
      <c r="B2" s="19" t="str">
        <v>AOW04</v>
      </c>
      <c r="C2" s="18" t="str">
        <v>4.2.4 &amp; 4.3.3 &amp; 4.4.1 Tools and approaches for monitoring, reporting and verification (MRV)</v>
      </c>
      <c r="D2" s="19">
        <v>0</v>
      </c>
      <c r="E2" s="19" t="str">
        <f>=SUM(D2:D4)</f>
        <v>0</v>
      </c>
    </row>
    <row r="3" ht="30" customHeight="1">
      <c r="A3" s="18" t="str">
        <v>R-A-2024-25-Madhya Pradesh_Rice Inbreds and Hybrids</v>
      </c>
      <c r="B3" s="19" t="str">
        <v>AOW00</v>
      </c>
      <c r="C3" s="18" t="str">
        <v>New finance for just climate action and transitions</v>
      </c>
      <c r="D3" s="19">
        <v>0</v>
      </c>
    </row>
    <row r="4" ht="30" customHeight="1">
      <c r="A4" s="18" t="str">
        <v>R-A-2024-25-Madhya Pradesh_Rice Inbreds and Hybrids</v>
      </c>
      <c r="B4" s="19" t="str">
        <v>AOW05</v>
      </c>
      <c r="C4" s="18" t="str">
        <v>5.2. Enhanced capacity for designing, implementing and tracking climate policies, projects and financing</v>
      </c>
      <c r="D4" s="19">
        <v>356038</v>
      </c>
      <c r="F4" s="19" t="str">
        <v>None</v>
      </c>
    </row>
    <row r="5" ht="30" customHeight="1">
      <c r="A5" s="18" t="str">
        <v>R-A-2019-188-GCF Thailand</v>
      </c>
      <c r="B5" s="19" t="str">
        <v>AOW04</v>
      </c>
      <c r="C5" s="18" t="str">
        <v>4.2.4 &amp; 4.3.3 &amp; 4.4.1 Tools and approaches for monitoring, reporting and verification (MRV)</v>
      </c>
      <c r="D5" s="19">
        <v>335962</v>
      </c>
      <c r="E5" s="19" t="str">
        <f>=SUM(D5:D7)</f>
        <v>0</v>
      </c>
      <c r="F5" s="19" t="str">
        <v>None</v>
      </c>
    </row>
    <row r="6" ht="30" customHeight="1">
      <c r="A6" s="18" t="str">
        <v>R-A-2019-188-GCF Thailand</v>
      </c>
      <c r="B6" s="19" t="str">
        <v>AOW00</v>
      </c>
      <c r="C6" s="18" t="str">
        <v>New finance for just climate action and transitions</v>
      </c>
      <c r="D6" s="19">
        <v>0</v>
      </c>
    </row>
    <row r="7" ht="30" customHeight="1">
      <c r="A7" s="18" t="str">
        <v>R-A-2019-188-GCF Thailand</v>
      </c>
      <c r="B7" s="19" t="str">
        <v>AOW05</v>
      </c>
      <c r="C7" s="18" t="str">
        <v>5.2. Enhanced capacity for designing, implementing and tracking climate policies, projects and financing</v>
      </c>
      <c r="D7" s="19">
        <v>335961</v>
      </c>
      <c r="F7" s="19" t="str">
        <v>None</v>
      </c>
    </row>
    <row r="8" ht="30" customHeight="1">
      <c r="A8" s="18" t="str">
        <v>R-A-2024-18</v>
      </c>
      <c r="B8" s="19" t="str">
        <v>AOW04</v>
      </c>
      <c r="C8" s="18" t="str">
        <v>4.2.4 &amp; 4.3.3 &amp; 4.4.1 Tools and approaches for monitoring, reporting and verification (MRV)</v>
      </c>
      <c r="D8" s="19">
        <v>543879</v>
      </c>
      <c r="E8" s="19" t="str">
        <f>=SUM(D8:D9)</f>
        <v>0</v>
      </c>
      <c r="F8" s="19" t="str">
        <v>None</v>
      </c>
    </row>
    <row r="9" ht="30" customHeight="1">
      <c r="A9" s="18" t="str">
        <v>R-A-2024-18</v>
      </c>
      <c r="B9" s="19" t="str">
        <v>AOW00</v>
      </c>
      <c r="C9" s="18" t="str">
        <v>New finance for just climate action and transitions</v>
      </c>
      <c r="D9" s="19">
        <v>0</v>
      </c>
    </row>
    <row r="10" ht="30" customHeight="1">
      <c r="A10" s="18" t="str">
        <v>R-A-2022-80-REMET</v>
      </c>
      <c r="B10" s="19" t="str">
        <v>AOW04</v>
      </c>
      <c r="C10" s="18" t="str">
        <v>4.2.4 &amp; 4.3.3 &amp; 4.4.1 Tools and approaches for monitoring, reporting and verification (MRV)</v>
      </c>
      <c r="D10" s="19">
        <v>140112</v>
      </c>
      <c r="E10" s="19" t="str">
        <f>=SUM(D10:D11)</f>
        <v>0</v>
      </c>
      <c r="F10" s="19" t="str">
        <v>None</v>
      </c>
    </row>
    <row r="11" ht="30" customHeight="1">
      <c r="A11" s="18" t="str">
        <v>R-A-2022-80-REMET</v>
      </c>
      <c r="B11" s="19" t="str">
        <v>AOW00</v>
      </c>
      <c r="C11" s="18" t="str">
        <v>New finance for just climate action and transitions</v>
      </c>
      <c r="D11" s="19">
        <v>0</v>
      </c>
    </row>
    <row r="12" ht="30" customHeight="1">
      <c r="A12" s="18" t="str">
        <v>R-A-2024-191 AGRI</v>
      </c>
      <c r="B12" s="19" t="str">
        <v>AOW04</v>
      </c>
      <c r="C12" s="18" t="str">
        <v>4.2.4 &amp; 4.3.3 &amp; 4.4.1 Tools and approaches for monitoring, reporting and verification (MRV)</v>
      </c>
      <c r="D12" s="19">
        <v>317217</v>
      </c>
      <c r="E12" s="19" t="str">
        <f>=SUM(D12:D13)</f>
        <v>0</v>
      </c>
      <c r="F12" s="19" t="str">
        <v>None</v>
      </c>
    </row>
    <row r="13" ht="30" customHeight="1">
      <c r="A13" s="18" t="str">
        <v>R-A-2024-191 AGRI</v>
      </c>
      <c r="B13" s="19" t="str">
        <v>AOW00</v>
      </c>
      <c r="C13" s="18" t="str">
        <v>New finance for just climate action and transitions</v>
      </c>
      <c r="D13" s="19">
        <v>0</v>
      </c>
    </row>
    <row r="14" ht="30" customHeight="1">
      <c r="A14" s="18" t="str">
        <v>R-A-2023-24-ASEAN-CGIAR Innovate for Food Regional Program</v>
      </c>
      <c r="B14" s="19" t="str">
        <v>AOW00</v>
      </c>
      <c r="C14" s="18" t="str">
        <v>New finance for just climate action and transitions</v>
      </c>
      <c r="D14" s="19">
        <v>0</v>
      </c>
      <c r="E14" s="19" t="str">
        <f>=SUM(D14:D16)</f>
        <v>0</v>
      </c>
    </row>
    <row r="15" ht="30" customHeight="1">
      <c r="A15" s="18" t="str">
        <v>R-A-2023-24-ASEAN-CGIAR Innovate for Food Regional Program</v>
      </c>
      <c r="B15" s="19" t="str">
        <v>AOW05</v>
      </c>
      <c r="C15" s="18" t="str">
        <v>5.2. Enhanced capacity for designing, implementing and tracking climate policies, projects and financing</v>
      </c>
      <c r="D15" s="19">
        <v>0</v>
      </c>
    </row>
    <row r="16" ht="30" customHeight="1">
      <c r="A16" s="18" t="str">
        <v>R-A-2023-24-ASEAN-CGIAR Innovate for Food Regional Program</v>
      </c>
      <c r="B16" s="19" t="str">
        <v>AOW01</v>
      </c>
      <c r="C16" s="18" t="str">
        <v>1.1.1. &amp; 1.2.1 &amp; 1.3.1 Global and regional partnerships</v>
      </c>
      <c r="D16" s="19">
        <v>46398</v>
      </c>
      <c r="F16" s="19" t="str">
        <v>None</v>
      </c>
    </row>
    <row r="17" ht="30" customHeight="1">
      <c r="A17" s="18" t="str">
        <v>R-A-2022-118-Credits Offsetting Rice Emissions</v>
      </c>
      <c r="B17" s="19" t="str">
        <v>AOW00</v>
      </c>
      <c r="C17" s="18" t="str">
        <v>New finance for just climate action and transitions</v>
      </c>
      <c r="D17" s="19">
        <v>0</v>
      </c>
      <c r="E17" s="19" t="str">
        <f>=SUM(D17:D18)</f>
        <v>0</v>
      </c>
    </row>
    <row r="18" ht="30" customHeight="1">
      <c r="A18" s="18" t="str">
        <v>R-A-2022-118-Credits Offsetting Rice Emissions</v>
      </c>
      <c r="B18" s="19" t="str">
        <v>AOW03</v>
      </c>
      <c r="C18" s="18" t="str">
        <v>3.1.1. Institutional innovations and technical practices</v>
      </c>
      <c r="D18" s="19">
        <v>0</v>
      </c>
    </row>
    <row r="19" ht="30" customHeight="1">
      <c r="A19" s="18" t="str">
        <v>R-A-2024-19-ISARC Phase III</v>
      </c>
      <c r="B19" s="19" t="str">
        <v>AOW00</v>
      </c>
      <c r="C19" s="18" t="str">
        <v>New finance for just climate action and transitions</v>
      </c>
      <c r="D19" s="19">
        <v>0</v>
      </c>
      <c r="E19" s="19" t="str">
        <f>=SUM(D19:D21)</f>
        <v>0</v>
      </c>
    </row>
    <row r="20" ht="30" customHeight="1">
      <c r="A20" s="18" t="str">
        <v>R-A-2024-19-ISARC Phase III</v>
      </c>
      <c r="B20" s="19" t="str">
        <v>AOW05</v>
      </c>
      <c r="C20" s="18" t="str">
        <v>5.2. Enhanced capacity for designing, implementing and tracking climate policies, projects and financing</v>
      </c>
      <c r="D20" s="19">
        <v>383314</v>
      </c>
      <c r="F20" s="19" t="str">
        <v>None</v>
      </c>
    </row>
    <row r="21" ht="30" customHeight="1">
      <c r="A21" s="18" t="str">
        <v>R-A-2024-19-ISARC Phase III</v>
      </c>
      <c r="B21" s="19" t="str">
        <v>AOW01</v>
      </c>
      <c r="C21" s="18" t="str">
        <v>1.1.1. &amp; 1.2.1 &amp; 1.3.1 Global and regional partnerships</v>
      </c>
      <c r="D21" s="19">
        <v>383313</v>
      </c>
      <c r="F21" s="19" t="str">
        <v>None</v>
      </c>
    </row>
    <row r="22" ht="30" customHeight="1">
      <c r="A22" s="18" t="str">
        <v>R-A-2023-56</v>
      </c>
      <c r="B22" s="19" t="str">
        <v>AOW00</v>
      </c>
      <c r="C22" s="18" t="str">
        <v>New finance for just climate action and transitions</v>
      </c>
      <c r="D22" s="19">
        <v>0</v>
      </c>
      <c r="E22" s="19" t="str">
        <f>=SUM(D22:D23)</f>
        <v>0</v>
      </c>
    </row>
    <row r="23" ht="30" customHeight="1">
      <c r="A23" s="18" t="str">
        <v>R-A-2023-56</v>
      </c>
      <c r="B23" s="19" t="str">
        <v>AOW03</v>
      </c>
      <c r="C23" s="18" t="str">
        <v>3.1.1. Institutional innovations and technical practices</v>
      </c>
      <c r="D23" s="19">
        <v>34999</v>
      </c>
      <c r="F23" s="19" t="str">
        <v>None</v>
      </c>
    </row>
    <row r="24" ht="30" customHeight="1">
      <c r="A24" s="3" t="str">
        <v>W3/Bilateral projects subtotal</v>
      </c>
      <c r="E24" s="3">
        <f>SUM(E2:E23)</f>
      </c>
    </row>
  </sheetData>
  <mergeCells count="19">
    <mergeCell ref="A2:A4"/>
    <mergeCell ref="A5:A7"/>
    <mergeCell ref="A8:A9"/>
    <mergeCell ref="A10:A11"/>
    <mergeCell ref="A12:A13"/>
    <mergeCell ref="A14:A16"/>
    <mergeCell ref="A17:A18"/>
    <mergeCell ref="A19:A21"/>
    <mergeCell ref="A22:A23"/>
    <mergeCell ref="E2:E4"/>
    <mergeCell ref="E5:E7"/>
    <mergeCell ref="E8:E9"/>
    <mergeCell ref="E10:E11"/>
    <mergeCell ref="E12:E13"/>
    <mergeCell ref="E14:E16"/>
    <mergeCell ref="E17:E18"/>
    <mergeCell ref="E19:E21"/>
    <mergeCell ref="E22:E23"/>
    <mergeCell ref="A24:D24"/>
  </mergeCells>
  <ignoredErrors>
    <ignoredError numberStoredAsText="1" sqref="A1:F24"/>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v>
      </c>
      <c r="B2" s="19" t="str">
        <v>AOW00</v>
      </c>
      <c r="C2" s="18" t="str">
        <v xml:space="preserve">Use of climate adaptation or low-emissions solutions </v>
      </c>
      <c r="D2" s="19">
        <v>0</v>
      </c>
      <c r="E2" s="19" t="str">
        <f>=SUM(D2:D3)</f>
        <v>0</v>
      </c>
    </row>
    <row r="3" ht="30" customHeight="1">
      <c r="A3" s="18" t="str">
        <v>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v>
      </c>
      <c r="B3" s="19" t="str">
        <v>AOW02</v>
      </c>
      <c r="C3" s="18" t="str">
        <v>2.1 Organizations leverage and use participatory research approaches</v>
      </c>
      <c r="D3" s="19">
        <v>20000</v>
      </c>
      <c r="F3" s="19" t="str">
        <v xml:space="preserve">Use of climate adaptation or low-emissions solutions </v>
      </c>
    </row>
    <row r="4" ht="30" customHeight="1">
      <c r="A4" s="3" t="str">
        <v>MELIA Studies Budget subtotal</v>
      </c>
      <c r="E4" s="3">
        <f>SUM(E2:E3)</f>
      </c>
    </row>
  </sheetData>
  <mergeCells count="3">
    <mergeCell ref="A2:A3"/>
    <mergeCell ref="E2:E3"/>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75000</v>
      </c>
      <c r="F2" s="20">
        <v>90000</v>
      </c>
      <c r="G2" s="20">
        <v>45000</v>
      </c>
      <c r="H2" s="20" t="str">
        <f>=SUM(B2:G2)</f>
        <v>0</v>
      </c>
    </row>
    <row r="3" ht="20" customHeight="1">
      <c r="A3" s="20" t="str">
        <v>Operations (supplies, consultants, travels, workshops, other)</v>
      </c>
      <c r="B3" s="20">
        <v>0</v>
      </c>
      <c r="C3" s="20">
        <v>0</v>
      </c>
      <c r="D3" s="20">
        <v>39509</v>
      </c>
      <c r="E3" s="20">
        <v>94711</v>
      </c>
      <c r="F3" s="20">
        <v>22358</v>
      </c>
      <c r="G3" s="20">
        <v>60014</v>
      </c>
      <c r="H3" s="20" t="str">
        <f>=SUM(B3:G3)</f>
        <v>0</v>
      </c>
    </row>
    <row r="4" ht="20" customHeight="1">
      <c r="A4" s="20" t="str">
        <v>Staffing, Chargebacks and Indirect</v>
      </c>
      <c r="B4" s="20">
        <v>0</v>
      </c>
      <c r="C4" s="20">
        <v>80233</v>
      </c>
      <c r="D4" s="20">
        <v>110491</v>
      </c>
      <c r="E4" s="20">
        <v>265583</v>
      </c>
      <c r="F4" s="20">
        <v>322642</v>
      </c>
      <c r="G4" s="20">
        <v>94986</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