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Solutions and Innovations: Agroecology, Nature-positive, Regenerative and Nutrition-sensitive </v>
      </c>
      <c r="B5" s="2">
        <v>714</v>
      </c>
      <c r="C5" s="5">
        <v>132214</v>
      </c>
      <c r="D5" s="2">
        <v>6</v>
      </c>
      <c r="E5" s="5">
        <v>65932</v>
      </c>
      <c r="F5" s="2">
        <v>0</v>
      </c>
      <c r="G5" s="5">
        <v>0</v>
      </c>
      <c r="H5" s="2">
        <v>25</v>
      </c>
      <c r="I5" s="5">
        <v>93640</v>
      </c>
      <c r="J5" s="5">
        <v>0</v>
      </c>
      <c r="K5" s="5">
        <v>0</v>
      </c>
      <c r="L5" s="5">
        <v>291786</v>
      </c>
      <c r="M5" s="5">
        <v>0</v>
      </c>
    </row>
    <row r="6" ht="20" customHeight="1">
      <c r="A6" s="2" t="str">
        <v>AOW02: Landscape Optimization and Inclusive Planning</v>
      </c>
      <c r="B6" s="2">
        <v>8</v>
      </c>
      <c r="C6" s="5">
        <v>111737</v>
      </c>
      <c r="D6" s="2">
        <v>0</v>
      </c>
      <c r="E6" s="5">
        <v>0</v>
      </c>
      <c r="F6" s="2">
        <v>0</v>
      </c>
      <c r="G6" s="5">
        <v>0</v>
      </c>
      <c r="H6" s="2">
        <v>16</v>
      </c>
      <c r="I6" s="5">
        <v>58332</v>
      </c>
      <c r="J6" s="5">
        <v>0</v>
      </c>
      <c r="K6" s="5">
        <v>0</v>
      </c>
      <c r="L6" s="5">
        <v>170069</v>
      </c>
      <c r="M6" s="5">
        <v>0</v>
      </c>
    </row>
    <row r="7" ht="20" customHeight="1">
      <c r="A7" s="2" t="str">
        <v>AOW03: Business Models, Markets, and Sustainable Finance</v>
      </c>
      <c r="B7" s="2">
        <v>6</v>
      </c>
      <c r="C7" s="5">
        <v>91852</v>
      </c>
      <c r="D7" s="2">
        <v>3</v>
      </c>
      <c r="E7" s="5">
        <v>8646</v>
      </c>
      <c r="F7" s="2">
        <v>0</v>
      </c>
      <c r="G7" s="5">
        <v>0</v>
      </c>
      <c r="H7" s="2">
        <v>0</v>
      </c>
      <c r="I7" s="5">
        <v>0</v>
      </c>
      <c r="J7" s="5">
        <v>0</v>
      </c>
      <c r="K7" s="5">
        <v>0</v>
      </c>
      <c r="L7" s="5">
        <v>100498</v>
      </c>
      <c r="M7" s="5">
        <v>0</v>
      </c>
    </row>
    <row r="8" ht="20" customHeight="1">
      <c r="A8" s="2" t="str">
        <v>AOW04: Governance, Institutions, Policy, and Inclusion</v>
      </c>
      <c r="B8" s="2">
        <v>3</v>
      </c>
      <c r="C8" s="5">
        <v>40000</v>
      </c>
      <c r="D8" s="2">
        <v>16</v>
      </c>
      <c r="E8" s="5">
        <v>126899</v>
      </c>
      <c r="F8" s="2">
        <v>0</v>
      </c>
      <c r="G8" s="5">
        <v>0</v>
      </c>
      <c r="H8" s="2">
        <v>43</v>
      </c>
      <c r="I8" s="5">
        <v>101150</v>
      </c>
      <c r="J8" s="5">
        <v>0</v>
      </c>
      <c r="K8" s="5">
        <v>0</v>
      </c>
      <c r="L8" s="5">
        <v>268049</v>
      </c>
      <c r="M8" s="5">
        <v>0</v>
      </c>
    </row>
    <row r="9" ht="20" customHeight="1">
      <c r="A9" s="2" t="str">
        <v>AOW05: Performance Assessments &amp; Evidence Generation</v>
      </c>
      <c r="B9" s="2">
        <v>0</v>
      </c>
      <c r="C9" s="5">
        <v>0</v>
      </c>
      <c r="D9" s="2">
        <v>3</v>
      </c>
      <c r="E9" s="5">
        <v>11900</v>
      </c>
      <c r="F9" s="2">
        <v>0</v>
      </c>
      <c r="G9" s="5">
        <v>0</v>
      </c>
      <c r="H9" s="2">
        <v>0</v>
      </c>
      <c r="I9" s="5">
        <v>0</v>
      </c>
      <c r="J9" s="5">
        <v>0</v>
      </c>
      <c r="K9" s="5">
        <v>0</v>
      </c>
      <c r="L9" s="5">
        <v>11900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Other PMU Operations</v>
      </c>
      <c r="C2" s="11" t="str">
        <v>Travel and other operations budget for all PMU roles.</v>
      </c>
      <c r="D2" s="11">
        <v>0</v>
      </c>
    </row>
    <row r="3" ht="45" customHeight="1" xml:space="preserve">
      <c r="A3" s="11" t="str">
        <v>AOW00</v>
      </c>
      <c r="B3" s="11" t="str">
        <v>Area of Work (AoW) Leaders</v>
      </c>
      <c r="C3" s="11" t="str" xml:space="preserve">
        <v xml:space="preserve">Fixed amount of USD 80,000 per AoW lead, for five AoW leads (one per AoW).
</v>
      </c>
      <c r="D3" s="11">
        <v>0</v>
      </c>
    </row>
    <row r="4" ht="45" customHeight="1">
      <c r="A4" s="11" t="str">
        <v>AOW00</v>
      </c>
      <c r="B4" s="11" t="str">
        <v>Global Engagement Activities</v>
      </c>
      <c r="C4" s="11" t="str">
        <v>Staff and operations for global engagement activities.</v>
      </c>
      <c r="D4" s="11">
        <v>0</v>
      </c>
    </row>
    <row r="5" ht="45" customHeight="1">
      <c r="A5" s="11" t="str">
        <v>AOW00</v>
      </c>
      <c r="B5" s="11" t="str">
        <v>PMU Team</v>
      </c>
      <c r="C5" s="11" t="str">
        <v xml:space="preserve">Position costs for Coordination Focal Point, MELIA Focal Point, Finance Focal Point and Communications Focal Point. </v>
      </c>
      <c r="D5" s="11">
        <v>0</v>
      </c>
    </row>
    <row r="6" ht="45" customHeight="1">
      <c r="A6" s="11" t="str">
        <v>AOW00</v>
      </c>
      <c r="B6" s="11" t="str">
        <v>Shared Finance Support</v>
      </c>
      <c r="D6" s="11">
        <v>0</v>
      </c>
    </row>
    <row r="7" ht="45" customHeight="1">
      <c r="A7" s="11" t="str">
        <v>AOW00</v>
      </c>
      <c r="B7" s="11" t="str">
        <v>Program Director and Associated Costs</v>
      </c>
      <c r="C7" s="11" t="str">
        <v>Standard cost defined by System Office for Director, administrative support, meetings and workshops, travel, smaller consultancies, and miscellaneous operating costs.</v>
      </c>
      <c r="D7" s="11">
        <v>0</v>
      </c>
    </row>
    <row r="8" ht="45" customHeight="1">
      <c r="A8" s="11" t="str">
        <v>AOW00</v>
      </c>
      <c r="B8" s="11" t="str">
        <v>Program Director Discretionary Fund</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3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OP 1.1.1. – Bundles of farm-level solutions</v>
      </c>
      <c r="C3" s="11" t="str" xml:space="preserve">
        <v xml:space="preserve">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
</v>
      </c>
      <c r="D3" s="11" t="str">
        <v>Number of knowledge products</v>
      </c>
      <c r="E3" s="11" t="str">
        <v>Country: Tunisia, Ethiopia, India</v>
      </c>
      <c r="F3" s="11">
        <v>3</v>
      </c>
      <c r="G3" s="11">
        <v>40000</v>
      </c>
      <c r="H3" s="11">
        <f>SUM(G3:G7)</f>
      </c>
      <c r="I3" s="11" t="str">
        <v>.</v>
      </c>
    </row>
    <row r="4" ht="50" customHeight="1" xml:space="preserve">
      <c r="A4" s="11" t="str">
        <v>AOW01</v>
      </c>
      <c r="C4" s="11" t="str" xml:space="preserve">
        <v xml:space="preserve">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v>
      </c>
      <c r="D4" s="11" t="str">
        <v>Number of institutions prioritizing and validating restoration options</v>
      </c>
      <c r="E4" s="11" t="str">
        <v>Country: Tunisia</v>
      </c>
      <c r="F4" s="11">
        <v>13</v>
      </c>
      <c r="G4" s="11">
        <v>24140</v>
      </c>
      <c r="I4" s="11" t="str">
        <v>.</v>
      </c>
    </row>
    <row r="5" ht="50" customHeight="1" xml:space="preserve">
      <c r="A5" s="11" t="str">
        <v>AOW01</v>
      </c>
      <c r="C5" s="11" t="str" xml:space="preserve">
        <v xml:space="preserve">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 Number of agronomic assessments on forages and neglected crops performed</v>
      </c>
      <c r="D5" s="11" t="str">
        <v>Number of knowledge products</v>
      </c>
      <c r="E5" s="11" t="str">
        <v>Country: Tunisia</v>
      </c>
      <c r="F5" s="11">
        <v>2</v>
      </c>
      <c r="G5" s="11">
        <v>15932</v>
      </c>
      <c r="I5" s="11" t="str">
        <v>.</v>
      </c>
    </row>
    <row r="6" ht="50" customHeight="1" xml:space="preserve">
      <c r="A6" s="11" t="str">
        <v>AOW01</v>
      </c>
      <c r="C6" s="11" t="str" xml:space="preserve">
        <v xml:space="preserve">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v>
      </c>
      <c r="D6" s="11" t="str">
        <v>Number of innovations (innovation development)</v>
      </c>
      <c r="E6" s="11" t="str">
        <v>Country: Tunisia</v>
      </c>
      <c r="F6" s="11">
        <v>1</v>
      </c>
      <c r="G6" s="11">
        <v>17040</v>
      </c>
      <c r="I6" s="11" t="str">
        <v>.</v>
      </c>
    </row>
    <row r="7" ht="50" customHeight="1" xml:space="preserve">
      <c r="A7" s="11" t="str">
        <v>AOW01</v>
      </c>
      <c r="C7" s="11" t="str" xml:space="preserve">
        <v xml:space="preserve">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v>
      </c>
      <c r="D7" s="11" t="str">
        <v>Number of knowledge products</v>
      </c>
      <c r="E7" s="11" t="str">
        <v>Country: Tunisia</v>
      </c>
      <c r="F7" s="11">
        <v>1</v>
      </c>
      <c r="G7" s="11">
        <v>10000</v>
      </c>
      <c r="I7" s="11" t="str">
        <v>.</v>
      </c>
    </row>
    <row r="8" ht="50" customHeight="1" xml:space="preserve">
      <c r="A8" s="11" t="str">
        <v>AOW01</v>
      </c>
      <c r="B8" s="11" t="str">
        <v>OP 1.1.2. – Climate-smart adaptation &amp; mitigation bundles</v>
      </c>
      <c r="C8" s="11" t="str" xml:space="preserve">
        <v xml:space="preserve">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v>
      </c>
      <c r="D8" s="11" t="str">
        <v>Number of innovations (innovation development)</v>
      </c>
      <c r="E8" s="11" t="str">
        <v>Country: Tunisia</v>
      </c>
      <c r="F8" s="11">
        <v>5</v>
      </c>
      <c r="G8" s="11">
        <v>24140</v>
      </c>
      <c r="H8" s="11">
        <f>SUM(G8:G9)</f>
      </c>
      <c r="I8" s="11" t="str">
        <v>.</v>
      </c>
    </row>
    <row r="9" ht="50" customHeight="1" xml:space="preserve">
      <c r="A9" s="11" t="str">
        <v>AOW01</v>
      </c>
      <c r="C9" s="11" t="str" xml:space="preserve">
        <v xml:space="preserve">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strategies to enhance Ecosystem Services through Multifunctional Landscape value chains</v>
      </c>
      <c r="D9" s="11" t="str">
        <v>Number of innovations (innovation development)</v>
      </c>
      <c r="E9" s="11" t="str">
        <v>Country: Tunisia</v>
      </c>
      <c r="F9" s="11">
        <v>2</v>
      </c>
      <c r="G9" s="11">
        <v>17750</v>
      </c>
      <c r="I9" s="11" t="str">
        <v>.</v>
      </c>
    </row>
    <row r="10" ht="50" customHeight="1" xml:space="preserve">
      <c r="A10" s="11" t="str">
        <v>AOW01</v>
      </c>
      <c r="B10" s="11" t="str">
        <v>OP 1.1.3. – Common pool resource bundles</v>
      </c>
      <c r="C10" s="11" t="str" xml:space="preserve">
        <v xml:space="preserve">Deliverable -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v>
      </c>
      <c r="D10" s="11" t="str">
        <v>Number of innovations (innovation development)</v>
      </c>
      <c r="E10" s="11" t="str">
        <v>Country: Tunisia</v>
      </c>
      <c r="F10" s="11">
        <v>1</v>
      </c>
      <c r="G10" s="11">
        <v>14200</v>
      </c>
      <c r="H10" s="11">
        <f>SUM(G10:G12)</f>
      </c>
      <c r="I10" s="11" t="str">
        <v>.</v>
      </c>
    </row>
    <row r="11" ht="50" customHeight="1" xml:space="preserve">
      <c r="A11" s="11" t="str">
        <v>AOW01</v>
      </c>
      <c r="C11" s="11" t="str" xml:space="preserve">
        <v xml:space="preserve">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v>
      </c>
      <c r="D11" s="11" t="str">
        <v xml:space="preserve"> Number of green corridor areas with inclusive plans optimizing MFL</v>
      </c>
      <c r="E11" s="11" t="str">
        <v>Country: Tunisia</v>
      </c>
      <c r="F11" s="11">
        <v>2</v>
      </c>
      <c r="G11" s="11">
        <v>34000</v>
      </c>
      <c r="I11" s="11" t="str">
        <v>.</v>
      </c>
    </row>
    <row r="12" ht="50" customHeight="1" xml:space="preserve">
      <c r="A12" s="11" t="str">
        <v>AOW01</v>
      </c>
      <c r="C12" s="11" t="str" xml:space="preserve">
        <v xml:space="preserve">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v>
      </c>
      <c r="D12" s="11" t="str">
        <v>Number of innovations (innovation development)</v>
      </c>
      <c r="E12" s="11" t="str">
        <v>Country: Tunisia</v>
      </c>
      <c r="F12" s="11">
        <v>700</v>
      </c>
      <c r="G12" s="11">
        <v>17750</v>
      </c>
      <c r="I12" s="11" t="str">
        <v>.</v>
      </c>
    </row>
    <row r="13" ht="50" customHeight="1" xml:space="preserve">
      <c r="A13" s="11" t="str">
        <v>AOW01</v>
      </c>
      <c r="B13" s="11" t="str">
        <v>OP 1.2.5. – Nutrition-sensitive innovations</v>
      </c>
      <c r="C13" s="11" t="str" xml:space="preserve">
        <v xml:space="preserve">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 Number of farmer networks strengthened</v>
      </c>
      <c r="D13" s="11" t="str">
        <v>Number of innovations (innovation development)</v>
      </c>
      <c r="E13" s="11" t="str">
        <v>Country: Kenya, Ethiopia, India, Tunisia</v>
      </c>
      <c r="F13" s="11">
        <v>4</v>
      </c>
      <c r="G13" s="11">
        <v>35500</v>
      </c>
      <c r="H13" s="11">
        <f>SUM(G13:G13)</f>
      </c>
      <c r="I13" s="11" t="str">
        <v>.</v>
      </c>
    </row>
    <row r="14" ht="50" customHeight="1" xml:space="preserve">
      <c r="A14" s="11" t="str">
        <v>AOW01</v>
      </c>
      <c r="B14" s="11" t="str">
        <v>OP 1.2.6. – Advisory &amp; training innovations</v>
      </c>
      <c r="C14" s="11" t="str" xml:space="preserve">
        <v xml:space="preserve">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adapted advisory and training modules in rangeland restoration</v>
      </c>
      <c r="D14" s="11" t="str">
        <v xml:space="preserve"> Number of adapted advisory and training modules in rangeland restoration</v>
      </c>
      <c r="E14" s="11" t="str">
        <v>Country: Senegal, Ethiopia, Tanzania, United Republic, Kenya</v>
      </c>
      <c r="F14" s="11">
        <v>10</v>
      </c>
      <c r="G14" s="11">
        <v>35500</v>
      </c>
      <c r="H14" s="11">
        <f>SUM(G14:G15)</f>
      </c>
      <c r="I14" s="11" t="str">
        <v>.</v>
      </c>
    </row>
    <row r="15" ht="50" customHeight="1" xml:space="preserve">
      <c r="A15" s="11" t="str">
        <v>AOW01</v>
      </c>
      <c r="C15" s="11" t="str" xml:space="preserve">
        <v xml:space="preserve">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v>
      </c>
      <c r="D15" s="11" t="str">
        <v>Number of innovations (innovation development)</v>
      </c>
      <c r="E15" s="11" t="str">
        <v>Country: Tunisia</v>
      </c>
      <c r="F15" s="11">
        <v>1</v>
      </c>
      <c r="G15" s="11">
        <v>5834</v>
      </c>
      <c r="I15" s="11" t="str">
        <v>.</v>
      </c>
    </row>
    <row r="16" ht="25" customHeight="1">
      <c r="B16" s="14" t="str">
        <v>HLO budget subtotal</v>
      </c>
      <c r="H16" s="15">
        <f>SUM(H3:H15)</f>
      </c>
    </row>
    <row r="17" ht="50" customHeight="1" xml:space="preserve">
      <c r="A17" s="13" t="str">
        <v>AOW02</v>
      </c>
      <c r="B17" s="11" t="str">
        <v>OP 2.2.2. – Landscape visions &amp; co-developed plans</v>
      </c>
      <c r="C17" s="11" t="str" xml:space="preserve">
        <v xml:space="preserve">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
</v>
      </c>
      <c r="D17" s="11" t="str">
        <v>Number of innovations (innovation development)</v>
      </c>
      <c r="E17" s="11" t="str">
        <v>Country: Lao People's Democratic Republic, The Socialist Republic of Viet Nam, Ethiopia, Tanzania, United Republic, India, Senegal, Cambodia, Tunisia</v>
      </c>
      <c r="F17" s="11">
        <v>4</v>
      </c>
      <c r="G17" s="11">
        <v>39371</v>
      </c>
      <c r="H17" s="11">
        <f>SUM(G17:G18)</f>
      </c>
      <c r="I17" s="11" t="str">
        <v>.</v>
      </c>
    </row>
    <row r="18" ht="50" customHeight="1" xml:space="preserve">
      <c r="A18" s="11" t="str">
        <v>AOW02</v>
      </c>
      <c r="C18" s="11" t="str" xml:space="preserve">
        <v xml:space="preserve">Deliverable - Landscape Vision to Action (LV2A) Implementation – Tunisia: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v>
      </c>
      <c r="D18" s="11" t="str">
        <v>Number of multistakeholder processes</v>
      </c>
      <c r="E18" s="11" t="str">
        <v>Country: India, Peru, Tanzania, United Republic, Senegal, Colombia, Kenya, Zimbabwe, Tunisia</v>
      </c>
      <c r="F18" s="11">
        <v>1</v>
      </c>
      <c r="G18" s="11">
        <v>18412</v>
      </c>
      <c r="I18" s="11" t="str">
        <v>.</v>
      </c>
    </row>
    <row r="19" ht="50" customHeight="1" xml:space="preserve">
      <c r="A19" s="11" t="str">
        <v>AOW02</v>
      </c>
      <c r="B19" s="11" t="str">
        <v>OP 2.2.3. – Integrated planning &amp; scenarios</v>
      </c>
      <c r="C19" s="11" t="str" xml:space="preserve">
        <v xml:space="preserve">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bundles of innovations enhancing integrated land use planning for optimizing multifunctionality in LLs
</v>
      </c>
      <c r="D19" s="11" t="str">
        <v>Number of innovations (innovation development)</v>
      </c>
      <c r="E19" s="11" t="str">
        <v>Country: Tunisia</v>
      </c>
      <c r="F19" s="11">
        <v>1</v>
      </c>
      <c r="G19" s="11">
        <v>32815</v>
      </c>
      <c r="H19" s="11">
        <f>SUM(G19:G21)</f>
      </c>
      <c r="I19" s="11" t="str">
        <v>.</v>
      </c>
    </row>
    <row r="20" ht="50" customHeight="1" xml:space="preserve">
      <c r="A20" s="11" t="str">
        <v>AOW02</v>
      </c>
      <c r="C20" s="11" t="str" xml:space="preserve">
        <v xml:space="preserve">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v>
      </c>
      <c r="D20" s="11" t="str">
        <v xml:space="preserve"> Number of stakeholder groups involved in multifunctional integrated landscape planning in Tunisia</v>
      </c>
      <c r="E20" s="11" t="str">
        <v>Country: Tunisia</v>
      </c>
      <c r="F20" s="11">
        <v>15</v>
      </c>
      <c r="G20" s="11">
        <v>39920</v>
      </c>
      <c r="I20" s="11" t="str">
        <v>.</v>
      </c>
    </row>
    <row r="21" ht="50" customHeight="1" xml:space="preserve">
      <c r="A21" s="11" t="str">
        <v>AOW02</v>
      </c>
      <c r="C21" s="11" t="str" xml:space="preserve">
        <v xml:space="preserve">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
</v>
      </c>
      <c r="D21" s="11" t="str">
        <v>Number of innovations (innovation development)</v>
      </c>
      <c r="E21" s="11" t="str">
        <v>Country: India, Tunisia, Senegal, Ethiopia</v>
      </c>
      <c r="F21" s="11">
        <v>3</v>
      </c>
      <c r="G21" s="11">
        <v>39551</v>
      </c>
      <c r="I21" s="11" t="str">
        <v>.</v>
      </c>
    </row>
    <row r="22" ht="25" customHeight="1">
      <c r="B22" s="15" t="str">
        <v>HLO budget subtotal</v>
      </c>
      <c r="H22" s="15">
        <f>SUM(H17:H21)</f>
      </c>
    </row>
    <row r="23" ht="50" customHeight="1" xml:space="preserve">
      <c r="A23" s="13" t="str">
        <v>AOW03</v>
      </c>
      <c r="B23" s="11" t="str">
        <v>OP 3.2.2. Inclusive business models</v>
      </c>
      <c r="C23" s="11" t="str" xml:space="preserve">
        <v xml:space="preserve">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v>
      </c>
      <c r="D23" s="11" t="str">
        <v>Number of innovations (innovation development)</v>
      </c>
      <c r="E23" s="11" t="str">
        <v>Country: Tunisia</v>
      </c>
      <c r="F23" s="11">
        <v>3</v>
      </c>
      <c r="G23" s="11">
        <v>50392</v>
      </c>
      <c r="H23" s="11">
        <f>SUM(G23:G24)</f>
      </c>
      <c r="I23" s="11" t="str">
        <v>.</v>
      </c>
    </row>
    <row r="24" ht="50" customHeight="1" xml:space="preserve">
      <c r="A24" s="11" t="str">
        <v>AOW03</v>
      </c>
      <c r="C24" s="11" t="str" xml:space="preserve">
        <v xml:space="preserve">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v>
      </c>
      <c r="D24" s="11" t="str">
        <v>Number of knowledge products</v>
      </c>
      <c r="E24" s="11" t="str">
        <v>Country: Tunisia</v>
      </c>
      <c r="F24" s="11">
        <v>3</v>
      </c>
      <c r="G24" s="11">
        <v>8646</v>
      </c>
      <c r="I24" s="11" t="str">
        <v>.</v>
      </c>
    </row>
    <row r="25" ht="50" customHeight="1" xml:space="preserve">
      <c r="A25" s="11" t="str">
        <v>AOW03</v>
      </c>
      <c r="B25" s="11" t="str">
        <v>OP 3.3.4. Innovative sustainable finance instruments</v>
      </c>
      <c r="C25" s="11" t="str" xml:space="preserve">
        <v xml:space="preserve">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mechanism roadmaps developed to support scaling of agroecological business models</v>
      </c>
      <c r="D25" s="11" t="str">
        <v>Number of innovations (innovation development)</v>
      </c>
      <c r="E25" s="11" t="str">
        <v>Country: Tunisia</v>
      </c>
      <c r="F25" s="11">
        <v>3</v>
      </c>
      <c r="G25" s="11">
        <v>41460</v>
      </c>
      <c r="H25" s="11">
        <f>SUM(G25:G25)</f>
      </c>
      <c r="I25" s="11" t="str">
        <v>.</v>
      </c>
    </row>
    <row r="26" ht="25" customHeight="1">
      <c r="B26" s="15" t="str">
        <v>HLO budget subtotal</v>
      </c>
      <c r="H26" s="15">
        <f>SUM(H23:H25)</f>
      </c>
    </row>
    <row r="27" ht="50" customHeight="1" xml:space="preserve">
      <c r="A27" s="13" t="str">
        <v>AOW04</v>
      </c>
      <c r="B27" s="11" t="str">
        <v>OP 4.1.1. Inclusive governance architectures</v>
      </c>
      <c r="C27" s="11" t="str" xml:space="preserve">
        <v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v>
      </c>
      <c r="D27" s="11" t="str">
        <v>Number of knowledge products</v>
      </c>
      <c r="E27" s="11" t="str">
        <v>Country: Tunisia</v>
      </c>
      <c r="F27" s="11">
        <v>4</v>
      </c>
      <c r="G27" s="11">
        <v>46460</v>
      </c>
      <c r="H27" s="11">
        <f>SUM(G27:G28)</f>
      </c>
      <c r="I27" s="11" t="str">
        <v>.</v>
      </c>
    </row>
    <row r="28" ht="50" customHeight="1" xml:space="preserve">
      <c r="A28" s="11" t="str">
        <v>AOW04</v>
      </c>
      <c r="C28" s="11" t="str" xml:space="preserve">
        <v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v>
      </c>
      <c r="D28" s="11" t="str">
        <v>Number of knowledge products</v>
      </c>
      <c r="E28" s="11" t="str">
        <v>Country: Tunisia</v>
      </c>
      <c r="F28" s="11">
        <v>3</v>
      </c>
      <c r="G28" s="11">
        <v>64640</v>
      </c>
      <c r="I28" s="11" t="str">
        <v>.</v>
      </c>
    </row>
    <row r="29" ht="50" customHeight="1" xml:space="preserve">
      <c r="A29" s="11" t="str">
        <v>AOW04</v>
      </c>
      <c r="B29" s="11" t="str">
        <v>OP 4.1.2 GEYSI for co-creation and inclusive governance</v>
      </c>
      <c r="C29" s="11" t="str" xml:space="preserve">
        <v xml:space="preserve">Deliverable: Theatre productions addressing harmful gender norms around leadership, technology adoption and innovation adoption in MFL context. 
Indicator: Number of theatre productions addressing harmful gender norms implemented
</v>
      </c>
      <c r="D29" s="11" t="str">
        <v xml:space="preserve"> Number of artistic productions</v>
      </c>
      <c r="E29" s="11" t="str">
        <v>Country: Tunisia</v>
      </c>
      <c r="F29" s="11">
        <v>2</v>
      </c>
      <c r="G29" s="11">
        <v>47398</v>
      </c>
      <c r="H29" s="11">
        <f>SUM(G29:G29)</f>
      </c>
      <c r="I29" s="11" t="str">
        <v>.</v>
      </c>
    </row>
    <row r="30" ht="50" customHeight="1" xml:space="preserve">
      <c r="A30" s="11" t="str">
        <v>AOW04</v>
      </c>
      <c r="B30" s="11" t="str">
        <v>OP 4.2.1. Institutional, social and behavioral mechanisms</v>
      </c>
      <c r="C30" s="11" t="str" xml:space="preserve">
        <v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v>
      </c>
      <c r="D30" s="11" t="str">
        <v xml:space="preserve"> Number of engagement strategies</v>
      </c>
      <c r="E30" s="11" t="str">
        <v>Country: Peru, India, Tunisia, The Socialist Republic of Viet Nam</v>
      </c>
      <c r="F30" s="11">
        <v>1</v>
      </c>
      <c r="G30" s="11">
        <v>36460</v>
      </c>
      <c r="H30" s="11">
        <f>SUM(G30:G30)</f>
      </c>
      <c r="I30" s="11" t="str">
        <v>.</v>
      </c>
    </row>
    <row r="31" ht="50" customHeight="1" xml:space="preserve">
      <c r="A31" s="11" t="str">
        <v>AOW04</v>
      </c>
      <c r="B31" s="11" t="str">
        <v>OP 4.2.2. Demand driven capacity sharing for policy makers and landscape stakeholders</v>
      </c>
      <c r="C31" s="11" t="str" xml:space="preserve">
        <v xml:space="preserve">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
</v>
      </c>
      <c r="D31" s="11" t="str">
        <v>Number of innovations (innovation development)</v>
      </c>
      <c r="E31" s="11" t="str">
        <v>Country: Ethiopia, Tunisia, Kenya</v>
      </c>
      <c r="F31" s="11">
        <v>3</v>
      </c>
      <c r="G31" s="11">
        <v>40000</v>
      </c>
      <c r="H31" s="11">
        <f>SUM(G31:G32)</f>
      </c>
      <c r="I31" s="11" t="str">
        <v>.</v>
      </c>
    </row>
    <row r="32" ht="50" customHeight="1" xml:space="preserve">
      <c r="A32" s="11" t="str">
        <v>AOW04</v>
      </c>
      <c r="C32" s="11" t="str" xml:space="preserve">
        <v xml:space="preserve">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v>
      </c>
      <c r="D32" s="11" t="str">
        <v xml:space="preserve"> Number of actors engaged in CoP</v>
      </c>
      <c r="E32" s="11" t="str">
        <v>Global</v>
      </c>
      <c r="F32" s="11">
        <v>40</v>
      </c>
      <c r="G32" s="11">
        <v>17292</v>
      </c>
      <c r="I32" s="11" t="str">
        <v>.</v>
      </c>
    </row>
    <row r="33" ht="50" customHeight="1" xml:space="preserve">
      <c r="A33" s="11" t="str">
        <v>AOW04</v>
      </c>
      <c r="B33" s="11" t="str">
        <v>OP 4.3.2. Engagement frameworks and pilots</v>
      </c>
      <c r="C33" s="11" t="str" xml:space="preserve">
        <v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v>
      </c>
      <c r="D33" s="11" t="str">
        <v>Number of knowledge products</v>
      </c>
      <c r="E33" s="11" t="str">
        <v>Country: Peru, The Socialist Republic of Viet Nam, India, Tanzania, United Republic, Tunisia, Ethiopia, Zimbabwe, Cambodia, Lao People's Democratic Republic, Colombia, Senegal</v>
      </c>
      <c r="F33" s="11">
        <v>5</v>
      </c>
      <c r="G33" s="11">
        <v>15799</v>
      </c>
      <c r="H33" s="11">
        <f>SUM(G33:G34)</f>
      </c>
      <c r="I33" s="11" t="str">
        <v>.</v>
      </c>
    </row>
    <row r="34" ht="50" customHeight="1">
      <c r="A34" s="11" t="str">
        <v>AOW04</v>
      </c>
      <c r="C34" s="11" t="str">
        <v>Number of engagement frameworks developed for policy change, alignment, and institutional coordination for multifunctional landscapes</v>
      </c>
      <c r="D34" s="11" t="str">
        <v>Number of knowledge products</v>
      </c>
      <c r="E34" s="11" t="str">
        <v>Country: Tunisia, Peru, The Socialist Republic of Viet Nam, Cambodia, Tanzania, United Republic, Kenya, Zimbabwe, Senegal, Lao People's Democratic Republic, India, Colombia</v>
      </c>
      <c r="F34" s="11">
        <v>4</v>
      </c>
      <c r="G34" s="11">
        <v>0</v>
      </c>
    </row>
    <row r="35" ht="25" customHeight="1">
      <c r="B35" s="15" t="str">
        <v>HLO budget subtotal</v>
      </c>
      <c r="H35" s="15">
        <f>SUM(H27:H34)</f>
      </c>
    </row>
    <row r="36" ht="50" customHeight="1" xml:space="preserve">
      <c r="A36" s="13" t="str">
        <v>AOW05</v>
      </c>
      <c r="B36" s="11" t="str">
        <v>OP 5.1.3. Cross-CGIAR assessment frameworks of impact indicators</v>
      </c>
      <c r="C36" s="11" t="str" xml:space="preserve">
        <v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v>
      </c>
      <c r="D36" s="11" t="str">
        <v>Number of knowledge products</v>
      </c>
      <c r="E36" s="11" t="str">
        <v>Country: Ethiopia, Cambodia, The Socialist Republic of Viet Nam, Peru, Senegal, Kenya, Lao People's Democratic Republic, Zimbabwe, Colombia, Tunisia, India, Tanzania, United Republic</v>
      </c>
      <c r="F36" s="11">
        <v>3</v>
      </c>
      <c r="G36" s="11">
        <v>11900</v>
      </c>
      <c r="H36" s="11">
        <f>SUM(G36:G36)</f>
      </c>
      <c r="I36" s="11" t="str">
        <v>.</v>
      </c>
    </row>
    <row r="37" ht="25" customHeight="1">
      <c r="B37" s="15" t="str">
        <v>HLO budget subtotal</v>
      </c>
      <c r="H37" s="15">
        <f>SUM(H36:H36)</f>
      </c>
    </row>
  </sheetData>
  <mergeCells count="35">
    <mergeCell ref="A1:A2"/>
    <mergeCell ref="B1:B2"/>
    <mergeCell ref="C1:G1"/>
    <mergeCell ref="H1:H2"/>
    <mergeCell ref="I1:I2"/>
    <mergeCell ref="B3:B7"/>
    <mergeCell ref="H3:H7"/>
    <mergeCell ref="B8:B9"/>
    <mergeCell ref="H8:H9"/>
    <mergeCell ref="B10:B12"/>
    <mergeCell ref="H10:H12"/>
    <mergeCell ref="B14:B15"/>
    <mergeCell ref="H14:H15"/>
    <mergeCell ref="B16:G16"/>
    <mergeCell ref="A3:A16"/>
    <mergeCell ref="B17:B18"/>
    <mergeCell ref="H17:H18"/>
    <mergeCell ref="B19:B21"/>
    <mergeCell ref="H19:H21"/>
    <mergeCell ref="B22:G22"/>
    <mergeCell ref="A17:A22"/>
    <mergeCell ref="B23:B24"/>
    <mergeCell ref="H23:H24"/>
    <mergeCell ref="B26:G26"/>
    <mergeCell ref="A23:A26"/>
    <mergeCell ref="B27:B28"/>
    <mergeCell ref="H27:H28"/>
    <mergeCell ref="B31:B32"/>
    <mergeCell ref="H31:H32"/>
    <mergeCell ref="B33:B34"/>
    <mergeCell ref="H33:H34"/>
    <mergeCell ref="B35:G35"/>
    <mergeCell ref="A27:A35"/>
    <mergeCell ref="B37:G37"/>
    <mergeCell ref="A36:A37"/>
  </mergeCells>
  <ignoredErrors>
    <ignoredError numberStoredAsText="1" sqref="A1:I37"/>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Policy Change Analyses</v>
      </c>
      <c r="B2" s="19" t="str">
        <v>AOW04</v>
      </c>
      <c r="C2" s="18" t="str">
        <v>I-OC 4.2 Women, youth, Indigenous People and other marginalized groups shape planning, governance, market and nonmarket incentives</v>
      </c>
      <c r="D2" s="19">
        <v>0</v>
      </c>
      <c r="E2" s="19" t="str">
        <f>=SUM(D2:D4)</f>
        <v>0</v>
      </c>
    </row>
    <row r="3" ht="30" customHeight="1">
      <c r="A3" s="18" t="str">
        <v>Policy Change Analyses</v>
      </c>
      <c r="B3" s="19" t="str">
        <v>AOW00</v>
      </c>
      <c r="C3" s="18" t="str">
        <v>2030 OC-3 National and sub-national public actors, market and finance sector actors co-design, implement, and sustain coordinated, inclusive and coherent policy, institutional, organizational, market and non-market innovations</v>
      </c>
      <c r="D3" s="19">
        <v>0</v>
      </c>
    </row>
    <row r="4" ht="30" customHeight="1">
      <c r="A4" s="18" t="str">
        <v>Policy Change Analyses</v>
      </c>
      <c r="B4" s="19" t="str">
        <v>AOW02</v>
      </c>
      <c r="C4" s="18" t="str">
        <v>I-OC 2 Landscape stakeholder groups take-up multifunctional landscapes science, evidence and inclusive processess</v>
      </c>
      <c r="D4" s="19">
        <v>0</v>
      </c>
    </row>
    <row r="5" ht="30" customHeight="1">
      <c r="A5" s="3" t="str">
        <v>MELIA Studies Budget subtotal</v>
      </c>
      <c r="E5" s="3">
        <f>SUM(E2:E4)</f>
      </c>
    </row>
  </sheetData>
  <mergeCells count="3">
    <mergeCell ref="A2:A4"/>
    <mergeCell ref="E2:E4"/>
    <mergeCell ref="A5:D5"/>
  </mergeCells>
  <ignoredErrors>
    <ignoredError numberStoredAsText="1" sqref="A1:F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70000</v>
      </c>
      <c r="C2" s="20">
        <v>0</v>
      </c>
      <c r="D2" s="20">
        <v>0</v>
      </c>
      <c r="E2" s="20">
        <v>0</v>
      </c>
      <c r="F2" s="20">
        <v>0</v>
      </c>
      <c r="G2" s="20">
        <v>0</v>
      </c>
      <c r="H2" s="20" t="str">
        <f>=SUM(B2:G2)</f>
        <v>0</v>
      </c>
    </row>
    <row r="3" ht="20" customHeight="1">
      <c r="A3" s="20" t="str">
        <v>Operations (supplies, consultants, travels, workshops, other)</v>
      </c>
      <c r="B3" s="20">
        <v>39055</v>
      </c>
      <c r="C3" s="20">
        <v>145893</v>
      </c>
      <c r="D3" s="20">
        <v>84491</v>
      </c>
      <c r="E3" s="20">
        <v>50249</v>
      </c>
      <c r="F3" s="20">
        <v>134024</v>
      </c>
      <c r="G3" s="20">
        <v>0</v>
      </c>
      <c r="H3" s="20" t="str">
        <f>=SUM(B3:G3)</f>
        <v>0</v>
      </c>
    </row>
    <row r="4" ht="20" customHeight="1">
      <c r="A4" s="20" t="str">
        <v>Staffing, Chargebacks and Indirect</v>
      </c>
      <c r="B4" s="20">
        <v>42320</v>
      </c>
      <c r="C4" s="20">
        <v>145893</v>
      </c>
      <c r="D4" s="20">
        <v>85578</v>
      </c>
      <c r="E4" s="20">
        <v>50249</v>
      </c>
      <c r="F4" s="20">
        <v>134025</v>
      </c>
      <c r="G4" s="20">
        <v>11900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