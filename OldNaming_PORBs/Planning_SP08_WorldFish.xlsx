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Future Food Systems Lab</v>
      </c>
      <c r="B5" s="2">
        <v>0</v>
      </c>
      <c r="C5" s="5">
        <v>0</v>
      </c>
      <c r="D5" s="2">
        <v>2</v>
      </c>
      <c r="E5" s="5">
        <v>20000</v>
      </c>
      <c r="F5" s="2">
        <v>0</v>
      </c>
      <c r="G5" s="5">
        <v>0</v>
      </c>
      <c r="H5" s="2">
        <v>0</v>
      </c>
      <c r="I5" s="5">
        <v>0</v>
      </c>
      <c r="J5" s="5">
        <v>0</v>
      </c>
      <c r="K5" s="5">
        <v>0</v>
      </c>
      <c r="L5" s="5">
        <v>20000</v>
      </c>
      <c r="M5" s="5">
        <v>0</v>
      </c>
    </row>
    <row r="6" ht="20" customHeight="1">
      <c r="A6" s="2" t="str">
        <v>AOW02: Fragile and Conflict-affected Food Systems</v>
      </c>
      <c r="B6" s="2">
        <v>0</v>
      </c>
      <c r="C6" s="5">
        <v>0</v>
      </c>
      <c r="D6" s="2">
        <v>0</v>
      </c>
      <c r="E6" s="5">
        <v>0</v>
      </c>
      <c r="F6" s="2">
        <v>0</v>
      </c>
      <c r="G6" s="5">
        <v>0</v>
      </c>
      <c r="H6" s="2">
        <v>0</v>
      </c>
      <c r="I6" s="5">
        <v>0</v>
      </c>
      <c r="J6" s="5">
        <v>0</v>
      </c>
      <c r="K6" s="5">
        <v>0</v>
      </c>
      <c r="L6" s="5">
        <v>0</v>
      </c>
      <c r="M6" s="5">
        <v>0</v>
      </c>
    </row>
    <row r="7" ht="20" customHeight="1">
      <c r="A7" s="2" t="str">
        <v>AOW03: Urban Food Systems</v>
      </c>
      <c r="B7" s="2">
        <v>0</v>
      </c>
      <c r="C7" s="5">
        <v>0</v>
      </c>
      <c r="D7" s="2">
        <v>0</v>
      </c>
      <c r="E7" s="5">
        <v>0</v>
      </c>
      <c r="F7" s="2">
        <v>0</v>
      </c>
      <c r="G7" s="5">
        <v>0</v>
      </c>
      <c r="H7" s="2">
        <v>0</v>
      </c>
      <c r="I7" s="5">
        <v>0</v>
      </c>
      <c r="J7" s="5">
        <v>0</v>
      </c>
      <c r="K7" s="5">
        <v>0</v>
      </c>
      <c r="L7" s="5">
        <v>0</v>
      </c>
      <c r="M7" s="5">
        <v>0</v>
      </c>
    </row>
    <row r="8" ht="20" customHeight="1">
      <c r="A8" s="2" t="str">
        <v>AOW04: Island Food Systems</v>
      </c>
      <c r="B8" s="2">
        <v>5</v>
      </c>
      <c r="C8" s="5">
        <v>99999</v>
      </c>
      <c r="D8" s="2">
        <v>35</v>
      </c>
      <c r="E8" s="5">
        <v>385000</v>
      </c>
      <c r="F8" s="2">
        <v>270</v>
      </c>
      <c r="G8" s="5">
        <v>230000</v>
      </c>
      <c r="H8" s="2">
        <v>24</v>
      </c>
      <c r="I8" s="5">
        <v>218395</v>
      </c>
      <c r="J8" s="5">
        <v>700000</v>
      </c>
      <c r="K8" s="5">
        <v>0</v>
      </c>
      <c r="L8" s="5">
        <v>1633394</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9"/>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Flexible funding available to the Program Director to respond to emerging priorities, fill gaps, and address strategic program-level matters</v>
      </c>
      <c r="D2" s="11">
        <v>0</v>
      </c>
    </row>
    <row r="3" ht="45" customHeight="1">
      <c r="A3" s="11" t="str">
        <v>AOW00</v>
      </c>
      <c r="B3" s="11" t="str">
        <v>Program Level Communication</v>
      </c>
      <c r="C3" s="11" t="str">
        <v>Delivery of the program level 2026 Communications Strategy</v>
      </c>
      <c r="D3" s="11">
        <v>0</v>
      </c>
    </row>
    <row r="4" ht="45" customHeight="1">
      <c r="A4" s="11" t="str">
        <v>AOW00</v>
      </c>
      <c r="B4" s="11" t="str">
        <v>PMU Team</v>
      </c>
      <c r="C4" s="11" t="str">
        <v>FTE support for the Program Coordinator, MELIA Focal Point, Communications Focal point, including centralized assistance for Finance.</v>
      </c>
      <c r="D4" s="11">
        <v>0</v>
      </c>
    </row>
    <row r="5" ht="45" customHeight="1">
      <c r="A5" s="11" t="str">
        <v>AOW00</v>
      </c>
      <c r="B5" s="11" t="str">
        <v xml:space="preserve">Program Director and Associated costs </v>
      </c>
      <c r="C5" s="11" t="str">
        <v>Program Director FTE, administrative support, meeting and workshop coordination, travel, short-term consultancies, and various operational expenses</v>
      </c>
      <c r="D5" s="11">
        <v>0</v>
      </c>
    </row>
    <row r="6" ht="45" customHeight="1">
      <c r="A6" s="11" t="str">
        <v>AOW00</v>
      </c>
      <c r="B6" s="11" t="str">
        <v>Area of Work (AoW) Leaders</v>
      </c>
      <c r="C6" s="11" t="str">
        <v>Four AoW Lead FTEs</v>
      </c>
      <c r="D6" s="11">
        <v>0</v>
      </c>
    </row>
    <row r="7" ht="45" customHeight="1">
      <c r="A7" s="11" t="str">
        <v>AOW00</v>
      </c>
      <c r="B7" s="11" t="str">
        <v>Program Leadership Meetings</v>
      </c>
      <c r="C7" s="11" t="str">
        <v>In-person leadership sessions for planning, oversight, and progress review, including an annual pause and reflect meeting.</v>
      </c>
      <c r="D7" s="11">
        <v>0</v>
      </c>
    </row>
    <row r="8" ht="45" customHeight="1">
      <c r="A8" s="11" t="str">
        <v>AOW00</v>
      </c>
      <c r="B8" s="11" t="str">
        <v>Program Level MELIA Activities</v>
      </c>
      <c r="C8" s="11" t="str">
        <v>Execution of 2026 MELIA activities based on the Program MELIA Plan</v>
      </c>
      <c r="D8" s="11">
        <v>0</v>
      </c>
    </row>
    <row r="9" ht="45" customHeight="1">
      <c r="A9" s="11" t="str">
        <v>AOW00</v>
      </c>
      <c r="B9" s="11" t="str">
        <v>Centralized Finance Support</v>
      </c>
      <c r="C9" s="11" t="str">
        <v xml:space="preserve">SO- Shared finance support arrangement </v>
      </c>
      <c r="D9" s="11">
        <v>0</v>
      </c>
    </row>
  </sheetData>
  <mergeCells count="1">
    <mergeCell ref="A2:A9"/>
  </mergeCells>
  <ignoredErrors>
    <ignoredError numberStoredAsText="1" sqref="A1:E9"/>
  </ignoredErrors>
</worksheet>
</file>

<file path=xl/worksheets/sheet3.xml><?xml version="1.0" encoding="utf-8"?>
<worksheet xmlns="http://schemas.openxmlformats.org/spreadsheetml/2006/main" xmlns:r="http://schemas.openxmlformats.org/officeDocument/2006/relationships">
  <dimension ref="A1:I5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1.2.2 Evidence Synthesis and Adaptive Learning</v>
      </c>
      <c r="C3" s="11" t="str">
        <v xml:space="preserve">This deliverable will identify key alt-food production systems and assess their impacts on food systems, small-scale agriculturalists, pastoralists and fisherfolk. Internal CGIAR dialogues will be held to analyze fit with CGIAR impact areas and identify strategies to develop future research capacity on ‘frontier foods’. </v>
      </c>
      <c r="D3" s="11" t="str">
        <v>Number of knowledge products</v>
      </c>
      <c r="E3" s="11" t="str">
        <v>Country: The Republic of the Sudan, Jordan, Nigeria, Kenya, Timor-Leste, Pakistan, Mali, Ethiopia, Papua New Guinea, Somalia, Yemen, Solomon Islands, Jamaica, Mozambique, Philippines, Bangladesh, Peru, Burkina Faso, Ghana</v>
      </c>
      <c r="F3" s="11">
        <v>2</v>
      </c>
      <c r="G3" s="11">
        <v>20000</v>
      </c>
      <c r="H3" s="11">
        <f>SUM(G3:G3)</f>
      </c>
      <c r="I3" s="11" t="str" xml:space="preserve">
        <v xml:space="preserve">The CGIAR’s mission and values provide a basis for assessing if ‘frontier’ agrifood systems can be developed with nutrition and health, sustainability and climate-resilience and justice, equity, diversity and inclusion to the fore. A CGIAR perspective on novel and emergent foods and food production systems will provide a basis for appropriate public-sector support and/or regulation CGIAR and partners have an interest in and capacity for horizon-scanning (‘frontier’) research to complement their focus on scaling proven innovations 
</v>
      </c>
    </row>
    <row r="4" ht="25" customHeight="1">
      <c r="B4" s="14" t="str">
        <v>HLO budget subtotal</v>
      </c>
      <c r="H4" s="15">
        <f>SUM(H3:H3)</f>
      </c>
    </row>
    <row r="5" ht="50" customHeight="1">
      <c r="A5" s="13" t="str">
        <v>AOW04</v>
      </c>
      <c r="B5" s="11" t="str">
        <v>4.1.1 SUSTAINABILITY</v>
      </c>
      <c r="C5" s="11" t="str">
        <v>Capacity strengthening of genebanks to conserve vegetable genetic resources</v>
      </c>
      <c r="D5" s="11" t="str">
        <v xml:space="preserve"> Number of capacity sharing events with Pacific genebank operators</v>
      </c>
      <c r="E5" s="11" t="str">
        <v>Country: Timor-Leste, Solomon Islands, Papua New Guinea</v>
      </c>
      <c r="F5" s="11">
        <v>3</v>
      </c>
      <c r="G5" s="11">
        <v>3333</v>
      </c>
      <c r="H5" s="11">
        <f>SUM(G5:G17)</f>
      </c>
      <c r="I5" s="11" t="str">
        <v>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v>
      </c>
    </row>
    <row r="6" ht="50" customHeight="1">
      <c r="A6" s="11" t="str">
        <v>AOW04</v>
      </c>
      <c r="C6" s="11" t="str">
        <v>Report on Island future fellows impacts and lessons learned for immersive curriculums in the Pacific</v>
      </c>
      <c r="D6" s="11" t="str">
        <v>Number of knowledge products</v>
      </c>
      <c r="E6" s="11" t="str">
        <v>Country: Solomon Islands</v>
      </c>
      <c r="F6" s="11">
        <v>1</v>
      </c>
      <c r="G6" s="11">
        <v>13333</v>
      </c>
      <c r="I6" s="11" t="str">
        <v>This budget covers the production costs for one knowledge product—a report documenting the impacts and lessons learned from the Island Future Fellows program regarding immersive curriculums in the Solomon Islands.</v>
      </c>
    </row>
    <row r="7" ht="50" customHeight="1">
      <c r="A7" s="11" t="str">
        <v>AOW04</v>
      </c>
      <c r="C7" s="11" t="str">
        <v>Community members, including youth, trained on practices that support resilient island food systems</v>
      </c>
      <c r="D7" s="11" t="str">
        <v>Number of people trained (capacity sharing for development)</v>
      </c>
      <c r="E7" s="11" t="str">
        <v>Country: Solomon Islands</v>
      </c>
      <c r="F7" s="11">
        <v>200</v>
      </c>
      <c r="G7" s="11">
        <v>23333</v>
      </c>
      <c r="I7" s="11" t="str">
        <v xml:space="preserve">The budget assumes sufficient staff and operational resources to train community members, including youth, on practices that strengthen resilient island food systems. Costs reflect standard rates for training delivery, materials, and participant outreach </v>
      </c>
    </row>
    <row r="8" ht="50" customHeight="1">
      <c r="A8" s="11" t="str">
        <v>AOW04</v>
      </c>
      <c r="C8" s="11" t="str">
        <v>Expanded demonstration sites and facilities at Nusatupe</v>
      </c>
      <c r="D8" s="11" t="str">
        <v>Number of innovations (innovation development)</v>
      </c>
      <c r="E8" s="11" t="str">
        <v>Country: Solomon Islands</v>
      </c>
      <c r="F8" s="11">
        <v>3</v>
      </c>
      <c r="G8" s="11">
        <v>23333</v>
      </c>
      <c r="I8" s="11" t="str">
        <v>The budget assumes adequate staffing and operational resources to expand demonstration sites and facilities at Nusatupe, with sufficient field support to train and engage men, women, and youth. Costs are based on standard rates for site development, commu</v>
      </c>
    </row>
    <row r="9" ht="50" customHeight="1">
      <c r="A9" s="11" t="str">
        <v>AOW04</v>
      </c>
      <c r="C9" s="11" t="str">
        <v>Island food future fellows enrolled and concluding fellowships at Nusatupe</v>
      </c>
      <c r="D9" s="11" t="str">
        <v>Number of people trained (capacity sharing for development)</v>
      </c>
      <c r="E9" s="11" t="str">
        <v>Country: Solomon Islands</v>
      </c>
      <c r="F9" s="11">
        <v>20</v>
      </c>
      <c r="G9" s="11">
        <v>26667</v>
      </c>
      <c r="I9" s="11" t="str">
        <v>Includes resourcing of Solomon Islands National University for including Nusatupe into national curriculum on Island Food Fellows</v>
      </c>
    </row>
    <row r="10" ht="50" customHeight="1">
      <c r="A10" s="11" t="str">
        <v>AOW04</v>
      </c>
      <c r="C10" s="11" t="str">
        <v>Journal article on fish in school meals in Timor-Leste</v>
      </c>
      <c r="D10" s="11" t="str">
        <v>Number of knowledge products</v>
      </c>
      <c r="E10" s="11" t="str">
        <v>Country: Timor-Leste</v>
      </c>
      <c r="F10" s="11">
        <v>2</v>
      </c>
      <c r="G10" s="11">
        <v>16667</v>
      </c>
      <c r="I10" s="11" t="str">
        <v>The budget assumes sufficient technical staff time for research, analysis, and writing of the journal article on fish in school meals in Timor-Leste, with operational costs covering data access, peer review processes, and publication fees.</v>
      </c>
    </row>
    <row r="11" ht="50" customHeight="1">
      <c r="A11" s="11" t="str">
        <v>AOW04</v>
      </c>
      <c r="C11" s="11" t="str">
        <v>Multi-sector training events and workshops for nutrition-sensitive fisheries and agriculture extension services and school meal programming</v>
      </c>
      <c r="D11" s="11" t="str">
        <v xml:space="preserve"> Multi-sector training events and workshops for nutrition-sensitive fisheries and agriculture extension services and school meal programming</v>
      </c>
      <c r="E11" s="11" t="str">
        <v>Country: Timor-Leste</v>
      </c>
      <c r="F11" s="11">
        <v>3</v>
      </c>
      <c r="G11" s="11">
        <v>16667</v>
      </c>
      <c r="I11" s="11" t="str">
        <v>The budget assumes adequate technical and coordination staff to deliver training workshops and to engage partners and funders, with operational costs based on standard rates. Staffing is also sufficient to monitor progress on policy changes and support co</v>
      </c>
    </row>
    <row r="12" ht="50" customHeight="1">
      <c r="A12" s="11" t="str">
        <v>AOW04</v>
      </c>
      <c r="C12" s="11" t="str">
        <v>Regional policy materials on Pacific island food futures</v>
      </c>
      <c r="D12" s="11" t="str">
        <v>Number of knowledge products</v>
      </c>
      <c r="E12" s="11" t="str">
        <v>Country: Timor-Leste, Solomon Islands</v>
      </c>
      <c r="F12" s="11">
        <v>20</v>
      </c>
      <c r="G12" s="11">
        <v>11666</v>
      </c>
      <c r="I12" s="11" t="str">
        <v>Includes resourcing of Solomon Islands National University for regional policy contributions</v>
      </c>
    </row>
    <row r="13" ht="50" customHeight="1">
      <c r="A13" s="11" t="str">
        <v>AOW04</v>
      </c>
      <c r="C13" s="11" t="str">
        <v>Island Foods Masterclass with Indigenous tok stori session in Solomon Islands</v>
      </c>
      <c r="D13" s="11" t="str">
        <v xml:space="preserve"> Island Foods Masterclass with Indigenous tok stori session in Solomon Islands</v>
      </c>
      <c r="E13" s="11" t="str">
        <v>Country: Solomon Islands</v>
      </c>
      <c r="F13" s="11">
        <v>15</v>
      </c>
      <c r="G13" s="11">
        <v>18333</v>
      </c>
      <c r="I13" s="11" t="str">
        <v>Includes resourcing of Solomon Islands National University for convening Island Foods Masterclass</v>
      </c>
    </row>
    <row r="14" ht="50" customHeight="1">
      <c r="A14" s="11" t="str">
        <v>AOW04</v>
      </c>
      <c r="C14" s="11" t="str">
        <v>Safeguarding vegetable genetic resources in the Pacific</v>
      </c>
      <c r="D14" s="11" t="str">
        <v>Number of knowledge products</v>
      </c>
      <c r="E14" s="11" t="str">
        <v>Country: Solomon Islands, Papua New Guinea, Timor-Leste</v>
      </c>
      <c r="F14" s="11">
        <v>5</v>
      </c>
      <c r="G14" s="11">
        <v>3333</v>
      </c>
      <c r="I14" s="11" t="str">
        <v>WolrdFish have &gt;50 staff in Timor-Leste and Solomon Islands, whereof 15 are engaged full time in servicing national priorities to strengthen CBRM with rich sources of data and knowledge accumulated.</v>
      </c>
    </row>
    <row r="15" ht="50" customHeight="1">
      <c r="A15" s="11" t="str">
        <v>AOW04</v>
      </c>
      <c r="C15" s="11" t="str">
        <v>Critical Capability_CIP: Capacity strengthening of genebanks to conserve vegetable genetic resources</v>
      </c>
      <c r="D15" s="11" t="str">
        <v>Number of capacity sharing events with Pacific genebank operators and other national genebanks</v>
      </c>
      <c r="E15" s="11" t="str">
        <v>Country: Papua New Guinea, Timor-Leste, Solomon Islands</v>
      </c>
      <c r="F15" s="11">
        <v>3</v>
      </c>
      <c r="G15" s="11">
        <v>0</v>
      </c>
    </row>
    <row r="16" ht="50" customHeight="1">
      <c r="A16" s="11" t="str">
        <v>AOW04</v>
      </c>
      <c r="C16" s="11" t="str">
        <v>Comparative analyses of community-based resource management in Solomon Islands and Timor-Leste</v>
      </c>
      <c r="D16" s="11" t="str">
        <v>Number of knowledge products</v>
      </c>
      <c r="E16" s="11" t="str">
        <v>Country: Timor-Leste, Solomon Islands</v>
      </c>
      <c r="F16" s="11">
        <v>2</v>
      </c>
      <c r="G16" s="11">
        <v>33333</v>
      </c>
      <c r="I16" s="11" t="str">
        <v>WolrdFish have &gt;50 staff in Timor-Leste and Solomon Islands, whereof 15 are engaged full time in servicing national priorities to strenghten CBRM with rich sources of data and knowledge accumulated. This is a credible platform to convene a comparative ana</v>
      </c>
    </row>
    <row r="17" ht="50" customHeight="1">
      <c r="A17" s="11" t="str">
        <v>AOW04</v>
      </c>
      <c r="C17" s="11" t="str">
        <v>Pacific Community (SPC) integration with fisheries and genebanks capacity sharing</v>
      </c>
      <c r="D17" s="11" t="str">
        <v>Number of knowledge products</v>
      </c>
      <c r="E17" s="11" t="str">
        <v>Country: Timor-Leste, Solomon Islands, Papua New Guinea</v>
      </c>
      <c r="F17" s="11">
        <v>3</v>
      </c>
      <c r="G17" s="11">
        <v>30000</v>
      </c>
      <c r="I17" s="11" t="str">
        <v>Significant investment into SPC partnership relating to their Land Resources Division overseeing CePsCT - the regional genebank - as well as other fisheries related aspects of SPC. This deliverable buils on the updated MoU between WorldFish and SPC, it is</v>
      </c>
    </row>
    <row r="18" ht="50" customHeight="1">
      <c r="A18" s="11" t="str">
        <v>AOW04</v>
      </c>
      <c r="B18" s="11" t="str">
        <v>4.1.4 CAPACITY</v>
      </c>
      <c r="C18" s="11" t="str">
        <v>Capacity strengthening of genebanks to conserve vegetable genetic resources</v>
      </c>
      <c r="D18" s="11" t="str">
        <v xml:space="preserve"> Number of capacity sharing events with Pacific genebank operators</v>
      </c>
      <c r="E18" s="11" t="str">
        <v>Country: Timor-Leste, Solomon Islands, Papua New Guinea</v>
      </c>
      <c r="F18" s="11">
        <v>3</v>
      </c>
      <c r="G18" s="11">
        <v>3333</v>
      </c>
      <c r="H18" s="11">
        <f>SUM(G18:G26)</f>
      </c>
      <c r="I18" s="11" t="str">
        <v>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v>
      </c>
    </row>
    <row r="19" ht="50" customHeight="1">
      <c r="A19" s="11" t="str">
        <v>AOW04</v>
      </c>
      <c r="C19" s="11" t="str">
        <v>Report on Island future fellows impacts and lessons learned for immersive curriculums in the Pacific</v>
      </c>
      <c r="D19" s="11" t="str">
        <v>Number of knowledge products</v>
      </c>
      <c r="E19" s="11" t="str">
        <v>Country: Solomon Islands</v>
      </c>
      <c r="F19" s="11">
        <v>1</v>
      </c>
      <c r="G19" s="11">
        <v>13333</v>
      </c>
      <c r="I19" s="11" t="str">
        <v>This budget covers the production costs for one knowledge product—a report documenting the impacts and lessons learned from the Island Future Fellows program regarding immersive curriculums in the Solomon Islands.</v>
      </c>
    </row>
    <row r="20" ht="50" customHeight="1">
      <c r="A20" s="11" t="str">
        <v>AOW04</v>
      </c>
      <c r="C20" s="11" t="str">
        <v>Community members, including youth, trained on practices that support resilient island food systems</v>
      </c>
      <c r="D20" s="11" t="str">
        <v>Number of people trained (capacity sharing for development)</v>
      </c>
      <c r="E20" s="11" t="str">
        <v>Country: Solomon Islands</v>
      </c>
      <c r="F20" s="11">
        <v>200</v>
      </c>
      <c r="G20" s="11">
        <v>23333</v>
      </c>
      <c r="I20" s="11" t="str">
        <v xml:space="preserve">The budget assumes sufficient staff and operational resources to train community members, including youth, on practices that strengthen resilient island food systems. Costs reflect standard rates for training delivery, materials, and participant outreach </v>
      </c>
    </row>
    <row r="21" ht="50" customHeight="1">
      <c r="A21" s="11" t="str">
        <v>AOW04</v>
      </c>
      <c r="C21" s="11" t="str">
        <v>Expanded demonstration sites and facilities at Nusatupe</v>
      </c>
      <c r="D21" s="11" t="str">
        <v>Number of innovations (innovation development)</v>
      </c>
      <c r="E21" s="11" t="str">
        <v>Country: Solomon Islands</v>
      </c>
      <c r="F21" s="11">
        <v>3</v>
      </c>
      <c r="G21" s="11">
        <v>23333</v>
      </c>
      <c r="I21" s="11" t="str">
        <v>The budget assumes adequate staffing and operational resources to expand demonstration sites and facilities at Nusatupe, with sufficient field support to train and engage men, women, and youth. Costs are based on standard rates for site development, commu</v>
      </c>
    </row>
    <row r="22" ht="50" customHeight="1">
      <c r="A22" s="11" t="str">
        <v>AOW04</v>
      </c>
      <c r="C22" s="11" t="str">
        <v>Island food future fellows enrolled and concluding fellowships at Nusatupe</v>
      </c>
      <c r="D22" s="11" t="str">
        <v>Number of people trained (capacity sharing for development)</v>
      </c>
      <c r="E22" s="11" t="str">
        <v>Country: Solomon Islands</v>
      </c>
      <c r="F22" s="11">
        <v>20</v>
      </c>
      <c r="G22" s="11">
        <v>26667</v>
      </c>
      <c r="I22" s="11" t="str">
        <v>Includes resourcing of Solomon Islands National University for including Nusatupe into national curriculum on Island Food Fellows</v>
      </c>
    </row>
    <row r="23" ht="50" customHeight="1">
      <c r="A23" s="11" t="str">
        <v>AOW04</v>
      </c>
      <c r="C23" s="11" t="str">
        <v>Safeguarding vegetable genetic resources in the Pacific</v>
      </c>
      <c r="D23" s="11" t="str">
        <v>Number of knowledge products</v>
      </c>
      <c r="E23" s="11" t="str">
        <v>Country: Solomon Islands, Papua New Guinea, Timor-Leste</v>
      </c>
      <c r="F23" s="11">
        <v>5</v>
      </c>
      <c r="G23" s="11">
        <v>3333</v>
      </c>
      <c r="I23" s="11" t="str">
        <v>WolrdFish have &gt;50 staff in Timor-Leste and Solomon Islands, whereof 15 are engaged full time in servicing national priorities to strengthen CBRM with rich sources of data and knowledge accumulated.</v>
      </c>
    </row>
    <row r="24" ht="50" customHeight="1">
      <c r="A24" s="11" t="str">
        <v>AOW04</v>
      </c>
      <c r="C24" s="11" t="str">
        <v>Critical Capability_CIP: Capacity strengthening of genebanks to conserve vegetable genetic resources</v>
      </c>
      <c r="D24" s="11" t="str">
        <v>Number of capacity sharing events with Pacific genebank operators and other national genebanks</v>
      </c>
      <c r="E24" s="11" t="str">
        <v>Country: Papua New Guinea, Timor-Leste, Solomon Islands</v>
      </c>
      <c r="F24" s="11">
        <v>3</v>
      </c>
      <c r="G24" s="11">
        <v>0</v>
      </c>
    </row>
    <row r="25" ht="50" customHeight="1">
      <c r="A25" s="11" t="str">
        <v>AOW04</v>
      </c>
      <c r="C25" s="11" t="str">
        <v>Comparative analyses of community-based resource management in Solomon Islands and Timor-Leste</v>
      </c>
      <c r="D25" s="11" t="str">
        <v>Number of knowledge products</v>
      </c>
      <c r="E25" s="11" t="str">
        <v>Country: Timor-Leste, Solomon Islands</v>
      </c>
      <c r="F25" s="11">
        <v>2</v>
      </c>
      <c r="G25" s="11">
        <v>33333</v>
      </c>
      <c r="I25" s="11" t="str">
        <v>WolrdFish have &gt;50 staff in Timor-Leste and Solomon Islands, whereof 15 are engaged full time in servicing national priorities to strenghten CBRM with rich sources of data and knowledge accumulated. This is a credible platform to convene a comparative ana</v>
      </c>
    </row>
    <row r="26" ht="50" customHeight="1">
      <c r="A26" s="11" t="str">
        <v>AOW04</v>
      </c>
      <c r="C26" s="11" t="str">
        <v>Pacific Community (SPC) integration with fisheries and genebanks capacity sharing</v>
      </c>
      <c r="D26" s="11" t="str">
        <v>Number of knowledge products</v>
      </c>
      <c r="E26" s="11" t="str">
        <v>Country: Timor-Leste, Solomon Islands, Papua New Guinea</v>
      </c>
      <c r="F26" s="11">
        <v>3</v>
      </c>
      <c r="G26" s="11">
        <v>30000</v>
      </c>
      <c r="I26" s="11" t="str">
        <v>Significant investment into SPC partnership relating to their Land Resources Division overseeing CePsCT - the regional genebank - as well as other fisheries related aspects of SPC. This deliverable buils on the updated MoU between WorldFish and SPC, it is</v>
      </c>
    </row>
    <row r="27" ht="50" customHeight="1">
      <c r="A27" s="11" t="str">
        <v>AOW04</v>
      </c>
      <c r="B27" s="11" t="str">
        <v>4.2.3 NETWORKS</v>
      </c>
      <c r="C27" s="11" t="str">
        <v>Capacity strengthening of genebanks to conserve vegetable genetic resources</v>
      </c>
      <c r="D27" s="11" t="str">
        <v xml:space="preserve"> Number of capacity sharing events with Pacific genebank operators</v>
      </c>
      <c r="E27" s="11" t="str">
        <v>Country: Timor-Leste, Solomon Islands, Papua New Guinea</v>
      </c>
      <c r="F27" s="11">
        <v>3</v>
      </c>
      <c r="G27" s="11">
        <v>3333</v>
      </c>
      <c r="H27" s="11">
        <f>SUM(G27:G38)</f>
      </c>
      <c r="I27" s="11" t="str">
        <v>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v>
      </c>
    </row>
    <row r="28" ht="50" customHeight="1">
      <c r="A28" s="11" t="str">
        <v>AOW04</v>
      </c>
      <c r="C28" s="11" t="str">
        <v xml:space="preserve"> Enable and coordinate regional Pacific – Caribbean professional exchange</v>
      </c>
      <c r="D28" s="11" t="str">
        <v xml:space="preserve"> Enable and coordinate regional Pacific – Caribbean professional exchange</v>
      </c>
      <c r="E28" s="11" t="str">
        <v>Country: Solomon Islands, Timor-Leste, Jamaica</v>
      </c>
      <c r="F28" s="11">
        <v>1</v>
      </c>
      <c r="G28" s="11">
        <v>0</v>
      </c>
    </row>
    <row r="29" ht="50" customHeight="1">
      <c r="A29" s="11" t="str">
        <v>AOW04</v>
      </c>
      <c r="C29" s="11" t="str">
        <v>Critical Capability_WF: Co-development and hosting of a Pacific partnership round table</v>
      </c>
      <c r="D29" s="11" t="str">
        <v xml:space="preserve"> Co-development and hosting of a Pacific partnership round table</v>
      </c>
      <c r="E29" s="11" t="str">
        <v>Country: Solomon Islands, Timor-Leste</v>
      </c>
      <c r="F29" s="11">
        <v>1</v>
      </c>
      <c r="G29" s="11">
        <v>51697</v>
      </c>
      <c r="I29" s="11" t="str">
        <v>This budget supports the co-development and hosting costs for one Pacific partnership round table, including coordination, logistics, and facilitation for participants from Solomon Islands and Timor-Leste.</v>
      </c>
    </row>
    <row r="30" ht="50" customHeight="1">
      <c r="A30" s="11" t="str">
        <v>AOW04</v>
      </c>
      <c r="C30" s="11" t="str">
        <v>Co-development and hosting of Provincial Fisheries Officers Conference</v>
      </c>
      <c r="D30" s="11" t="str">
        <v xml:space="preserve"> Co-development and hosting of Provincial Fisheries Officers Conference</v>
      </c>
      <c r="E30" s="11" t="str">
        <v>Country: Solomon Islands, Timor-Leste</v>
      </c>
      <c r="F30" s="11">
        <v>1</v>
      </c>
      <c r="G30" s="11">
        <v>0</v>
      </c>
    </row>
    <row r="31" ht="50" customHeight="1">
      <c r="A31" s="11" t="str">
        <v>AOW04</v>
      </c>
      <c r="C31" s="11" t="str">
        <v>Journal article on fish in school meals in Timor-Leste</v>
      </c>
      <c r="D31" s="11" t="str">
        <v>Number of knowledge products</v>
      </c>
      <c r="E31" s="11" t="str">
        <v>Country: Timor-Leste</v>
      </c>
      <c r="F31" s="11">
        <v>2</v>
      </c>
      <c r="G31" s="11">
        <v>16668</v>
      </c>
      <c r="I31" s="11" t="str">
        <v>The budget assumes sufficient technical staff time for research, analysis, and writing of the journal article on fish in school meals in Timor-Leste, with operational costs covering data access, peer review processes, and publication fees.</v>
      </c>
    </row>
    <row r="32" ht="50" customHeight="1">
      <c r="A32" s="11" t="str">
        <v>AOW04</v>
      </c>
      <c r="C32" s="11" t="str">
        <v>Multi-sector training events and workshops for nutrition-sensitive fisheries and agriculture extension services and school meal programming</v>
      </c>
      <c r="D32" s="11" t="str">
        <v xml:space="preserve"> Multi-sector training events and workshops for nutrition-sensitive fisheries and agriculture extension services and school meal programming</v>
      </c>
      <c r="E32" s="11" t="str">
        <v>Country: Timor-Leste</v>
      </c>
      <c r="F32" s="11">
        <v>3</v>
      </c>
      <c r="G32" s="11">
        <v>16667</v>
      </c>
      <c r="I32" s="11" t="str">
        <v>The budget assumes adequate technical and coordination staff to deliver training workshops and to engage partners and funders, with operational costs based on standard rates. Staffing is also sufficient to monitor progress on policy changes and support co</v>
      </c>
    </row>
    <row r="33" ht="50" customHeight="1">
      <c r="A33" s="11" t="str">
        <v>AOW04</v>
      </c>
      <c r="C33" s="11" t="str">
        <v>Regional policy materials on Pacific island food futures</v>
      </c>
      <c r="D33" s="11" t="str">
        <v>Number of knowledge products</v>
      </c>
      <c r="E33" s="11" t="str">
        <v>Country: Timor-Leste, Solomon Islands</v>
      </c>
      <c r="F33" s="11">
        <v>20</v>
      </c>
      <c r="G33" s="11">
        <v>11667</v>
      </c>
      <c r="I33" s="11" t="str">
        <v>Includes resourcing of Solomon Islands National University for regional policy contributions</v>
      </c>
    </row>
    <row r="34" ht="50" customHeight="1">
      <c r="A34" s="11" t="str">
        <v>AOW04</v>
      </c>
      <c r="C34" s="11" t="str">
        <v>Island Foods Masterclass with Indigenous tok stori session in Solomon Islands</v>
      </c>
      <c r="D34" s="11" t="str">
        <v xml:space="preserve"> Island Foods Masterclass with Indigenous tok stori session in Solomon Islands</v>
      </c>
      <c r="E34" s="11" t="str">
        <v>Country: Solomon Islands</v>
      </c>
      <c r="F34" s="11">
        <v>15</v>
      </c>
      <c r="G34" s="11">
        <v>18333</v>
      </c>
      <c r="I34" s="11" t="str">
        <v>Includes resourcing of Solomon Islands National University for convening Island Foods Masterclass</v>
      </c>
    </row>
    <row r="35" ht="50" customHeight="1">
      <c r="A35" s="11" t="str">
        <v>AOW04</v>
      </c>
      <c r="C35" s="11" t="str">
        <v>Safeguarding vegetable genetic resources in the Pacific</v>
      </c>
      <c r="D35" s="11" t="str">
        <v>Number of knowledge products</v>
      </c>
      <c r="E35" s="11" t="str">
        <v>Country: Solomon Islands, Papua New Guinea, Timor-Leste</v>
      </c>
      <c r="F35" s="11">
        <v>5</v>
      </c>
      <c r="G35" s="11">
        <v>3333</v>
      </c>
      <c r="I35" s="11" t="str">
        <v>WolrdFish have &gt;50 staff in Timor-Leste and Solomon Islands, whereof 15 are engaged full time in servicing national priorities to strengthen CBRM with rich sources of data and knowledge accumulated.</v>
      </c>
    </row>
    <row r="36" ht="50" customHeight="1">
      <c r="A36" s="11" t="str">
        <v>AOW04</v>
      </c>
      <c r="C36" s="11" t="str">
        <v>Critical Capability_CIP: Capacity strengthening of genebanks to conserve vegetable genetic resources</v>
      </c>
      <c r="D36" s="11" t="str">
        <v>Number of capacity sharing events with Pacific genebank operators and other national genebanks</v>
      </c>
      <c r="E36" s="11" t="str">
        <v>Country: Papua New Guinea, Timor-Leste, Solomon Islands</v>
      </c>
      <c r="F36" s="11">
        <v>3</v>
      </c>
      <c r="G36" s="11">
        <v>0</v>
      </c>
    </row>
    <row r="37" ht="50" customHeight="1">
      <c r="A37" s="11" t="str">
        <v>AOW04</v>
      </c>
      <c r="C37" s="11" t="str">
        <v>Comparative analyses of community-based resource management in Solomon Islands and Timor-Leste</v>
      </c>
      <c r="D37" s="11" t="str">
        <v>Number of knowledge products</v>
      </c>
      <c r="E37" s="11" t="str">
        <v>Country: Timor-Leste, Solomon Islands</v>
      </c>
      <c r="F37" s="11">
        <v>2</v>
      </c>
      <c r="G37" s="11">
        <v>33333</v>
      </c>
      <c r="I37" s="11" t="str">
        <v>WolrdFish have &gt;50 staff in Timor-Leste and Solomon Islands, whereof 15 are engaged full time in servicing national priorities to strenghten CBRM with rich sources of data and knowledge accumulated. This is a credible platform to convene a comparative ana</v>
      </c>
    </row>
    <row r="38" ht="50" customHeight="1">
      <c r="A38" s="11" t="str">
        <v>AOW04</v>
      </c>
      <c r="C38" s="11" t="str">
        <v>Pacific Community (SPC) integration with fisheries and genebanks capacity sharing</v>
      </c>
      <c r="D38" s="11" t="str">
        <v>Number of knowledge products</v>
      </c>
      <c r="E38" s="11" t="str">
        <v>Country: Timor-Leste, Solomon Islands, Papua New Guinea</v>
      </c>
      <c r="F38" s="11">
        <v>3</v>
      </c>
      <c r="G38" s="11">
        <v>30000</v>
      </c>
      <c r="I38" s="11" t="str">
        <v>Significant investment into SPC partnership relating to their Land Resources Division overseeing CePsCT - the regional genebank - as well as other fisheries related aspects of SPC. This deliverable buils on the updated MoU between WorldFish and SPC, it is</v>
      </c>
    </row>
    <row r="39" ht="50" customHeight="1">
      <c r="A39" s="11" t="str">
        <v>AOW04</v>
      </c>
      <c r="B39" s="11" t="str">
        <v>4.3.2 PROGRAMMING</v>
      </c>
      <c r="C39" s="11" t="str">
        <v>Journal article assessing resilience of Island food systems</v>
      </c>
      <c r="D39" s="11" t="str">
        <v>Number of knowledge products</v>
      </c>
      <c r="E39" s="11" t="str">
        <v>Country: Solomon Islands, Timor-Leste</v>
      </c>
      <c r="F39" s="11">
        <v>2</v>
      </c>
      <c r="G39" s="11">
        <v>30000</v>
      </c>
      <c r="H39" s="11">
        <f>SUM(G39:G49)</f>
      </c>
      <c r="I39" s="11" t="str">
        <v>The budget assumes adequate staff and operational support to research and publish the resilience-focused journal article for Solomon Islands and Timor-Leste, covering data needs, writing, and publication.</v>
      </c>
    </row>
    <row r="40" ht="50" customHeight="1">
      <c r="A40" s="11" t="str">
        <v>AOW04</v>
      </c>
      <c r="C40" s="11" t="str">
        <v>Development and curation of Island Food System database</v>
      </c>
      <c r="D40" s="11" t="str">
        <v>Number of innovations (innovation development)</v>
      </c>
      <c r="E40" s="11" t="str">
        <v>Country: Solomon Islands, Timor-Leste</v>
      </c>
      <c r="F40" s="11">
        <v>2</v>
      </c>
      <c r="G40" s="11">
        <v>15000</v>
      </c>
      <c r="I40" s="11" t="str">
        <v>The budget assumes adequate technical staffing and operational support to develop and curate the Island Food System database for Solomon Islands and Timor-Leste, with costs covering data compilation, validation, and digital platform updates to meet the ta</v>
      </c>
    </row>
    <row r="41" ht="50" customHeight="1">
      <c r="A41" s="11" t="str">
        <v>AOW04</v>
      </c>
      <c r="C41" s="11" t="str">
        <v>Pacific Island food system analytics interface through in-person workshops</v>
      </c>
      <c r="D41" s="11" t="str">
        <v>Number of people trained (capacity sharing for development)</v>
      </c>
      <c r="E41" s="11" t="str">
        <v>Country: Solomon Islands</v>
      </c>
      <c r="F41" s="11">
        <v>50</v>
      </c>
      <c r="G41" s="11">
        <v>40000</v>
      </c>
      <c r="I41" s="11" t="str">
        <v>The budget assumes sufficient staff and operational resources to deliver in-person workshops on the Pacific Island food system analytics interface, with costs covering facilitation, materials, and participant outreach to achieve the targeted number of peo</v>
      </c>
    </row>
    <row r="42" ht="50" customHeight="1">
      <c r="A42" s="11" t="str">
        <v>AOW04</v>
      </c>
      <c r="C42" s="11" t="str">
        <v>Report on Island future fellows impacts and lessons learned for immersive curriculums in the Pacific</v>
      </c>
      <c r="D42" s="11" t="str">
        <v>Number of knowledge products</v>
      </c>
      <c r="E42" s="11" t="str">
        <v>Country: Solomon Islands</v>
      </c>
      <c r="F42" s="11">
        <v>1</v>
      </c>
      <c r="G42" s="11">
        <v>13333</v>
      </c>
      <c r="I42" s="11" t="str">
        <v>This budget covers the production costs for one knowledge product—a report documenting the impacts and lessons learned from the Island Future Fellows program regarding immersive curriculums in the Solomon Islands.</v>
      </c>
    </row>
    <row r="43" ht="50" customHeight="1">
      <c r="A43" s="11" t="str">
        <v>AOW04</v>
      </c>
      <c r="C43" s="11" t="str">
        <v>Community members, including youth, trained on practices that support resilient island food systems</v>
      </c>
      <c r="D43" s="11" t="str">
        <v>Number of people trained (capacity sharing for development)</v>
      </c>
      <c r="E43" s="11" t="str">
        <v>Country: Solomon Islands</v>
      </c>
      <c r="F43" s="11">
        <v>200</v>
      </c>
      <c r="G43" s="11">
        <v>23333</v>
      </c>
      <c r="I43" s="11" t="str">
        <v xml:space="preserve">The budget assumes sufficient staff and operational resources to train community members, including youth, on practices that strengthen resilient island food systems. Costs reflect standard rates for training delivery, materials, and participant outreach </v>
      </c>
    </row>
    <row r="44" ht="50" customHeight="1">
      <c r="A44" s="11" t="str">
        <v>AOW04</v>
      </c>
      <c r="C44" s="11" t="str">
        <v>Expanded demonstration sites and facilities at Nusatupe</v>
      </c>
      <c r="D44" s="11" t="str">
        <v>Number of innovations (innovation development)</v>
      </c>
      <c r="E44" s="11" t="str">
        <v>Country: Solomon Islands</v>
      </c>
      <c r="F44" s="11">
        <v>3</v>
      </c>
      <c r="G44" s="11">
        <v>23333</v>
      </c>
      <c r="I44" s="11" t="str">
        <v>The budget assumes adequate staffing and operational resources to expand demonstration sites and facilities at Nusatupe, with sufficient field support to train and engage men, women, and youth. Costs are based on standard rates for site development, commu</v>
      </c>
    </row>
    <row r="45" ht="50" customHeight="1">
      <c r="A45" s="11" t="str">
        <v>AOW04</v>
      </c>
      <c r="C45" s="11" t="str">
        <v>Island food future fellows enrolled and concluding fellowships at Nusatupe</v>
      </c>
      <c r="D45" s="11" t="str">
        <v>Number of people trained (capacity sharing for development)</v>
      </c>
      <c r="E45" s="11" t="str">
        <v>Country: Solomon Islands</v>
      </c>
      <c r="F45" s="11">
        <v>20</v>
      </c>
      <c r="G45" s="11">
        <v>26667</v>
      </c>
      <c r="I45" s="11" t="str">
        <v>Includes resourcing of Solomon Islands National University for including Nusatupe into national curriculum on Island Food Fellows</v>
      </c>
    </row>
    <row r="46" ht="50" customHeight="1">
      <c r="A46" s="11" t="str">
        <v>AOW04</v>
      </c>
      <c r="C46" s="11" t="str">
        <v>Journal article on fish in school meals in Timor-Leste</v>
      </c>
      <c r="D46" s="11" t="str">
        <v>Number of knowledge products</v>
      </c>
      <c r="E46" s="11" t="str">
        <v>Country: Timor-Leste</v>
      </c>
      <c r="F46" s="11">
        <v>2</v>
      </c>
      <c r="G46" s="11">
        <v>16668</v>
      </c>
      <c r="I46" s="11" t="str">
        <v>The budget assumes sufficient technical staff time for research, analysis, and writing of the journal article on fish in school meals in Timor-Leste, with operational costs covering data access, peer review processes, and publication fees.</v>
      </c>
    </row>
    <row r="47" ht="50" customHeight="1">
      <c r="A47" s="11" t="str">
        <v>AOW04</v>
      </c>
      <c r="C47" s="11" t="str">
        <v>Multi-sector training events and workshops for nutrition-sensitive fisheries and agriculture extension services and school meal programming</v>
      </c>
      <c r="D47" s="11" t="str">
        <v xml:space="preserve"> Multi-sector training events and workshops for nutrition-sensitive fisheries and agriculture extension services and school meal programming</v>
      </c>
      <c r="E47" s="11" t="str">
        <v>Country: Timor-Leste</v>
      </c>
      <c r="F47" s="11">
        <v>3</v>
      </c>
      <c r="G47" s="11">
        <v>16667</v>
      </c>
      <c r="I47" s="11" t="str">
        <v>The budget assumes adequate technical and coordination staff to deliver training workshops and to engage partners and funders, with operational costs based on standard rates. Staffing is also sufficient to monitor progress on policy changes and support co</v>
      </c>
    </row>
    <row r="48" ht="50" customHeight="1">
      <c r="A48" s="11" t="str">
        <v>AOW04</v>
      </c>
      <c r="C48" s="11" t="str">
        <v>Regional policy materials on Pacific island food futures</v>
      </c>
      <c r="D48" s="11" t="str">
        <v>Number of knowledge products</v>
      </c>
      <c r="E48" s="11" t="str">
        <v>Country: Timor-Leste, Solomon Islands</v>
      </c>
      <c r="F48" s="11">
        <v>20</v>
      </c>
      <c r="G48" s="11">
        <v>11667</v>
      </c>
      <c r="I48" s="11" t="str">
        <v>Includes resourcing of Solomon Islands National University for regional policy contributions</v>
      </c>
    </row>
    <row r="49" ht="50" customHeight="1">
      <c r="A49" s="11" t="str">
        <v>AOW04</v>
      </c>
      <c r="C49" s="11" t="str">
        <v>Island Foods Masterclass with Indigenous tok stori session in Solomon Islands</v>
      </c>
      <c r="D49" s="11" t="str">
        <v xml:space="preserve"> Island Foods Masterclass with Indigenous tok stori session in Solomon Islands</v>
      </c>
      <c r="E49" s="11" t="str">
        <v>Country: Solomon Islands</v>
      </c>
      <c r="F49" s="11">
        <v>15</v>
      </c>
      <c r="G49" s="11">
        <v>18335</v>
      </c>
      <c r="I49" s="11" t="str">
        <v>Includes resourcing of Solomon Islands National University for convening Island Foods Masterclass</v>
      </c>
    </row>
    <row r="50" ht="50" customHeight="1">
      <c r="A50" s="11" t="str">
        <v>AOW04</v>
      </c>
      <c r="B50" s="11" t="str">
        <v>4.3.5 DIAGNOSTICS</v>
      </c>
      <c r="C50" s="11" t="str">
        <v xml:space="preserve"> Enable and coordinate regional Pacific – Caribbean professional exchange</v>
      </c>
      <c r="D50" s="11" t="str">
        <v xml:space="preserve"> Enable and coordinate regional Pacific – Caribbean professional exchange</v>
      </c>
      <c r="E50" s="11" t="str">
        <v>Country: Solomon Islands, Timor-Leste, Jamaica</v>
      </c>
      <c r="F50" s="11">
        <v>1</v>
      </c>
      <c r="G50" s="11">
        <v>0</v>
      </c>
      <c r="H50" s="11">
        <f>SUM(G50:G55)</f>
      </c>
    </row>
    <row r="51" ht="50" customHeight="1">
      <c r="A51" s="11" t="str">
        <v>AOW04</v>
      </c>
      <c r="C51" s="11" t="str">
        <v>Critical Capability_WF: Co-development and hosting of a Pacific partnership round table</v>
      </c>
      <c r="D51" s="11" t="str">
        <v xml:space="preserve"> Co-development and hosting of a Pacific partnership round table</v>
      </c>
      <c r="E51" s="11" t="str">
        <v>Country: Solomon Islands, Timor-Leste</v>
      </c>
      <c r="F51" s="11">
        <v>1</v>
      </c>
      <c r="G51" s="11">
        <v>51697</v>
      </c>
      <c r="I51" s="11" t="str">
        <v>This budget supports the co-development and hosting costs for one Pacific partnership round table, including coordination, logistics, and facilitation for participants from Solomon Islands and Timor-Leste.</v>
      </c>
    </row>
    <row r="52" ht="50" customHeight="1">
      <c r="A52" s="11" t="str">
        <v>AOW04</v>
      </c>
      <c r="C52" s="11" t="str">
        <v>Co-development and hosting of Provincial Fisheries Officers Conference</v>
      </c>
      <c r="D52" s="11" t="str">
        <v xml:space="preserve"> Co-development and hosting of Provincial Fisheries Officers Conference</v>
      </c>
      <c r="E52" s="11" t="str">
        <v>Country: Solomon Islands, Timor-Leste</v>
      </c>
      <c r="F52" s="11">
        <v>1</v>
      </c>
      <c r="G52" s="11">
        <v>0</v>
      </c>
    </row>
    <row r="53" ht="50" customHeight="1">
      <c r="A53" s="11" t="str">
        <v>AOW04</v>
      </c>
      <c r="C53" s="11" t="str">
        <v>Journal article assessing resilience of Island food systems</v>
      </c>
      <c r="D53" s="11" t="str">
        <v>Number of knowledge products</v>
      </c>
      <c r="E53" s="11" t="str">
        <v>Country: Solomon Islands, Timor-Leste</v>
      </c>
      <c r="F53" s="11">
        <v>2</v>
      </c>
      <c r="G53" s="11">
        <v>30000</v>
      </c>
      <c r="I53" s="11" t="str">
        <v>The budget assumes adequate staff and operational support to research and publish the resilience-focused journal article for Solomon Islands and Timor-Leste, covering data needs, writing, and publication.</v>
      </c>
    </row>
    <row r="54" ht="50" customHeight="1">
      <c r="A54" s="11" t="str">
        <v>AOW04</v>
      </c>
      <c r="C54" s="11" t="str">
        <v>Development and curation of Island Food System database</v>
      </c>
      <c r="D54" s="11" t="str">
        <v>Number of innovations (innovation development)</v>
      </c>
      <c r="E54" s="11" t="str">
        <v>Country: Solomon Islands, Timor-Leste</v>
      </c>
      <c r="F54" s="11">
        <v>2</v>
      </c>
      <c r="G54" s="11">
        <v>15000</v>
      </c>
      <c r="I54" s="11" t="str">
        <v>The budget assumes adequate technical staffing and operational support to develop and curate the Island Food System database for Solomon Islands and Timor-Leste, with costs covering data compilation, validation, and digital platform updates to meet the ta</v>
      </c>
    </row>
    <row r="55" ht="50" customHeight="1">
      <c r="A55" s="11" t="str">
        <v>AOW04</v>
      </c>
      <c r="C55" s="11" t="str">
        <v>Pacific Island food system analytics interface through in-person workshops</v>
      </c>
      <c r="D55" s="11" t="str">
        <v>Number of people trained (capacity sharing for development)</v>
      </c>
      <c r="E55" s="11" t="str">
        <v>Country: Solomon Islands</v>
      </c>
      <c r="F55" s="11">
        <v>50</v>
      </c>
      <c r="G55" s="11">
        <v>40000</v>
      </c>
      <c r="I55" s="11" t="str">
        <v>The budget assumes sufficient staff and operational resources to deliver in-person workshops on the Pacific Island food system analytics interface, with costs covering facilitation, materials, and participant outreach to achieve the targeted number of peo</v>
      </c>
    </row>
    <row r="56" ht="25" customHeight="1">
      <c r="B56" s="15" t="str">
        <v>HLO budget subtotal</v>
      </c>
      <c r="H56" s="15">
        <f>SUM(H5:H55)</f>
      </c>
    </row>
  </sheetData>
  <mergeCells count="19">
    <mergeCell ref="A1:A2"/>
    <mergeCell ref="B1:B2"/>
    <mergeCell ref="C1:G1"/>
    <mergeCell ref="H1:H2"/>
    <mergeCell ref="I1:I2"/>
    <mergeCell ref="B4:G4"/>
    <mergeCell ref="A3:A4"/>
    <mergeCell ref="B5:B17"/>
    <mergeCell ref="H5:H17"/>
    <mergeCell ref="B18:B26"/>
    <mergeCell ref="H18:H26"/>
    <mergeCell ref="B27:B38"/>
    <mergeCell ref="H27:H38"/>
    <mergeCell ref="B39:B49"/>
    <mergeCell ref="H39:H49"/>
    <mergeCell ref="B50:B55"/>
    <mergeCell ref="H50:H55"/>
    <mergeCell ref="B56:G56"/>
    <mergeCell ref="A5:A56"/>
  </mergeCells>
  <ignoredErrors>
    <ignoredError numberStoredAsText="1" sqref="A1:I56"/>
  </ignoredErrors>
</worksheet>
</file>

<file path=xl/worksheets/sheet4.xml><?xml version="1.0" encoding="utf-8"?>
<worksheet xmlns="http://schemas.openxmlformats.org/spreadsheetml/2006/main" xmlns:r="http://schemas.openxmlformats.org/officeDocument/2006/relationships">
  <dimension ref="A1:F10"/>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AOW03</v>
      </c>
      <c r="B2" s="11" t="str">
        <v>The World Vegetable Center</v>
      </c>
      <c r="C2" s="11" t="str">
        <v>3.1.1 Safe urban food production</v>
      </c>
      <c r="D2" s="11" t="str">
        <v>Papua New Guinea,Solomon Islands,Timor-Leste</v>
      </c>
      <c r="E2" s="11">
        <v>0</v>
      </c>
    </row>
    <row r="3" ht="25" customHeight="1">
      <c r="B3" s="14" t="str">
        <v>Contracted partners subtotal</v>
      </c>
      <c r="E3" s="14">
        <f>SUM(E2:E2)</f>
      </c>
    </row>
    <row r="4" ht="70" customHeight="1">
      <c r="A4" s="12" t="str">
        <v>AOW04</v>
      </c>
      <c r="B4" s="11" t="str">
        <v xml:space="preserve"> Kastom Gaden Association</v>
      </c>
      <c r="C4" s="11" t="str">
        <v>4.1.1 SUSTAINABILITY, 4.3.2 PROGRAMMING, 4.2.3 NETWORKS, 4.1.4 CAPACITY</v>
      </c>
      <c r="D4" s="11" t="str">
        <v>Solomon Islands,Timor-Leste</v>
      </c>
      <c r="E4" s="11">
        <v>25000</v>
      </c>
      <c r="F4" s="11" t="str">
        <v>Contracting Kastom Gaden Association</v>
      </c>
    </row>
    <row r="5" ht="70" customHeight="1">
      <c r="A5" s="11" t="str">
        <v>AOW04</v>
      </c>
      <c r="B5" s="11" t="str">
        <v>The World Vegetable Center</v>
      </c>
      <c r="C5" s="11" t="str">
        <v>4.1.1 SUSTAINABILITY</v>
      </c>
      <c r="D5" s="11" t="str">
        <v>Papua New Guinea,Solomon Islands,Timor-Leste</v>
      </c>
      <c r="E5" s="11">
        <v>180000</v>
      </c>
      <c r="F5" s="11" t="str">
        <v xml:space="preserve">Resourcing of World Vegetable Centre capacity sharing for SPC genebanks and land resources division engagement. </v>
      </c>
    </row>
    <row r="6" ht="70" customHeight="1">
      <c r="A6" s="11" t="str">
        <v>AOW04</v>
      </c>
      <c r="B6" s="11" t="str">
        <v>Pacific Community</v>
      </c>
      <c r="C6" s="11" t="str">
        <v>4.1.1 SUSTAINABILITY, 4.3.2 PROGRAMMING, 4.2.3 NETWORKS, 4.1.4 CAPACITY, 4.3.5 DIAGNOSTICS</v>
      </c>
      <c r="D6" s="11" t="str">
        <v>Fiji,Solomon Islands,Timor-Leste</v>
      </c>
      <c r="E6" s="11">
        <v>255000</v>
      </c>
      <c r="F6" s="11" t="str">
        <v>Significant investment into SPC partnership relating to their Land Resources Division overseeing CePsCT - the regional genebank - as well as other fisheries related aspects of SPC. This deliverable buils on the updated MoU between WorldFish and SPC, it is</v>
      </c>
    </row>
    <row r="7" ht="70" customHeight="1">
      <c r="A7" s="11" t="str">
        <v>AOW04</v>
      </c>
      <c r="B7" s="11" t="str">
        <v>Solomon Islands National University</v>
      </c>
      <c r="C7" s="11" t="str">
        <v>4.1.1 SUSTAINABILITY, 4.3.2 PROGRAMMING, 4.2.3 NETWORKS, 4.1.4 CAPACITY, 4.3.5 DIAGNOSTICS</v>
      </c>
      <c r="D7" s="11" t="str">
        <v>Fiji,Solomon Islands,Timor-Leste</v>
      </c>
      <c r="E7" s="11">
        <v>70000</v>
      </c>
      <c r="F7" s="11" t="str">
        <v>resourcing for regional policy contributions and Master class</v>
      </c>
    </row>
    <row r="8" ht="70" customHeight="1" xml:space="preserve">
      <c r="A8" s="11" t="str">
        <v>AOW04</v>
      </c>
      <c r="B8" s="11" t="str">
        <v>Ministry of Fisheries and Marine Resources (Solomon Islands)</v>
      </c>
      <c r="C8" s="11" t="str">
        <v>4.1.1 SUSTAINABILITY, 4.3.2 PROGRAMMING, 4.2.3 NETWORKS</v>
      </c>
      <c r="D8" s="11" t="str">
        <v>Solomon Islands</v>
      </c>
      <c r="E8" s="11">
        <v>25000</v>
      </c>
      <c r="F8" s="11" t="str" xml:space="preserve">
        <v xml:space="preserve">Significant flow-through of funds to resource SPC-SDD to convene in-person analytics interface workshops on island food systems
Resourcing of ANCORS at UOW to curate island food system indicators and database for island food system assessments and analyti</v>
      </c>
    </row>
    <row r="9" ht="70" customHeight="1" xml:space="preserve">
      <c r="A9" s="11" t="str">
        <v>AOW04</v>
      </c>
      <c r="B9" s="11" t="str">
        <v>University of Wollongong</v>
      </c>
      <c r="C9" s="11" t="str">
        <v>4.1.1 SUSTAINABILITY, 4.3.2 PROGRAMMING, 4.2.3 NETWORKS, 4.1.4 CAPACITY, 4.3.5 DIAGNOSTICS</v>
      </c>
      <c r="D9" s="11" t="str">
        <v>Fiji,New Caledonia,Solomon Islands,Timor-Leste</v>
      </c>
      <c r="E9" s="11">
        <v>145000</v>
      </c>
      <c r="F9" s="11" t="str" xml:space="preserve">
        <v xml:space="preserve">Significant flow-through of funds to resource SPC-SDD to convene in-person analytics interface workshops on island food systems
Resourcing of ANCORS at UOW to curate island food system indicators and database for island food system assessments and analyti</v>
      </c>
    </row>
    <row r="10" ht="25" customHeight="1">
      <c r="B10" s="14" t="str">
        <v>Contracted partners subtotal</v>
      </c>
      <c r="E10" s="14">
        <f>SUM(E4:E9)</f>
      </c>
    </row>
  </sheetData>
  <mergeCells count="4">
    <mergeCell ref="B3:D3"/>
    <mergeCell ref="A2:A3"/>
    <mergeCell ref="B10:D10"/>
    <mergeCell ref="A4:A10"/>
  </mergeCells>
  <ignoredErrors>
    <ignoredError numberStoredAsText="1" sqref="A1:F10"/>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18" t="str">
        <v>Collaborators non-CGIAR centers</v>
      </c>
      <c r="B2" s="18">
        <v>0</v>
      </c>
      <c r="C2" s="18">
        <v>0</v>
      </c>
      <c r="D2" s="18">
        <v>0</v>
      </c>
      <c r="E2" s="18">
        <v>0</v>
      </c>
      <c r="F2" s="18">
        <v>700000</v>
      </c>
      <c r="G2" s="18" t="str">
        <f>=SUM(B2:F2)</f>
        <v>0</v>
      </c>
    </row>
    <row r="3" ht="20" customHeight="1">
      <c r="A3" s="18" t="str">
        <v>Operations (supplies, consultants, travels, workshops, other)</v>
      </c>
      <c r="B3" s="18">
        <v>0</v>
      </c>
      <c r="C3" s="18">
        <v>10000</v>
      </c>
      <c r="D3" s="18">
        <v>0</v>
      </c>
      <c r="E3" s="18">
        <v>0</v>
      </c>
      <c r="F3" s="18">
        <v>271240</v>
      </c>
      <c r="G3" s="18" t="str">
        <f>=SUM(B3:F3)</f>
        <v>0</v>
      </c>
    </row>
    <row r="4" ht="20" customHeight="1">
      <c r="A4" s="18" t="str">
        <v>Staffing, Chargebacks and Indirect</v>
      </c>
      <c r="B4" s="18">
        <v>20200</v>
      </c>
      <c r="C4" s="18">
        <v>10000</v>
      </c>
      <c r="D4" s="18">
        <v>0</v>
      </c>
      <c r="E4" s="18">
        <v>0</v>
      </c>
      <c r="F4" s="18">
        <v>662154</v>
      </c>
      <c r="G4" s="18" t="str">
        <f>=SUM(B4:F4)</f>
        <v>0</v>
      </c>
    </row>
    <row r="5" ht="20" customHeight="1">
      <c r="A5" s="19" t="str">
        <v>Subtotal</v>
      </c>
      <c r="B5" s="20" t="str">
        <f>=SUM(B2:B4)</f>
        <v>0</v>
      </c>
      <c r="C5" s="21" t="str">
        <f>=SUM(C2:C4)</f>
        <v>0</v>
      </c>
      <c r="D5" s="21" t="str">
        <f>=SUM(D2:D4)</f>
        <v>0</v>
      </c>
      <c r="E5" s="21" t="str">
        <f>=SUM(E2:E4)</f>
        <v>0</v>
      </c>
      <c r="F5" s="21" t="str">
        <f>=SUM(F2:F4)</f>
        <v>0</v>
      </c>
      <c r="G5" s="21"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