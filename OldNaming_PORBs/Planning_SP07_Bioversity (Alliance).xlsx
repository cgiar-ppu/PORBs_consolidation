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Foresight and Prioritization </v>
      </c>
      <c r="B5" s="2">
        <v>1</v>
      </c>
      <c r="C5" s="5">
        <v>117566</v>
      </c>
      <c r="D5" s="2">
        <v>5</v>
      </c>
      <c r="E5" s="5">
        <v>353958</v>
      </c>
      <c r="F5" s="2">
        <v>5</v>
      </c>
      <c r="G5" s="5">
        <v>15000</v>
      </c>
      <c r="H5" s="2">
        <v>5</v>
      </c>
      <c r="I5" s="5">
        <v>63682</v>
      </c>
      <c r="J5" s="5">
        <v>0</v>
      </c>
      <c r="K5" s="5">
        <v>0</v>
      </c>
      <c r="L5" s="5">
        <v>550206</v>
      </c>
      <c r="M5" s="5">
        <v>0</v>
      </c>
    </row>
    <row r="6" ht="20" customHeight="1">
      <c r="A6" s="2" t="str">
        <v xml:space="preserve">AOW02: Market-led Food Systems Transformation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 xml:space="preserve">AOW03: Governance and Political Economy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Water, Energy, Food, and Environment (WEFE) Nexus Policy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Country and Regional Strategy and Engagement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 xml:space="preserve">AOW06: Global Poverty and Jobs Policy Knowledge Brokering Hub </v>
      </c>
      <c r="B10" s="2">
        <v>0</v>
      </c>
      <c r="C10" s="5">
        <v>0</v>
      </c>
      <c r="D10" s="2">
        <v>2</v>
      </c>
      <c r="E10" s="5">
        <v>13334</v>
      </c>
      <c r="F10" s="2">
        <v>0</v>
      </c>
      <c r="G10" s="5">
        <v>0</v>
      </c>
      <c r="H10" s="2">
        <v>7</v>
      </c>
      <c r="I10" s="5">
        <v>36666</v>
      </c>
      <c r="J10" s="5">
        <v>0</v>
      </c>
      <c r="K10" s="5">
        <v>0</v>
      </c>
      <c r="L10" s="5">
        <v>50000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Director costs</v>
      </c>
      <c r="C2" s="11" t="str">
        <v/>
      </c>
      <c r="D2" s="11">
        <v>0</v>
      </c>
    </row>
    <row r="3" ht="45" customHeight="1">
      <c r="A3" s="11" t="str">
        <v>AOW00</v>
      </c>
      <c r="B3" s="11" t="str">
        <v>PMU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Discretionary funds</v>
      </c>
      <c r="D4" s="11">
        <v>0</v>
      </c>
    </row>
    <row r="5" ht="45" customHeight="1">
      <c r="A5" s="11" t="str">
        <v>AOW00</v>
      </c>
      <c r="B5" s="11" t="str">
        <v>AoW Leads</v>
      </c>
      <c r="D5" s="11">
        <v>0</v>
      </c>
    </row>
    <row r="6" ht="45" customHeight="1">
      <c r="A6" s="11" t="str">
        <v>AOW00</v>
      </c>
      <c r="B6" s="11" t="str">
        <v>SO Finance Shared</v>
      </c>
      <c r="C6" s="11" t="str">
        <v>Centralized Finance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 Agenda Setting</v>
      </c>
      <c r="C3" s="11" t="str">
        <v>Climate and land-use modeling with chapter on forages (from animal-sourced foods global report): Policy recommendations based  on report</v>
      </c>
      <c r="D3" s="11" t="str">
        <v xml:space="preserve"> Policy recommendation</v>
      </c>
      <c r="E3" s="11" t="str">
        <v>Country: Bangladesh, Kenya, Ethiopia</v>
      </c>
      <c r="F3" s="11">
        <v>1</v>
      </c>
      <c r="G3" s="11">
        <v>14696</v>
      </c>
      <c r="H3" s="11">
        <f>SUM(G3:G4)</f>
      </c>
      <c r="I3" s="11" t="str">
        <v>Budget and partner to be added Q1 2026</v>
      </c>
    </row>
    <row r="4" ht="50" customHeight="1">
      <c r="A4" s="11" t="str">
        <v>AOW01</v>
      </c>
      <c r="C4" s="11" t="str">
        <v>Climate and land-use modeling with chapter on forages (from animal-sourced foods global report): Book chapter</v>
      </c>
      <c r="D4" s="11" t="str">
        <v>Number of knowledge products</v>
      </c>
      <c r="E4" s="11" t="str">
        <v>Country: Kenya, Bangladesh, Ethiopia</v>
      </c>
      <c r="F4" s="11">
        <v>1</v>
      </c>
      <c r="G4" s="11">
        <v>118828</v>
      </c>
      <c r="I4" s="11" t="str">
        <v>Budget and partner to be added Q1 2026</v>
      </c>
    </row>
    <row r="5" ht="50" customHeight="1">
      <c r="A5" s="11" t="str">
        <v>AOW01</v>
      </c>
      <c r="B5" s="11" t="str">
        <v>1.2. Policy response</v>
      </c>
      <c r="C5" s="11" t="str">
        <v xml:space="preserve">Policy engagement at global forums (CFS, G7, COP31). Outputs: CFS "Building Resilient Food Systems"; Issues Note for France G7 Ministers; and Issues Note for COP31 Presidential Action Agenda. </v>
      </c>
      <c r="D5" s="11" t="str">
        <v xml:space="preserve"> Policy informed</v>
      </c>
      <c r="E5" s="11" t="str">
        <v>Country: Ethiopia, Kenya, Bangladesh</v>
      </c>
      <c r="F5" s="11">
        <v>2</v>
      </c>
      <c r="G5" s="11">
        <v>24493</v>
      </c>
      <c r="H5" s="11">
        <f>SUM(G5:G9)</f>
      </c>
      <c r="I5" s="11" t="str">
        <v>Budget and partner to be added Q1 2026</v>
      </c>
    </row>
    <row r="6" ht="50" customHeight="1">
      <c r="A6" s="11" t="str">
        <v>AOW01</v>
      </c>
      <c r="C6" s="11" t="str">
        <v xml:space="preserve">Spatial analysis downscaling global and regional analysis to national and local contexts to identify where shocks and risks are most pressing, and what local policy responses are needed. </v>
      </c>
      <c r="D6" s="11" t="str">
        <v>Number of knowledge products</v>
      </c>
      <c r="E6" s="11" t="str">
        <v>Country: Bangladesh, Ethiopia, Kenya</v>
      </c>
      <c r="F6" s="11">
        <v>2</v>
      </c>
      <c r="G6" s="11">
        <v>117565</v>
      </c>
      <c r="I6" s="11" t="str">
        <v>Budget and partner to be added Q1 2026</v>
      </c>
    </row>
    <row r="7" ht="50" customHeight="1">
      <c r="A7" s="11" t="str">
        <v>AOW01</v>
      </c>
      <c r="C7" s="11" t="str">
        <v>Technical foresight reports analyzing issues identified at global forums (e.g., G7, COP31, CFS) using global modeling and other CGIAR foresight tools. In 2026, includes analysis of biotic and abiotic stresses.</v>
      </c>
      <c r="D7" s="11" t="str">
        <v>Number of knowledge products</v>
      </c>
      <c r="E7" s="11" t="str">
        <v>Country: Bangladesh, Kenya, Ethiopia</v>
      </c>
      <c r="F7" s="11">
        <v>2</v>
      </c>
      <c r="G7" s="11">
        <v>117565</v>
      </c>
      <c r="I7" s="11" t="str">
        <v>Budget and partner to be added Q1 2026</v>
      </c>
    </row>
    <row r="8" ht="50" customHeight="1">
      <c r="A8" s="11" t="str">
        <v>AOW01</v>
      </c>
      <c r="C8" s="11" t="str">
        <v xml:space="preserve">Policy engagement at global forums (CFS, G7, COP31). Outputs: CFS "Building Resilient Food Systems"; Issues Note for France G7 Ministers; and Issues Note for COP31 Presidential Action Agenda. </v>
      </c>
      <c r="D8" s="11" t="str">
        <v xml:space="preserve"> Policy recommendation</v>
      </c>
      <c r="E8" s="11" t="str">
        <v>Country: Kenya, Ethiopia, Bangladesh</v>
      </c>
      <c r="F8" s="11">
        <v>2</v>
      </c>
      <c r="G8" s="11">
        <v>24493</v>
      </c>
      <c r="I8" s="11" t="str">
        <v>Budget and partner to be added Q1 2026</v>
      </c>
    </row>
    <row r="9" ht="50" customHeight="1">
      <c r="A9" s="11" t="str">
        <v>AOW01</v>
      </c>
      <c r="C9" s="11" t="str">
        <v>AI tool that automatically tracks and analyzes policy demands and outcomes and enables stakeholders and researchers to efficiently evaluate demand and develop implementation workplans for global foresight analysis.</v>
      </c>
      <c r="D9" s="11" t="str">
        <v>Number of innovations (innovation development)</v>
      </c>
      <c r="E9" s="11" t="str">
        <v>Country: Bangladesh, Kenya, Ethiopia</v>
      </c>
      <c r="F9" s="11">
        <v>1</v>
      </c>
      <c r="G9" s="11">
        <v>117566</v>
      </c>
      <c r="I9" s="11" t="str">
        <v>Budget and partner to be added Q1 2026</v>
      </c>
    </row>
    <row r="10" ht="50" customHeight="1">
      <c r="A10" s="11" t="str">
        <v>AOW01</v>
      </c>
      <c r="B10" s="11" t="str">
        <v>1.3. Capacity Sharing Activities</v>
      </c>
      <c r="C10" s="11" t="str">
        <v>Transferring Modeling Assets and Expertise</v>
      </c>
      <c r="D10" s="11" t="str">
        <v>Number of people trained (capacity sharing for development)</v>
      </c>
      <c r="E10" s="11" t="str">
        <v>Country: India</v>
      </c>
      <c r="F10" s="11">
        <v>5</v>
      </c>
      <c r="G10" s="11">
        <v>15000</v>
      </c>
      <c r="H10" s="11">
        <f>SUM(G10:G10)</f>
      </c>
      <c r="I10" s="11" t="str">
        <v>Indian Council of Agricultural Research (India) $25,000</v>
      </c>
    </row>
    <row r="11" ht="25" customHeight="1">
      <c r="B11" s="14" t="str">
        <v>HLO budget subtotal</v>
      </c>
      <c r="H11" s="15">
        <f>SUM(H3:H10)</f>
      </c>
    </row>
    <row r="12" ht="50" customHeight="1">
      <c r="A12" s="13" t="str">
        <v>AOW06</v>
      </c>
      <c r="B12" s="11" t="str">
        <v>6.1. Agenda Setting</v>
      </c>
      <c r="C12" s="11" t="str">
        <v>Placing agrobiodiversity and gender and inclusion on the agenda of school meal programs: perspectives and scoping. Informing the school meal agenda with evidence.</v>
      </c>
      <c r="D12" s="11" t="str">
        <v xml:space="preserve"> Policy informed</v>
      </c>
      <c r="E12" s="11" t="str">
        <v>Global</v>
      </c>
      <c r="F12" s="11">
        <v>1</v>
      </c>
      <c r="G12" s="11">
        <v>13333</v>
      </c>
      <c r="H12" s="11">
        <f>SUM(G12:G14)</f>
      </c>
      <c r="I12" s="11" t="str">
        <v>Budget and partner to be added Q1 2026</v>
      </c>
    </row>
    <row r="13" ht="50" customHeight="1">
      <c r="A13" s="11" t="str">
        <v>AOW06</v>
      </c>
      <c r="C13" s="11" t="str">
        <v xml:space="preserve">Placing agrobiodiversity and gender and inclusion on the agenda of school meal programs: perspectives and scoping. Developing policy recommendations to shape the school feeding agenda: </v>
      </c>
      <c r="D13" s="11" t="str">
        <v xml:space="preserve"> Policy recommendations</v>
      </c>
      <c r="E13" s="11" t="str">
        <v>Global</v>
      </c>
      <c r="F13" s="11">
        <v>4</v>
      </c>
      <c r="G13" s="11">
        <v>13333</v>
      </c>
      <c r="I13" s="11" t="str">
        <v>Budget and partner to be added Q1 2026</v>
      </c>
    </row>
    <row r="14" ht="50" customHeight="1">
      <c r="A14" s="11" t="str">
        <v>AOW06</v>
      </c>
      <c r="C14" s="11" t="str">
        <v>Placing agrobiodiversity and gender and inclusion on the agenda of school meal programs: perspectives and scoping</v>
      </c>
      <c r="D14" s="11" t="str">
        <v>Number of knowledge products</v>
      </c>
      <c r="E14" s="11" t="str">
        <v>Global</v>
      </c>
      <c r="F14" s="11">
        <v>2</v>
      </c>
      <c r="G14" s="11">
        <v>13334</v>
      </c>
      <c r="I14" s="11" t="str">
        <v>Budget and partner to be added Q1 2026</v>
      </c>
    </row>
    <row r="15" ht="50" customHeight="1">
      <c r="A15" s="11" t="str">
        <v>AOW06</v>
      </c>
      <c r="B15" s="11" t="str">
        <v>6.3. Capacity sharing activities</v>
      </c>
      <c r="C15" s="11" t="str">
        <v xml:space="preserve">Global Communities of Practice developed under the School Meals Coalition </v>
      </c>
      <c r="D15" s="11" t="str">
        <v xml:space="preserve"> Number of CoPs developed</v>
      </c>
      <c r="E15" s="11" t="str">
        <v>Global</v>
      </c>
      <c r="F15" s="11">
        <v>2</v>
      </c>
      <c r="G15" s="11">
        <v>10000</v>
      </c>
      <c r="H15" s="11">
        <f>SUM(G15:G15)</f>
      </c>
      <c r="I15" s="11" t="str">
        <v>Budget and partner to be added Q1 2026</v>
      </c>
    </row>
    <row r="16" ht="25" customHeight="1">
      <c r="B16" s="15" t="str">
        <v>HLO budget subtotal</v>
      </c>
      <c r="H16" s="15">
        <f>SUM(H12:H15)</f>
      </c>
    </row>
  </sheetData>
  <mergeCells count="15">
    <mergeCell ref="A1:A2"/>
    <mergeCell ref="B1:B2"/>
    <mergeCell ref="C1:G1"/>
    <mergeCell ref="H1:H2"/>
    <mergeCell ref="I1:I2"/>
    <mergeCell ref="B3:B4"/>
    <mergeCell ref="H3:H4"/>
    <mergeCell ref="B5:B9"/>
    <mergeCell ref="H5:H9"/>
    <mergeCell ref="B11:G11"/>
    <mergeCell ref="A3:A11"/>
    <mergeCell ref="B12:B14"/>
    <mergeCell ref="H12:H14"/>
    <mergeCell ref="B16:G16"/>
    <mergeCell ref="A12:A16"/>
  </mergeCells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 t="str">
        <f>=SUM(B2:H2)</f>
        <v>0</v>
      </c>
    </row>
    <row r="3" ht="20" customHeight="1">
      <c r="A3" s="18" t="str">
        <v>Operations (supplies, consultants, travels, workshops, other)</v>
      </c>
      <c r="B3" s="18">
        <v>0</v>
      </c>
      <c r="C3" s="18">
        <v>20404</v>
      </c>
      <c r="D3" s="18">
        <v>0</v>
      </c>
      <c r="E3" s="18">
        <v>0</v>
      </c>
      <c r="F3" s="18">
        <v>0</v>
      </c>
      <c r="G3" s="18">
        <v>0</v>
      </c>
      <c r="H3" s="18">
        <v>3788</v>
      </c>
      <c r="I3" s="18" t="str">
        <f>=SUM(B3:H3)</f>
        <v>0</v>
      </c>
    </row>
    <row r="4" ht="20" customHeight="1">
      <c r="A4" s="18" t="str">
        <v>Staffing, Chargebacks and Indirect</v>
      </c>
      <c r="B4" s="18">
        <v>40000</v>
      </c>
      <c r="C4" s="18">
        <v>529802</v>
      </c>
      <c r="D4" s="18">
        <v>0</v>
      </c>
      <c r="E4" s="18">
        <v>0</v>
      </c>
      <c r="F4" s="18">
        <v>0</v>
      </c>
      <c r="G4" s="18">
        <v>0</v>
      </c>
      <c r="H4" s="18">
        <v>46212</v>
      </c>
      <c r="I4" s="18" t="str">
        <f>=SUM(B4:H4)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  <c r="I5" s="21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