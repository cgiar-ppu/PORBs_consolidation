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AI-Enabled Farm Advisory at Scale.</v>
      </c>
      <c r="B5" s="2">
        <v>0</v>
      </c>
      <c r="C5" s="5">
        <v>0</v>
      </c>
      <c r="D5" s="2">
        <v>2</v>
      </c>
      <c r="E5" s="5">
        <v>50854</v>
      </c>
      <c r="F5" s="2">
        <v>0</v>
      </c>
      <c r="G5" s="5">
        <v>0</v>
      </c>
      <c r="H5" s="2">
        <v>0</v>
      </c>
      <c r="I5" s="5">
        <v>0</v>
      </c>
      <c r="J5" s="5">
        <v>0</v>
      </c>
      <c r="K5" s="5">
        <v>0</v>
      </c>
      <c r="L5" s="5">
        <v>50854</v>
      </c>
      <c r="M5" s="5">
        <v>0</v>
      </c>
    </row>
    <row r="6" ht="20" customHeight="1">
      <c r="A6" s="2" t="str">
        <v>AOW02: Enabling Preparedness and Rapid Response to Emerging Shocks</v>
      </c>
      <c r="B6" s="2">
        <v>1</v>
      </c>
      <c r="C6" s="5">
        <v>35000</v>
      </c>
      <c r="D6" s="2">
        <v>2</v>
      </c>
      <c r="E6" s="5">
        <v>72323</v>
      </c>
      <c r="F6" s="2">
        <v>25</v>
      </c>
      <c r="G6" s="5">
        <v>35000</v>
      </c>
      <c r="H6" s="2">
        <v>0</v>
      </c>
      <c r="I6" s="5">
        <v>0</v>
      </c>
      <c r="J6" s="5">
        <v>0</v>
      </c>
      <c r="K6" s="5">
        <v>0</v>
      </c>
      <c r="L6" s="5">
        <v>142323</v>
      </c>
      <c r="M6" s="5">
        <v>317217</v>
      </c>
    </row>
    <row r="7" ht="20" customHeight="1">
      <c r="A7" s="2" t="str">
        <v>AOW03: Delivering Integrated Solutions to Systemic Farm-Level Binding Constraints</v>
      </c>
      <c r="B7" s="2">
        <v>4</v>
      </c>
      <c r="C7" s="5">
        <v>250880</v>
      </c>
      <c r="D7" s="2">
        <v>5</v>
      </c>
      <c r="E7" s="5">
        <v>308605.35</v>
      </c>
      <c r="F7" s="2">
        <v>0</v>
      </c>
      <c r="G7" s="5">
        <v>0</v>
      </c>
      <c r="H7" s="2">
        <v>0</v>
      </c>
      <c r="I7" s="5">
        <v>0</v>
      </c>
      <c r="J7" s="5">
        <v>20000</v>
      </c>
      <c r="K7" s="5">
        <v>0</v>
      </c>
      <c r="L7" s="5">
        <v>579485</v>
      </c>
      <c r="M7" s="5">
        <v>2160700</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3</v>
      </c>
      <c r="C9" s="5">
        <v>134907.76</v>
      </c>
      <c r="D9" s="2">
        <v>0</v>
      </c>
      <c r="E9" s="5">
        <v>0</v>
      </c>
      <c r="F9" s="2">
        <v>0</v>
      </c>
      <c r="G9" s="5">
        <v>0</v>
      </c>
      <c r="H9" s="2">
        <v>20</v>
      </c>
      <c r="I9" s="5">
        <v>65385</v>
      </c>
      <c r="J9" s="5">
        <v>0</v>
      </c>
      <c r="K9" s="5">
        <v>0</v>
      </c>
      <c r="L9" s="5">
        <v>200293</v>
      </c>
      <c r="M9" s="5">
        <v>650751</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0</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0</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1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 1.1: Agronomic and farm management scientific data and analytics  </v>
      </c>
      <c r="C3" s="11" t="str">
        <v>A standardized derivative-based phenological signal detection algorithm for planting date estimation, using satellite time-series data, (Calibrated method and Planting date map)</v>
      </c>
      <c r="D3" s="11" t="str">
        <v>Number of knowledge products</v>
      </c>
      <c r="E3" s="11" t="str">
        <v>Country: Kenya, India, Philippines</v>
      </c>
      <c r="F3" s="11">
        <v>2</v>
      </c>
      <c r="G3" s="11">
        <v>50854</v>
      </c>
      <c r="H3" s="11">
        <f>SUM(G3:G3)</f>
      </c>
      <c r="I3" s="11" t="str">
        <v>The method assumes that multi-source satellite time series have sufficient temporal and spatial quality to detect rice phenology reliably.</v>
      </c>
    </row>
    <row r="4" ht="25" customHeight="1">
      <c r="B4" s="14" t="str">
        <v>HLO budget subtotal</v>
      </c>
      <c r="H4" s="15">
        <f>SUM(H3:H3)</f>
      </c>
    </row>
    <row r="5" ht="50" customHeight="1">
      <c r="A5" s="13" t="str">
        <v>AOW02</v>
      </c>
      <c r="B5" s="11" t="str">
        <v xml:space="preserve">2.1: Enhanced resolution, accuracy and timeliness of early warning system </v>
      </c>
      <c r="C5" s="11"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D5" s="11" t="str">
        <v>Number of knowledge products</v>
      </c>
      <c r="E5" s="11" t="str">
        <v>Country: Rwanda, Malawi, Benin, Kenya, Côte d'Ivoire, Zambia, Philippines, Uganda, Peru, Nigeria</v>
      </c>
      <c r="F5" s="11">
        <v>1</v>
      </c>
      <c r="G5" s="11">
        <v>37029</v>
      </c>
      <c r="H5" s="11">
        <f>SUM(G5:G8)</f>
      </c>
      <c r="I5" s="11" t="str">
        <v>2026 Budget</v>
      </c>
    </row>
    <row r="6" ht="50" customHeight="1">
      <c r="A6" s="11" t="str">
        <v>AOW02</v>
      </c>
      <c r="C6" s="11"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D6" s="11" t="str">
        <v>Number of people trained (capacity sharing for development)</v>
      </c>
      <c r="E6" s="11" t="str">
        <v>Country: Zambia, Peru, Rwanda, Côte d'Ivoire, Benin, Nigeria, Kenya, Uganda, Malawi, Philippines</v>
      </c>
      <c r="F6" s="11">
        <v>25</v>
      </c>
      <c r="G6" s="11">
        <v>35000</v>
      </c>
      <c r="I6" s="11" t="str">
        <v>The capacity-building and publication outputs assume active engagement from local partners, availability of field sites and equipment for hands-on training, and timely access to high-quality field and remote sensing datasets.</v>
      </c>
    </row>
    <row r="7" ht="50" customHeight="1">
      <c r="A7" s="11" t="str">
        <v>AOW02</v>
      </c>
      <c r="C7" s="11"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D7" s="11" t="str">
        <v>Number of innovations (innovation development)</v>
      </c>
      <c r="E7" s="11" t="str">
        <v>Country: Rwanda, Benin, Philippines, Zambia, Kenya, Malawi, Côte d'Ivoire, Uganda, Nigeria</v>
      </c>
      <c r="F7" s="11">
        <v>1</v>
      </c>
      <c r="G7" s="11">
        <v>35000</v>
      </c>
      <c r="I7" s="11" t="str">
        <v>Innovations developed assume to be used for training</v>
      </c>
    </row>
    <row r="8" ht="50" customHeight="1">
      <c r="A8" s="11" t="str">
        <v>AOW02</v>
      </c>
      <c r="C8" s="11" t="str">
        <v>Training material and training activities to enhance early detection of water related shocks, pests and disease occurrence using AI and digital tools</v>
      </c>
      <c r="D8" s="11" t="str">
        <v>Number of knowledge products</v>
      </c>
      <c r="E8" s="11" t="str">
        <v>Country: Netherlands (Kingdom of the), Kenya, Philippines, Ethiopia, Cameroon, Nigeria, Tanzania, United Republic, The Democratic Republic of the Congo</v>
      </c>
      <c r="F8" s="11">
        <v>1</v>
      </c>
      <c r="G8" s="11">
        <v>35294</v>
      </c>
      <c r="I8" s="11" t="str">
        <v>2026 Budget</v>
      </c>
    </row>
    <row r="9" ht="25" customHeight="1">
      <c r="B9" s="15" t="str">
        <v>HLO budget subtotal</v>
      </c>
      <c r="H9" s="15">
        <f>SUM(H5:H8)</f>
      </c>
    </row>
    <row r="10" ht="50" customHeight="1">
      <c r="A10" s="13" t="str">
        <v>AOW03</v>
      </c>
      <c r="B10" s="11" t="str">
        <v xml:space="preserve">3.1: Farm-level diagnostic evidence on soil, plant, water, and socio-economic constraints </v>
      </c>
      <c r="C10" s="11" t="str">
        <v>KPI 1: Diagnostic characterization of farm-level binding constraints, with corresponding best-fit solution options integrated into the Sustainable Farming Dashboard (SFD) under AoW5</v>
      </c>
      <c r="D10" s="11" t="str">
        <v>Number of knowledge products</v>
      </c>
      <c r="E10" s="11" t="str">
        <v>Country: Bangladesh, India, Malawi, Kenya, Lao People's Democratic Republic, Ethiopia, Mexico, Nepal, Peru, Ghana, Nigeria</v>
      </c>
      <c r="F10" s="11">
        <v>2</v>
      </c>
      <c r="G10" s="11">
        <v>120000</v>
      </c>
      <c r="H10" s="11">
        <f>SUM(G10:G10)</f>
      </c>
      <c r="I10" s="11" t="str">
        <v>The delivery of this integrated package assumes timely access to multi-season remote sensing data, reliable ground diagnostics, and active collaboration with research and extension partners to co-develop and validate the Theory of Change.</v>
      </c>
    </row>
    <row r="11" ht="50" customHeight="1">
      <c r="A11" s="11" t="str">
        <v>AOW03</v>
      </c>
      <c r="B11" s="11" t="str">
        <v xml:space="preserve">3.2. Validated, farm-level management solutions </v>
      </c>
      <c r="C11" s="11" t="str">
        <v>Critical capabilities that enable R&amp;D to design, test, and refine sustainable farming innovations targeting priority farm-level constraints</v>
      </c>
      <c r="D11" s="11" t="str">
        <v>Number of knowledge products</v>
      </c>
      <c r="E11" s="11" t="str">
        <v>Country: Egypt, Morocco, Sri Lanka, Philippines, India, Malawi, Ethiopia, Nigeria, Cameroon, Côte d'Ivoire, Ghana, Kenya</v>
      </c>
      <c r="F11" s="11">
        <v>3</v>
      </c>
      <c r="G11" s="11">
        <v>188605.35</v>
      </c>
      <c r="H11" s="11">
        <f>SUM(G11:G13)</f>
      </c>
      <c r="I11" s="11" t="str">
        <v>This output assumes availability of sufficient, high-quality long-term experimental and observational data, enabling robust benchmarking of yield trends and accurate yield gap quantification using integrated machine learning approaches.</v>
      </c>
    </row>
    <row r="12" ht="50" customHeight="1">
      <c r="A12" s="11" t="str">
        <v>AOW03</v>
      </c>
      <c r="C12" s="11" t="str">
        <v>KPI 6: Systematic assessment capturing farmer uptake, contextual adaptation, and scaling trajectories of validated solutions addressing binding constraints</v>
      </c>
      <c r="D12" s="11" t="str">
        <v>Number of innovations (innovation development)</v>
      </c>
      <c r="E12" s="11" t="str">
        <v>Country: Kenya, India, Morocco, The Socialist Republic of Viet Nam, Cambodia, Philippines</v>
      </c>
      <c r="F12" s="11">
        <v>3</v>
      </c>
      <c r="G12" s="11">
        <v>180547</v>
      </c>
      <c r="I12" s="11" t="str">
        <v>This output assumes access to diverse pilot sites and farmer groups, active collaboration with local service providers, and inclusion of women and marginalized users in feedback processes.</v>
      </c>
    </row>
    <row r="13" ht="50" customHeight="1">
      <c r="A13" s="11" t="str">
        <v>AOW03</v>
      </c>
      <c r="C13" s="11" t="str">
        <v>KPI 5: Integrated, farm-level intervention packages that tackle clusters of interacting farm-level constraints to optimize agronomic outcomes</v>
      </c>
      <c r="D13" s="11" t="str">
        <v>Number of innovations (innovation development)</v>
      </c>
      <c r="E13" s="11" t="str">
        <v>Country: Ghana, Bangladesh, Sri Lanka, Nepal, Malawi, Morocco, Mexico, Tanzania, United Republic, Kenya, India, Ethiopia, Madagascar</v>
      </c>
      <c r="F13" s="11">
        <v>1</v>
      </c>
      <c r="G13" s="11">
        <v>70333</v>
      </c>
      <c r="I13" s="11" t="str">
        <v>This output assumes technical compatibility between RCM and the AKILIMO platform, agreement on API integration protocols, and partner commitment to support deployment and validation of site-specific agronomy recommendations for rice in Tanzania.</v>
      </c>
    </row>
    <row r="14" ht="25" customHeight="1">
      <c r="B14" s="15" t="str">
        <v>HLO budget subtotal</v>
      </c>
      <c r="H14" s="15">
        <f>SUM(H10:H13)</f>
      </c>
    </row>
    <row r="15" ht="50" customHeight="1" xml:space="preserve">
      <c r="A15" s="13" t="str">
        <v>AOW05</v>
      </c>
      <c r="B15" s="11" t="str">
        <v xml:space="preserve">5.1. Prioritization logic for deployment via partnership platforms available </v>
      </c>
      <c r="C15" s="11" t="str">
        <v>Standardized data collection tool (LCAS-APT; Landscape Crop Assessment Survey-Agronomy Prioritization Tool) supported by rapid analytics pipeline for AI-ready insights through a repository of R scripts.</v>
      </c>
      <c r="D15" s="11" t="str">
        <v>Number of innovations (innovation development)</v>
      </c>
      <c r="E15" s="11" t="str">
        <v>Country: Morocco, Philippines, Ethiopia, Kenya</v>
      </c>
      <c r="F15" s="11">
        <v>1</v>
      </c>
      <c r="G15" s="11">
        <v>50335.76</v>
      </c>
      <c r="H15" s="11">
        <f>SUM(G15:G15)</f>
      </c>
      <c r="I15" s="11" t="str" xml:space="preserve">
        <v xml:space="preserve">This output assumes access to harmonized datasets across priority sites, sufficient computing infrastructure, and active collaboration among data scientists and domain experts to co-develop and document the pipeline.
</v>
      </c>
    </row>
    <row r="16" ht="50" customHeight="1" xml:space="preserve">
      <c r="A16" s="11" t="str">
        <v>AOW05</v>
      </c>
      <c r="B16" s="11" t="str">
        <v xml:space="preserve">5.4: Tools and approaches to enable rapid insights, learnings and impact </v>
      </c>
      <c r="C16" s="11" t="str" xml:space="preserve">
        <v xml:space="preserve">Standardized approaches and guidelines for assessing KPIs across AoWs 1–3 developed, including an agreed list of indicators and assessment framework to ensure consistency and comparability in performance measurement.
 </v>
      </c>
      <c r="D16" s="11" t="str">
        <v>Number of innovations (innovation development)</v>
      </c>
      <c r="E16" s="11" t="str">
        <v>Country: Morocco, Senegal, Nigeria, Tanzania, United Republic, Ethiopia, Ghana, Rwanda, Philippines</v>
      </c>
      <c r="F16" s="11">
        <v>3</v>
      </c>
      <c r="G16" s="11">
        <v>64572</v>
      </c>
      <c r="H16" s="11">
        <f>SUM(G16:G16)</f>
      </c>
      <c r="I16" s="11" t="str">
        <v>2026Budget</v>
      </c>
    </row>
    <row r="17" ht="50" customHeight="1" xml:space="preserve">
      <c r="A17" s="11" t="str">
        <v>AOW05</v>
      </c>
      <c r="B17" s="11" t="str">
        <v xml:space="preserve">5.5. Well-documented, widely applicable and replicable partnership platforms </v>
      </c>
      <c r="C17" s="11"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D17" s="11" t="str">
        <v>Number of innovations (innovation development)</v>
      </c>
      <c r="E17" s="11" t="str">
        <v>Country: The Democratic Republic of the Congo, Ghana, Kenya, Nigeria, Tanzania, United Republic, Malawi, Mexico, Ethiopia, Egypt, Morocco, The Socialist Republic of Viet Nam, India, Philippines, Cambodia</v>
      </c>
      <c r="F17" s="11">
        <v>2</v>
      </c>
      <c r="G17" s="11">
        <v>20000</v>
      </c>
      <c r="H17" s="11">
        <f>SUM(G17:G18)</f>
      </c>
      <c r="I17" s="11" t="str" xml:space="preserve">
        <v xml:space="preserve">
This output assumes active commitment from diverse value chain actors and willingness of local and national partners to align processes and integrate with existing initiatives.
</v>
      </c>
    </row>
    <row r="18" ht="50" customHeight="1">
      <c r="A18" s="11" t="str">
        <v>AOW05</v>
      </c>
      <c r="C18" s="11" t="str">
        <v>Multi-stakeholder partnership platforms (PAASSs) engaging diverse partners to support the scaling of bundled solutions for multiple crops (cassava, maize, sorghum, soybean, teff, rice, cocoa, coffee, etc) and livestock emerging from AoWs 1–3 in different locations and countries.</v>
      </c>
      <c r="D18" s="11" t="str">
        <v xml:space="preserve"> Number of Partners engaged</v>
      </c>
      <c r="E18" s="11" t="str">
        <v>Country: Kenya, Ghana, Mexico, Malawi, Tanzania, United Republic, Nigeria, Cambodia, India, Philippines, The Socialist Republic of Viet Nam, Ethiopia</v>
      </c>
      <c r="F18" s="11">
        <v>20</v>
      </c>
      <c r="G18" s="11">
        <v>65385</v>
      </c>
      <c r="I18" s="11" t="str">
        <v>This output assumes active commitment from diverse value chain actors and willingness of local and national partners to align processes and integrate with existing initiatives.</v>
      </c>
    </row>
    <row r="19" ht="25" customHeight="1">
      <c r="B19" s="15" t="str">
        <v>HLO budget subtotal</v>
      </c>
      <c r="H19" s="15">
        <f>SUM(H15:H18)</f>
      </c>
    </row>
  </sheetData>
  <mergeCells count="19">
    <mergeCell ref="A1:A2"/>
    <mergeCell ref="B1:B2"/>
    <mergeCell ref="C1:G1"/>
    <mergeCell ref="H1:H2"/>
    <mergeCell ref="I1:I2"/>
    <mergeCell ref="B4:G4"/>
    <mergeCell ref="A3:A4"/>
    <mergeCell ref="B5:B8"/>
    <mergeCell ref="H5:H8"/>
    <mergeCell ref="B9:G9"/>
    <mergeCell ref="A5:A9"/>
    <mergeCell ref="B11:B13"/>
    <mergeCell ref="H11:H13"/>
    <mergeCell ref="B14:G14"/>
    <mergeCell ref="A10:A14"/>
    <mergeCell ref="B17:B18"/>
    <mergeCell ref="H17:H18"/>
    <mergeCell ref="B19:G19"/>
    <mergeCell ref="A15:A19"/>
  </mergeCells>
  <ignoredErrors>
    <ignoredError numberStoredAsText="1" sqref="A1:I19"/>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AOW03</v>
      </c>
      <c r="B2" s="11" t="str">
        <v>National Agricultural Extension Center</v>
      </c>
      <c r="C2" s="11" t="str">
        <v>3.2. Validated, farm-level management solutions</v>
      </c>
      <c r="D2" s="11" t="str">
        <v>The Socialist Republic of Viet Nam</v>
      </c>
      <c r="E2" s="11">
        <v>10000</v>
      </c>
      <c r="F2" s="11" t="str">
        <v>This output assumes access to diverse pilot sites and farmer groups, active collaboration with local service providers, and inclusion of women and marginalized users in feedback processes.</v>
      </c>
    </row>
    <row r="3" ht="70" customHeight="1">
      <c r="A3" s="11" t="str">
        <v>AOW03</v>
      </c>
      <c r="B3" s="11" t="str">
        <v>Bihar Agricultural University</v>
      </c>
      <c r="C3" s="11" t="str">
        <v>3.1: Farm-level diagnostic evidence on soil, plant, water, and socio-economic constraints</v>
      </c>
      <c r="D3" s="11" t="str">
        <v>India</v>
      </c>
      <c r="E3" s="11">
        <v>10000</v>
      </c>
      <c r="F3" s="11" t="str">
        <v>The delivery of this integrated package assumes timely access to multi-season remote sensing data, reliable ground diagnostics, and active collaboration with research and extension partners to co-develop and validate the Theory of Change.</v>
      </c>
    </row>
    <row r="4" ht="25" customHeight="1">
      <c r="B4" s="14" t="str">
        <v>Contracted partners subtotal</v>
      </c>
      <c r="E4" s="14">
        <f>SUM(E2:E3)</f>
      </c>
    </row>
  </sheetData>
  <mergeCells count="2">
    <mergeCell ref="B4:D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F21"/>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R-A-2023-56</v>
      </c>
      <c r="B2" s="19" t="str">
        <v>AOW05</v>
      </c>
      <c r="C2" s="18" t="str">
        <v xml:space="preserve">5.5. Well-documented, widely applicable and replicable partnership platforms </v>
      </c>
      <c r="D2" s="19">
        <v>209992</v>
      </c>
      <c r="E2" s="19" t="str">
        <f>=SUM(D2:D3)</f>
        <v>0</v>
      </c>
      <c r="F2" s="19" t="str">
        <v>This output assumes strong collaboration among research, policy, and implementation partners; availability of field sites and farmer networks for piloting; and institutional support for integrating precision, low-carbon, and organic fertilizer innovations</v>
      </c>
    </row>
    <row r="3" ht="30" customHeight="1">
      <c r="A3" s="18" t="str">
        <v>R-A-2023-56</v>
      </c>
      <c r="B3" s="19" t="str">
        <v>AOW03</v>
      </c>
      <c r="C3" s="18" t="str">
        <v xml:space="preserve">3.3: Scaled and adopted farm management solutions </v>
      </c>
      <c r="D3" s="19">
        <v>0</v>
      </c>
    </row>
    <row r="4" ht="30" customHeight="1">
      <c r="A4" s="18" t="str">
        <v>R-A-2023-20-DSR-India</v>
      </c>
      <c r="B4" s="19" t="str">
        <v>AOW05</v>
      </c>
      <c r="C4" s="18" t="str">
        <v xml:space="preserve">5.5. Well-documented, widely applicable and replicable partnership platforms </v>
      </c>
      <c r="D4" s="19">
        <v>0</v>
      </c>
      <c r="E4" s="19" t="str">
        <f>=SUM(D4:D5)</f>
        <v>0</v>
      </c>
    </row>
    <row r="5" ht="30" customHeight="1">
      <c r="A5" s="18" t="str">
        <v>R-A-2023-20-DSR-India</v>
      </c>
      <c r="B5" s="19" t="str">
        <v>AOW03</v>
      </c>
      <c r="C5" s="18" t="str">
        <v xml:space="preserve">3.3: Scaled and adopted farm management solutions </v>
      </c>
      <c r="D5" s="19">
        <v>0</v>
      </c>
    </row>
    <row r="6" ht="30" customHeight="1">
      <c r="A6" s="18" t="str">
        <v>R-A-2024-25-Madhya Pradesh_Rice Inbreds and Hybrids</v>
      </c>
      <c r="B6" s="19" t="str">
        <v>AOW05</v>
      </c>
      <c r="C6" s="18" t="str">
        <v xml:space="preserve">5.5. Well-documented, widely applicable and replicable partnership platforms </v>
      </c>
      <c r="D6" s="19">
        <v>178019</v>
      </c>
      <c r="E6" s="19" t="str">
        <f>=SUM(D6:D8)</f>
        <v>0</v>
      </c>
      <c r="F6" s="19" t="str">
        <v>2026 budget from the dashboard</v>
      </c>
    </row>
    <row r="7" ht="30" customHeight="1">
      <c r="A7" s="18" t="str">
        <v>R-A-2024-25-Madhya Pradesh_Rice Inbreds and Hybrids</v>
      </c>
      <c r="B7" s="19" t="str">
        <v>AOW01</v>
      </c>
      <c r="C7" s="18" t="str">
        <v xml:space="preserve">1.1: Partners running AI-enabled advisory services integrate evidence-based data </v>
      </c>
      <c r="D7" s="19">
        <v>0</v>
      </c>
    </row>
    <row r="8" ht="30" customHeight="1">
      <c r="A8" s="18" t="str">
        <v>R-A-2024-25-Madhya Pradesh_Rice Inbreds and Hybrids</v>
      </c>
      <c r="B8" s="19" t="str">
        <v>AOW03</v>
      </c>
      <c r="C8" s="18" t="str">
        <v xml:space="preserve">3.3: Scaled and adopted farm management solutions </v>
      </c>
      <c r="D8" s="19">
        <v>0</v>
      </c>
    </row>
    <row r="9" ht="30" customHeight="1">
      <c r="A9" s="18" t="str">
        <v>R-A-2022-71-ICAR 2023 - 2027</v>
      </c>
      <c r="B9" s="19" t="str">
        <v>AOW05</v>
      </c>
      <c r="C9" s="18" t="str">
        <v xml:space="preserve">5.5. Well-documented, widely applicable and replicable partnership platforms </v>
      </c>
      <c r="D9" s="19">
        <v>262740</v>
      </c>
      <c r="E9" s="19" t="str">
        <f>=SUM(D9:D12)</f>
        <v>0</v>
      </c>
      <c r="F9" s="19" t="str">
        <v>2026 budget from the dashboard</v>
      </c>
    </row>
    <row r="10" ht="30" customHeight="1">
      <c r="A10" s="18" t="str">
        <v>R-A-2022-71-ICAR 2023 - 2027</v>
      </c>
      <c r="B10" s="19" t="str">
        <v>AOW02</v>
      </c>
      <c r="C10" s="18" t="str">
        <v>2.2: Strategies for response to water related shocks</v>
      </c>
      <c r="D10" s="19">
        <v>0</v>
      </c>
    </row>
    <row r="11" ht="30" customHeight="1">
      <c r="A11" s="18" t="str">
        <v>R-A-2022-71-ICAR 2023 - 2027</v>
      </c>
      <c r="B11" s="19" t="str">
        <v>AOW01</v>
      </c>
      <c r="C11" s="18" t="str">
        <v xml:space="preserve">1.1: Partners running AI-enabled advisory services integrate evidence-based data </v>
      </c>
      <c r="D11" s="19">
        <v>0</v>
      </c>
    </row>
    <row r="12" ht="30" customHeight="1">
      <c r="A12" s="18" t="str">
        <v>R-A-2022-71-ICAR 2023 - 2027</v>
      </c>
      <c r="B12" s="19" t="str">
        <v>AOW03</v>
      </c>
      <c r="C12" s="18" t="str">
        <v xml:space="preserve">3.3: Scaled and adopted farm management solutions </v>
      </c>
      <c r="D12" s="19">
        <v>0</v>
      </c>
    </row>
    <row r="13" ht="30" customHeight="1">
      <c r="A13" s="18" t="str">
        <v>R-A-2024-191 AGRI</v>
      </c>
      <c r="B13" s="19" t="str">
        <v>AOW02</v>
      </c>
      <c r="C13" s="18" t="str">
        <v xml:space="preserve">2.3: Responses effectiveness and trade-offs to climate, pests and diseases shocks </v>
      </c>
      <c r="D13" s="19">
        <v>317217</v>
      </c>
      <c r="E13" s="19" t="str">
        <f>=SUM(D13:D13)</f>
        <v>0</v>
      </c>
      <c r="F13" s="19" t="str">
        <v>This output assumes continued commitment from partners to implement carbon credit initiatives and the sustained demand for GHG measurements to support piloting and verification of low-emission rice systems across ASEAN countries.</v>
      </c>
    </row>
    <row r="14" ht="30" customHeight="1">
      <c r="A14" s="18" t="str">
        <v>R-A-2023-67-MHRA</v>
      </c>
      <c r="B14" s="19" t="str">
        <v>AOW01</v>
      </c>
      <c r="C14" s="18" t="str">
        <v xml:space="preserve">1.3: Partners adopt benchmarking tools </v>
      </c>
      <c r="D14" s="19">
        <v>0</v>
      </c>
      <c r="E14" s="19" t="str">
        <f>=SUM(D14:D15)</f>
        <v>0</v>
      </c>
    </row>
    <row r="15" ht="30" customHeight="1">
      <c r="A15" s="18" t="str">
        <v>R-A-2023-67-MHRA</v>
      </c>
      <c r="B15" s="19" t="str">
        <v>AOW03</v>
      </c>
      <c r="C15" s="18" t="str">
        <v xml:space="preserve">3.2. Validated, farm-level management solutions </v>
      </c>
      <c r="D15" s="19">
        <v>0</v>
      </c>
    </row>
    <row r="16" ht="30" customHeight="1">
      <c r="A16" s="18" t="str">
        <v>R-A-2022-118-Credits Offsetting Rice Emissions</v>
      </c>
      <c r="B16" s="19" t="str">
        <v>AOW03</v>
      </c>
      <c r="C16" s="18" t="str">
        <v xml:space="preserve">3.3: Scaled and adopted farm management solutions </v>
      </c>
      <c r="D16" s="19">
        <v>0</v>
      </c>
      <c r="E16" s="19" t="str">
        <f>=SUM(D16:D16)</f>
        <v>0</v>
      </c>
    </row>
    <row r="17" ht="30" customHeight="1">
      <c r="A17" s="18" t="str">
        <v>R-A-2024-130 CRFM</v>
      </c>
      <c r="B17" s="19" t="str">
        <v>AOW03</v>
      </c>
      <c r="C17" s="18" t="str">
        <v xml:space="preserve">3.3: Scaled and adopted farm management solutions </v>
      </c>
      <c r="D17" s="19">
        <v>0</v>
      </c>
      <c r="E17" s="19" t="str">
        <f>=SUM(D17:D17)</f>
        <v>0</v>
      </c>
    </row>
    <row r="18" ht="30" customHeight="1">
      <c r="A18" s="18" t="str">
        <v>R-A-2024-19-ISARC Phase III</v>
      </c>
      <c r="B18" s="19" t="str">
        <v>AOW03</v>
      </c>
      <c r="C18" s="18" t="str">
        <v xml:space="preserve">3.3: Scaled and adopted farm management solutions </v>
      </c>
      <c r="D18" s="19">
        <v>1724911</v>
      </c>
      <c r="E18" s="19" t="str">
        <f>=SUM(D18:D18)</f>
        <v>0</v>
      </c>
      <c r="F18" s="19" t="str">
        <v>This output assumes continued commitment and coordination among government, private sector, and development partners, as well as the readiness of farmers, women, and youth to engage in mechanized, digital, and market-driven innovations.</v>
      </c>
    </row>
    <row r="19" ht="30" customHeight="1">
      <c r="A19" s="18" t="str">
        <v>R-A-2022-52-Direct Seeding Indo Gangetic</v>
      </c>
      <c r="B19" s="19" t="str">
        <v>AOW03</v>
      </c>
      <c r="C19" s="18" t="str">
        <v xml:space="preserve">3.1: Farm-level diagnostic evidence on soil, plant, water, and socio-economic constraints </v>
      </c>
      <c r="D19" s="19">
        <v>295677</v>
      </c>
      <c r="E19" s="19" t="str">
        <f>=SUM(D19:D19)</f>
        <v>0</v>
      </c>
      <c r="F19" s="19" t="str">
        <v>This output assumes that breeding programs will successfully develop and release rice varieties suitable for direct-seeded conditions, and that these varieties can be effectively integrated with agronomic interventions.</v>
      </c>
    </row>
    <row r="20" ht="30" customHeight="1">
      <c r="A20" s="18" t="str">
        <v>R-A-2022-80-REMET</v>
      </c>
      <c r="B20" s="19" t="str">
        <v>AOW03</v>
      </c>
      <c r="C20" s="18" t="str">
        <v xml:space="preserve">3.1: Farm-level diagnostic evidence on soil, plant, water, and socio-economic constraints </v>
      </c>
      <c r="D20" s="19">
        <v>140112</v>
      </c>
      <c r="E20" s="19" t="str">
        <f>=SUM(D20:D20)</f>
        <v>0</v>
      </c>
      <c r="F20" s="19" t="str">
        <v>This output assumes that high-quality, comprehensive datasets are available and sufficient to support modeling efforts and to accurately understand the mechanisms driving GHG emissions in diverse rice-based cropping systems.</v>
      </c>
    </row>
    <row r="21" ht="30" customHeight="1">
      <c r="A21" s="3" t="str">
        <v>W3/Bilateral projects subtotal</v>
      </c>
      <c r="E21" s="3">
        <f>SUM(E2:E20)</f>
      </c>
    </row>
  </sheetData>
  <mergeCells count="11">
    <mergeCell ref="A2:A3"/>
    <mergeCell ref="A4:A5"/>
    <mergeCell ref="A6:A8"/>
    <mergeCell ref="A9:A12"/>
    <mergeCell ref="A14:A15"/>
    <mergeCell ref="E2:E3"/>
    <mergeCell ref="E4:E5"/>
    <mergeCell ref="E6:E8"/>
    <mergeCell ref="E9:E12"/>
    <mergeCell ref="E14:E15"/>
    <mergeCell ref="A21:D21"/>
  </mergeCells>
  <ignoredErrors>
    <ignoredError numberStoredAsText="1" sqref="A1:F21"/>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xml:space="preserve">
      <c r="A2" s="18" t="str" xml:space="preserve">
        <v xml:space="preserve">Digital inclusivity of AI advisories and SFP solutions assessed using CGIAR Inclusivity Index to ensure equitable access for women, youth, and disadvantaged groups.
 </v>
      </c>
      <c r="B2" s="19" t="str">
        <v>AOW00</v>
      </c>
      <c r="C2" s="18" t="str">
        <v xml:space="preserve">5b: CGIAR and its partners leverage standardized tools, MELIA frameworks, partnership platforms, and FAIR, AI-ready </v>
      </c>
      <c r="D2" s="19">
        <v>0</v>
      </c>
      <c r="E2" s="19" t="str">
        <f>=SUM(D2:D4)</f>
        <v>0</v>
      </c>
    </row>
    <row r="3" ht="30" customHeight="1" xml:space="preserve">
      <c r="A3" s="18" t="str" xml:space="preserve">
        <v xml:space="preserve">Digital inclusivity of AI advisories and SFP solutions assessed using CGIAR Inclusivity Index to ensure equitable access for women, youth, and disadvantaged groups.
 </v>
      </c>
      <c r="B3" s="19" t="str">
        <v>AOW05</v>
      </c>
      <c r="C3" s="18" t="str">
        <v xml:space="preserve">5.4: SFP teams and partners use Standard MELIA tools and KPI framework </v>
      </c>
      <c r="D3" s="19">
        <v>0</v>
      </c>
    </row>
    <row r="4" ht="30" customHeight="1" xml:space="preserve">
      <c r="A4" s="18" t="str" xml:space="preserve">
        <v xml:space="preserve">Digital inclusivity of AI advisories and SFP solutions assessed using CGIAR Inclusivity Index to ensure equitable access for women, youth, and disadvantaged groups.
 </v>
      </c>
      <c r="B4" s="19" t="str">
        <v>AOW01</v>
      </c>
      <c r="C4" s="18" t="str">
        <v xml:space="preserve">1.3: Partners adopt benchmarking tools </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20000</v>
      </c>
      <c r="F2" s="20">
        <v>0</v>
      </c>
      <c r="G2" s="20">
        <v>0</v>
      </c>
      <c r="H2" s="20" t="str">
        <f>=SUM(B2:G2)</f>
        <v>0</v>
      </c>
    </row>
    <row r="3" ht="20" customHeight="1">
      <c r="A3" s="20" t="str">
        <v>Operations (supplies, consultants, travels, workshops, other)</v>
      </c>
      <c r="B3" s="20">
        <v>0</v>
      </c>
      <c r="C3" s="20">
        <v>5000</v>
      </c>
      <c r="D3" s="20">
        <v>35000</v>
      </c>
      <c r="E3" s="20">
        <v>151441</v>
      </c>
      <c r="F3" s="20">
        <v>0</v>
      </c>
      <c r="G3" s="20">
        <v>40000</v>
      </c>
      <c r="H3" s="20" t="str">
        <f>=SUM(B3:G3)</f>
        <v>0</v>
      </c>
    </row>
    <row r="4" ht="20" customHeight="1">
      <c r="A4" s="20" t="str">
        <v>Staffing, Chargebacks and Indirect</v>
      </c>
      <c r="B4" s="20">
        <v>0</v>
      </c>
      <c r="C4" s="20">
        <v>45854</v>
      </c>
      <c r="D4" s="20">
        <v>107323</v>
      </c>
      <c r="E4" s="20">
        <v>408044</v>
      </c>
      <c r="F4" s="20">
        <v>0</v>
      </c>
      <c r="G4" s="20">
        <v>160293</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