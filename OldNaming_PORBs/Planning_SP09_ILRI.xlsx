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Engage and Empower</v>
      </c>
      <c r="B5" s="2">
        <v>0</v>
      </c>
      <c r="C5" s="5">
        <v>0</v>
      </c>
      <c r="D5" s="2">
        <v>0</v>
      </c>
      <c r="E5" s="5">
        <v>0</v>
      </c>
      <c r="F5" s="2">
        <v>0</v>
      </c>
      <c r="G5" s="5">
        <v>0</v>
      </c>
      <c r="H5" s="2">
        <v>0</v>
      </c>
      <c r="I5" s="5">
        <v>0</v>
      </c>
      <c r="J5" s="5">
        <v>0</v>
      </c>
      <c r="K5" s="5">
        <v>0</v>
      </c>
      <c r="L5" s="5">
        <v>0</v>
      </c>
      <c r="M5" s="5">
        <v>0</v>
      </c>
    </row>
    <row r="6" ht="20" customHeight="1">
      <c r="A6" s="2" t="str">
        <v>AOW02: Grand Challenges and Scaling Flagships</v>
      </c>
      <c r="B6" s="2">
        <v>0</v>
      </c>
      <c r="C6" s="5">
        <v>0</v>
      </c>
      <c r="D6" s="2">
        <v>0</v>
      </c>
      <c r="E6" s="5">
        <v>0</v>
      </c>
      <c r="F6" s="2">
        <v>0</v>
      </c>
      <c r="G6" s="5">
        <v>0</v>
      </c>
      <c r="H6" s="2">
        <v>1</v>
      </c>
      <c r="I6" s="5">
        <v>271658</v>
      </c>
      <c r="J6" s="5">
        <v>30000</v>
      </c>
      <c r="K6" s="5">
        <v>0</v>
      </c>
      <c r="L6" s="5">
        <v>301658</v>
      </c>
      <c r="M6" s="5">
        <v>0</v>
      </c>
    </row>
    <row r="7" ht="20" customHeight="1">
      <c r="A7" s="2" t="str">
        <v>AOW03: Enabling Environment Lab</v>
      </c>
      <c r="B7" s="2">
        <v>0</v>
      </c>
      <c r="C7" s="5">
        <v>0</v>
      </c>
      <c r="D7" s="2">
        <v>0</v>
      </c>
      <c r="E7" s="5">
        <v>0</v>
      </c>
      <c r="F7" s="2">
        <v>0</v>
      </c>
      <c r="G7" s="5">
        <v>0</v>
      </c>
      <c r="H7" s="2">
        <v>0</v>
      </c>
      <c r="I7" s="5">
        <v>0</v>
      </c>
      <c r="J7" s="5">
        <v>0</v>
      </c>
      <c r="K7" s="5">
        <v>0</v>
      </c>
      <c r="L7" s="5">
        <v>0</v>
      </c>
      <c r="M7" s="5">
        <v>1341430</v>
      </c>
    </row>
    <row r="8" ht="20" customHeight="1">
      <c r="A8" s="2" t="str">
        <v>AOW04: Achieving Impact by Unlocking Finance and Partnerships</v>
      </c>
      <c r="B8" s="2">
        <v>0</v>
      </c>
      <c r="C8" s="5">
        <v>0</v>
      </c>
      <c r="D8" s="2">
        <v>0</v>
      </c>
      <c r="E8" s="5">
        <v>0</v>
      </c>
      <c r="F8" s="2">
        <v>8</v>
      </c>
      <c r="G8" s="5">
        <v>186083</v>
      </c>
      <c r="H8" s="2">
        <v>14</v>
      </c>
      <c r="I8" s="5">
        <v>211142</v>
      </c>
      <c r="J8" s="5">
        <v>145000</v>
      </c>
      <c r="K8" s="5">
        <v>0</v>
      </c>
      <c r="L8" s="5">
        <v>542225</v>
      </c>
      <c r="M8" s="5">
        <v>0</v>
      </c>
    </row>
    <row r="9" ht="20" customHeight="1">
      <c r="A9" s="2" t="str">
        <v>AOW05: Learning for Impact</v>
      </c>
      <c r="B9" s="2">
        <v>4</v>
      </c>
      <c r="C9" s="5">
        <v>0.01</v>
      </c>
      <c r="D9" s="2">
        <v>0</v>
      </c>
      <c r="E9" s="5">
        <v>0</v>
      </c>
      <c r="F9" s="2">
        <v>177</v>
      </c>
      <c r="G9" s="5">
        <v>300956.98</v>
      </c>
      <c r="H9" s="2">
        <v>18</v>
      </c>
      <c r="I9" s="5">
        <v>225000.01</v>
      </c>
      <c r="J9" s="5">
        <v>185000</v>
      </c>
      <c r="K9" s="5">
        <v>275000</v>
      </c>
      <c r="L9" s="5">
        <v>985957</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18"/>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AOW02</v>
      </c>
      <c r="B3" s="11" t="str">
        <v>HLO 2.2.1: Access climate services and smart water management tools that improve adaptation decisions and resource efficiency.</v>
      </c>
      <c r="C3" s="11" t="str" xml:space="preserve">
        <v xml:space="preserve">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v>
      </c>
      <c r="D3" s="11" t="str">
        <v>Number of APIs</v>
      </c>
      <c r="E3" s="11" t="str">
        <v>Country: Kenya</v>
      </c>
      <c r="F3" s="11">
        <v>1</v>
      </c>
      <c r="G3" s="11">
        <v>26617</v>
      </c>
      <c r="H3" s="11">
        <f>SUM(G3:G4)</f>
      </c>
      <c r="I3" s="11" t="str">
        <v>One fully operational automated API connecting KMD climate forecasts to KAOP and functioning across 10 counties by the end of 2026,</v>
      </c>
    </row>
    <row r="4" ht="50" customHeight="1" xml:space="preserve">
      <c r="A4" s="11" t="str">
        <v>AOW02</v>
      </c>
      <c r="C4" s="11" t="str" xml:space="preserve">
        <v xml:space="preserve">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v>
      </c>
      <c r="D4" s="11" t="str">
        <v xml:space="preserve"> Number of extension agents</v>
      </c>
      <c r="E4" s="11" t="str">
        <v>Country: Kenya</v>
      </c>
      <c r="F4" s="11">
        <v>1150</v>
      </c>
      <c r="G4" s="11">
        <v>26617</v>
      </c>
      <c r="I4" s="11" t="str">
        <v xml:space="preserve">1,150 trained extension agents and agripreneurs delivering climate advisories; 500,000 smallholder farmers receiving automated SMS/USSD/IVR advisories through KAOP by 2026. </v>
      </c>
    </row>
    <row r="5" ht="50" customHeight="1" xml:space="preserve">
      <c r="A5" s="11" t="str">
        <v>AOW02</v>
      </c>
      <c r="B5" s="11" t="str">
        <v>HLO 2.2.3: Nutrition-smart crop and livestock systems and inclusive food markets, with increased jobs, improved livelihoods, and enhanced access for women and youth to diverse, safe, and affordable diets.</v>
      </c>
      <c r="C5" s="11" t="str" xml:space="preserve">
        <v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v>
      </c>
      <c r="D5" s="11" t="str">
        <v>Number of smallholder farmers</v>
      </c>
      <c r="E5" s="11" t="str">
        <v>Country: Ethiopia, Zambia</v>
      </c>
      <c r="F5" s="11">
        <v>53234</v>
      </c>
      <c r="G5" s="11">
        <v>218424</v>
      </c>
      <c r="H5" s="11">
        <f>SUM(G5:G5)</f>
      </c>
      <c r="I5" s="11" t="str">
        <v>Assumption: Continued government prioritization of livestock feed systems and stable policy support for private-sector engagement in forage markets.</v>
      </c>
    </row>
    <row r="6" ht="25" customHeight="1">
      <c r="B6" s="14" t="str">
        <v>HLO budget subtotal</v>
      </c>
      <c r="H6" s="15">
        <f>SUM(H3:H5)</f>
      </c>
    </row>
    <row r="7" ht="50" customHeight="1" xml:space="preserve">
      <c r="A7" s="13" t="str">
        <v>AOW04</v>
      </c>
      <c r="B7" s="11" t="str">
        <v>HLO 4.4.1: CGIAR Expertise and Solutions Embedded in Development Investments and Partnerships</v>
      </c>
      <c r="C7" s="11" t="str" xml:space="preserve">
        <v xml:space="preserve">CRITICAL CAPABILITY: A4ILRI-CC-1-PoD name: Poultry Solution Scaling Delivery Strategy. Lead Center: ILRI. PoD KPI: 8 – Eight partners cumulatively adopting advanced technologies in the poultry sector by the end of 2026 in Kenya. Suggested Disaggregation: Not applicable, as the KPI counts institutional partners rather than individuals. Indicator type: Innovation Development. Unit: Number of partners.
PoD Description: This package strengthens public- and private-sector capacity to scale poultry innovations in Kenya by demonstrating viable, replicable scaling pathways for mature CGIAR technologies and showcasing the operational model of the CGIAR Regional Scaling Hub for Agrifood Systems in Nairobi. By bridging the gap between research and development, the package will engage and support partners in adopting advanced poultry-sector technologies, catalyzing wider uptake across value chains and improving livelihoods dependent on poultry production. Through targeted technical engagement, capacity strengthening, and coordinated scaling support, the package will help institutional partners embed scalable solutions within their operations, contributing to more resilient, productive, and inclusive poultry systems in Kenya and informing CGIAR-wide replication of proven scaling delivery models. Accountable Center leading this PoD: ILRI. Anticipated partners: KALRO; regional poultry-sector organizations; and public–private partners engaged through the CGIAR Regional Scaling Hub for Agrifood Systems in Nairobi. MELIA: Monitoring, evaluation, and learning plans will be developed in early 2026 in cooperation with the S4I PMU and/or AoW‑5, and where needed will include baseline assessments and indicator tracking and reporting in line with Program and CGIAR guidelines.</v>
      </c>
      <c r="D7" s="11" t="str">
        <v xml:space="preserve"> Number of Partners</v>
      </c>
      <c r="E7" s="11" t="str">
        <v>Country: Kenya</v>
      </c>
      <c r="F7" s="11">
        <v>8</v>
      </c>
      <c r="G7" s="11">
        <v>69839</v>
      </c>
      <c r="H7" s="11">
        <f>SUM(G7:G7)</f>
      </c>
      <c r="I7" s="11" t="str" xml:space="preserve">
        <v xml:space="preserve">8 partners cumulative  adopting the advance technologies in poultry sector
Budget Allocated to Partner 5K
KALRO
</v>
      </c>
    </row>
    <row r="8" ht="50" customHeight="1" xml:space="preserve">
      <c r="A8" s="11" t="str">
        <v>AOW04</v>
      </c>
      <c r="B8" s="11" t="str">
        <v>HLO 4.4.2: Innovation portfolio management and scaling strategy support teams</v>
      </c>
      <c r="C8" s="11" t="str" xml:space="preserve">
        <v xml:space="preserve">A4P11.1: PoD name: Scaling Fund Lead Center: ILRI, PoD KPI: 8 – Eight projects cumulative supported by the Scaling Fund Facility, each equipped with actionable scaling strategies, strengthened delivery partnerships, and learning systems that enhance CGIAR-wide impact through AoW 4 by the end of 2026. Suggested Disaggregation: 3.2 projects benefiting women and youth (40%), 0.8 projects targeting marginalized groups (10%), and 4 projects for others (50%). Indicator type: Capacity Sharing Unit: Number of Projects.
PoD Description: This package delivers the Scaling Fund Facility, a strategic mechanism that accelerates the adoption of CGIAR innovations by combining catalytic financing with embedded technical support. It provides competitive scaling challenge windows and needs-driven support to address systemic barriers and bridge the gap between research outputs and large-scale use. The work up to 2026 targets priority countries including Kenya, Ethiopia, Nigeria, Guatemala, Colombia, and Zambia, offering tailored technical assistance on innovation packaging, delivery model optimization, and partnership development to ensure scalability and sustainability. Accountable Center leading this PoD: ILRI Anticipated partners: Several in each country depending on the scaling case e.g., FAO, relevant government and private sector players in each country for the various innovation teams. MELIA: Monitoring, evaluation, and learning plans will be developed in early 2026 in cooperation with the S4I PMU and/or AoW‑5, and where needed will include baseline assessments and indicator tracking and reporting in line with Program and CGIAR guidelines.</v>
      </c>
      <c r="D8" s="11" t="str">
        <v>Number of people trained (capacity sharing for development)</v>
      </c>
      <c r="E8" s="11" t="str">
        <v>Country: Zambia, Guatemala, Kenya, Ethiopia, Colombia, Nigeria</v>
      </c>
      <c r="F8" s="11">
        <v>8</v>
      </c>
      <c r="G8" s="11">
        <v>186083</v>
      </c>
      <c r="H8" s="11">
        <f>SUM(G8:G9)</f>
      </c>
      <c r="I8" s="11" t="str" xml:space="preserve">
        <v xml:space="preserve">Sufficient flexibility within the 2026 budget envelope to operationalize both the Challenge and Needs-Driven windows; continued interest from Centers and bilateral projects in accessing scaling support; and strong institutional alignment between the Facil-
Budget allocation to partner is 150K US$</v>
      </c>
    </row>
    <row r="9" ht="50" customHeight="1" xml:space="preserve">
      <c r="A9" s="11" t="str">
        <v>AOW04</v>
      </c>
      <c r="C9" s="11" t="str" xml:space="preserve">
        <v xml:space="preserve">A4P3.1: PoD name: Flagship Technical Assistance for Scaling Tracks Lead Center: ILRI. PoD KPI: 6 – Six CGIAR Programs, Accelerators, or bilateral projects supported through operational technical assistance for scaling, resulting in strengthened implementation and monitoring of evidence-based scaling strategies under AoW 4 by the end of 2026. Suggested Disaggregation: 2.4 strategies benefiting women and youth (40%), 0.6 strategies targeting marginalized groups (10%), and 3 strategies for others (50%). Indicator type: Other output. Unit: Number of CGIAR programs, accelerators or projects.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The work up to 2026 targets S4I Priority 1 geographies including Kenya, Ethiopia, Nigeria, Côte d'Ivoire,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v>
      </c>
      <c r="D9" s="11" t="str">
        <v xml:space="preserve"> Other Output-Number of CGIAR programs, accelerators or projects</v>
      </c>
      <c r="E9" s="11" t="str">
        <v>Global</v>
      </c>
      <c r="F9" s="11">
        <v>6</v>
      </c>
      <c r="G9" s="11">
        <v>141303</v>
      </c>
      <c r="I9" s="11" t="str">
        <v>Assumptions: smooth handover from PPU to S4I; high demand from Programs for technical support; stable W1/2 allocation to sustain expert engagement and system maintenance</v>
      </c>
    </row>
    <row r="10" ht="25" customHeight="1">
      <c r="B10" s="15" t="str">
        <v>HLO budget subtotal</v>
      </c>
      <c r="H10" s="15">
        <f>SUM(H7:H9)</f>
      </c>
    </row>
    <row r="11" ht="50" customHeight="1" xml:space="preserve">
      <c r="A11" s="13" t="str">
        <v>AOW05</v>
      </c>
      <c r="B11" s="11" t="str">
        <v xml:space="preserve">HLO 5.5.1: Enhancing scaling science for societal impact </v>
      </c>
      <c r="C11" s="11" t="str" xml:space="preserve">
        <v xml:space="preserve">A5P1.1: PoD name: South–South University Partnership for Scaling. Lead Center: ILRI. PoD KPI: 20 – Twenty organizations engaged and applying scaling science curricula by end-2026. Suggested Disaggregation: 8 African universities (40%), 6 Asian universities (30%), 6 from other Global South regions (30%). Indicator type: Capacity Sharing. Unit: Number of organizations.
PoD Description: This PoD builds institutional capacity for scaling science across universities in the Global South through the creation of a Global South University Learning Alliance. Working with IWMI, IITA, and partners such as RUFORUM and AFAAS, the initiative promotes South–South collaboration to co-design and integrate scaling science curricula, develop certificate programs, and establish peer learning networks. Activities include co-creation workshops, curriculum accreditation support, and a 10-day certification course for practitioners. By embedding scaling science within higher education systems, the PoD strengthens local innovation ecosystems, enhances institutional capacity, and contributes directly to S4I’s 2030 outcomes on responsible scaling and sustained institutional adoption of CGIAR approaches. By 2026, 20 organizations (universities and training institutions) will be engaged through the Global South University Learning Alliance, each integrating scaling science into curricula and training programs. Accountable Center: ILRI. Partners: IWMI, IITA, RUFORUM, AFAAS. Partner modality: In-kind collaboration for curriculum co-design, training, and institutional engagement;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11" s="11" t="str">
        <v>Number of people trained (capacity sharing for development)</v>
      </c>
      <c r="E11" s="11" t="str">
        <v>Country: Kenya, Côte d'Ivoire, Nigeria, Zambia, India, Bangladesh, Ethiopia</v>
      </c>
      <c r="F11" s="11">
        <v>20</v>
      </c>
      <c r="G11" s="11">
        <v>40000</v>
      </c>
      <c r="H11" s="11">
        <f>SUM(G11:G15)</f>
      </c>
      <c r="I11" s="11" t="str" xml:space="preserve">
        <v xml:space="preserve">Consistent engagement from CGIAR and partner universities; alignment of training objectives with national education frameworks; and continued demand for capacity development in scaling among Global South institutions.
Budget allocation for  RUFORUM, AFAAS- 5K</v>
      </c>
    </row>
    <row r="12" ht="50" customHeight="1" xml:space="preserve">
      <c r="A12" s="11" t="str">
        <v>AOW05</v>
      </c>
      <c r="C12" s="11" t="str" xml:space="preserve">
        <v xml:space="preserve">A5P5.1: PoD name: Nairobi Scaling Hub for Agrifood Systems. Lead Center: ILRI.  PoD KPI: 4 – Four regional and cross-Hub learning convenings completed by the end of 2026, strengthening collaboration, responsible scaling practice, and innovation delivery capacities across Kenya, Ethiopia, Zambia, Nigeria, Côte d'Ivoire, Egypt, Malawi, Morocco, DR Congo, and Tanzania. Suggested Disaggregation: 2,000 women and youth (50%), 800 marginalized groups (20%), 1,200 other individuals (30%). Indicator type: Capacity Sharing; Unit: Number of workshop reports. 
PoD Description: The Nairobi Scaling Hub will serve as CGIAR’s flagship Africa hub for scaling agrifood system innovations, hosted at ILRI’s Nairobi campus. As part of Scaling for Impact’s Area of Work 4 on Partnerships and Institutional Systems, it will provide a joint space for CGIAR and partners to co-create, broker, and accelerate scaling pathways for greater impact. The Hub capitalizes on Nairobi’s vibrant innovation ecosystem—combining CGIAR’s strong presence, an active multilateral and donor community, a dynamic private sector, and influential regional financial institutions. It will connect CGIAR’s scaling expertise with governments, investors, development banks, and enterprises to strengthen delivery capacity across Africa. Core activities include learning series and convenings with national and regional partners such as KALRO, and partnership brokering to support innovation portfolio management. The Hub will also facilitate investment mobilization and South–South learning through linkages with CGIAR’s global Scaling Hub network in Asia and Latin America. By fostering collaboration, knowledge exchange, and financing, the Nairobi Hub will accelerate agrifood systems transformation, serving as a continental gateway for scaling science and partnerships that deliver tangible benefits for farmers, enterprises, and policy systems. Accountable Center leading this PoD: ILRI. Anticipated partners: Deutsche Gesellschaft für Internationale Zusammenarbeit (GIZ), Food and Agriculture Organization (FAO), KALRO, AGRA, and other regional investors. MELIA: Monitoring, evaluation, and learning plans will be developed in early 2026 in cooperation with the S4I PMU and/or AoW‑5, and where needed will include baseline assessments and indicator tracking and reporting in line with Program and CGIAR guidelines.</v>
      </c>
      <c r="D12" s="11" t="str">
        <v>Number of people trained (capacity sharing for development)</v>
      </c>
      <c r="E12" s="11" t="str">
        <v>Country: Côte d'Ivoire, Nigeria, Ethiopia, Kenya, Egypt, Tanzania, United Republic, Malawi, Morocco, The Democratic Republic of the Congo, Zambia</v>
      </c>
      <c r="F12" s="11">
        <v>4</v>
      </c>
      <c r="G12" s="11">
        <v>155000</v>
      </c>
      <c r="I12" s="11" t="str" xml:space="preserve">
        <v xml:space="preserve">Consistent institutional support from ILRI and CGIAR Hubs; strong demand from national systems (e.g., KALRO) for applied scaling learning; and engagement from key regional partners and IFIs to sustain joint action and co-investment.
Budget allocation to Partner is 35K US$-for Deutsche Gesellschaft für Internationale Zusammenarbeit / German Society for International Cooperation; Food and Agriculture Organization of the United Nations; KALRO;AGRA and other regional investors
</v>
      </c>
    </row>
    <row r="13" ht="50" customHeight="1" xml:space="preserve">
      <c r="A13" s="11" t="str">
        <v>AOW05</v>
      </c>
      <c r="C13" s="11" t="str" xml:space="preserve">
        <v xml:space="preserve">A5P7.1: PoD name: Scaling Science Networks. Lead Center: ILRI. PoD KPI: 4 – Four co-authored scientific publications, including a special issue on responsible scaling and two conceptual frameworks, published by the end of 2026, consolidating global scaling science evidence. Suggested Disaggregation: 1,600 men (50%), 1,600 women (50%). Indicator type: Innovation Development; Unit: Number of publications.
PoD Description: The Scaling Science Networks initiative strengthens CGIAR’s global community of scaling researchers and practitioners, fostering collaboration, exchange, and thought leadership across the system. It aims to deepen the science of scaling by linking CGIAR, academic, and policy networks—particularly in the Global South—to co-develop actionable evidence and frameworks that improve innovation delivery and impact. The initiative connects PhD students, postdoctoral fellows, and senior researchers working on scaling-related topics. It will host a mix of online dialogues, peer learning, and an in-person retreat co-organized with Wageningen University (WU), exploring the establishment of a Special Chair on the Science of Scaling within WU’s Knowledge, Technology, and Innovation Group. These activities will strengthen scientific rigor, shared frameworks, and system-wide learning. By consolidating the global scaling science network and producing co-authored outputs, the initiative contributes directly to S4I’s HLO 5.1 (Enhancing scaling science for societal impact) and HLO 5.2 (Insights for CGIAR scaling success)—embedding evidence-based scaling practice within CGIAR’s research and innovation ecosystem. Accountable Center leading this PoD: ILRI. Anticipated partners: Alliance Bioversity–CIAT, CIMMYT, Wageningen University and Research Centre, and regional universities in Kenya, Ethiopia, Nigeria, Zambia, Guatemala, and Colombia. MELIA: Monitoring, evaluation, and learning plans will be developed in early 2026 in cooperation with the S4I PMU and/or AoW‑5, and where needed will include baseline assessments and indicator tracking and reporting in line with Program and CGIAR guidelines.</v>
      </c>
      <c r="D13" s="11" t="str">
        <v>Number of innovations (innovation development)</v>
      </c>
      <c r="E13" s="11" t="str">
        <v>Country: Zambia, Kenya, Nigeria, Colombia, Ethiopia, Guatemala</v>
      </c>
      <c r="F13" s="11">
        <v>4</v>
      </c>
      <c r="G13" s="11">
        <v>0.01</v>
      </c>
      <c r="I13" s="11" t="str" xml:space="preserve">
        <v xml:space="preserve">Full budget 95K allocated to partner - Wageningen University and Research Centre
</v>
      </c>
    </row>
    <row r="14" ht="50" customHeight="1" xml:space="preserve">
      <c r="A14" s="11" t="str">
        <v>AOW05</v>
      </c>
      <c r="C14" s="11" t="str" xml:space="preserve">
        <v xml:space="preserve">A5P7.2: PoD name: Scaling Week 2026. Lead Center: ILRI. PoD KPI: 150 – One hundred and fifty participants engaged across all Scaling Week 2026 activities by the end of 2026, including Deal Rooms, Maker Spaces, and cross-Program learning exchanges, with balanced participation from Kenya, Ethiopia, Bangladesh, India, Zambia, Nigeria, and Côte d'Ivoire. Suggested Disaggregation: 80 men (53%), 70 women (47%). Indicator type: Capacity Sharing; Unit: Number of individuals.
PoD Description: Scaling Week 2026 will serve as CGIAR’s flagship global convening on scaling agrifood innovations, building on the success of previous editions hosted at ILRI Nairobi. It brings together researchers, practitioners, funders, and policymakers to connect science, strategy, and partnerships for large-scale impact. The 2026 edition will expand on past formats through new features such as Deal Rooms, where CGIAR teams pitch investment-ready scaling packages to development banks and private investors, and Maker Spaces for co-creation of delivery models and cross-program collaboration. Sessions will focus on responsible scaling, inclusion, and enabling environments, supported by curated peer learning and facilitated exchanges. Learning from Flagship Scaling Cases and cross-Program adaptive management sessions will be featured during Scaling Week 2026. Outcomes will include refined scaling strategies, partnership commitments, and shared evidence on scaling effectiveness. Scaling Week contributes directly to HLO 5.1 and HLO 4.2 by generating applied evidence, fostering peer learning, and strengthening CGIAR’s position as a convener of the global scaling community. Accountable Center leading this PoD: IWMI. Anticipated partners: Deutsche Gesellschaft für Internationale Zusammenarbeit (GIZ), Food and Agriculture Organization (FAO), KALRO, RUFORUM, AFAAS, The World Bank, Gates Foundations, and many more. MELIA: Monitoring, evaluation, and learning plans will be developed in early 2026 in cooperation with the S4I PMU and/or AoW‑5, and where needed will include baseline assessments and indicator tracking and reporting in line with Program and CGIAR guidelines.</v>
      </c>
      <c r="D14" s="11" t="str">
        <v>Number of people trained (capacity sharing for development)</v>
      </c>
      <c r="E14" s="11" t="str">
        <v>Country: Bangladesh, Kenya, Anguilla, Côte d'Ivoire, Zambia, Ethiopia, Nigeria</v>
      </c>
      <c r="F14" s="11">
        <v>150</v>
      </c>
      <c r="G14" s="11">
        <v>90956.98</v>
      </c>
      <c r="I14" s="11" t="str">
        <v>Sustained funding support and coordination across CGIAR Centers; strong partner demand for collaboration opportunities; and continued commitment from ILRI to host Scaling Week as a global convening platform.</v>
      </c>
    </row>
    <row r="15" ht="50" customHeight="1" xml:space="preserve">
      <c r="A15" s="11" t="str">
        <v>AOW05</v>
      </c>
      <c r="C15" s="11" t="str" xml:space="preserve">
        <v xml:space="preserve">A5P2.2: PoD name: Scaling Bridges: The South–South Learning Networks. Lead Center: ILRI. PoD KPI: 3 – Three finalized strategies implementing South–South University Network frameworks by end-2026. Suggested Disaggregation: 2 universities (67%), 1 regional partner (33%). Indicator type: Capacity Sharing. Unit: Number of strategies.
PoD Description: This PoD advances South–South learning by strengthening the South–South University Network Framework that integrates scaling science into higher education and technical institutions. ILRI collaborates with universities, RUFORUM, and AoW 5 partners to co-design curricula, summer schools, and communication platforms promoting responsible scaling practices. The initiative formalizes collaboration mechanisms and supports academic institutions in embedding CGIAR scaling tools into teaching, research, and outreach programs. By 2026, 3 strategies will be finalized and operational, embedding scaling curricula and collaboration frameworks across higher education institutions in Africa. Accountable Center: ILRI. Partners: RUFORUM, universities from South Africa and Zimbabwe. Partner modality: In-kind technical and academic collaboration;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15" s="11" t="str">
        <v>Number of people trained (capacity sharing for development)</v>
      </c>
      <c r="E15" s="11" t="str">
        <v>Global</v>
      </c>
      <c r="F15" s="11">
        <v>3</v>
      </c>
      <c r="G15" s="11">
        <v>15000</v>
      </c>
      <c r="I15" s="11" t="str">
        <v>Continued collaboration between CGIAR, NARES, and academic institutions; timely technical contributions from AoW 5 partners; and sustained interest in embedding scaling curricula within university and TVET programs.</v>
      </c>
    </row>
    <row r="16" ht="50" customHeight="1" xml:space="preserve">
      <c r="A16" s="11" t="str">
        <v>AOW05</v>
      </c>
      <c r="B16" s="11" t="str">
        <v>HLO 5.5.3: Custom analytics for managing innovation portfolios and decision-making</v>
      </c>
      <c r="C16" s="11" t="str" xml:space="preserve">
        <v xml:space="preserve">A5ILRI-CC-2-PoD name: Innovation Package and Scaling Readiness (IPSR). Lead Center: ILRI. PoD KPI: 9 – Nine CGIAR Programs and Accelerators onboarded and routinely using innovation portfolio management analytics and dashboards for adaptive management and scaling decision-making by the end of 2026. Suggested Disaggregation: Not applicable, as the KPI counts institutional units rather than individuals. Indicator type: Other Output. Unit: Number of CGIAR programs or accelerators.
PoD Description: This package maintains and strengthens the CGIAR-wide IPSR system as a core scaling service hosted by ILRI under S4I. It inherits critical system-level functions previously managed by the CGIAR Portfolio Performance Unit, ensuring continuity, methodological rigor, and institutional coherence in how innovations are profiled, packaged, and advanced across pooled and bilateral portfolios. The package supports innovation profiling, bundling, metadata standardization, and scaling strategy development; maintains IPSR protocols and decision tools; facilitates integration of W3 and bilateral innovations; and provides system-wide quality assurance for reporting and PRMS alignment. As innovations progress through the IPSR framework, CGIAR and partner teams build capacity for responsible scaling, preventing fragmentation and institutional memory loss while sustaining CGIAR’s leadership in scaling science. The system also supports interoperability with external platforms such as the Scaling Coalition, enabling more visible, consistent, and funder-aligned innovation positioning. Collectively, this workstream provides the analytical backbone, governance continuity, and scaling expertise required for evidence-based portfolio management across CGIAR Programs and Centers. Accountable Center leading this PoD: ILRI. Anticipated partners: Deutsche Gesellschaft für Internationale Zusammenarbeit; The World Bank; the Gates Foundation; the Food and Agriculture Organization of the United Nations; and CGIAR Programs drawing on IPSR analytics globally. MELIA: Monitoring, evaluation, and learning plans will be developed in early 2026 in cooperation with the S4I PMU and/or AoW‑5, and where needed will include baseline assessments and indicator tracking and reporting in line with Program and CGIAR guidelines.</v>
      </c>
      <c r="D16" s="11" t="str">
        <v xml:space="preserve"> Other Output-Number of CGIAR programs or accelerators</v>
      </c>
      <c r="E16" s="11" t="str">
        <v>Country: Kenya</v>
      </c>
      <c r="F16" s="11">
        <v>9</v>
      </c>
      <c r="G16" s="11">
        <v>225000</v>
      </c>
      <c r="H16" s="11">
        <f>SUM(G16:G17)</f>
      </c>
      <c r="I16" s="11" t="str" xml:space="preserve">
        <v xml:space="preserve">Assumptions: timely migration of PPC team functions to S4I; sustained demand for portfolio analytics from Programs; adequate W1/2 funding for system maintenance and training.
Budget allocation for partners in 25K for Deutsche Gesellschaft für Internationale Zusammenarbeit / German Society for International Cooperation; The World Bank;Gates Foundation; Food and Agriculture Organization of the United Nations
</v>
      </c>
    </row>
    <row r="17" ht="50" customHeight="1" xml:space="preserve">
      <c r="A17" s="11" t="str">
        <v>AOW05</v>
      </c>
      <c r="C17" s="11" t="str" xml:space="preserve">
        <v xml:space="preserve">A5P11.1: PoD name (Lead Center: ILRI): Innovation Portfolio Management (IPM).  PoD KPI: 9 – Nine CGIAR Programs and Accelerators onboarded and trained to apply IPM analytics in their adaptive management and prioritization cycles by the end of 2026. Suggested Disaggregation: To be determined during implementation, following Program guidance on gender, youth, and inclusion (targeting at least 40% women, 40% youth, and 10% marginalized groups). Indicator type: Other Output. Unit: Number of CGIAR Programs/Accelerators.
PoD Description: This workstream inherits the functions of the Portfolio Performance Unit (PPU), hosted by ILRI under Scaling for Impact (S4I), and strengthens CGIAR’s capacity to manage innovation portfolios effectively. The IPM cluster focuses on generating, analyzing, and utilizing innovation data for strategic decision-making across S4I and CGIAR’s wider portfolio. By improving data analytics, visualization tools, and integrating with the Performance and Results Management System (PRMS), IPM supports adaptive management and alignment with scaling impact initiatives. This system will enable adaptive learning and facilitate evidence-based decision support across CGIAR’s scaling and innovation programs. The cluster aligns with HLO 5.2 (Evidence, analytics, and decision support for scaling impact) and HLO 5.5 (Institutionalizing learning and adaptation for impact).Accountable Center leading this PoD: ILRI. Anticipated partners: Deutsche Gesellschaft für Internationale Zusammenarbeit (GIZ), The World Bank, Gates Foundation, Food and Agriculture Organization of the United Nations (FAO). MELIA: Monitoring, evaluation, and learning plans will be developed in early 2026 in cooperation with the S4I PMU and/or AoW‑5, and where needed will include baseline assessments and indicator tracking and reporting in line with Program and CGIAR guidelines.</v>
      </c>
      <c r="D17" s="11" t="str">
        <v xml:space="preserve"> Other Output</v>
      </c>
      <c r="E17" s="11" t="str">
        <v>Global</v>
      </c>
      <c r="F17" s="11">
        <v>9</v>
      </c>
      <c r="G17" s="11">
        <v>0.01</v>
      </c>
      <c r="I17" s="11" t="str">
        <v xml:space="preserve">Full budget 300k moved to MELIA study, including 25 for partners! </v>
      </c>
    </row>
    <row r="18" ht="25" customHeight="1">
      <c r="B18" s="15" t="str">
        <v>HLO budget subtotal</v>
      </c>
      <c r="H18" s="15">
        <f>SUM(H11:H17)</f>
      </c>
    </row>
  </sheetData>
  <mergeCells count="19">
    <mergeCell ref="A1:A2"/>
    <mergeCell ref="B1:B2"/>
    <mergeCell ref="C1:G1"/>
    <mergeCell ref="H1:H2"/>
    <mergeCell ref="I1:I2"/>
    <mergeCell ref="B3:B4"/>
    <mergeCell ref="H3:H4"/>
    <mergeCell ref="B6:G6"/>
    <mergeCell ref="A3:A6"/>
    <mergeCell ref="B8:B9"/>
    <mergeCell ref="H8:H9"/>
    <mergeCell ref="B10:G10"/>
    <mergeCell ref="A7:A10"/>
    <mergeCell ref="B11:B15"/>
    <mergeCell ref="H11:H15"/>
    <mergeCell ref="B16:B17"/>
    <mergeCell ref="H16:H17"/>
    <mergeCell ref="B18:G18"/>
    <mergeCell ref="A11:A18"/>
  </mergeCells>
  <ignoredErrors>
    <ignoredError numberStoredAsText="1" sqref="A1:I18"/>
  </ignoredErrors>
</worksheet>
</file>

<file path=xl/worksheets/sheet4.xml><?xml version="1.0" encoding="utf-8"?>
<worksheet xmlns="http://schemas.openxmlformats.org/spreadsheetml/2006/main" xmlns:r="http://schemas.openxmlformats.org/officeDocument/2006/relationships">
  <dimension ref="A1:F20"/>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Kenya Agricultural and Livestock Research Organization</v>
      </c>
      <c r="C2" s="11" t="str">
        <v>HLO 1.1.2: Feedback and adaptive research and scaling prioritization</v>
      </c>
      <c r="D2" s="11" t="str">
        <v>Kenya</v>
      </c>
      <c r="E2" s="11">
        <v>0</v>
      </c>
    </row>
    <row r="3" ht="25" customHeight="1">
      <c r="B3" s="14" t="str">
        <v>Contracted partners subtotal</v>
      </c>
      <c r="E3" s="14">
        <f>SUM(E2:E2)</f>
      </c>
    </row>
    <row r="4" ht="70" customHeight="1">
      <c r="A4" s="12" t="str">
        <v>AOW02</v>
      </c>
      <c r="B4" s="11" t="str">
        <v>Kenya Agricultural and Livestock Research Organization</v>
      </c>
      <c r="C4" s="11" t="str">
        <v>HLO 2.2.1: Access climate services and smart water management tools that improve adaptation decisions and resource efficiency., HLO 2.2.3: Nutrition-smart crop and livestock systems and inclusive food markets, with increased jobs, improved livelihoods, and enhanced access for women and youth to diverse, safe, and affordable diets.</v>
      </c>
      <c r="D4" s="11" t="str">
        <v>Kenya</v>
      </c>
      <c r="E4" s="11">
        <v>0</v>
      </c>
    </row>
    <row r="5" ht="70" customHeight="1" xml:space="preserve">
      <c r="A5" s="11" t="str">
        <v>AOW02</v>
      </c>
      <c r="B5" s="11" t="str">
        <v>Ethiopian Forage Seed Producers and Marketing Association</v>
      </c>
      <c r="C5" s="11" t="str">
        <v>HLO 2.2.3: Nutrition-smart crop and livestock systems and inclusive food markets, with increased jobs, improved livelihoods, and enhanced access for women and youth to diverse, safe, and affordable diets.</v>
      </c>
      <c r="D5" s="11" t="str">
        <v>Ethiopia,Zambia</v>
      </c>
      <c r="E5" s="11">
        <v>30000</v>
      </c>
      <c r="F5" s="11" t="str" xml:space="preserve">
        <v xml:space="preserve">Ethiopian Forage Seed Production and Marketing Association (EFSPMA)
</v>
      </c>
    </row>
    <row r="6" ht="70" customHeight="1">
      <c r="A6" s="11" t="str">
        <v>AOW02</v>
      </c>
      <c r="B6" s="11" t="str">
        <v>Food and Agriculture Organization of the United Nations</v>
      </c>
      <c r="C6" s="11" t="str">
        <v>HLO 2.2.3: Nutrition-smart crop and livestock systems and inclusive food markets, with increased jobs, improved livelihoods, and enhanced access for women and youth to diverse, safe, and affordable diets.</v>
      </c>
      <c r="D6" s="11" t="str">
        <v>Colombia,Ethiopia,Guatemala,Kenya,Nigeria,Zambia</v>
      </c>
      <c r="E6" s="11">
        <v>0</v>
      </c>
    </row>
    <row r="7" ht="25" customHeight="1">
      <c r="B7" s="14" t="str">
        <v>Contracted partners subtotal</v>
      </c>
      <c r="E7" s="14">
        <f>SUM(E4:E6)</f>
      </c>
    </row>
    <row r="8" ht="70" customHeight="1">
      <c r="A8" s="12" t="str">
        <v>AOW03</v>
      </c>
      <c r="B8" s="11" t="str">
        <v>Kenya Agricultural and Livestock Research Organization</v>
      </c>
      <c r="C8" s="11" t="str">
        <v>HLO 3.3.1: Enabling environment diagnostics</v>
      </c>
      <c r="D8" s="11" t="str">
        <v>Kenya</v>
      </c>
      <c r="E8" s="11">
        <v>0</v>
      </c>
    </row>
    <row r="9" ht="25" customHeight="1">
      <c r="B9" s="14" t="str">
        <v>Contracted partners subtotal</v>
      </c>
      <c r="E9" s="14">
        <f>SUM(E8:E8)</f>
      </c>
    </row>
    <row r="10" ht="70" customHeight="1">
      <c r="A10" s="12" t="str">
        <v>AOW04</v>
      </c>
      <c r="B10" s="11" t="str">
        <v>Wageningen University and Research Centre</v>
      </c>
      <c r="C10" s="11" t="str">
        <v>HLO 4.4.2: Innovation portfolio management and scaling strategy support teams</v>
      </c>
      <c r="D10" s="11" t="str">
        <v>Kenya</v>
      </c>
      <c r="E10" s="11">
        <v>0</v>
      </c>
    </row>
    <row r="11" ht="70" customHeight="1">
      <c r="A11" s="11" t="str">
        <v>AOW04</v>
      </c>
      <c r="B11" s="11" t="str">
        <v>Kenya Agricultural and Livestock Research Organization</v>
      </c>
      <c r="C11" s="11" t="str">
        <v>HLO 4.4.2: Innovation portfolio management and scaling strategy support teams</v>
      </c>
      <c r="D11" s="11" t="str">
        <v>Kenya</v>
      </c>
      <c r="E11" s="11">
        <v>5000</v>
      </c>
      <c r="F11" s="11" t="str">
        <v>KALRO-5K</v>
      </c>
    </row>
    <row r="12" ht="70" customHeight="1">
      <c r="A12" s="11" t="str">
        <v>AOW04</v>
      </c>
      <c r="B12" s="11" t="str">
        <v>Deutsche Gesellschaft für Internationale Zusammenarbeit / German Society for International Cooperation</v>
      </c>
      <c r="C12" s="11" t="str">
        <v>HLO 4.4.2: Innovation portfolio management and scaling strategy support teams</v>
      </c>
      <c r="D12" s="11" t="str">
        <v>Kenya</v>
      </c>
      <c r="E12" s="11">
        <v>0</v>
      </c>
    </row>
    <row r="13" ht="70" customHeight="1" xml:space="preserve">
      <c r="A13" s="11" t="str">
        <v>AOW04</v>
      </c>
      <c r="B13" s="11" t="str">
        <v>Food and Agriculture Organization of the United Nations</v>
      </c>
      <c r="C13" s="11" t="str">
        <v>HLO 4.4.2: Innovation portfolio management and scaling strategy support teams</v>
      </c>
      <c r="D13" s="11" t="str">
        <v>Colombia,Ethiopia,Guatemala,Kenya,Nigeria,Zambia</v>
      </c>
      <c r="E13" s="11">
        <v>140000</v>
      </c>
      <c r="F13" s="11" t="str" xml:space="preserve">
        <v xml:space="preserve">It is just a place holder - Several partners in each country depending on the scaling case e.g.,, FAO, relevant government and private sector players in each country for the various innovation teams
</v>
      </c>
    </row>
    <row r="14" ht="25" customHeight="1">
      <c r="B14" s="14" t="str">
        <v>Contracted partners subtotal</v>
      </c>
      <c r="E14" s="14">
        <f>SUM(E10:E13)</f>
      </c>
    </row>
    <row r="15" ht="70" customHeight="1">
      <c r="A15" s="12" t="str">
        <v>AOW05</v>
      </c>
      <c r="B15" s="11" t="str">
        <v>Wageningen University and Research Centre</v>
      </c>
      <c r="C15" s="11" t="str">
        <v>HLO 5.5.1: Enhancing scaling science for societal impact</v>
      </c>
      <c r="D15" s="11" t="str">
        <v>Kenya</v>
      </c>
      <c r="E15" s="11">
        <v>95000</v>
      </c>
      <c r="F15" s="11" t="str">
        <v>Wageningen University and Research Centre</v>
      </c>
    </row>
    <row r="16" ht="70" customHeight="1">
      <c r="A16" s="11" t="str">
        <v>AOW05</v>
      </c>
      <c r="B16" s="11" t="str">
        <v>Kenya Agricultural and Livestock Research Organization</v>
      </c>
      <c r="C16" s="11" t="str">
        <v>HLO 5.5.1: Enhancing scaling science for societal impact</v>
      </c>
      <c r="D16" s="11" t="str">
        <v>Kenya</v>
      </c>
      <c r="E16" s="11">
        <v>35000</v>
      </c>
      <c r="F16" s="11" t="str">
        <v>It is placeholder budget for Deutsche Gesellschaft für Internationale Zusammenarbeit / German Society for International Cooperation; Food and Agriculture Organization of the United Nations; KALRO;AGRA and other regional investors</v>
      </c>
    </row>
    <row r="17" ht="70" customHeight="1" xml:space="preserve">
      <c r="A17" s="11" t="str">
        <v>AOW05</v>
      </c>
      <c r="B17" s="11" t="str">
        <v>Deutsche Gesellschaft für Internationale Zusammenarbeit / German Society for International Cooperation</v>
      </c>
      <c r="C17" s="11" t="str">
        <v>HLO 5.5.1: Enhancing scaling science for societal impact, HLO 5.5.3: Custom analytics for managing innovation portfolios and decision-making</v>
      </c>
      <c r="D17" s="11" t="str">
        <v>Kenya</v>
      </c>
      <c r="E17" s="11">
        <v>25000</v>
      </c>
      <c r="F17" s="11" t="str" xml:space="preserve">
        <v xml:space="preserve">it is a placeholder budget for Deutsche Gesellschaft für Internationale Zusammenarbeit / German Society for International Cooperation; The World Bank;Gates Foundation; Food and Agriculture Organization of the United Nations
</v>
      </c>
    </row>
    <row r="18" ht="70" customHeight="1" xml:space="preserve">
      <c r="A18" s="11" t="str">
        <v>AOW05</v>
      </c>
      <c r="B18" s="11" t="str">
        <v>Food and Agriculture Organization of the United Nations</v>
      </c>
      <c r="C18" s="11" t="str">
        <v>HLO 5.5.1: Enhancing scaling science for societal impact, HLO 5.5.3: Custom analytics for managing innovation portfolios and decision-making</v>
      </c>
      <c r="D18" s="11" t="str">
        <v>Colombia,Ethiopia,Guatemala,Kenya,Nigeria,Zambia</v>
      </c>
      <c r="E18" s="11">
        <v>25000</v>
      </c>
      <c r="F18" s="11" t="str" xml:space="preserve">
        <v xml:space="preserve">Placeholder budget for Deutsche Gesellschaft für Internationale Zusammenarbeit / German Society for International Cooperation; The World Bank;Gates Foundation; Food and Agriculture Organization of the United Nations
</v>
      </c>
    </row>
    <row r="19" ht="70" customHeight="1">
      <c r="A19" s="11" t="str">
        <v>AOW05</v>
      </c>
      <c r="B19" s="11" t="str">
        <v>African Forum for Agricultural Advisory Services</v>
      </c>
      <c r="C19" s="11" t="str">
        <v>HLO 5.5.1: Enhancing scaling science for societal impact</v>
      </c>
      <c r="D19" s="11" t="str">
        <v>Ethiopia,Kenya,Niger,Zambia</v>
      </c>
      <c r="E19" s="11">
        <v>5000</v>
      </c>
      <c r="F19" s="11" t="str">
        <v>It is a placeholder budget for  RUFORUM and AFAAS</v>
      </c>
    </row>
    <row r="20" ht="25" customHeight="1">
      <c r="B20" s="14" t="str">
        <v>Contracted partners subtotal</v>
      </c>
      <c r="E20" s="14">
        <f>SUM(E15:E19)</f>
      </c>
    </row>
  </sheetData>
  <mergeCells count="10">
    <mergeCell ref="B3:D3"/>
    <mergeCell ref="A2:A3"/>
    <mergeCell ref="B7:D7"/>
    <mergeCell ref="A4:A7"/>
    <mergeCell ref="B9:D9"/>
    <mergeCell ref="A8:A9"/>
    <mergeCell ref="B14:D14"/>
    <mergeCell ref="A10:A14"/>
    <mergeCell ref="B20:D20"/>
    <mergeCell ref="A15:A20"/>
  </mergeCells>
  <ignoredErrors>
    <ignoredError numberStoredAsText="1" sqref="A1:F20"/>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xml:space="preserve">
      <c r="A2" s="18" t="str">
        <v>L-USA093-Mali Project</v>
      </c>
      <c r="B2" s="19" t="str">
        <v>AOW03</v>
      </c>
      <c r="C2" s="18" t="str" xml:space="preserve">
        <v xml:space="preserve">I-OC 3.2: Agricultural SMEs and cooperatives experience improved market systems with
clearer regulations, economic incentives, and stronger public-private partnerships</v>
      </c>
      <c r="D2" s="19">
        <v>1341430</v>
      </c>
      <c r="E2" s="19" t="str">
        <f>=SUM(D2:D2)</f>
        <v>0</v>
      </c>
      <c r="F2" s="19" t="str">
        <v>L-USA093-Mali Project: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3" ht="30" customHeight="1">
      <c r="A3" s="3" t="str">
        <v>W3/Bilateral projects subtotal</v>
      </c>
      <c r="E3" s="3">
        <f>SUM(E2:E2)</f>
      </c>
    </row>
  </sheetData>
  <mergeCells count="1">
    <mergeCell ref="A3:D3"/>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This MELIA study will support dynamic learning and adaptive evaluation of the progress towards targeted deliverables and inform improvements in implementation from learning in the Scaling Forage-Based Livestock Feed Innovations for Resilient Rural Livelihoods in Ethiopia and Zambia package of deliverables in Area of Work 2.</v>
      </c>
      <c r="B2" s="19" t="str">
        <v>AOW02</v>
      </c>
      <c r="C2" s="18" t="str">
        <v>HLO 2.2.3: Nutrition-smart crop and livestock systems and inclusive food markets, with increased jobs, improved livelihoods, and enhanced access for women and youth to diverse, safe, and affordable diets.</v>
      </c>
      <c r="D2" s="19">
        <v>0</v>
      </c>
      <c r="E2" s="19" t="str">
        <f>=SUM(D2:D2)</f>
        <v>0</v>
      </c>
    </row>
    <row r="3" ht="30" customHeight="1" xml:space="preserve">
      <c r="A3" s="18" t="str" xml:space="preserve">
        <v xml:space="preserve">"This workstream is inheriting functions currently carried out by the Portfolio Performance Unit (PPU) with system-wide importance. It will be hosted by ILRI under S4I as a system service. The Innovation Portfolio Management (IPM) cluster strengthens CGIAR’s institutional capacity to generate, analyze, and use innovation data for strategic decision-making across the Scaling for Impact (S4I) program and the wider CGIAR portfolio. This work will be implemented by the current Portfolio Practice Change (PPC) team, which will transition from the PPU/Chief Scientist’s Office to S4I, hosted by ILRI.
Building on existing innovation-tracking systems, IPM enhances data analytics and visualization tools that inform prioritization within mechanisms such as the Scaling Fund, Flagship Initiatives, and other investment pipelines. It institutionalizes innovation portfolio approaches that enable adaptive management and alignment between research delivery and scaling impact.
The cluster also strengthens integration with the Performance and Results Management System (PRMS)—ensuring coherence in how innovations, outcomes, and impacts are tracked and reported across CGIAR. Insights will directly feed into adaptive management cycles, including Pause and Reflect sessions, strategic decision, and portfolio opAdmiral Flagshipization processes.
Given compressed, detailed co-design with partners was not feasible at this stage. However, scope and budget remain flexible to engage specific expertise post-selection.
By embedding portfolio intelligence and decision-support systems within S4I, this work ensures a coherent, system-wide approach to innovation management and learning. It directly contributes to HLO 5.2 (Evidence, analytics, and decision support for scaling impact) and HLO 5.5 (Institutionalizing learning and adaptation for impact)."</v>
      </c>
      <c r="B3" s="19" t="str">
        <v>AOW05</v>
      </c>
      <c r="C3" s="18" t="str">
        <v>HLO 5.5.3: Custom analytics for managing innovation portfolios and decision-making</v>
      </c>
      <c r="D3" s="19">
        <v>275000</v>
      </c>
      <c r="E3" s="19" t="str">
        <f>=SUM(D3:D3)</f>
        <v>0</v>
      </c>
      <c r="F3" s="19" t="str" xml:space="preserve">
        <v xml:space="preserve">Budget allocation to the Partner is 25K in addition to this 275K! for Deutsche Gesellschaft für Internationale Zusammenarbeit / German Society for International Cooperation; The World Bank;Gates Foundation; Food and Agriculture Organization of the United Nations
</v>
      </c>
    </row>
    <row r="4" ht="30" customHeight="1">
      <c r="A4" s="3" t="str">
        <v>MELIA Studies Budget subtotal</v>
      </c>
      <c r="E4" s="3">
        <f>SUM(E2:E3)</f>
      </c>
    </row>
  </sheetData>
  <mergeCells count="1">
    <mergeCell ref="A4:D4"/>
  </mergeCells>
  <ignoredErrors>
    <ignoredError numberStoredAsText="1" sqref="A1:F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30000</v>
      </c>
      <c r="E2" s="20">
        <v>0</v>
      </c>
      <c r="F2" s="20">
        <v>145000</v>
      </c>
      <c r="G2" s="20">
        <v>185000</v>
      </c>
      <c r="H2" s="20" t="str">
        <f>=SUM(B2:G2)</f>
        <v>0</v>
      </c>
    </row>
    <row r="3" ht="20" customHeight="1">
      <c r="A3" s="20" t="str">
        <v>Operations (supplies, consultants, travels, workshops, other)</v>
      </c>
      <c r="B3" s="20">
        <v>0</v>
      </c>
      <c r="C3" s="20">
        <v>0</v>
      </c>
      <c r="D3" s="20">
        <v>74474</v>
      </c>
      <c r="E3" s="20">
        <v>0</v>
      </c>
      <c r="F3" s="20">
        <v>120705</v>
      </c>
      <c r="G3" s="20">
        <v>330998</v>
      </c>
      <c r="H3" s="20" t="str">
        <f>=SUM(B3:G3)</f>
        <v>0</v>
      </c>
    </row>
    <row r="4" ht="20" customHeight="1">
      <c r="A4" s="20" t="str">
        <v>Staffing, Chargebacks and Indirect</v>
      </c>
      <c r="B4" s="20">
        <v>26666</v>
      </c>
      <c r="C4" s="20">
        <v>0</v>
      </c>
      <c r="D4" s="20">
        <v>197184</v>
      </c>
      <c r="E4" s="20">
        <v>0</v>
      </c>
      <c r="F4" s="20">
        <v>276520</v>
      </c>
      <c r="G4" s="20">
        <v>469959</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