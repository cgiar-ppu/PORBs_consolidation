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Cross-Cutting" sheetId="2" r:id="rId2"/>
    <sheet name="HLO" sheetId="3" r:id="rId3"/>
    <sheet name="Partner" sheetId="4" r:id="rId4"/>
    <sheet name="W3-Bilateral projects" sheetId="5" r:id="rId5"/>
    <sheet name="MELIA" sheetId="6" r:id="rId6"/>
    <sheet name="Anapla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18"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FFFFFF"/>
    </font>
    <font>
      <sz val="11"/>
      <name val="Calibri"/>
      <b/>
      <color rgb="000000"/>
    </font>
    <font>
      <sz val="11"/>
      <name val="Calibri"/>
      <b/>
      <color rgb="000000"/>
    </font>
    <font>
      <sz val="11"/>
      <name val="Calibri"/>
      <b/>
      <color rgb="FFFFFF"/>
    </font>
    <font>
      <sz val="11"/>
      <name val="Calibri"/>
      <b/>
      <color rgb="FFFFFF"/>
    </font>
    <font>
      <sz val="11"/>
      <name val="Calibri"/>
      <b/>
      <color rgb="FFFFFF"/>
    </font>
    <font>
      <sz val="11"/>
      <name val="Calibri"/>
      <b/>
      <color rgb="FFFFFF"/>
    </font>
    <font>
      <sz val="11"/>
      <name val="Calibri"/>
      <b/>
      <color rgb="FFFFFF"/>
    </font>
  </fonts>
  <fills count="18">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
      <patternFill patternType="solid">
        <fgColor rgb="FFE6E6E6"/>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s>
  <borders count="17">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medium"/>
      <bottom style="thin"/>
      <diagonal/>
    </border>
    <border>
      <left style="thin"/>
      <right style="thin"/>
      <top style="medium"/>
      <bottom style="thin"/>
      <diagonal/>
    </border>
  </borders>
  <cellStyleXfs>
    <xf numFmtId="0" fontId="0" fillId="0" borderId="0"/>
  </cellStyleXfs>
  <cellXfs count="22">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xf>
    <xf numFmtId="0" fontId="3" fillId="3" borderId="3" xfId="0" applyFont="1" applyFill="1" applyBorder="1" applyAlignment="1">
      <alignment horizontal="center" vertical="center"/>
    </xf>
    <xf numFmtId="0" fontId="0" fillId="0" borderId="0" xfId="0" applyAlignment="1">
      <alignment horizontal="center" vertical="center"/>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4" xfId="0" applyFont="1" applyFill="1" applyBorder="1" applyAlignment="1">
      <alignment horizontal="center" vertical="center" wrapText="true"/>
    </xf>
    <xf numFmtId="0" fontId="7" fillId="7" borderId="5" xfId="0" applyFont="1" applyFill="1" applyBorder="1" applyAlignment="1">
      <alignment horizontal="center" vertical="center" wrapText="true"/>
    </xf>
    <xf numFmtId="0" fontId="8" fillId="8" borderId="6" xfId="0" applyFont="1" applyFill="1" applyBorder="1" applyAlignment="1">
      <alignment horizontal="center" vertical="center" wrapText="true"/>
    </xf>
    <xf numFmtId="0" fontId="0" fillId="0" borderId="7" xfId="0" applyBorder="1" applyAlignment="1">
      <alignment horizontal="center" vertical="center" wrapText="true"/>
    </xf>
    <xf numFmtId="0" fontId="9" fillId="9" borderId="8" xfId="0" applyFont="1" applyFill="1" applyBorder="1" applyAlignment="1">
      <alignment horizontal="center" vertical="center"/>
    </xf>
    <xf numFmtId="0" fontId="10" fillId="10" borderId="9" xfId="0" applyFont="1" applyFill="1" applyBorder="1" applyAlignment="1">
      <alignment horizontal="center" vertical="center"/>
    </xf>
    <xf numFmtId="0" fontId="11" fillId="11" borderId="10" xfId="0" applyFont="1" applyFill="1" applyBorder="1" applyAlignment="1">
      <alignment horizontal="center" vertical="center" wrapText="true"/>
    </xf>
    <xf numFmtId="0" fontId="12" fillId="12" borderId="11" xfId="0" applyFont="1" applyFill="1" applyBorder="1" applyAlignment="1">
      <alignment horizontal="center" vertical="center" wrapText="true"/>
    </xf>
    <xf numFmtId="0" fontId="13" fillId="13" borderId="12" xfId="0" applyFont="1" applyFill="1" applyBorder="1" applyAlignment="1">
      <alignment horizontal="center" vertical="center" wrapText="true"/>
    </xf>
    <xf numFmtId="0" fontId="14" fillId="14" borderId="13" xfId="0" applyFont="1" applyFill="1" applyBorder="1" applyAlignment="1">
      <alignment horizontal="center" vertical="center" wrapText="true"/>
    </xf>
    <xf numFmtId="1" fontId="0" fillId="0" borderId="14" xfId="0" applyBorder="1" applyNumberFormat="1" applyAlignment="1">
      <alignment horizontal="center" vertical="center"/>
    </xf>
    <xf numFmtId="0" fontId="15" fillId="15" borderId="0" xfId="0" applyFont="1" applyFill="1" applyAlignment="1">
      <alignment horizontal="center" vertical="center"/>
    </xf>
    <xf numFmtId="1" fontId="16" fillId="16" borderId="15" xfId="0" applyFont="1" applyFill="1" applyBorder="1" applyNumberFormat="1" applyAlignment="1">
      <alignment horizontal="center" vertical="center"/>
    </xf>
    <xf numFmtId="1" fontId="17" fillId="17" borderId="16" xfId="0" applyFont="1" applyFill="1" applyBorder="1" applyNumberForma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9"/>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25.83203125" customWidth="1"/>
    <col min="11" max="11" width="25.83203125" customWidth="1"/>
    <col min="12" max="12" width="35.83203125" customWidth="1"/>
    <col min="13" max="13" width="30.83203125" customWidth="1"/>
  </cols>
  <sheetData>
    <row r="1" ht="15" customHeight="1">
      <c r="A1" s="3" t="str">
        <v>Area of Work</v>
      </c>
      <c r="B1" s="4" t="str">
        <v>Pooled Funding</v>
      </c>
      <c r="M1" s="4" t="str">
        <v>W3/ Bilateral Project (USD)</v>
      </c>
    </row>
    <row r="2" ht="15" customHeight="1">
      <c r="B2" s="4" t="str">
        <v>Innovation Development</v>
      </c>
      <c r="D2" s="4" t="str">
        <v>Knowledge product</v>
      </c>
      <c r="F2" s="4" t="str">
        <v>Capacity Sharing</v>
      </c>
      <c r="H2" s="4" t="str">
        <v>Others outputs</v>
      </c>
      <c r="J2" s="4" t="str">
        <v>Partner budget</v>
      </c>
      <c r="K2" s="4" t="str">
        <v>MELIA Studies budget</v>
      </c>
      <c r="L2" s="4" t="str">
        <v>Total Pooled Funding budget (USD)</v>
      </c>
    </row>
    <row r="3" ht="15" customHeight="1">
      <c r="B3" s="4" t="str">
        <v>Target</v>
      </c>
      <c r="C3" s="4" t="str">
        <v>Budget</v>
      </c>
      <c r="D3" s="4" t="str">
        <v>Target</v>
      </c>
      <c r="E3" s="4" t="str">
        <v>Budget</v>
      </c>
      <c r="F3" s="4" t="str">
        <v>Target</v>
      </c>
      <c r="G3" s="4" t="str">
        <v>Budget</v>
      </c>
      <c r="H3" s="4" t="str">
        <v>Target</v>
      </c>
      <c r="I3" s="4" t="str">
        <v>Budget</v>
      </c>
    </row>
    <row r="4" ht="20" customHeight="1">
      <c r="A4" s="2" t="str">
        <v>AOW00: Cross-Cutting and Management</v>
      </c>
      <c r="B4" s="2">
        <v>0</v>
      </c>
      <c r="C4" s="5">
        <v>0</v>
      </c>
      <c r="D4" s="2">
        <v>0</v>
      </c>
      <c r="E4" s="5">
        <v>0</v>
      </c>
      <c r="F4" s="2">
        <v>0</v>
      </c>
      <c r="G4" s="5">
        <v>0</v>
      </c>
      <c r="H4" s="2">
        <v>0</v>
      </c>
      <c r="I4" s="5">
        <v>0</v>
      </c>
      <c r="J4" s="5">
        <v>0</v>
      </c>
      <c r="K4" s="5">
        <v>0</v>
      </c>
      <c r="L4" s="5">
        <v>40000</v>
      </c>
      <c r="M4" s="5">
        <v>0</v>
      </c>
    </row>
    <row r="5" ht="20" customHeight="1">
      <c r="A5" s="2" t="str">
        <v>AOW01: Data Ecosystem</v>
      </c>
      <c r="B5" s="2">
        <v>2</v>
      </c>
      <c r="C5" s="5">
        <v>20000</v>
      </c>
      <c r="D5" s="2">
        <v>7</v>
      </c>
      <c r="E5" s="5">
        <v>64000</v>
      </c>
      <c r="F5" s="2">
        <v>20</v>
      </c>
      <c r="G5" s="5">
        <v>6000</v>
      </c>
      <c r="H5" s="2">
        <v>0</v>
      </c>
      <c r="I5" s="5">
        <v>0</v>
      </c>
      <c r="J5" s="5">
        <v>0</v>
      </c>
      <c r="K5" s="5">
        <v>0</v>
      </c>
      <c r="L5" s="5">
        <v>90000</v>
      </c>
      <c r="M5" s="5">
        <v>0</v>
      </c>
    </row>
    <row r="6" ht="20" customHeight="1">
      <c r="A6" s="2" t="str">
        <v>AOW02: Action Lab</v>
      </c>
      <c r="B6" s="2">
        <v>3</v>
      </c>
      <c r="C6" s="5">
        <v>100000</v>
      </c>
      <c r="D6" s="2">
        <v>2</v>
      </c>
      <c r="E6" s="5">
        <v>50000</v>
      </c>
      <c r="F6" s="2">
        <v>30</v>
      </c>
      <c r="G6" s="5">
        <v>20000</v>
      </c>
      <c r="H6" s="2">
        <v>0</v>
      </c>
      <c r="I6" s="5">
        <v>0</v>
      </c>
      <c r="J6" s="5">
        <v>0</v>
      </c>
      <c r="K6" s="5">
        <v>0</v>
      </c>
      <c r="L6" s="5">
        <v>170000</v>
      </c>
      <c r="M6" s="5">
        <v>0</v>
      </c>
    </row>
    <row r="7" ht="20" customHeight="1">
      <c r="A7" s="2" t="str">
        <v>AOW03: Digital Futures</v>
      </c>
      <c r="B7" s="2">
        <v>1</v>
      </c>
      <c r="C7" s="5">
        <v>47500</v>
      </c>
      <c r="D7" s="2">
        <v>0</v>
      </c>
      <c r="E7" s="5">
        <v>8116</v>
      </c>
      <c r="F7" s="2">
        <v>0</v>
      </c>
      <c r="G7" s="5">
        <v>0</v>
      </c>
      <c r="H7" s="2">
        <v>0</v>
      </c>
      <c r="I7" s="5">
        <v>0</v>
      </c>
      <c r="J7" s="5">
        <v>0</v>
      </c>
      <c r="K7" s="5">
        <v>0</v>
      </c>
      <c r="L7" s="5">
        <v>55616</v>
      </c>
      <c r="M7" s="5">
        <v>0</v>
      </c>
    </row>
    <row r="8" ht="20" customHeight="1">
      <c r="A8" s="2" t="str">
        <v>AOW04: Enabling Environment</v>
      </c>
      <c r="B8" s="2">
        <v>0</v>
      </c>
      <c r="C8" s="5">
        <v>0</v>
      </c>
      <c r="D8" s="2">
        <v>7</v>
      </c>
      <c r="E8" s="5">
        <v>110000</v>
      </c>
      <c r="F8" s="2">
        <v>50</v>
      </c>
      <c r="G8" s="5">
        <v>20000</v>
      </c>
      <c r="H8" s="2">
        <v>0</v>
      </c>
      <c r="I8" s="5">
        <v>0</v>
      </c>
      <c r="J8" s="5">
        <v>0</v>
      </c>
      <c r="K8" s="5">
        <v>0</v>
      </c>
      <c r="L8" s="5">
        <v>130000</v>
      </c>
      <c r="M8" s="5">
        <v>0</v>
      </c>
    </row>
    <row r="9" ht="25" customHeight="1">
      <c r="A9" s="6" t="str">
        <v>Total</v>
      </c>
      <c r="B9" s="7">
        <f>SUM(B4:B8)</f>
      </c>
      <c r="C9" s="7">
        <f>SUM(C4:C8)</f>
      </c>
      <c r="D9" s="7">
        <f>SUM(D4:D8)</f>
      </c>
      <c r="E9" s="7">
        <f>SUM(E4:E8)</f>
      </c>
      <c r="F9" s="7">
        <f>SUM(F4:F8)</f>
      </c>
      <c r="G9" s="7">
        <f>SUM(G4:G8)</f>
      </c>
      <c r="H9" s="7">
        <f>SUM(H4:H8)</f>
      </c>
      <c r="I9" s="7">
        <f>SUM(I4:I8)</f>
      </c>
      <c r="J9" s="7">
        <f>SUM(J4:J8)</f>
      </c>
      <c r="K9" s="7">
        <f>SUM(K4:K8)</f>
      </c>
      <c r="L9" s="7">
        <f>SUM(L4:L8)</f>
      </c>
      <c r="M9" s="7">
        <f>SUM(M4:M8)</f>
      </c>
    </row>
  </sheetData>
  <mergeCells count="10">
    <mergeCell ref="A1:A3"/>
    <mergeCell ref="B1:L1"/>
    <mergeCell ref="M1:M3"/>
    <mergeCell ref="B2:C2"/>
    <mergeCell ref="D2:E2"/>
    <mergeCell ref="F2:G2"/>
    <mergeCell ref="H2:I2"/>
    <mergeCell ref="J2:J3"/>
    <mergeCell ref="K2:K3"/>
    <mergeCell ref="L2:L3"/>
  </mergeCells>
  <ignoredErrors>
    <ignoredError numberStoredAsText="1" sqref="A1:M9"/>
  </ignoredErrors>
</worksheet>
</file>

<file path=xl/worksheets/sheet2.xml><?xml version="1.0" encoding="utf-8"?>
<worksheet xmlns="http://schemas.openxmlformats.org/spreadsheetml/2006/main" xmlns:r="http://schemas.openxmlformats.org/officeDocument/2006/relationships">
  <dimension ref="A1:E8"/>
  <sheetViews>
    <sheetView workbookViewId="0"/>
  </sheetViews>
  <cols>
    <col min="1" max="1" width="10.83203125" customWidth="1"/>
    <col min="2" max="2" width="40.83203125" customWidth="1"/>
    <col min="3" max="3" width="25.83203125" customWidth="1"/>
  </cols>
  <sheetData>
    <row r="1" ht="60" customHeight="1">
      <c r="A1" s="8" t="str">
        <v>AOW</v>
      </c>
      <c r="B1" s="9" t="str">
        <v>Cross-Cutting</v>
      </c>
      <c r="C1" s="9" t="str">
        <v>Description</v>
      </c>
      <c r="D1" s="9" t="str">
        <v>Pooled Funded (USD)</v>
      </c>
      <c r="E1" s="9" t="str">
        <v>Budget Assumptions</v>
      </c>
    </row>
    <row r="2" ht="45" customHeight="1">
      <c r="A2" s="10" t="str">
        <v>AOW00</v>
      </c>
      <c r="B2" s="11" t="str">
        <v>Product manager</v>
      </c>
      <c r="C2" s="11" t="str">
        <v xml:space="preserve">The budget will be used towards expenses of a Product manager, who will be based in Abu Dhabi. </v>
      </c>
      <c r="D2" s="11">
        <v>0</v>
      </c>
    </row>
    <row r="3" ht="45" customHeight="1">
      <c r="A3" s="11" t="str">
        <v>AOW00</v>
      </c>
      <c r="B3" s="11" t="str">
        <v>PMU cost- Program Coordinator</v>
      </c>
      <c r="C3" s="11" t="str">
        <v xml:space="preserve">This cost has been phased in two stages. The current Program coordinator will continue until June, 2026, and has been budgeted under respective center. The hiring process for a permanent director is underway and the assumption is that new director will initiate a new process for PMU members. The budget for PC for the second half of the year is therefore budgeted under unknown center. </v>
      </c>
      <c r="D3" s="11">
        <v>0</v>
      </c>
    </row>
    <row r="4" ht="45" customHeight="1">
      <c r="A4" s="11" t="str">
        <v>AOW00</v>
      </c>
      <c r="B4" s="11" t="str">
        <v>SO Finance support</v>
      </c>
      <c r="C4" s="11" t="str">
        <v xml:space="preserve">Funds for Finance support as requested by PCU. </v>
      </c>
      <c r="D4" s="11">
        <v>0</v>
      </c>
    </row>
    <row r="5" ht="45" customHeight="1">
      <c r="A5" s="11" t="str">
        <v>AOW00</v>
      </c>
      <c r="B5" s="11" t="str">
        <v>Director and associated cost</v>
      </c>
      <c r="C5" s="11" t="str">
        <v xml:space="preserve">This budget includes coverage for Director, and associated cost on travel, workshops, and other admin expenses. supporting Director's office. </v>
      </c>
      <c r="D5" s="11">
        <v>0</v>
      </c>
    </row>
    <row r="6" ht="45" customHeight="1">
      <c r="A6" s="11" t="str">
        <v>AOW00</v>
      </c>
      <c r="B6" s="11" t="str">
        <v>AOW Lead cost</v>
      </c>
      <c r="C6" s="11" t="str">
        <v>The hiring of a permanent director is underway for DTA. Until a new director is hired, SO has approved continuing current PMU and AOW leadership. Hence, we have budgeted for current AOW and PMU leads only until June, 2026 out of their current centers. The assumption is that a new director will be placed by June, 2026 and a new team of PMU/AoW leads will be in place. Funds for the new PMU/AoW team are earmarked under unknown center during second half of the year.</v>
      </c>
      <c r="D6" s="11">
        <v>40000</v>
      </c>
      <c r="E6" s="11" t="str">
        <v xml:space="preserve">Funds for Daniel Jimenez as AoW3 Lead. </v>
      </c>
    </row>
    <row r="7" ht="45" customHeight="1">
      <c r="A7" s="11" t="str">
        <v>AOW00</v>
      </c>
      <c r="B7" s="11" t="str">
        <v>PMU cost- Melia focal point</v>
      </c>
      <c r="C7" s="11" t="str">
        <v xml:space="preserve">This cost has been phased in two stages. The current Melia FP will continue until June, 2026, and has been budgeted under respective center. The hiring process for a permanent director is underway and the assumption is that new director will initiate a new process for PMU members. The budget for Melia FP for the second half of the year is therefore budgeted under unknown center. </v>
      </c>
      <c r="D7" s="11">
        <v>0</v>
      </c>
    </row>
    <row r="8" ht="45" customHeight="1">
      <c r="A8" s="11" t="str">
        <v>AOW00</v>
      </c>
      <c r="B8" s="11" t="str">
        <v>W2 designated funds</v>
      </c>
      <c r="C8" s="11" t="str">
        <v xml:space="preserve">W2 designated funds that will be supported towards establishing AI Hub in Abu Dhabi. </v>
      </c>
      <c r="D8" s="11">
        <v>0</v>
      </c>
    </row>
  </sheetData>
  <mergeCells count="1">
    <mergeCell ref="A2:A8"/>
  </mergeCells>
  <ignoredErrors>
    <ignoredError numberStoredAsText="1" sqref="A1:E8"/>
  </ignoredErrors>
</worksheet>
</file>

<file path=xl/worksheets/sheet3.xml><?xml version="1.0" encoding="utf-8"?>
<worksheet xmlns="http://schemas.openxmlformats.org/spreadsheetml/2006/main" xmlns:r="http://schemas.openxmlformats.org/officeDocument/2006/relationships">
  <dimension ref="A1:I26"/>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10.83203125" customWidth="1"/>
    <col min="7" max="7" width="15.83203125" customWidth="1"/>
    <col min="8" max="8" width="20.83203125" customWidth="1"/>
    <col min="9" max="9" width="30.83203125" customWidth="1"/>
  </cols>
  <sheetData>
    <row r="1" ht="30" customHeight="1">
      <c r="A1" s="12" t="str">
        <v>AOW</v>
      </c>
      <c r="B1" s="8" t="str">
        <v>High Level Output</v>
      </c>
      <c r="C1" s="8" t="str">
        <v>Key Performance Indicators</v>
      </c>
      <c r="H1" s="8" t="str">
        <v>Total Budget (USD)</v>
      </c>
      <c r="I1" s="8" t="str">
        <v>Budget Assumptions</v>
      </c>
    </row>
    <row r="2" ht="30" customHeight="1">
      <c r="C2" s="8" t="str">
        <v>Description</v>
      </c>
      <c r="D2" s="8" t="str">
        <v>Type</v>
      </c>
      <c r="E2" s="8" t="str">
        <v>Geographic Location</v>
      </c>
      <c r="F2" s="8" t="str">
        <v>Target</v>
      </c>
      <c r="G2" s="8" t="str">
        <v>Budget (USD)</v>
      </c>
    </row>
    <row r="3" ht="50" customHeight="1">
      <c r="A3" s="13" t="str">
        <v>AOW01</v>
      </c>
      <c r="B3" s="11" t="str">
        <v xml:space="preserve">HLO 1.1.2 Standards-compliant FAIR science data collection tools </v>
      </c>
      <c r="C3" s="11" t="str">
        <v>ABC 5: Number of operational platforms enabling access, search, and analytics of scientific datasets.</v>
      </c>
      <c r="D3" s="11" t="str">
        <v>Number of innovations (innovation development)</v>
      </c>
      <c r="E3" s="11" t="str">
        <v>Country: Colombia</v>
      </c>
      <c r="F3" s="11">
        <v>2</v>
      </c>
      <c r="G3" s="11">
        <v>20000</v>
      </c>
      <c r="H3" s="11">
        <f>SUM(G3:G3)</f>
      </c>
      <c r="I3" s="11" t="str">
        <v>This deliverable assumes that CGIAR centers have sufficient institutional commitment, technical capacity, and infrastructure to adopt Open and FAIR data practices. Risk: Data quality, legal constraints, inconsistent curation practices, or staff willingnes</v>
      </c>
    </row>
    <row r="4" ht="50" customHeight="1">
      <c r="A4" s="11" t="str">
        <v>AOW01</v>
      </c>
      <c r="B4" s="11" t="str">
        <v xml:space="preserve">HLO 1.2.3 Standards-compliant  FAIR data corpus </v>
      </c>
      <c r="C4" s="11" t="str">
        <v>ABC 4: Number of datasets curated or produced under FAIR and standard-compliant protocols in scientific domains.</v>
      </c>
      <c r="D4" s="11" t="str">
        <v>Number of knowledge products</v>
      </c>
      <c r="E4" s="11" t="str">
        <v>Country: Colombia</v>
      </c>
      <c r="F4" s="11">
        <v>2</v>
      </c>
      <c r="G4" s="11">
        <v>20000</v>
      </c>
      <c r="H4" s="11">
        <f>SUM(G4:G5)</f>
      </c>
      <c r="I4" s="11" t="str">
        <v>This deliverable assumes that CGIAR centers have sufficient institutional commitment, technical capacity, and infrastructure to adopt Open and FAIR data practices. Risk: Data quality, legal constraints, inconsistent curation practices, or staff willingnes</v>
      </c>
    </row>
    <row r="5" ht="50" customHeight="1">
      <c r="A5" s="11" t="str">
        <v>AOW01</v>
      </c>
      <c r="C5" s="11" t="str">
        <v>ABC 3: Number of individuals received training on publishing and maintaining FAIR vocabularies.</v>
      </c>
      <c r="D5" s="11" t="str">
        <v>Number of people trained (capacity sharing for development)</v>
      </c>
      <c r="E5" s="11" t="str">
        <v>Country: France</v>
      </c>
      <c r="F5" s="11">
        <v>20</v>
      </c>
      <c r="G5" s="11">
        <v>6000</v>
      </c>
      <c r="I5" s="11" t="str">
        <v>This deliverable assumes that CGIAR centers have sufficient institutional commitment, technical capacity, and infrastructure to adopt Open and FAIR data practices. Risk: Data quality, legal constraints, inconsistent curation practices, or staff willingnes</v>
      </c>
    </row>
    <row r="6" ht="50" customHeight="1">
      <c r="A6" s="11" t="str">
        <v>AOW01</v>
      </c>
      <c r="B6" s="11" t="str">
        <v xml:space="preserve">HLO 1.3.7 &amp; 1.4.7 Guidance &amp; tools to generate, use &amp; govern FAIR data, AI </v>
      </c>
      <c r="C6" s="11" t="str">
        <v xml:space="preserve">ABC 2: Number of standardized metadata and data guidelines developed and published across key research domains. </v>
      </c>
      <c r="D6" s="11" t="str">
        <v>Number of knowledge products</v>
      </c>
      <c r="E6" s="11" t="str">
        <v>Country: Kenya, Rwanda, Tanzania, United Republic</v>
      </c>
      <c r="F6" s="11">
        <v>2</v>
      </c>
      <c r="G6" s="11">
        <v>14000</v>
      </c>
      <c r="H6" s="11">
        <f>SUM(G6:G6)</f>
      </c>
      <c r="I6" s="11" t="str">
        <v>This deliverable assumes that CGIAR centers have sufficient institutional commitment, technical capacity, and infrastructure to adopt Open and FAIR data practices. Risk: Data quality, legal constraints, inconsistent curation practices, or staff willingnes</v>
      </c>
    </row>
    <row r="7" ht="50" customHeight="1">
      <c r="A7" s="11" t="str">
        <v>AOW01</v>
      </c>
      <c r="B7" s="11" t="str">
        <v xml:space="preserve">HLO 1.3.8 &amp; 1.4.8 Governance,  incentives for data &amp; digital  management culture change </v>
      </c>
      <c r="C7" s="11" t="str">
        <v>ABC 1: Number of guidelines developed to generate, use &amp; govern FAIR data, AI.</v>
      </c>
      <c r="D7" s="11" t="str">
        <v>Number of knowledge products</v>
      </c>
      <c r="E7" s="11" t="str">
        <v>Country: France</v>
      </c>
      <c r="F7" s="11">
        <v>3</v>
      </c>
      <c r="G7" s="11">
        <v>30000</v>
      </c>
      <c r="H7" s="11">
        <f>SUM(G7:G7)</f>
      </c>
      <c r="I7" s="11" t="str">
        <v>This deliverable assumes that CGIAR centers have sufficient institutional commitment, technical capacity, and infrastructure to adopt Open and FAIR data practices. Risk: Data quality, legal constraints, inconsistent curation practices, or staff willingnes</v>
      </c>
    </row>
    <row r="8" ht="25" customHeight="1">
      <c r="B8" s="14" t="str">
        <v>HLO budget subtotal</v>
      </c>
      <c r="H8" s="15">
        <f>SUM(H3:H7)</f>
      </c>
    </row>
    <row r="9" ht="50" customHeight="1">
      <c r="A9" s="13" t="str">
        <v>AOW02</v>
      </c>
      <c r="B9" s="11" t="str">
        <v>HLO 2.1.3 Breeding programs use AI-powered phenotyping to accelerate trait discovery and breeding cycles.</v>
      </c>
      <c r="C9" s="11" t="str">
        <v>ABC 13: Number of breeding research  agroclimatic data outputs integrated with AI-powered analytics.</v>
      </c>
      <c r="D9" s="11" t="str">
        <v>Number of knowledge products</v>
      </c>
      <c r="E9" s="11" t="str">
        <v>Country: Tanzania, United Republic, Kenya, Rwanda</v>
      </c>
      <c r="F9" s="11">
        <v>1</v>
      </c>
      <c r="G9" s="11">
        <v>25000</v>
      </c>
      <c r="H9" s="11">
        <f>SUM(G9:G14)</f>
      </c>
      <c r="I9" s="11" t="str">
        <v>Most of the funds will be used to staff time to test and validate the tool developed in the deliverable above. This include work on developing scripts and workflows connectingh the data and the AI tool</v>
      </c>
    </row>
    <row r="10" ht="50" customHeight="1">
      <c r="A10" s="11" t="str">
        <v>AOW02</v>
      </c>
      <c r="C10" s="11" t="str">
        <v xml:space="preserve">ABC 15: Number of standardized metadata and data guidelines developed and published for responsible data use, system maintenance, and application in product advancement decisions. </v>
      </c>
      <c r="D10" s="11" t="str">
        <v>Number of knowledge products</v>
      </c>
      <c r="E10" s="11" t="str">
        <v>Country: Rwanda, Tanzania, United Republic, Kenya</v>
      </c>
      <c r="F10" s="11">
        <v>1</v>
      </c>
      <c r="G10" s="11">
        <v>25000</v>
      </c>
      <c r="I10" s="11" t="str">
        <v>Funds will be allocated to staff time to document the tools and implement the training materials to be shared with breeding teams. This also includes workshops to co-desing the training materials..</v>
      </c>
    </row>
    <row r="11" ht="50" customHeight="1">
      <c r="A11" s="11" t="str">
        <v>AOW02</v>
      </c>
      <c r="C11" s="11" t="str">
        <v>ABC 16: Number of breeders trained on standardized metadata guidance.</v>
      </c>
      <c r="D11" s="11" t="str">
        <v>Number of people trained (capacity sharing for development)</v>
      </c>
      <c r="E11" s="11" t="str">
        <v>Country: Tanzania, United Republic, Rwanda, Kenya</v>
      </c>
      <c r="F11" s="11">
        <v>30</v>
      </c>
      <c r="G11" s="11">
        <v>20000</v>
      </c>
      <c r="I11" s="11" t="str">
        <v>Funds will be used to do workshops with breeding teams (ideally in Nairobi) to design the tool and validate the approach a and train the breeding teams. Staff time is also allocated to coordinate this work.</v>
      </c>
    </row>
    <row r="12" ht="50" customHeight="1">
      <c r="A12" s="11" t="str">
        <v>AOW02</v>
      </c>
      <c r="C12" s="11" t="str">
        <v>ABC 11: Number of  AI-powered breeding tool prototype integrated with AI-powered analytics.</v>
      </c>
      <c r="D12" s="11" t="str">
        <v>Number of innovations (innovation development)</v>
      </c>
      <c r="E12" s="11" t="str">
        <v>Country: Kenya, Rwanda, Tanzania, United Republic</v>
      </c>
      <c r="F12" s="11">
        <v>1</v>
      </c>
      <c r="G12" s="11">
        <v>50000</v>
      </c>
      <c r="I12" s="11" t="str">
        <v>Funds will be used to outsource an AI company or obtain tokens to link our database with AI tools. Some staff time will be required to supervise and implement this work.</v>
      </c>
    </row>
    <row r="13" ht="50" customHeight="1">
      <c r="A13" s="11" t="str">
        <v>AOW02</v>
      </c>
      <c r="C13" s="11" t="str">
        <v>ABC 12: Number of AI-powered breeding tool prototype with agroclimatic data.</v>
      </c>
      <c r="D13" s="11" t="str">
        <v>Number of innovations (innovation development)</v>
      </c>
      <c r="E13" s="11" t="str">
        <v>Country: Rwanda, Tanzania, United Republic, Kenya</v>
      </c>
      <c r="F13" s="11">
        <v>1</v>
      </c>
      <c r="G13" s="11">
        <v>25000</v>
      </c>
      <c r="I13" s="11" t="str">
        <v>Most of the funds will be used to staff time to test and validate the tool developed in the deliverable above. This include work on developing scripts and workflows connectingh the data and the AI tool</v>
      </c>
    </row>
    <row r="14" ht="50" customHeight="1">
      <c r="A14" s="11" t="str">
        <v>AOW02</v>
      </c>
      <c r="C14" s="11" t="str">
        <v>ABC 14: Number of  AI-powered breeding tool developed to support late stage variety testing.</v>
      </c>
      <c r="D14" s="11" t="str">
        <v>Number of innovations (innovation development)</v>
      </c>
      <c r="E14" s="11" t="str">
        <v>Country: Kenya, Tanzania, United Republic, Rwanda</v>
      </c>
      <c r="F14" s="11">
        <v>1</v>
      </c>
      <c r="G14" s="11">
        <v>25000</v>
      </c>
      <c r="I14" s="11" t="str">
        <v>Funds will be used to do workshops with breeding teams (ideally in Nairobi) to design the tool and validate the approach. Staff time is also allocated to coordinate this work.</v>
      </c>
    </row>
    <row r="15" ht="25" customHeight="1">
      <c r="B15" s="15" t="str">
        <v>HLO budget subtotal</v>
      </c>
      <c r="H15" s="15">
        <f>SUM(H9:H14)</f>
      </c>
    </row>
    <row r="16" ht="50" customHeight="1">
      <c r="A16" s="13" t="str">
        <v>AOW03</v>
      </c>
      <c r="B16" s="11" t="str">
        <v>HLO 3.1.1:  Probes of a wide range of AI and/or other novel digital solutions  to support system-level scenario analysis of digital frontier technology impacts for decision-makers.</v>
      </c>
      <c r="C16" s="11" t="str">
        <v>ABC 23: Number of interactive digital platforms developed to visualize key technologies, maturity levels, and use cases.</v>
      </c>
      <c r="D16" s="11" t="str">
        <v>Number of innovations (innovation development)</v>
      </c>
      <c r="E16" s="11" t="str">
        <v>Global</v>
      </c>
      <c r="F16" s="11">
        <v>1</v>
      </c>
      <c r="G16" s="11">
        <v>12500</v>
      </c>
      <c r="H16" s="11">
        <f>SUM(G16:G17)</f>
      </c>
      <c r="I16" s="11" t="str">
        <v>Key assumptions and risk factors:  1.Assumes availability of specialized consultants for platform development and sustained engagement from Centers to contribute content and use cases. 2.derestimation of technical complexity, delays in procurement of cons</v>
      </c>
    </row>
    <row r="17" ht="50" customHeight="1">
      <c r="A17" s="11" t="str">
        <v>AOW03</v>
      </c>
      <c r="C17" s="11" t="str">
        <v>ABC 22: Number of probes developed based on future  drivers.</v>
      </c>
      <c r="D17" s="11" t="str">
        <v>Number of innovations (innovation development)</v>
      </c>
      <c r="E17" s="11" t="str">
        <v>Global</v>
      </c>
      <c r="F17" s="11">
        <v>4</v>
      </c>
      <c r="G17" s="11">
        <v>25000</v>
      </c>
      <c r="I17" s="11" t="str">
        <v>1. Assumes that Center commit to jointly designing and testing short, exploratory “probes” on emerging technologies 2.  Delivery depends on Centers’ readiness to test early-stage digital innovations and share lessons learned. 3.</v>
      </c>
    </row>
    <row r="18" ht="50" customHeight="1">
      <c r="A18" s="11" t="str">
        <v>AOW03</v>
      </c>
      <c r="B18" s="11" t="str">
        <v>HLO 3.2.2 &amp; 3.3.2: Future case scenarios identified for digital transformation in FWL systems in addressing context-specific challenges and opportunities.</v>
      </c>
      <c r="C18" s="11" t="str">
        <v>ABC 21: Number of reports and other ICT materials produced with Future case scenarios identified for digital transformation to build awareness of frontier digital technology opportunities and risks.</v>
      </c>
      <c r="D18" s="11" t="str">
        <v>Number of knowledge products</v>
      </c>
      <c r="E18" s="11" t="str">
        <v>Global</v>
      </c>
      <c r="F18" s="11">
        <v>1</v>
      </c>
      <c r="G18" s="11">
        <v>8116</v>
      </c>
      <c r="H18" s="11">
        <f>SUM(G18:G19)</f>
      </c>
      <c r="I18" s="11" t="str">
        <v>1. Assumes that Centers maintain engagement and dedicate both staff time and operational resources (travel, workshop organization, and communication) to foresight activities 2. Reduced participation due to competing priorities, lack of co-investment  .  C</v>
      </c>
    </row>
    <row r="19" ht="50" customHeight="1">
      <c r="A19" s="11" t="str">
        <v>AOW03</v>
      </c>
      <c r="C19" s="11" t="str">
        <v>ABC 20: Number of integrated platforms or systems enabling secure, FAIR, and AI-ready data access and analytics.</v>
      </c>
      <c r="D19" s="11" t="str">
        <v>Number of innovations (innovation development)</v>
      </c>
      <c r="E19" s="11" t="str">
        <v>Global</v>
      </c>
      <c r="F19" s="11">
        <v>1</v>
      </c>
      <c r="G19" s="11">
        <v>10000</v>
      </c>
      <c r="I19" s="11" t="str">
        <v>1.  Implementation assumes collaboration and technical inputs from partner Centers (CIP, IWMI, ICRISAT, WorldFish) and access to share digital assets, information. 2. limited interoperability across Centers’ data systems 3. potential delays in AI tool int</v>
      </c>
    </row>
    <row r="20" ht="25" customHeight="1">
      <c r="B20" s="15" t="str">
        <v>HLO budget subtotal</v>
      </c>
      <c r="H20" s="15">
        <f>SUM(H16:H19)</f>
      </c>
    </row>
    <row r="21" ht="50" customHeight="1">
      <c r="A21" s="13" t="str">
        <v>AOW04</v>
      </c>
      <c r="B21" s="11" t="str">
        <v>HLO 4.1.1 Frameworks, methods, and guidelines to catalyze adoption of responsible and inclusive digital and data innovations across FLW systems</v>
      </c>
      <c r="C21" s="11" t="str">
        <v>ABC 28: The number of frameworks, methods, guidelines developed to support the Human-Centered Design Knowledge Hub scalling.</v>
      </c>
      <c r="D21" s="11" t="str">
        <v>Number of knowledge products</v>
      </c>
      <c r="E21" s="11" t="str">
        <v>Global</v>
      </c>
      <c r="F21" s="11">
        <v>2</v>
      </c>
      <c r="G21" s="11">
        <v>30000</v>
      </c>
      <c r="H21" s="11">
        <f>SUM(G21:G25)</f>
      </c>
      <c r="I21" s="11" t="str">
        <v xml:space="preserve">"Personnel 67%: This includes coordination of the HCD Community of Practice, design and coordination support to the DTA Center of Excellence for Digital Transformation, leading the HCD component. Additionally, we include PM, PMO and PA support for smooth </v>
      </c>
    </row>
    <row r="22" ht="50" customHeight="1">
      <c r="A22" s="11" t="str">
        <v>AOW04</v>
      </c>
      <c r="C22" s="11" t="str">
        <v>ABC 27: The number of frameworks, methods, guidelines developed by the accelerator to catalyze adoption of responsible and inclusive digital and data innovations across FLW systems​.</v>
      </c>
      <c r="D22" s="11" t="str">
        <v>Number of knowledge products</v>
      </c>
      <c r="E22" s="11" t="str">
        <v>Global</v>
      </c>
      <c r="F22" s="11">
        <v>2</v>
      </c>
      <c r="G22" s="11">
        <v>20000</v>
      </c>
      <c r="I22" s="11" t="str">
        <v xml:space="preserve">"Personnel 67%: This includes coordination of the HCD Community of Practice, design and coordination support to the DTA Center of Excellence for Digital Transformation, leading the HCD component. Additionally, we include PM, PMO and PA support for smooth </v>
      </c>
    </row>
    <row r="23" ht="50" customHeight="1">
      <c r="A23" s="11" t="str">
        <v>AOW04</v>
      </c>
      <c r="C23" s="11" t="str">
        <v>ABC 25: Number of Communities of Practices (COPs) on uxtools4ag launched and operationalized and maintained (members capacitated).</v>
      </c>
      <c r="D23" s="11" t="str">
        <v>Number of people trained (capacity sharing for development)</v>
      </c>
      <c r="E23" s="11" t="str">
        <v>Global</v>
      </c>
      <c r="F23" s="11">
        <v>50</v>
      </c>
      <c r="G23" s="11">
        <v>20000</v>
      </c>
      <c r="I23" s="11" t="str">
        <v xml:space="preserve">"Personnel 67%: This includes coordination of the HCD Community of Practice, design and coordination support to the DTA Center of Excellence for Digital Transformation, leading the HCD component. Additionally, we include PM, PMO and PA support for smooth </v>
      </c>
    </row>
    <row r="24" ht="50" customHeight="1">
      <c r="A24" s="11" t="str">
        <v>AOW04</v>
      </c>
      <c r="C24" s="11" t="str">
        <v>ABC 26: Number of frameworks, methods, guidelines developed for Human-Centered Design Knowledge Hub. including a product roadmap and translation to other languages.</v>
      </c>
      <c r="D24" s="11" t="str">
        <v>Number of knowledge products</v>
      </c>
      <c r="E24" s="11" t="str">
        <v>Global</v>
      </c>
      <c r="F24" s="11">
        <v>2</v>
      </c>
      <c r="G24" s="11">
        <v>20000</v>
      </c>
      <c r="I24" s="11" t="str">
        <v xml:space="preserve">"Personnel 67%: This includes coordination of the HCD Community of Practice, design and coordination support to the DTA Center of Excellence for Digital Transformation, leading the HCD component. Additionally, we include PM, PMO and PA support for smooth </v>
      </c>
    </row>
    <row r="25" ht="50" customHeight="1">
      <c r="A25" s="11" t="str">
        <v>AOW04</v>
      </c>
      <c r="C25" s="11" t="str">
        <v>ABC 17: The number of frameworks, methods, guidelines developed by the accelerator to catalyze adoption of responsible and inclusive digital and data innovations across FLW systems​.</v>
      </c>
      <c r="D25" s="11" t="str">
        <v>Number of knowledge products</v>
      </c>
      <c r="E25" s="11" t="str">
        <v>Country: Tanzania, United Republic, Kenya</v>
      </c>
      <c r="F25" s="11">
        <v>1</v>
      </c>
      <c r="G25" s="11">
        <v>40000</v>
      </c>
      <c r="I25" s="11" t="str">
        <v>"Successful delivery of the Data Ownership and Consent Toolkit assumes timely completion of community engagement activities in Kenya and Tanzania, availability of local partners to support mobilization, and receipt of any required ethical or institutional</v>
      </c>
    </row>
    <row r="26" ht="25" customHeight="1">
      <c r="B26" s="15" t="str">
        <v>HLO budget subtotal</v>
      </c>
      <c r="H26" s="15">
        <f>SUM(H21:H25)</f>
      </c>
    </row>
  </sheetData>
  <mergeCells count="23">
    <mergeCell ref="A1:A2"/>
    <mergeCell ref="B1:B2"/>
    <mergeCell ref="C1:G1"/>
    <mergeCell ref="H1:H2"/>
    <mergeCell ref="I1:I2"/>
    <mergeCell ref="B4:B5"/>
    <mergeCell ref="H4:H5"/>
    <mergeCell ref="B8:G8"/>
    <mergeCell ref="A3:A8"/>
    <mergeCell ref="B9:B14"/>
    <mergeCell ref="H9:H14"/>
    <mergeCell ref="B15:G15"/>
    <mergeCell ref="A9:A15"/>
    <mergeCell ref="B16:B17"/>
    <mergeCell ref="H16:H17"/>
    <mergeCell ref="B18:B19"/>
    <mergeCell ref="H18:H19"/>
    <mergeCell ref="B20:G20"/>
    <mergeCell ref="A16:A20"/>
    <mergeCell ref="B21:B25"/>
    <mergeCell ref="H21:H25"/>
    <mergeCell ref="B26:G26"/>
    <mergeCell ref="A21:A26"/>
  </mergeCells>
  <ignoredErrors>
    <ignoredError numberStoredAsText="1" sqref="A1:I26"/>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8.83203125" customWidth="1"/>
    <col min="2" max="2" width="40.83203125" customWidth="1"/>
    <col min="3" max="3" width="60.83203125" customWidth="1"/>
    <col min="4" max="4" width="30.83203125" customWidth="1"/>
    <col min="5" max="5" width="15.83203125" customWidth="1"/>
  </cols>
  <sheetData>
    <row r="1" ht="30" customHeight="1">
      <c r="A1" s="8" t="str">
        <v>AOW</v>
      </c>
      <c r="B1" s="8" t="str">
        <v>Partner</v>
      </c>
      <c r="C1" s="8" t="str">
        <v>High level outputs</v>
      </c>
      <c r="D1" s="8" t="str">
        <v>Geographic location</v>
      </c>
      <c r="E1" s="8" t="str">
        <v>Total Budget (USD)</v>
      </c>
      <c r="F1" s="8" t="str">
        <v>Budeget Assumptions</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Project title</v>
      </c>
      <c r="B1" s="17" t="str">
        <v>AOW</v>
      </c>
      <c r="C1" s="17" t="str">
        <v>High Level Outputs</v>
      </c>
      <c r="D1" s="17" t="str">
        <v>Budget (USD)</v>
      </c>
      <c r="E1" s="17" t="str">
        <v>Total budget (USD)</v>
      </c>
      <c r="F1" s="17" t="str">
        <v>Budget Assumptions</v>
      </c>
    </row>
    <row r="2">
      <c r="E2" s="3">
        <f>SUM(E2:E1)</f>
      </c>
    </row>
    <row r="3">
      <c r="A3" s="2" t="str">
        <v>W3/Bilateral projects subtotal</v>
      </c>
    </row>
  </sheetData>
  <mergeCells count="1">
    <mergeCell ref="A2:D2"/>
  </mergeCells>
  <ignoredErrors>
    <ignoredError numberStoredAsText="1" sqref="A1:F3"/>
  </ignoredErrors>
</worksheet>
</file>

<file path=xl/worksheets/sheet6.xml><?xml version="1.0" encoding="utf-8"?>
<worksheet xmlns="http://schemas.openxmlformats.org/spreadsheetml/2006/main" xmlns:r="http://schemas.openxmlformats.org/officeDocument/2006/relationships">
  <dimension ref="A1:F3"/>
  <sheetViews>
    <sheetView workbookViewId="0"/>
  </sheetViews>
  <cols>
    <col min="1" max="1" width="41.6640625" customWidth="1"/>
    <col min="2" max="2" width="10.00390625" customWidth="1"/>
    <col min="3" max="3" width="58.33203125" customWidth="1"/>
    <col min="4" max="4" width="16.6640625" customWidth="1"/>
    <col min="5" max="5" width="20.00390625" customWidth="1"/>
  </cols>
  <sheetData>
    <row r="1" ht="30" customHeight="1">
      <c r="A1" s="16" t="str">
        <v>MELIA study</v>
      </c>
      <c r="B1" s="16" t="str">
        <v>AOW</v>
      </c>
      <c r="C1" s="16" t="str">
        <v>Supported outcomes</v>
      </c>
      <c r="D1" s="16" t="str">
        <v>AOW budget (USD)</v>
      </c>
      <c r="E1" s="16" t="str">
        <v>Total budget (USD)</v>
      </c>
      <c r="F1" s="16" t="str">
        <v>Budget Assumptions</v>
      </c>
    </row>
    <row r="2">
      <c r="E2" s="3">
        <f>SUM(E2:E1)</f>
      </c>
    </row>
    <row r="3">
      <c r="A3" s="2" t="str">
        <v>MELIA Studies Budget subtotal</v>
      </c>
    </row>
  </sheetData>
  <mergeCells count="1">
    <mergeCell ref="A2:D2"/>
  </mergeCells>
  <ignoredErrors>
    <ignoredError numberStoredAsText="1" sqref="A1:F3"/>
  </ignoredErrors>
</worksheet>
</file>

<file path=xl/worksheets/sheet7.xml><?xml version="1.0" encoding="utf-8"?>
<worksheet xmlns="http://schemas.openxmlformats.org/spreadsheetml/2006/main" xmlns:r="http://schemas.openxmlformats.org/officeDocument/2006/relationships">
  <dimension ref="A1:G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20.83203125" customWidth="1"/>
  </cols>
  <sheetData>
    <row r="1" ht="25" customHeight="1">
      <c r="A1" s="3" t="str">
        <v>Main Accounts</v>
      </c>
      <c r="B1" s="3" t="str">
        <v>AOW00</v>
      </c>
      <c r="C1" s="3" t="str">
        <v>AOW01</v>
      </c>
      <c r="D1" s="3" t="str">
        <v>AOW02</v>
      </c>
      <c r="E1" s="3" t="str">
        <v>AOW03</v>
      </c>
      <c r="F1" s="3" t="str">
        <v>AOW04</v>
      </c>
      <c r="G1" s="3" t="str">
        <v>Total budget (USD)</v>
      </c>
    </row>
    <row r="2" ht="20" customHeight="1">
      <c r="A2" s="18" t="str">
        <v>Collaborators non-CGIAR centers</v>
      </c>
      <c r="B2" s="18">
        <v>0</v>
      </c>
      <c r="C2" s="18">
        <v>0</v>
      </c>
      <c r="D2" s="18">
        <v>0</v>
      </c>
      <c r="E2" s="18">
        <v>0</v>
      </c>
      <c r="F2" s="18">
        <v>0</v>
      </c>
      <c r="G2" s="18" t="str">
        <f>=SUM(B2:F2)</f>
        <v>0</v>
      </c>
    </row>
    <row r="3" ht="20" customHeight="1">
      <c r="A3" s="18" t="str">
        <v>Operations (supplies, consultants, travels, workshops, other)</v>
      </c>
      <c r="B3" s="18">
        <v>0</v>
      </c>
      <c r="C3" s="18">
        <v>11700</v>
      </c>
      <c r="D3" s="18">
        <v>70000</v>
      </c>
      <c r="E3" s="18">
        <v>20747</v>
      </c>
      <c r="F3" s="18">
        <v>23400</v>
      </c>
      <c r="G3" s="18" t="str">
        <f>=SUM(B3:F3)</f>
        <v>0</v>
      </c>
    </row>
    <row r="4" ht="20" customHeight="1">
      <c r="A4" s="18" t="str">
        <v>Staffing, Chargebacks and Indirect</v>
      </c>
      <c r="B4" s="18">
        <v>40000</v>
      </c>
      <c r="C4" s="18">
        <v>78300</v>
      </c>
      <c r="D4" s="18">
        <v>100000</v>
      </c>
      <c r="E4" s="18">
        <v>34869</v>
      </c>
      <c r="F4" s="18">
        <v>106600</v>
      </c>
      <c r="G4" s="18" t="str">
        <f>=SUM(B4:F4)</f>
        <v>0</v>
      </c>
    </row>
    <row r="5" ht="20" customHeight="1">
      <c r="A5" s="19" t="str">
        <v>Subtotal</v>
      </c>
      <c r="B5" s="20" t="str">
        <f>=SUM(B2:B4)</f>
        <v>0</v>
      </c>
      <c r="C5" s="21" t="str">
        <f>=SUM(C2:C4)</f>
        <v>0</v>
      </c>
      <c r="D5" s="21" t="str">
        <f>=SUM(D2:D4)</f>
        <v>0</v>
      </c>
      <c r="E5" s="21" t="str">
        <f>=SUM(E2:E4)</f>
        <v>0</v>
      </c>
      <c r="F5" s="21" t="str">
        <f>=SUM(F2:F4)</f>
        <v>0</v>
      </c>
      <c r="G5" s="21" t="str">
        <f>=SUM(G2:G4)</f>
        <v>0</v>
      </c>
    </row>
  </sheetData>
  <ignoredErrors>
    <ignoredError numberStoredAsText="1" sqref="A1:G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Cross-Cutting</vt:lpstr>
      <vt:lpstr>HLO</vt:lpstr>
      <vt:lpstr>Partner</vt:lpstr>
      <vt:lpstr>W3-Bilateral projects</vt:lpstr>
      <vt:lpstr>MELIA</vt:lpstr>
      <vt:lpstr>Anaplan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