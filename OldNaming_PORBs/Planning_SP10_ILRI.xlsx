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Anaplan"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7">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2">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1" fontId="0" fillId="0" borderId="14" xfId="0" applyBorder="1" applyNumberFormat="1" applyAlignment="1">
      <alignment horizontal="center" vertical="center"/>
    </xf>
    <xf numFmtId="0" fontId="15" fillId="15" borderId="0" xfId="0" applyFont="1" applyFill="1" applyAlignment="1">
      <alignment horizontal="center" vertical="center"/>
    </xf>
    <xf numFmtId="1" fontId="16" fillId="16" borderId="15" xfId="0" applyFont="1" applyFill="1" applyBorder="1" applyNumberFormat="1" applyAlignment="1">
      <alignment horizontal="center" vertical="center"/>
    </xf>
    <xf numFmtId="1" fontId="17" fillId="17" borderId="16"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451112</v>
      </c>
      <c r="M4" s="5">
        <v>0</v>
      </c>
    </row>
    <row r="5" ht="20" customHeight="1">
      <c r="A5" s="2" t="str">
        <v>AOW01: Accelerating Solutions for Impact</v>
      </c>
      <c r="B5" s="2">
        <v>2</v>
      </c>
      <c r="C5" s="5">
        <v>157000</v>
      </c>
      <c r="D5" s="2">
        <v>2</v>
      </c>
      <c r="E5" s="5">
        <v>101750</v>
      </c>
      <c r="F5" s="2">
        <v>0</v>
      </c>
      <c r="G5" s="5">
        <v>0</v>
      </c>
      <c r="H5" s="2">
        <v>0</v>
      </c>
      <c r="I5" s="5">
        <v>0</v>
      </c>
      <c r="J5" s="5">
        <v>0</v>
      </c>
      <c r="K5" s="5">
        <v>0</v>
      </c>
      <c r="L5" s="5">
        <v>258750</v>
      </c>
      <c r="M5" s="5">
        <v>0</v>
      </c>
    </row>
    <row r="6" ht="20" customHeight="1">
      <c r="A6" s="2" t="str">
        <v>AOW02: Accelerating Change Through Evidence</v>
      </c>
      <c r="B6" s="2">
        <v>0</v>
      </c>
      <c r="C6" s="5">
        <v>0</v>
      </c>
      <c r="D6" s="2">
        <v>29</v>
      </c>
      <c r="E6" s="5">
        <v>692818</v>
      </c>
      <c r="F6" s="2">
        <v>0</v>
      </c>
      <c r="G6" s="5">
        <v>0</v>
      </c>
      <c r="H6" s="2">
        <v>1</v>
      </c>
      <c r="I6" s="5">
        <v>349890</v>
      </c>
      <c r="J6" s="5">
        <v>0</v>
      </c>
      <c r="K6" s="5">
        <v>0</v>
      </c>
      <c r="L6" s="5">
        <v>1042708</v>
      </c>
      <c r="M6" s="5">
        <v>0</v>
      </c>
    </row>
    <row r="7" ht="20" customHeight="1">
      <c r="A7" s="2" t="str">
        <v>AOW03: Youth Thrive</v>
      </c>
      <c r="B7" s="2">
        <v>1</v>
      </c>
      <c r="C7" s="5">
        <v>30000</v>
      </c>
      <c r="D7" s="2">
        <v>1</v>
      </c>
      <c r="E7" s="5">
        <v>120000</v>
      </c>
      <c r="F7" s="2">
        <v>0</v>
      </c>
      <c r="G7" s="5">
        <v>0</v>
      </c>
      <c r="H7" s="2">
        <v>0</v>
      </c>
      <c r="I7" s="5">
        <v>0</v>
      </c>
      <c r="J7" s="5">
        <v>0</v>
      </c>
      <c r="K7" s="5">
        <v>0</v>
      </c>
      <c r="L7" s="5">
        <v>150000</v>
      </c>
      <c r="M7" s="5">
        <v>0</v>
      </c>
    </row>
    <row r="8" ht="25" customHeight="1">
      <c r="A8" s="6" t="str">
        <v>Total</v>
      </c>
      <c r="B8" s="7">
        <f>SUM(B4:B7)</f>
      </c>
      <c r="C8" s="7">
        <f>SUM(C4:C7)</f>
      </c>
      <c r="D8" s="7">
        <f>SUM(D4:D7)</f>
      </c>
      <c r="E8" s="7">
        <f>SUM(E4:E7)</f>
      </c>
      <c r="F8" s="7">
        <f>SUM(F4:F7)</f>
      </c>
      <c r="G8" s="7">
        <f>SUM(G4:G7)</f>
      </c>
      <c r="H8" s="7">
        <f>SUM(H4:H7)</f>
      </c>
      <c r="I8" s="7">
        <f>SUM(I4:I7)</f>
      </c>
      <c r="J8" s="7">
        <f>SUM(J4:J7)</f>
      </c>
      <c r="K8" s="7">
        <f>SUM(K4:K7)</f>
      </c>
      <c r="L8" s="7">
        <f>SUM(L4:L7)</f>
      </c>
      <c r="M8" s="7">
        <f>SUM(M4:M7)</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8"/>
  </ignoredErrors>
</worksheet>
</file>

<file path=xl/worksheets/sheet2.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Area of Work Leadership Costs</v>
      </c>
      <c r="D2" s="11">
        <v>0</v>
      </c>
    </row>
    <row r="3" ht="45" customHeight="1">
      <c r="A3" s="11" t="str">
        <v>AOW00</v>
      </c>
      <c r="B3" s="11" t="str">
        <v xml:space="preserve">PMU Team </v>
      </c>
      <c r="C3" s="11" t="str">
        <v/>
      </c>
      <c r="D3" s="11">
        <v>451112</v>
      </c>
      <c r="E3" s="11" t="str">
        <v>Accelerator level: Accelerator Coordinator; and existing contractual obligations with ILRI carried forward from the GENDER Impact Platform and HER+ Initiative</v>
      </c>
    </row>
    <row r="4" ht="45" customHeight="1">
      <c r="A4" s="11" t="str">
        <v>AOW00</v>
      </c>
      <c r="B4" s="11" t="str">
        <v>Director and associated costs</v>
      </c>
      <c r="D4" s="11">
        <v>0</v>
      </c>
    </row>
    <row r="5" ht="45" customHeight="1">
      <c r="A5" s="11" t="str">
        <v>AOW00</v>
      </c>
      <c r="B5" s="11" t="str">
        <v>Director's discretionary fund</v>
      </c>
      <c r="D5" s="11">
        <v>0</v>
      </c>
    </row>
    <row r="6" ht="45" customHeight="1">
      <c r="A6" s="11" t="str">
        <v>AOW00</v>
      </c>
      <c r="B6" s="11" t="str">
        <v>Shared finance support</v>
      </c>
      <c r="D6" s="11">
        <v>0</v>
      </c>
    </row>
  </sheetData>
  <mergeCells count="1">
    <mergeCell ref="A2:A6"/>
  </mergeCells>
  <ignoredErrors>
    <ignoredError numberStoredAsText="1" sqref="A1:E6"/>
  </ignoredErrors>
</worksheet>
</file>

<file path=xl/worksheets/sheet3.xml><?xml version="1.0" encoding="utf-8"?>
<worksheet xmlns="http://schemas.openxmlformats.org/spreadsheetml/2006/main" xmlns:r="http://schemas.openxmlformats.org/officeDocument/2006/relationships">
  <dimension ref="A1:I19"/>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1.1.1: Tools for measuring restrictive norms</v>
      </c>
      <c r="C3" s="11" t="str">
        <v>Metrics and participatory tools co-designed with women-led collectives and communities to enable them to track progress, document impact of the GTAs and develop locally led action plans for climate adaptation</v>
      </c>
      <c r="D3" s="11" t="str">
        <v>Number of knowledge products</v>
      </c>
      <c r="E3" s="11" t="str">
        <v>Global</v>
      </c>
      <c r="F3" s="11">
        <v>1</v>
      </c>
      <c r="G3" s="11">
        <v>51750</v>
      </c>
      <c r="H3" s="11">
        <f>SUM(G3:G3)</f>
      </c>
      <c r="I3" s="11" t="str">
        <v>ILRI research budget</v>
      </c>
    </row>
    <row r="4" ht="50" customHeight="1" xml:space="preserve">
      <c r="A4" s="11" t="str">
        <v>AOW01</v>
      </c>
      <c r="B4" s="11" t="str">
        <v>1.1.2: Interventions for addressing restrictive norms</v>
      </c>
      <c r="C4" s="11" t="str">
        <v>GTAs refined and implemented across 2 commodities or countries</v>
      </c>
      <c r="D4" s="11" t="str">
        <v>Number of innovations (innovation development)</v>
      </c>
      <c r="E4" s="11" t="str">
        <v>Country: Kenya, Tanzania, United Republic</v>
      </c>
      <c r="F4" s="11">
        <v>2</v>
      </c>
      <c r="G4" s="11">
        <v>157000</v>
      </c>
      <c r="H4" s="11">
        <f>SUM(G4:G4)</f>
      </c>
      <c r="I4" s="11" t="str" xml:space="preserve">
        <v xml:space="preserve">ILRI research budget.
Collaborating partners, non-contracted: Grassroots Organizations Operating Together in Sisterhood (GROOTS) Kenya; Agriculture and livestock county extension; Shujaaz.inc or Mediae</v>
      </c>
    </row>
    <row r="5" ht="50" customHeight="1" xml:space="preserve">
      <c r="A5" s="11" t="str">
        <v>AOW01</v>
      </c>
      <c r="B5" s="11" t="str">
        <v>1.1.3: Gender-transformative solutions for women's economic empowerment</v>
      </c>
      <c r="C5" s="11" t="str">
        <v>Publication: compare the effectiveness of previously implemented GTAs and analyze the conditions that made them successful across commodities and countries</v>
      </c>
      <c r="D5" s="11" t="str">
        <v>Number of knowledge products</v>
      </c>
      <c r="E5" s="11" t="str">
        <v>Country: Kenya, Tanzania, United Republic</v>
      </c>
      <c r="F5" s="11">
        <v>1</v>
      </c>
      <c r="G5" s="11">
        <v>50000</v>
      </c>
      <c r="H5" s="11">
        <f>SUM(G5:G5)</f>
      </c>
      <c r="I5" s="11" t="str" xml:space="preserve">
        <v xml:space="preserve">ILRI research budget.
Collaborating partners, non-contracted: Grassroots Organizations Operating Together in Sisterhood (GROOTS) Kenya; Agriculture and livestock county extension; Shujaaz.inc or Mediae</v>
      </c>
    </row>
    <row r="6" ht="25" customHeight="1">
      <c r="B6" s="14" t="str">
        <v>HLO budget subtotal</v>
      </c>
      <c r="H6" s="15">
        <f>SUM(H3:H5)</f>
      </c>
    </row>
    <row r="7" ht="50" customHeight="1">
      <c r="A7" s="13" t="str">
        <v>AOW02</v>
      </c>
      <c r="B7" s="11" t="str">
        <v>2.1.3: Tools for measuring empowerment and inclusion</v>
      </c>
      <c r="C7" s="11" t="str">
        <v>Online WELI course that can be used by any WELI user to learn about the tool, its use and implementation.</v>
      </c>
      <c r="D7" s="11" t="str">
        <v>Number of knowledge products</v>
      </c>
      <c r="E7" s="11" t="str">
        <v>Global</v>
      </c>
      <c r="F7" s="11">
        <v>1</v>
      </c>
      <c r="G7" s="11">
        <v>100000</v>
      </c>
      <c r="H7" s="11">
        <f>SUM(G7:G7)</f>
      </c>
      <c r="I7" s="11" t="str">
        <v>ILRI research budget</v>
      </c>
    </row>
    <row r="8" ht="50" customHeight="1">
      <c r="A8" s="11" t="str">
        <v>AOW02</v>
      </c>
      <c r="B8" s="11" t="str">
        <v>2.2.4: Assessments of CGIAR's impact on gender equality, youth and social inclusion</v>
      </c>
      <c r="C8" s="11" t="str">
        <v>A slide deck that presents mapping and analysis of roles, responsibilities, collaborations across CGIAR actors, capacity development, research, the use of evidence, metrics and timeline for generating impact on gender equality and inclusion  in agrifood systems</v>
      </c>
      <c r="D8" s="11" t="str">
        <v>Number of knowledge products</v>
      </c>
      <c r="E8" s="11" t="str">
        <v>Global</v>
      </c>
      <c r="F8" s="11">
        <v>1</v>
      </c>
      <c r="G8" s="11">
        <v>61435</v>
      </c>
      <c r="H8" s="11">
        <f>SUM(G8:G11)</f>
      </c>
      <c r="I8" s="11" t="str">
        <v>Accelerator level budget: Staff FTE</v>
      </c>
    </row>
    <row r="9" ht="50" customHeight="1">
      <c r="A9" s="11" t="str">
        <v>AOW02</v>
      </c>
      <c r="C9" s="11" t="str">
        <v>An indicators bank that provides researchers with a collection of output, outcome, and impact indicators for tracking progress on gender equality, youth and social inclusion and provides crucial guidance on how to measure each indicator and which questions to integrate into data collection surveys</v>
      </c>
      <c r="D9" s="11" t="str">
        <v>Number of knowledge products</v>
      </c>
      <c r="E9" s="11" t="str">
        <v>Global</v>
      </c>
      <c r="F9" s="11">
        <v>1</v>
      </c>
      <c r="G9" s="11">
        <v>143349</v>
      </c>
      <c r="I9" s="11" t="str">
        <v>Accelerator level budget: Staff FTE</v>
      </c>
    </row>
    <row r="10" ht="50" customHeight="1">
      <c r="A10" s="11" t="str">
        <v>AOW02</v>
      </c>
      <c r="C10" s="11" t="str">
        <v>A report describing the impact of CGIAR research on gender, focusing on specific themes (e.g., climate adaptation, social norms, digital inclusion)</v>
      </c>
      <c r="D10" s="11" t="str">
        <v>Number of knowledge products</v>
      </c>
      <c r="E10" s="11" t="str">
        <v>Global</v>
      </c>
      <c r="F10" s="11">
        <v>1</v>
      </c>
      <c r="G10" s="11">
        <v>143349</v>
      </c>
      <c r="I10" s="11" t="str">
        <v>Accelerator level budget: Staff FTE</v>
      </c>
    </row>
    <row r="11" ht="50" customHeight="1">
      <c r="A11" s="11" t="str">
        <v>AOW02</v>
      </c>
      <c r="C11" s="11" t="str">
        <v>"Impact' theme integrated within the Resource Hub that clearly maps and organizes all relevant resources related to impact assessment and measurement</v>
      </c>
      <c r="D11" s="11" t="str">
        <v>Number of knowledge products</v>
      </c>
      <c r="E11" s="11" t="str">
        <v>Global</v>
      </c>
      <c r="F11" s="11">
        <v>20</v>
      </c>
      <c r="G11" s="11">
        <v>95935</v>
      </c>
      <c r="I11" s="11" t="str">
        <v>Accelerator level budget: Staff FTE and operational cost for resource hub</v>
      </c>
    </row>
    <row r="12" ht="50" customHeight="1">
      <c r="A12" s="11" t="str">
        <v>AOW02</v>
      </c>
      <c r="B12" s="11" t="str">
        <v>2.3.3: Spaces to foster learning, knowledge exchange, and enabling environment for gender equality, youth and social inclusion research uptake</v>
      </c>
      <c r="C12" s="11" t="str">
        <v>Operational Resource Hubs enriched with at least 50 new resources for gender research and youth research in food, water and land systems</v>
      </c>
      <c r="D12" s="11" t="str">
        <v xml:space="preserve"> Number of operational resource hubs</v>
      </c>
      <c r="E12" s="11" t="str">
        <v>Global</v>
      </c>
      <c r="F12" s="11">
        <v>2</v>
      </c>
      <c r="G12" s="11">
        <v>131442</v>
      </c>
      <c r="H12" s="11">
        <f>SUM(G12:G12)</f>
      </c>
      <c r="I12" s="11" t="str">
        <v>Web developer, web harvesting, editing and writing services, knowledge manager FTE</v>
      </c>
    </row>
    <row r="13" ht="50" customHeight="1">
      <c r="A13" s="11" t="str">
        <v>AOW02</v>
      </c>
      <c r="B13" s="11" t="str">
        <v>2.3.4: Strategies for making gender equality, youth and social inclusion research an institutional priority</v>
      </c>
      <c r="C13" s="11" t="str">
        <v>CGIAR communication on gender and youth</v>
      </c>
      <c r="D13" s="11" t="str">
        <v xml:space="preserve"> Number of published and disseminated communication products on CGIAR work in gender and youth published </v>
      </c>
      <c r="E13" s="11" t="str">
        <v>Global</v>
      </c>
      <c r="F13" s="11">
        <v>50</v>
      </c>
      <c r="G13" s="11">
        <v>103830</v>
      </c>
      <c r="H13" s="11">
        <f>SUM(G13:G15)</f>
      </c>
      <c r="I13" s="11" t="str">
        <v>Staff FTE, branding, graphic design, CGSpace services</v>
      </c>
    </row>
    <row r="14" ht="50" customHeight="1">
      <c r="A14" s="11" t="str">
        <v>AOW02</v>
      </c>
      <c r="C14" s="11" t="str">
        <v>Develop and implement a global communication campaign for the International Year of the Women Farmer that produces and disseminates policy briefs, knowledge notes and communication materials to raise awareness of women farmers’ contributions and constraints in FWLS</v>
      </c>
      <c r="D14" s="11" t="str">
        <v>Number of knowledge products</v>
      </c>
      <c r="E14" s="11" t="str">
        <v>Global</v>
      </c>
      <c r="F14" s="11">
        <v>5</v>
      </c>
      <c r="G14" s="11">
        <v>148750</v>
      </c>
      <c r="I14" s="11" t="str">
        <v>Accelerator level budget for impact pathway 3: Global Engagement Expert and operational fund for events</v>
      </c>
    </row>
    <row r="15" ht="50" customHeight="1">
      <c r="A15" s="11" t="str">
        <v>AOW02</v>
      </c>
      <c r="C15" s="11" t="str">
        <v>Continued visibility of gender research in global fora and partnership strategy for Gender Equality and Inclusion Accelerator</v>
      </c>
      <c r="D15" s="11" t="str">
        <v xml:space="preserve"> Number of partnership strategies on gender equality, youth and social inclusion</v>
      </c>
      <c r="E15" s="11" t="str">
        <v>Global</v>
      </c>
      <c r="F15" s="11">
        <v>1</v>
      </c>
      <c r="G15" s="11">
        <v>114618</v>
      </c>
      <c r="I15" s="11" t="str">
        <v>Accelerator level budget for impact pathway 3 (influencing global processes): Staff FTE; strategic partner</v>
      </c>
    </row>
    <row r="16" ht="25" customHeight="1">
      <c r="B16" s="15" t="str">
        <v>HLO budget subtotal</v>
      </c>
      <c r="H16" s="15">
        <f>SUM(H7:H15)</f>
      </c>
    </row>
    <row r="17" ht="50" customHeight="1">
      <c r="A17" s="13" t="str">
        <v>AOW03</v>
      </c>
      <c r="B17" s="11" t="str">
        <v xml:space="preserve">3.1.1: Approaches to engage youth  </v>
      </c>
      <c r="C17" s="11" t="str">
        <v>Youth Empowerment in Livestock Index (YELI) developed and validated by local youth groups</v>
      </c>
      <c r="D17" s="11" t="str">
        <v>Number of knowledge products</v>
      </c>
      <c r="E17" s="11" t="str">
        <v>Global</v>
      </c>
      <c r="F17" s="11">
        <v>1</v>
      </c>
      <c r="G17" s="11">
        <v>120000</v>
      </c>
      <c r="H17" s="11">
        <f>SUM(G17:G17)</f>
      </c>
      <c r="I17" s="11" t="str">
        <v>This includes staff FTE for the development of the tool and operational budget for the validation with the youth groups</v>
      </c>
    </row>
    <row r="18" ht="50" customHeight="1">
      <c r="A18" s="11" t="str">
        <v>AOW03</v>
      </c>
      <c r="B18" s="11" t="str">
        <v xml:space="preserve">3.1.2: Co-designed innovations with youth </v>
      </c>
      <c r="C18" s="11" t="str">
        <v>Qualitative datasets on local meanings youth attach to empowerment and indicators that are significant to them</v>
      </c>
      <c r="D18" s="11" t="str">
        <v>Number of innovations (innovation development)</v>
      </c>
      <c r="E18" s="11" t="str">
        <v>Country: Ethiopia</v>
      </c>
      <c r="F18" s="11">
        <v>1</v>
      </c>
      <c r="G18" s="11">
        <v>30000</v>
      </c>
      <c r="H18" s="11">
        <f>SUM(G18:G18)</f>
      </c>
      <c r="I18" s="11" t="str">
        <v>Staff FTE and field work for data collection</v>
      </c>
    </row>
    <row r="19" ht="25" customHeight="1">
      <c r="B19" s="15" t="str">
        <v>HLO budget subtotal</v>
      </c>
      <c r="H19" s="15">
        <f>SUM(H17:H18)</f>
      </c>
    </row>
  </sheetData>
  <mergeCells count="15">
    <mergeCell ref="A1:A2"/>
    <mergeCell ref="B1:B2"/>
    <mergeCell ref="C1:G1"/>
    <mergeCell ref="H1:H2"/>
    <mergeCell ref="I1:I2"/>
    <mergeCell ref="B6:G6"/>
    <mergeCell ref="A3:A6"/>
    <mergeCell ref="B8:B11"/>
    <mergeCell ref="H8:H11"/>
    <mergeCell ref="B13:B15"/>
    <mergeCell ref="H13:H15"/>
    <mergeCell ref="B16:G16"/>
    <mergeCell ref="A7:A16"/>
    <mergeCell ref="B19:G19"/>
    <mergeCell ref="A17:A19"/>
  </mergeCells>
  <ignoredErrors>
    <ignoredError numberStoredAsText="1" sqref="A1:I19"/>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Project title</v>
      </c>
      <c r="B1" s="17" t="str">
        <v>AOW</v>
      </c>
      <c r="C1" s="17" t="str">
        <v>High Level Outputs</v>
      </c>
      <c r="D1" s="17" t="str">
        <v>Budget (USD)</v>
      </c>
      <c r="E1" s="17" t="str">
        <v>Total budget (USD)</v>
      </c>
      <c r="F1" s="17"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18" t="str">
        <v>Collaborators non-CGIAR centers</v>
      </c>
      <c r="B2" s="18">
        <v>0</v>
      </c>
      <c r="C2" s="18">
        <v>0</v>
      </c>
      <c r="D2" s="18">
        <v>0</v>
      </c>
      <c r="E2" s="18">
        <v>0</v>
      </c>
      <c r="F2" s="18" t="str">
        <f>=SUM(B2:E2)</f>
        <v>0</v>
      </c>
    </row>
    <row r="3" ht="20" customHeight="1">
      <c r="A3" s="18" t="str">
        <v>Operations (supplies, consultants, travels, workshops, other)</v>
      </c>
      <c r="B3" s="18">
        <v>0</v>
      </c>
      <c r="C3" s="18">
        <v>28974</v>
      </c>
      <c r="D3" s="18">
        <v>271078</v>
      </c>
      <c r="E3" s="18">
        <v>17373</v>
      </c>
      <c r="F3" s="18" t="str">
        <f>=SUM(B3:E3)</f>
        <v>0</v>
      </c>
    </row>
    <row r="4" ht="20" customHeight="1">
      <c r="A4" s="18" t="str">
        <v>Staffing, Chargebacks and Indirect</v>
      </c>
      <c r="B4" s="18">
        <v>451112</v>
      </c>
      <c r="C4" s="18">
        <v>229776</v>
      </c>
      <c r="D4" s="18">
        <v>771630</v>
      </c>
      <c r="E4" s="18">
        <v>132627</v>
      </c>
      <c r="F4" s="18" t="str">
        <f>=SUM(B4:E4)</f>
        <v>0</v>
      </c>
    </row>
    <row r="5" ht="20" customHeight="1">
      <c r="A5" s="19" t="str">
        <v>Subtotal</v>
      </c>
      <c r="B5" s="20" t="str">
        <f>=SUM(B2:B4)</f>
        <v>0</v>
      </c>
      <c r="C5" s="21" t="str">
        <f>=SUM(C2:C4)</f>
        <v>0</v>
      </c>
      <c r="D5" s="21" t="str">
        <f>=SUM(D2:D4)</f>
        <v>0</v>
      </c>
      <c r="E5" s="21" t="str">
        <f>=SUM(E2:E4)</f>
        <v>0</v>
      </c>
      <c r="F5" s="21" t="str">
        <f>=SUM(F2:F4)</f>
        <v>0</v>
      </c>
    </row>
  </sheetData>
  <ignoredErrors>
    <ignoredError numberStoredAsText="1" sqref="A1:F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Summary</vt:lpstr>
      <vt:lpstr>Cross-Cutting</vt:lpstr>
      <vt:lpstr>HLO</vt:lpstr>
      <vt:lpstr>Partner</vt:lpstr>
      <vt:lpstr>W3-Bilateral projects</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