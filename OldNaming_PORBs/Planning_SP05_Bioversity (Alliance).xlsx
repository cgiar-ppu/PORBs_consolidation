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Consumers and Food Environments</v>
      </c>
      <c r="B5" s="2">
        <v>7</v>
      </c>
      <c r="C5" s="5">
        <v>363109</v>
      </c>
      <c r="D5" s="2">
        <v>14</v>
      </c>
      <c r="E5" s="5">
        <v>708079</v>
      </c>
      <c r="F5" s="2">
        <v>1</v>
      </c>
      <c r="G5" s="5">
        <v>56925</v>
      </c>
      <c r="H5" s="2">
        <v>2</v>
      </c>
      <c r="I5" s="5">
        <v>95414</v>
      </c>
      <c r="J5" s="5">
        <v>7</v>
      </c>
      <c r="K5" s="5">
        <v>0</v>
      </c>
      <c r="L5" s="5">
        <v>1223534</v>
      </c>
      <c r="M5" s="5">
        <v>0</v>
      </c>
    </row>
    <row r="6" ht="20" customHeight="1">
      <c r="A6" s="2" t="str">
        <v>AOW02: Market Systems</v>
      </c>
      <c r="B6" s="2">
        <v>0</v>
      </c>
      <c r="C6" s="5">
        <v>0</v>
      </c>
      <c r="D6" s="2">
        <v>6</v>
      </c>
      <c r="E6" s="5">
        <v>294856</v>
      </c>
      <c r="F6" s="2">
        <v>0</v>
      </c>
      <c r="G6" s="5">
        <v>0</v>
      </c>
      <c r="H6" s="2">
        <v>0</v>
      </c>
      <c r="I6" s="5">
        <v>0</v>
      </c>
      <c r="J6" s="5">
        <v>2</v>
      </c>
      <c r="K6" s="5">
        <v>0</v>
      </c>
      <c r="L6" s="5">
        <v>294858</v>
      </c>
      <c r="M6" s="5">
        <v>0</v>
      </c>
    </row>
    <row r="7" ht="20" customHeight="1">
      <c r="A7" s="2" t="str">
        <v>AOW03: End-to-end Solutions</v>
      </c>
      <c r="B7" s="2">
        <v>0</v>
      </c>
      <c r="C7" s="5">
        <v>0</v>
      </c>
      <c r="D7" s="2">
        <v>0</v>
      </c>
      <c r="E7" s="5">
        <v>0</v>
      </c>
      <c r="F7" s="2">
        <v>0</v>
      </c>
      <c r="G7" s="5">
        <v>0</v>
      </c>
      <c r="H7" s="2">
        <v>0</v>
      </c>
      <c r="I7" s="5">
        <v>0</v>
      </c>
      <c r="J7" s="5">
        <v>0</v>
      </c>
      <c r="K7" s="5">
        <v>0</v>
      </c>
      <c r="L7" s="5">
        <v>0</v>
      </c>
      <c r="M7" s="5">
        <v>0</v>
      </c>
    </row>
    <row r="8" ht="20" customHeight="1">
      <c r="A8" s="2" t="str">
        <v>AOW04: Biofortified and Health-enhancing Staples</v>
      </c>
      <c r="B8" s="2">
        <v>0</v>
      </c>
      <c r="C8" s="5">
        <v>0</v>
      </c>
      <c r="D8" s="2">
        <v>2</v>
      </c>
      <c r="E8" s="5">
        <v>75000</v>
      </c>
      <c r="F8" s="2">
        <v>0</v>
      </c>
      <c r="G8" s="5">
        <v>0</v>
      </c>
      <c r="H8" s="2">
        <v>0</v>
      </c>
      <c r="I8" s="5">
        <v>0</v>
      </c>
      <c r="J8" s="5">
        <v>0</v>
      </c>
      <c r="K8" s="5">
        <v>0</v>
      </c>
      <c r="L8" s="5">
        <v>75000</v>
      </c>
      <c r="M8" s="5">
        <v>0</v>
      </c>
    </row>
    <row r="9" ht="20" customHeight="1">
      <c r="A9" s="2" t="str">
        <v>AOW05: Multisectoral systems</v>
      </c>
      <c r="B9" s="2">
        <v>0</v>
      </c>
      <c r="C9" s="5">
        <v>0</v>
      </c>
      <c r="D9" s="2">
        <v>0</v>
      </c>
      <c r="E9" s="5">
        <v>0</v>
      </c>
      <c r="F9" s="2">
        <v>0</v>
      </c>
      <c r="G9" s="5">
        <v>0</v>
      </c>
      <c r="H9" s="2">
        <v>0</v>
      </c>
      <c r="I9" s="5">
        <v>0</v>
      </c>
      <c r="J9" s="5">
        <v>0</v>
      </c>
      <c r="K9" s="5">
        <v>0</v>
      </c>
      <c r="L9" s="5">
        <v>0</v>
      </c>
      <c r="M9" s="5">
        <v>0</v>
      </c>
    </row>
    <row r="10" ht="20" customHeight="1">
      <c r="A10" s="2" t="str">
        <v>AOW06: Transformative leadership</v>
      </c>
      <c r="B10" s="2">
        <v>0</v>
      </c>
      <c r="C10" s="5">
        <v>0</v>
      </c>
      <c r="D10" s="2">
        <v>2</v>
      </c>
      <c r="E10" s="5">
        <v>66667</v>
      </c>
      <c r="F10" s="2">
        <v>0</v>
      </c>
      <c r="G10" s="5">
        <v>0</v>
      </c>
      <c r="H10" s="2">
        <v>4</v>
      </c>
      <c r="I10" s="5">
        <v>133333</v>
      </c>
      <c r="J10" s="5">
        <v>0</v>
      </c>
      <c r="K10" s="5">
        <v>0</v>
      </c>
      <c r="L10" s="5">
        <v>200000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SO Finance Support</v>
      </c>
      <c r="D2" s="11">
        <v>0</v>
      </c>
    </row>
    <row r="3" ht="45" customHeight="1">
      <c r="A3" s="11" t="str">
        <v>AOW00</v>
      </c>
      <c r="B3" s="11" t="str">
        <v>Discretionary funds</v>
      </c>
      <c r="D3" s="11">
        <v>0</v>
      </c>
    </row>
    <row r="4" ht="45" customHeight="1">
      <c r="A4" s="11" t="str">
        <v>AOW00</v>
      </c>
      <c r="B4" s="11" t="str">
        <v>AoW Leads</v>
      </c>
      <c r="D4" s="11">
        <v>0</v>
      </c>
    </row>
    <row r="5" ht="45" customHeight="1">
      <c r="A5" s="11" t="str">
        <v>AOW00</v>
      </c>
      <c r="B5" s="11" t="str">
        <v>Director costs</v>
      </c>
      <c r="D5" s="11">
        <v>0</v>
      </c>
    </row>
    <row r="6" ht="45" customHeight="1">
      <c r="A6" s="11" t="str">
        <v>AOW00</v>
      </c>
      <c r="B6" s="11" t="str">
        <v>PMU (Coordinator, MELIA + Communication)</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3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Policy options and engagement that support effective management of national action plans and other policy processes, for food systems transformation in  support of sustainable healthy diets</v>
      </c>
      <c r="C3" s="11" t="str">
        <v>Engagement reports on science policy interface around food systems transformation in Ethiopia and Vietnam</v>
      </c>
      <c r="D3" s="11" t="str">
        <v>Number of knowledge products</v>
      </c>
      <c r="E3" s="11" t="str">
        <v>Country: Ethiopia, The Socialist Republic of Viet Nam</v>
      </c>
      <c r="F3" s="11">
        <v>2</v>
      </c>
      <c r="G3" s="11">
        <v>113850</v>
      </c>
      <c r="H3" s="11">
        <f>SUM(G3:G15)</f>
      </c>
      <c r="I3" s="11" t="str">
        <v>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4" ht="50" customHeight="1">
      <c r="A4" s="11" t="str">
        <v>AOW01</v>
      </c>
      <c r="C4" s="11" t="str">
        <v xml:space="preserve">Dissemination meeting with Kenyan stakeholders on findings from work on the Cost and Affordability of a Healthy Diet (CoHD) metric </v>
      </c>
      <c r="D4" s="11" t="str">
        <v xml:space="preserve"> Number of stakeholder engagements</v>
      </c>
      <c r="E4" s="11" t="str">
        <v>Country: Kenya</v>
      </c>
      <c r="F4" s="11">
        <v>1</v>
      </c>
      <c r="G4" s="11">
        <v>34290</v>
      </c>
      <c r="I4" s="11" t="str">
        <v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5" ht="50" customHeight="1">
      <c r="A5" s="11" t="str">
        <v>AOW01</v>
      </c>
      <c r="C5" s="11" t="str">
        <v>Critical Capabilities: Summary report on the implementation of the PPDF at the provincial level in Vietnam focusing on the early stages of the policy cycle -- agenda setting, policy design, and policy adoption</v>
      </c>
      <c r="D5" s="11" t="str">
        <v>Number of knowledge products</v>
      </c>
      <c r="E5" s="11" t="str">
        <v>Country: The Socialist Republic of Viet Nam</v>
      </c>
      <c r="F5" s="11">
        <v>1</v>
      </c>
      <c r="G5" s="11">
        <v>47208</v>
      </c>
      <c r="I5" s="11" t="str">
        <v>Personnel costs based on standard organizational salary scales.</v>
      </c>
    </row>
    <row r="6" ht="50" customHeight="1">
      <c r="A6" s="11" t="str">
        <v>AOW01</v>
      </c>
      <c r="C6" s="11" t="str">
        <v xml:space="preserve"> Technical package of resources for subnational engagement in food systems transformation (toolkit, documented results and policy briefs), aka a food systems innovation for stakeholders in Ethiopia and Vietnam</v>
      </c>
      <c r="D6" s="11" t="str">
        <v>Number of innovations (innovation development)</v>
      </c>
      <c r="E6" s="11" t="str">
        <v>Country: Ethiopia, The Socialist Republic of Viet Nam</v>
      </c>
      <c r="F6" s="11">
        <v>2</v>
      </c>
      <c r="G6" s="11">
        <v>113850</v>
      </c>
      <c r="I6" s="11" t="str">
        <v>Estimated costs for time of interdiscipilinary teams of researchers and local partners, data collection costs, meeting costs (include venue, catering, materials, and facilitators).</v>
      </c>
    </row>
    <row r="7" ht="50" customHeight="1">
      <c r="A7" s="11" t="str">
        <v>AOW01</v>
      </c>
      <c r="C7" s="11" t="str">
        <v>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v>
      </c>
      <c r="D7" s="11" t="str">
        <v xml:space="preserve"> Number of stakeholder engagements</v>
      </c>
      <c r="E7" s="11" t="str">
        <v>Global</v>
      </c>
      <c r="F7" s="11">
        <v>1</v>
      </c>
      <c r="G7" s="11">
        <v>61124</v>
      </c>
      <c r="I7" s="11" t="str">
        <v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8" ht="50" customHeight="1">
      <c r="A8" s="11" t="str">
        <v>AOW01</v>
      </c>
      <c r="C8" s="11" t="str">
        <v xml:space="preserve">Report documenting and mapping the ultra-processed food (UPF) industry’s market and corporate strategies in one country </v>
      </c>
      <c r="D8" s="11" t="str">
        <v>Number of knowledge products</v>
      </c>
      <c r="E8" s="11" t="str">
        <v>Global</v>
      </c>
      <c r="F8" s="11">
        <v>1</v>
      </c>
      <c r="G8" s="11">
        <v>61125</v>
      </c>
      <c r="I8" s="11" t="str">
        <v>Estimated costs for time of interdiscipilinary teams of reserchers and local partners, data collection costs</v>
      </c>
    </row>
    <row r="9" ht="50" customHeight="1">
      <c r="A9" s="11" t="str">
        <v>AOW01</v>
      </c>
      <c r="C9" s="11" t="str">
        <v>Co-designed, mixed-methods protocol summarizing the review of policies/interventions, corporate-influence mapping and strategies, and implementation plan, aka a food systems innovation,  across three countries</v>
      </c>
      <c r="D9" s="11" t="str">
        <v>Number of knowledge products</v>
      </c>
      <c r="E9" s="11" t="str">
        <v>Global</v>
      </c>
      <c r="F9" s="11">
        <v>1</v>
      </c>
      <c r="G9" s="11">
        <v>61125</v>
      </c>
      <c r="I9" s="11" t="str">
        <v>Estimated costs for time of interdiscipilinary teams of researchers and local partners, data collection costs</v>
      </c>
    </row>
    <row r="10" ht="50" customHeight="1">
      <c r="A10" s="11" t="str">
        <v>AOW01</v>
      </c>
      <c r="C10" s="11" t="str">
        <v xml:space="preserve">Food Environment Toolkit Platform updated with validation rating </v>
      </c>
      <c r="D10" s="11" t="str">
        <v>Number of knowledge products</v>
      </c>
      <c r="E10" s="11" t="str">
        <v>Global</v>
      </c>
      <c r="F10" s="11">
        <v>1</v>
      </c>
      <c r="G10" s="11">
        <v>34289</v>
      </c>
      <c r="I10" s="11" t="str">
        <v>Estimated costs for time of interdiscipilinary teams of researchers and local partners, data collection costs</v>
      </c>
    </row>
    <row r="11" ht="50" customHeight="1">
      <c r="A11" s="11" t="str">
        <v>AOW01</v>
      </c>
      <c r="C11" s="11" t="str">
        <v xml:space="preserve">Report on the methodology and results for rating the validity of each food environment tool in the food environment platform </v>
      </c>
      <c r="D11" s="11" t="str">
        <v>Number of knowledge products</v>
      </c>
      <c r="E11" s="11" t="str">
        <v>Global</v>
      </c>
      <c r="F11" s="11">
        <v>1</v>
      </c>
      <c r="G11" s="11">
        <v>34289</v>
      </c>
      <c r="I11" s="11" t="str">
        <v>Estimated costs for time of interdiscipilinary teams of researchers and local partners, data collection costs</v>
      </c>
    </row>
    <row r="12" ht="50" customHeight="1">
      <c r="A12" s="11" t="str">
        <v>AOW01</v>
      </c>
      <c r="C12" s="11" t="str">
        <v>Rollout of the next levels of the ToT program and new trainers trained</v>
      </c>
      <c r="D12" s="11" t="str">
        <v>Number of people trained (capacity sharing for development)</v>
      </c>
      <c r="E12" s="11" t="str">
        <v>Country: Ethiopia, Bangladesh</v>
      </c>
      <c r="F12" s="11">
        <v>1</v>
      </c>
      <c r="G12" s="11">
        <v>56925</v>
      </c>
      <c r="I12" s="11" t="str">
        <v xml:space="preserve"> Meeting costs include venue, catering, materials, and facilitators</v>
      </c>
    </row>
    <row r="13" ht="50" customHeight="1">
      <c r="A13" s="11" t="str">
        <v>AOW01</v>
      </c>
      <c r="C13" s="11" t="str">
        <v xml:space="preserve">Initial policy process documentation framework and pilot design for tool to monitor the process of national food systems transformation </v>
      </c>
      <c r="D13" s="11" t="str">
        <v>Number of knowledge products</v>
      </c>
      <c r="E13" s="11" t="str">
        <v>Country: The Socialist Republic of Viet Nam, Bangladesh</v>
      </c>
      <c r="F13" s="11">
        <v>1</v>
      </c>
      <c r="G13" s="11">
        <v>56925</v>
      </c>
      <c r="I13" s="11" t="str">
        <v>Estimated costs for time of interdiscipilinary teams of researchers and local partners, data collection costs</v>
      </c>
    </row>
    <row r="14" ht="50" customHeight="1">
      <c r="A14" s="11" t="str">
        <v>AOW01</v>
      </c>
      <c r="C14" s="11" t="str">
        <v>Contextualized training of trainers (ToT) program designed to support actors working on steering food systems transformation towards sustainable healthy diets</v>
      </c>
      <c r="D14" s="11" t="str">
        <v>Number of innovations (innovation development)</v>
      </c>
      <c r="E14" s="11" t="str">
        <v>Country: The Socialist Republic of Viet Nam, Ethiopia, Bangladesh</v>
      </c>
      <c r="F14" s="11">
        <v>2</v>
      </c>
      <c r="G14" s="11">
        <v>113850</v>
      </c>
      <c r="I14" s="11" t="str">
        <v>Estimated costs for time of interdiscipilinary teams of researchers and local partners, data collection costs, meeting costs (include venue, catering, materials, and facilitators).</v>
      </c>
    </row>
    <row r="15" ht="50" customHeight="1">
      <c r="A15" s="11" t="str">
        <v>AOW01</v>
      </c>
      <c r="C15" s="11" t="str">
        <v>Annual Country Coordination Unit workplan and support strategy, including joint activities with national partners implementing the food systems transformation agenda</v>
      </c>
      <c r="D15" s="11" t="str">
        <v>Number of knowledge products</v>
      </c>
      <c r="E15" s="11" t="str">
        <v>Country: Ethiopia, The Socialist Republic of Viet Nam, Bangladesh</v>
      </c>
      <c r="F15" s="11">
        <v>2</v>
      </c>
      <c r="G15" s="11">
        <v>113850</v>
      </c>
      <c r="I15" s="11" t="str">
        <v>CGIAR resources will support three Country Coordinators (locally recruited CGIAR staff based in-country), staff time of senior researchers working with the Country Coordinators and national partners, and specific joint research activities with national pa</v>
      </c>
    </row>
    <row r="16" ht="50" customHeight="1">
      <c r="A16" s="11" t="str">
        <v>AOW01</v>
      </c>
      <c r="B16" s="11" t="str">
        <v>Suite of solutions focused on consumers that promote consumption of sustainable heathy diets co-developed, tested, and scaled with technical support and country engagement</v>
      </c>
      <c r="C16" s="11" t="str">
        <v>Critical Capabilities: Progress report on implementation of co-created of interventions for Vietnam</v>
      </c>
      <c r="D16" s="11" t="str">
        <v>Number of knowledge products</v>
      </c>
      <c r="E16" s="11" t="str">
        <v>Country: The Socialist Republic of Viet Nam</v>
      </c>
      <c r="F16" s="11">
        <v>1</v>
      </c>
      <c r="G16" s="11">
        <v>23604</v>
      </c>
      <c r="H16" s="11">
        <f>SUM(G16:G18)</f>
      </c>
      <c r="I16" s="11" t="str">
        <v xml:space="preserve">Estimated costs for time of interdisciplinary teams of researchers and local partners, data collection costs. </v>
      </c>
    </row>
    <row r="17" ht="50" customHeight="1">
      <c r="A17" s="11" t="str">
        <v>AOW01</v>
      </c>
      <c r="C17" s="11" t="str">
        <v>Critical Capabilities: Report summarizing analysis and results of key informant interviews and response rate patterns and co-created ideas to improve digital response rate in Guatemala</v>
      </c>
      <c r="D17" s="11" t="str">
        <v>Number of knowledge products</v>
      </c>
      <c r="E17" s="11" t="str">
        <v>Global</v>
      </c>
      <c r="F17" s="11">
        <v>1</v>
      </c>
      <c r="G17" s="11">
        <v>50000</v>
      </c>
      <c r="I17" s="11" t="str">
        <v>Estimated costs for time of interdiscipilinary teams of researchers and local partners, data collection costs</v>
      </c>
    </row>
    <row r="18" ht="50" customHeight="1">
      <c r="A18" s="11" t="str">
        <v>AOW01</v>
      </c>
      <c r="C18" s="11" t="str">
        <v>Critical Capabilities: Co-designed food environment intervention action plan and a MEL framework  for Vietnam</v>
      </c>
      <c r="D18" s="11" t="str">
        <v>Number of innovations (innovation development)</v>
      </c>
      <c r="E18" s="11" t="str">
        <v>Country: The Socialist Republic of Viet Nam</v>
      </c>
      <c r="F18" s="11">
        <v>1</v>
      </c>
      <c r="G18" s="11">
        <v>23604</v>
      </c>
      <c r="I18" s="11" t="str">
        <v xml:space="preserve">Estimated costs for time of interdiscipilinary teams of researchers and local partners, data collection costs. </v>
      </c>
    </row>
    <row r="19" ht="50" customHeight="1">
      <c r="A19" s="11" t="str">
        <v>AOW01</v>
      </c>
      <c r="B19" s="11" t="str">
        <v>Suite of solutions focused on vendors that promote employment opportunities and the sale of sustainable nutritious foods co-developed, tested, and scaled with technical support and country engagement</v>
      </c>
      <c r="C19" s="11" t="str">
        <v>Report documenting identification of MSMEs and the co-created solutions</v>
      </c>
      <c r="D19" s="11" t="str">
        <v>Number of knowledge products</v>
      </c>
      <c r="E19" s="11" t="str">
        <v>Country: Ethiopia, The Socialist Republic of Viet Nam</v>
      </c>
      <c r="F19" s="11">
        <v>2</v>
      </c>
      <c r="G19" s="11">
        <v>111814</v>
      </c>
      <c r="H19" s="11">
        <f>SUM(G19:G20)</f>
      </c>
      <c r="I19" s="11" t="str">
        <v>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v>
      </c>
    </row>
    <row r="20" ht="50" customHeight="1">
      <c r="A20" s="11" t="str">
        <v>AOW01</v>
      </c>
      <c r="C20" s="11" t="str">
        <v>Progress reports on implementation of co-designed solutions, aka food systems innovations in development, in Ethiopia and Vietnam</v>
      </c>
      <c r="D20" s="11" t="str">
        <v>Number of innovations (innovation development)</v>
      </c>
      <c r="E20" s="11" t="str">
        <v>Country: Ethiopia, The Socialist Republic of Viet Nam</v>
      </c>
      <c r="F20" s="11">
        <v>2</v>
      </c>
      <c r="G20" s="11">
        <v>111805</v>
      </c>
      <c r="I20" s="11" t="str">
        <v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v>
      </c>
    </row>
    <row r="21" ht="25" customHeight="1">
      <c r="B21" s="14" t="str">
        <v>HLO budget subtotal</v>
      </c>
      <c r="H21" s="15">
        <f>SUM(H3:H20)</f>
      </c>
    </row>
    <row r="22" ht="50" customHeight="1">
      <c r="A22" s="13" t="str">
        <v>AOW02</v>
      </c>
      <c r="B22" s="11" t="str">
        <v>Suite of solutions focused on farm input dealers, food traders, processors, and/or retailers that promote food quality and safety, reduce food loss, improve efficiency, and/or facilitate intermediation developed and tested with technical support and country engagement</v>
      </c>
      <c r="C22" s="11" t="str">
        <v>Critical Capabilities: Report summarizing capacity building workshops with MSMEs to enhance food safety, packaging, and nutritional value of new healthy food products (e.g. porridge)</v>
      </c>
      <c r="D22" s="11" t="str">
        <v>Number of knowledge products</v>
      </c>
      <c r="E22" s="11" t="str">
        <v>Global</v>
      </c>
      <c r="F22" s="11">
        <v>1</v>
      </c>
      <c r="G22" s="11">
        <v>50000</v>
      </c>
      <c r="H22" s="11">
        <f>SUM(G22:G24)</f>
      </c>
      <c r="I22" s="11" t="str">
        <v>Estimated costs for time of interdiscipilinary teams of researchers and local partners, data collection costs</v>
      </c>
    </row>
    <row r="23" ht="50" customHeight="1">
      <c r="A23" s="11" t="str">
        <v>AOW02</v>
      </c>
      <c r="C23" s="11" t="str">
        <v>Progress report on the use of digital tool solutions by MSMEs working on nutritious foods in Kenya</v>
      </c>
      <c r="D23" s="11" t="str">
        <v>Number of knowledge products</v>
      </c>
      <c r="E23" s="11" t="str">
        <v>Country: Uganda, Ethiopia, Tanzania, United Republic, Kenya</v>
      </c>
      <c r="F23" s="11">
        <v>1</v>
      </c>
      <c r="G23" s="11">
        <v>49413</v>
      </c>
      <c r="I23" s="11" t="str">
        <v>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v>
      </c>
    </row>
    <row r="24" ht="50" customHeight="1">
      <c r="A24" s="11" t="str">
        <v>AOW02</v>
      </c>
      <c r="C24" s="11" t="str">
        <v xml:space="preserve">Report documenting demand for digital tools by MSMEs in Ethiopia and Uganda working on nutritious foods </v>
      </c>
      <c r="D24" s="11" t="str">
        <v>Number of knowledge products</v>
      </c>
      <c r="E24" s="11" t="str">
        <v>Country: Tanzania, United Republic, Uganda, Kenya, Ethiopia</v>
      </c>
      <c r="F24" s="11">
        <v>2</v>
      </c>
      <c r="G24" s="11">
        <v>98824</v>
      </c>
      <c r="I24" s="11" t="str">
        <v>Estimated costs for time of interdisciplinary teams of researchers and local partners, data collection costs. This KPI is developed in partnership with Uganda Investment Authority and Federation of Small and Medium Enterprises (FSME)</v>
      </c>
    </row>
    <row r="25" ht="50" customHeight="1">
      <c r="A25" s="11" t="str">
        <v>AOW02</v>
      </c>
      <c r="B25" s="11" t="str">
        <v>Tested solutions to increase access to finance to farm input dealers, food traders, processors, and/or retailers to increase growth in market systems for healthy foods</v>
      </c>
      <c r="C25" s="11" t="str">
        <v xml:space="preserve">Critical Capabilities: Report on stakeholder engagements on financing for MSMEs working in nutrition </v>
      </c>
      <c r="D25" s="11" t="str">
        <v>Number of knowledge products</v>
      </c>
      <c r="E25" s="11" t="str">
        <v>Global</v>
      </c>
      <c r="F25" s="11">
        <v>1</v>
      </c>
      <c r="G25" s="11">
        <v>47207</v>
      </c>
      <c r="H25" s="11">
        <f>SUM(G25:G26)</f>
      </c>
      <c r="I25" s="11" t="str">
        <v>Estimated costs for time of interdiscipilinary teams of researchers and local partners, data collection costs</v>
      </c>
    </row>
    <row r="26" ht="50" customHeight="1">
      <c r="A26" s="11" t="str">
        <v>AOW02</v>
      </c>
      <c r="C26" s="11" t="str">
        <v xml:space="preserve">Report documenting metrics and framework for evaluating inclusive financing for MSMEs in market systems for healthy diets </v>
      </c>
      <c r="D26" s="11" t="str">
        <v>Number of knowledge products</v>
      </c>
      <c r="E26" s="11" t="str">
        <v>Global</v>
      </c>
      <c r="F26" s="11">
        <v>1</v>
      </c>
      <c r="G26" s="11">
        <v>49412</v>
      </c>
      <c r="I26" s="11" t="str">
        <v>Estimated costs for time of interdiscipilinary teams of researchers and local partners, data collection costs</v>
      </c>
    </row>
    <row r="27" ht="25" customHeight="1">
      <c r="B27" s="15" t="str">
        <v>HLO budget subtotal</v>
      </c>
      <c r="H27" s="15">
        <f>SUM(H22:H26)</f>
      </c>
    </row>
    <row r="28" ht="50" customHeight="1">
      <c r="A28" s="13" t="str">
        <v>AOW04</v>
      </c>
      <c r="B28" s="11" t="str">
        <v>Suite of solutions to support consumers awareness, preference, affordability and utilization of biofortified and health-enhancing crops in their diets</v>
      </c>
      <c r="C28" s="11" t="str">
        <v xml:space="preserve">Report summarizing the messages from learning events on consumption of biofortified legume products in Kenya (this report accompanies a stakeholder meeting to validate study findings) </v>
      </c>
      <c r="D28" s="11" t="str">
        <v>Number of knowledge products</v>
      </c>
      <c r="E28" s="11" t="str">
        <v>Country: Kenya</v>
      </c>
      <c r="F28" s="11">
        <v>1</v>
      </c>
      <c r="G28" s="11">
        <v>37500</v>
      </c>
      <c r="H28" s="11">
        <f>SUM(G28:G29)</f>
      </c>
      <c r="I28" s="11" t="str">
        <v>Estimated costs for time of interdisciplinary teams of researchers and local partners, data collection costs</v>
      </c>
    </row>
    <row r="29" ht="50" customHeight="1">
      <c r="A29" s="11" t="str">
        <v>AOW04</v>
      </c>
      <c r="C29" s="11" t="str">
        <v>Status review paper on consumption of biofortified, value added legume products in Kenya</v>
      </c>
      <c r="D29" s="11" t="str">
        <v>Number of knowledge products</v>
      </c>
      <c r="E29" s="11" t="str">
        <v>Country: Kenya</v>
      </c>
      <c r="F29" s="11">
        <v>1</v>
      </c>
      <c r="G29" s="11">
        <v>37500</v>
      </c>
      <c r="I29" s="11" t="str">
        <v>Estimated costs for time of interdisciplinary teams of researchers and local partners, data collection costs</v>
      </c>
    </row>
    <row r="30" ht="25" customHeight="1">
      <c r="B30" s="15" t="str">
        <v>HLO budget subtotal</v>
      </c>
      <c r="H30" s="15">
        <f>SUM(H28:H29)</f>
      </c>
    </row>
    <row r="31" ht="50" customHeight="1">
      <c r="A31" s="13" t="str">
        <v>AOW06</v>
      </c>
      <c r="B31" s="11" t="str">
        <v>Regional, continental FS leadership development events to promote BDN outcomes for FST</v>
      </c>
      <c r="C31" s="11" t="str">
        <v>Regional events providing technical support on diet-centered thinking to regional bodies and experts in biodiversity and climate sectors (documented with reports)</v>
      </c>
      <c r="D31" s="11" t="str">
        <v xml:space="preserve"> Number of stakeholder engagements</v>
      </c>
      <c r="E31" s="11" t="str">
        <v>Global</v>
      </c>
      <c r="F31" s="11">
        <v>2</v>
      </c>
      <c r="G31" s="11">
        <v>66667</v>
      </c>
      <c r="H31" s="11">
        <f>SUM(G31:G31)</f>
      </c>
      <c r="I31" s="11" t="str">
        <v>Estimated costs for time of interdisciplinary teams of researchers and local partners, data collection costs</v>
      </c>
    </row>
    <row r="32" ht="50" customHeight="1">
      <c r="A32" s="11" t="str">
        <v>AOW06</v>
      </c>
      <c r="B32" s="11" t="str">
        <v>Regional food systems transformation coordination mechanisms disseminated</v>
      </c>
      <c r="C32" s="11" t="str">
        <v>Published guidance on the NFSH indicator and a diet-centered discussion paper</v>
      </c>
      <c r="D32" s="11" t="str">
        <v>Number of knowledge products</v>
      </c>
      <c r="E32" s="11" t="str">
        <v>Global</v>
      </c>
      <c r="F32" s="11">
        <v>2</v>
      </c>
      <c r="G32" s="11">
        <v>66667</v>
      </c>
      <c r="H32" s="11">
        <f>SUM(G32:G32)</f>
      </c>
      <c r="I32" s="11" t="str">
        <v>Estimated costs for time of interdisciplinary teams of researchers and local partners, data collection costs</v>
      </c>
    </row>
    <row r="33" ht="50" customHeight="1">
      <c r="A33" s="11" t="str">
        <v>AOW06</v>
      </c>
      <c r="B33" s="11" t="str">
        <v xml:space="preserve">Tools, expert community and capacities to guide CGIAR Portfolio along pathways that lead to credible impacts on nutrition, health, and food security </v>
      </c>
      <c r="C33" s="11" t="str">
        <v>Webinars with members of the newly established task force on better diets and nutrition</v>
      </c>
      <c r="D33" s="11" t="str">
        <v>Number of stakeholder engagements</v>
      </c>
      <c r="E33" s="11" t="str">
        <v>Global</v>
      </c>
      <c r="F33" s="11">
        <v>2</v>
      </c>
      <c r="G33" s="11">
        <v>66666</v>
      </c>
      <c r="H33" s="11">
        <f>SUM(G33:G33)</f>
      </c>
      <c r="I33" s="11" t="str">
        <v>Estimated costs for time of interdisciplinary teams of researchers and local partners, data collection costs</v>
      </c>
    </row>
    <row r="34" ht="25" customHeight="1">
      <c r="B34" s="15" t="str">
        <v>HLO budget subtotal</v>
      </c>
      <c r="H34" s="15">
        <f>SUM(H31:H33)</f>
      </c>
    </row>
  </sheetData>
  <mergeCells count="25">
    <mergeCell ref="A1:A2"/>
    <mergeCell ref="B1:B2"/>
    <mergeCell ref="C1:G1"/>
    <mergeCell ref="H1:H2"/>
    <mergeCell ref="I1:I2"/>
    <mergeCell ref="B3:B15"/>
    <mergeCell ref="H3:H15"/>
    <mergeCell ref="B16:B18"/>
    <mergeCell ref="H16:H18"/>
    <mergeCell ref="B19:B20"/>
    <mergeCell ref="H19:H20"/>
    <mergeCell ref="B21:G21"/>
    <mergeCell ref="A3:A21"/>
    <mergeCell ref="B22:B24"/>
    <mergeCell ref="H22:H24"/>
    <mergeCell ref="B25:B26"/>
    <mergeCell ref="H25:H26"/>
    <mergeCell ref="B27:G27"/>
    <mergeCell ref="A22:A27"/>
    <mergeCell ref="B28:B29"/>
    <mergeCell ref="H28:H29"/>
    <mergeCell ref="B30:G30"/>
    <mergeCell ref="A28:A30"/>
    <mergeCell ref="B34:G34"/>
    <mergeCell ref="A31:A34"/>
  </mergeCells>
  <ignoredErrors>
    <ignoredError numberStoredAsText="1" sqref="A1:I34"/>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National Institute of Nutrition, Vietnam</v>
      </c>
      <c r="C2" s="11" t="str">
        <v>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v>
      </c>
      <c r="D2" s="11" t="str">
        <v>The Socialist Republic of Viet Nam</v>
      </c>
      <c r="E2" s="11">
        <v>1</v>
      </c>
      <c r="F2" s="11" t="str">
        <v>The estimated budget to this partner is $6,000 for work on solutions focused on consumers that promote consumption of sustainable heathy diets. Costs will be captured in the partner tab during the replan in Q2 2026.</v>
      </c>
    </row>
    <row r="3" ht="70" customHeight="1">
      <c r="A3" s="11" t="str">
        <v>AOW01</v>
      </c>
      <c r="B3" s="11" t="str">
        <v>Ethiopian Public Health Institute</v>
      </c>
      <c r="C3" s="11" t="str">
        <v>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v>
      </c>
      <c r="D3" s="11" t="str">
        <v>Ethiopia</v>
      </c>
      <c r="E3" s="11">
        <v>1</v>
      </c>
      <c r="F3" s="11" t="str">
        <v>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4" ht="70" customHeight="1">
      <c r="A4" s="11" t="str">
        <v>AOW01</v>
      </c>
      <c r="B4" s="11" t="str">
        <v>Kenya Agricultural and Livestock Research Organization</v>
      </c>
      <c r="C4" s="11" t="str">
        <v>Suite of solutions focused on consumers that promote consumption of sustainable heathy diets co-developed, tested, and scaled with technical support and country engagement</v>
      </c>
      <c r="D4" s="11" t="str">
        <v>Kenya</v>
      </c>
      <c r="E4" s="11">
        <v>1</v>
      </c>
      <c r="F4" s="11" t="str">
        <v>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5" ht="70" customHeight="1">
      <c r="A5" s="11" t="str">
        <v>AOW01</v>
      </c>
      <c r="B5" s="11" t="str">
        <v>Entrepreneurship Development Institute</v>
      </c>
      <c r="C5" s="11" t="str">
        <v>Suite of solutions focused on vendors that promote employment opportunities and the sale of sustainable nutritious foods co-developed, tested, and scaled with technical support and country engagement</v>
      </c>
      <c r="D5" s="11" t="str">
        <v>Ethiopia</v>
      </c>
      <c r="E5" s="11">
        <v>1</v>
      </c>
      <c r="F5" s="11" t="str">
        <v xml:space="preserve">The estimated budget to this partner is $13,500 for work on solutions focused on vendors that promote employment opportunities and the sale of sustainable nutritious foods. Costs will be captured in the partner tab during the replan in Q2 2026. </v>
      </c>
    </row>
    <row r="6" ht="70" customHeight="1">
      <c r="A6" s="11" t="str">
        <v>AOW01</v>
      </c>
      <c r="B6" s="11" t="str">
        <v>The DOST-Food and Nutrition Research Institute's</v>
      </c>
      <c r="C6" s="11" t="str">
        <v>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v>
      </c>
      <c r="D6" s="11" t="str">
        <v>Philippines</v>
      </c>
      <c r="E6" s="11">
        <v>1</v>
      </c>
      <c r="F6" s="11" t="str">
        <v>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7" ht="70" customHeight="1">
      <c r="A7" s="11" t="str">
        <v>AOW01</v>
      </c>
      <c r="B7" s="11" t="str">
        <v>Centre for Agrarian Systems Research and Development</v>
      </c>
      <c r="C7" s="11" t="str">
        <v>Suite of solutions focused on vendors that promote employment opportunities and the sale of sustainable nutritious foods co-developed, tested, and scaled with technical support and country engagement</v>
      </c>
      <c r="D7" s="11" t="str">
        <v>The Socialist Republic of Viet Nam</v>
      </c>
      <c r="E7" s="11">
        <v>1</v>
      </c>
      <c r="F7" s="11" t="str">
        <v xml:space="preserve">The estimated budget to this partner is $13,500 for work on solutions focused on vendors that promote employment opportunities and the sale of sustainable nutritious foods. Costs will be captured in the partner tab during the replan in Q2 2026. </v>
      </c>
    </row>
    <row r="8" ht="70" customHeight="1">
      <c r="A8" s="11" t="str">
        <v>AOW01</v>
      </c>
      <c r="B8" s="11" t="str">
        <v>Institute for strategic policy analysis and environment</v>
      </c>
      <c r="C8" s="11" t="str">
        <v>Policy options and engagement that support effective management of national action plans and other policy processes, for food systems transformation in  support of sustainable healthy diets</v>
      </c>
      <c r="D8" s="11" t="str">
        <v>The Socialist Republic of Viet Nam</v>
      </c>
      <c r="E8" s="11">
        <v>1</v>
      </c>
      <c r="F8" s="11" t="str">
        <v>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v>
      </c>
    </row>
    <row r="9" ht="25" customHeight="1">
      <c r="B9" s="14" t="str">
        <v>Contracted partners subtotal</v>
      </c>
      <c r="E9" s="14">
        <f>SUM(E2:E8)</f>
      </c>
    </row>
    <row r="10" ht="70" customHeight="1">
      <c r="A10" s="12" t="str">
        <v>AOW02</v>
      </c>
      <c r="B10" s="11" t="str">
        <v>Uganda Investment Authority and Federation of Small and Medium Enterprises</v>
      </c>
      <c r="C10" s="11" t="str">
        <v>Suite of solutions focused on farm input dealers, food traders, processors, and/or retailers that promote food quality and safety, reduce food loss, improve efficiency, and/or facilitate intermediation developed and tested with technical support and country engagement</v>
      </c>
      <c r="D10" s="11" t="str">
        <v>Uganda</v>
      </c>
      <c r="E10" s="11">
        <v>1</v>
      </c>
      <c r="F10" s="11" t="str">
        <v>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11" ht="70" customHeight="1">
      <c r="A11" s="11" t="str">
        <v>AOW02</v>
      </c>
      <c r="B11" s="11" t="str">
        <v xml:space="preserve">State Department for Micro, Small and Medium Enterprises (MSME) Development </v>
      </c>
      <c r="C11" s="11" t="str">
        <v>Suite of solutions focused on farm input dealers, food traders, processors, and/or retailers that promote food quality and safety, reduce food loss, improve efficiency, and/or facilitate intermediation developed and tested with technical support and country engagement</v>
      </c>
      <c r="D11" s="11" t="str">
        <v>Kenya</v>
      </c>
      <c r="E11" s="11">
        <v>1</v>
      </c>
      <c r="F11" s="11" t="str">
        <v>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12" ht="25" customHeight="1">
      <c r="B12" s="14" t="str">
        <v>Contracted partners subtotal</v>
      </c>
      <c r="E12" s="14">
        <f>SUM(E10:E11)</f>
      </c>
    </row>
    <row r="13" ht="70" customHeight="1">
      <c r="A13" s="12" t="str">
        <v>AOW03</v>
      </c>
      <c r="B13" s="11" t="str">
        <v>The DOST-Food and Nutrition Research Institute's</v>
      </c>
      <c r="C13" s="11" t="str">
        <v>Suite of end-to-end solutions for fruit and vegetable producers, traders, processors, and vendors/retailers that promote food quality and safety, reduce food loss, and increase profits co-developed, tested, and scaled</v>
      </c>
      <c r="D13" s="11" t="str">
        <v>Philippines</v>
      </c>
      <c r="E13" s="11">
        <v>0</v>
      </c>
    </row>
    <row r="14" ht="25" customHeight="1">
      <c r="B14" s="14" t="str">
        <v>Contracted partners subtotal</v>
      </c>
      <c r="E14" s="14">
        <f>SUM(E13:E13)</f>
      </c>
    </row>
    <row r="15" ht="70" customHeight="1">
      <c r="A15" s="12" t="str">
        <v>AOW04</v>
      </c>
      <c r="B15" s="11" t="str">
        <v>Kenya Agricultural and Livestock Research Organization</v>
      </c>
      <c r="C15" s="11" t="str">
        <v>Policy options and engagement that address constraints to sustainable healthy diets (AoW4), Suite of solutions to support consumers awareness, preference, affordability and utilization of biofortified and health-enhancing crops in their diets</v>
      </c>
      <c r="D15" s="11" t="str">
        <v>Kenya</v>
      </c>
      <c r="E15" s="11">
        <v>0</v>
      </c>
    </row>
    <row r="16" ht="25" customHeight="1">
      <c r="B16" s="14" t="str">
        <v>Contracted partners subtotal</v>
      </c>
      <c r="E16" s="14">
        <f>SUM(E15:E15)</f>
      </c>
    </row>
  </sheetData>
  <mergeCells count="8">
    <mergeCell ref="B9:D9"/>
    <mergeCell ref="A2:A9"/>
    <mergeCell ref="B12:D12"/>
    <mergeCell ref="A10:A12"/>
    <mergeCell ref="B14:D14"/>
    <mergeCell ref="A13:A14"/>
    <mergeCell ref="B16:D16"/>
    <mergeCell ref="A15: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18" t="str">
        <v>Collaborators non-CGIAR centers</v>
      </c>
      <c r="B2" s="18">
        <v>0</v>
      </c>
      <c r="C2" s="18">
        <v>48000</v>
      </c>
      <c r="D2" s="18">
        <v>19000</v>
      </c>
      <c r="E2" s="18">
        <v>0</v>
      </c>
      <c r="F2" s="18">
        <v>0</v>
      </c>
      <c r="G2" s="18">
        <v>0</v>
      </c>
      <c r="H2" s="18">
        <v>0</v>
      </c>
      <c r="I2" s="18" t="str">
        <f>=SUM(B2:H2)</f>
        <v>0</v>
      </c>
    </row>
    <row r="3" ht="20" customHeight="1">
      <c r="A3" s="18" t="str">
        <v>Operations (supplies, consultants, travels, workshops, other)</v>
      </c>
      <c r="B3" s="18">
        <v>0</v>
      </c>
      <c r="C3" s="18">
        <v>191484</v>
      </c>
      <c r="D3" s="18">
        <v>80973</v>
      </c>
      <c r="E3" s="18">
        <v>0</v>
      </c>
      <c r="F3" s="18">
        <v>15000</v>
      </c>
      <c r="G3" s="18">
        <v>0</v>
      </c>
      <c r="H3" s="18">
        <v>0</v>
      </c>
      <c r="I3" s="18" t="str">
        <f>=SUM(B3:H3)</f>
        <v>0</v>
      </c>
    </row>
    <row r="4" ht="20" customHeight="1">
      <c r="A4" s="18" t="str">
        <v>Staffing, Chargebacks and Indirect</v>
      </c>
      <c r="B4" s="18">
        <v>40000</v>
      </c>
      <c r="C4" s="18">
        <v>984050</v>
      </c>
      <c r="D4" s="18">
        <v>194885</v>
      </c>
      <c r="E4" s="18">
        <v>0</v>
      </c>
      <c r="F4" s="18">
        <v>60000</v>
      </c>
      <c r="G4" s="18">
        <v>0</v>
      </c>
      <c r="H4" s="18">
        <v>200000</v>
      </c>
      <c r="I4" s="18" t="str">
        <f>=SUM(B4:H4)</f>
        <v>0</v>
      </c>
    </row>
    <row r="5" ht="20" customHeight="1">
      <c r="A5" s="19" t="str">
        <v>Subtotal</v>
      </c>
      <c r="B5" s="20" t="str">
        <f>=SUM(B2:B4)</f>
        <v>0</v>
      </c>
      <c r="C5" s="21" t="str">
        <f>=SUM(C2:C4)</f>
        <v>0</v>
      </c>
      <c r="D5" s="21" t="str">
        <f>=SUM(D2:D4)</f>
        <v>0</v>
      </c>
      <c r="E5" s="21" t="str">
        <f>=SUM(E2:E4)</f>
        <v>0</v>
      </c>
      <c r="F5" s="21" t="str">
        <f>=SUM(F2:F4)</f>
        <v>0</v>
      </c>
      <c r="G5" s="21" t="str">
        <f>=SUM(G2:G4)</f>
        <v>0</v>
      </c>
      <c r="H5" s="21" t="str">
        <f>=SUM(H2:H4)</f>
        <v>0</v>
      </c>
      <c r="I5" s="21"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