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Productivity+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Climate and the Environment</v>
      </c>
      <c r="B6" s="2">
        <v>0</v>
      </c>
      <c r="C6" s="5">
        <v>0</v>
      </c>
      <c r="D6" s="2">
        <v>1</v>
      </c>
      <c r="E6" s="5">
        <v>32910</v>
      </c>
      <c r="F6" s="2">
        <v>0</v>
      </c>
      <c r="G6" s="5">
        <v>0</v>
      </c>
      <c r="H6" s="2">
        <v>0</v>
      </c>
      <c r="I6" s="5">
        <v>0</v>
      </c>
      <c r="J6" s="5">
        <v>5000</v>
      </c>
      <c r="K6" s="5">
        <v>0</v>
      </c>
      <c r="L6" s="5">
        <v>37910</v>
      </c>
      <c r="M6" s="5">
        <v>0</v>
      </c>
    </row>
    <row r="7" ht="20" customHeight="1">
      <c r="A7" s="2" t="str">
        <v>AOW03: One Health</v>
      </c>
      <c r="B7" s="2">
        <v>2</v>
      </c>
      <c r="C7" s="5">
        <v>60649</v>
      </c>
      <c r="D7" s="2">
        <v>2</v>
      </c>
      <c r="E7" s="5">
        <v>76285</v>
      </c>
      <c r="F7" s="2">
        <v>40</v>
      </c>
      <c r="G7" s="5">
        <v>75067</v>
      </c>
      <c r="H7" s="2">
        <v>0</v>
      </c>
      <c r="I7" s="5">
        <v>0</v>
      </c>
      <c r="J7" s="5">
        <v>35000</v>
      </c>
      <c r="K7" s="5">
        <v>0</v>
      </c>
      <c r="L7" s="5">
        <v>247001</v>
      </c>
      <c r="M7" s="5">
        <v>0</v>
      </c>
    </row>
    <row r="8" ht="20" customHeight="1">
      <c r="A8" s="2" t="str">
        <v>AOW04: Market Systems, Policy Solutions and Scaling</v>
      </c>
      <c r="B8" s="2">
        <v>1</v>
      </c>
      <c r="C8" s="5">
        <v>54778</v>
      </c>
      <c r="D8" s="2">
        <v>6</v>
      </c>
      <c r="E8" s="5">
        <v>267892</v>
      </c>
      <c r="F8" s="2">
        <v>0</v>
      </c>
      <c r="G8" s="5">
        <v>0</v>
      </c>
      <c r="H8" s="2">
        <v>0</v>
      </c>
      <c r="I8" s="5">
        <v>0</v>
      </c>
      <c r="J8" s="5">
        <v>72000</v>
      </c>
      <c r="K8" s="5">
        <v>0</v>
      </c>
      <c r="L8" s="5">
        <v>394670</v>
      </c>
      <c r="M8" s="5">
        <v>0</v>
      </c>
    </row>
    <row r="9" ht="20" customHeight="1">
      <c r="A9" s="2" t="str">
        <v>AOW05: Gender, Youth and Social Inclusion</v>
      </c>
      <c r="B9" s="2">
        <v>0</v>
      </c>
      <c r="C9" s="5">
        <v>0</v>
      </c>
      <c r="D9" s="2">
        <v>2</v>
      </c>
      <c r="E9" s="5">
        <v>55065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55065</v>
      </c>
      <c r="M9" s="5">
        <v>0</v>
      </c>
    </row>
    <row r="10" ht="20" customHeight="1">
      <c r="A10" s="2" t="str">
        <v>AOW06: Data and Digital Solutions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Leads</v>
      </c>
      <c r="C2" s="11" t="str">
        <v>Six (6) AOW Leads averaging 21.67% FTE</v>
      </c>
      <c r="D2" s="11">
        <v>0</v>
      </c>
    </row>
    <row r="3" ht="45" customHeight="1">
      <c r="A3" s="11" t="str">
        <v>AOW00</v>
      </c>
      <c r="B3" s="11" t="str">
        <v>Program Meetings and Workshops</v>
      </c>
      <c r="C3" s="11" t="str">
        <v>In-person progress, review, or planning meetings for program leadership, including the annual pause and reflect event</v>
      </c>
      <c r="D3" s="11">
        <v>0</v>
      </c>
    </row>
    <row r="4" ht="45" customHeight="1">
      <c r="A4" s="11" t="str">
        <v>AOW00</v>
      </c>
      <c r="B4" s="11" t="str">
        <v>Program Director Discretionary</v>
      </c>
      <c r="C4" s="11" t="str">
        <v>As directed by the SO; funds for consultants, meetings, travel, workshops, supplies, and other admin support needed by the Program Director in 2026 to address emerging opportunities and gaps or strategic program level issues</v>
      </c>
      <c r="D4" s="11">
        <v>0</v>
      </c>
    </row>
    <row r="5" ht="45" customHeight="1">
      <c r="A5" s="11" t="str">
        <v>AOW00</v>
      </c>
      <c r="B5" s="11" t="str">
        <v>Program Director Operations Costs</v>
      </c>
      <c r="C5" s="11" t="str">
        <v>As instructed by the SO; Travel, consultants, supplies, admin support, meetings or workshops required by the Director to perform their role</v>
      </c>
      <c r="D5" s="11">
        <v>0</v>
      </c>
    </row>
    <row r="6" ht="45" customHeight="1">
      <c r="A6" s="11" t="str">
        <v>AOW00</v>
      </c>
      <c r="B6" s="11" t="str">
        <v>Other PMU Operations</v>
      </c>
      <c r="C6" s="11" t="str">
        <v>Travel, office supplies, and other charge-backs for PMU team</v>
      </c>
      <c r="D6" s="11">
        <v>0</v>
      </c>
    </row>
    <row r="7" ht="45" customHeight="1">
      <c r="A7" s="11" t="str">
        <v>AOW00</v>
      </c>
      <c r="B7" s="11" t="str">
        <v>SO Central Finance Funds</v>
      </c>
      <c r="C7" s="11" t="str">
        <v>As required by the SO</v>
      </c>
      <c r="D7" s="11">
        <v>0</v>
      </c>
    </row>
    <row r="8" ht="45" customHeight="1">
      <c r="A8" s="11" t="str">
        <v>AOW00</v>
      </c>
      <c r="B8" s="11" t="str">
        <v>Program MELIA Funds</v>
      </c>
      <c r="C8" s="11" t="str">
        <v>Program funds for implementation of the MELIA plan</v>
      </c>
      <c r="D8" s="11">
        <v>0</v>
      </c>
    </row>
    <row r="9" ht="45" customHeight="1">
      <c r="A9" s="11" t="str">
        <v>AOW00</v>
      </c>
      <c r="B9" s="11" t="str">
        <v>Program Communications Operations</v>
      </c>
      <c r="C9" s="11" t="str">
        <v>Program communications funds to implement CKM strategy</v>
      </c>
      <c r="D9" s="11">
        <v>0</v>
      </c>
    </row>
    <row r="10" ht="45" customHeight="1">
      <c r="A10" s="11" t="str">
        <v>AOW00</v>
      </c>
      <c r="B10" s="11" t="str">
        <v>PMU Team</v>
      </c>
      <c r="C10" s="11" t="str">
        <v>Staff fees for Program Coordinator (50%), Program MELIA Focal Point (20%) and Program CKM Lead (50%) and any other administrative roles/needs</v>
      </c>
      <c r="D10" s="11">
        <v>0</v>
      </c>
    </row>
    <row r="11" ht="45" customHeight="1">
      <c r="A11" s="11" t="str">
        <v>AOW00</v>
      </c>
      <c r="B11" s="11" t="str">
        <v>Program Director Staff Costs</v>
      </c>
      <c r="C11" s="11" t="str">
        <v>100% FTE Program Director and associated cost recovery</v>
      </c>
      <c r="D11" s="11">
        <v>0</v>
      </c>
    </row>
  </sheetData>
  <mergeCells count="1">
    <mergeCell ref="A2:A11"/>
  </mergeCells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AOW02</v>
      </c>
      <c r="B3" s="11" t="str">
        <v xml:space="preserve">HLO 2.1 - Evidence of the benefits and impacts on climate and the environment </v>
      </c>
      <c r="C3" s="11" t="str" xml:space="preserve">
        <v xml:space="preserve">Scaling Aquaculture in Reservoirs - D3 -Water quality and environmental assessments in reservoirs used for multiple purposes (sediment and turbidity, fish and livestock waste management, eutrophication)
</v>
      </c>
      <c r="D3" s="11" t="str">
        <v>Number of knowledge products</v>
      </c>
      <c r="E3" s="11" t="str">
        <v>Country: Ghana</v>
      </c>
      <c r="F3" s="11">
        <v>1</v>
      </c>
      <c r="G3" s="11">
        <v>32910</v>
      </c>
      <c r="H3" s="11">
        <f>SUM(G3:G3)</f>
      </c>
      <c r="I3" s="11" t="str">
        <v>IWMI internal budget template. Staff charges and operations</v>
      </c>
    </row>
    <row r="4" ht="25" customHeight="1">
      <c r="B4" s="14" t="str">
        <v>HLO budget subtotal</v>
      </c>
      <c r="H4" s="15">
        <f>SUM(H3:H3)</f>
      </c>
    </row>
    <row r="5" ht="50" customHeight="1">
      <c r="A5" s="13" t="str">
        <v>AOW03</v>
      </c>
      <c r="B5" s="11" t="str">
        <v xml:space="preserve">HLO 3.3 - Targeted innovations and incentives to reduce antimicrobial use and mitigate antimicrobial risks </v>
      </c>
      <c r="C5" s="11" t="str">
        <v>AMR  in watersheds - Workshops and training to engage stakeholders and increase capacities for the co-development of an investment plan for river pollution control and AMR risk reduction</v>
      </c>
      <c r="D5" s="11" t="str">
        <v>Number of people trained (capacity sharing for development)</v>
      </c>
      <c r="E5" s="11" t="str">
        <v>Country: Ethiopia, India</v>
      </c>
      <c r="F5" s="11">
        <v>40</v>
      </c>
      <c r="G5" s="11">
        <v>75067</v>
      </c>
      <c r="H5" s="11">
        <f>SUM(G5:G7)</f>
      </c>
      <c r="I5" s="11" t="str">
        <v>Based on the IWMI internal budget template. Staff charges and operations.</v>
      </c>
    </row>
    <row r="6" ht="50" customHeight="1" xml:space="preserve">
      <c r="A6" s="11" t="str">
        <v>AOW03</v>
      </c>
      <c r="C6" s="11" t="str" xml:space="preserve">
        <v xml:space="preserve">AMR  in watersheds - D2 -Water quality models and digital tools—to assess the cost-effectiveness of solutions 
</v>
      </c>
      <c r="D6" s="11" t="str">
        <v>Number of innovations (innovation development)</v>
      </c>
      <c r="E6" s="11" t="str">
        <v>Country: Ethiopia, India</v>
      </c>
      <c r="F6" s="11">
        <v>2</v>
      </c>
      <c r="G6" s="11">
        <v>60649</v>
      </c>
      <c r="I6" s="11" t="str">
        <v>Based on the IWMI internal budget template. Staff charges and operations.</v>
      </c>
    </row>
    <row r="7" ht="50" customHeight="1" xml:space="preserve">
      <c r="A7" s="11" t="str">
        <v>AOW03</v>
      </c>
      <c r="C7" s="11" t="str" xml:space="preserve">
        <v xml:space="preserve">AMR  in watersheds - Scientific evidence and watershed-wide AMR and antibiotic residue monitoring to inform the tracking of pollution sources
</v>
      </c>
      <c r="D7" s="11" t="str">
        <v>Number of knowledge products</v>
      </c>
      <c r="E7" s="11" t="str">
        <v>Country: India, Ethiopia</v>
      </c>
      <c r="F7" s="11">
        <v>2</v>
      </c>
      <c r="G7" s="11">
        <v>76285</v>
      </c>
      <c r="I7" s="11" t="str">
        <v>Based on the IWMI internal budget template. Staff charges and operations.</v>
      </c>
    </row>
    <row r="8" ht="25" customHeight="1">
      <c r="B8" s="15" t="str">
        <v>HLO budget subtotal</v>
      </c>
      <c r="H8" s="15">
        <f>SUM(H5:H7)</f>
      </c>
    </row>
    <row r="9" ht="50" customHeight="1" xml:space="preserve">
      <c r="A9" s="13" t="str">
        <v>AOW04</v>
      </c>
      <c r="B9" s="11" t="str">
        <v>HLO 4.2 - Decision-support tools for efficient animal and aquatic food system</v>
      </c>
      <c r="C9" s="11" t="str" xml:space="preserve">
        <v xml:space="preserve">Scaling Aquaculture in Reservoirs - D1 - Decision support tools to optimize technical and business decisions for efficient, equitable and sustainable scaling of aquaculture in reservoirs
</v>
      </c>
      <c r="D9" s="11" t="str">
        <v>Number of innovations (innovation development)</v>
      </c>
      <c r="E9" s="11" t="str">
        <v>Country: Ghana</v>
      </c>
      <c r="F9" s="11">
        <v>1</v>
      </c>
      <c r="G9" s="11">
        <v>54778</v>
      </c>
      <c r="H9" s="11">
        <f>SUM(G9:G9)</f>
      </c>
      <c r="I9" s="11" t="str">
        <v>Based on IWM internal budget template.</v>
      </c>
    </row>
    <row r="10" ht="50" customHeight="1" xml:space="preserve">
      <c r="A10" s="11" t="str">
        <v>AOW04</v>
      </c>
      <c r="B10" s="11" t="str">
        <v xml:space="preserve">HLO 4.3 - Institutional &amp; behavioral models for enhanced use of innovations and improved governance </v>
      </c>
      <c r="C10" s="11" t="str" xml:space="preserve">
        <v xml:space="preserve">Scaling Aquaculture in Reservoirs - Business models reports bundling input markets, output markets and knowledge support to address institutional and behavioural barriers and enhance adoption of aquaculture in reservoirs
</v>
      </c>
      <c r="D10" s="11" t="str">
        <v>Number of knowledge products</v>
      </c>
      <c r="E10" s="11" t="str">
        <v>Country: Ghana</v>
      </c>
      <c r="F10" s="11">
        <v>2</v>
      </c>
      <c r="G10" s="11">
        <v>127505</v>
      </c>
      <c r="H10" s="11">
        <f>SUM(G10:G11)</f>
      </c>
      <c r="I10" s="11" t="str">
        <v>Based on IWM internal budget template. Staff charges, operations and US $20,000 partner budget</v>
      </c>
    </row>
    <row r="11" ht="50" customHeight="1">
      <c r="A11" s="11" t="str">
        <v>AOW04</v>
      </c>
      <c r="C11" s="11" t="str">
        <v>Integrated innovations to improve livestock productivity in Pastoral systems - Impact assessment report and policy brief assessing pastoral land restoration through water bunds with the aim of measuring hydrological (soil water content), environmental (vegetation and biodiversity), and socio-economic impacts for pastoral communities (short-term vs medium-term yields and incomes)</v>
      </c>
      <c r="D11" s="11" t="str">
        <v>Number of knowledge products</v>
      </c>
      <c r="E11" s="11" t="str">
        <v>Country: Kenya</v>
      </c>
      <c r="F11" s="11">
        <v>2</v>
      </c>
      <c r="G11" s="11">
        <v>102029</v>
      </c>
      <c r="I11" s="11" t="str">
        <v>Based on IWM internal budget template. Staff charges and operations</v>
      </c>
    </row>
    <row r="12" ht="50" customHeight="1" xml:space="preserve">
      <c r="A12" s="11" t="str">
        <v>AOW04</v>
      </c>
      <c r="B12" s="11" t="str">
        <v>HLO 4.5 - Evidence-based pathways for scaling  contextualized innovation packages with high readiness and demand</v>
      </c>
      <c r="C12" s="11" t="str" xml:space="preserve">
        <v xml:space="preserve">Building Inclusive and Nutrition-Sensitive Small Indigenous Fish Value Chains Pathways - D1 - Co-developed operational guidelines and district-level pilot model, with assessment of water, economic, and nutritional productivity to showcase leverage points for efficiency and inclusion 
</v>
      </c>
      <c r="D12" s="11" t="str">
        <v>Number of knowledge products</v>
      </c>
      <c r="E12" s="11" t="str">
        <v>Country: India</v>
      </c>
      <c r="F12" s="11">
        <v>2</v>
      </c>
      <c r="G12" s="11">
        <v>38358</v>
      </c>
      <c r="H12" s="11">
        <f>SUM(G12:G12)</f>
      </c>
      <c r="I12" s="11" t="str">
        <v>IWMI internal budget template.</v>
      </c>
    </row>
    <row r="13" ht="25" customHeight="1">
      <c r="B13" s="15" t="str">
        <v>HLO budget subtotal</v>
      </c>
      <c r="H13" s="15">
        <f>SUM(H9:H12)</f>
      </c>
    </row>
    <row r="14" ht="50" customHeight="1">
      <c r="A14" s="13" t="str">
        <v>AOW05</v>
      </c>
      <c r="B14" s="11" t="str">
        <v>HLO 5.2 - Tested interventions for women &amp; youth empowerment and  for equitable norms  and policies</v>
      </c>
      <c r="C14" s="11" t="str">
        <v>Gender-Transformative and Empowerment Interventions for Women- and Youth-Led Businesses - An approach to integrating gender considerations in fisheries and aquaculture development policy</v>
      </c>
      <c r="D14" s="11" t="str">
        <v>Number of knowledge products</v>
      </c>
      <c r="E14" s="11" t="str">
        <v>Global</v>
      </c>
      <c r="F14" s="11">
        <v>1</v>
      </c>
      <c r="G14" s="11">
        <v>0</v>
      </c>
      <c r="H14" s="11">
        <f>SUM(G14:G14)</f>
      </c>
    </row>
    <row r="15" ht="50" customHeight="1">
      <c r="A15" s="11" t="str">
        <v>AOW05</v>
      </c>
      <c r="B15" s="11" t="str">
        <v xml:space="preserve">HLO 5.3 - Integrated packages of socio-institutional and technical interventions for equity </v>
      </c>
      <c r="C15" s="11" t="str">
        <v>Gender-Transformative and Empowerment Interventions for Women- and Youth-Led Businesses - D1 - Co-designed gender and youth responsive innovations in relation to tilapia cage farming, nature-based aquaculture and livestock waste management</v>
      </c>
      <c r="D15" s="11" t="str">
        <v>Number of knowledge products</v>
      </c>
      <c r="E15" s="11" t="str">
        <v>Country: Ghana</v>
      </c>
      <c r="F15" s="11">
        <v>2</v>
      </c>
      <c r="G15" s="11">
        <v>55065</v>
      </c>
      <c r="H15" s="11">
        <f>SUM(G15:G15)</f>
      </c>
      <c r="I15" s="11" t="str">
        <v>IWMI internal budget template.</v>
      </c>
    </row>
    <row r="16" ht="25" customHeight="1">
      <c r="B16" s="15" t="str">
        <v>HLO budget subtotal</v>
      </c>
      <c r="H16" s="15">
        <f>SUM(H14:H15)</f>
      </c>
    </row>
  </sheetData>
  <mergeCells count="17">
    <mergeCell ref="A1:A2"/>
    <mergeCell ref="B1:B2"/>
    <mergeCell ref="C1:G1"/>
    <mergeCell ref="H1:H2"/>
    <mergeCell ref="I1:I2"/>
    <mergeCell ref="B4:G4"/>
    <mergeCell ref="A3:A4"/>
    <mergeCell ref="B5:B7"/>
    <mergeCell ref="H5:H7"/>
    <mergeCell ref="B8:G8"/>
    <mergeCell ref="A5:A8"/>
    <mergeCell ref="B10:B11"/>
    <mergeCell ref="H10:H11"/>
    <mergeCell ref="B13:G13"/>
    <mergeCell ref="A9:A13"/>
    <mergeCell ref="B16:G16"/>
    <mergeCell ref="A14:A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Kenya Agricultural and Livestock Research Organization</v>
      </c>
      <c r="C2" s="11" t="str">
        <v>HLO 1.1 - Sustainable breeding and conservation programs and inclusive delivery models</v>
      </c>
      <c r="D2" s="11" t="str">
        <v>Kenya</v>
      </c>
      <c r="E2" s="11">
        <v>0</v>
      </c>
    </row>
    <row r="3" ht="25" customHeight="1">
      <c r="B3" s="14" t="str">
        <v>Contracted partners subtotal</v>
      </c>
      <c r="E3" s="14">
        <f>SUM(E2:E2)</f>
      </c>
    </row>
    <row r="4" ht="70" customHeight="1">
      <c r="A4" s="12" t="str">
        <v>AOW02</v>
      </c>
      <c r="B4" s="11" t="str">
        <v>Council for Scientific and Industrial Research (Ghana)</v>
      </c>
      <c r="C4" s="11" t="str">
        <v>HLO 2.1 - Evidence of the benefits and impacts on climate and the environment</v>
      </c>
      <c r="D4" s="11" t="str">
        <v>Ghana,Ghana</v>
      </c>
      <c r="E4" s="11">
        <v>5000</v>
      </c>
      <c r="F4" s="11" t="str">
        <v>HLO2.1 Knowledege/information products on benefits and impacts of animal and aquatic food systems on climate and the environment</v>
      </c>
    </row>
    <row r="5" ht="25" customHeight="1">
      <c r="B5" s="14" t="str">
        <v>Contracted partners subtotal</v>
      </c>
      <c r="E5" s="14">
        <f>SUM(E4:E4)</f>
      </c>
    </row>
    <row r="6" ht="70" customHeight="1">
      <c r="A6" s="12" t="str">
        <v>AOW03</v>
      </c>
      <c r="B6" s="11" t="str">
        <v>Indian Institute of Technology Roorkee</v>
      </c>
      <c r="C6" s="11" t="str">
        <v>HLO 3.3 - Targeted innovations and incentives to reduce antimicrobial use and mitigate antimicrobial risks</v>
      </c>
      <c r="D6" s="11" t="str">
        <v>India</v>
      </c>
      <c r="E6" s="11">
        <v>35000</v>
      </c>
      <c r="F6" s="11" t="str">
        <v>US $10,000 HLO 3.3 Knowledge/information products on reducing antimicrobial use and mitigating antimicrobial risk; US $15,000 HLO 3.3 Innovations and incentives to reduce antimicrobial use and mitigate antimicrobial risk [innovations = number ongoing]; HLO 3.3 US $10,000 Capacity sharing - information systems and data for decision making</v>
      </c>
    </row>
    <row r="7" ht="25" customHeight="1">
      <c r="B7" s="14" t="str">
        <v>Contracted partners subtotal</v>
      </c>
      <c r="E7" s="14">
        <f>SUM(E6:E6)</f>
      </c>
    </row>
    <row r="8" ht="70" customHeight="1">
      <c r="A8" s="12" t="str">
        <v>AOW04</v>
      </c>
      <c r="B8" s="11" t="str">
        <v>Council for Scientific and Industrial Research (Ghana)</v>
      </c>
      <c r="C8" s="11" t="str">
        <v>HLO 4.2 - Decision-support tools for efficient animal and aquatic food system, HLO 4.3 - Institutional &amp; behavioral models for enhanced use of innovations and improved governance</v>
      </c>
      <c r="D8" s="11" t="str">
        <v>Ghana,Ghana</v>
      </c>
      <c r="E8" s="11">
        <v>30000</v>
      </c>
      <c r="F8" s="11" t="str">
        <v>HLO4.3 Knowledge/information products on institutional and behavioural models for enhanced use of animal and aquatic food systems innovations and improved governance</v>
      </c>
    </row>
    <row r="9" ht="70" customHeight="1">
      <c r="A9" s="11" t="str">
        <v>AOW04</v>
      </c>
      <c r="B9" s="11" t="str">
        <v>Kenya Agricultural and Livestock Research Organization</v>
      </c>
      <c r="C9" s="11" t="str">
        <v>HLO 4.3 - Institutional &amp; behavioral models for enhanced use of innovations and improved governance</v>
      </c>
      <c r="D9" s="11" t="str">
        <v>Kenya</v>
      </c>
      <c r="E9" s="11">
        <v>20000</v>
      </c>
      <c r="F9" s="11" t="str">
        <v>HLO4.3 Knowledge/information products on institutional and behavioural models for enhanced use of animal and aquatic food systems innovations and improved governance</v>
      </c>
    </row>
    <row r="10" ht="70" customHeight="1">
      <c r="A10" s="11" t="str">
        <v>AOW04</v>
      </c>
      <c r="B10" s="11" t="str">
        <v>ICAR-Central Inland Fisheries Research Institute</v>
      </c>
      <c r="C10" s="11" t="str">
        <v>HLO 4.5 - Evidence-based pathways for scaling  contextualized innovation packages with high readiness and demand</v>
      </c>
      <c r="D10" s="11" t="str">
        <v>India</v>
      </c>
      <c r="E10" s="11">
        <v>22000</v>
      </c>
      <c r="F10" s="11" t="str">
        <v>HLO4.3 Innovations on breeding &amp; conservation programs, including delivery; Knowledge/information products on breeding &amp; conservation programs, including delivery; Capacity sharing on evidence and viable pathways for scaling contextualized animal and aquatic food systems innovation packages</v>
      </c>
    </row>
    <row r="11" ht="25" customHeight="1">
      <c r="B11" s="14" t="str">
        <v>Contracted partners subtotal</v>
      </c>
      <c r="E11" s="14">
        <f>SUM(E8:E10)</f>
      </c>
    </row>
    <row r="12" ht="70" customHeight="1">
      <c r="A12" s="12" t="str">
        <v>AOW05</v>
      </c>
      <c r="B12" s="11" t="str">
        <v>Council for Scientific and Industrial Research (Ghana)</v>
      </c>
      <c r="C12" s="11" t="str">
        <v>HLO 5.3 - Integrated packages of socio-institutional and technical interventions for equity</v>
      </c>
      <c r="D12" s="11" t="str">
        <v>Ghana,Ghana</v>
      </c>
      <c r="E12" s="11">
        <v>0</v>
      </c>
    </row>
    <row r="13" ht="25" customHeight="1">
      <c r="B13" s="14" t="str">
        <v>Contracted partners subtotal</v>
      </c>
      <c r="E13" s="14">
        <f>SUM(E12:E12)</f>
      </c>
    </row>
  </sheetData>
  <mergeCells count="10">
    <mergeCell ref="B3:D3"/>
    <mergeCell ref="A2:A3"/>
    <mergeCell ref="B5:D5"/>
    <mergeCell ref="A4:A5"/>
    <mergeCell ref="B7:D7"/>
    <mergeCell ref="A6:A7"/>
    <mergeCell ref="B11:D11"/>
    <mergeCell ref="A8:A11"/>
    <mergeCell ref="B13:D13"/>
    <mergeCell ref="A12:A13"/>
  </mergeCells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Impact of aquaculture in reservoirs - Ghana</v>
      </c>
      <c r="B2" s="19" t="str">
        <v>AOW00</v>
      </c>
      <c r="C2" s="18" t="str">
        <v>PO8 - Policy and decision-makers implement new or improved policies, regulations or strategies for equitable, efficient, low-emission and resilient animal and aquatic food systems</v>
      </c>
      <c r="D2" s="19">
        <v>0</v>
      </c>
      <c r="E2" s="19" t="str">
        <f>=SUM(D2:D2)</f>
        <v>0</v>
      </c>
    </row>
    <row r="3" ht="30" customHeight="1">
      <c r="A3" s="3" t="str">
        <v>MELIA Studies Budget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4936</v>
      </c>
      <c r="E2" s="20">
        <v>35000</v>
      </c>
      <c r="F2" s="20">
        <v>91734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9530</v>
      </c>
      <c r="E3" s="20">
        <v>58038</v>
      </c>
      <c r="F3" s="20">
        <v>48452</v>
      </c>
      <c r="G3" s="20">
        <v>11000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23444</v>
      </c>
      <c r="E4" s="20">
        <v>153963</v>
      </c>
      <c r="F4" s="20">
        <v>254484</v>
      </c>
      <c r="G4" s="20">
        <v>44065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