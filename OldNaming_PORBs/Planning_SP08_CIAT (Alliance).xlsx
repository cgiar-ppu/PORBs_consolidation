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7">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2">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1" fontId="0" fillId="0" borderId="14" xfId="0" applyBorder="1" applyNumberFormat="1" applyAlignment="1">
      <alignment horizontal="center" vertical="center"/>
    </xf>
    <xf numFmtId="0" fontId="15" fillId="15" borderId="0" xfId="0" applyFont="1" applyFill="1" applyAlignment="1">
      <alignment horizontal="center" vertical="center"/>
    </xf>
    <xf numFmtId="1" fontId="16" fillId="16" borderId="15" xfId="0" applyFont="1" applyFill="1" applyBorder="1" applyNumberFormat="1" applyAlignment="1">
      <alignment horizontal="center" vertical="center"/>
    </xf>
    <xf numFmtId="1" fontId="17" fillId="17" borderId="16"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Future Food Systems Lab</v>
      </c>
      <c r="B5" s="2">
        <v>0</v>
      </c>
      <c r="C5" s="5">
        <v>0</v>
      </c>
      <c r="D5" s="2">
        <v>0</v>
      </c>
      <c r="E5" s="5">
        <v>0</v>
      </c>
      <c r="F5" s="2">
        <v>0</v>
      </c>
      <c r="G5" s="5">
        <v>0</v>
      </c>
      <c r="H5" s="2">
        <v>0</v>
      </c>
      <c r="I5" s="5">
        <v>0</v>
      </c>
      <c r="J5" s="5">
        <v>0</v>
      </c>
      <c r="K5" s="5">
        <v>0</v>
      </c>
      <c r="L5" s="5">
        <v>0</v>
      </c>
      <c r="M5" s="5">
        <v>0</v>
      </c>
    </row>
    <row r="6" ht="20" customHeight="1">
      <c r="A6" s="2" t="str">
        <v>AOW02: Fragile and Conflict-affected Food Systems</v>
      </c>
      <c r="B6" s="2">
        <v>2</v>
      </c>
      <c r="C6" s="5">
        <v>101667</v>
      </c>
      <c r="D6" s="2">
        <v>13</v>
      </c>
      <c r="E6" s="5">
        <v>387464</v>
      </c>
      <c r="F6" s="2">
        <v>50</v>
      </c>
      <c r="G6" s="5">
        <v>70000</v>
      </c>
      <c r="H6" s="2">
        <v>4</v>
      </c>
      <c r="I6" s="5">
        <v>35000</v>
      </c>
      <c r="J6" s="5">
        <v>140000</v>
      </c>
      <c r="K6" s="5">
        <v>0</v>
      </c>
      <c r="L6" s="5">
        <v>734131</v>
      </c>
      <c r="M6" s="5">
        <v>0</v>
      </c>
    </row>
    <row r="7" ht="20" customHeight="1">
      <c r="A7" s="2" t="str">
        <v>AOW03: Urban Food Systems</v>
      </c>
      <c r="B7" s="2">
        <v>0</v>
      </c>
      <c r="C7" s="5">
        <v>0</v>
      </c>
      <c r="D7" s="2">
        <v>0</v>
      </c>
      <c r="E7" s="5">
        <v>0</v>
      </c>
      <c r="F7" s="2">
        <v>0</v>
      </c>
      <c r="G7" s="5">
        <v>0</v>
      </c>
      <c r="H7" s="2">
        <v>0</v>
      </c>
      <c r="I7" s="5">
        <v>0</v>
      </c>
      <c r="J7" s="5">
        <v>0</v>
      </c>
      <c r="K7" s="5">
        <v>0</v>
      </c>
      <c r="L7" s="5">
        <v>0</v>
      </c>
      <c r="M7" s="5">
        <v>0</v>
      </c>
    </row>
    <row r="8" ht="20" customHeight="1">
      <c r="A8" s="2" t="str">
        <v>AOW04: Island Food Systems</v>
      </c>
      <c r="B8" s="2">
        <v>2</v>
      </c>
      <c r="C8" s="5">
        <v>90000</v>
      </c>
      <c r="D8" s="2">
        <v>1</v>
      </c>
      <c r="E8" s="5">
        <v>50000</v>
      </c>
      <c r="F8" s="2">
        <v>0</v>
      </c>
      <c r="G8" s="5">
        <v>0</v>
      </c>
      <c r="H8" s="2">
        <v>0</v>
      </c>
      <c r="I8" s="5">
        <v>0</v>
      </c>
      <c r="J8" s="5">
        <v>0</v>
      </c>
      <c r="K8" s="5">
        <v>0</v>
      </c>
      <c r="L8" s="5">
        <v>140000</v>
      </c>
      <c r="M8" s="5">
        <v>0</v>
      </c>
    </row>
    <row r="9" ht="25" customHeight="1">
      <c r="A9" s="6" t="str">
        <v>Total</v>
      </c>
      <c r="B9" s="7">
        <f>SUM(B4:B8)</f>
      </c>
      <c r="C9" s="7">
        <f>SUM(C4:C8)</f>
      </c>
      <c r="D9" s="7">
        <f>SUM(D4:D8)</f>
      </c>
      <c r="E9" s="7">
        <f>SUM(E4:E8)</f>
      </c>
      <c r="F9" s="7">
        <f>SUM(F4:F8)</f>
      </c>
      <c r="G9" s="7">
        <f>SUM(G4:G8)</f>
      </c>
      <c r="H9" s="7">
        <f>SUM(H4:H8)</f>
      </c>
      <c r="I9" s="7">
        <f>SUM(I4:I8)</f>
      </c>
      <c r="J9" s="7">
        <f>SUM(J4:J8)</f>
      </c>
      <c r="K9" s="7">
        <f>SUM(K4:K8)</f>
      </c>
      <c r="L9" s="7">
        <f>SUM(L4:L8)</f>
      </c>
      <c r="M9" s="7">
        <f>SUM(M4:M8)</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9"/>
  </ignoredErrors>
</worksheet>
</file>

<file path=xl/worksheets/sheet2.xml><?xml version="1.0" encoding="utf-8"?>
<worksheet xmlns="http://schemas.openxmlformats.org/spreadsheetml/2006/main" xmlns:r="http://schemas.openxmlformats.org/officeDocument/2006/relationships">
  <dimension ref="A1:E9"/>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Program Director Discretionary Fund</v>
      </c>
      <c r="C2" s="11" t="str">
        <v>Flexible funding available to the Program Director to respond to emerging priorities, fill gaps, and address strategic program-level matters</v>
      </c>
      <c r="D2" s="11">
        <v>0</v>
      </c>
    </row>
    <row r="3" ht="45" customHeight="1">
      <c r="A3" s="11" t="str">
        <v>AOW00</v>
      </c>
      <c r="B3" s="11" t="str">
        <v>Program Level Communication</v>
      </c>
      <c r="C3" s="11" t="str">
        <v>Delivery of the program level 2026 Communications Strategy</v>
      </c>
      <c r="D3" s="11">
        <v>0</v>
      </c>
    </row>
    <row r="4" ht="45" customHeight="1">
      <c r="A4" s="11" t="str">
        <v>AOW00</v>
      </c>
      <c r="B4" s="11" t="str">
        <v>PMU Team</v>
      </c>
      <c r="C4" s="11" t="str">
        <v>FTE support for the Program Coordinator, MELIA Focal Point, Communications Focal point, including centralized assistance for Finance.</v>
      </c>
      <c r="D4" s="11">
        <v>0</v>
      </c>
    </row>
    <row r="5" ht="45" customHeight="1">
      <c r="A5" s="11" t="str">
        <v>AOW00</v>
      </c>
      <c r="B5" s="11" t="str">
        <v xml:space="preserve">Program Director and Associated costs </v>
      </c>
      <c r="C5" s="11" t="str">
        <v>Program Director FTE, administrative support, meeting and workshop coordination, travel, short-term consultancies, and various operational expenses</v>
      </c>
      <c r="D5" s="11">
        <v>0</v>
      </c>
    </row>
    <row r="6" ht="45" customHeight="1">
      <c r="A6" s="11" t="str">
        <v>AOW00</v>
      </c>
      <c r="B6" s="11" t="str">
        <v>Area of Work (AoW) Leaders</v>
      </c>
      <c r="C6" s="11" t="str">
        <v>Four AoW Lead FTEs</v>
      </c>
      <c r="D6" s="11">
        <v>0</v>
      </c>
    </row>
    <row r="7" ht="45" customHeight="1">
      <c r="A7" s="11" t="str">
        <v>AOW00</v>
      </c>
      <c r="B7" s="11" t="str">
        <v>Program Leadership Meetings</v>
      </c>
      <c r="C7" s="11" t="str">
        <v>In-person leadership sessions for planning, oversight, and progress review, including an annual pause and reflect meeting.</v>
      </c>
      <c r="D7" s="11">
        <v>0</v>
      </c>
    </row>
    <row r="8" ht="45" customHeight="1">
      <c r="A8" s="11" t="str">
        <v>AOW00</v>
      </c>
      <c r="B8" s="11" t="str">
        <v>Program Level MELIA Activities</v>
      </c>
      <c r="C8" s="11" t="str">
        <v>Execution of 2026 MELIA activities based on the Program MELIA Plan</v>
      </c>
      <c r="D8" s="11">
        <v>0</v>
      </c>
    </row>
    <row r="9" ht="45" customHeight="1">
      <c r="A9" s="11" t="str">
        <v>AOW00</v>
      </c>
      <c r="B9" s="11" t="str">
        <v>Centralized Finance Support</v>
      </c>
      <c r="C9" s="11" t="str">
        <v xml:space="preserve">SO- Shared finance support arrangement </v>
      </c>
      <c r="D9" s="11">
        <v>0</v>
      </c>
    </row>
  </sheetData>
  <mergeCells count="1">
    <mergeCell ref="A2:A9"/>
  </mergeCells>
  <ignoredErrors>
    <ignoredError numberStoredAsText="1" sqref="A1:E9"/>
  </ignoredErrors>
</worksheet>
</file>

<file path=xl/worksheets/sheet3.xml><?xml version="1.0" encoding="utf-8"?>
<worksheet xmlns="http://schemas.openxmlformats.org/spreadsheetml/2006/main" xmlns:r="http://schemas.openxmlformats.org/officeDocument/2006/relationships">
  <dimension ref="A1:I16"/>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AOW02</v>
      </c>
      <c r="B3" s="11" t="str">
        <v>2.1.1 Prevent</v>
      </c>
      <c r="C3" s="11" t="str">
        <v>Advance system science and foresight tools integrating climate, conflict, and mobility analytics to strengthen early warning and anticipatory action (AA) systems. Generate actionable insights that bridge humanitarian, development, and peace (HDP) efforts, supporting coordinated, forward-looking decision-making and investment planning in fragile and conflict-affected settings.</v>
      </c>
      <c r="D3" s="11" t="str">
        <v>Number of knowledge products</v>
      </c>
      <c r="E3" s="11" t="str">
        <v>Country: Mali, The Republic of the Sudan, Burkina Faso, Mozambique</v>
      </c>
      <c r="F3" s="11">
        <v>2</v>
      </c>
      <c r="G3" s="11">
        <v>100000</v>
      </c>
      <c r="H3" s="11">
        <f>SUM(G3:G9)</f>
      </c>
      <c r="I3" s="11" t="str">
        <v>The full budget allocation to staffing covers the necessary salaries and benefits for personnel directly producing and sharing key tools and evidence that support UNHCR’s climate and humanitarian efforts.</v>
      </c>
    </row>
    <row r="4" ht="50" customHeight="1">
      <c r="A4" s="11" t="str">
        <v>AOW02</v>
      </c>
      <c r="C4" s="11" t="str">
        <v>Refugee Climate Vulnerability Index (RCVI)</v>
      </c>
      <c r="D4" s="11" t="str">
        <v>Number of knowledge products</v>
      </c>
      <c r="E4" s="11" t="str">
        <v>Country: South Sudan, Chad, Kenya, Senegal, Mali</v>
      </c>
      <c r="F4" s="11">
        <v>2</v>
      </c>
      <c r="G4" s="11">
        <v>33333</v>
      </c>
      <c r="I4" s="11" t="str">
        <v>the package assumes sustained UNHCR and government cooperation, timely data-sharing, stable funding, reliable connectivity, and meaningful community engagement to validate and apply the analytics.</v>
      </c>
    </row>
    <row r="5" ht="50" customHeight="1" xml:space="preserve">
      <c r="A5" s="11" t="str">
        <v>AOW02</v>
      </c>
      <c r="C5" s="11" t="str" xml:space="preserve">
        <v xml:space="preserve">Refugee Climate Vulnerability Index (RCVI)
</v>
      </c>
      <c r="D5" s="11" t="str">
        <v>Number of innovations (innovation development)</v>
      </c>
      <c r="E5" s="11" t="str">
        <v>Country: Mali, Kenya, Senegal, South Sudan, Chad</v>
      </c>
      <c r="F5" s="11">
        <v>1</v>
      </c>
      <c r="G5" s="11">
        <v>16667</v>
      </c>
      <c r="I5" s="11" t="str">
        <v>the package assumes sustained UNHCR and government cooperation, timely data-sharing, stable funding, reliable connectivity, and meaningful community engagement to validate and apply the analytics.</v>
      </c>
    </row>
    <row r="6" ht="50" customHeight="1">
      <c r="A6" s="11" t="str">
        <v>AOW02</v>
      </c>
      <c r="C6" s="11" t="str">
        <v>Develop and deploy the Human mobility multi-modal dashboard to inform decision making</v>
      </c>
      <c r="D6" s="11" t="str">
        <v>Number of knowledge products</v>
      </c>
      <c r="E6" s="11" t="str">
        <v>Country: The Republic of the Sudan</v>
      </c>
      <c r="F6" s="11">
        <v>3</v>
      </c>
      <c r="G6" s="11">
        <v>70000</v>
      </c>
      <c r="I6" s="11" t="str">
        <v xml:space="preserve"> the package assumes sustained UNHCR and government cooperation, timely data-sharing, stable funding, reliable connectivity, and meaningful community engagement to validate and apply the analytics.</v>
      </c>
    </row>
    <row r="7" ht="50" customHeight="1">
      <c r="A7" s="11" t="str">
        <v>AOW02</v>
      </c>
      <c r="C7" s="11" t="str">
        <v>Design and roll out a Fragility and Conflict Sensitivity Toolkit that integrates climate-security analytics into CGIAR programs. The toolkit will guide scientists and partners in assessing, mitigating, and monitoring conflict risks, embedding peace-positive practices across food, land, and water research portfolios in fragile and conflict-affected contexts.</v>
      </c>
      <c r="D7" s="11" t="str">
        <v xml:space="preserve"> Number of SPs/AAs, Partners assessed for conflict sensitivity and receiving tailored toolkit</v>
      </c>
      <c r="E7" s="11" t="str">
        <v>Country: Kenya, Mali, Jordan, Burkina Faso, Pakistan, Bangladesh, Mozambique, Philippines, Nigeria, The Republic of the Sudan</v>
      </c>
      <c r="F7" s="11">
        <v>4</v>
      </c>
      <c r="G7" s="11">
        <v>35000</v>
      </c>
      <c r="I7" s="11" t="str">
        <v xml:space="preserve"> the package assumes sustained funding and leadership buy-in across SPs and Accelerators, timely government and UN partner cooperation with data sharing, reliable connectivity for training delivery, and acceptance of peer-reviewed metrics by national systems for planning and finance.</v>
      </c>
    </row>
    <row r="8" ht="50" customHeight="1">
      <c r="A8" s="11" t="str">
        <v>AOW02</v>
      </c>
      <c r="C8" s="11" t="str">
        <v>Establish a Peace-Responsive Research and Policy Support Facility to align CGIAR research with humanitarian, development, and peace (HDP) agendas. The facility will provide on-demand policy analytics, coordination mechanisms, and technical backstopping to integrate peace-responsive evidence into national strategies, donor pipelines, and investment frameworks across fragile and conflict-affected settings.</v>
      </c>
      <c r="D8" s="11" t="str">
        <v>Number of innovations (innovation development)</v>
      </c>
      <c r="E8" s="11" t="str">
        <v>Country: Mali, The Republic of the Sudan, Kenya, Bangladesh, Pakistan, Philippines, Nigeria, Jordan, Burkina Faso, Mozambique</v>
      </c>
      <c r="F8" s="11">
        <v>1</v>
      </c>
      <c r="G8" s="11">
        <v>85000</v>
      </c>
      <c r="I8" s="11" t="str">
        <v xml:space="preserve"> the package assumes sustained funding and leadership buy-in across SPs and Accelerators, timely government and UN partner cooperation with data sharing, reliable connectivity for training delivery, and acceptance of peer-reviewed metrics by national systems for planning and finance.</v>
      </c>
    </row>
    <row r="9" ht="50" customHeight="1">
      <c r="A9" s="11" t="str">
        <v>AOW02</v>
      </c>
      <c r="C9" s="11" t="str">
        <v>Establish a Training and Integration Platform to build partner capacity and institutionalize conflict sensitivity across CGIAR Science Programmes and national systems. The platform will train researchers and policymakers, strengthen cross-lever collaboration, and embed conflict-sensitive standards into research design, investment planning, and policy frameworks in at least ten target countries by 2030.</v>
      </c>
      <c r="D9" s="11" t="str">
        <v>Number of people trained (capacity sharing for development)</v>
      </c>
      <c r="E9" s="11" t="str">
        <v>Country: Jordan, Pakistan, Kenya, The Republic of the Sudan, Mozambique, Mali, Bangladesh, Philippines, Nigeria, Burkina Faso</v>
      </c>
      <c r="F9" s="11">
        <v>50</v>
      </c>
      <c r="G9" s="11">
        <v>70000</v>
      </c>
      <c r="I9" s="11" t="str">
        <v xml:space="preserve"> the package assumes sustained funding and leadership buy-in across SPs and Accelerators, timely government and UN partner cooperation with data sharing, reliable connectivity for training delivery, and acceptance of peer-reviewed metrics by national systems for planning and finance.</v>
      </c>
    </row>
    <row r="10" ht="50" customHeight="1">
      <c r="A10" s="11" t="str">
        <v>AOW02</v>
      </c>
      <c r="B10" s="11" t="str">
        <v>2.2.2 Respond</v>
      </c>
      <c r="C10" s="11" t="str">
        <v xml:space="preserve">Demand driven evidence and guidance informing humanitarian and development partners in fragile and conflict affected contexts  </v>
      </c>
      <c r="D10" s="11" t="str">
        <v>Number of knowledge products</v>
      </c>
      <c r="E10" s="11" t="str">
        <v>Country: Burkina Faso, The Republic of the Sudan, Niger, Mali</v>
      </c>
      <c r="F10" s="11">
        <v>5</v>
      </c>
      <c r="G10" s="11">
        <v>134131</v>
      </c>
      <c r="H10" s="11">
        <f>SUM(G10:G11)</f>
      </c>
      <c r="I10" s="11" t="str">
        <v xml:space="preserve"> the model assumes sustained UN demand and MoUs, predictable multi-year financing, government permissions and security clearances, interoperable systems with timely data flows, and strong host-agency buy-in to embed outputs in policy and operations.</v>
      </c>
    </row>
    <row r="11" ht="50" customHeight="1">
      <c r="A11" s="11" t="str">
        <v>AOW02</v>
      </c>
      <c r="C11" s="11" t="str">
        <v>Develop and deploy the Crisis Assessment for Rapid Response - Food Insecurity (CARR-F)</v>
      </c>
      <c r="D11" s="11" t="str">
        <v>Number of knowledge products</v>
      </c>
      <c r="E11" s="11" t="str">
        <v>Country: The Republic of the Sudan</v>
      </c>
      <c r="F11" s="11">
        <v>1</v>
      </c>
      <c r="G11" s="11">
        <v>50000</v>
      </c>
      <c r="I11" s="11" t="str">
        <v>the package assumes sustained UNHCR and government cooperation, timely data-sharing, stable funding, reliable connectivity, and meaningful community engagement to validate and apply the analytics.</v>
      </c>
    </row>
    <row r="12" ht="25" customHeight="1">
      <c r="B12" s="14" t="str">
        <v>HLO budget subtotal</v>
      </c>
      <c r="H12" s="15">
        <f>SUM(H3:H11)</f>
      </c>
    </row>
    <row r="13" ht="50" customHeight="1">
      <c r="A13" s="13" t="str">
        <v>AOW04</v>
      </c>
      <c r="B13" s="11" t="str">
        <v>4.1.1 SUSTAINABILITY</v>
      </c>
      <c r="C13" s="11" t="str">
        <v>Journal article on design and validation of novel climate indices to inform resilience planning along the blue–green gradient</v>
      </c>
      <c r="D13" s="11" t="str">
        <v>Number of knowledge products</v>
      </c>
      <c r="E13" s="11" t="str">
        <v>Country: Mozambique, Kenya, Solomon Islands</v>
      </c>
      <c r="F13" s="11">
        <v>1</v>
      </c>
      <c r="G13" s="11">
        <v>50000</v>
      </c>
      <c r="H13" s="11">
        <f>SUM(G13:G14)</f>
      </c>
      <c r="I13" s="11" t="str">
        <v>Budget supports research, expert consultation, and stakeholder workshops to design and validate climate indices for resilience planning in Mozambique, Kenya, and the Solomon Islands, enabling publication of a peer-reviewed knowledge product.</v>
      </c>
    </row>
    <row r="14" ht="50" customHeight="1">
      <c r="A14" s="11" t="str">
        <v>AOW04</v>
      </c>
      <c r="C14" s="11" t="str">
        <v xml:space="preserve"> Co-creation of a systems-based analytical framework to assess the blue-green gradient through a climate resilience lens</v>
      </c>
      <c r="D14" s="11" t="str">
        <v>Number of innovations (innovation development)</v>
      </c>
      <c r="E14" s="11" t="str">
        <v>Country: Kenya, Solomon Islands</v>
      </c>
      <c r="F14" s="11">
        <v>2</v>
      </c>
      <c r="G14" s="11">
        <v>45000</v>
      </c>
      <c r="I14" s="11" t="str">
        <v>Budget covers collaborative workshops, technical expertise, and stakeholder engagement to co-create a systems-based framework for blue-green climate resilience analysis, supporting innovation development.</v>
      </c>
    </row>
    <row r="15" ht="50" customHeight="1">
      <c r="A15" s="11" t="str">
        <v>AOW04</v>
      </c>
      <c r="B15" s="11" t="str">
        <v>4.3.5 DIAGNOSTICS</v>
      </c>
      <c r="C15" s="11" t="str">
        <v xml:space="preserve"> Co-creation of a systems-based analytical framework to assess the blue-green gradient through a climate resilience lens</v>
      </c>
      <c r="D15" s="11" t="str">
        <v>Number of innovations (innovation development)</v>
      </c>
      <c r="E15" s="11" t="str">
        <v>Country: Kenya, Solomon Islands</v>
      </c>
      <c r="F15" s="11">
        <v>2</v>
      </c>
      <c r="G15" s="11">
        <v>45000</v>
      </c>
      <c r="H15" s="11">
        <f>SUM(G15:G15)</f>
      </c>
      <c r="I15" s="11" t="str">
        <v>Budget covers collaborative workshops, technical expertise, and stakeholder engagement to co-create a systems-based framework for blue-green climate resilience analysis, supporting innovation development.</v>
      </c>
    </row>
    <row r="16" ht="25" customHeight="1">
      <c r="B16" s="15" t="str">
        <v>HLO budget subtotal</v>
      </c>
      <c r="H16" s="15">
        <f>SUM(H13:H15)</f>
      </c>
    </row>
  </sheetData>
  <mergeCells count="15">
    <mergeCell ref="A1:A2"/>
    <mergeCell ref="B1:B2"/>
    <mergeCell ref="C1:G1"/>
    <mergeCell ref="H1:H2"/>
    <mergeCell ref="I1:I2"/>
    <mergeCell ref="B3:B9"/>
    <mergeCell ref="H3:H9"/>
    <mergeCell ref="B10:B11"/>
    <mergeCell ref="H10:H11"/>
    <mergeCell ref="B12:G12"/>
    <mergeCell ref="A3:A12"/>
    <mergeCell ref="B13:B14"/>
    <mergeCell ref="H13:H14"/>
    <mergeCell ref="B16:G16"/>
    <mergeCell ref="A13:A16"/>
  </mergeCells>
  <ignoredErrors>
    <ignoredError numberStoredAsText="1" sqref="A1:I16"/>
  </ignoredErrors>
</worksheet>
</file>

<file path=xl/worksheets/sheet4.xml><?xml version="1.0" encoding="utf-8"?>
<worksheet xmlns="http://schemas.openxmlformats.org/spreadsheetml/2006/main" xmlns:r="http://schemas.openxmlformats.org/officeDocument/2006/relationships">
  <dimension ref="A1:F8"/>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AOW02</v>
      </c>
      <c r="B2" s="11" t="str">
        <v>Kenya Climate Smart Agriculture MSP</v>
      </c>
      <c r="C2" s="11" t="str">
        <v>2.1.1 Prevent</v>
      </c>
      <c r="D2" s="11" t="str">
        <v>Brazil,Egypt,Kenya,Senegal,South Africa</v>
      </c>
      <c r="E2" s="11">
        <v>30000</v>
      </c>
      <c r="F2" s="11" t="str">
        <v>Contracting to support program HLO's</v>
      </c>
    </row>
    <row r="3" ht="70" customHeight="1">
      <c r="A3" s="11" t="str">
        <v>AOW02</v>
      </c>
      <c r="B3" s="11" t="str">
        <v>University of Molisa</v>
      </c>
      <c r="C3" s="11" t="str">
        <v>2.1.1 Prevent</v>
      </c>
      <c r="D3" s="11" t="str">
        <v>Brazil,Portugal</v>
      </c>
      <c r="E3" s="11">
        <v>30000</v>
      </c>
      <c r="F3" s="11" t="str">
        <v>Contracting to support Early Warning and Decision Support Tools for Fragile Food Systems</v>
      </c>
    </row>
    <row r="4" ht="70" customHeight="1">
      <c r="A4" s="11" t="str">
        <v>AOW02</v>
      </c>
      <c r="B4" s="11" t="str">
        <v>African Group of Negotiators Expert Support</v>
      </c>
      <c r="C4" s="11" t="str">
        <v>2.1.1 Prevent</v>
      </c>
      <c r="D4" s="11" t="str">
        <v>Brazil,Egypt,Kenya,Senegal,South Africa</v>
      </c>
      <c r="E4" s="11">
        <v>30000</v>
      </c>
      <c r="F4" s="11" t="str">
        <v>Budget assumes partner will be contracted to support the HLO as part of ongoing work with the partner</v>
      </c>
    </row>
    <row r="5" ht="70" customHeight="1" xml:space="preserve">
      <c r="A5" s="11" t="str">
        <v>AOW02</v>
      </c>
      <c r="B5" s="11" t="str">
        <v>United Nations High Commissioner for Refugees</v>
      </c>
      <c r="C5" s="11" t="str">
        <v>2.2.2 Respond</v>
      </c>
      <c r="D5" s="11" t="str">
        <v>Kenya,Senegal,Switzerland</v>
      </c>
      <c r="E5" s="11">
        <v>50000</v>
      </c>
      <c r="F5" s="11" t="str" xml:space="preserve">
        <v xml:space="preserve">In collaboration with the Climate Action SP and GESI Accelerator, the package will expand this model with  new secondments in UNHCR, the Geneva Technical Hub supported by the Swiss Development Cooperation, and partners such as ICRC/IFRC, UNICEF, UN-Habitat, GIZ and the Rockefeller Foundation. Secondments will serve as liaisons for all Frontiers AoWs, connecting demands from FCAs, urban areas and SIDS food systems to CGIAR science and solutions.
</v>
      </c>
    </row>
    <row r="6" ht="25" customHeight="1">
      <c r="B6" s="14" t="str">
        <v>Contracted partners subtotal</v>
      </c>
      <c r="E6" s="14">
        <f>SUM(E2:E5)</f>
      </c>
    </row>
    <row r="7" ht="70" customHeight="1">
      <c r="A7" s="12" t="str">
        <v>AOW03</v>
      </c>
      <c r="B7" s="11" t="str">
        <v>United Nations High Commissioner for Refugees</v>
      </c>
      <c r="C7" s="11" t="str">
        <v>3.3.3 Informal food markets</v>
      </c>
      <c r="D7" s="11" t="str">
        <v>Kenya,Senegal,Switzerland</v>
      </c>
      <c r="E7" s="11">
        <v>0</v>
      </c>
    </row>
    <row r="8" ht="25" customHeight="1">
      <c r="B8" s="14" t="str">
        <v>Contracted partners subtotal</v>
      </c>
      <c r="E8" s="14">
        <f>SUM(E7:E7)</f>
      </c>
    </row>
  </sheetData>
  <mergeCells count="4">
    <mergeCell ref="B6:D6"/>
    <mergeCell ref="A2:A6"/>
    <mergeCell ref="B8:D8"/>
    <mergeCell ref="A7:A8"/>
  </mergeCells>
  <ignoredErrors>
    <ignoredError numberStoredAsText="1" sqref="A1:F8"/>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Project title</v>
      </c>
      <c r="B1" s="17" t="str">
        <v>AOW</v>
      </c>
      <c r="C1" s="17" t="str">
        <v>High Level Outputs</v>
      </c>
      <c r="D1" s="17" t="str">
        <v>Budget (USD)</v>
      </c>
      <c r="E1" s="17" t="str">
        <v>Total budget (USD)</v>
      </c>
      <c r="F1" s="17"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18" t="str">
        <v>Collaborators non-CGIAR centers</v>
      </c>
      <c r="B2" s="18">
        <v>0</v>
      </c>
      <c r="C2" s="18">
        <v>0</v>
      </c>
      <c r="D2" s="18">
        <v>140000</v>
      </c>
      <c r="E2" s="18">
        <v>0</v>
      </c>
      <c r="F2" s="18">
        <v>0</v>
      </c>
      <c r="G2" s="18" t="str">
        <f>=SUM(B2:F2)</f>
        <v>0</v>
      </c>
    </row>
    <row r="3" ht="20" customHeight="1">
      <c r="A3" s="18" t="str">
        <v>Operations (supplies, consultants, travels, workshops, other)</v>
      </c>
      <c r="B3" s="18">
        <v>0</v>
      </c>
      <c r="C3" s="18">
        <v>0</v>
      </c>
      <c r="D3" s="18">
        <v>95000</v>
      </c>
      <c r="E3" s="18">
        <v>0</v>
      </c>
      <c r="F3" s="18">
        <v>0</v>
      </c>
      <c r="G3" s="18" t="str">
        <f>=SUM(B3:F3)</f>
        <v>0</v>
      </c>
    </row>
    <row r="4" ht="20" customHeight="1">
      <c r="A4" s="18" t="str">
        <v>Staffing, Chargebacks and Indirect</v>
      </c>
      <c r="B4" s="18">
        <v>0</v>
      </c>
      <c r="C4" s="18">
        <v>0</v>
      </c>
      <c r="D4" s="18">
        <v>499131</v>
      </c>
      <c r="E4" s="18">
        <v>0</v>
      </c>
      <c r="F4" s="18">
        <v>140000</v>
      </c>
      <c r="G4" s="18" t="str">
        <f>=SUM(B4:F4)</f>
        <v>0</v>
      </c>
    </row>
    <row r="5" ht="20" customHeight="1">
      <c r="A5" s="19" t="str">
        <v>Subtotal</v>
      </c>
      <c r="B5" s="20" t="str">
        <f>=SUM(B2:B4)</f>
        <v>0</v>
      </c>
      <c r="C5" s="21" t="str">
        <f>=SUM(C2:C4)</f>
        <v>0</v>
      </c>
      <c r="D5" s="21" t="str">
        <f>=SUM(D2:D4)</f>
        <v>0</v>
      </c>
      <c r="E5" s="21" t="str">
        <f>=SUM(E2:E4)</f>
        <v>0</v>
      </c>
      <c r="F5" s="21" t="str">
        <f>=SUM(F2:F4)</f>
        <v>0</v>
      </c>
      <c r="G5" s="21" t="str">
        <f>=SUM(G2:G4)</f>
        <v>0</v>
      </c>
    </row>
  </sheetData>
  <ignoredErrors>
    <ignoredError numberStoredAsText="1" sqref="A1:G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