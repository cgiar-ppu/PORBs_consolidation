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429100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50000</v>
      </c>
      <c r="E4" s="11" t="str">
        <v>Reduced from 300k, but possibly to be increased back to 300k in case of increased funding in 2026</v>
      </c>
    </row>
    <row r="5" ht="45" customHeight="1">
      <c r="A5" s="11" t="str">
        <v>AOW00</v>
      </c>
      <c r="B5" s="11" t="str">
        <v>AoW Leads</v>
      </c>
      <c r="D5" s="11">
        <v>379100</v>
      </c>
      <c r="E5" s="11" t="str">
        <v>2-3 months for AOW leads. AOW5 due to its new focus possibly managed by director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 t="str">
        <f>=SUM(B2:H2)</f>
        <v>0</v>
      </c>
    </row>
    <row r="3" ht="20" customHeight="1">
      <c r="A3" s="15" t="str">
        <v>Operations (supplies, consultants, travels, workshops, other)</v>
      </c>
      <c r="B3" s="15">
        <v>50000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 t="str">
        <f>=SUM(B3:H3)</f>
        <v>0</v>
      </c>
    </row>
    <row r="4" ht="20" customHeight="1">
      <c r="A4" s="15" t="str">
        <v>Staffing, Chargebacks and Indirect</v>
      </c>
      <c r="B4" s="15">
        <v>379100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 t="str">
        <f>=SUM(B4:H4)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  <c r="I5" s="18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