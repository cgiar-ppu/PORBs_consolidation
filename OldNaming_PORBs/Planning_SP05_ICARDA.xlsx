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5</v>
      </c>
      <c r="L4" s="5">
        <v>96606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96601</v>
      </c>
      <c r="E6" s="11" t="str">
        <v>MELIA person of 0.4 considered as crucial for a viable program.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 ht="30" customHeight="1">
      <c r="A2" s="15" t="str">
        <v xml:space="preserve">Actor Engagement and Assumption Validation </v>
      </c>
      <c r="B2" s="16" t="str">
        <v>AOW00</v>
      </c>
      <c r="C2" s="15" t="str">
        <v>Food producers, traders, processors, and/or retailers adopt evidence-based solutions to improve food safety and quality in target markets​</v>
      </c>
      <c r="D2" s="16">
        <v>1</v>
      </c>
      <c r="E2" s="16" t="str">
        <f>=SUM(D2:D8)</f>
        <v>0</v>
      </c>
    </row>
    <row r="3" ht="30" customHeight="1">
      <c r="A3" s="15" t="str">
        <v xml:space="preserve">Actor Engagement and Assumption Validation </v>
      </c>
      <c r="B3" s="16" t="str">
        <v>AOW06</v>
      </c>
      <c r="C3" s="15" t="str">
        <v xml:space="preserve">Global multilateral networks incorporate systems thinking to diets and nutrition in global convergence agendas across the food systems, nutrition, climate and biodiversity nexus </v>
      </c>
      <c r="D3" s="16">
        <v>0</v>
      </c>
    </row>
    <row r="4" ht="30" customHeight="1">
      <c r="A4" s="15" t="str">
        <v xml:space="preserve">Actor Engagement and Assumption Validation </v>
      </c>
      <c r="B4" s="16" t="str">
        <v>AOW05</v>
      </c>
      <c r="C4" s="15" t="str">
        <v>Government and non-government organizations in diverse sectors integrate evidence on strategies to address determinants of poor diets into policies and programs​</v>
      </c>
      <c r="D4" s="16">
        <v>0</v>
      </c>
    </row>
    <row r="5" ht="30" customHeight="1">
      <c r="A5" s="15" t="str">
        <v xml:space="preserve">Actor Engagement and Assumption Validation </v>
      </c>
      <c r="B5" s="16" t="str">
        <v>AOW04</v>
      </c>
      <c r="C5" s="15" t="str">
        <v xml:space="preserve">Policymakers implement protocols to measure quality assurance, and monitor nutritional content and product quality for biofortified and health-enhancing crops into existing protocols </v>
      </c>
      <c r="D5" s="16">
        <v>0</v>
      </c>
    </row>
    <row r="6" ht="30" customHeight="1">
      <c r="A6" s="15" t="str">
        <v xml:space="preserve">Actor Engagement and Assumption Validation </v>
      </c>
      <c r="B6" s="16" t="str">
        <v>AOW03</v>
      </c>
      <c r="C6" s="15" t="str">
        <v xml:space="preserve">Food systems actors (producers, traders, vendors, policy makers) adopt sustainable/profitable end-to-end solution approaches   </v>
      </c>
      <c r="D6" s="16">
        <v>0</v>
      </c>
    </row>
    <row r="7" ht="30" customHeight="1">
      <c r="A7" s="15" t="str">
        <v xml:space="preserve">Actor Engagement and Assumption Validation </v>
      </c>
      <c r="B7" s="16" t="str">
        <v>AOW01</v>
      </c>
      <c r="C7" s="15" t="str">
        <v>Policymakers enact policies and regulations, through the FST-NAP and other policy processes, that align with evidence and recommendations</v>
      </c>
      <c r="D7" s="16">
        <v>0</v>
      </c>
    </row>
    <row r="8" ht="30" customHeight="1">
      <c r="A8" s="15" t="str">
        <v xml:space="preserve">Actor Engagement and Assumption Validation </v>
      </c>
      <c r="B8" s="16" t="str">
        <v>AOW02</v>
      </c>
      <c r="C8" s="15" t="str">
        <v xml:space="preserve">Food traders and retailers adopt methods of differentiating food products by quality dimensions </v>
      </c>
      <c r="D8" s="16">
        <v>0</v>
      </c>
    </row>
    <row r="9" ht="30" customHeight="1">
      <c r="A9" s="15" t="str">
        <v>Strategic Coherence Across Geographies</v>
      </c>
      <c r="B9" s="16" t="str">
        <v>AOW04</v>
      </c>
      <c r="C9" s="15" t="str">
        <v>Producers and processors adopt and scale biofortified and health-enhancing crops</v>
      </c>
      <c r="D9" s="16">
        <v>0</v>
      </c>
      <c r="E9" s="16" t="str">
        <f>=SUM(D9:D13)</f>
        <v>0</v>
      </c>
    </row>
    <row r="10" ht="30" customHeight="1">
      <c r="A10" s="15" t="str">
        <v>Strategic Coherence Across Geographies</v>
      </c>
      <c r="B10" s="16" t="str">
        <v>AOW03</v>
      </c>
      <c r="C10" s="15" t="str">
        <v xml:space="preserve">Consumers in the implementation sites in the target countries consume fruit and vegetables, aquatic and terrestrial animal sources </v>
      </c>
      <c r="D10" s="16">
        <v>0</v>
      </c>
    </row>
    <row r="11" ht="30" customHeight="1">
      <c r="A11" s="15" t="str">
        <v>Strategic Coherence Across Geographies</v>
      </c>
      <c r="B11" s="16" t="str">
        <v>AOW00</v>
      </c>
      <c r="C11" s="15" t="str">
        <v>Consumers demand and consume sustainable healthy diets</v>
      </c>
      <c r="D11" s="16">
        <v>1</v>
      </c>
    </row>
    <row r="12" ht="30" customHeight="1">
      <c r="A12" s="15" t="str">
        <v>Strategic Coherence Across Geographies</v>
      </c>
      <c r="B12" s="16" t="str">
        <v>AOW01</v>
      </c>
      <c r="C12" s="15" t="str">
        <v>Government actors implement and enforce consumer-oriented solutions that change consumer desirability and agency to improve the consumption of sustainable healthy diets and/or limit the consumption of unhealthy food</v>
      </c>
      <c r="D12" s="16">
        <v>0</v>
      </c>
    </row>
    <row r="13" ht="30" customHeight="1">
      <c r="A13" s="15" t="str">
        <v>Strategic Coherence Across Geographies</v>
      </c>
      <c r="B13" s="16" t="str">
        <v>AOW02</v>
      </c>
      <c r="C13" s="15" t="str">
        <v xml:space="preserve">Food traders and retailers adopt methods of differentiating food products by quality dimensions </v>
      </c>
      <c r="D13" s="16">
        <v>0</v>
      </c>
    </row>
    <row r="14" ht="30" customHeight="1">
      <c r="A14" s="15" t="str">
        <v>Configuration and Integration of AoWs</v>
      </c>
      <c r="B14" s="16" t="str">
        <v>AOW00</v>
      </c>
      <c r="C14" s="15" t="str">
        <v>Food producers, traders, processors, and/or retailers adopt evidence-based solutions to improve food safety and quality in target markets​</v>
      </c>
      <c r="D14" s="16">
        <v>1</v>
      </c>
      <c r="E14" s="16" t="str">
        <f>=SUM(D14:D17)</f>
        <v>0</v>
      </c>
    </row>
    <row r="15" ht="30" customHeight="1">
      <c r="A15" s="15" t="str">
        <v>Configuration and Integration of AoWs</v>
      </c>
      <c r="B15" s="16" t="str">
        <v>AOW03</v>
      </c>
      <c r="C15" s="15" t="str">
        <v xml:space="preserve">Food systems actors (producers, traders, vendors, policy makers) adopt sustainable/profitable end-to-end solution approaches   </v>
      </c>
      <c r="D15" s="16">
        <v>0</v>
      </c>
    </row>
    <row r="16" ht="30" customHeight="1">
      <c r="A16" s="15" t="str">
        <v>Configuration and Integration of AoWs</v>
      </c>
      <c r="B16" s="16" t="str">
        <v>AOW01</v>
      </c>
      <c r="C16" s="15" t="str">
        <v>Policymakers enact policies and regulations, through the FST-NAP and other policy processes, that align with evidence and recommendations</v>
      </c>
      <c r="D16" s="16">
        <v>0</v>
      </c>
    </row>
    <row r="17" ht="30" customHeight="1">
      <c r="A17" s="15" t="str">
        <v>Configuration and Integration of AoWs</v>
      </c>
      <c r="B17" s="16" t="str">
        <v>AOW02</v>
      </c>
      <c r="C17" s="15" t="str">
        <v xml:space="preserve">Food traders and retailers adopt methods of differentiating food products by quality dimensions </v>
      </c>
      <c r="D17" s="16">
        <v>0</v>
      </c>
    </row>
    <row r="18" ht="30" customHeight="1">
      <c r="A18" s="15" t="str">
        <v>Value Addition of W3/Bilateral Projects</v>
      </c>
      <c r="B18" s="16" t="str">
        <v>AOW00</v>
      </c>
      <c r="C18" s="15" t="str">
        <v>Consumers demand and consume sustainable healthy diets</v>
      </c>
      <c r="D18" s="16">
        <v>1</v>
      </c>
      <c r="E18" s="16" t="str">
        <f>=SUM(D18:D18)</f>
        <v>0</v>
      </c>
    </row>
    <row r="19" ht="30" customHeight="1">
      <c r="A19" s="15" t="str">
        <v>Internal Learning and Use of MELIA Results</v>
      </c>
      <c r="B19" s="16" t="str">
        <v>AOW00</v>
      </c>
      <c r="C19" s="15" t="str">
        <v>Consumers demand and consume sustainable healthy diets</v>
      </c>
      <c r="D19" s="16">
        <v>1</v>
      </c>
      <c r="E19" s="16" t="str">
        <f>=SUM(D19:D19)</f>
        <v>0</v>
      </c>
    </row>
    <row r="20" ht="30" customHeight="1">
      <c r="A20" s="15" t="str">
        <v>Portfolio-Level Nutrition Contribution</v>
      </c>
      <c r="B20" s="16" t="str">
        <v>AOW00</v>
      </c>
      <c r="C20" s="15" t="str">
        <v>Consumers demand and consume sustainable healthy diets</v>
      </c>
      <c r="D20" s="16">
        <v>0</v>
      </c>
      <c r="E20" s="16" t="str">
        <f>=SUM(D20:D20)</f>
        <v>0</v>
      </c>
    </row>
    <row r="21" ht="30" customHeight="1">
      <c r="A21" s="3" t="str">
        <v>MELIA Studies Budget subtotal</v>
      </c>
      <c r="E21" s="3">
        <f>SUM(E2:E20)</f>
      </c>
    </row>
  </sheetData>
  <mergeCells count="7">
    <mergeCell ref="A2:A8"/>
    <mergeCell ref="A9:A13"/>
    <mergeCell ref="A14:A17"/>
    <mergeCell ref="E2:E8"/>
    <mergeCell ref="E9:E13"/>
    <mergeCell ref="E14:E17"/>
    <mergeCell ref="A21:D21"/>
  </mergeCells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7" t="str">
        <v>Collaborators non-CGIAR centers</v>
      </c>
      <c r="B2" s="17">
        <v>70000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 t="str">
        <f>=SUM(B2:H2)</f>
        <v>0</v>
      </c>
    </row>
    <row r="3" ht="20" customHeight="1">
      <c r="A3" s="17" t="str">
        <v>Operations (supplies, consultants, travels, workshops, other)</v>
      </c>
      <c r="B3" s="17">
        <v>39055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 t="str">
        <f>=SUM(B3:H3)</f>
        <v>0</v>
      </c>
    </row>
    <row r="4" ht="20" customHeight="1">
      <c r="A4" s="17" t="str">
        <v>Staffing, Chargebacks and Indirect</v>
      </c>
      <c r="B4" s="17">
        <v>96606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 t="str">
        <f>=SUM(B4:H4)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  <c r="G5" s="20" t="str">
        <f>=SUM(G2:G4)</f>
        <v>0</v>
      </c>
      <c r="H5" s="20" t="str">
        <f>=SUM(H2:H4)</f>
        <v>0</v>
      </c>
      <c r="I5" s="20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