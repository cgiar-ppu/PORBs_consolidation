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26667</v>
      </c>
      <c r="M4" s="5">
        <v>0</v>
      </c>
    </row>
    <row r="5" ht="20" customHeight="1">
      <c r="A5" s="2" t="str">
        <v>AOW01: Data Ecosystem</v>
      </c>
      <c r="B5" s="2">
        <v>2</v>
      </c>
      <c r="C5" s="5">
        <v>25000</v>
      </c>
      <c r="D5" s="2">
        <v>14</v>
      </c>
      <c r="E5" s="5">
        <v>50000</v>
      </c>
      <c r="F5" s="2">
        <v>150</v>
      </c>
      <c r="G5" s="5">
        <v>25000</v>
      </c>
      <c r="H5" s="2">
        <v>0</v>
      </c>
      <c r="I5" s="5">
        <v>0</v>
      </c>
      <c r="J5" s="5">
        <v>0</v>
      </c>
      <c r="K5" s="5">
        <v>0</v>
      </c>
      <c r="L5" s="5">
        <v>100000</v>
      </c>
      <c r="M5" s="5">
        <v>0</v>
      </c>
    </row>
    <row r="6" ht="20" customHeight="1">
      <c r="A6" s="2" t="str">
        <v>AOW02: Action Lab</v>
      </c>
      <c r="B6" s="2">
        <v>0</v>
      </c>
      <c r="C6" s="5">
        <v>0</v>
      </c>
      <c r="D6" s="2">
        <v>6</v>
      </c>
      <c r="E6" s="5">
        <v>175000</v>
      </c>
      <c r="F6" s="2">
        <v>0</v>
      </c>
      <c r="G6" s="5">
        <v>0</v>
      </c>
      <c r="H6" s="2">
        <v>0</v>
      </c>
      <c r="I6" s="5">
        <v>0</v>
      </c>
      <c r="J6" s="5">
        <v>0</v>
      </c>
      <c r="K6" s="5">
        <v>0</v>
      </c>
      <c r="L6" s="5">
        <v>175000</v>
      </c>
      <c r="M6" s="5">
        <v>0</v>
      </c>
    </row>
    <row r="7" ht="20" customHeight="1">
      <c r="A7" s="2" t="str">
        <v>AOW03: Digital Futures</v>
      </c>
      <c r="B7" s="2">
        <v>5</v>
      </c>
      <c r="C7" s="5">
        <v>46744</v>
      </c>
      <c r="D7" s="2">
        <v>0</v>
      </c>
      <c r="E7" s="5">
        <v>0</v>
      </c>
      <c r="F7" s="2">
        <v>0</v>
      </c>
      <c r="G7" s="5">
        <v>0</v>
      </c>
      <c r="H7" s="2">
        <v>0</v>
      </c>
      <c r="I7" s="5">
        <v>0</v>
      </c>
      <c r="J7" s="5">
        <v>0</v>
      </c>
      <c r="K7" s="5">
        <v>0</v>
      </c>
      <c r="L7" s="5">
        <v>46744</v>
      </c>
      <c r="M7" s="5">
        <v>0</v>
      </c>
    </row>
    <row r="8" ht="20" customHeight="1">
      <c r="A8" s="2" t="str">
        <v>AOW04: Enabling Environment</v>
      </c>
      <c r="B8" s="2">
        <v>5</v>
      </c>
      <c r="C8" s="5">
        <v>70000</v>
      </c>
      <c r="D8" s="2">
        <v>1</v>
      </c>
      <c r="E8" s="5">
        <v>30000</v>
      </c>
      <c r="F8" s="2">
        <v>70</v>
      </c>
      <c r="G8" s="5">
        <v>50000</v>
      </c>
      <c r="H8" s="2">
        <v>0</v>
      </c>
      <c r="I8" s="5">
        <v>0</v>
      </c>
      <c r="J8" s="5">
        <v>0</v>
      </c>
      <c r="K8" s="5">
        <v>0</v>
      </c>
      <c r="L8" s="5">
        <v>150000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26667</v>
      </c>
      <c r="E6" s="11" t="str">
        <v xml:space="preserve">Funds for Leroy Mwanzia as AoW4 Co-lead. </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HLO 1.1.2 Standards-compliant FAIR science data collection tools </v>
      </c>
      <c r="C3" s="11" t="str">
        <v xml:space="preserve">CIP 6: Report on number of standardized metadata and data guidelines developed and published across key research domains. </v>
      </c>
      <c r="D3" s="11" t="str">
        <v>Number of knowledge products</v>
      </c>
      <c r="E3" s="11" t="str">
        <v>Country: Peru</v>
      </c>
      <c r="F3" s="11">
        <v>1</v>
      </c>
      <c r="G3" s="11">
        <v>12500</v>
      </c>
      <c r="H3" s="11">
        <f>SUM(G3:G4)</f>
      </c>
      <c r="I3" s="11" t="str">
        <v>Staff cost for percentage time of data team members working on research data pipelines.</v>
      </c>
    </row>
    <row r="4" ht="50" customHeight="1">
      <c r="A4" s="11" t="str">
        <v>AOW01</v>
      </c>
      <c r="C4" s="11" t="str">
        <v xml:space="preserve">CIP 5: Number of standardized metadata and data guideline developed and published across key research domains. </v>
      </c>
      <c r="D4" s="11" t="str">
        <v>Number of knowledge products</v>
      </c>
      <c r="E4" s="11" t="str">
        <v>Country: Peru</v>
      </c>
      <c r="F4" s="11">
        <v>1</v>
      </c>
      <c r="G4" s="11">
        <v>12500</v>
      </c>
      <c r="I4" s="11" t="str">
        <v>Staff cost for percentage time of data team members working on research data FAIRfication.  Also includes time for breeding data team member for prioritized breeding data.</v>
      </c>
    </row>
    <row r="5" ht="50" customHeight="1">
      <c r="A5" s="11" t="str">
        <v>AOW01</v>
      </c>
      <c r="B5" s="11" t="str">
        <v>HLO 1.1.6 &amp; 1.2.6 Training on inclusive and ethical FAIR data, AI, and digital solution practices</v>
      </c>
      <c r="C5" s="11" t="str">
        <v>CIP 8: Number of individuals trained on data stewardship and curation trainings through nominated delegates and curators.</v>
      </c>
      <c r="D5" s="11" t="str">
        <v>Number of people trained (capacity sharing for development)</v>
      </c>
      <c r="E5" s="11" t="str">
        <v>Country: Peru</v>
      </c>
      <c r="F5" s="11">
        <v>50</v>
      </c>
      <c r="G5" s="11">
        <v>12500</v>
      </c>
      <c r="H5" s="11">
        <f>SUM(G5:G5)</f>
      </c>
      <c r="I5" s="11" t="str">
        <v xml:space="preserve">Staff cost for percentage time of data team members working on research data. </v>
      </c>
    </row>
    <row r="6" ht="50" customHeight="1">
      <c r="A6" s="11" t="str">
        <v>AOW01</v>
      </c>
      <c r="B6" s="11" t="str">
        <v xml:space="preserve">HLO 1.2.3 Standards-compliant  FAIR data corpus </v>
      </c>
      <c r="C6" s="11" t="str">
        <v xml:space="preserve">CIP 10: Number of CIP Dataverse repository updated to CGIAR metadata and data standards developed and published across key research domains. </v>
      </c>
      <c r="D6" s="11" t="str">
        <v>Number of innovations (innovation development)</v>
      </c>
      <c r="E6" s="11" t="str">
        <v>Country: Peru</v>
      </c>
      <c r="F6" s="11">
        <v>1</v>
      </c>
      <c r="G6" s="11">
        <v>10000</v>
      </c>
      <c r="H6" s="11">
        <f>SUM(G6:G8)</f>
      </c>
      <c r="I6" s="11" t="str">
        <v>Staff cost for percentage time of data team members working on research repositories.</v>
      </c>
    </row>
    <row r="7" ht="50" customHeight="1">
      <c r="A7" s="11" t="str">
        <v>AOW01</v>
      </c>
      <c r="C7" s="11" t="str">
        <v>CIP 9: Number of data flow and analytical pipelines configured and maintained</v>
      </c>
      <c r="D7" s="11" t="str">
        <v>Number of innovations (innovation development)</v>
      </c>
      <c r="E7" s="11" t="str">
        <v>Country: Peru</v>
      </c>
      <c r="F7" s="11">
        <v>1</v>
      </c>
      <c r="G7" s="11">
        <v>15000</v>
      </c>
      <c r="I7" s="11" t="str">
        <v>Staff cost for percentage time of data team members working on research data pipelines.</v>
      </c>
    </row>
    <row r="8" ht="50" customHeight="1">
      <c r="A8" s="11" t="str">
        <v>AOW01</v>
      </c>
      <c r="C8" s="11" t="str">
        <v xml:space="preserve">CIP 7: Number of standardized research datasets curated and published with complete metadata, provenance, and reuse guidance. </v>
      </c>
      <c r="D8" s="11" t="str">
        <v>Number of knowledge products</v>
      </c>
      <c r="E8" s="11" t="str">
        <v>Country: Peru</v>
      </c>
      <c r="F8" s="11">
        <v>10</v>
      </c>
      <c r="G8" s="11">
        <v>12500</v>
      </c>
      <c r="I8" s="11" t="str">
        <v>Staff cost for percentage time of data team members working on research data and breeding team staff working on dataset curation.</v>
      </c>
    </row>
    <row r="9" ht="50" customHeight="1">
      <c r="A9" s="11" t="str">
        <v>AOW01</v>
      </c>
      <c r="B9" s="11" t="str">
        <v xml:space="preserve">HLO 1.3.8 &amp; 1.4.8 Governance,  incentives for data &amp; digital  management culture change </v>
      </c>
      <c r="C9" s="11" t="str">
        <v>CIP 4: Number of individuals trained on ethical and inclusive practices for FAIR data and AI in scientific domains.</v>
      </c>
      <c r="D9" s="11" t="str">
        <v>Number of people trained (capacity sharing for development)</v>
      </c>
      <c r="E9" s="11" t="str">
        <v>Country: Peru</v>
      </c>
      <c r="F9" s="11">
        <v>50</v>
      </c>
      <c r="G9" s="11">
        <v>6250</v>
      </c>
      <c r="H9" s="11">
        <f>SUM(G9:G12)</f>
      </c>
      <c r="I9" s="11" t="str">
        <v>Staff cost for percentage time of data team members working on research data. Includes time for travel for one data professional to represent CIP in an AoW1 collaborative meeting and any travel for capacity building in other offices in Peru.</v>
      </c>
    </row>
    <row r="10" ht="50" customHeight="1">
      <c r="A10" s="11" t="str">
        <v>AOW01</v>
      </c>
      <c r="C10" s="11" t="str">
        <v>CIP 3: CIP 3: Number of individuals trained on privacy and consent kit across programs and teams to ensure consistent consent and data protection practices.</v>
      </c>
      <c r="D10" s="11" t="str">
        <v>Number of people trained (capacity sharing for development)</v>
      </c>
      <c r="E10" s="11" t="str">
        <v>Country: Peru</v>
      </c>
      <c r="F10" s="11">
        <v>50</v>
      </c>
      <c r="G10" s="11">
        <v>6250</v>
      </c>
      <c r="I10" s="11" t="str">
        <v>Staff cost for percentage time of data team members working on research data working on data protection.</v>
      </c>
    </row>
    <row r="11" ht="50" customHeight="1">
      <c r="A11" s="11" t="str">
        <v>AOW01</v>
      </c>
      <c r="C11" s="11" t="str">
        <v>CIP 2: Published guide defining RACI roles for key steps in the data lifecycle  used to resolve questions quickly about who decides, who does, and who reviews.</v>
      </c>
      <c r="D11" s="11" t="str">
        <v>Number of knowledge products</v>
      </c>
      <c r="E11" s="11" t="str">
        <v>Country: Peru</v>
      </c>
      <c r="F11" s="11">
        <v>1</v>
      </c>
      <c r="G11" s="11">
        <v>6250</v>
      </c>
      <c r="I11" s="11" t="str">
        <v xml:space="preserve">Staff cost for percentage time of data team members working on research data operating model and roles. </v>
      </c>
    </row>
    <row r="12" ht="50" customHeight="1">
      <c r="A12" s="11" t="str">
        <v>AOW01</v>
      </c>
      <c r="C12" s="11" t="str">
        <v>CIP 1: Documented guide listing operational platforms that enable access, search, and analytics of scientific datasets to ensure teams are following one consistent rulebook across projects and partners.</v>
      </c>
      <c r="D12" s="11" t="str">
        <v>Number of knowledge products</v>
      </c>
      <c r="E12" s="11" t="str">
        <v>Country: Peru</v>
      </c>
      <c r="F12" s="11">
        <v>1</v>
      </c>
      <c r="G12" s="11">
        <v>6250</v>
      </c>
      <c r="I12" s="11" t="str">
        <v>Staff cost for percentage time of data team members working on research data guidelines. Assumes other mechanisms in the center to implement the guidelines.</v>
      </c>
    </row>
    <row r="13" ht="25" customHeight="1">
      <c r="B13" s="14" t="str">
        <v>HLO budget subtotal</v>
      </c>
      <c r="H13" s="15">
        <f>SUM(H3:H12)</f>
      </c>
    </row>
    <row r="14" ht="50" customHeight="1" xml:space="preserve">
      <c r="A14" s="13" t="str">
        <v>AOW02</v>
      </c>
      <c r="B14" s="11" t="str">
        <v>HLO 2.1.1: Research integrates AI analytics and digital technologies to enhance modeling and evidence generation.​</v>
      </c>
      <c r="C14" s="11" t="str">
        <v>CIP 21: Number of research outputs integrated with AI-powered analytics to  produce knowledge products such as reports, journal articles, and training materials.</v>
      </c>
      <c r="D14" s="11" t="str">
        <v>Number of knowledge products</v>
      </c>
      <c r="E14" s="11" t="str">
        <v>Country: Rwanda</v>
      </c>
      <c r="F14" s="11">
        <v>3</v>
      </c>
      <c r="G14" s="11">
        <v>75000</v>
      </c>
      <c r="H14" s="11">
        <f>SUM(G14:G14)</f>
      </c>
      <c r="I14" s="11" t="str" xml:space="preserve">
        <v xml:space="preserve">Covers staff cost for percentage time of regenerative agriculture and data scientists. Includes operational cost for field validation visits, consultancy and travel.
Assumes that developed CIP data and models will be integrated into the AFSA platform by </v>
      </c>
    </row>
    <row r="15" ht="50" customHeight="1" xml:space="preserve">
      <c r="A15" s="11" t="str">
        <v>AOW02</v>
      </c>
      <c r="B15" s="11" t="str">
        <v>HLO 2.1.2 Decision support systems integrate a digital twin approach to enable real-time data use.</v>
      </c>
      <c r="C15" s="11" t="str">
        <v>CIP 20: Number of decision support systems adopting a digital twin approach for real-time agrifood monitoring.</v>
      </c>
      <c r="D15" s="11" t="str">
        <v>Number of knowledge products</v>
      </c>
      <c r="E15" s="11" t="str">
        <v>Country: Rwanda</v>
      </c>
      <c r="F15" s="11">
        <v>3</v>
      </c>
      <c r="G15" s="11">
        <v>100000</v>
      </c>
      <c r="H15" s="11">
        <f>SUM(G15:G15)</f>
      </c>
      <c r="I15" s="11" t="str" xml:space="preserve">
        <v xml:space="preserve">Covers staff cost for percentage time of regenerative agriculture and data scientists. Includes operational cost for purchase of IoT equipment, field validation visits, consultancy and travel.
Assumes that CIP data and models will be integrated into the </v>
      </c>
    </row>
    <row r="16" ht="25" customHeight="1">
      <c r="B16" s="15" t="str">
        <v>HLO budget subtotal</v>
      </c>
      <c r="H16" s="15">
        <f>SUM(H14:H15)</f>
      </c>
    </row>
    <row r="17" ht="50" customHeight="1">
      <c r="A17" s="13" t="str">
        <v>AOW03</v>
      </c>
      <c r="B17" s="11" t="str">
        <v>HLO 3.1.1:  Probes of a wide range of AI and/or other novel digital solutions  to support system-level scenario analysis of digital frontier technology impacts for decision-makers.</v>
      </c>
      <c r="C17" s="11" t="str">
        <v>CIP 15: Number of AI and digital solution probes supporting system-level scenario analysis for decision-makers.</v>
      </c>
      <c r="D17" s="11" t="str">
        <v>Number of innovations (innovation development)</v>
      </c>
      <c r="E17" s="11" t="str">
        <v>Country: Peru</v>
      </c>
      <c r="F17" s="11">
        <v>1</v>
      </c>
      <c r="G17" s="11">
        <v>10000</v>
      </c>
      <c r="H17" s="11">
        <f>SUM(G17:G19)</f>
      </c>
      <c r="I17" s="11" t="str">
        <v>Staff cost for percentage time of CIP data lead coordinate deployment of co-scientist elements and co-lead the co-scientist effort in AoW3.  Includes travel time for participation in the Co-scientist steering group meetings and AoW3 annual meeting.</v>
      </c>
    </row>
    <row r="18" ht="50" customHeight="1" xml:space="preserve">
      <c r="A18" s="11" t="str">
        <v>AOW03</v>
      </c>
      <c r="C18" s="11" t="str">
        <v>CIP 12: Number of AI and digital solution probes supporting system-level scenario analysis for decision-makers.</v>
      </c>
      <c r="D18" s="11" t="str">
        <v>Number of innovations (innovation development)</v>
      </c>
      <c r="E18" s="11" t="str">
        <v>Country: Peru</v>
      </c>
      <c r="F18" s="11">
        <v>1</v>
      </c>
      <c r="G18" s="11">
        <v>6744</v>
      </c>
      <c r="I18" s="11" t="str" xml:space="preserve">
        <v xml:space="preserve">"Staff cost for percentage time of a Data Scientist and AI engineer  working on research AI probes which will contribute to the AI Co-Scientist.
Tool will be implemented as part of CIP AI Research Assistant, Assumes extra work and budget to implement int</v>
      </c>
    </row>
    <row r="19" ht="50" customHeight="1" xml:space="preserve">
      <c r="A19" s="11" t="str">
        <v>AOW03</v>
      </c>
      <c r="C19" s="11" t="str">
        <v>CIP 13: Number of AI and digital solution probes supporting system-level scenario analysis for decision-makers.</v>
      </c>
      <c r="D19" s="11" t="str">
        <v>Number of innovations (innovation development)</v>
      </c>
      <c r="E19" s="11" t="str">
        <v>Country: Peru</v>
      </c>
      <c r="F19" s="11">
        <v>1</v>
      </c>
      <c r="G19" s="11">
        <v>10000</v>
      </c>
      <c r="I19" s="11" t="str" xml:space="preserve">
        <v xml:space="preserve">Staff cost for percentage time of a Data Scientist and AI engineer  working on research AI probes which will contribute to the AI Co-Scientist.
Tool will be implemented as part of CIP AI Research Assistant, Assumes extra work and budget to implement into</v>
      </c>
    </row>
    <row r="20" ht="50" customHeight="1" xml:space="preserve">
      <c r="A20" s="11" t="str">
        <v>AOW03</v>
      </c>
      <c r="B20" s="11" t="str">
        <v>HLO 3.2.2 &amp; 3.3.2: Future case scenarios identified for digital transformation in FWL systems in addressing context-specific challenges and opportunities.</v>
      </c>
      <c r="C20" s="11" t="str">
        <v>CIP 14: Number of AI and digital solution probes supporting system-level scenario analysis for decision-makers.</v>
      </c>
      <c r="D20" s="11" t="str">
        <v>Number of innovations (innovation development)</v>
      </c>
      <c r="E20" s="11" t="str">
        <v>Country: Peru</v>
      </c>
      <c r="F20" s="11">
        <v>1</v>
      </c>
      <c r="G20" s="11">
        <v>10000</v>
      </c>
      <c r="H20" s="11">
        <f>SUM(G20:G21)</f>
      </c>
      <c r="I20" s="11" t="str" xml:space="preserve">
        <v xml:space="preserve">Staff cost for percentage time of a Data Scientist and AI engineer  working on research AI probes which will contribute to the AI Co-Scientist.
Tool will be implemented as part of CIP AI Research Assistant, Assumes extra work and budget to implement into</v>
      </c>
    </row>
    <row r="21" ht="50" customHeight="1">
      <c r="A21" s="11" t="str">
        <v>AOW03</v>
      </c>
      <c r="C21" s="11" t="str">
        <v>CIP 11: Number of AI and digital solution probes supporting system-level scenario analysis for decision-makers.</v>
      </c>
      <c r="D21" s="11" t="str">
        <v>Number of innovations (innovation development)</v>
      </c>
      <c r="E21" s="11" t="str">
        <v>Country: Peru</v>
      </c>
      <c r="F21" s="11">
        <v>1</v>
      </c>
      <c r="G21" s="11">
        <v>10000</v>
      </c>
      <c r="I21" s="11" t="str">
        <v>Staff cost for percentage time of an AI engineer  working on research AI assisted scenarios.</v>
      </c>
    </row>
    <row r="22" ht="25" customHeight="1">
      <c r="B22" s="15" t="str">
        <v>HLO budget subtotal</v>
      </c>
      <c r="H22" s="15">
        <f>SUM(H17:H21)</f>
      </c>
    </row>
    <row r="23" ht="50" customHeight="1">
      <c r="A23" s="13" t="str">
        <v>AOW04</v>
      </c>
      <c r="B23" s="11" t="str">
        <v>HLO 4.1.2 Robust, secure and flexible foundational digital infrastructure &amp; sustainable operating model across centers and hubs</v>
      </c>
      <c r="C23" s="11" t="str">
        <v>CIP 17: Number of individuals who received training on science, project management, cloud administration etc.</v>
      </c>
      <c r="D23" s="11" t="str">
        <v>Number of people trained (capacity sharing for development)</v>
      </c>
      <c r="E23" s="11" t="str">
        <v>Global</v>
      </c>
      <c r="F23" s="11">
        <v>20</v>
      </c>
      <c r="G23" s="11">
        <v>20000</v>
      </c>
      <c r="H23" s="11">
        <f>SUM(G23:G24)</f>
      </c>
      <c r="I23" s="11" t="str">
        <v>Staff cost for percentage time for Data Science staff to prepare and carry out trainings virtual and in CIP offices.</v>
      </c>
    </row>
    <row r="24" ht="50" customHeight="1">
      <c r="A24" s="11" t="str">
        <v>AOW04</v>
      </c>
      <c r="C24" s="11" t="str">
        <v>CIP 16: Number of new digital tools/enhancements or SOPs developed &amp; deployed or policy/governance changes to enable digital core infrastructure for research and support</v>
      </c>
      <c r="D24" s="11" t="str">
        <v>Number of innovations (innovation development)</v>
      </c>
      <c r="E24" s="11" t="str">
        <v>Global</v>
      </c>
      <c r="F24" s="11">
        <v>5</v>
      </c>
      <c r="G24" s="11">
        <v>70000</v>
      </c>
      <c r="I24" s="11" t="str">
        <v>Staff cost for percentage time computer and AI engineers working on Digital Transformation Initiatives.  Operational costs for Digital and AI on premise or cloud compute, storage and licenses.  Also include Digital core especially Digital Transformation a</v>
      </c>
    </row>
    <row r="25" ht="50" customHeight="1" xml:space="preserve">
      <c r="A25" s="11" t="str">
        <v>AOW04</v>
      </c>
      <c r="B25" s="11" t="str">
        <v xml:space="preserve">HLO 4.1.3 Networks of digital innovation nodes &amp; hubs creating an ecosystem for inclusive and FAIR compliant digital and data innovations </v>
      </c>
      <c r="C25" s="11" t="str">
        <v>CIP 19: Number of individual trained on  AI, digital tools, data governance, and platforms engaging CGIAR and its partners, governments, and private sector actors.</v>
      </c>
      <c r="D25" s="11" t="str">
        <v>Number of people trained (capacity sharing for development)</v>
      </c>
      <c r="E25" s="11" t="str">
        <v>Country: Peru</v>
      </c>
      <c r="F25" s="11">
        <v>50</v>
      </c>
      <c r="G25" s="11">
        <v>30000</v>
      </c>
      <c r="H25" s="11">
        <f>SUM(G25:G26)</f>
      </c>
      <c r="I25" s="11" t="str" xml:space="preserve">
        <v xml:space="preserve">Staff cost for percentage time for Data Science staff to prepare and carry out trainings including virtual and one in presence.  Operational costs for hosting an event on CIP campus in Lima working with partners in Lima. 
Risk: CG-Centers and parties out</v>
      </c>
    </row>
    <row r="26" ht="50" customHeight="1">
      <c r="A26" s="11" t="str">
        <v>AOW04</v>
      </c>
      <c r="C26" s="11" t="str">
        <v>CIP 18: Number of SOPs, knowledge products, reports, and scoping studies produced to operationalize the digital innovation nodes.</v>
      </c>
      <c r="D26" s="11" t="str">
        <v>Number of knowledge products</v>
      </c>
      <c r="E26" s="11" t="str">
        <v>Country: Peru</v>
      </c>
      <c r="F26" s="11">
        <v>1</v>
      </c>
      <c r="G26" s="11">
        <v>30000</v>
      </c>
      <c r="I26" s="11" t="str">
        <v>Staff cost for coordination of the Digital Hub. Operational costs for licenses and tools for scoping studies.</v>
      </c>
    </row>
    <row r="27" ht="25" customHeight="1">
      <c r="B27" s="15" t="str">
        <v>HLO budget subtotal</v>
      </c>
      <c r="H27" s="15">
        <f>SUM(H23:H26)</f>
      </c>
    </row>
  </sheetData>
  <mergeCells count="27">
    <mergeCell ref="A1:A2"/>
    <mergeCell ref="B1:B2"/>
    <mergeCell ref="C1:G1"/>
    <mergeCell ref="H1:H2"/>
    <mergeCell ref="I1:I2"/>
    <mergeCell ref="B3:B4"/>
    <mergeCell ref="H3:H4"/>
    <mergeCell ref="B6:B8"/>
    <mergeCell ref="H6:H8"/>
    <mergeCell ref="B9:B12"/>
    <mergeCell ref="H9:H12"/>
    <mergeCell ref="B13:G13"/>
    <mergeCell ref="A3:A13"/>
    <mergeCell ref="B16:G16"/>
    <mergeCell ref="A14:A16"/>
    <mergeCell ref="B17:B19"/>
    <mergeCell ref="H17:H19"/>
    <mergeCell ref="B20:B21"/>
    <mergeCell ref="H20:H21"/>
    <mergeCell ref="B22:G22"/>
    <mergeCell ref="A17:A22"/>
    <mergeCell ref="B23:B24"/>
    <mergeCell ref="H23:H24"/>
    <mergeCell ref="B25:B26"/>
    <mergeCell ref="H25:H26"/>
    <mergeCell ref="B27:G27"/>
    <mergeCell ref="A23:A27"/>
  </mergeCells>
  <ignoredErrors>
    <ignoredError numberStoredAsText="1" sqref="A1:I27"/>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18" t="str">
        <v>Collaborators non-CGIAR centers</v>
      </c>
      <c r="B2" s="18">
        <v>0</v>
      </c>
      <c r="C2" s="18">
        <v>0</v>
      </c>
      <c r="D2" s="18">
        <v>0</v>
      </c>
      <c r="E2" s="18">
        <v>0</v>
      </c>
      <c r="F2" s="18">
        <v>0</v>
      </c>
      <c r="G2" s="18" t="str">
        <f>=SUM(B2:F2)</f>
        <v>0</v>
      </c>
    </row>
    <row r="3" ht="20" customHeight="1">
      <c r="A3" s="18" t="str">
        <v>Operations (supplies, consultants, travels, workshops, other)</v>
      </c>
      <c r="B3" s="18">
        <v>0</v>
      </c>
      <c r="C3" s="18">
        <v>3152</v>
      </c>
      <c r="D3" s="18">
        <v>34963</v>
      </c>
      <c r="E3" s="18">
        <v>3725</v>
      </c>
      <c r="F3" s="18">
        <v>50418</v>
      </c>
      <c r="G3" s="18" t="str">
        <f>=SUM(B3:F3)</f>
        <v>0</v>
      </c>
    </row>
    <row r="4" ht="20" customHeight="1">
      <c r="A4" s="18" t="str">
        <v>Staffing, Chargebacks and Indirect</v>
      </c>
      <c r="B4" s="18">
        <v>26667</v>
      </c>
      <c r="C4" s="18">
        <v>96848</v>
      </c>
      <c r="D4" s="18">
        <v>140037</v>
      </c>
      <c r="E4" s="18">
        <v>43019</v>
      </c>
      <c r="F4" s="18">
        <v>99582</v>
      </c>
      <c r="G4" s="18" t="str">
        <f>=SUM(B4:F4)</f>
        <v>0</v>
      </c>
    </row>
    <row r="5" ht="20" customHeight="1">
      <c r="A5" s="19" t="str">
        <v>Subtotal</v>
      </c>
      <c r="B5" s="20" t="str">
        <f>=SUM(B2:B4)</f>
        <v>0</v>
      </c>
      <c r="C5" s="21" t="str">
        <f>=SUM(C2:C4)</f>
        <v>0</v>
      </c>
      <c r="D5" s="21" t="str">
        <f>=SUM(D2:D4)</f>
        <v>0</v>
      </c>
      <c r="E5" s="21" t="str">
        <f>=SUM(E2:E4)</f>
        <v>0</v>
      </c>
      <c r="F5" s="21" t="str">
        <f>=SUM(F2:F4)</f>
        <v>0</v>
      </c>
      <c r="G5" s="21"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