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2</v>
      </c>
      <c r="E5" s="5">
        <v>22485</v>
      </c>
      <c r="F5" s="5">
        <v>0</v>
      </c>
      <c r="G5" s="5">
        <v>0</v>
      </c>
      <c r="H5" s="5">
        <v>1</v>
      </c>
      <c r="I5" s="5">
        <v>52000</v>
      </c>
      <c r="J5" s="5">
        <v>74485</v>
      </c>
      <c r="K5" s="5">
        <v>74485</v>
      </c>
      <c r="L5" s="5">
        <v>0</v>
      </c>
      <c r="M5" s="5">
        <v>0</v>
      </c>
      <c r="N5" s="4">
        <v>161</v>
      </c>
    </row>
    <row r="6" ht="20" customHeight="1">
      <c r="A6" s="4" t="str">
        <v>AOW02: Accelerated Breeding</v>
      </c>
      <c r="B6" s="5">
        <v>22</v>
      </c>
      <c r="C6" s="5">
        <v>946524</v>
      </c>
      <c r="D6" s="5">
        <v>0</v>
      </c>
      <c r="E6" s="5">
        <v>0</v>
      </c>
      <c r="F6" s="5">
        <v>0</v>
      </c>
      <c r="G6" s="5">
        <v>0</v>
      </c>
      <c r="H6" s="5">
        <v>0</v>
      </c>
      <c r="I6" s="5">
        <v>0</v>
      </c>
      <c r="J6" s="5">
        <v>946524</v>
      </c>
      <c r="K6" s="5">
        <v>946524</v>
      </c>
      <c r="L6" s="5">
        <v>35000</v>
      </c>
      <c r="M6" s="5">
        <v>0</v>
      </c>
      <c r="N6" s="4">
        <v>160</v>
      </c>
    </row>
    <row r="7" ht="20" customHeight="1">
      <c r="A7" s="4" t="str">
        <v>AOW03: Inclusive Delivery</v>
      </c>
      <c r="B7" s="5">
        <v>0</v>
      </c>
      <c r="C7" s="5">
        <v>0</v>
      </c>
      <c r="D7" s="5">
        <v>3</v>
      </c>
      <c r="E7" s="5">
        <v>96566</v>
      </c>
      <c r="F7" s="5">
        <v>21</v>
      </c>
      <c r="G7" s="5">
        <v>48283</v>
      </c>
      <c r="H7" s="5">
        <v>30005</v>
      </c>
      <c r="I7" s="5">
        <v>50000</v>
      </c>
      <c r="J7" s="5">
        <v>194849</v>
      </c>
      <c r="K7" s="5">
        <v>194849</v>
      </c>
      <c r="L7" s="5">
        <v>0</v>
      </c>
      <c r="M7" s="5">
        <v>0</v>
      </c>
      <c r="N7" s="4">
        <v>159</v>
      </c>
    </row>
    <row r="8" ht="20" customHeight="1">
      <c r="A8" s="4" t="str">
        <v>AOW04: Breeding Resources</v>
      </c>
      <c r="B8" s="5">
        <v>0</v>
      </c>
      <c r="C8" s="5">
        <v>0</v>
      </c>
      <c r="D8" s="5">
        <v>1</v>
      </c>
      <c r="E8" s="5">
        <v>22639</v>
      </c>
      <c r="F8" s="5">
        <v>80</v>
      </c>
      <c r="G8" s="5">
        <v>163000</v>
      </c>
      <c r="H8" s="5">
        <v>388</v>
      </c>
      <c r="I8" s="5">
        <v>67917</v>
      </c>
      <c r="J8" s="5">
        <v>253556</v>
      </c>
      <c r="K8" s="5">
        <v>253556</v>
      </c>
      <c r="L8" s="5">
        <v>0</v>
      </c>
      <c r="M8" s="5">
        <v>0</v>
      </c>
      <c r="N8" s="4">
        <v>158</v>
      </c>
    </row>
    <row r="9" ht="20" customHeight="1">
      <c r="A9" s="4" t="str">
        <v>AOW05: Enable</v>
      </c>
      <c r="B9" s="5">
        <v>0</v>
      </c>
      <c r="C9" s="5">
        <v>0</v>
      </c>
      <c r="D9" s="5">
        <v>0</v>
      </c>
      <c r="E9" s="5">
        <v>0</v>
      </c>
      <c r="F9" s="5">
        <v>4</v>
      </c>
      <c r="G9" s="5">
        <v>80000</v>
      </c>
      <c r="H9" s="5">
        <v>0</v>
      </c>
      <c r="I9" s="5">
        <v>0</v>
      </c>
      <c r="J9" s="5">
        <v>80000</v>
      </c>
      <c r="K9" s="5">
        <v>80000</v>
      </c>
      <c r="L9" s="5">
        <v>0</v>
      </c>
      <c r="M9" s="5">
        <v>0</v>
      </c>
      <c r="N9" s="4">
        <v>162</v>
      </c>
    </row>
    <row r="10" ht="25" customHeight="1">
      <c r="A10" s="6" t="str">
        <v>Total</v>
      </c>
      <c r="B10" s="7" t="str">
        <v/>
      </c>
      <c r="C10" s="7">
        <v>946524</v>
      </c>
      <c r="D10" s="7" t="str">
        <v/>
      </c>
      <c r="E10" s="7">
        <v>141690</v>
      </c>
      <c r="F10" s="7" t="str">
        <v/>
      </c>
      <c r="G10" s="7">
        <v>291283</v>
      </c>
      <c r="H10" s="7" t="str">
        <v/>
      </c>
      <c r="I10" s="7">
        <v>169917</v>
      </c>
      <c r="J10" s="7">
        <v>1549414</v>
      </c>
      <c r="K10" s="7">
        <v>1549414</v>
      </c>
      <c r="L10" s="7">
        <v>35000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Market Intelligence</v>
      </c>
      <c r="B3" s="4" t="str">
        <v>CIP</v>
      </c>
      <c r="C3" s="4" t="str">
        <v>HLO3.AOW1.IO1 Design concepts</v>
      </c>
      <c r="D3" s="4" t="str" xml:space="preserve">
        <v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v>
      </c>
      <c r="E3" s="4" t="str">
        <v>Number of knowledge products</v>
      </c>
      <c r="F3" s="4" t="str">
        <v>Colombia, Peru, Ecuador</v>
      </c>
      <c r="G3" s="5">
        <v>2</v>
      </c>
      <c r="H3" s="5">
        <v>22485</v>
      </c>
      <c r="I3" s="4" t="str">
        <v>.</v>
      </c>
      <c r="J3" s="4">
        <v>4730</v>
      </c>
    </row>
    <row r="4" ht="50" customHeight="1" xml:space="preserve">
      <c r="B4" s="4" t="str">
        <v>CIP</v>
      </c>
      <c r="D4" s="4" t="str" xml:space="preserve">
        <v xml:space="preserve">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v>
      </c>
      <c r="E4" s="4" t="str">
        <v>custom</v>
      </c>
      <c r="F4" s="4" t="str">
        <v>Peru, Colombia, Ecuador</v>
      </c>
      <c r="G4" s="5">
        <v>1</v>
      </c>
      <c r="H4" s="5">
        <v>52000</v>
      </c>
      <c r="I4" s="4" t="str">
        <v>.</v>
      </c>
      <c r="J4" s="4">
        <v>7241</v>
      </c>
    </row>
    <row r="5" ht="25" customHeight="1">
      <c r="C5" s="9" t="str">
        <v>HLO budget subtotal</v>
      </c>
      <c r="H5" s="9">
        <v>74485</v>
      </c>
      <c r="J5" s="9" t="str">
        <v/>
      </c>
    </row>
    <row r="6" ht="50" customHeight="1" xml:space="preserve">
      <c r="A6" s="8" t="str">
        <v>AOW02: Accelerated Breeding</v>
      </c>
      <c r="B6" s="4" t="str">
        <v>CIP</v>
      </c>
      <c r="C6" s="4" t="str">
        <v>HLO8.AOW2.IO2 Discover genetic potential</v>
      </c>
      <c r="D6" s="4" t="str" xml:space="preserve">
        <v xml:space="preserve">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candidates with quantified Fe concentration and agronomic traits</v>
      </c>
      <c r="E6" s="4" t="str">
        <v>Number of innovations (innovation development)</v>
      </c>
      <c r="F6" s="4" t="str">
        <v>India, Peru</v>
      </c>
      <c r="G6" s="5">
        <v>20</v>
      </c>
      <c r="H6" s="5">
        <v>500000</v>
      </c>
      <c r="I6" s="4" t="str">
        <v>.</v>
      </c>
      <c r="J6" s="4">
        <v>4768</v>
      </c>
    </row>
    <row r="7" ht="50" customHeight="1">
      <c r="A7" s="4" t="str">
        <v>AOW02: Accelerated Breeding</v>
      </c>
      <c r="B7" s="4" t="str">
        <v>CIP</v>
      </c>
      <c r="C7" s="4" t="str">
        <v>HLO9.AOW2.IO2 Create products</v>
      </c>
      <c r="D7" s="4" t="str">
        <v>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Breeding Pipelines with updated Breeding Portal information</v>
      </c>
      <c r="E7" s="4" t="str">
        <v>Number of innovations (innovation development)</v>
      </c>
      <c r="F7" s="4" t="str">
        <v>Uganda</v>
      </c>
      <c r="G7" s="5">
        <v>1</v>
      </c>
      <c r="H7" s="5">
        <v>250000</v>
      </c>
      <c r="I7" s="4" t="str">
        <v>.</v>
      </c>
      <c r="J7" s="4">
        <v>4800</v>
      </c>
    </row>
    <row r="8" ht="50" customHeight="1">
      <c r="B8" s="4" t="str">
        <v>CIP</v>
      </c>
      <c r="D8" s="4" t="str">
        <v>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Breeding Pipelines with updated Breeding Portal information</v>
      </c>
      <c r="E8" s="4" t="str">
        <v>Number of innovations (innovation development)</v>
      </c>
      <c r="F8" s="4" t="str">
        <v>Kenya</v>
      </c>
      <c r="G8" s="5">
        <v>1</v>
      </c>
      <c r="H8" s="5">
        <v>196524</v>
      </c>
      <c r="I8" s="4" t="str">
        <v>.</v>
      </c>
      <c r="J8" s="4">
        <v>4801</v>
      </c>
    </row>
    <row r="9" ht="25" customHeight="1">
      <c r="C9" s="9" t="str">
        <v>HLO budget subtotal</v>
      </c>
      <c r="H9" s="9">
        <v>946524</v>
      </c>
      <c r="J9" s="9" t="str">
        <v/>
      </c>
    </row>
    <row r="10" ht="50" customHeight="1">
      <c r="A10" s="8" t="str">
        <v>AOW03: Inclusive Delivery</v>
      </c>
      <c r="B10" s="4" t="str">
        <v>CIP</v>
      </c>
      <c r="C10" s="4" t="str">
        <v>HLO13.AOW3.IO5 Power seed scaling</v>
      </c>
      <c r="D10" s="4" t="str">
        <v>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v>
      </c>
      <c r="E10" s="4" t="str">
        <v>Number of knowledge products</v>
      </c>
      <c r="F10" s="4" t="str">
        <v>Kenya</v>
      </c>
      <c r="G10" s="5">
        <v>2</v>
      </c>
      <c r="H10" s="5">
        <v>48283</v>
      </c>
      <c r="I10" s="4" t="str">
        <v>.</v>
      </c>
      <c r="J10" s="4">
        <v>4831</v>
      </c>
    </row>
    <row r="11" ht="50" customHeight="1" xml:space="preserve">
      <c r="B11" s="4" t="str">
        <v>CIP</v>
      </c>
      <c r="D11" s="4" t="str" xml:space="preserve">
        <v xml:space="preserve">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v>
      </c>
      <c r="E11" s="4" t="str">
        <v>Number of people trained (capacity sharing for development)</v>
      </c>
      <c r="F11" s="4" t="str">
        <v>Rwanda, Kenya</v>
      </c>
      <c r="G11" s="5">
        <v>21</v>
      </c>
      <c r="H11" s="5">
        <v>48283</v>
      </c>
      <c r="I11" s="4" t="str">
        <v>.</v>
      </c>
      <c r="J11" s="4">
        <v>4832</v>
      </c>
    </row>
    <row r="12" ht="50" customHeight="1" xml:space="preserve">
      <c r="B12" s="4" t="str">
        <v>CIP</v>
      </c>
      <c r="D12" s="4" t="str" xml:space="preserve">
        <v xml:space="preserve">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v>
      </c>
      <c r="E12" s="4" t="str">
        <v>Number of knowledge products</v>
      </c>
      <c r="F12" s="4" t="str">
        <v>Kenya</v>
      </c>
      <c r="G12" s="5">
        <v>1</v>
      </c>
      <c r="H12" s="5">
        <v>48283</v>
      </c>
      <c r="I12" s="4" t="str">
        <v>.</v>
      </c>
      <c r="J12" s="4">
        <v>4833</v>
      </c>
    </row>
    <row r="13" ht="50" customHeight="1">
      <c r="A13" s="4" t="str">
        <v>AOW03: Inclusive Delivery</v>
      </c>
      <c r="B13" s="4" t="str">
        <v>CIP</v>
      </c>
      <c r="C13" s="4" t="str">
        <v>HLO12.AOW3.IO5 Deploy seed</v>
      </c>
      <c r="D13" s="4" t="str">
        <v>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v>
      </c>
      <c r="E13" s="4" t="str">
        <v>custom</v>
      </c>
      <c r="F13" s="4" t="str">
        <v>Uganda</v>
      </c>
      <c r="G13" s="5">
        <v>30000</v>
      </c>
      <c r="H13" s="5">
        <v>20000</v>
      </c>
      <c r="I13" s="4" t="str">
        <v>.</v>
      </c>
      <c r="J13" s="4">
        <v>7573</v>
      </c>
    </row>
    <row r="14" ht="50" customHeight="1">
      <c r="A14" s="4" t="str">
        <v>AOW03: Inclusive Delivery</v>
      </c>
      <c r="B14" s="4" t="str">
        <v>CIP</v>
      </c>
      <c r="C14" s="4" t="str">
        <v>HLO11.AOW3.IO4 Position for demand</v>
      </c>
      <c r="D14" s="4" t="str">
        <v>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v>
      </c>
      <c r="E14" s="4" t="str">
        <v>custom</v>
      </c>
      <c r="F14" s="4" t="str">
        <v>Uganda</v>
      </c>
      <c r="G14" s="5">
        <v>5</v>
      </c>
      <c r="H14" s="5">
        <v>30000</v>
      </c>
      <c r="I14" s="4" t="str">
        <v>.</v>
      </c>
      <c r="J14" s="4">
        <v>7574</v>
      </c>
    </row>
    <row r="15" ht="25" customHeight="1">
      <c r="C15" s="9" t="str">
        <v>HLO budget subtotal</v>
      </c>
      <c r="H15" s="9">
        <v>194849</v>
      </c>
      <c r="J15" s="9" t="str">
        <v/>
      </c>
    </row>
    <row r="16" ht="50" customHeight="1" xml:space="preserve">
      <c r="A16" s="8" t="str">
        <v>AOW04: Breeding Resources</v>
      </c>
      <c r="B16" s="4" t="str">
        <v>CIP</v>
      </c>
      <c r="C16" s="4" t="str">
        <v>HLO15.AOW4.IO2 Hub &amp; spoke scaling</v>
      </c>
      <c r="D16" s="4" t="str" xml:space="preserve">
        <v xml:space="preserve">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v>
      </c>
      <c r="E16" s="4" t="str">
        <v>custom</v>
      </c>
      <c r="F16" s="4" t="str">
        <v>Ethiopia, Nigeria, Uganda, Mozambique, Malawi, Tanzania, United Republic</v>
      </c>
      <c r="G16" s="5">
        <v>5</v>
      </c>
      <c r="H16" s="5">
        <v>22639</v>
      </c>
      <c r="I16" s="4" t="str">
        <v>.</v>
      </c>
      <c r="J16" s="4">
        <v>4842</v>
      </c>
    </row>
    <row r="17" ht="50" customHeight="1" xml:space="preserve">
      <c r="B17" s="4" t="str">
        <v>CIP</v>
      </c>
      <c r="D17" s="4" t="str" xml:space="preserve">
        <v xml:space="preserve">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v>
      </c>
      <c r="E17" s="4" t="str">
        <v>custom</v>
      </c>
      <c r="F17" s="4" t="str">
        <v>Malawi, Uganda, Nigeria, Mozambique, Tanzania, United Republic, Ethiopia, Kenya, Peru</v>
      </c>
      <c r="G17" s="5">
        <v>8</v>
      </c>
      <c r="H17" s="5">
        <v>22639</v>
      </c>
      <c r="I17" s="4" t="str">
        <v>.</v>
      </c>
      <c r="J17" s="4">
        <v>4843</v>
      </c>
    </row>
    <row r="18" ht="50" customHeight="1" xml:space="preserve">
      <c r="A18" s="4" t="str">
        <v>AOW04: Breeding Resources</v>
      </c>
      <c r="B18" s="4" t="str">
        <v>CIP</v>
      </c>
      <c r="C18" s="4" t="str">
        <v>HLO16.AOW4.IO3 Shared services</v>
      </c>
      <c r="D18" s="4" t="str" xml:space="preserve">
        <v xml:space="preserve">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v>
      </c>
      <c r="E18" s="4" t="str">
        <v>Number of people trained (capacity sharing for development)</v>
      </c>
      <c r="F18" s="4" t="str">
        <v>Peru</v>
      </c>
      <c r="G18" s="5">
        <v>10</v>
      </c>
      <c r="H18" s="5">
        <v>4528</v>
      </c>
      <c r="I18" s="4" t="str">
        <v>.</v>
      </c>
      <c r="J18" s="4">
        <v>4860</v>
      </c>
    </row>
    <row r="19" ht="50" customHeight="1" xml:space="preserve">
      <c r="B19" s="4" t="str">
        <v>CIP</v>
      </c>
      <c r="D19" s="4" t="str" xml:space="preserve">
        <v xml:space="preserve">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v>
      </c>
      <c r="E19" s="4" t="str">
        <v>Number of people trained (capacity sharing for development)</v>
      </c>
      <c r="F19" s="4" t="str">
        <v>Mozambique, Uganda, Nigeria, Ethiopia, Tanzania, United Republic, Malawi, Kenya</v>
      </c>
      <c r="G19" s="5">
        <v>20</v>
      </c>
      <c r="H19" s="5">
        <v>45278</v>
      </c>
      <c r="I19" s="4" t="str">
        <v>.</v>
      </c>
      <c r="J19" s="4">
        <v>4861</v>
      </c>
    </row>
    <row r="20" ht="50" customHeight="1" xml:space="preserve">
      <c r="B20" s="4" t="str">
        <v>CIP</v>
      </c>
      <c r="D20" s="4" t="str" xml:space="preserve">
        <v xml:space="preserve">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v>
      </c>
      <c r="E20" s="4" t="str">
        <v>Number of knowledge products</v>
      </c>
      <c r="F20" s="4" t="str">
        <v>Kenya, Peru</v>
      </c>
      <c r="G20" s="5">
        <v>1</v>
      </c>
      <c r="H20" s="5">
        <v>22639</v>
      </c>
      <c r="I20" s="4" t="str">
        <v>.</v>
      </c>
      <c r="J20" s="4">
        <v>4862</v>
      </c>
    </row>
    <row r="21" ht="50" customHeight="1" xml:space="preserve">
      <c r="B21" s="4" t="str">
        <v>CIP</v>
      </c>
      <c r="D21" s="4" t="str" xml:space="preserve">
        <v xml:space="preserve">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v>
      </c>
      <c r="E21" s="4" t="str">
        <v>Number of people trained (capacity sharing for development)</v>
      </c>
      <c r="F21" s="4" t="str">
        <v>Peru</v>
      </c>
      <c r="G21" s="5">
        <v>25</v>
      </c>
      <c r="H21" s="5">
        <v>45278</v>
      </c>
      <c r="I21" s="4" t="str">
        <v>.</v>
      </c>
      <c r="J21" s="4">
        <v>4863</v>
      </c>
    </row>
    <row r="22" ht="50" customHeight="1" xml:space="preserve">
      <c r="B22" s="4" t="str">
        <v>CIP</v>
      </c>
      <c r="D22" s="4" t="str" xml:space="preserve">
        <v xml:space="preserve">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v>
      </c>
      <c r="E22" s="4" t="str">
        <v>Number of people trained (capacity sharing for development)</v>
      </c>
      <c r="F22" s="4" t="str">
        <v>Kenya, Peru</v>
      </c>
      <c r="G22" s="5">
        <v>25</v>
      </c>
      <c r="H22" s="5">
        <v>67916</v>
      </c>
      <c r="I22" s="4" t="str">
        <v>.</v>
      </c>
      <c r="J22" s="4">
        <v>4864</v>
      </c>
    </row>
    <row r="23" ht="50" customHeight="1" xml:space="preserve">
      <c r="B23" s="4" t="str">
        <v>CIP</v>
      </c>
      <c r="D23" s="4" t="str" xml:space="preserve">
        <v xml:space="preserve">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v>
      </c>
      <c r="E23" s="4" t="str">
        <v>custom</v>
      </c>
      <c r="F23" s="4" t="str">
        <v>Peru</v>
      </c>
      <c r="G23" s="5">
        <v>375</v>
      </c>
      <c r="H23" s="5">
        <v>22639</v>
      </c>
      <c r="I23" s="4" t="str">
        <v>.</v>
      </c>
      <c r="J23" s="4">
        <v>4865</v>
      </c>
    </row>
    <row r="24" ht="25" customHeight="1">
      <c r="C24" s="9" t="str">
        <v>HLO budget subtotal</v>
      </c>
      <c r="H24" s="9">
        <v>253556</v>
      </c>
      <c r="J24" s="9" t="str">
        <v/>
      </c>
    </row>
    <row r="25" ht="50" customHeight="1">
      <c r="A25" s="8" t="str">
        <v>AOW05: Enable</v>
      </c>
      <c r="B25" s="4" t="str">
        <v>CIP</v>
      </c>
      <c r="C25" s="4" t="str">
        <v>HLO18.AOW5.IO2 Partnered networks</v>
      </c>
      <c r="D25" s="4" t="str">
        <v>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v>
      </c>
      <c r="E25" s="4" t="str">
        <v>Number of people trained (capacity sharing for development)</v>
      </c>
      <c r="F25" s="4" t="str">
        <v>Kenya</v>
      </c>
      <c r="G25" s="5">
        <v>4</v>
      </c>
      <c r="H25" s="5">
        <v>80000</v>
      </c>
      <c r="I25" s="4" t="str">
        <v>.</v>
      </c>
      <c r="J25" s="4">
        <v>7579</v>
      </c>
    </row>
    <row r="26" ht="25" customHeight="1">
      <c r="C26" s="9" t="str">
        <v>HLO budget subtotal</v>
      </c>
      <c r="H26" s="9">
        <v>80000</v>
      </c>
      <c r="J26" s="9" t="str">
        <v/>
      </c>
    </row>
  </sheetData>
  <mergeCells count="21">
    <mergeCell ref="A1:A2"/>
    <mergeCell ref="B1:B2"/>
    <mergeCell ref="C1:C2"/>
    <mergeCell ref="D1:H1"/>
    <mergeCell ref="I1:I2"/>
    <mergeCell ref="J1:J2"/>
    <mergeCell ref="C3:C4"/>
    <mergeCell ref="C5:G5"/>
    <mergeCell ref="A3:A5"/>
    <mergeCell ref="C7:C8"/>
    <mergeCell ref="C9:G9"/>
    <mergeCell ref="A6:A9"/>
    <mergeCell ref="C10:C12"/>
    <mergeCell ref="C15:G15"/>
    <mergeCell ref="A10:A15"/>
    <mergeCell ref="C16:C17"/>
    <mergeCell ref="C18:C23"/>
    <mergeCell ref="C24:G24"/>
    <mergeCell ref="A16:A24"/>
    <mergeCell ref="C26:G26"/>
    <mergeCell ref="A25: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Grupo Yanapai</v>
      </c>
      <c r="C2" s="4" t="str">
        <v>CIP</v>
      </c>
      <c r="D2" s="4" t="str">
        <v>Peru</v>
      </c>
      <c r="E2" s="5">
        <v>35000</v>
      </c>
      <c r="F2" s="4" t="str">
        <v>.</v>
      </c>
      <c r="G2" s="4">
        <v>282</v>
      </c>
    </row>
    <row r="3" ht="25" customHeight="1">
      <c r="B3" s="9" t="str">
        <v>Contracted partners subtotal</v>
      </c>
      <c r="E3" s="9">
        <v>35000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1078-CHI0   Supporting preparation work of CCCAP in China</v>
      </c>
      <c r="C2" s="4" t="str">
        <v>HLO18.AOW5.IO2 Partnered networks</v>
      </c>
      <c r="D2" s="5">
        <v>0</v>
      </c>
      <c r="E2" s="4" t="str">
        <v/>
      </c>
      <c r="F2" s="4">
        <v>916</v>
      </c>
    </row>
    <row r="3" ht="60" customHeight="1">
      <c r="A3" s="4" t="str">
        <v>CIP</v>
      </c>
      <c r="B3" s="4" t="str">
        <v>1523-BMGF  RTB Breeding Investment</v>
      </c>
      <c r="C3" s="4" t="str">
        <v>I-OC 1.3. Breeding network actors orient product development toward delivery of the greatest benefits across the 5 Impact Areas</v>
      </c>
      <c r="D3" s="5">
        <v>0</v>
      </c>
      <c r="E3" s="4" t="str">
        <v/>
      </c>
      <c r="F3" s="4">
        <v>907</v>
      </c>
    </row>
    <row r="4" ht="60" customHeight="1">
      <c r="A4" s="4" t="str">
        <v>CIP</v>
      </c>
      <c r="B4" s="4" t="str">
        <v>P-1568-WBS0-Developing Local Seed Potato Production System i</v>
      </c>
      <c r="C4" s="4" t="str">
        <v>I-OC 3.5. Women, men, youth, and marginalized social groups accessing quality seed of improved varieties</v>
      </c>
      <c r="D4" s="5">
        <v>0</v>
      </c>
      <c r="E4" s="4" t="str">
        <v/>
      </c>
      <c r="F4" s="4">
        <v>874</v>
      </c>
    </row>
    <row r="5" ht="60" customHeight="1">
      <c r="A5" s="4" t="str">
        <v>CIP</v>
      </c>
      <c r="B5" s="4" t="str">
        <v>P-1592-AATF-Rwanda Agricultural Biotechnology Program (Cassa</v>
      </c>
      <c r="C5" s="4" t="str">
        <v>HLO18.AOW5.IO2 Partnered networks</v>
      </c>
      <c r="D5" s="5">
        <v>0</v>
      </c>
      <c r="E5" s="4" t="str">
        <v/>
      </c>
      <c r="F5" s="4">
        <v>918</v>
      </c>
    </row>
    <row r="6" ht="25" customHeight="1">
      <c r="B6" s="9" t="str">
        <v>W3/Bilateral budget subtotal</v>
      </c>
      <c r="D6" s="9">
        <v>0</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Operations</v>
      </c>
      <c r="D2" s="5">
        <v>0</v>
      </c>
      <c r="E2" s="4" t="str">
        <v/>
      </c>
      <c r="F2" s="4">
        <v>50</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31638</v>
      </c>
      <c r="D2" s="5">
        <v>722549</v>
      </c>
      <c r="E2" s="5">
        <v>154760</v>
      </c>
      <c r="F2" s="5">
        <v>157467</v>
      </c>
      <c r="G2" s="5">
        <v>80000</v>
      </c>
      <c r="H2" s="5">
        <f>=SUM(B2:G2)</f>
        <v>0</v>
      </c>
    </row>
    <row r="3" ht="20" customHeight="1">
      <c r="A3" s="4" t="str">
        <v>Operations (supplies, consultants, travels, workshops, other)</v>
      </c>
      <c r="B3" s="5">
        <v>0</v>
      </c>
      <c r="C3" s="5">
        <v>42847</v>
      </c>
      <c r="D3" s="5">
        <v>188975</v>
      </c>
      <c r="E3" s="5">
        <v>40089</v>
      </c>
      <c r="F3" s="5">
        <v>96089</v>
      </c>
      <c r="G3" s="5">
        <v>0</v>
      </c>
      <c r="H3" s="5">
        <f>=SUM(B3:G3)</f>
        <v>0</v>
      </c>
    </row>
    <row r="4" ht="20" customHeight="1">
      <c r="A4" s="4" t="str">
        <v>Collaborators non-CGIAR centers</v>
      </c>
      <c r="B4" s="5">
        <v>0</v>
      </c>
      <c r="C4" s="5">
        <v>0</v>
      </c>
      <c r="D4" s="5">
        <v>35000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3376</v>
      </c>
    </row>
    <row r="3" ht="45" customHeight="1">
      <c r="A3" s="8" t="str">
        <v>AOW01: Market Intelligence</v>
      </c>
      <c r="B3" s="4" t="str">
        <v>CIP</v>
      </c>
      <c r="C3" s="4" t="str">
        <v>Colombia</v>
      </c>
      <c r="D3" s="5">
        <v>10</v>
      </c>
      <c r="E3" s="4">
        <v>2701</v>
      </c>
    </row>
    <row r="4" ht="45" customHeight="1">
      <c r="A4" s="4" t="str">
        <v>AOW01: Market Intelligence</v>
      </c>
      <c r="B4" s="4" t="str">
        <v>CIP</v>
      </c>
      <c r="C4" s="4" t="str">
        <v>Ecuador</v>
      </c>
      <c r="D4" s="5">
        <v>40</v>
      </c>
      <c r="E4" s="4">
        <v>2703</v>
      </c>
    </row>
    <row r="5" ht="45" customHeight="1">
      <c r="A5" s="4" t="str">
        <v>AOW01: Market Intelligence</v>
      </c>
      <c r="B5" s="4" t="str">
        <v>CIP</v>
      </c>
      <c r="C5" s="4" t="str">
        <v>Peru</v>
      </c>
      <c r="D5" s="5">
        <v>50</v>
      </c>
      <c r="E5" s="4">
        <v>2702</v>
      </c>
    </row>
    <row r="6" ht="45" customHeight="1">
      <c r="A6" s="8" t="str">
        <v>AOW02: Accelerated Breeding</v>
      </c>
      <c r="B6" s="4" t="str">
        <v>CIP</v>
      </c>
      <c r="C6" s="4" t="str">
        <v>India</v>
      </c>
      <c r="D6" s="5">
        <v>5</v>
      </c>
      <c r="E6" s="4">
        <v>2707</v>
      </c>
    </row>
    <row r="7" ht="45" customHeight="1">
      <c r="A7" s="4" t="str">
        <v>AOW02: Accelerated Breeding</v>
      </c>
      <c r="B7" s="4" t="str">
        <v>CIP</v>
      </c>
      <c r="C7" s="4" t="str">
        <v>Kenya</v>
      </c>
      <c r="D7" s="5">
        <v>20</v>
      </c>
      <c r="E7" s="4">
        <v>2705</v>
      </c>
    </row>
    <row r="8" ht="45" customHeight="1">
      <c r="A8" s="4" t="str">
        <v>AOW02: Accelerated Breeding</v>
      </c>
      <c r="B8" s="4" t="str">
        <v>CIP</v>
      </c>
      <c r="C8" s="4" t="str">
        <v>Peru</v>
      </c>
      <c r="D8" s="5">
        <v>45</v>
      </c>
      <c r="E8" s="4">
        <v>2704</v>
      </c>
    </row>
    <row r="9" ht="45" customHeight="1">
      <c r="A9" s="4" t="str">
        <v>AOW02: Accelerated Breeding</v>
      </c>
      <c r="B9" s="4" t="str">
        <v>CIP</v>
      </c>
      <c r="C9" s="4" t="str">
        <v>Uganda</v>
      </c>
      <c r="D9" s="5">
        <v>30</v>
      </c>
      <c r="E9" s="4">
        <v>2706</v>
      </c>
    </row>
    <row r="10" ht="45" customHeight="1">
      <c r="A10" s="8" t="str">
        <v>AOW03: Inclusive Delivery</v>
      </c>
      <c r="B10" s="4" t="str">
        <v>CIP</v>
      </c>
      <c r="C10" s="4" t="str">
        <v>Kenya</v>
      </c>
      <c r="D10" s="5">
        <v>70</v>
      </c>
      <c r="E10" s="4">
        <v>2708</v>
      </c>
    </row>
    <row r="11" ht="45" customHeight="1">
      <c r="A11" s="4" t="str">
        <v>AOW03: Inclusive Delivery</v>
      </c>
      <c r="B11" s="4" t="str">
        <v>CIP</v>
      </c>
      <c r="C11" s="4" t="str">
        <v>Rwanda</v>
      </c>
      <c r="D11" s="5">
        <v>5</v>
      </c>
      <c r="E11" s="4">
        <v>2710</v>
      </c>
    </row>
    <row r="12" ht="45" customHeight="1">
      <c r="A12" s="4" t="str">
        <v>AOW03: Inclusive Delivery</v>
      </c>
      <c r="B12" s="4" t="str">
        <v>CIP</v>
      </c>
      <c r="C12" s="4" t="str">
        <v>Uganda</v>
      </c>
      <c r="D12" s="5">
        <v>25</v>
      </c>
      <c r="E12" s="4">
        <v>2709</v>
      </c>
    </row>
    <row r="13" ht="45" customHeight="1">
      <c r="A13" s="8" t="str">
        <v>AOW04: Breeding Resources</v>
      </c>
      <c r="B13" s="4" t="str">
        <v>CIP</v>
      </c>
      <c r="C13" s="4" t="str">
        <v>Ethiopia</v>
      </c>
      <c r="D13" s="5">
        <v>5</v>
      </c>
      <c r="E13" s="4">
        <v>2714</v>
      </c>
    </row>
    <row r="14" ht="45" customHeight="1">
      <c r="A14" s="4" t="str">
        <v>AOW04: Breeding Resources</v>
      </c>
      <c r="B14" s="4" t="str">
        <v>CIP</v>
      </c>
      <c r="C14" s="4" t="str">
        <v>Kenya</v>
      </c>
      <c r="D14" s="5">
        <v>30</v>
      </c>
      <c r="E14" s="4">
        <v>2713</v>
      </c>
    </row>
    <row r="15" ht="45" customHeight="1">
      <c r="A15" s="4" t="str">
        <v>AOW04: Breeding Resources</v>
      </c>
      <c r="B15" s="4" t="str">
        <v>CIP</v>
      </c>
      <c r="C15" s="4" t="str">
        <v>Malawi</v>
      </c>
      <c r="D15" s="5">
        <v>5</v>
      </c>
      <c r="E15" s="4">
        <v>2715</v>
      </c>
    </row>
    <row r="16" ht="45" customHeight="1">
      <c r="A16" s="4" t="str">
        <v>AOW04: Breeding Resources</v>
      </c>
      <c r="B16" s="4" t="str">
        <v>CIP</v>
      </c>
      <c r="C16" s="4" t="str">
        <v>Mozambique</v>
      </c>
      <c r="D16" s="5">
        <v>5</v>
      </c>
      <c r="E16" s="4">
        <v>2716</v>
      </c>
    </row>
    <row r="17" ht="45" customHeight="1">
      <c r="A17" s="4" t="str">
        <v>AOW04: Breeding Resources</v>
      </c>
      <c r="B17" s="4" t="str">
        <v>CIP</v>
      </c>
      <c r="C17" s="4" t="str">
        <v>Nigeria</v>
      </c>
      <c r="D17" s="5">
        <v>5</v>
      </c>
      <c r="E17" s="4">
        <v>2717</v>
      </c>
    </row>
    <row r="18" ht="45" customHeight="1">
      <c r="A18" s="4" t="str">
        <v>AOW04: Breeding Resources</v>
      </c>
      <c r="B18" s="4" t="str">
        <v>CIP</v>
      </c>
      <c r="C18" s="4" t="str">
        <v>Peru</v>
      </c>
      <c r="D18" s="5">
        <v>40</v>
      </c>
      <c r="E18" s="4">
        <v>2712</v>
      </c>
    </row>
    <row r="19" ht="45" customHeight="1">
      <c r="A19" s="4" t="str">
        <v>AOW04: Breeding Resources</v>
      </c>
      <c r="B19" s="4" t="str">
        <v>CIP</v>
      </c>
      <c r="C19" s="4" t="str">
        <v>Tanzania</v>
      </c>
      <c r="D19" s="5">
        <v>5</v>
      </c>
      <c r="E19" s="4">
        <v>2718</v>
      </c>
    </row>
    <row r="20" ht="45" customHeight="1">
      <c r="A20" s="4" t="str">
        <v>AOW04: Breeding Resources</v>
      </c>
      <c r="B20" s="4" t="str">
        <v>CIP</v>
      </c>
      <c r="C20" s="4" t="str">
        <v>Uganda</v>
      </c>
      <c r="D20" s="5">
        <v>5</v>
      </c>
      <c r="E20" s="4">
        <v>2719</v>
      </c>
    </row>
    <row r="21" ht="45" customHeight="1">
      <c r="A21" s="8" t="str">
        <v>AOW05: Enable</v>
      </c>
      <c r="B21" s="4" t="str">
        <v>CIP</v>
      </c>
      <c r="C21" s="4" t="str">
        <v>Kenya</v>
      </c>
      <c r="D21" s="5">
        <v>100</v>
      </c>
      <c r="E21" s="4">
        <v>2711</v>
      </c>
    </row>
  </sheetData>
  <mergeCells count="6">
    <mergeCell ref="A2"/>
    <mergeCell ref="A3:A5"/>
    <mergeCell ref="A6:A9"/>
    <mergeCell ref="A10:A12"/>
    <mergeCell ref="A13:A20"/>
    <mergeCell ref="A21"/>
  </mergeCells>
  <ignoredErrors>
    <ignoredError numberStoredAsText="1" sqref="A1:E21"/>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1686</v>
      </c>
    </row>
    <row r="3" ht="45" customHeight="1">
      <c r="A3" s="8" t="str">
        <v>AOW01: Market Intelligence</v>
      </c>
      <c r="B3" s="4" t="str">
        <v>CIP</v>
      </c>
      <c r="C3" s="4" t="str">
        <v>Global</v>
      </c>
      <c r="D3" s="4" t="str">
        <v>global</v>
      </c>
      <c r="E3" s="5">
        <v>100</v>
      </c>
      <c r="F3" s="4">
        <v>1530</v>
      </c>
    </row>
    <row r="4" ht="45" customHeight="1">
      <c r="A4" s="8" t="str">
        <v>AOW02: Accelerated Breeding</v>
      </c>
      <c r="B4" s="4" t="str">
        <v>CIP</v>
      </c>
      <c r="C4" s="4" t="str">
        <v>Eastern Africa</v>
      </c>
      <c r="D4" s="4" t="str">
        <v>region</v>
      </c>
      <c r="E4" s="5">
        <v>25</v>
      </c>
      <c r="F4" s="4">
        <v>1529</v>
      </c>
    </row>
    <row r="5" ht="45" customHeight="1">
      <c r="A5" s="4" t="str">
        <v>AOW02: Accelerated Breeding</v>
      </c>
      <c r="B5" s="4" t="str">
        <v>CIP</v>
      </c>
      <c r="C5" s="4" t="str">
        <v>Latin America and the Caribbean</v>
      </c>
      <c r="D5" s="4" t="str">
        <v>region</v>
      </c>
      <c r="E5" s="5">
        <v>25</v>
      </c>
      <c r="F5" s="4">
        <v>1528</v>
      </c>
    </row>
    <row r="6" ht="45" customHeight="1">
      <c r="A6" s="4" t="str">
        <v>AOW02: Accelerated Breeding</v>
      </c>
      <c r="B6" s="4" t="str">
        <v>CIP</v>
      </c>
      <c r="C6" s="4" t="str">
        <v>Southern Africa</v>
      </c>
      <c r="D6" s="4" t="str">
        <v>region</v>
      </c>
      <c r="E6" s="5">
        <v>25</v>
      </c>
      <c r="F6" s="4">
        <v>1527</v>
      </c>
    </row>
    <row r="7" ht="45" customHeight="1">
      <c r="A7" s="4" t="str">
        <v>AOW02: Accelerated Breeding</v>
      </c>
      <c r="B7" s="4" t="str">
        <v>CIP</v>
      </c>
      <c r="C7" s="4" t="str">
        <v>Southern Asia</v>
      </c>
      <c r="D7" s="4" t="str">
        <v>region</v>
      </c>
      <c r="E7" s="5">
        <v>25</v>
      </c>
      <c r="F7" s="4">
        <v>1526</v>
      </c>
    </row>
    <row r="8" ht="45" customHeight="1">
      <c r="A8" s="8" t="str">
        <v>AOW03: Inclusive Delivery</v>
      </c>
      <c r="B8" s="4" t="str">
        <v>CIP</v>
      </c>
      <c r="C8" s="4" t="str">
        <v>Eastern Africa</v>
      </c>
      <c r="D8" s="4" t="str">
        <v>region</v>
      </c>
      <c r="E8" s="5">
        <v>75</v>
      </c>
      <c r="F8" s="4">
        <v>1524</v>
      </c>
    </row>
    <row r="9" ht="45" customHeight="1">
      <c r="A9" s="4" t="str">
        <v>AOW03: Inclusive Delivery</v>
      </c>
      <c r="B9" s="4" t="str">
        <v>CIP</v>
      </c>
      <c r="C9" s="4" t="str">
        <v>Southern Africa</v>
      </c>
      <c r="D9" s="4" t="str">
        <v>region</v>
      </c>
      <c r="E9" s="5">
        <v>25</v>
      </c>
      <c r="F9" s="4">
        <v>1525</v>
      </c>
    </row>
    <row r="10" ht="45" customHeight="1">
      <c r="A10" s="8" t="str">
        <v>AOW04: Breeding Resources</v>
      </c>
      <c r="B10" s="4" t="str">
        <v>CIP</v>
      </c>
      <c r="C10" s="4" t="str">
        <v>Global</v>
      </c>
      <c r="D10" s="4" t="str">
        <v>global</v>
      </c>
      <c r="E10" s="5">
        <v>100</v>
      </c>
      <c r="F10" s="4">
        <v>1523</v>
      </c>
    </row>
    <row r="11" ht="45" customHeight="1">
      <c r="A11" s="8" t="str">
        <v>AOW05: Enable</v>
      </c>
      <c r="B11" s="4" t="str">
        <v>CIP</v>
      </c>
      <c r="C11" s="4" t="str">
        <v>Eastern Africa</v>
      </c>
      <c r="D11" s="4" t="str">
        <v>region</v>
      </c>
      <c r="E11" s="5">
        <v>100</v>
      </c>
      <c r="F11" s="4">
        <v>1522</v>
      </c>
    </row>
  </sheetData>
  <mergeCells count="6">
    <mergeCell ref="A2"/>
    <mergeCell ref="A3"/>
    <mergeCell ref="A4:A7"/>
    <mergeCell ref="A8:A9"/>
    <mergeCell ref="A10"/>
    <mergeCell ref="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