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0</v>
      </c>
      <c r="E5" s="5">
        <v>0</v>
      </c>
      <c r="F5" s="5">
        <v>0</v>
      </c>
      <c r="G5" s="5">
        <v>0</v>
      </c>
      <c r="H5" s="5">
        <v>0</v>
      </c>
      <c r="I5" s="5">
        <v>0</v>
      </c>
      <c r="J5" s="5">
        <v>0</v>
      </c>
      <c r="K5" s="5">
        <v>0</v>
      </c>
      <c r="L5" s="5">
        <v>0</v>
      </c>
      <c r="M5" s="5">
        <v>0</v>
      </c>
      <c r="N5" s="4">
        <v>161</v>
      </c>
    </row>
    <row r="6" ht="20" customHeight="1">
      <c r="A6" s="4" t="str">
        <v>AOW02: Accelerated Breeding</v>
      </c>
      <c r="B6" s="5">
        <v>980</v>
      </c>
      <c r="C6" s="5">
        <v>470000</v>
      </c>
      <c r="D6" s="5">
        <v>0</v>
      </c>
      <c r="E6" s="5">
        <v>0</v>
      </c>
      <c r="F6" s="5">
        <v>0</v>
      </c>
      <c r="G6" s="5">
        <v>0</v>
      </c>
      <c r="H6" s="5">
        <v>12</v>
      </c>
      <c r="I6" s="5">
        <v>90000</v>
      </c>
      <c r="J6" s="5">
        <v>560000</v>
      </c>
      <c r="K6" s="5">
        <v>560000</v>
      </c>
      <c r="L6" s="5">
        <v>20000</v>
      </c>
      <c r="M6" s="5">
        <v>0</v>
      </c>
      <c r="N6" s="4">
        <v>160</v>
      </c>
    </row>
    <row r="7" ht="20" customHeight="1">
      <c r="A7" s="4" t="str">
        <v>AOW03: Inclusive Delivery</v>
      </c>
      <c r="B7" s="5">
        <v>0</v>
      </c>
      <c r="C7" s="5">
        <v>0</v>
      </c>
      <c r="D7" s="5">
        <v>1</v>
      </c>
      <c r="E7" s="5">
        <v>25000</v>
      </c>
      <c r="F7" s="5">
        <v>0</v>
      </c>
      <c r="G7" s="5">
        <v>0</v>
      </c>
      <c r="H7" s="5">
        <v>34</v>
      </c>
      <c r="I7" s="5">
        <v>505000</v>
      </c>
      <c r="J7" s="5">
        <v>530000</v>
      </c>
      <c r="K7" s="5">
        <v>530000</v>
      </c>
      <c r="L7" s="5">
        <v>0</v>
      </c>
      <c r="M7" s="5">
        <v>0</v>
      </c>
      <c r="N7" s="4">
        <v>159</v>
      </c>
    </row>
    <row r="8" ht="20" customHeight="1">
      <c r="A8" s="4" t="str">
        <v>AOW04: Breeding Resources</v>
      </c>
      <c r="B8" s="5">
        <v>2</v>
      </c>
      <c r="C8" s="5">
        <v>50000</v>
      </c>
      <c r="D8" s="5">
        <v>0</v>
      </c>
      <c r="E8" s="5">
        <v>0</v>
      </c>
      <c r="F8" s="5">
        <v>30</v>
      </c>
      <c r="G8" s="5">
        <v>50000</v>
      </c>
      <c r="H8" s="5">
        <v>11</v>
      </c>
      <c r="I8" s="5">
        <v>50000</v>
      </c>
      <c r="J8" s="5">
        <v>150000</v>
      </c>
      <c r="K8" s="5">
        <v>150000</v>
      </c>
      <c r="L8" s="5">
        <v>0</v>
      </c>
      <c r="M8" s="5">
        <v>0</v>
      </c>
      <c r="N8" s="4">
        <v>158</v>
      </c>
    </row>
    <row r="9" ht="20" customHeight="1">
      <c r="A9" s="4" t="str">
        <v>AOW05: Enable</v>
      </c>
      <c r="B9" s="5">
        <v>0</v>
      </c>
      <c r="C9" s="5">
        <v>0</v>
      </c>
      <c r="D9" s="5">
        <v>0</v>
      </c>
      <c r="E9" s="5">
        <v>0</v>
      </c>
      <c r="F9" s="5">
        <v>0</v>
      </c>
      <c r="G9" s="5">
        <v>0</v>
      </c>
      <c r="H9" s="5">
        <v>20</v>
      </c>
      <c r="I9" s="5">
        <v>244540</v>
      </c>
      <c r="J9" s="5">
        <v>244540</v>
      </c>
      <c r="K9" s="5">
        <v>244540</v>
      </c>
      <c r="L9" s="5">
        <v>0</v>
      </c>
      <c r="M9" s="5">
        <v>0</v>
      </c>
      <c r="N9" s="4">
        <v>162</v>
      </c>
    </row>
    <row r="10" ht="25" customHeight="1">
      <c r="A10" s="6" t="str">
        <v>Total</v>
      </c>
      <c r="B10" s="7" t="str">
        <v/>
      </c>
      <c r="C10" s="7">
        <v>520000</v>
      </c>
      <c r="D10" s="7" t="str">
        <v/>
      </c>
      <c r="E10" s="7">
        <v>25000</v>
      </c>
      <c r="F10" s="7" t="str">
        <v/>
      </c>
      <c r="G10" s="7">
        <v>50000</v>
      </c>
      <c r="H10" s="7" t="str">
        <v/>
      </c>
      <c r="I10" s="7">
        <v>889540</v>
      </c>
      <c r="J10" s="7">
        <v>1484540</v>
      </c>
      <c r="K10" s="7">
        <v>1484540</v>
      </c>
      <c r="L10" s="7">
        <v>20000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Accelerated Breeding</v>
      </c>
      <c r="B3" s="4" t="str">
        <v>ICRISAT</v>
      </c>
      <c r="C3" s="4" t="str">
        <v>HLO9.AOW2.IO2 Create products</v>
      </c>
      <c r="D3" s="4" t="str" xml:space="preserve">
        <v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v>
      </c>
      <c r="E3" s="4" t="str">
        <v>Number of innovations (innovation development)</v>
      </c>
      <c r="F3" s="4" t="str">
        <v>India, Malawi, Mali</v>
      </c>
      <c r="G3" s="5">
        <v>250</v>
      </c>
      <c r="H3" s="5">
        <v>90000</v>
      </c>
      <c r="I3" s="4" t="str">
        <v>.</v>
      </c>
      <c r="J3" s="4">
        <v>4788</v>
      </c>
    </row>
    <row r="4" ht="50" customHeight="1" xml:space="preserve">
      <c r="B4" s="4" t="str">
        <v>ICRISAT</v>
      </c>
      <c r="D4" s="4" t="str" xml:space="preserve">
        <v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v>
      </c>
      <c r="E4" s="4" t="str">
        <v>Number of innovations (innovation development)</v>
      </c>
      <c r="F4" s="4" t="str">
        <v>Ethiopia, India</v>
      </c>
      <c r="G4" s="5">
        <v>120</v>
      </c>
      <c r="H4" s="5">
        <v>70000</v>
      </c>
      <c r="I4" s="4" t="str">
        <v>.</v>
      </c>
      <c r="J4" s="4">
        <v>4789</v>
      </c>
    </row>
    <row r="5" ht="50" customHeight="1" xml:space="preserve">
      <c r="B5" s="4" t="str">
        <v>ICRISAT</v>
      </c>
      <c r="D5" s="4" t="str" xml:space="preserve">
        <v xml:space="preserve">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v>
      </c>
      <c r="E5" s="4" t="str">
        <v>Number of innovations (innovation development)</v>
      </c>
      <c r="F5" s="4" t="str">
        <v>Kenya, India</v>
      </c>
      <c r="G5" s="5">
        <v>130</v>
      </c>
      <c r="H5" s="5">
        <v>60000</v>
      </c>
      <c r="I5" s="4" t="str">
        <v>.</v>
      </c>
      <c r="J5" s="4">
        <v>4790</v>
      </c>
    </row>
    <row r="6" ht="50" customHeight="1" xml:space="preserve">
      <c r="B6" s="4" t="str">
        <v>ICRISAT</v>
      </c>
      <c r="D6" s="4" t="str" xml:space="preserve">
        <v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v>
      </c>
      <c r="E6" s="4" t="str">
        <v>Number of innovations (innovation development)</v>
      </c>
      <c r="F6" s="4" t="str">
        <v>India, Kenya</v>
      </c>
      <c r="G6" s="5">
        <v>150</v>
      </c>
      <c r="H6" s="5">
        <v>70000</v>
      </c>
      <c r="I6" s="4" t="str">
        <v>.</v>
      </c>
      <c r="J6" s="4">
        <v>4791</v>
      </c>
    </row>
    <row r="7" ht="50" customHeight="1" xml:space="preserve">
      <c r="B7" s="4" t="str">
        <v>ICRISAT</v>
      </c>
      <c r="D7" s="4" t="str" xml:space="preserve">
        <v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v>
      </c>
      <c r="E7" s="4" t="str">
        <v>Number of innovations (innovation development)</v>
      </c>
      <c r="F7" s="4" t="str">
        <v>Zimbabwe, India, Mali</v>
      </c>
      <c r="G7" s="5">
        <v>30</v>
      </c>
      <c r="H7" s="5">
        <v>90000</v>
      </c>
      <c r="I7" s="4" t="str">
        <v>.</v>
      </c>
      <c r="J7" s="4">
        <v>4792</v>
      </c>
    </row>
    <row r="8" ht="50" customHeight="1" xml:space="preserve">
      <c r="B8" s="4" t="str">
        <v>ICRISAT</v>
      </c>
      <c r="D8" s="4" t="str" xml:space="preserve">
        <v xml:space="preserve">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v>
      </c>
      <c r="E8" s="4" t="str">
        <v>Number of innovations (innovation development)</v>
      </c>
      <c r="F8" s="4" t="str">
        <v>Mali, India, Kenya</v>
      </c>
      <c r="G8" s="5">
        <v>300</v>
      </c>
      <c r="H8" s="5">
        <v>90000</v>
      </c>
      <c r="I8" s="4" t="str">
        <v>.</v>
      </c>
      <c r="J8" s="4">
        <v>4794</v>
      </c>
    </row>
    <row r="9" ht="50" customHeight="1" xml:space="preserve">
      <c r="B9" s="4" t="str">
        <v>ICRISAT</v>
      </c>
      <c r="D9" s="4" t="str" xml:space="preserve">
        <v xml:space="preserve">New --.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introgressed lines identified and trait donors shared with NARES partners</v>
      </c>
      <c r="E9" s="4" t="str">
        <v>custom</v>
      </c>
      <c r="F9" s="4" t="str">
        <v>India, Kenya, Niger</v>
      </c>
      <c r="G9" s="5">
        <v>12</v>
      </c>
      <c r="H9" s="5">
        <v>90000</v>
      </c>
      <c r="I9" s="4" t="str">
        <v>.</v>
      </c>
      <c r="J9" s="4">
        <v>7385</v>
      </c>
    </row>
    <row r="10" ht="25" customHeight="1">
      <c r="C10" s="9" t="str">
        <v>HLO budget subtotal</v>
      </c>
      <c r="H10" s="9">
        <v>560000</v>
      </c>
      <c r="J10" s="9" t="str">
        <v/>
      </c>
    </row>
    <row r="11" ht="50" customHeight="1" xml:space="preserve">
      <c r="A11" s="8" t="str">
        <v>AOW03: Inclusive Delivery</v>
      </c>
      <c r="B11" s="4" t="str">
        <v>ICRISAT</v>
      </c>
      <c r="C11" s="4" t="str">
        <v>HLO11.AOW3.IO4 Position for demand</v>
      </c>
      <c r="D11" s="4" t="str" xml:space="preserve">
        <v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v>
      </c>
      <c r="E11" s="4" t="str">
        <v>custom</v>
      </c>
      <c r="F11" s="4" t="str">
        <v>Uganda, India, Malawi, Tanzania, United Republic, Bangladesh, Pakistan, Mali, Kenya, Zimbabwe, Nigeria</v>
      </c>
      <c r="G11" s="5">
        <v>10</v>
      </c>
      <c r="H11" s="5">
        <v>125000</v>
      </c>
      <c r="I11" s="4" t="str">
        <v>.</v>
      </c>
      <c r="J11" s="4">
        <v>4810</v>
      </c>
    </row>
    <row r="12" ht="50" customHeight="1" xml:space="preserve">
      <c r="B12" s="4" t="str">
        <v>ICRISAT</v>
      </c>
      <c r="D12" s="4" t="str" xml:space="preserve">
        <v xml:space="preserve">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v>
      </c>
      <c r="E12" s="4" t="str">
        <v>custom</v>
      </c>
      <c r="F12" s="4" t="str">
        <v>Nigeria, Mali</v>
      </c>
      <c r="G12" s="5">
        <v>8</v>
      </c>
      <c r="H12" s="5">
        <v>150000</v>
      </c>
      <c r="I12" s="4" t="str">
        <v>.</v>
      </c>
      <c r="J12" s="4">
        <v>7389</v>
      </c>
    </row>
    <row r="13" ht="50" customHeight="1" xml:space="preserve">
      <c r="B13" s="4" t="str">
        <v>ICRISAT</v>
      </c>
      <c r="D13" s="4" t="str" xml:space="preserve">
        <v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v>
      </c>
      <c r="E13" s="4" t="str">
        <v>custom</v>
      </c>
      <c r="F13" s="4" t="str">
        <v>Mali, Nigeria</v>
      </c>
      <c r="G13" s="5">
        <v>4</v>
      </c>
      <c r="H13" s="5">
        <v>100000</v>
      </c>
      <c r="I13" s="4" t="str">
        <v>.</v>
      </c>
      <c r="J13" s="4">
        <v>7390</v>
      </c>
    </row>
    <row r="14" ht="50" customHeight="1" xml:space="preserve">
      <c r="A14" s="4" t="str">
        <v>AOW03: Inclusive Delivery</v>
      </c>
      <c r="B14" s="4" t="str">
        <v>ICRISAT</v>
      </c>
      <c r="C14" s="4" t="str">
        <v>HLO13.AOW3.IO5 Power seed scaling</v>
      </c>
      <c r="D14" s="4" t="str" xml:space="preserve">
        <v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v>
      </c>
      <c r="E14" s="4" t="str">
        <v>custom</v>
      </c>
      <c r="F14" s="4" t="str">
        <v>India, Tanzania, United Republic, Kenya, Uganda, Mali, Nigeria, Malawi, Pakistan, Bangladesh</v>
      </c>
      <c r="G14" s="5">
        <v>11</v>
      </c>
      <c r="H14" s="5">
        <v>80000</v>
      </c>
      <c r="I14" s="4" t="str">
        <v>.</v>
      </c>
      <c r="J14" s="4">
        <v>4830</v>
      </c>
    </row>
    <row r="15" ht="50" customHeight="1" xml:space="preserve">
      <c r="A15" s="4" t="str">
        <v>AOW03: Inclusive Delivery</v>
      </c>
      <c r="B15" s="4" t="str">
        <v>ICRISAT</v>
      </c>
      <c r="C15" s="4" t="str">
        <v>HLO14.AOW3.IO5 TRACK adoption</v>
      </c>
      <c r="D15" s="4" t="str" xml:space="preserve">
        <v xml:space="preserve">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v>
      </c>
      <c r="E15" s="4" t="str">
        <v>custom</v>
      </c>
      <c r="F15" s="4" t="str">
        <v>Tanzania, United Republic, Mali, Uganda, Malawi, Zimbabwe, Bangladesh, Pakistan, Nigeria, India, Kenya</v>
      </c>
      <c r="G15" s="5">
        <v>1</v>
      </c>
      <c r="H15" s="5">
        <v>50000</v>
      </c>
      <c r="I15" s="4" t="str">
        <v>.</v>
      </c>
      <c r="J15" s="4">
        <v>4877</v>
      </c>
    </row>
    <row r="16" ht="50" customHeight="1" xml:space="preserve">
      <c r="B16" s="4" t="str">
        <v>ICRISAT</v>
      </c>
      <c r="D16" s="4" t="str" xml:space="preserve">
        <v xml:space="preserve">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v>
      </c>
      <c r="E16" s="4" t="str">
        <v>Number of knowledge products</v>
      </c>
      <c r="F16" s="4" t="str">
        <v>Bangladesh, Zimbabwe, Tanzania, United Republic, Pakistan, India, Kenya, Mali, Uganda, Nigeria, Malawi</v>
      </c>
      <c r="G16" s="5">
        <v>1</v>
      </c>
      <c r="H16" s="5">
        <v>25000</v>
      </c>
      <c r="I16" s="4" t="str">
        <v>.</v>
      </c>
      <c r="J16" s="4">
        <v>7337</v>
      </c>
    </row>
    <row r="17" ht="25" customHeight="1">
      <c r="C17" s="9" t="str">
        <v>HLO budget subtotal</v>
      </c>
      <c r="H17" s="9">
        <v>530000</v>
      </c>
      <c r="J17" s="9" t="str">
        <v/>
      </c>
    </row>
    <row r="18" ht="50" customHeight="1">
      <c r="A18" s="8" t="str">
        <v>AOW04: Breeding Resources</v>
      </c>
      <c r="B18" s="4" t="str">
        <v>ICRISAT</v>
      </c>
      <c r="C18" s="4" t="str">
        <v>HLO17.AOW4.IO3 FAIR principles</v>
      </c>
      <c r="D18" s="4" t="str">
        <v>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v>
      </c>
      <c r="E18" s="4" t="str">
        <v>custom</v>
      </c>
      <c r="F18" s="4" t="str">
        <v>Kenya, Mali, India</v>
      </c>
      <c r="G18" s="5">
        <v>7</v>
      </c>
      <c r="H18" s="5">
        <v>30000</v>
      </c>
      <c r="I18" s="4" t="str">
        <v>.</v>
      </c>
      <c r="J18" s="4">
        <v>4720</v>
      </c>
    </row>
    <row r="19" ht="50" customHeight="1" xml:space="preserve">
      <c r="A19" s="4" t="str">
        <v>AOW04: Breeding Resources</v>
      </c>
      <c r="B19" s="4" t="str">
        <v>ICRISAT</v>
      </c>
      <c r="C19" s="4" t="str">
        <v>HLO15.AOW4.IO2 Hub &amp; spoke scaling</v>
      </c>
      <c r="D19" s="4" t="str" xml:space="preserve">
        <v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v>
      </c>
      <c r="E19" s="4" t="str">
        <v>custom</v>
      </c>
      <c r="F19" s="4" t="str">
        <v>India</v>
      </c>
      <c r="G19" s="5">
        <v>4</v>
      </c>
      <c r="H19" s="5">
        <v>20000</v>
      </c>
      <c r="I19" s="4" t="str">
        <v>.</v>
      </c>
      <c r="J19" s="4">
        <v>4839</v>
      </c>
    </row>
    <row r="20" ht="50" customHeight="1">
      <c r="B20" s="4" t="str">
        <v>ICRISAT</v>
      </c>
      <c r="D20" s="4" t="str">
        <v>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v>
      </c>
      <c r="E20" s="4" t="str">
        <v>Number of people trained (capacity sharing for development)</v>
      </c>
      <c r="F20" s="4" t="str">
        <v>Kenya, India</v>
      </c>
      <c r="G20" s="5">
        <v>30</v>
      </c>
      <c r="H20" s="5">
        <v>50000</v>
      </c>
      <c r="I20" s="4" t="str">
        <v>.</v>
      </c>
      <c r="J20" s="4">
        <v>4840</v>
      </c>
    </row>
    <row r="21" ht="50" customHeight="1">
      <c r="A21" s="4" t="str">
        <v>AOW04: Breeding Resources</v>
      </c>
      <c r="B21" s="4" t="str">
        <v>ICRISAT</v>
      </c>
      <c r="C21" s="4" t="str">
        <v>HLO16.AOW4.IO3 Shared services</v>
      </c>
      <c r="D21" s="4" t="str">
        <v>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v>
      </c>
      <c r="E21" s="4" t="str">
        <v>Number of innovations (innovation development)</v>
      </c>
      <c r="F21" s="4" t="str">
        <v>Kenya, India</v>
      </c>
      <c r="G21" s="5">
        <v>2</v>
      </c>
      <c r="H21" s="5">
        <v>50000</v>
      </c>
      <c r="I21" s="4" t="str">
        <v>.</v>
      </c>
      <c r="J21" s="4">
        <v>4868</v>
      </c>
    </row>
    <row r="22" ht="25" customHeight="1">
      <c r="C22" s="9" t="str">
        <v>HLO budget subtotal</v>
      </c>
      <c r="H22" s="9">
        <v>150000</v>
      </c>
      <c r="J22" s="9" t="str">
        <v/>
      </c>
    </row>
    <row r="23" ht="50" customHeight="1" xml:space="preserve">
      <c r="A23" s="8" t="str">
        <v>AOW05: Enable</v>
      </c>
      <c r="B23" s="4" t="str">
        <v>ICRISAT</v>
      </c>
      <c r="C23" s="4" t="str">
        <v>HLO20.AOW5.IO3 Assess performance</v>
      </c>
      <c r="D23" s="4" t="str" xml:space="preserve">
        <v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v>
      </c>
      <c r="E23" s="4" t="str">
        <v>custom</v>
      </c>
      <c r="F23" s="4" t="str">
        <v>India</v>
      </c>
      <c r="G23" s="5">
        <v>1</v>
      </c>
      <c r="H23" s="5">
        <v>20000</v>
      </c>
      <c r="I23" s="4" t="str">
        <v>.</v>
      </c>
      <c r="J23" s="4">
        <v>4715</v>
      </c>
    </row>
    <row r="24" ht="50" customHeight="1">
      <c r="B24" s="4" t="str">
        <v>ICRISAT</v>
      </c>
      <c r="D24" s="4" t="str">
        <v>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v>
      </c>
      <c r="E24" s="4" t="str">
        <v>custom</v>
      </c>
      <c r="F24" s="4" t="str">
        <v>India</v>
      </c>
      <c r="G24" s="5">
        <v>1</v>
      </c>
      <c r="H24" s="5">
        <v>19540</v>
      </c>
      <c r="I24" s="4" t="str">
        <v>.</v>
      </c>
      <c r="J24" s="4">
        <v>4717</v>
      </c>
    </row>
    <row r="25" ht="50" customHeight="1">
      <c r="A25" s="4" t="str">
        <v>AOW05: Enable</v>
      </c>
      <c r="B25" s="4" t="str">
        <v>ICRISAT</v>
      </c>
      <c r="C25" s="4" t="str">
        <v>HLO18.AOW5.IO2 Partnered networks</v>
      </c>
      <c r="D25" s="4" t="str">
        <v>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v>
      </c>
      <c r="E25" s="4" t="str">
        <v>custom</v>
      </c>
      <c r="F25" s="4" t="str">
        <v>Nigeria, Ethiopia, Niger, Burkina Faso, Mali</v>
      </c>
      <c r="G25" s="5">
        <v>4</v>
      </c>
      <c r="H25" s="5">
        <v>30000</v>
      </c>
      <c r="I25" s="4" t="str">
        <v>.</v>
      </c>
      <c r="J25" s="4">
        <v>4739</v>
      </c>
    </row>
    <row r="26" ht="50" customHeight="1" xml:space="preserve">
      <c r="B26" s="4" t="str">
        <v>ICRISAT</v>
      </c>
      <c r="D26" s="4" t="str" xml:space="preserve">
        <v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v>
      </c>
      <c r="E26" s="4" t="str">
        <v>custom</v>
      </c>
      <c r="F26" s="4" t="str">
        <v>Myanmar, The Socialist Republic of Viet Nam, Lao People's Democratic Republic, Bangladesh, India</v>
      </c>
      <c r="G26" s="5">
        <v>2</v>
      </c>
      <c r="H26" s="5">
        <v>25000</v>
      </c>
      <c r="I26" s="4" t="str">
        <v>.</v>
      </c>
      <c r="J26" s="4">
        <v>4740</v>
      </c>
    </row>
    <row r="27" ht="50" customHeight="1">
      <c r="B27" s="4" t="str">
        <v>ICRISAT</v>
      </c>
      <c r="D27" s="4" t="str">
        <v>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v>
      </c>
      <c r="E27" s="4" t="str">
        <v>custom</v>
      </c>
      <c r="F27" s="4" t="str">
        <v>Myanmar, Lao People's Democratic Republic, The Socialist Republic of Viet Nam, India, Bangladesh</v>
      </c>
      <c r="G27" s="5">
        <v>6</v>
      </c>
      <c r="H27" s="5">
        <v>50000</v>
      </c>
      <c r="I27" s="4" t="str">
        <v>.</v>
      </c>
      <c r="J27" s="4">
        <v>4742</v>
      </c>
    </row>
    <row r="28" ht="50" customHeight="1" xml:space="preserve">
      <c r="B28" s="4" t="str">
        <v>ICRISAT</v>
      </c>
      <c r="D28" s="4" t="str" xml:space="preserve">
        <v xml:space="preserve">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v>
      </c>
      <c r="E28" s="4" t="str">
        <v>custom</v>
      </c>
      <c r="F28" s="4" t="str">
        <v>Myanmar, Bangladesh, Lao People's Democratic Republic, India, The Socialist Republic of Viet Nam</v>
      </c>
      <c r="G28" s="5">
        <v>6</v>
      </c>
      <c r="H28" s="5">
        <v>100000</v>
      </c>
      <c r="I28" s="4" t="str">
        <v>.</v>
      </c>
      <c r="J28" s="4">
        <v>7387</v>
      </c>
    </row>
    <row r="29" ht="25" customHeight="1">
      <c r="C29" s="9" t="str">
        <v>HLO budget subtotal</v>
      </c>
      <c r="H29" s="9">
        <v>244540</v>
      </c>
      <c r="J29" s="9" t="str">
        <v/>
      </c>
    </row>
  </sheetData>
  <mergeCells count="20">
    <mergeCell ref="A1:A2"/>
    <mergeCell ref="B1:B2"/>
    <mergeCell ref="C1:C2"/>
    <mergeCell ref="D1:H1"/>
    <mergeCell ref="I1:I2"/>
    <mergeCell ref="J1:J2"/>
    <mergeCell ref="C3:C9"/>
    <mergeCell ref="C10:G10"/>
    <mergeCell ref="A3:A10"/>
    <mergeCell ref="C11:C13"/>
    <mergeCell ref="C15:C16"/>
    <mergeCell ref="C17:G17"/>
    <mergeCell ref="A11:A17"/>
    <mergeCell ref="C19:C20"/>
    <mergeCell ref="C22:G22"/>
    <mergeCell ref="A18:A22"/>
    <mergeCell ref="C23:C24"/>
    <mergeCell ref="C25:C28"/>
    <mergeCell ref="C29:G29"/>
    <mergeCell ref="A23:A29"/>
  </mergeCells>
  <ignoredErrors>
    <ignoredError numberStoredAsText="1" sqref="A1:J2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Indian Council of Agricultural Research</v>
      </c>
      <c r="C2" s="4" t="str">
        <v>ICRISAT</v>
      </c>
      <c r="D2" s="4" t="str">
        <v>Kenya, India</v>
      </c>
      <c r="E2" s="5">
        <v>20000</v>
      </c>
      <c r="F2" s="4" t="str">
        <v>.</v>
      </c>
      <c r="G2" s="4">
        <v>416</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Bihar Centre Of Excellence For Millets Value Chain (BCoEMVC)</v>
      </c>
      <c r="C2" s="4" t="str">
        <v>I-OC 1.2. Breeding network actors adopt transformative partnership approaches driving equity and sustainability for analyzing markets and opportunities, product development, product delivery and scaling</v>
      </c>
      <c r="D2" s="5">
        <v>0</v>
      </c>
      <c r="E2" s="4" t="str">
        <v/>
      </c>
      <c r="F2" s="4">
        <v>938</v>
      </c>
    </row>
    <row r="3" ht="60" customHeight="1">
      <c r="A3" s="4" t="str">
        <v>ICRISAT</v>
      </c>
      <c r="B3" s="4" t="str">
        <v>Developing and introducing high-yielding climate-resilient pigeon pea cultivars for intensification and diversification of cropping systems and to satisfy the nutritional requirement of small holder farmers of Odisha</v>
      </c>
      <c r="C3" s="4" t="str">
        <v>I-OC 3.5. Women, men, youth, and marginalized social groups accessing quality seed of improved varieties</v>
      </c>
      <c r="D3" s="5">
        <v>0</v>
      </c>
      <c r="E3" s="4" t="str">
        <v/>
      </c>
      <c r="F3" s="4">
        <v>889</v>
      </c>
    </row>
    <row r="4" ht="60" customHeight="1">
      <c r="A4" s="4" t="str">
        <v>ICRISAT</v>
      </c>
      <c r="B4" s="4" t="str">
        <v>Enhancing groundnut productivity through increased quality seed access in Odisha</v>
      </c>
      <c r="C4" s="4" t="str">
        <v>I-OC 3.5. Women, men, youth, and marginalized social groups accessing quality seed of improved varieties</v>
      </c>
      <c r="D4" s="5">
        <v>0</v>
      </c>
      <c r="E4" s="4" t="str">
        <v/>
      </c>
      <c r="F4" s="4">
        <v>878</v>
      </c>
    </row>
    <row r="5" ht="60" customHeight="1">
      <c r="A5" s="4" t="str">
        <v>ICRISAT</v>
      </c>
      <c r="B5" s="4" t="str">
        <v>Increasing Pulses Productivity and Incomes through Science-led Interventions in rice fallows of Odisha</v>
      </c>
      <c r="C5" s="4" t="str">
        <v>I-OC 1.2. Breeding network actors adopt transformative partnership approaches driving equity and sustainability for analyzing markets and opportunities, product development, product delivery and scaling</v>
      </c>
      <c r="D5" s="5">
        <v>0</v>
      </c>
      <c r="E5" s="4" t="str">
        <v/>
      </c>
      <c r="F5" s="4">
        <v>942</v>
      </c>
    </row>
    <row r="6" ht="60" customHeight="1" xml:space="preserve">
      <c r="A6" s="4" t="str">
        <v>ICRISAT</v>
      </c>
      <c r="B6" s="4" t="str">
        <v>MILLETS in upland regions of Odisha for crop diversification, climate resilience and enhanced Food and Nutritional Security</v>
      </c>
      <c r="C6"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6" s="5">
        <v>0</v>
      </c>
      <c r="E6" s="4" t="str">
        <v/>
      </c>
      <c r="F6" s="4">
        <v>919</v>
      </c>
    </row>
    <row r="7" ht="25" customHeight="1">
      <c r="B7" s="9" t="str">
        <v>W3/Bilateral budget subtotal</v>
      </c>
      <c r="D7" s="9">
        <v>0</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ICRISAT</v>
      </c>
      <c r="C2" s="4" t="str">
        <v>ICRISAT (generate information on adoption) — Availability of MELIA reports on AoWs (performance data).</v>
      </c>
      <c r="D2" s="4" t="str">
        <v>I-OC 3.5. Women, men, youth, and marginalized social groups accessing quality seed of improved varieties</v>
      </c>
      <c r="E2" s="4" t="str">
        <v>N/A</v>
      </c>
      <c r="F2" s="5">
        <v>0</v>
      </c>
      <c r="G2" s="4" t="str">
        <v/>
      </c>
      <c r="H2" s="4">
        <v>289</v>
      </c>
    </row>
    <row r="3" ht="25" customHeight="1">
      <c r="C3" s="9" t="str">
        <v>MELIA budget subtotal</v>
      </c>
      <c r="F3" s="9">
        <v>0</v>
      </c>
      <c r="G3" s="9" t="str">
        <v/>
      </c>
      <c r="H3" s="9" t="str">
        <v/>
      </c>
    </row>
    <row r="4" ht="60" customHeight="1">
      <c r="A4" s="8" t="str">
        <v>AOW03: Inclusive Delivery</v>
      </c>
      <c r="B4" s="4" t="str">
        <v>ICRISAT</v>
      </c>
      <c r="C4" s="4" t="str">
        <v>ICRISAT (generate information on adoption) — Availability of MELIA reports on AoWs (performance data).</v>
      </c>
      <c r="D4" s="4" t="str">
        <v>I-OC 3.5. Women, men, youth, and marginalized social groups accessing quality seed of improved varieties</v>
      </c>
      <c r="E4" s="4" t="str">
        <v>N/A</v>
      </c>
      <c r="F4" s="5">
        <v>0</v>
      </c>
      <c r="G4" s="4" t="str">
        <v/>
      </c>
      <c r="H4" s="4">
        <v>528</v>
      </c>
    </row>
    <row r="5" ht="25" customHeight="1">
      <c r="C5" s="9" t="str">
        <v>MELIA budget subtotal</v>
      </c>
      <c r="F5" s="9">
        <v>0</v>
      </c>
      <c r="G5" s="9" t="str">
        <v/>
      </c>
      <c r="H5" s="9" t="str">
        <v/>
      </c>
    </row>
    <row r="6" ht="60" customHeight="1">
      <c r="A6" s="8" t="str">
        <v>AOW05: Enable</v>
      </c>
      <c r="B6" s="4" t="str">
        <v>ICRISAT</v>
      </c>
      <c r="C6" s="4" t="str">
        <v>ICRISAT (generate information on adoption) — Availability of MELIA reports on AoWs (performance data).</v>
      </c>
      <c r="D6" s="4" t="str">
        <v>I-OC 3.5. Women, men, youth, and marginalized social groups accessing quality seed of improved varieties</v>
      </c>
      <c r="E6" s="4" t="str">
        <v>N/A</v>
      </c>
      <c r="F6" s="5">
        <v>0</v>
      </c>
      <c r="G6" s="4" t="str">
        <v/>
      </c>
      <c r="H6" s="4">
        <v>288</v>
      </c>
    </row>
    <row r="7" ht="25" customHeight="1">
      <c r="C7" s="9" t="str">
        <v>MELIA budget subtotal</v>
      </c>
      <c r="F7" s="9">
        <v>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ICRISAT</v>
      </c>
      <c r="C2" s="4" t="str">
        <v>Operations</v>
      </c>
      <c r="D2" s="5">
        <v>0</v>
      </c>
      <c r="E2" s="4" t="str">
        <v/>
      </c>
      <c r="F2" s="4">
        <v>52</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Operations (supplies, consultants, travels, workshops, other)</v>
      </c>
      <c r="B2" s="5">
        <v>0</v>
      </c>
      <c r="C2" s="5">
        <v>0</v>
      </c>
      <c r="D2" s="5">
        <v>540000</v>
      </c>
      <c r="E2" s="5">
        <v>530000</v>
      </c>
      <c r="F2" s="5">
        <v>150000</v>
      </c>
      <c r="G2" s="5">
        <v>244540</v>
      </c>
      <c r="H2" s="5">
        <f>=SUM(B2:G2)</f>
        <v>0</v>
      </c>
    </row>
    <row r="3" ht="20" customHeight="1">
      <c r="A3" s="4" t="str">
        <v>Collaborators non-CGIAR centers</v>
      </c>
      <c r="B3" s="5">
        <v>0</v>
      </c>
      <c r="C3" s="5">
        <v>0</v>
      </c>
      <c r="D3" s="5">
        <v>20000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ICRISAT</v>
      </c>
      <c r="C2" s="4" t="str">
        <v>India</v>
      </c>
      <c r="D2" s="5">
        <v>100</v>
      </c>
      <c r="E2" s="4">
        <v>3378</v>
      </c>
    </row>
    <row r="3" ht="45" customHeight="1">
      <c r="A3" s="8" t="str">
        <v>AOW02: Accelerated Breeding</v>
      </c>
      <c r="B3" s="4" t="str">
        <v>ICRISAT</v>
      </c>
      <c r="C3" s="4" t="str">
        <v>Ethiopia</v>
      </c>
      <c r="D3" s="5">
        <v>14.3</v>
      </c>
      <c r="E3" s="4">
        <v>2547</v>
      </c>
    </row>
    <row r="4" ht="45" customHeight="1">
      <c r="A4" s="4" t="str">
        <v>AOW02: Accelerated Breeding</v>
      </c>
      <c r="B4" s="4" t="str">
        <v>ICRISAT</v>
      </c>
      <c r="C4" s="4" t="str">
        <v>India</v>
      </c>
      <c r="D4" s="5">
        <v>14.3</v>
      </c>
      <c r="E4" s="4">
        <v>3296</v>
      </c>
    </row>
    <row r="5" ht="45" customHeight="1">
      <c r="A5" s="4" t="str">
        <v>AOW02: Accelerated Breeding</v>
      </c>
      <c r="B5" s="4" t="str">
        <v>ICRISAT</v>
      </c>
      <c r="C5" s="4" t="str">
        <v>Kenya</v>
      </c>
      <c r="D5" s="5">
        <v>14.3</v>
      </c>
      <c r="E5" s="4">
        <v>3297</v>
      </c>
    </row>
    <row r="6" ht="45" customHeight="1">
      <c r="A6" s="4" t="str">
        <v>AOW02: Accelerated Breeding</v>
      </c>
      <c r="B6" s="4" t="str">
        <v>ICRISAT</v>
      </c>
      <c r="C6" s="4" t="str">
        <v>Malawi</v>
      </c>
      <c r="D6" s="5">
        <v>14.3</v>
      </c>
      <c r="E6" s="4">
        <v>3298</v>
      </c>
    </row>
    <row r="7" ht="45" customHeight="1">
      <c r="A7" s="4" t="str">
        <v>AOW02: Accelerated Breeding</v>
      </c>
      <c r="B7" s="4" t="str">
        <v>ICRISAT</v>
      </c>
      <c r="C7" s="4" t="str">
        <v>Mali</v>
      </c>
      <c r="D7" s="5">
        <v>14.3</v>
      </c>
      <c r="E7" s="4">
        <v>3299</v>
      </c>
    </row>
    <row r="8" ht="45" customHeight="1">
      <c r="A8" s="4" t="str">
        <v>AOW02: Accelerated Breeding</v>
      </c>
      <c r="B8" s="4" t="str">
        <v>ICRISAT</v>
      </c>
      <c r="C8" s="4" t="str">
        <v>Niger</v>
      </c>
      <c r="D8" s="5">
        <v>14.3</v>
      </c>
      <c r="E8" s="4">
        <v>3300</v>
      </c>
    </row>
    <row r="9" ht="45" customHeight="1">
      <c r="A9" s="4" t="str">
        <v>AOW02: Accelerated Breeding</v>
      </c>
      <c r="B9" s="4" t="str">
        <v>ICRISAT</v>
      </c>
      <c r="C9" s="4" t="str">
        <v>Zimbabwe</v>
      </c>
      <c r="D9" s="5">
        <v>14.2</v>
      </c>
      <c r="E9" s="4">
        <v>3301</v>
      </c>
    </row>
    <row r="10" ht="45" customHeight="1">
      <c r="A10" s="8" t="str">
        <v>AOW03: Inclusive Delivery</v>
      </c>
      <c r="B10" s="4" t="str">
        <v>ICRISAT</v>
      </c>
      <c r="C10" s="4" t="str">
        <v>Bangladesh</v>
      </c>
      <c r="D10" s="5">
        <v>10</v>
      </c>
      <c r="E10" s="4">
        <v>3302</v>
      </c>
    </row>
    <row r="11" ht="45" customHeight="1">
      <c r="A11" s="4" t="str">
        <v>AOW03: Inclusive Delivery</v>
      </c>
      <c r="B11" s="4" t="str">
        <v>ICRISAT</v>
      </c>
      <c r="C11" s="4" t="str">
        <v>India</v>
      </c>
      <c r="D11" s="5">
        <v>10</v>
      </c>
      <c r="E11" s="4">
        <v>3303</v>
      </c>
    </row>
    <row r="12" ht="45" customHeight="1">
      <c r="A12" s="4" t="str">
        <v>AOW03: Inclusive Delivery</v>
      </c>
      <c r="B12" s="4" t="str">
        <v>ICRISAT</v>
      </c>
      <c r="C12" s="4" t="str">
        <v>Kenya</v>
      </c>
      <c r="D12" s="5">
        <v>10</v>
      </c>
      <c r="E12" s="4">
        <v>3304</v>
      </c>
    </row>
    <row r="13" ht="45" customHeight="1">
      <c r="A13" s="4" t="str">
        <v>AOW03: Inclusive Delivery</v>
      </c>
      <c r="B13" s="4" t="str">
        <v>ICRISAT</v>
      </c>
      <c r="C13" s="4" t="str">
        <v>Malawi</v>
      </c>
      <c r="D13" s="5">
        <v>10</v>
      </c>
      <c r="E13" s="4">
        <v>3305</v>
      </c>
    </row>
    <row r="14" ht="45" customHeight="1">
      <c r="A14" s="4" t="str">
        <v>AOW03: Inclusive Delivery</v>
      </c>
      <c r="B14" s="4" t="str">
        <v>ICRISAT</v>
      </c>
      <c r="C14" s="4" t="str">
        <v>Mali</v>
      </c>
      <c r="D14" s="5">
        <v>10</v>
      </c>
      <c r="E14" s="4">
        <v>3306</v>
      </c>
    </row>
    <row r="15" ht="45" customHeight="1">
      <c r="A15" s="4" t="str">
        <v>AOW03: Inclusive Delivery</v>
      </c>
      <c r="B15" s="4" t="str">
        <v>ICRISAT</v>
      </c>
      <c r="C15" s="4" t="str">
        <v>Nigeria</v>
      </c>
      <c r="D15" s="5">
        <v>10</v>
      </c>
      <c r="E15" s="4">
        <v>3307</v>
      </c>
    </row>
    <row r="16" ht="45" customHeight="1">
      <c r="A16" s="4" t="str">
        <v>AOW03: Inclusive Delivery</v>
      </c>
      <c r="B16" s="4" t="str">
        <v>ICRISAT</v>
      </c>
      <c r="C16" s="4" t="str">
        <v>Pakistan</v>
      </c>
      <c r="D16" s="5">
        <v>10</v>
      </c>
      <c r="E16" s="4">
        <v>3308</v>
      </c>
    </row>
    <row r="17" ht="45" customHeight="1">
      <c r="A17" s="4" t="str">
        <v>AOW03: Inclusive Delivery</v>
      </c>
      <c r="B17" s="4" t="str">
        <v>ICRISAT</v>
      </c>
      <c r="C17" s="4" t="str">
        <v>Tanzania</v>
      </c>
      <c r="D17" s="5">
        <v>10</v>
      </c>
      <c r="E17" s="4">
        <v>3309</v>
      </c>
    </row>
    <row r="18" ht="45" customHeight="1">
      <c r="A18" s="4" t="str">
        <v>AOW03: Inclusive Delivery</v>
      </c>
      <c r="B18" s="4" t="str">
        <v>ICRISAT</v>
      </c>
      <c r="C18" s="4" t="str">
        <v>Uganda</v>
      </c>
      <c r="D18" s="5">
        <v>10</v>
      </c>
      <c r="E18" s="4">
        <v>3310</v>
      </c>
    </row>
    <row r="19" ht="45" customHeight="1">
      <c r="A19" s="4" t="str">
        <v>AOW03: Inclusive Delivery</v>
      </c>
      <c r="B19" s="4" t="str">
        <v>ICRISAT</v>
      </c>
      <c r="C19" s="4" t="str">
        <v>Zimbabwe</v>
      </c>
      <c r="D19" s="5">
        <v>10</v>
      </c>
      <c r="E19" s="4">
        <v>3311</v>
      </c>
    </row>
    <row r="20" ht="45" customHeight="1">
      <c r="A20" s="8" t="str">
        <v>AOW04: Breeding Resources</v>
      </c>
      <c r="B20" s="4" t="str">
        <v>ICRISAT</v>
      </c>
      <c r="C20" s="4" t="str">
        <v>India</v>
      </c>
      <c r="D20" s="5">
        <v>33.33</v>
      </c>
      <c r="E20" s="4">
        <v>3312</v>
      </c>
    </row>
    <row r="21" ht="45" customHeight="1">
      <c r="A21" s="4" t="str">
        <v>AOW04: Breeding Resources</v>
      </c>
      <c r="B21" s="4" t="str">
        <v>ICRISAT</v>
      </c>
      <c r="C21" s="4" t="str">
        <v>Kenya</v>
      </c>
      <c r="D21" s="5">
        <v>33.33</v>
      </c>
      <c r="E21" s="4">
        <v>3313</v>
      </c>
    </row>
    <row r="22" ht="45" customHeight="1">
      <c r="A22" s="4" t="str">
        <v>AOW04: Breeding Resources</v>
      </c>
      <c r="B22" s="4" t="str">
        <v>ICRISAT</v>
      </c>
      <c r="C22" s="4" t="str">
        <v>Mali</v>
      </c>
      <c r="D22" s="5">
        <v>33.34</v>
      </c>
      <c r="E22" s="4">
        <v>3314</v>
      </c>
    </row>
    <row r="23" ht="45" customHeight="1">
      <c r="A23" s="8" t="str">
        <v>AOW05: Enable</v>
      </c>
      <c r="B23" s="4" t="str">
        <v>ICRISAT</v>
      </c>
      <c r="C23" s="4" t="str">
        <v>Bangladesh</v>
      </c>
      <c r="D23" s="5">
        <v>10</v>
      </c>
      <c r="E23" s="4">
        <v>3315</v>
      </c>
    </row>
    <row r="24" ht="45" customHeight="1">
      <c r="A24" s="4" t="str">
        <v>AOW05: Enable</v>
      </c>
      <c r="B24" s="4" t="str">
        <v>ICRISAT</v>
      </c>
      <c r="C24" s="4" t="str">
        <v>Burkina Faso</v>
      </c>
      <c r="D24" s="5">
        <v>10</v>
      </c>
      <c r="E24" s="4">
        <v>3316</v>
      </c>
    </row>
    <row r="25" ht="45" customHeight="1">
      <c r="A25" s="4" t="str">
        <v>AOW05: Enable</v>
      </c>
      <c r="B25" s="4" t="str">
        <v>ICRISAT</v>
      </c>
      <c r="C25" s="4" t="str">
        <v>Ethiopia</v>
      </c>
      <c r="D25" s="5">
        <v>10</v>
      </c>
      <c r="E25" s="4">
        <v>3317</v>
      </c>
    </row>
    <row r="26" ht="45" customHeight="1">
      <c r="A26" s="4" t="str">
        <v>AOW05: Enable</v>
      </c>
      <c r="B26" s="4" t="str">
        <v>ICRISAT</v>
      </c>
      <c r="C26" s="4" t="str">
        <v>India</v>
      </c>
      <c r="D26" s="5">
        <v>10</v>
      </c>
      <c r="E26" s="4">
        <v>3318</v>
      </c>
    </row>
    <row r="27" ht="45" customHeight="1">
      <c r="A27" s="4" t="str">
        <v>AOW05: Enable</v>
      </c>
      <c r="B27" s="4" t="str">
        <v>ICRISAT</v>
      </c>
      <c r="C27" s="4" t="str">
        <v>Lao People's Democratic Republic</v>
      </c>
      <c r="D27" s="5">
        <v>10</v>
      </c>
      <c r="E27" s="4">
        <v>3319</v>
      </c>
    </row>
    <row r="28" ht="45" customHeight="1">
      <c r="A28" s="4" t="str">
        <v>AOW05: Enable</v>
      </c>
      <c r="B28" s="4" t="str">
        <v>ICRISAT</v>
      </c>
      <c r="C28" s="4" t="str">
        <v>Mali</v>
      </c>
      <c r="D28" s="5">
        <v>10</v>
      </c>
      <c r="E28" s="4">
        <v>3320</v>
      </c>
    </row>
    <row r="29" ht="45" customHeight="1">
      <c r="A29" s="4" t="str">
        <v>AOW05: Enable</v>
      </c>
      <c r="B29" s="4" t="str">
        <v>ICRISAT</v>
      </c>
      <c r="C29" s="4" t="str">
        <v>Myanmar</v>
      </c>
      <c r="D29" s="5">
        <v>10</v>
      </c>
      <c r="E29" s="4">
        <v>3321</v>
      </c>
    </row>
    <row r="30" ht="45" customHeight="1">
      <c r="A30" s="4" t="str">
        <v>AOW05: Enable</v>
      </c>
      <c r="B30" s="4" t="str">
        <v>ICRISAT</v>
      </c>
      <c r="C30" s="4" t="str">
        <v>Niger</v>
      </c>
      <c r="D30" s="5">
        <v>10</v>
      </c>
      <c r="E30" s="4">
        <v>3322</v>
      </c>
    </row>
    <row r="31" ht="45" customHeight="1">
      <c r="A31" s="4" t="str">
        <v>AOW05: Enable</v>
      </c>
      <c r="B31" s="4" t="str">
        <v>ICRISAT</v>
      </c>
      <c r="C31" s="4" t="str">
        <v>Nigeria</v>
      </c>
      <c r="D31" s="5">
        <v>10</v>
      </c>
      <c r="E31" s="4">
        <v>3323</v>
      </c>
    </row>
    <row r="32" ht="45" customHeight="1">
      <c r="A32" s="4" t="str">
        <v>AOW05: Enable</v>
      </c>
      <c r="B32" s="4" t="str">
        <v>ICRISAT</v>
      </c>
      <c r="C32" s="4" t="str">
        <v>The Socialist Republic of Viet Nam</v>
      </c>
      <c r="D32" s="5">
        <v>10</v>
      </c>
      <c r="E32" s="4">
        <v>3324</v>
      </c>
    </row>
  </sheetData>
  <mergeCells count="5">
    <mergeCell ref="A2"/>
    <mergeCell ref="A3:A9"/>
    <mergeCell ref="A10:A19"/>
    <mergeCell ref="A20:A22"/>
    <mergeCell ref="A23:A32"/>
  </mergeCells>
  <ignoredErrors>
    <ignoredError numberStoredAsText="1" sqref="A1:E32"/>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ICRISAT</v>
      </c>
      <c r="C2" s="4" t="str">
        <v>Global</v>
      </c>
      <c r="D2" s="4" t="str">
        <v>global</v>
      </c>
      <c r="E2" s="5">
        <v>100</v>
      </c>
      <c r="F2" s="4">
        <v>1688</v>
      </c>
    </row>
    <row r="3" ht="45" customHeight="1">
      <c r="A3" s="8" t="str">
        <v>AOW02: Accelerated Breeding</v>
      </c>
      <c r="B3" s="4" t="str">
        <v>ICRISAT</v>
      </c>
      <c r="C3" s="4" t="str">
        <v>Eastern Africa</v>
      </c>
      <c r="D3" s="4" t="str">
        <v>region</v>
      </c>
      <c r="E3" s="5">
        <v>25</v>
      </c>
      <c r="F3" s="4">
        <v>1534</v>
      </c>
    </row>
    <row r="4" ht="45" customHeight="1">
      <c r="A4" s="4" t="str">
        <v>AOW02: Accelerated Breeding</v>
      </c>
      <c r="B4" s="4" t="str">
        <v>ICRISAT</v>
      </c>
      <c r="C4" s="4" t="str">
        <v>Southern Africa</v>
      </c>
      <c r="D4" s="4" t="str">
        <v>region</v>
      </c>
      <c r="E4" s="5">
        <v>25</v>
      </c>
      <c r="F4" s="4">
        <v>1535</v>
      </c>
    </row>
    <row r="5" ht="45" customHeight="1">
      <c r="A5" s="4" t="str">
        <v>AOW02: Accelerated Breeding</v>
      </c>
      <c r="B5" s="4" t="str">
        <v>ICRISAT</v>
      </c>
      <c r="C5" s="4" t="str">
        <v>Southern Asia</v>
      </c>
      <c r="D5" s="4" t="str">
        <v>region</v>
      </c>
      <c r="E5" s="5">
        <v>25</v>
      </c>
      <c r="F5" s="4">
        <v>1533</v>
      </c>
    </row>
    <row r="6" ht="45" customHeight="1">
      <c r="A6" s="4" t="str">
        <v>AOW02: Accelerated Breeding</v>
      </c>
      <c r="B6" s="4" t="str">
        <v>ICRISAT</v>
      </c>
      <c r="C6" s="4" t="str">
        <v>Western Africa</v>
      </c>
      <c r="D6" s="4" t="str">
        <v>region</v>
      </c>
      <c r="E6" s="5">
        <v>25</v>
      </c>
      <c r="F6" s="4">
        <v>1532</v>
      </c>
    </row>
    <row r="7" ht="45" customHeight="1">
      <c r="A7" s="8" t="str">
        <v>AOW03: Inclusive Delivery</v>
      </c>
      <c r="B7" s="4" t="str">
        <v>ICRISAT</v>
      </c>
      <c r="C7" s="4" t="str">
        <v>Eastern Africa</v>
      </c>
      <c r="D7" s="4" t="str">
        <v>region</v>
      </c>
      <c r="E7" s="5">
        <v>33.33</v>
      </c>
      <c r="F7" s="4">
        <v>1537</v>
      </c>
    </row>
    <row r="8" ht="45" customHeight="1">
      <c r="A8" s="4" t="str">
        <v>AOW03: Inclusive Delivery</v>
      </c>
      <c r="B8" s="4" t="str">
        <v>ICRISAT</v>
      </c>
      <c r="C8" s="4" t="str">
        <v>Southern Asia</v>
      </c>
      <c r="D8" s="4" t="str">
        <v>region</v>
      </c>
      <c r="E8" s="5">
        <v>33.33</v>
      </c>
      <c r="F8" s="4">
        <v>1536</v>
      </c>
    </row>
    <row r="9" ht="45" customHeight="1">
      <c r="A9" s="4" t="str">
        <v>AOW03: Inclusive Delivery</v>
      </c>
      <c r="B9" s="4" t="str">
        <v>ICRISAT</v>
      </c>
      <c r="C9" s="4" t="str">
        <v>Western Africa</v>
      </c>
      <c r="D9" s="4" t="str">
        <v>region</v>
      </c>
      <c r="E9" s="5">
        <v>33.34</v>
      </c>
      <c r="F9" s="4">
        <v>1538</v>
      </c>
    </row>
    <row r="10" ht="45" customHeight="1">
      <c r="A10" s="8" t="str">
        <v>AOW04: Breeding Resources</v>
      </c>
      <c r="B10" s="4" t="str">
        <v>ICRISAT</v>
      </c>
      <c r="C10" s="4" t="str">
        <v>Global</v>
      </c>
      <c r="D10" s="4" t="str">
        <v>global</v>
      </c>
      <c r="E10" s="5">
        <v>100</v>
      </c>
      <c r="F10" s="4">
        <v>1539</v>
      </c>
    </row>
    <row r="11" ht="45" customHeight="1">
      <c r="A11" s="8" t="str">
        <v>AOW05: Enable</v>
      </c>
      <c r="B11" s="4" t="str">
        <v>ICRISAT</v>
      </c>
      <c r="C11" s="4" t="str">
        <v>Eastern Africa</v>
      </c>
      <c r="D11" s="4" t="str">
        <v>region</v>
      </c>
      <c r="E11" s="5">
        <v>25</v>
      </c>
      <c r="F11" s="4">
        <v>1543</v>
      </c>
    </row>
    <row r="12" ht="45" customHeight="1">
      <c r="A12" s="4" t="str">
        <v>AOW05: Enable</v>
      </c>
      <c r="B12" s="4" t="str">
        <v>ICRISAT</v>
      </c>
      <c r="C12" s="4" t="str">
        <v>South-Eastern Asia</v>
      </c>
      <c r="D12" s="4" t="str">
        <v>region</v>
      </c>
      <c r="E12" s="5">
        <v>25</v>
      </c>
      <c r="F12" s="4">
        <v>1541</v>
      </c>
    </row>
    <row r="13" ht="45" customHeight="1">
      <c r="A13" s="4" t="str">
        <v>AOW05: Enable</v>
      </c>
      <c r="B13" s="4" t="str">
        <v>ICRISAT</v>
      </c>
      <c r="C13" s="4" t="str">
        <v>Southern Asia</v>
      </c>
      <c r="D13" s="4" t="str">
        <v>region</v>
      </c>
      <c r="E13" s="5">
        <v>25</v>
      </c>
      <c r="F13" s="4">
        <v>1540</v>
      </c>
    </row>
    <row r="14" ht="45" customHeight="1">
      <c r="A14" s="4" t="str">
        <v>AOW05: Enable</v>
      </c>
      <c r="B14" s="4" t="str">
        <v>ICRISAT</v>
      </c>
      <c r="C14" s="4" t="str">
        <v>Western Africa</v>
      </c>
      <c r="D14" s="4" t="str">
        <v>region</v>
      </c>
      <c r="E14" s="5">
        <v>25</v>
      </c>
      <c r="F14" s="4">
        <v>1542</v>
      </c>
    </row>
  </sheetData>
  <mergeCells count="5">
    <mergeCell ref="A2"/>
    <mergeCell ref="A3:A6"/>
    <mergeCell ref="A7:A9"/>
    <mergeCell ref="A10"/>
    <mergeCell ref="A11: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