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94628</v>
      </c>
      <c r="K4" s="5">
        <v>94628</v>
      </c>
      <c r="L4" s="5">
        <v>0</v>
      </c>
      <c r="M4" s="5">
        <v>0</v>
      </c>
      <c r="N4" s="4">
        <v>163</v>
      </c>
    </row>
    <row r="5" ht="20" customHeight="1">
      <c r="A5" s="4" t="str">
        <v>AOW01: Market Intelligence</v>
      </c>
      <c r="B5" s="5">
        <v>0</v>
      </c>
      <c r="C5" s="5">
        <v>0</v>
      </c>
      <c r="D5" s="5">
        <v>1</v>
      </c>
      <c r="E5" s="5">
        <v>33000</v>
      </c>
      <c r="F5" s="5">
        <v>0</v>
      </c>
      <c r="G5" s="5">
        <v>0</v>
      </c>
      <c r="H5" s="5">
        <v>0</v>
      </c>
      <c r="I5" s="5">
        <v>0</v>
      </c>
      <c r="J5" s="5">
        <v>33000</v>
      </c>
      <c r="K5" s="5">
        <v>33000</v>
      </c>
      <c r="L5" s="5">
        <v>0</v>
      </c>
      <c r="M5" s="5">
        <v>0</v>
      </c>
      <c r="N5" s="4">
        <v>161</v>
      </c>
    </row>
    <row r="6" ht="20" customHeight="1">
      <c r="A6" s="4" t="str">
        <v>AOW02: Accelerated Breeding</v>
      </c>
      <c r="B6" s="5">
        <v>1583</v>
      </c>
      <c r="C6" s="5">
        <v>1810034</v>
      </c>
      <c r="D6" s="5">
        <v>0</v>
      </c>
      <c r="E6" s="5">
        <v>0</v>
      </c>
      <c r="F6" s="5">
        <v>0</v>
      </c>
      <c r="G6" s="5">
        <v>0</v>
      </c>
      <c r="H6" s="5">
        <v>52</v>
      </c>
      <c r="I6" s="5">
        <v>230000</v>
      </c>
      <c r="J6" s="5">
        <v>2040034</v>
      </c>
      <c r="K6" s="5">
        <v>2040034</v>
      </c>
      <c r="L6" s="5">
        <v>26600</v>
      </c>
      <c r="M6" s="5">
        <v>0</v>
      </c>
      <c r="N6" s="4">
        <v>160</v>
      </c>
    </row>
    <row r="7" ht="20" customHeight="1">
      <c r="A7" s="4" t="str">
        <v>AOW03: Inclusive Delivery</v>
      </c>
      <c r="B7" s="5">
        <v>17</v>
      </c>
      <c r="C7" s="5">
        <v>410000</v>
      </c>
      <c r="D7" s="5">
        <v>0</v>
      </c>
      <c r="E7" s="5">
        <v>0</v>
      </c>
      <c r="F7" s="5">
        <v>10</v>
      </c>
      <c r="G7" s="5">
        <v>100000</v>
      </c>
      <c r="H7" s="5">
        <v>36</v>
      </c>
      <c r="I7" s="5">
        <v>745000</v>
      </c>
      <c r="J7" s="5">
        <v>1255000</v>
      </c>
      <c r="K7" s="5">
        <v>1255000</v>
      </c>
      <c r="L7" s="5">
        <v>95000</v>
      </c>
      <c r="M7" s="5">
        <v>0</v>
      </c>
      <c r="N7" s="4">
        <v>159</v>
      </c>
    </row>
    <row r="8" ht="20" customHeight="1">
      <c r="A8" s="4" t="str">
        <v>AOW04: Breeding Resources</v>
      </c>
      <c r="B8" s="5">
        <v>0</v>
      </c>
      <c r="C8" s="5">
        <v>0</v>
      </c>
      <c r="D8" s="5">
        <v>0</v>
      </c>
      <c r="E8" s="5">
        <v>0</v>
      </c>
      <c r="F8" s="5">
        <v>14</v>
      </c>
      <c r="G8" s="5">
        <v>80000</v>
      </c>
      <c r="H8" s="5">
        <v>0</v>
      </c>
      <c r="I8" s="5">
        <v>0</v>
      </c>
      <c r="J8" s="5">
        <v>80000</v>
      </c>
      <c r="K8" s="5">
        <v>80000</v>
      </c>
      <c r="L8" s="5">
        <v>0</v>
      </c>
      <c r="M8" s="5">
        <v>0</v>
      </c>
      <c r="N8" s="4">
        <v>158</v>
      </c>
    </row>
    <row r="9" ht="20" customHeight="1">
      <c r="A9" s="4" t="str">
        <v>AOW05: Enable</v>
      </c>
      <c r="B9" s="5">
        <v>0</v>
      </c>
      <c r="C9" s="5">
        <v>0</v>
      </c>
      <c r="D9" s="5">
        <v>0</v>
      </c>
      <c r="E9" s="5">
        <v>0</v>
      </c>
      <c r="F9" s="5">
        <v>40</v>
      </c>
      <c r="G9" s="5">
        <v>300000</v>
      </c>
      <c r="H9" s="5">
        <v>0</v>
      </c>
      <c r="I9" s="5">
        <v>0</v>
      </c>
      <c r="J9" s="5">
        <v>300000</v>
      </c>
      <c r="K9" s="5">
        <v>300000</v>
      </c>
      <c r="L9" s="5">
        <v>0</v>
      </c>
      <c r="M9" s="5">
        <v>0</v>
      </c>
      <c r="N9" s="4">
        <v>162</v>
      </c>
    </row>
    <row r="10" ht="25" customHeight="1">
      <c r="A10" s="6" t="str">
        <v>Total</v>
      </c>
      <c r="B10" s="7" t="str">
        <v/>
      </c>
      <c r="C10" s="7">
        <v>2220034</v>
      </c>
      <c r="D10" s="7" t="str">
        <v/>
      </c>
      <c r="E10" s="7">
        <v>33000</v>
      </c>
      <c r="F10" s="7" t="str">
        <v/>
      </c>
      <c r="G10" s="7">
        <v>480000</v>
      </c>
      <c r="H10" s="7" t="str">
        <v/>
      </c>
      <c r="I10" s="7">
        <v>975000</v>
      </c>
      <c r="J10" s="7">
        <v>3802662</v>
      </c>
      <c r="K10" s="7">
        <v>3802662</v>
      </c>
      <c r="L10" s="7">
        <v>121600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Market Intelligence</v>
      </c>
      <c r="B3" s="4" t="str">
        <v>IITA</v>
      </c>
      <c r="C3" s="4" t="str">
        <v>HLO1.AOW1.IO1 Steer to impact</v>
      </c>
      <c r="D3"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3" s="4" t="str">
        <v>Number of knowledge products</v>
      </c>
      <c r="F3" s="4" t="str">
        <v>Kenya</v>
      </c>
      <c r="G3" s="5">
        <v>1</v>
      </c>
      <c r="H3" s="5">
        <v>33000</v>
      </c>
      <c r="I3" s="4" t="str">
        <v xml:space="preserve">Shared deliverable between B4T AND BDN --- IITA DELIVERY THROUGH BIOFORTIFICAITON COORDINATION TEAM </v>
      </c>
      <c r="J3" s="4">
        <v>7838</v>
      </c>
    </row>
    <row r="4" ht="25" customHeight="1">
      <c r="C4" s="9" t="str">
        <v>HLO budget subtotal</v>
      </c>
      <c r="H4" s="9">
        <v>33000</v>
      </c>
      <c r="J4" s="9" t="str">
        <v/>
      </c>
    </row>
    <row r="5" ht="50" customHeight="1">
      <c r="A5" s="8" t="str">
        <v>AOW02: Accelerated Breeding</v>
      </c>
      <c r="B5" s="4" t="str">
        <v>IITA</v>
      </c>
      <c r="C5" s="4" t="str">
        <v>HLO6.AOW2.IO1 Refocus to markets</v>
      </c>
      <c r="D5" s="4" t="str">
        <v>17-.---- IITA - MAIZE  (High yielding extra-early, early, intermediate and late maturing white, yellow and orange maize varieties) ---------..-------- KEY ACTIVITIES FOR THIS DELIVERABLE:      Evaluating new germplasm for key agronomic traits including nutrutional traits for developing highly improved maize vairieties across all market segment.-------- BREEDING PIPELINE:     Maize breeding pipelines.-------- MARKET SEGMENT:     Maize WAF MS00867; Maize WAF MS00868; Maize WAF MS00859; Maize WAF MS00860; .-------- INDICATOR:     Number of of breeding lines identified</v>
      </c>
      <c r="E5" s="4" t="str">
        <v>Number of innovations (innovation development)</v>
      </c>
      <c r="F5" s="4" t="str">
        <v>Benin, Nigeria, Ghana, Mali</v>
      </c>
      <c r="G5" s="5">
        <v>10</v>
      </c>
      <c r="H5" s="5">
        <v>494800</v>
      </c>
      <c r="I5" s="4" t="str">
        <v>.</v>
      </c>
      <c r="J5" s="4">
        <v>4756</v>
      </c>
    </row>
    <row r="6" ht="50" customHeight="1">
      <c r="A6" s="4" t="str">
        <v>AOW02: Accelerated Breeding</v>
      </c>
      <c r="B6" s="4" t="str">
        <v>IITA</v>
      </c>
      <c r="C6" s="4" t="str">
        <v>HLO8.AOW2.IO2 Discover genetic potential</v>
      </c>
      <c r="D6" s="4" t="str">
        <v>29-.------------------ CRITICAL CAPABILITIES - IITA (with CIAT) - CASSAVA - (Dual CBSD &amp; CMD Cassava (CIAT–IITA Collaboration) for Focus Countries - Screening and testing disease resistance in multilocation across focus countries)))-----------------..-------- KEY ACTIVITIES FOR THIS DELIVERABLE:      a) Discovery and validation of high‑value haplotypes for CBSD and CMD resistance using genomic mining, GWAS outputs, and multi‑year phenotypic datasets.</v>
      </c>
      <c r="E6" s="4" t="str">
        <v>Number of innovations (innovation development)</v>
      </c>
      <c r="F6" s="4" t="str">
        <v>Uganda, Tanzania, United Republic</v>
      </c>
      <c r="G6" s="5">
        <v>3</v>
      </c>
      <c r="H6" s="5">
        <v>80000</v>
      </c>
      <c r="I6" s="4" t="str">
        <v>.</v>
      </c>
      <c r="J6" s="4">
        <v>4758</v>
      </c>
    </row>
    <row r="7" ht="50" customHeight="1" xml:space="preserve">
      <c r="B7" s="4" t="str">
        <v>IITA</v>
      </c>
      <c r="D7" s="4" t="str" xml:space="preserve">
        <v xml:space="preserve">30-.------------------ CRITICAL CAPABILITIES - IITA - CASSAVA - (Dual CBSD and CMD Resistance Cassava for Fresh &amp; Processing Markets in ESA - Screening and testing disease resistance in multilocation across focus countries for CBSD and for CMD in two countries:))-----------------..-------- KEY ACTIVITIES FOR THIS DELIVERABLE:      a) Identification of high‑value haplotypes for CBSD and CMD resistance tailored to fresh‑root and processing market TPPs.
b) High‑resolution phenotyping for CBSD root necrosis, CMD severity progression, yield stability, and processing quality traits.
c) Multi‑trait selection to advance ≥40 elite varieties for regional trials and pre‑release pathways.
.-------- BREEDING PIPELINE:     a) Cassava IITA BP00259
b) Cassava IITA BP00254.-------- MARKET SEGMENT:     a) Cassava EAF MS00890
b) Cassava EAF MS00892.-------- INDICATOR:     Number of elite donor lines tolerant to CBSD and CMD</v>
      </c>
      <c r="E7" s="4" t="str">
        <v>Number of innovations (innovation development)</v>
      </c>
      <c r="F7" s="4" t="str">
        <v>Tanzania, United Republic, Uganda</v>
      </c>
      <c r="G7" s="5">
        <v>3</v>
      </c>
      <c r="H7" s="5">
        <v>54035</v>
      </c>
      <c r="I7" s="4" t="str">
        <v>.</v>
      </c>
      <c r="J7" s="4">
        <v>4759</v>
      </c>
    </row>
    <row r="8" ht="50" customHeight="1">
      <c r="B8" s="4" t="str">
        <v>IITA</v>
      </c>
      <c r="D8" s="4" t="str">
        <v>31-.----- IITA - CASSAVA (Number of CMD/CBSD resistant cassava clones evaluated through early and late multi-environment testing and advanced to pre-release nomination)-----..-------- KEY ACTIVITIES FOR THIS DELIVERABLE:      a) Late‑stage Multilocational evaluation trials (MET) across high‑pressure hotspots to quantify resistance durability, yield stability, and processing quality.</v>
      </c>
      <c r="E8" s="4" t="str">
        <v>Number of innovations (innovation development)</v>
      </c>
      <c r="F8" s="4" t="str">
        <v>Tanzania, United Republic, Uganda</v>
      </c>
      <c r="G8" s="5">
        <v>40</v>
      </c>
      <c r="H8" s="5">
        <v>174800</v>
      </c>
      <c r="I8" s="4" t="str">
        <v>.</v>
      </c>
      <c r="J8" s="4">
        <v>4760</v>
      </c>
    </row>
    <row r="9" ht="50" customHeight="1" xml:space="preserve">
      <c r="B9" s="4" t="str">
        <v>IITA</v>
      </c>
      <c r="D9" s="4" t="str" xml:space="preserve">
        <v xml:space="preserve">34-.---- IITA - CASSAVA -- (CMD–CBSD resistance and whitefly tolerance pre-breeding populations  for use in regional breeding pipelines.)      ----..-------- KEY ACTIVITIES FOR THIS DELIVERABLE:      a) Development of multi‑trait pre‑breeding populations through haplotype‑guided crossing of donor parents and elite backgrounds
</v>
      </c>
      <c r="E9" s="4" t="str">
        <v>Number of innovations (innovation development)</v>
      </c>
      <c r="F9" s="4" t="str">
        <v>Tanzania, United Republic, Uganda</v>
      </c>
      <c r="G9" s="5">
        <v>6</v>
      </c>
      <c r="H9" s="5">
        <v>68000</v>
      </c>
      <c r="I9" s="4" t="str">
        <v>.</v>
      </c>
      <c r="J9" s="4">
        <v>4763</v>
      </c>
    </row>
    <row r="10" ht="50" customHeight="1">
      <c r="A10" s="4" t="str">
        <v>AOW02: Accelerated Breeding</v>
      </c>
      <c r="B10" s="4" t="str">
        <v>IITA</v>
      </c>
      <c r="C10" s="4" t="str">
        <v>HLO7.AOW2.IO2 Accelerating genetic gain</v>
      </c>
      <c r="D10" s="4" t="str">
        <v>19-.--Banana  with CIAT.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v>
      </c>
      <c r="E10" s="4" t="str">
        <v>Number of innovations (innovation development)</v>
      </c>
      <c r="F10" s="4" t="str">
        <v>Uganda</v>
      </c>
      <c r="G10" s="5">
        <v>2</v>
      </c>
      <c r="H10" s="5">
        <v>54000</v>
      </c>
      <c r="I10" s="4" t="str">
        <v>.shared work with ciat</v>
      </c>
      <c r="J10" s="4">
        <v>4769</v>
      </c>
    </row>
    <row r="11" ht="50" customHeight="1">
      <c r="B11" s="4" t="str">
        <v>IITA</v>
      </c>
      <c r="D11" s="4" t="str">
        <v>20-.--Soybean -  with NARS in Zambia, Malawi and Uganda for Rust  Screening and testing disease resistance in multilocation across focus countries))) ---------------------------------..-------- KEY ACTIVITIES FOR THIS DELIVERABLE:      1. Screening of soybean lines for rust resistance/tolerance under hot spot areas.                                  2. Determine yield of rust resistant tolerant varieties/BREAKTHROUGH PRODUCTS against the checks.                                                                                  3. Select parents resistant tolerant to rust and use in the rapid genomic recycling.-------- BREEDING PIPELINE:     IITA BP00093                                                                                                  IITA BP00094.-------- MARKET SEGMENT:     Soybean SAF MS00224                                       Soybean SAF MS00226.-------- INDICATOR:     Number of breeding lines tolerant to soyabean rust</v>
      </c>
      <c r="E11" s="4" t="str">
        <v>Number of innovations (innovation development)</v>
      </c>
      <c r="F11" s="4" t="str">
        <v>Ethiopia, Uganda, Malawi, Zambia</v>
      </c>
      <c r="G11" s="5">
        <v>2</v>
      </c>
      <c r="H11" s="5">
        <v>194800</v>
      </c>
      <c r="I11" s="4" t="str">
        <v>.</v>
      </c>
      <c r="J11" s="4">
        <v>4770</v>
      </c>
    </row>
    <row r="12" ht="50" customHeight="1">
      <c r="B12" s="4" t="str">
        <v>IITA</v>
      </c>
      <c r="D12" s="4" t="str">
        <v>.--new-iita1 - Regional testing, and breeder-seed production: 1: Multi-location trials conducted across representative agro-ecologies to evaluate advanced breeding lines; 2: Multi-location trials conducted across representative agro-ecologies to evaluate advanced breeding lines through TRICOT approachAll cassava breeding pipelineAll 4 cassava market segment.-------- INDICATOR:    Number of trials conducted</v>
      </c>
      <c r="E12" s="4" t="str">
        <v>custom</v>
      </c>
      <c r="F12" s="4" t="str">
        <v>Nigeria</v>
      </c>
      <c r="G12" s="5">
        <v>30</v>
      </c>
      <c r="H12" s="5">
        <v>65000</v>
      </c>
      <c r="I12" s="4" t="str">
        <v>.</v>
      </c>
      <c r="J12" s="4">
        <v>7388</v>
      </c>
    </row>
    <row r="13" ht="50" customHeight="1">
      <c r="B13" s="4" t="str">
        <v>IITA</v>
      </c>
      <c r="D13" s="4" t="str">
        <v>new-iita2 - Breeder seed of selected lines produced under controlled conditions to ensure genetic purityAll cassava breeding pipelineAll 4 cassava market segment.-------- INDICATOR:    Quantity of cassava stem cuttings produced</v>
      </c>
      <c r="E13" s="4" t="str">
        <v>custom</v>
      </c>
      <c r="F13" s="4" t="str">
        <v>Nigeria</v>
      </c>
      <c r="G13" s="5">
        <v>8</v>
      </c>
      <c r="H13" s="5">
        <v>55000</v>
      </c>
      <c r="I13" s="4" t="str">
        <v>.</v>
      </c>
      <c r="J13" s="4">
        <v>7391</v>
      </c>
    </row>
    <row r="14" ht="50" customHeight="1">
      <c r="B14" s="4" t="str">
        <v>IITA</v>
      </c>
      <c r="D14" s="4" t="str">
        <v>new-iita 3 - Genotyping and phenotyping of progenies originated from mapping population for quality traits in the cassava for processing TPPCassava for Processing Cassava for Processing .-------- INDICATOR:    Number of breeding lines developed</v>
      </c>
      <c r="E14" s="4" t="str">
        <v>Number of innovations (innovation development)</v>
      </c>
      <c r="F14" s="4" t="str">
        <v>Nigeria</v>
      </c>
      <c r="G14" s="5">
        <v>500</v>
      </c>
      <c r="H14" s="5">
        <v>80000</v>
      </c>
      <c r="I14" s="4" t="str">
        <v>.</v>
      </c>
      <c r="J14" s="4">
        <v>7392</v>
      </c>
    </row>
    <row r="15" ht="50" customHeight="1">
      <c r="B15" s="4" t="str">
        <v>IITA</v>
      </c>
      <c r="D15" s="4" t="str">
        <v>.--new-iita4new - Germplasm Sourcing and Progeny Development for Targeted Trait Improvement: 1 Interspecific population development involving wild and cultivated species 2: Phenotyping for YMV resistance and other stress tolerantsBreeding Pipeline: Early bushy white yam and Intermediate to late white yamBreeding Pipeline: Early bushy white yam and Intermediate to late white yam.-------- INDICATOR:     Number of varieties resistance to diseases</v>
      </c>
      <c r="E15" s="4" t="str">
        <v>Number of innovations (innovation development)</v>
      </c>
      <c r="F15" s="4" t="str">
        <v>Nigeria</v>
      </c>
      <c r="G15" s="5">
        <v>15</v>
      </c>
      <c r="H15" s="5">
        <v>90000</v>
      </c>
      <c r="I15" s="4" t="str">
        <v>.</v>
      </c>
      <c r="J15" s="4">
        <v>7393</v>
      </c>
    </row>
    <row r="16" ht="50" customHeight="1">
      <c r="B16" s="4" t="str">
        <v>IITA</v>
      </c>
      <c r="D16" s="4" t="str">
        <v>.--new-iita5 - Multi-location trials conducted across representative agro-ecologies to evaluate advanced breeding linesBreeding Pipeline: Early bushy white yam and Intermediate to late white yamBreeding Pipeline: Early bushy white yam and Intermediate to late white yam.-------- INDICATOR:    Number of trials conducted</v>
      </c>
      <c r="E16" s="4" t="str">
        <v>custom</v>
      </c>
      <c r="F16" s="4" t="str">
        <v>Ghana, Nigeria, Benin, Côte d'Ivoire, Sierra Leone</v>
      </c>
      <c r="G16" s="5">
        <v>14</v>
      </c>
      <c r="H16" s="5">
        <v>110000</v>
      </c>
      <c r="I16" s="4" t="str">
        <v>.</v>
      </c>
      <c r="J16" s="4">
        <v>7394</v>
      </c>
    </row>
    <row r="17" ht="50" customHeight="1">
      <c r="B17" s="4" t="str">
        <v>IITA</v>
      </c>
      <c r="D17" s="4" t="str">
        <v>new-iita6 - Testing of Early and mid-stage plantain genetic material: Evaluation of several EET and mid-stage plantain materials in Ibadan for yield, disease and post-haverst-qualityPlantain breeding pipeline planitain market segment .-------- INDICATOR:   Number of trials conducted (breeding lines evaluated)</v>
      </c>
      <c r="E17" s="4" t="str">
        <v>Number of innovations (innovation development)</v>
      </c>
      <c r="F17" s="4" t="str">
        <v>Côte d'Ivoire, Nigeria</v>
      </c>
      <c r="G17" s="5">
        <v>1000</v>
      </c>
      <c r="H17" s="5">
        <v>194800</v>
      </c>
      <c r="I17" s="4" t="str">
        <v>.</v>
      </c>
      <c r="J17" s="4">
        <v>7396</v>
      </c>
    </row>
    <row r="18" ht="50" customHeight="1" xml:space="preserve">
      <c r="A18" s="4" t="str">
        <v>AOW02: Accelerated Breeding</v>
      </c>
      <c r="B18" s="4" t="str">
        <v>IITA</v>
      </c>
      <c r="C18" s="4" t="str">
        <v>HLO9.AOW2.IO2 Create products</v>
      </c>
      <c r="D18" s="4" t="str" xml:space="preserve">
        <v xml:space="preserve">15.---- IITA - COWPEA - (Deliverable 2 — Product Creation and Testing: Evaluate early and late-stage cowpea breeding lines using genomic selection and multi-environment testing to identify resistant, high-yielding  lines for product advancement.)--..-------- KEY ACTIVITIES FOR THIS DELIVERABLE: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1. Genotype all lines at PYT using the mid-density SNP panel and canculate genomic estimated breeding values, combine GEBV with phenotypic BLUPs to selectd best lines to advance to AYT
2. Evaluate lines at AYT across at least 6 environments, identify lines to recommend for national and regional trials and on-farm trials.                                                                                                                     3. From early stage testing, at least 100 short duration breeding lines and at least 100 medium duration breeding lines identified for advancement to late stage testing.                                                                                                                      4. From late stage testing, at least 20 short duration breeding lines and at least 20 medium duration breeding lines identified for regional coordinated trials or NPT. .-------- BREEDING PIPELINE:     1. Cowpea IITA BP00084 [Short duration boiled grain and dual-purpose cowpea].                                                                                                                                                                                               2. Cowpea IITA BP00085 [Medium duration boiled grain and dual-purpose cowpea]..-------- MARKET SEGMENT:     1. Cowpea WAF MS01225
2. Cowpea WAF MS01221 
.-------- INDICATOR:     Number of Breeding Pipelines with updated Breeding Portal information</v>
      </c>
      <c r="E18" s="4" t="str">
        <v>Number of innovations (innovation development)</v>
      </c>
      <c r="F18" s="4" t="str">
        <v>Niger, Cameroon, Senegal, Mali, Ghana, Burkina Faso, Nigeria</v>
      </c>
      <c r="G18" s="5">
        <v>2</v>
      </c>
      <c r="H18" s="5">
        <v>324799</v>
      </c>
      <c r="I18" s="4" t="str">
        <v>.</v>
      </c>
      <c r="J18" s="4">
        <v>8318</v>
      </c>
    </row>
    <row r="19" ht="25" customHeight="1">
      <c r="C19" s="9" t="str">
        <v>HLO budget subtotal</v>
      </c>
      <c r="H19" s="9">
        <v>2040034</v>
      </c>
      <c r="J19" s="9" t="str">
        <v/>
      </c>
    </row>
    <row r="20" ht="50" customHeight="1" xml:space="preserve">
      <c r="A20" s="8" t="str">
        <v>AOW03: Inclusive Delivery</v>
      </c>
      <c r="B20" s="4" t="str">
        <v>IITA</v>
      </c>
      <c r="C20" s="4" t="str">
        <v>HLO11.AOW3.IO4 Position for demand</v>
      </c>
      <c r="D20" s="4" t="str" xml:space="preserve">
        <v xml:space="preserve">63-.---- IITA - (3. Low cost accurate tools for lab and field testing of EGS to enhance quality control (QC)). ------------..-------- KEY ACTIVITIES FOR THIS DELIVERABLE:      • Field validation of Electrochemical Lateral Flow Assay tests with cassava seed entrepreneurs for detection of cassava brown streak virus
• Strengthening the application of LAMP for seed testing by regulatory authorities of banana, cassava and sweetpotato seed
• Development of a multi-spectral imaging tool for field diagnosis of cassava brown streak disease for seed entrepreneurs.-------- BREEDING PIPELINE:     Banana, cassava and sweetpotato breeding pipelines.-------- MARKET SEGMENT:     All target crop market segments in Nigeria and Tanzania.-------- INDICATOR:     Number of low-cost diagnostic tools for EGS quality control</v>
      </c>
      <c r="E20" s="4" t="str">
        <v>Number of innovations (innovation development)</v>
      </c>
      <c r="F20" s="4" t="str">
        <v>Nigeria, Tanzania, United Republic</v>
      </c>
      <c r="G20" s="5">
        <v>3</v>
      </c>
      <c r="H20" s="5">
        <v>50000</v>
      </c>
      <c r="I20" s="4" t="str">
        <v>.</v>
      </c>
      <c r="J20" s="4">
        <v>4802</v>
      </c>
    </row>
    <row r="21" ht="50" customHeight="1" xml:space="preserve">
      <c r="B21" s="4" t="str">
        <v>IITA</v>
      </c>
      <c r="D21" s="4" t="str" xml:space="preserve">
        <v xml:space="preserve">69-.----------------IITA (2. Target annual production volumes quantified for EGS seed producers for 8 crop/EGS producer combinations)---------..-------- KEY ACTIVITIES FOR THIS DELIVERABLE:      • Identify crop/country combinations (8, as above)
• Determine seed requirement at each stage of seed production
• Identify &gt; 50 EGS seed producers and assess their capacity
• Determine seed production volumes required for EGS producers to meet system demand.-------- BREEDING PIPELINE:     Breeding pipelines for banana, cassava, sweetpotato, yam and cowpea in Nigeria and Tanzania.-------- MARKET SEGMENT:     All market segments for each crop/country combination.-------- INDICATOR:      Number of strategies for EGS producers to quantify target demand</v>
      </c>
      <c r="E21" s="4" t="str">
        <v>custom</v>
      </c>
      <c r="F21" s="4" t="str">
        <v>Tanzania, United Republic, Nigeria</v>
      </c>
      <c r="G21" s="5">
        <v>1</v>
      </c>
      <c r="H21" s="5">
        <v>50000</v>
      </c>
      <c r="I21" s="4" t="str">
        <v>.</v>
      </c>
      <c r="J21" s="4">
        <v>4808</v>
      </c>
    </row>
    <row r="22" ht="50" customHeight="1">
      <c r="B22" s="4" t="str">
        <v>IITA</v>
      </c>
      <c r="D22" s="4" t="str">
        <v>70-.----- IITA - (3. A geospatial model that can be applied to match seed production and demand for 6 crop/country combinations) --------..-------- KEY ACTIVITIES FOR THIS DELIVERABLE:      • Complete publication of first geospatial model linking geographical parameters with cassava seed sales potential</v>
      </c>
      <c r="E22" s="4" t="str">
        <v>Number of innovations (innovation development)</v>
      </c>
      <c r="F22" s="4" t="str">
        <v>Tanzania, United Republic, Nigeria</v>
      </c>
      <c r="G22" s="5">
        <v>2</v>
      </c>
      <c r="H22" s="5">
        <v>70000</v>
      </c>
      <c r="I22" s="4" t="str">
        <v>.</v>
      </c>
      <c r="J22" s="4">
        <v>4809</v>
      </c>
    </row>
    <row r="23" ht="50" customHeight="1" xml:space="preserve">
      <c r="B23" s="4" t="str">
        <v>IITA</v>
      </c>
      <c r="D23" s="4" t="str" xml:space="preserve">
        <v xml:space="preserve">73-.---- IITA - (4. Country-level maps illustrating differences between seed production and demand at major administrative level)  ------------..-------- KEY ACTIVITIES FOR THIS DELIVERABLE:      • Complete report presenting maps with Tanzania region-based information on differences between cassava seed production and seed requirement
• Assemble data on cassava seed entrepreneur location and production in Nigeria
• Compile map report for Nigeria illustrating cassava seed production excess/deficit for major cassava-producing states.-------- BREEDING PIPELINE:     Breeding pipelines for cassava in Nigeria and Tanzania.-------- MARKET SEGMENT:     All market segments for each crop/country combination.-------- INDICATOR:     Number of map-based seed production vs demand reports</v>
      </c>
      <c r="E23" s="4" t="str">
        <v>custom</v>
      </c>
      <c r="F23" s="4" t="str">
        <v>Nigeria, Tanzania, United Republic</v>
      </c>
      <c r="G23" s="5">
        <v>2</v>
      </c>
      <c r="H23" s="5">
        <v>40000</v>
      </c>
      <c r="I23" s="4" t="str">
        <v>.</v>
      </c>
      <c r="J23" s="4">
        <v>4812</v>
      </c>
    </row>
    <row r="24" ht="50" customHeight="1" xml:space="preserve">
      <c r="B24" s="4" t="str">
        <v>IITA</v>
      </c>
      <c r="D24" s="4" t="str" xml:space="preserve">
        <v xml:space="preserve">74-.----------------IITA (1. Standard optimized protocols to increase the quality and volume of EGS production for vegetatively propagated crops including banana, cassava and yam using tissue culture, micropropagules and semi-autotrophic hydroponics &amp; tunnels systems (with CIAT))---------..-------- KEY ACTIVITIES FOR THIS DELIVERABLE:      • Training of EGS producers to use the seed requirement estimation (SRE) tool
• Application of SRE tool results to deploy targeted quantities of EGS seed                                                             
• Desk research and report on prospects of eustress for enhanced VPC product life cycle in hydroponics-based systems
• User-participatory propagule quality profiling from a diverse panel of VPC EGS forms
• Publication of improved EGS production protocols.-------- BREEDING PIPELINE:     Breeding pipelines for banana, cassava and yam in target countries.-------- MARKET SEGMENT:     All market segments for each crop/country combination.-------- INDICATOR:     Number of standardised protocols to increase the efficiency of EGS production</v>
      </c>
      <c r="E24" s="4" t="str">
        <v>custom</v>
      </c>
      <c r="F24" s="4" t="str">
        <v>Tanzania, United Republic, Nigeria, Uganda, Ghana</v>
      </c>
      <c r="G24" s="5">
        <v>3</v>
      </c>
      <c r="H24" s="5">
        <v>90000</v>
      </c>
      <c r="I24" s="4" t="str">
        <v>.</v>
      </c>
      <c r="J24" s="4">
        <v>4813</v>
      </c>
    </row>
    <row r="25" ht="50" customHeight="1" xml:space="preserve">
      <c r="B25" s="4" t="str">
        <v>IITA</v>
      </c>
      <c r="D25" s="4" t="str" xml:space="preserve">
        <v xml:space="preserve">75-.----------------IITA (2. Space and time isolations for cowpea, maize and soybean EGS production)-------------------..-------- KEY ACTIVITIES FOR THIS DELIVERABLE:      • Establish demonstration plots to showcase the potential and benefit of the new, improved varieties to accelerate adoption
• Organize field days and seed fairs to showcase the benefits of new, improved varieties and allow interaction (farmers, extension workers and researchers) to enhance farmers' knowledge on the new varieties and good agronomic practices
• Identify newly released CG collaborative varieties for EGS production
• Select suitable sites and determine distance/time isolation for the EGS production
• Determine the quantity of nucleus seed of at least two maize hybrids for EGS production
• Produce sufficient quantity of EGS of released maize hybrids to support seed companies to produce certified seed for scaling
.-------- BREEDING PIPELINE:     Breeding pipelines for cowpea, soybean and maize in target countries.-------- MARKET SEGMENT:     All market segments for each crop/country combination.-------- INDICATOR:     Number of CG-collaborative varieties newly scaled through EGS</v>
      </c>
      <c r="E25" s="4" t="str">
        <v>custom</v>
      </c>
      <c r="F25" s="4" t="str">
        <v>Ghana, Mozambique, Nigeria</v>
      </c>
      <c r="G25" s="5">
        <v>15</v>
      </c>
      <c r="H25" s="5">
        <v>90000</v>
      </c>
      <c r="I25" s="4" t="str">
        <v>.</v>
      </c>
      <c r="J25" s="4">
        <v>4814</v>
      </c>
    </row>
    <row r="26" ht="50" customHeight="1" xml:space="preserve">
      <c r="B26" s="4" t="str">
        <v>IITA</v>
      </c>
      <c r="D26" s="4" t="str" xml:space="preserve">
        <v xml:space="preserve">76-.---- IITA - (1. Seed demand estimates for 8 crop/country combinations in SSA)------------..-------- KEY ACTIVITIES FOR THIS DELIVERABLE:      • Identify crop/country combinations (8)
• Run surveys to determine parameter values for seed requirement estimation
• Estimate seed demand.-------- BREEDING PIPELINE:     Breeding pipelines for banana, cassava, sweetpotato, yam and cowpea in Nigeria and Tanzania.-------- MARKET SEGMENT:     All market segments for each crop/country combination.-------- INDICATOR:     Number of tools</v>
      </c>
      <c r="E26" s="4" t="str">
        <v>Number of innovations (innovation development)</v>
      </c>
      <c r="F26" s="4" t="str">
        <v>Tanzania, United Republic, Nigeria</v>
      </c>
      <c r="G26" s="5">
        <v>4</v>
      </c>
      <c r="H26" s="5">
        <v>70000</v>
      </c>
      <c r="I26" s="4" t="str">
        <v>.</v>
      </c>
      <c r="J26" s="4">
        <v>4815</v>
      </c>
    </row>
    <row r="27" ht="50" customHeight="1" xml:space="preserve">
      <c r="A27" s="4" t="str">
        <v>AOW03: Inclusive Delivery</v>
      </c>
      <c r="B27" s="4" t="str">
        <v>IITA</v>
      </c>
      <c r="C27" s="4" t="str">
        <v>HLO12.AOW3.IO5 Deploy seed</v>
      </c>
      <c r="D27" s="4" t="str" xml:space="preserve">
        <v xml:space="preserve">77-CRITICAL CAPABILITIES - IITA - MAIZE - Supporting NARS on seeds  production (OPV, Hybrid) - NUMBER OF SEED PRODUCTION TRAININGS DELIVERED TO NARES PARTNERS.-------- KEY ACTIVITIES FOR THIS DELIVERABLE:      Activity 1 - Three-way cross hybrid seed production Workshop [20 April – 31 May 2026]
Activity 2 - Breeders seed production workshop &amp; PPP tour of operations [20 April – 31 May 2026]
Activity 3 - Integration of molecular markers in breeders seed production workshop [20 April – 31 May 2026]
Activity 4 - Hybrid Demonstration Platforms development and implementation– PPP study tour to Zambia/Zimbabwe [20 April – 31 May 2026]
Activity 5 - Refresher on On-Farm Verification Trials implementation. – workshop [20 April – 31 May 2026]
Activity 6 - Maize Hybrid Trials Tour in Benin – [31 Aug to 4 September 2026].-------- BREEDING PIPELINE:     Maize breeding pipelines.-------- MARKET SEGMENT:     All maize market segments in target countries.-------- INDICATOR:     Number of people trained</v>
      </c>
      <c r="E27" s="4" t="str">
        <v>Number of people trained (capacity sharing for development)</v>
      </c>
      <c r="F27" s="4" t="str">
        <v>Nigeria, Ghana, Benin, Mali</v>
      </c>
      <c r="G27" s="5">
        <v>10</v>
      </c>
      <c r="H27" s="5">
        <v>100000</v>
      </c>
      <c r="I27" s="4" t="str">
        <v>.</v>
      </c>
      <c r="J27" s="4">
        <v>4816</v>
      </c>
    </row>
    <row r="28" ht="50" customHeight="1" xml:space="preserve">
      <c r="B28" s="4" t="str">
        <v>IITA</v>
      </c>
      <c r="D28" s="4" t="str" xml:space="preserve">
        <v xml:space="preserve">84-.-----.IITA - BANANA -----.-------- KEY ACTIVITIES FOR THIS DELIVERABLE:      •Conduct targetted mapping of banana seed actors  and available registered/pipeline  varieties.
•Convene national platform meetings (virtual/physical) to facilitate demand-supply linkages and  draft banana variety deployment strategies..-------- BREEDING PIPELINE:     Banana breeding pipelines.-------- MARKET SEGMENT:     Plantain in Nigeria; Dessert and Matooke bananas in Tanzania and Uganda.-------- INDICATOR:      Number of partnership strategies that increase production and supply of new varieties by scaling partners 
</v>
      </c>
      <c r="E28" s="4" t="str">
        <v>custom</v>
      </c>
      <c r="F28" s="4" t="str">
        <v>Uganda, Tanzania, United Republic, Nigeria</v>
      </c>
      <c r="G28" s="5">
        <v>3</v>
      </c>
      <c r="H28" s="5">
        <v>45000</v>
      </c>
      <c r="I28" s="4" t="str">
        <v>.</v>
      </c>
      <c r="J28" s="4">
        <v>4823</v>
      </c>
    </row>
    <row r="29" ht="50" customHeight="1" xml:space="preserve">
      <c r="B29" s="4" t="str">
        <v>IITA</v>
      </c>
      <c r="D29" s="4" t="str" xml:space="preserve">
        <v xml:space="preserve">85-.-----.IITA - BANANA - YAM -----.-------- KEY ACTIVITIES FOR THIS DELIVERABLE:      •Identify and support 1-2 community seed multiplication demonstration sites  per country integrating at least 1 recently released variety. Tanzania and Uganda : banana focused,  Nigeria: yam focused.
•Adapt existing technical protocols into farmer-friendly, step-by-step guides covering rapid multiplication technologies and good agronomic practices for banana and yam seed production.
•Conduct hands-on training and demonstration events for seed entrepreneurs, nurseries, and farmer multipliers on rapid propagation technologies and management of  released varieties..-------- BREEDING PIPELINE:     Banana and yam breeding pipelines.-------- MARKET SEGMENT:     Fresh yam in Nigeria; Dessert and Matooke bananas in Tanzania and Uganda.-------- INDICATOR:      Number of rapid seed propagation strategies that increase production and supply of new varieties by scaling partners
</v>
      </c>
      <c r="E29" s="4" t="str">
        <v>custom</v>
      </c>
      <c r="F29" s="4" t="str">
        <v>Nigeria, Tanzania, United Republic, Uganda</v>
      </c>
      <c r="G29" s="5">
        <v>2</v>
      </c>
      <c r="H29" s="5">
        <v>145000</v>
      </c>
      <c r="I29" s="4" t="str">
        <v>.</v>
      </c>
      <c r="J29" s="4">
        <v>4824</v>
      </c>
    </row>
    <row r="30" ht="50" customHeight="1" xml:space="preserve">
      <c r="B30" s="4" t="str">
        <v>IITA</v>
      </c>
      <c r="D30" s="4" t="str" xml:space="preserve">
        <v xml:space="preserve">86-.-----.IITA - COWPEA - MAIZE.-------- KEY ACTIVITIES FOR THIS DELIVERABLE:      • Strengthen collaboration among IITA-CG, research institutions and private seed sector partners to enhnace availability and access to EGS and technical capacity.
• Strengthen the capacity of commercial seed companies and community-based seed producers in high-quality seed production and good agronomic practices 
• Establish 30 cowpea and soybean cafeterias and 4 field days to increase awareness among farmers of the superior performance of new cowpea and soybean varieties, linking them to improved agronomic practices to increase varietal replacement rates and improve weak last-mile delivery                                                                                                                                                                                                                                                                                          • Establish 10 maize demonstration plots and 2 field days to increase awareness among farmers of the superior performance of new maize hybrids, linking them to improved agronomic proactices to increase adoption rate of new varieties.
.-------- BREEDING PIPELINE:     Cowpea, maize and soybean breeding pipelines.-------- MARKET SEGMENT:     All maize and cowpea market segments in Nigeria; oil and flour processing for soybean in Mozambique.-------- INDICATOR:      Number of strategies linking partners that increase production and supply of new varieties by scaling partners	</v>
      </c>
      <c r="E30" s="4" t="str">
        <v>custom</v>
      </c>
      <c r="F30" s="4" t="str">
        <v>Nigeria, Mozambique</v>
      </c>
      <c r="G30" s="5">
        <v>6</v>
      </c>
      <c r="H30" s="5">
        <v>135000</v>
      </c>
      <c r="I30" s="4" t="str">
        <v>.</v>
      </c>
      <c r="J30" s="4">
        <v>4825</v>
      </c>
    </row>
    <row r="31" ht="50" customHeight="1" xml:space="preserve">
      <c r="B31" s="4" t="str">
        <v>IITA</v>
      </c>
      <c r="D31" s="4" t="str" xml:space="preserve">
        <v xml:space="preserve">89-.-----.IITA - .-------- KEY ACTIVITIES FOR THIS DELIVERABLE:      • AMF isolates identified, tested, and experimentally validated for their effectiveness as bioinoculants in 3 target countries
• Promising AMF isolates tested with EGS producers in target countries
• Two knowledge products developed that describe the effectiveness of AMF isolates as seed bioinoculants.-------- BREEDING PIPELINE:     Banana and cassava breeding pipelines .-------- MARKET SEGMENT:     All banana and cassava market segments in target countries.-------- INDICATOR:      Number of seed quality management strategies that increase production and supply of new varieties by scaling partners	</v>
      </c>
      <c r="E31" s="4" t="str">
        <v>custom</v>
      </c>
      <c r="F31" s="4" t="str">
        <v>Kenya, Tanzania, United Republic, Nigeria</v>
      </c>
      <c r="G31" s="5">
        <v>2</v>
      </c>
      <c r="H31" s="5">
        <v>75000</v>
      </c>
      <c r="I31" s="4" t="str">
        <v>.</v>
      </c>
      <c r="J31" s="4">
        <v>4827</v>
      </c>
    </row>
    <row r="32" ht="50" customHeight="1" xml:space="preserve">
      <c r="B32" s="4" t="str">
        <v>IITA</v>
      </c>
      <c r="D32" s="4" t="str" xml:space="preserve">
        <v xml:space="preserve">87-.-----.IITA - .-------- KEY ACTIVITIES FOR THIS DELIVERABLE:      • Regional meeting to review roles of seed producer groups in supporting seed delivery
• Drafting and publication of seed producer group 'best practice' document
• NARS partners implement agreed strategy to strengthen seed producer groups (Ghana, Nigeria, Uganda, Tanzania).-------- BREEDING PIPELINE:     Banana and Cassava breeding pipelines in East Africa; Yam breeding pipeline in Ghana and Nigeria.-------- MARKET SEGMENT:     All banana and cassava market segments in Tanzania and Uganda; All yam market segments in Ghana and Nigeria.-------- INDICATOR:      Number of seed producer association models that increase production and supply of new varieties by scaling partners	
</v>
      </c>
      <c r="E32" s="4" t="str">
        <v>custom</v>
      </c>
      <c r="F32" s="4" t="str">
        <v>Ghana, Tanzania, United Republic, Nigeria, Uganda</v>
      </c>
      <c r="G32" s="5">
        <v>2</v>
      </c>
      <c r="H32" s="5">
        <v>75000</v>
      </c>
      <c r="I32" s="4" t="str">
        <v>.</v>
      </c>
      <c r="J32" s="4">
        <v>7384</v>
      </c>
    </row>
    <row r="33" ht="50" customHeight="1">
      <c r="A33" s="4" t="str">
        <v>AOW03: Inclusive Delivery</v>
      </c>
      <c r="B33" s="4" t="str">
        <v>IITA</v>
      </c>
      <c r="C33" s="4" t="str">
        <v>HLO14.AOW3.IO5 TRACK adoption</v>
      </c>
      <c r="D33" s="4" t="str">
        <v>98-.----IITA  - 1. Digital tools for EGS demand quantification----..-------- KEY ACTIVITIES FOR THIS DELIVERABLE:      • Upgrade the Seed Requirement Estimation (SRE) tool to increase crop coverage and enhance usability.-------- BREEDING PIPELINE:     Breeding pipelines for banana, cassava, sweetpotato, yam and cowpea in Nigeria and Tanzania.-------- MARKET SEGMENT:     All market segments for each crop/country combination.-------- INDICATOR:     Number of digital tools for demand quantification</v>
      </c>
      <c r="E33" s="4" t="str">
        <v>Number of innovations (innovation development)</v>
      </c>
      <c r="F33" s="4" t="str">
        <v>Tanzania, United Republic, Nigeria</v>
      </c>
      <c r="G33" s="5">
        <v>1</v>
      </c>
      <c r="H33" s="5">
        <v>30000</v>
      </c>
      <c r="I33" s="4" t="str">
        <v>.</v>
      </c>
      <c r="J33" s="4">
        <v>4875</v>
      </c>
    </row>
    <row r="34" ht="50" customHeight="1" xml:space="preserve">
      <c r="B34" s="4" t="str">
        <v>IITA</v>
      </c>
      <c r="D34" s="4" t="str" xml:space="preserve">
        <v xml:space="preserve">99-.------------------ IITA -- 2. SeedTracker. -------------------------..-------- KEY ACTIVITIES FOR THIS DELIVERABLE:      • Finalize the implementation of the SeedTracker app in Nigeria and Tanzania
• Develop and test a USSD application for the collection and delivery of seed certification data
• Integrate SeedTracker into government regulatory systems.-------- BREEDING PIPELINE:     Breeding pipelines for cassava and sweetpotato in Tanzania, and for maize and yam in Nigeria.-------- MARKET SEGMENT:     All market segments for each crop/country combination.-------- INDICATOR:     Number of digital tools for seed system management
</v>
      </c>
      <c r="E34" s="4" t="str">
        <v>Number of innovations (innovation development)</v>
      </c>
      <c r="F34" s="4" t="str">
        <v>Nigeria, Tanzania, United Republic</v>
      </c>
      <c r="G34" s="5">
        <v>1</v>
      </c>
      <c r="H34" s="5">
        <v>70000</v>
      </c>
      <c r="I34" s="4" t="str">
        <v>.</v>
      </c>
      <c r="J34" s="4">
        <v>4876</v>
      </c>
    </row>
    <row r="35" ht="50" customHeight="1" xml:space="preserve">
      <c r="B35" s="4" t="str">
        <v>IITA</v>
      </c>
      <c r="D35" s="4" t="str" xml:space="preserve">
        <v xml:space="preserve">104-.----IITA 5. Trait-Based Varietal Turnover Assessment Report----..-------- KEY ACTIVITIES FOR THIS DELIVERABLE:      • Establish farmer information networks to determine patterns of variety adoption over time.-------- BREEDING PIPELINE:     Breeding pipelines for maize in Ethiopia and cassava and maize in Nigeria.-------- MARKET SEGMENT:     All market segments for each crop/country combination.-------- INDICATOR:     Number of digital tools for tracking varietal adoption and turnover
</v>
      </c>
      <c r="E35" s="4" t="str">
        <v>Number of innovations (innovation development)</v>
      </c>
      <c r="F35" s="4" t="str">
        <v>Nigeria, Ethiopia</v>
      </c>
      <c r="G35" s="5">
        <v>1</v>
      </c>
      <c r="H35" s="5">
        <v>40000</v>
      </c>
      <c r="I35" s="4" t="str">
        <v>.</v>
      </c>
      <c r="J35" s="4">
        <v>4881</v>
      </c>
    </row>
    <row r="36" ht="50" customHeight="1" xml:space="preserve">
      <c r="B36" s="4" t="str">
        <v>IITA</v>
      </c>
      <c r="D36" s="4" t="str" xml:space="preserve">
        <v xml:space="preserve">105-.----IITA (4. AI diagnostic tool - PlantVillage Nuru). ----..-------- KEY ACTIVITIES FOR THIS DELIVERABLE:      • Tested and publish protocol for the application of PlantVillage Nuru to seed quality testing of cassava and sweetpotato by seed regulators
• Develop a new instance of PlantVillage Nuru for yam, enabling yam seed inspectors to identify major pest/disease constraints.-------- BREEDING PIPELINE:     Breeding pipelines for yam in Nigeria, and for cassava and sweetpotato in Tanzania.-------- MARKET SEGMENT:     All market segments for each crop/country combination.-------- INDICATOR:     Number of digital tools for seed quality management</v>
      </c>
      <c r="E36" s="4" t="str">
        <v>Number of innovations (innovation development)</v>
      </c>
      <c r="F36" s="4" t="str">
        <v>Nigeria, Tanzania, United Republic</v>
      </c>
      <c r="G36" s="5">
        <v>1</v>
      </c>
      <c r="H36" s="5">
        <v>40000</v>
      </c>
      <c r="I36" s="4" t="str">
        <v>.</v>
      </c>
      <c r="J36" s="4">
        <v>4882</v>
      </c>
    </row>
    <row r="37" ht="50" customHeight="1">
      <c r="B37" s="4" t="str">
        <v>IITA</v>
      </c>
      <c r="D37" s="4" t="str">
        <v>106-.----IITA (MULTI-CROP) -  (3. CropVAR for AI-driven in-field identification of key market-demanded varieties for major crops) ----..-------- KEY ACTIVITIES FOR THIS DELIVERABLE:      • Expand the CropVAR app to include cassava and yam varieties in Nigeria and additional cassava and sweetpotato varieties in Tanzania.-------- BREEDING PIPELINE:     Breeding pipelines for cassava and yam in Nigeria, and for cassava and sweetpotato in Tanzania.-------- MARKET SEGMENT:     All market segments for each crop/country combination.-------- INDICATOR:     Number of digital tools for variety identification</v>
      </c>
      <c r="E37" s="4" t="str">
        <v>Number of innovations (innovation development)</v>
      </c>
      <c r="F37" s="4" t="str">
        <v>Tanzania, United Republic</v>
      </c>
      <c r="G37" s="5">
        <v>4</v>
      </c>
      <c r="H37" s="5">
        <v>40000</v>
      </c>
      <c r="I37" s="4" t="str">
        <v>.</v>
      </c>
      <c r="J37" s="4">
        <v>4883</v>
      </c>
    </row>
    <row r="38" ht="25" customHeight="1">
      <c r="C38" s="9" t="str">
        <v>HLO budget subtotal</v>
      </c>
      <c r="H38" s="9">
        <v>1255000</v>
      </c>
      <c r="J38" s="9" t="str">
        <v/>
      </c>
    </row>
    <row r="39" ht="50" customHeight="1" xml:space="preserve">
      <c r="A39" s="8" t="str">
        <v>AOW04: Breeding Resources</v>
      </c>
      <c r="B39" s="4" t="str">
        <v>IITA</v>
      </c>
      <c r="C39" s="4" t="str">
        <v>HLO16.AOW4.IO3 Shared services</v>
      </c>
      <c r="D39" s="4" t="str" xml:space="preserve">
        <v xml:space="preserve">119-.---------------------- CRITICAL CAPABILITIES - IITA - COWPEA (Cowpea Breeding Products for SSA-Strengthening Patners through Regional training on EBS, bioflow and digital data capturing) -----------------..-------- KEY ACTIVITIES FOR THIS DELIVERABLE:      1. Training on the EBS and Bioflow will be scheduled for all network partners.
 2. At lest 2 people per partners institutions  have received training and support to implement EBS and Bioflow"
.-------- BREEDING PIPELINE:     1. Cowpea IITA BP00084 [Short duration boiled grain and dual-purpose cowpea].                                                                                                                                                                                               2. Cowpea IITA BP00085 [Medium duration boiled grain and dual-purpose cowpea]..-------- MARKET SEGMENT:     1. Cowpea WAF MS01225
2. Cowpea WAF MS01221 
.-------- INDICATOR:     Number of CG-NARES partners trained </v>
      </c>
      <c r="E39" s="4" t="str">
        <v>Number of people trained (capacity sharing for development)</v>
      </c>
      <c r="F39" s="4" t="str">
        <v>Burkina Faso, Senegal, Cameroon, Ghana, Nigeria, Niger, Mali</v>
      </c>
      <c r="G39" s="5">
        <v>14</v>
      </c>
      <c r="H39" s="5">
        <v>80000</v>
      </c>
      <c r="I39" s="4" t="str">
        <v>.</v>
      </c>
      <c r="J39" s="4">
        <v>4848</v>
      </c>
    </row>
    <row r="40" ht="25" customHeight="1">
      <c r="C40" s="9" t="str">
        <v>HLO budget subtotal</v>
      </c>
      <c r="H40" s="9">
        <v>80000</v>
      </c>
      <c r="J40" s="9" t="str">
        <v/>
      </c>
    </row>
    <row r="41" ht="50" customHeight="1" xml:space="preserve">
      <c r="A41" s="8" t="str">
        <v>AOW05: Enable</v>
      </c>
      <c r="B41" s="4" t="str">
        <v>IITA</v>
      </c>
      <c r="C41" s="4" t="str">
        <v>HLO22.AOW5.IO5 Exchange genetic resources</v>
      </c>
      <c r="D41" s="4" t="str" xml:space="preserve">
        <v xml:space="preserve">169-.-------IITA - COWPEA (Number of new pre-breeding populations developed; Number of validated trait-linked markers shared) ---..-------- KEY ACTIVITIES FOR THIS DELIVERABLE:      1. Pre-breeding populations will be developed using marker-assisted forward breeding or backcrossing for key essential traits to maintain, including resistance to Striga, bacterial blight, and aphids.
2. At least 3 populations developed for essential traits to maintain shared with NARS partners, along with their associated validated markers"
.-------- BREEDING PIPELINE:     1. Cowpea IITA BP00084 [Short duration boiled grain and dual-purpose cowpea].                                                                                                                                                                                               2. Cowpea IITA BP00085 [Medium duration boiled grain and dual-purpose cowpea]..-------- MARKET SEGMENT:     1. Cowpea WAF MS01225
2. Cowpea WAF MS01221 
.-------- INDICATOR:     Number of breeding lines developed</v>
      </c>
      <c r="E41" s="4" t="str">
        <v>Number of innovations (innovation development)</v>
      </c>
      <c r="F41" s="4" t="str">
        <v>Nigeria</v>
      </c>
      <c r="G41" s="5">
        <v>3</v>
      </c>
      <c r="H41" s="5">
        <v>0</v>
      </c>
      <c r="I41" s="4" t="str">
        <v/>
      </c>
      <c r="J41" s="4">
        <v>4733</v>
      </c>
    </row>
    <row r="42" ht="50" customHeight="1">
      <c r="B42" s="4" t="str">
        <v>IITA</v>
      </c>
      <c r="D42" s="4" t="str">
        <v>IITA ------------------ Actionable evidence on trends, patterns, and strategies related to licensing, exchange, and use of PGRFA</v>
      </c>
      <c r="E42" s="4" t="str">
        <v>Number of knowledge products</v>
      </c>
      <c r="F42" s="4" t="str">
        <v>China, Kenya, United States of America</v>
      </c>
      <c r="G42" s="5">
        <v>2</v>
      </c>
      <c r="H42" s="5">
        <v>0</v>
      </c>
      <c r="I42" s="4" t="str">
        <v/>
      </c>
      <c r="J42" s="4">
        <v>4734</v>
      </c>
    </row>
    <row r="43" ht="50" customHeight="1" xml:space="preserve">
      <c r="A43" s="4" t="str">
        <v>AOW05: Enable</v>
      </c>
      <c r="B43" s="4" t="str">
        <v>IITA</v>
      </c>
      <c r="C43" s="4" t="str">
        <v>HLO18.AOW5.IO2 Partnered networks</v>
      </c>
      <c r="D43" s="4" t="str" xml:space="preserve">
        <v xml:space="preserve">148-.-------IITA - RTB Breeding Network Coordination &amp; Enablement (Number of Network members that received targeted capacity-sharing on data management, analytics, and product advancement protocols.) ---..-------- KEY ACTIVITIES FOR THIS DELIVERABLE:      1. Conduct product advancement meenting                         
2.  Training on the EBS and Bioflow will be scheduled for all network partners                                                                   
 3. revise the TPP across all market segment .-------- BREEDING PIPELINE:     This covered all the product profile  across the RTB.-------- MARKET SEGMENT:     Yam, Cassava and Banana/Plantain.-------- INDICATOR:     Number of CGIAR-NARES  partners trained </v>
      </c>
      <c r="E43" s="4" t="str">
        <v>Number of people trained (capacity sharing for development)</v>
      </c>
      <c r="F43" s="4" t="str">
        <v>Benin, Zambia, Côte d'Ivoire, Ghana, Tanzania, United Republic, The Democratic Republic of the Congo, Uganda, Nigeria</v>
      </c>
      <c r="G43" s="5">
        <v>20</v>
      </c>
      <c r="H43" s="5">
        <v>150000</v>
      </c>
      <c r="I43" s="4" t="str">
        <v>.</v>
      </c>
      <c r="J43" s="4">
        <v>4738</v>
      </c>
    </row>
    <row r="44" ht="50" customHeight="1" xml:space="preserve">
      <c r="B44" s="4" t="str">
        <v>IITA</v>
      </c>
      <c r="D44" s="4" t="str" xml:space="preserve">
        <v xml:space="preserve">153-.---- IITA - (Maize, Cowpea, Soybean) REGIONAL ADVANCEMENT MEETINGS -----..-------- KEY ACTIVITIES FOR THIS DELIVERABLE:      1. Conduct product advancement meenting                         2.  Training on the EBS and Bioflow will be scheduled for all network partners                                                                    3. revise the TPP across all market segment .-------- BREEDING PIPELINE:     This covered all the product profile  across the Cowpea, Maize and Soybean.-------- MARKET SEGMENT:     Cowpea Maize, Soybean .-------- INDICATOR:     Number of CGIAR-NARES partners trained
</v>
      </c>
      <c r="E44" s="4" t="str">
        <v>Number of people trained (capacity sharing for development)</v>
      </c>
      <c r="F44" s="4" t="str">
        <v>Nigeria, Benin, Zambia, The Democratic Republic of the Congo, Côte d'Ivoire, Mozambique, Uganda, Ghana, Malawi, Tanzania, United Republic, Kenya</v>
      </c>
      <c r="G44" s="5">
        <v>20</v>
      </c>
      <c r="H44" s="5">
        <v>150000</v>
      </c>
      <c r="I44" s="4" t="str">
        <v>.</v>
      </c>
      <c r="J44" s="4">
        <v>4743</v>
      </c>
    </row>
    <row r="45" ht="25" customHeight="1">
      <c r="C45" s="9" t="str">
        <v>HLO budget subtotal</v>
      </c>
      <c r="H45" s="9">
        <v>300000</v>
      </c>
      <c r="J45" s="9" t="str">
        <v/>
      </c>
    </row>
  </sheetData>
  <mergeCells count="23">
    <mergeCell ref="A1:A2"/>
    <mergeCell ref="B1:B2"/>
    <mergeCell ref="C1:C2"/>
    <mergeCell ref="D1:H1"/>
    <mergeCell ref="I1:I2"/>
    <mergeCell ref="J1:J2"/>
    <mergeCell ref="C4:G4"/>
    <mergeCell ref="A3:A4"/>
    <mergeCell ref="C6:C9"/>
    <mergeCell ref="C10:C17"/>
    <mergeCell ref="C19:G19"/>
    <mergeCell ref="A5:A19"/>
    <mergeCell ref="C20:C26"/>
    <mergeCell ref="C27:C32"/>
    <mergeCell ref="C33:C37"/>
    <mergeCell ref="C38:G38"/>
    <mergeCell ref="A20:A38"/>
    <mergeCell ref="C40:G40"/>
    <mergeCell ref="A39:A40"/>
    <mergeCell ref="C41:C42"/>
    <mergeCell ref="C43:C44"/>
    <mergeCell ref="C45:G45"/>
    <mergeCell ref="A41:A45"/>
  </mergeCells>
  <ignoredErrors>
    <ignoredError numberStoredAsText="1" sqref="A1:J45"/>
  </ignoredErrors>
</worksheet>
</file>

<file path=xl/worksheets/sheet3.xml><?xml version="1.0" encoding="utf-8"?>
<worksheet xmlns="http://schemas.openxmlformats.org/spreadsheetml/2006/main" xmlns:r="http://schemas.openxmlformats.org/officeDocument/2006/relationships">
  <dimension ref="A1:G1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Department of Agricultural Research Services</v>
      </c>
      <c r="C2" s="4" t="str">
        <v>IITA</v>
      </c>
      <c r="D2" s="4" t="str">
        <v>Zimbabwe</v>
      </c>
      <c r="E2" s="5">
        <v>6000</v>
      </c>
      <c r="F2" s="4" t="str">
        <v>.</v>
      </c>
      <c r="G2" s="4">
        <v>321</v>
      </c>
    </row>
    <row r="3" ht="50" customHeight="1">
      <c r="A3" s="4" t="str">
        <v>AOW02: Accelerated Breeding</v>
      </c>
      <c r="B3" s="4" t="str">
        <v>Zambia Agriculture Research Institute</v>
      </c>
      <c r="C3" s="4" t="str">
        <v>IITA</v>
      </c>
      <c r="D3" s="4" t="str">
        <v>Zambia</v>
      </c>
      <c r="E3" s="5">
        <v>6000</v>
      </c>
      <c r="F3" s="4" t="str">
        <v>,</v>
      </c>
      <c r="G3" s="4">
        <v>322</v>
      </c>
    </row>
    <row r="4" ht="50" customHeight="1">
      <c r="A4" s="4" t="str">
        <v>AOW02: Accelerated Breeding</v>
      </c>
      <c r="B4" s="4" t="str">
        <v>Makerere University</v>
      </c>
      <c r="C4" s="4" t="str">
        <v>IITA</v>
      </c>
      <c r="D4" s="4" t="str">
        <v>Uganda</v>
      </c>
      <c r="E4" s="5">
        <v>6000</v>
      </c>
      <c r="F4" s="4" t="str">
        <v>.</v>
      </c>
      <c r="G4" s="4">
        <v>323</v>
      </c>
    </row>
    <row r="5" ht="50" customHeight="1">
      <c r="A5" s="4" t="str">
        <v>AOW02: Accelerated Breeding</v>
      </c>
      <c r="B5" s="4" t="str">
        <v>Ethiopian Institute of Agricultural Research</v>
      </c>
      <c r="C5" s="4" t="str">
        <v>IITA</v>
      </c>
      <c r="D5" s="4" t="str">
        <v>Ethiopia</v>
      </c>
      <c r="E5" s="5">
        <v>8600</v>
      </c>
      <c r="F5" s="4" t="str">
        <v>.</v>
      </c>
      <c r="G5" s="4">
        <v>330</v>
      </c>
    </row>
    <row r="6" ht="25" customHeight="1">
      <c r="B6" s="9" t="str">
        <v>Contracted partners subtotal</v>
      </c>
      <c r="E6" s="9">
        <v>26600</v>
      </c>
      <c r="F6" s="9" t="str">
        <v/>
      </c>
      <c r="G6" s="9" t="str">
        <v/>
      </c>
    </row>
    <row r="7" ht="50" customHeight="1">
      <c r="A7" s="8" t="str">
        <v>AOW03: Inclusive Delivery</v>
      </c>
      <c r="B7" s="4" t="str">
        <v>Instituto de Investigacao Agraria de Mozambique</v>
      </c>
      <c r="C7" s="4" t="str">
        <v>IITA</v>
      </c>
      <c r="D7" s="4" t="str">
        <v>Mozambique</v>
      </c>
      <c r="E7" s="5">
        <v>6000</v>
      </c>
      <c r="F7" s="4" t="str">
        <v>.</v>
      </c>
      <c r="G7" s="4">
        <v>437</v>
      </c>
    </row>
    <row r="8" ht="50" customHeight="1">
      <c r="A8" s="4" t="str">
        <v>AOW03: Inclusive Delivery</v>
      </c>
      <c r="B8" s="4" t="str">
        <v>Kenya Agricultural and Livestock Research Organization</v>
      </c>
      <c r="C8" s="4" t="str">
        <v>IITA</v>
      </c>
      <c r="D8" s="4" t="str">
        <v>Kenya</v>
      </c>
      <c r="E8" s="5">
        <v>2000</v>
      </c>
      <c r="F8" s="4" t="str">
        <v>.</v>
      </c>
      <c r="G8" s="4">
        <v>438</v>
      </c>
    </row>
    <row r="9" ht="50" customHeight="1">
      <c r="A9" s="4" t="str">
        <v>AOW03: Inclusive Delivery</v>
      </c>
      <c r="B9" s="4" t="str">
        <v>Tanzania Agricultural Research Institute</v>
      </c>
      <c r="C9" s="4" t="str">
        <v>IITA</v>
      </c>
      <c r="D9" s="4" t="str">
        <v>Tanzania, United Republic</v>
      </c>
      <c r="E9" s="5">
        <v>26000</v>
      </c>
      <c r="F9" s="4" t="str">
        <v>.</v>
      </c>
      <c r="G9" s="4">
        <v>439</v>
      </c>
    </row>
    <row r="10" ht="50" customHeight="1">
      <c r="A10" s="4" t="str">
        <v>AOW03: Inclusive Delivery</v>
      </c>
      <c r="B10" s="4" t="str">
        <v>National Horticultural Research Institute</v>
      </c>
      <c r="C10" s="4" t="str">
        <v>IITA</v>
      </c>
      <c r="D10" s="4" t="str">
        <v>Nigeria</v>
      </c>
      <c r="E10" s="5">
        <v>4000</v>
      </c>
      <c r="F10" s="4" t="str">
        <v>.</v>
      </c>
      <c r="G10" s="4">
        <v>440</v>
      </c>
    </row>
    <row r="11" ht="50" customHeight="1">
      <c r="A11" s="4" t="str">
        <v>AOW03: Inclusive Delivery</v>
      </c>
      <c r="B11" s="4" t="str">
        <v>National Root Crops Research Institute</v>
      </c>
      <c r="C11" s="4" t="str">
        <v>IITA</v>
      </c>
      <c r="D11" s="4" t="str">
        <v>Nigeria</v>
      </c>
      <c r="E11" s="5">
        <v>25000</v>
      </c>
      <c r="F11" s="4" t="str">
        <v>.</v>
      </c>
      <c r="G11" s="4">
        <v>441</v>
      </c>
    </row>
    <row r="12" ht="50" customHeight="1">
      <c r="A12" s="4" t="str">
        <v>AOW03: Inclusive Delivery</v>
      </c>
      <c r="B12" s="4" t="str">
        <v>Crops Research Institute, Ghana</v>
      </c>
      <c r="C12" s="4" t="str">
        <v>IITA</v>
      </c>
      <c r="D12" s="4" t="str">
        <v>Ghana</v>
      </c>
      <c r="E12" s="5">
        <v>6000</v>
      </c>
      <c r="F12" s="4" t="str">
        <v>.</v>
      </c>
      <c r="G12" s="4">
        <v>442</v>
      </c>
    </row>
    <row r="13" ht="50" customHeight="1">
      <c r="A13" s="4" t="str">
        <v>AOW03: Inclusive Delivery</v>
      </c>
      <c r="B13" s="4" t="str">
        <v>Tanzania Official Seed Certification Institute</v>
      </c>
      <c r="C13" s="4" t="str">
        <v>IITA</v>
      </c>
      <c r="D13" s="4" t="str">
        <v>Tanzania, United Republic</v>
      </c>
      <c r="E13" s="5">
        <v>3000</v>
      </c>
      <c r="F13" s="4" t="str">
        <v>.</v>
      </c>
      <c r="G13" s="4">
        <v>443</v>
      </c>
    </row>
    <row r="14" ht="50" customHeight="1">
      <c r="A14" s="4" t="str">
        <v>AOW03: Inclusive Delivery</v>
      </c>
      <c r="B14" s="4" t="str">
        <v>National Agricultural Seeds Council</v>
      </c>
      <c r="C14" s="4" t="str">
        <v>IITA</v>
      </c>
      <c r="D14" s="4" t="str">
        <v>Nigeria</v>
      </c>
      <c r="E14" s="5">
        <v>4000</v>
      </c>
      <c r="F14" s="4" t="str">
        <v>.</v>
      </c>
      <c r="G14" s="4">
        <v>444</v>
      </c>
    </row>
    <row r="15" ht="50" customHeight="1">
      <c r="A15" s="4" t="str">
        <v>AOW03: Inclusive Delivery</v>
      </c>
      <c r="B15" s="4" t="str">
        <v>Institute of Agricultural Research (Nigeria)</v>
      </c>
      <c r="C15" s="4" t="str">
        <v>IITA</v>
      </c>
      <c r="D15" s="4" t="str">
        <v>Nigeria</v>
      </c>
      <c r="E15" s="5">
        <v>12000</v>
      </c>
      <c r="F15" s="4" t="str">
        <v>.</v>
      </c>
      <c r="G15" s="4">
        <v>445</v>
      </c>
    </row>
    <row r="16" ht="50" customHeight="1">
      <c r="A16" s="4" t="str">
        <v>AOW03: Inclusive Delivery</v>
      </c>
      <c r="B16" s="4" t="str">
        <v>National Agricultural Research Organisation (Uganda)</v>
      </c>
      <c r="C16" s="4" t="str">
        <v>IITA</v>
      </c>
      <c r="D16" s="4" t="str">
        <v>Uganda</v>
      </c>
      <c r="E16" s="5">
        <v>7000</v>
      </c>
      <c r="F16" s="4" t="str">
        <v>.</v>
      </c>
      <c r="G16" s="4">
        <v>446</v>
      </c>
    </row>
    <row r="17" ht="25" customHeight="1">
      <c r="B17" s="9" t="str">
        <v>Contracted partners subtotal</v>
      </c>
      <c r="E17" s="9">
        <v>95000</v>
      </c>
      <c r="F17" s="9" t="str">
        <v/>
      </c>
      <c r="G17" s="9" t="str">
        <v/>
      </c>
    </row>
  </sheetData>
  <mergeCells count="4">
    <mergeCell ref="B6:D6"/>
    <mergeCell ref="A2:A6"/>
    <mergeCell ref="B17:D17"/>
    <mergeCell ref="A7:A17"/>
  </mergeCells>
  <ignoredErrors>
    <ignoredError numberStoredAsText="1" sqref="A1:G17"/>
  </ignoredErrors>
</worksheet>
</file>

<file path=xl/worksheets/sheet4.xml><?xml version="1.0" encoding="utf-8"?>
<worksheet xmlns="http://schemas.openxmlformats.org/spreadsheetml/2006/main" xmlns:r="http://schemas.openxmlformats.org/officeDocument/2006/relationships">
  <dimension ref="A1:F1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PJ-003953: APPUI A LA TRANSFORMATION ET A LA RESILIENCE DES SYSTEMES ALIMENTAIRES DE MADAGASCAR A TRAVERS LA RECHERCHE POUR LE DEVELOPPEMENT</v>
      </c>
      <c r="C2" s="4" t="str">
        <v>I-OC 3.5. Women, men, youth, and marginalized social groups accessing quality seed of improved varieties</v>
      </c>
      <c r="D2" s="5">
        <v>0</v>
      </c>
      <c r="E2" s="4" t="str">
        <v/>
      </c>
      <c r="F2" s="4">
        <v>882</v>
      </c>
    </row>
    <row r="3" ht="60" customHeight="1">
      <c r="A3" s="4" t="str">
        <v>IITA</v>
      </c>
      <c r="B3" s="4" t="str">
        <v>PJ-003978: Cassava Source Sink (CASS) Phase III</v>
      </c>
      <c r="C3" s="4" t="str">
        <v>I-OC 1.2. Breeding network actors adopt transformative partnership approaches driving equity and sustainability for analyzing markets and opportunities, product development, product delivery and scaling</v>
      </c>
      <c r="D3" s="5">
        <v>0</v>
      </c>
      <c r="E3" s="4" t="str">
        <v/>
      </c>
      <c r="F3" s="4">
        <v>930</v>
      </c>
    </row>
    <row r="4" ht="60" customHeight="1" xml:space="preserve">
      <c r="A4" s="4" t="str">
        <v>IITA</v>
      </c>
      <c r="B4" s="4" t="str">
        <v>Redesigning banana breeding</v>
      </c>
      <c r="C4"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D4" s="5">
        <v>0</v>
      </c>
      <c r="E4" s="4" t="str">
        <v/>
      </c>
      <c r="F4" s="4">
        <v>920</v>
      </c>
    </row>
    <row r="5" ht="60" customHeight="1">
      <c r="A5" s="4" t="str">
        <v>IITA</v>
      </c>
      <c r="B5" s="4" t="str">
        <v>T-PJ-003651-Program for Seed System Innovation for VPCs in Africa (PROSSIVA)</v>
      </c>
      <c r="C5" s="4" t="str">
        <v>I-OC 3.5. Women, men, youth, and marginalized social groups accessing quality seed of improved varieties</v>
      </c>
      <c r="D5" s="5">
        <v>0</v>
      </c>
      <c r="E5" s="4" t="str">
        <v/>
      </c>
      <c r="F5" s="4">
        <v>877</v>
      </c>
    </row>
    <row r="6" ht="60" customHeight="1">
      <c r="A6" s="4" t="str">
        <v>IITA</v>
      </c>
      <c r="B6" s="4" t="str">
        <v>T-PJ-003776: Crops to End Hunger (CteH) Research project "CtEH-07: Upgrading Infrastructure and Facilities for Accelerated Breeding and Genetic Gain in Cassava; CteH-16 Regional Germplasm Hub for Vegetatively Propagated Crops @ KEPHIS Muguga; CtEH-OneCGIAR-Facilities upgrade and Mechanization Improvement"</v>
      </c>
      <c r="C6" s="4" t="str">
        <v>I-OC 1.2. Breeding network actors adopt transformative partnership approaches driving equity and sustainability for analyzing markets and opportunities, product development, product delivery and scaling</v>
      </c>
      <c r="D6" s="5">
        <v>0</v>
      </c>
      <c r="E6" s="4" t="str">
        <v/>
      </c>
      <c r="F6" s="4">
        <v>943</v>
      </c>
    </row>
    <row r="7" ht="60" customHeight="1">
      <c r="A7" s="4" t="str">
        <v>IITA</v>
      </c>
      <c r="B7" s="4" t="str">
        <v>T-PJ-003778-SGP-RTB - Roots Tubers and Bananas Breeding: a consolidated investment</v>
      </c>
      <c r="C7" s="4" t="str">
        <v>I-OC 1.3. Breeding network actors orient product development toward delivery of the greatest benefits across the 5 Impact Areas</v>
      </c>
      <c r="D7" s="5">
        <v>0</v>
      </c>
      <c r="E7" s="4" t="str">
        <v/>
      </c>
      <c r="F7" s="4">
        <v>899</v>
      </c>
    </row>
    <row r="8" ht="60" customHeight="1">
      <c r="A8" s="4" t="str">
        <v>IITA</v>
      </c>
      <c r="B8" s="4" t="str">
        <v>T-PJ-003911-CGIAR Genetic Innovations Public-Private Partnership Platform</v>
      </c>
      <c r="C8" s="4" t="str">
        <v>I-OC 1.3. Breeding network actors orient product development toward delivery of the greatest benefits across the 5 Impact Areas</v>
      </c>
      <c r="D8" s="5">
        <v>0</v>
      </c>
      <c r="E8" s="4" t="str">
        <v/>
      </c>
      <c r="F8" s="4">
        <v>898</v>
      </c>
    </row>
    <row r="9" ht="60" customHeight="1">
      <c r="A9" s="4" t="str">
        <v>IITA</v>
      </c>
      <c r="B9" s="4" t="str">
        <v>T-PJ-003917-Strengthening soybean crop improvement in Africa to accelerate development of a stream of climate-smart varieties for small-scale producers, enabling their income growth, improved nutrition and national economic growth.</v>
      </c>
      <c r="C9" s="4" t="str">
        <v>I-OC 1.2. Breeding network actors adopt transformative partnership approaches driving equity and sustainability for analyzing markets and opportunities, product development, product delivery and scaling</v>
      </c>
      <c r="D9" s="5">
        <v>0</v>
      </c>
      <c r="E9" s="4" t="str">
        <v/>
      </c>
      <c r="F9" s="4">
        <v>928</v>
      </c>
    </row>
    <row r="10" ht="60" customHeight="1">
      <c r="A10" s="4" t="str">
        <v>IITA</v>
      </c>
      <c r="B10" s="4" t="str">
        <v>T-PJ-003994-BMGF/IITA - YAM OPTIMIZED ARCHITECTURE THROUGH G</v>
      </c>
      <c r="C10" s="4" t="str">
        <v>I-OC 1.4. Breeding network actors accelerate the development of impactful products that provide large-scale benefits across the 5 Impact Areas</v>
      </c>
      <c r="D10" s="5">
        <v>0</v>
      </c>
      <c r="E10" s="4" t="str">
        <v/>
      </c>
      <c r="F10" s="4">
        <v>911</v>
      </c>
    </row>
    <row r="11" ht="25" customHeight="1">
      <c r="B11" s="9" t="str">
        <v>W3/Bilateral budget subtotal</v>
      </c>
      <c r="D11" s="9">
        <v>0</v>
      </c>
      <c r="E11" s="9" t="str">
        <v/>
      </c>
      <c r="F11" s="9" t="str">
        <v/>
      </c>
    </row>
  </sheetData>
  <mergeCells count="2">
    <mergeCell ref="B11:C11"/>
    <mergeCell ref="A2:A11"/>
  </mergeCells>
  <ignoredErrors>
    <ignoredError numberStoredAsText="1" sqref="A1:F1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IITA</v>
      </c>
      <c r="C2" s="4" t="str">
        <v>Area of Work Leads</v>
      </c>
      <c r="D2" s="5">
        <v>94628</v>
      </c>
      <c r="E2" s="4" t="str" xml:space="preserve">
        <v xml:space="preserve">aow lead costs:
1) 94,628USD for VISH REDDY for 8 months (April-Dec) 2026
total = 94,628USD</v>
      </c>
      <c r="F2" s="4">
        <v>41</v>
      </c>
      <c r="G2" s="4">
        <v>3</v>
      </c>
    </row>
    <row r="3" ht="45" customHeight="1">
      <c r="A3" s="4" t="str">
        <v>AOW00: Cross Cutting</v>
      </c>
      <c r="B3" s="4" t="str">
        <v>IITA</v>
      </c>
      <c r="C3" s="4" t="str">
        <v>Operations</v>
      </c>
      <c r="D3" s="5">
        <v>0</v>
      </c>
      <c r="E3" s="4" t="str">
        <v/>
      </c>
      <c r="F3" s="4">
        <v>54</v>
      </c>
      <c r="G3" s="4">
        <v>4</v>
      </c>
    </row>
    <row r="4" ht="25" customHeight="1">
      <c r="C4" s="9" t="str">
        <v>Cross-cutting budget subtotal</v>
      </c>
      <c r="D4" s="9">
        <v>94628</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94628</v>
      </c>
      <c r="C2" s="5">
        <v>0</v>
      </c>
      <c r="D2" s="5">
        <v>1322870</v>
      </c>
      <c r="E2" s="5">
        <v>617976</v>
      </c>
      <c r="F2" s="5">
        <v>60000</v>
      </c>
      <c r="G2" s="5">
        <v>197069</v>
      </c>
      <c r="H2" s="5">
        <f>=SUM(B2:G2)</f>
        <v>0</v>
      </c>
    </row>
    <row r="3" ht="20" customHeight="1">
      <c r="A3" s="4" t="str">
        <v>Operations (supplies, consultants, travels, workshops, other)</v>
      </c>
      <c r="B3" s="5">
        <v>0</v>
      </c>
      <c r="C3" s="5">
        <v>33000</v>
      </c>
      <c r="D3" s="5">
        <v>690564</v>
      </c>
      <c r="E3" s="5">
        <v>542024</v>
      </c>
      <c r="F3" s="5">
        <v>20000</v>
      </c>
      <c r="G3" s="5">
        <v>102931</v>
      </c>
      <c r="H3" s="5">
        <f>=SUM(B3:G3)</f>
        <v>0</v>
      </c>
    </row>
    <row r="4" ht="20" customHeight="1">
      <c r="A4" s="4" t="str">
        <v>Collaborators non-CGIAR centers</v>
      </c>
      <c r="B4" s="5">
        <v>0</v>
      </c>
      <c r="C4" s="5">
        <v>0</v>
      </c>
      <c r="D4" s="5">
        <v>26600</v>
      </c>
      <c r="E4" s="5">
        <v>95000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4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IITA</v>
      </c>
      <c r="C2" s="4" t="str">
        <v>Nigeria</v>
      </c>
      <c r="D2" s="5">
        <v>100</v>
      </c>
      <c r="E2" s="4">
        <v>3381</v>
      </c>
    </row>
    <row r="3" ht="45" customHeight="1">
      <c r="A3" s="8" t="str">
        <v>AOW01: Market Intelligence</v>
      </c>
      <c r="B3" s="4" t="str">
        <v>IITA</v>
      </c>
      <c r="C3" s="4" t="str">
        <v>Kenya</v>
      </c>
      <c r="D3" s="5">
        <v>100</v>
      </c>
      <c r="E3" s="4">
        <v>2737</v>
      </c>
    </row>
    <row r="4" ht="45" customHeight="1">
      <c r="A4" s="8" t="str">
        <v>AOW02: Accelerated Breeding</v>
      </c>
      <c r="B4" s="4" t="str">
        <v>IITA</v>
      </c>
      <c r="C4" s="4" t="str">
        <v>Benin</v>
      </c>
      <c r="D4" s="5">
        <v>2</v>
      </c>
      <c r="E4" s="4">
        <v>2557</v>
      </c>
    </row>
    <row r="5" ht="45" customHeight="1">
      <c r="A5" s="4" t="str">
        <v>AOW02: Accelerated Breeding</v>
      </c>
      <c r="B5" s="4" t="str">
        <v>IITA</v>
      </c>
      <c r="C5" s="4" t="str">
        <v>Burkina Faso</v>
      </c>
      <c r="D5" s="5">
        <v>2</v>
      </c>
      <c r="E5" s="4">
        <v>2558</v>
      </c>
    </row>
    <row r="6" ht="45" customHeight="1">
      <c r="A6" s="4" t="str">
        <v>AOW02: Accelerated Breeding</v>
      </c>
      <c r="B6" s="4" t="str">
        <v>IITA</v>
      </c>
      <c r="C6" s="4" t="str">
        <v>Cameroon</v>
      </c>
      <c r="D6" s="5">
        <v>3</v>
      </c>
      <c r="E6" s="4">
        <v>2559</v>
      </c>
    </row>
    <row r="7" ht="45" customHeight="1">
      <c r="A7" s="4" t="str">
        <v>AOW02: Accelerated Breeding</v>
      </c>
      <c r="B7" s="4" t="str">
        <v>IITA</v>
      </c>
      <c r="C7" s="4" t="str">
        <v>Côte d'Ivoire</v>
      </c>
      <c r="D7" s="5">
        <v>2</v>
      </c>
      <c r="E7" s="4">
        <v>2560</v>
      </c>
    </row>
    <row r="8" ht="45" customHeight="1">
      <c r="A8" s="4" t="str">
        <v>AOW02: Accelerated Breeding</v>
      </c>
      <c r="B8" s="4" t="str">
        <v>IITA</v>
      </c>
      <c r="C8" s="4" t="str">
        <v>Ethiopia</v>
      </c>
      <c r="D8" s="5">
        <v>2</v>
      </c>
      <c r="E8" s="4">
        <v>2561</v>
      </c>
    </row>
    <row r="9" ht="45" customHeight="1">
      <c r="A9" s="4" t="str">
        <v>AOW02: Accelerated Breeding</v>
      </c>
      <c r="B9" s="4" t="str">
        <v>IITA</v>
      </c>
      <c r="C9" s="4" t="str">
        <v>Ghana</v>
      </c>
      <c r="D9" s="5">
        <v>5</v>
      </c>
      <c r="E9" s="4">
        <v>2980</v>
      </c>
    </row>
    <row r="10" ht="45" customHeight="1">
      <c r="A10" s="4" t="str">
        <v>AOW02: Accelerated Breeding</v>
      </c>
      <c r="B10" s="4" t="str">
        <v>IITA</v>
      </c>
      <c r="C10" s="4" t="str">
        <v>Malawi</v>
      </c>
      <c r="D10" s="5">
        <v>5</v>
      </c>
      <c r="E10" s="4">
        <v>2981</v>
      </c>
    </row>
    <row r="11" ht="45" customHeight="1">
      <c r="A11" s="4" t="str">
        <v>AOW02: Accelerated Breeding</v>
      </c>
      <c r="B11" s="4" t="str">
        <v>IITA</v>
      </c>
      <c r="C11" s="4" t="str">
        <v>Mali</v>
      </c>
      <c r="D11" s="5">
        <v>5</v>
      </c>
      <c r="E11" s="4">
        <v>2982</v>
      </c>
    </row>
    <row r="12" ht="45" customHeight="1">
      <c r="A12" s="4" t="str">
        <v>AOW02: Accelerated Breeding</v>
      </c>
      <c r="B12" s="4" t="str">
        <v>IITA</v>
      </c>
      <c r="C12" s="4" t="str">
        <v>Niger</v>
      </c>
      <c r="D12" s="5">
        <v>5</v>
      </c>
      <c r="E12" s="4">
        <v>2983</v>
      </c>
    </row>
    <row r="13" ht="45" customHeight="1">
      <c r="A13" s="4" t="str">
        <v>AOW02: Accelerated Breeding</v>
      </c>
      <c r="B13" s="4" t="str">
        <v>IITA</v>
      </c>
      <c r="C13" s="4" t="str">
        <v>Nigeria</v>
      </c>
      <c r="D13" s="5">
        <v>30</v>
      </c>
      <c r="E13" s="4">
        <v>2984</v>
      </c>
    </row>
    <row r="14" ht="45" customHeight="1">
      <c r="A14" s="4" t="str">
        <v>AOW02: Accelerated Breeding</v>
      </c>
      <c r="B14" s="4" t="str">
        <v>IITA</v>
      </c>
      <c r="C14" s="4" t="str">
        <v>Senegal</v>
      </c>
      <c r="D14" s="5">
        <v>4</v>
      </c>
      <c r="E14" s="4">
        <v>2985</v>
      </c>
    </row>
    <row r="15" ht="45" customHeight="1">
      <c r="A15" s="4" t="str">
        <v>AOW02: Accelerated Breeding</v>
      </c>
      <c r="B15" s="4" t="str">
        <v>IITA</v>
      </c>
      <c r="C15" s="4" t="str">
        <v>Sierra Leone</v>
      </c>
      <c r="D15" s="5">
        <v>5</v>
      </c>
      <c r="E15" s="4">
        <v>2986</v>
      </c>
    </row>
    <row r="16" ht="45" customHeight="1">
      <c r="A16" s="4" t="str">
        <v>AOW02: Accelerated Breeding</v>
      </c>
      <c r="B16" s="4" t="str">
        <v>IITA</v>
      </c>
      <c r="C16" s="4" t="str">
        <v>Tanzania</v>
      </c>
      <c r="D16" s="5">
        <v>10</v>
      </c>
      <c r="E16" s="4">
        <v>2987</v>
      </c>
    </row>
    <row r="17" ht="45" customHeight="1">
      <c r="A17" s="4" t="str">
        <v>AOW02: Accelerated Breeding</v>
      </c>
      <c r="B17" s="4" t="str">
        <v>IITA</v>
      </c>
      <c r="C17" s="4" t="str">
        <v>Uganda</v>
      </c>
      <c r="D17" s="5">
        <v>10</v>
      </c>
      <c r="E17" s="4">
        <v>2988</v>
      </c>
    </row>
    <row r="18" ht="45" customHeight="1">
      <c r="A18" s="4" t="str">
        <v>AOW02: Accelerated Breeding</v>
      </c>
      <c r="B18" s="4" t="str">
        <v>IITA</v>
      </c>
      <c r="C18" s="4" t="str">
        <v>United Republic</v>
      </c>
      <c r="D18" s="5">
        <v>2</v>
      </c>
      <c r="E18" s="4">
        <v>2562</v>
      </c>
    </row>
    <row r="19" ht="45" customHeight="1">
      <c r="A19" s="4" t="str">
        <v>AOW02: Accelerated Breeding</v>
      </c>
      <c r="B19" s="4" t="str">
        <v>IITA</v>
      </c>
      <c r="C19" s="4" t="str">
        <v>Zambia</v>
      </c>
      <c r="D19" s="5">
        <v>8</v>
      </c>
      <c r="E19" s="4">
        <v>2563</v>
      </c>
    </row>
    <row r="20" ht="45" customHeight="1">
      <c r="A20" s="8" t="str">
        <v>AOW03: Inclusive Delivery</v>
      </c>
      <c r="B20" s="4" t="str">
        <v>IITA</v>
      </c>
      <c r="C20" s="4" t="str">
        <v>Ghana</v>
      </c>
      <c r="D20" s="5">
        <v>6.3</v>
      </c>
      <c r="E20" s="4">
        <v>2635</v>
      </c>
    </row>
    <row r="21" ht="45" customHeight="1">
      <c r="A21" s="4" t="str">
        <v>AOW03: Inclusive Delivery</v>
      </c>
      <c r="B21" s="4" t="str">
        <v>IITA</v>
      </c>
      <c r="C21" s="4" t="str">
        <v>Kenya</v>
      </c>
      <c r="D21" s="5">
        <v>2.1</v>
      </c>
      <c r="E21" s="4">
        <v>2636</v>
      </c>
    </row>
    <row r="22" ht="45" customHeight="1">
      <c r="A22" s="4" t="str">
        <v>AOW03: Inclusive Delivery</v>
      </c>
      <c r="B22" s="4" t="str">
        <v>IITA</v>
      </c>
      <c r="C22" s="4" t="str">
        <v>Mozambique</v>
      </c>
      <c r="D22" s="5">
        <v>6.3</v>
      </c>
      <c r="E22" s="4">
        <v>2637</v>
      </c>
    </row>
    <row r="23" ht="45" customHeight="1">
      <c r="A23" s="4" t="str">
        <v>AOW03: Inclusive Delivery</v>
      </c>
      <c r="B23" s="4" t="str">
        <v>IITA</v>
      </c>
      <c r="C23" s="4" t="str">
        <v>Nigeria</v>
      </c>
      <c r="D23" s="5">
        <v>47.4</v>
      </c>
      <c r="E23" s="4">
        <v>2638</v>
      </c>
    </row>
    <row r="24" ht="45" customHeight="1">
      <c r="A24" s="4" t="str">
        <v>AOW03: Inclusive Delivery</v>
      </c>
      <c r="B24" s="4" t="str">
        <v>IITA</v>
      </c>
      <c r="C24" s="4" t="str">
        <v>Tanzania</v>
      </c>
      <c r="D24" s="5">
        <v>30.5</v>
      </c>
      <c r="E24" s="4">
        <v>2639</v>
      </c>
    </row>
    <row r="25" ht="45" customHeight="1">
      <c r="A25" s="4" t="str">
        <v>AOW03: Inclusive Delivery</v>
      </c>
      <c r="B25" s="4" t="str">
        <v>IITA</v>
      </c>
      <c r="C25" s="4" t="str">
        <v>Uganda</v>
      </c>
      <c r="D25" s="5">
        <v>7.4</v>
      </c>
      <c r="E25" s="4">
        <v>2640</v>
      </c>
    </row>
    <row r="26" ht="45" customHeight="1">
      <c r="A26" s="8" t="str">
        <v>AOW04: Breeding Resources</v>
      </c>
      <c r="B26" s="4" t="str">
        <v>IITA</v>
      </c>
      <c r="C26" s="4" t="str">
        <v>Burkina Faso</v>
      </c>
      <c r="D26" s="5">
        <v>10</v>
      </c>
      <c r="E26" s="4">
        <v>2989</v>
      </c>
    </row>
    <row r="27" ht="45" customHeight="1">
      <c r="A27" s="4" t="str">
        <v>AOW04: Breeding Resources</v>
      </c>
      <c r="B27" s="4" t="str">
        <v>IITA</v>
      </c>
      <c r="C27" s="4" t="str">
        <v>Cameroon</v>
      </c>
      <c r="D27" s="5">
        <v>10</v>
      </c>
      <c r="E27" s="4">
        <v>2990</v>
      </c>
    </row>
    <row r="28" ht="45" customHeight="1">
      <c r="A28" s="4" t="str">
        <v>AOW04: Breeding Resources</v>
      </c>
      <c r="B28" s="4" t="str">
        <v>IITA</v>
      </c>
      <c r="C28" s="4" t="str">
        <v>Ghana</v>
      </c>
      <c r="D28" s="5">
        <v>15</v>
      </c>
      <c r="E28" s="4">
        <v>2991</v>
      </c>
    </row>
    <row r="29" ht="45" customHeight="1">
      <c r="A29" s="4" t="str">
        <v>AOW04: Breeding Resources</v>
      </c>
      <c r="B29" s="4" t="str">
        <v>IITA</v>
      </c>
      <c r="C29" s="4" t="str">
        <v>Mali</v>
      </c>
      <c r="D29" s="5">
        <v>12.5</v>
      </c>
      <c r="E29" s="4">
        <v>2992</v>
      </c>
    </row>
    <row r="30" ht="45" customHeight="1">
      <c r="A30" s="4" t="str">
        <v>AOW04: Breeding Resources</v>
      </c>
      <c r="B30" s="4" t="str">
        <v>IITA</v>
      </c>
      <c r="C30" s="4" t="str">
        <v>Niger</v>
      </c>
      <c r="D30" s="5">
        <v>11</v>
      </c>
      <c r="E30" s="4">
        <v>2993</v>
      </c>
    </row>
    <row r="31" ht="45" customHeight="1">
      <c r="A31" s="4" t="str">
        <v>AOW04: Breeding Resources</v>
      </c>
      <c r="B31" s="4" t="str">
        <v>IITA</v>
      </c>
      <c r="C31" s="4" t="str">
        <v>Nigeria</v>
      </c>
      <c r="D31" s="5">
        <v>31.5</v>
      </c>
      <c r="E31" s="4">
        <v>2994</v>
      </c>
    </row>
    <row r="32" ht="45" customHeight="1">
      <c r="A32" s="4" t="str">
        <v>AOW04: Breeding Resources</v>
      </c>
      <c r="B32" s="4" t="str">
        <v>IITA</v>
      </c>
      <c r="C32" s="4" t="str">
        <v>Senegal</v>
      </c>
      <c r="D32" s="5">
        <v>10</v>
      </c>
      <c r="E32" s="4">
        <v>2995</v>
      </c>
    </row>
    <row r="33" ht="45" customHeight="1">
      <c r="A33" s="8" t="str">
        <v>AOW05: Enable</v>
      </c>
      <c r="B33" s="4" t="str">
        <v>IITA</v>
      </c>
      <c r="C33" s="4" t="str">
        <v>Benin</v>
      </c>
      <c r="D33" s="5">
        <v>5</v>
      </c>
      <c r="E33" s="4">
        <v>2996</v>
      </c>
    </row>
    <row r="34" ht="45" customHeight="1">
      <c r="A34" s="4" t="str">
        <v>AOW05: Enable</v>
      </c>
      <c r="B34" s="4" t="str">
        <v>IITA</v>
      </c>
      <c r="C34" s="4" t="str">
        <v>China</v>
      </c>
      <c r="D34" s="5">
        <v>2</v>
      </c>
      <c r="E34" s="4">
        <v>2997</v>
      </c>
    </row>
    <row r="35" ht="45" customHeight="1">
      <c r="A35" s="4" t="str">
        <v>AOW05: Enable</v>
      </c>
      <c r="B35" s="4" t="str">
        <v>IITA</v>
      </c>
      <c r="C35" s="4" t="str">
        <v>Côte d'Ivoire</v>
      </c>
      <c r="D35" s="5">
        <v>7.5</v>
      </c>
      <c r="E35" s="4">
        <v>2998</v>
      </c>
    </row>
    <row r="36" ht="45" customHeight="1">
      <c r="A36" s="4" t="str">
        <v>AOW05: Enable</v>
      </c>
      <c r="B36" s="4" t="str">
        <v>IITA</v>
      </c>
      <c r="C36" s="4" t="str">
        <v>Ghana</v>
      </c>
      <c r="D36" s="5">
        <v>10.5</v>
      </c>
      <c r="E36" s="4">
        <v>2999</v>
      </c>
    </row>
    <row r="37" ht="45" customHeight="1">
      <c r="A37" s="4" t="str">
        <v>AOW05: Enable</v>
      </c>
      <c r="B37" s="4" t="str">
        <v>IITA</v>
      </c>
      <c r="C37" s="4" t="str">
        <v>Kenya</v>
      </c>
      <c r="D37" s="5">
        <v>5</v>
      </c>
      <c r="E37" s="4">
        <v>3000</v>
      </c>
    </row>
    <row r="38" ht="45" customHeight="1">
      <c r="A38" s="4" t="str">
        <v>AOW05: Enable</v>
      </c>
      <c r="B38" s="4" t="str">
        <v>IITA</v>
      </c>
      <c r="C38" s="4" t="str">
        <v>Malawi</v>
      </c>
      <c r="D38" s="5">
        <v>4</v>
      </c>
      <c r="E38" s="4">
        <v>3001</v>
      </c>
    </row>
    <row r="39" ht="45" customHeight="1">
      <c r="A39" s="4" t="str">
        <v>AOW05: Enable</v>
      </c>
      <c r="B39" s="4" t="str">
        <v>IITA</v>
      </c>
      <c r="C39" s="4" t="str">
        <v>Mozambique</v>
      </c>
      <c r="D39" s="5">
        <v>5</v>
      </c>
      <c r="E39" s="4">
        <v>3002</v>
      </c>
    </row>
    <row r="40" ht="45" customHeight="1">
      <c r="A40" s="4" t="str">
        <v>AOW05: Enable</v>
      </c>
      <c r="B40" s="4" t="str">
        <v>IITA</v>
      </c>
      <c r="C40" s="4" t="str">
        <v>Nigeria</v>
      </c>
      <c r="D40" s="5">
        <v>20.5</v>
      </c>
      <c r="E40" s="4">
        <v>3003</v>
      </c>
    </row>
    <row r="41" ht="45" customHeight="1">
      <c r="A41" s="4" t="str">
        <v>AOW05: Enable</v>
      </c>
      <c r="B41" s="4" t="str">
        <v>IITA</v>
      </c>
      <c r="C41" s="4" t="str">
        <v>Tanzania</v>
      </c>
      <c r="D41" s="5">
        <v>10</v>
      </c>
      <c r="E41" s="4">
        <v>3004</v>
      </c>
    </row>
    <row r="42" ht="45" customHeight="1">
      <c r="A42" s="4" t="str">
        <v>AOW05: Enable</v>
      </c>
      <c r="B42" s="4" t="str">
        <v>IITA</v>
      </c>
      <c r="C42" s="4" t="str">
        <v>The Democratic Republic of the Congo</v>
      </c>
      <c r="D42" s="5">
        <v>10</v>
      </c>
      <c r="E42" s="4">
        <v>3005</v>
      </c>
    </row>
    <row r="43" ht="45" customHeight="1">
      <c r="A43" s="4" t="str">
        <v>AOW05: Enable</v>
      </c>
      <c r="B43" s="4" t="str">
        <v>IITA</v>
      </c>
      <c r="C43" s="4" t="str">
        <v>Uganda</v>
      </c>
      <c r="D43" s="5">
        <v>8</v>
      </c>
      <c r="E43" s="4">
        <v>3006</v>
      </c>
    </row>
    <row r="44" ht="45" customHeight="1">
      <c r="A44" s="4" t="str">
        <v>AOW05: Enable</v>
      </c>
      <c r="B44" s="4" t="str">
        <v>IITA</v>
      </c>
      <c r="C44" s="4" t="str">
        <v>United Republic</v>
      </c>
      <c r="D44" s="5">
        <v>4</v>
      </c>
      <c r="E44" s="4">
        <v>3007</v>
      </c>
    </row>
    <row r="45" ht="45" customHeight="1">
      <c r="A45" s="4" t="str">
        <v>AOW05: Enable</v>
      </c>
      <c r="B45" s="4" t="str">
        <v>IITA</v>
      </c>
      <c r="C45" s="4" t="str">
        <v>United States of America</v>
      </c>
      <c r="D45" s="5">
        <v>1.5</v>
      </c>
      <c r="E45" s="4">
        <v>3008</v>
      </c>
    </row>
    <row r="46" ht="45" customHeight="1">
      <c r="A46" s="4" t="str">
        <v>AOW05: Enable</v>
      </c>
      <c r="B46" s="4" t="str">
        <v>IITA</v>
      </c>
      <c r="C46" s="4" t="str">
        <v>Zambia</v>
      </c>
      <c r="D46" s="5">
        <v>7</v>
      </c>
      <c r="E46" s="4">
        <v>3009</v>
      </c>
    </row>
  </sheetData>
  <mergeCells count="6">
    <mergeCell ref="A2"/>
    <mergeCell ref="A3"/>
    <mergeCell ref="A4:A19"/>
    <mergeCell ref="A20:A25"/>
    <mergeCell ref="A26:A32"/>
    <mergeCell ref="A33:A46"/>
  </mergeCells>
  <ignoredErrors>
    <ignoredError numberStoredAsText="1" sqref="A1:E46"/>
  </ignoredErrors>
</worksheet>
</file>

<file path=xl/worksheets/sheet9.xml><?xml version="1.0" encoding="utf-8"?>
<worksheet xmlns="http://schemas.openxmlformats.org/spreadsheetml/2006/main" xmlns:r="http://schemas.openxmlformats.org/officeDocument/2006/relationships">
  <dimension ref="A1:F2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IITA</v>
      </c>
      <c r="C2" s="4" t="str">
        <v>Global</v>
      </c>
      <c r="D2" s="4" t="str">
        <v>global</v>
      </c>
      <c r="E2" s="5">
        <v>100</v>
      </c>
      <c r="F2" s="4">
        <v>1690</v>
      </c>
    </row>
    <row r="3" ht="45" customHeight="1">
      <c r="A3" s="8" t="str">
        <v>AOW01: Market Intelligence</v>
      </c>
      <c r="B3" s="4" t="str">
        <v>IITA</v>
      </c>
      <c r="C3" s="4" t="str">
        <v>Global</v>
      </c>
      <c r="D3" s="4" t="str">
        <v>global</v>
      </c>
      <c r="E3" s="5">
        <v>100</v>
      </c>
      <c r="F3" s="4">
        <v>1551</v>
      </c>
    </row>
    <row r="4" ht="45" customHeight="1">
      <c r="A4" s="8" t="str">
        <v>AOW02: Accelerated Breeding</v>
      </c>
      <c r="B4" s="4" t="str">
        <v>IITA</v>
      </c>
      <c r="C4" s="4" t="str">
        <v>Eastern Africa</v>
      </c>
      <c r="D4" s="4" t="str">
        <v>region</v>
      </c>
      <c r="E4" s="5">
        <v>36</v>
      </c>
      <c r="F4" s="4">
        <v>1145</v>
      </c>
    </row>
    <row r="5" ht="45" customHeight="1">
      <c r="A5" s="4" t="str">
        <v>AOW02: Accelerated Breeding</v>
      </c>
      <c r="B5" s="4" t="str">
        <v>IITA</v>
      </c>
      <c r="C5" s="4" t="str">
        <v>Western Africa</v>
      </c>
      <c r="D5" s="4" t="str">
        <v>region</v>
      </c>
      <c r="E5" s="5">
        <v>50</v>
      </c>
      <c r="F5" s="4">
        <v>1144</v>
      </c>
    </row>
    <row r="6" ht="45" customHeight="1">
      <c r="A6" s="4" t="str">
        <v>AOW02: Accelerated Breeding</v>
      </c>
      <c r="B6" s="4" t="str">
        <v>IITA</v>
      </c>
      <c r="C6" s="4" t="str">
        <v>Cameroon</v>
      </c>
      <c r="D6" s="4" t="str">
        <v>country</v>
      </c>
      <c r="E6" s="5">
        <v>3</v>
      </c>
      <c r="F6" s="4">
        <v>1146</v>
      </c>
    </row>
    <row r="7" ht="45" customHeight="1">
      <c r="A7" s="4" t="str">
        <v>AOW02: Accelerated Breeding</v>
      </c>
      <c r="B7" s="4" t="str">
        <v>IITA</v>
      </c>
      <c r="C7" s="4" t="str">
        <v>Thailand</v>
      </c>
      <c r="D7" s="4" t="str">
        <v>country</v>
      </c>
      <c r="E7" s="5">
        <v>2</v>
      </c>
      <c r="F7" s="4">
        <v>1148</v>
      </c>
    </row>
    <row r="8" ht="45" customHeight="1">
      <c r="A8" s="4" t="str">
        <v>AOW02: Accelerated Breeding</v>
      </c>
      <c r="B8" s="4" t="str">
        <v>IITA</v>
      </c>
      <c r="C8" s="4" t="str">
        <v>The Democratic Republic of the Congo</v>
      </c>
      <c r="D8" s="4" t="str">
        <v>country</v>
      </c>
      <c r="E8" s="5">
        <v>9</v>
      </c>
      <c r="F8" s="4">
        <v>1147</v>
      </c>
    </row>
    <row r="9" ht="45" customHeight="1">
      <c r="A9" s="8" t="str">
        <v>AOW03: Inclusive Delivery</v>
      </c>
      <c r="B9" s="4" t="str">
        <v>IITA</v>
      </c>
      <c r="C9" s="4" t="str">
        <v>Ghana</v>
      </c>
      <c r="D9" s="4" t="str">
        <v>country</v>
      </c>
      <c r="E9" s="5">
        <v>10</v>
      </c>
      <c r="F9" s="4">
        <v>951</v>
      </c>
    </row>
    <row r="10" ht="45" customHeight="1">
      <c r="A10" s="4" t="str">
        <v>AOW03: Inclusive Delivery</v>
      </c>
      <c r="B10" s="4" t="str">
        <v>IITA</v>
      </c>
      <c r="C10" s="4" t="str">
        <v>Kenya</v>
      </c>
      <c r="D10" s="4" t="str">
        <v>country</v>
      </c>
      <c r="E10" s="5">
        <v>5</v>
      </c>
      <c r="F10" s="4">
        <v>953</v>
      </c>
    </row>
    <row r="11" ht="45" customHeight="1">
      <c r="A11" s="4" t="str">
        <v>AOW03: Inclusive Delivery</v>
      </c>
      <c r="B11" s="4" t="str">
        <v>IITA</v>
      </c>
      <c r="C11" s="4" t="str">
        <v>Mozambique</v>
      </c>
      <c r="D11" s="4" t="str">
        <v>country</v>
      </c>
      <c r="E11" s="5">
        <v>10</v>
      </c>
      <c r="F11" s="4">
        <v>954</v>
      </c>
    </row>
    <row r="12" ht="45" customHeight="1">
      <c r="A12" s="4" t="str">
        <v>AOW03: Inclusive Delivery</v>
      </c>
      <c r="B12" s="4" t="str">
        <v>IITA</v>
      </c>
      <c r="C12" s="4" t="str">
        <v>Nigeria</v>
      </c>
      <c r="D12" s="4" t="str">
        <v>country</v>
      </c>
      <c r="E12" s="5">
        <v>40</v>
      </c>
      <c r="F12" s="4">
        <v>949</v>
      </c>
    </row>
    <row r="13" ht="45" customHeight="1">
      <c r="A13" s="4" t="str">
        <v>AOW03: Inclusive Delivery</v>
      </c>
      <c r="B13" s="4" t="str">
        <v>IITA</v>
      </c>
      <c r="C13" s="4" t="str">
        <v>Tanzania, United Republic</v>
      </c>
      <c r="D13" s="4" t="str">
        <v>country</v>
      </c>
      <c r="E13" s="5">
        <v>25</v>
      </c>
      <c r="F13" s="4">
        <v>950</v>
      </c>
    </row>
    <row r="14" ht="45" customHeight="1">
      <c r="A14" s="4" t="str">
        <v>AOW03: Inclusive Delivery</v>
      </c>
      <c r="B14" s="4" t="str">
        <v>IITA</v>
      </c>
      <c r="C14" s="4" t="str">
        <v>Uganda</v>
      </c>
      <c r="D14" s="4" t="str">
        <v>country</v>
      </c>
      <c r="E14" s="5">
        <v>10</v>
      </c>
      <c r="F14" s="4">
        <v>952</v>
      </c>
    </row>
    <row r="15" ht="45" customHeight="1">
      <c r="A15" s="8" t="str">
        <v>AOW04: Breeding Resources</v>
      </c>
      <c r="B15" s="4" t="str">
        <v>IITA</v>
      </c>
      <c r="C15" s="4" t="str">
        <v>Global</v>
      </c>
      <c r="D15" s="4" t="str">
        <v>global</v>
      </c>
      <c r="E15" s="5">
        <v>0</v>
      </c>
      <c r="F15" s="4">
        <v>1155</v>
      </c>
    </row>
    <row r="16" ht="45" customHeight="1">
      <c r="A16" s="4" t="str">
        <v>AOW04: Breeding Resources</v>
      </c>
      <c r="B16" s="4" t="str">
        <v>IITA</v>
      </c>
      <c r="C16" s="4" t="str">
        <v>Burkina Faso</v>
      </c>
      <c r="D16" s="4" t="str">
        <v>country</v>
      </c>
      <c r="E16" s="5">
        <v>5</v>
      </c>
      <c r="F16" s="4">
        <v>1152</v>
      </c>
    </row>
    <row r="17" ht="45" customHeight="1">
      <c r="A17" s="4" t="str">
        <v>AOW04: Breeding Resources</v>
      </c>
      <c r="B17" s="4" t="str">
        <v>IITA</v>
      </c>
      <c r="C17" s="4" t="str">
        <v>Cameroon</v>
      </c>
      <c r="D17" s="4" t="str">
        <v>country</v>
      </c>
      <c r="E17" s="5">
        <v>10</v>
      </c>
      <c r="F17" s="4">
        <v>1154</v>
      </c>
    </row>
    <row r="18" ht="45" customHeight="1">
      <c r="A18" s="4" t="str">
        <v>AOW04: Breeding Resources</v>
      </c>
      <c r="B18" s="4" t="str">
        <v>IITA</v>
      </c>
      <c r="C18" s="4" t="str">
        <v>Ghana</v>
      </c>
      <c r="D18" s="4" t="str">
        <v>country</v>
      </c>
      <c r="E18" s="5">
        <v>5</v>
      </c>
      <c r="F18" s="4">
        <v>1150</v>
      </c>
    </row>
    <row r="19" ht="45" customHeight="1">
      <c r="A19" s="4" t="str">
        <v>AOW04: Breeding Resources</v>
      </c>
      <c r="B19" s="4" t="str">
        <v>IITA</v>
      </c>
      <c r="C19" s="4" t="str">
        <v>Mali</v>
      </c>
      <c r="D19" s="4" t="str">
        <v>country</v>
      </c>
      <c r="E19" s="5">
        <v>8</v>
      </c>
      <c r="F19" s="4">
        <v>1156</v>
      </c>
    </row>
    <row r="20" ht="45" customHeight="1">
      <c r="A20" s="4" t="str">
        <v>AOW04: Breeding Resources</v>
      </c>
      <c r="B20" s="4" t="str">
        <v>IITA</v>
      </c>
      <c r="C20" s="4" t="str">
        <v>Niger</v>
      </c>
      <c r="D20" s="4" t="str">
        <v>country</v>
      </c>
      <c r="E20" s="5">
        <v>6</v>
      </c>
      <c r="F20" s="4">
        <v>1151</v>
      </c>
    </row>
    <row r="21" ht="45" customHeight="1">
      <c r="A21" s="4" t="str">
        <v>AOW04: Breeding Resources</v>
      </c>
      <c r="B21" s="4" t="str">
        <v>IITA</v>
      </c>
      <c r="C21" s="4" t="str">
        <v>Nigeria</v>
      </c>
      <c r="D21" s="4" t="str">
        <v>country</v>
      </c>
      <c r="E21" s="5">
        <v>60</v>
      </c>
      <c r="F21" s="4">
        <v>1153</v>
      </c>
    </row>
    <row r="22" ht="45" customHeight="1">
      <c r="A22" s="4" t="str">
        <v>AOW04: Breeding Resources</v>
      </c>
      <c r="B22" s="4" t="str">
        <v>IITA</v>
      </c>
      <c r="C22" s="4" t="str">
        <v>Senegal</v>
      </c>
      <c r="D22" s="4" t="str">
        <v>country</v>
      </c>
      <c r="E22" s="5">
        <v>6</v>
      </c>
      <c r="F22" s="4">
        <v>1157</v>
      </c>
    </row>
    <row r="23" ht="45" customHeight="1">
      <c r="A23" s="8" t="str">
        <v>AOW05: Enable</v>
      </c>
      <c r="B23" s="4" t="str">
        <v>IITA</v>
      </c>
      <c r="C23" s="4" t="str">
        <v>Global</v>
      </c>
      <c r="D23" s="4" t="str">
        <v>global</v>
      </c>
      <c r="E23" s="5">
        <v>10</v>
      </c>
      <c r="F23" s="4">
        <v>1158</v>
      </c>
    </row>
    <row r="24" ht="45" customHeight="1">
      <c r="A24" s="4" t="str">
        <v>AOW05: Enable</v>
      </c>
      <c r="B24" s="4" t="str">
        <v>IITA</v>
      </c>
      <c r="C24" s="4" t="str">
        <v>Eastern Africa</v>
      </c>
      <c r="D24" s="4" t="str">
        <v>region</v>
      </c>
      <c r="E24" s="5">
        <v>35</v>
      </c>
      <c r="F24" s="4">
        <v>1160</v>
      </c>
    </row>
    <row r="25" ht="45" customHeight="1">
      <c r="A25" s="4" t="str">
        <v>AOW05: Enable</v>
      </c>
      <c r="B25" s="4" t="str">
        <v>IITA</v>
      </c>
      <c r="C25" s="4" t="str">
        <v>Western Africa</v>
      </c>
      <c r="D25" s="4" t="str">
        <v>region</v>
      </c>
      <c r="E25" s="5">
        <v>45</v>
      </c>
      <c r="F25" s="4">
        <v>1159</v>
      </c>
    </row>
    <row r="26" ht="45" customHeight="1">
      <c r="A26" s="4" t="str">
        <v>AOW05: Enable</v>
      </c>
      <c r="B26" s="4" t="str">
        <v>IITA</v>
      </c>
      <c r="C26" s="4" t="str">
        <v>The Democratic Republic of the Congo</v>
      </c>
      <c r="D26" s="4" t="str">
        <v>country</v>
      </c>
      <c r="E26" s="5">
        <v>10</v>
      </c>
      <c r="F26" s="4">
        <v>1161</v>
      </c>
    </row>
  </sheetData>
  <mergeCells count="6">
    <mergeCell ref="A2"/>
    <mergeCell ref="A3"/>
    <mergeCell ref="A4:A8"/>
    <mergeCell ref="A9:A14"/>
    <mergeCell ref="A15:A22"/>
    <mergeCell ref="A23:A26"/>
  </mergeCells>
  <ignoredErrors>
    <ignoredError numberStoredAsText="1" sqref="A1:F26"/>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