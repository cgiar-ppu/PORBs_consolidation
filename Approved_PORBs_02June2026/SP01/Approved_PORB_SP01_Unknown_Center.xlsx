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490115</v>
      </c>
      <c r="K4" s="5">
        <v>490115</v>
      </c>
      <c r="L4" s="5">
        <v>0</v>
      </c>
      <c r="M4" s="5">
        <v>0</v>
      </c>
      <c r="N4" s="4">
        <v>163</v>
      </c>
    </row>
    <row r="5" ht="20" customHeight="1">
      <c r="A5" s="4" t="str">
        <v>AOW01: Market Intelligence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161</v>
      </c>
    </row>
    <row r="6" ht="20" customHeight="1">
      <c r="A6" s="4" t="str">
        <v>AOW02: Accelerated Breeding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1</v>
      </c>
      <c r="I6" s="5">
        <v>9261000</v>
      </c>
      <c r="J6" s="5">
        <v>9261000</v>
      </c>
      <c r="K6" s="5">
        <v>9261000</v>
      </c>
      <c r="L6" s="5">
        <v>0</v>
      </c>
      <c r="M6" s="5">
        <v>0</v>
      </c>
      <c r="N6" s="4">
        <v>160</v>
      </c>
    </row>
    <row r="7" ht="20" customHeight="1">
      <c r="A7" s="4" t="str">
        <v>AOW03: Inclusive Delivery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159</v>
      </c>
    </row>
    <row r="8" ht="20" customHeight="1">
      <c r="A8" s="4" t="str">
        <v>AOW04: Breeding Resources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158</v>
      </c>
    </row>
    <row r="9" ht="20" customHeight="1">
      <c r="A9" s="4" t="str">
        <v>AOW05: Enable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130000</v>
      </c>
      <c r="J9" s="5">
        <v>130000</v>
      </c>
      <c r="K9" s="5">
        <v>130000</v>
      </c>
      <c r="L9" s="5">
        <v>0</v>
      </c>
      <c r="M9" s="5">
        <v>0</v>
      </c>
      <c r="N9" s="4">
        <v>162</v>
      </c>
    </row>
    <row r="10" ht="25" customHeight="1">
      <c r="A10" s="6" t="str">
        <v>Total</v>
      </c>
      <c r="B10" s="7" t="str">
        <v/>
      </c>
      <c r="C10" s="7">
        <v>0</v>
      </c>
      <c r="D10" s="7" t="str">
        <v/>
      </c>
      <c r="E10" s="7">
        <v>0</v>
      </c>
      <c r="F10" s="7" t="str">
        <v/>
      </c>
      <c r="G10" s="7">
        <v>0</v>
      </c>
      <c r="H10" s="7" t="str">
        <v/>
      </c>
      <c r="I10" s="7">
        <v>9391000</v>
      </c>
      <c r="J10" s="7">
        <v>9881115</v>
      </c>
      <c r="K10" s="7">
        <v>9881115</v>
      </c>
      <c r="L10" s="7">
        <v>0</v>
      </c>
      <c r="M10" s="7">
        <v>0</v>
      </c>
      <c r="N10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 xml:space="preserve">
      <c r="A3" s="8" t="str">
        <v>AOW02: Accelerated Breeding</v>
      </c>
      <c r="B3" s="4" t="str">
        <v>Unknown Center</v>
      </c>
      <c r="C3" s="4" t="str">
        <v>HLO9.AOW2.IO2 Create products</v>
      </c>
      <c r="D3" s="4" t="str">
        <v xml:space="preserve"> Gates W2 - to be distributed</v>
      </c>
      <c r="E3" s="4" t="str">
        <v>custom</v>
      </c>
      <c r="F3" s="4" t="str">
        <v>Kenya</v>
      </c>
      <c r="G3" s="5">
        <v>1</v>
      </c>
      <c r="H3" s="5">
        <v>9261000</v>
      </c>
      <c r="I3" s="4" t="str" xml:space="preserve">
        <v xml:space="preserve">Gates W2 to be disctributed.
</v>
      </c>
      <c r="J3" s="4">
        <v>7764</v>
      </c>
    </row>
    <row r="4" ht="25" customHeight="1">
      <c r="C4" s="9" t="str">
        <v>HLO budget subtotal</v>
      </c>
      <c r="H4" s="9">
        <v>9261000</v>
      </c>
      <c r="J4" s="9" t="str">
        <v/>
      </c>
    </row>
    <row r="5" ht="50" customHeight="1">
      <c r="A5" s="8" t="str">
        <v>AOW05: Enable</v>
      </c>
      <c r="B5" s="4" t="str">
        <v>Unknown Center</v>
      </c>
      <c r="C5" s="4" t="str">
        <v>HLO18.AOW5.IO2 Partnered networks</v>
      </c>
      <c r="D5" s="4" t="str">
        <v>PLACEHOLDER FOR THE SSA NARES LEADERSHIP TEAM MEETING 2026</v>
      </c>
      <c r="E5" s="4" t="str">
        <v>custom</v>
      </c>
      <c r="F5" s="4" t="str">
        <v>Kenya</v>
      </c>
      <c r="G5" s="5">
        <v>1</v>
      </c>
      <c r="H5" s="5">
        <v>130000</v>
      </c>
      <c r="I5" s="4" t="str">
        <v>Placeholder funding in case Gates funds this. If not, will go to a Centre to make arrangements</v>
      </c>
      <c r="J5" s="4">
        <v>8200</v>
      </c>
    </row>
    <row r="6" ht="25" customHeight="1">
      <c r="C6" s="9" t="str">
        <v>HLO budget subtotal</v>
      </c>
      <c r="H6" s="9">
        <v>130000</v>
      </c>
      <c r="J6" s="9" t="str">
        <v/>
      </c>
    </row>
  </sheetData>
  <mergeCells count="10">
    <mergeCell ref="A1:A2"/>
    <mergeCell ref="B1:B2"/>
    <mergeCell ref="C1:C2"/>
    <mergeCell ref="D1:H1"/>
    <mergeCell ref="I1:I2"/>
    <mergeCell ref="J1:J2"/>
    <mergeCell ref="C4:G4"/>
    <mergeCell ref="A3:A4"/>
    <mergeCell ref="C6:G6"/>
    <mergeCell ref="A5:A6"/>
  </mergeCells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 xml:space="preserve">
      <c r="A2" s="8" t="str">
        <v>AOW00: Cross Cutting</v>
      </c>
      <c r="B2" s="4" t="str">
        <v>Unknown Center</v>
      </c>
      <c r="C2" s="4" t="str">
        <v>Area of Work Leads</v>
      </c>
      <c r="D2" s="5">
        <v>235000</v>
      </c>
      <c r="E2" s="4" t="str" xml:space="preserve">
        <v xml:space="preserve">AoW lead salary for an AB AOW lead for 8 months 235,000 Person not yet recruited.
</v>
      </c>
      <c r="F2" s="4">
        <v>43</v>
      </c>
      <c r="G2" s="4">
        <v>3</v>
      </c>
    </row>
    <row r="3" ht="45" customHeight="1" xml:space="preserve">
      <c r="A3" s="4" t="str">
        <v>AOW00: Cross Cutting</v>
      </c>
      <c r="B3" s="4" t="str">
        <v>Unknown Center</v>
      </c>
      <c r="C3" s="4" t="str">
        <v>Operations</v>
      </c>
      <c r="D3" s="5">
        <v>155115</v>
      </c>
      <c r="E3" s="4" t="str" xml:space="preserve">
        <v xml:space="preserve">travel costs 
7k - AB aOw lead
MISSING DETAIL - MOVEMENT OF COSTS FROM SO</v>
      </c>
      <c r="F3" s="4">
        <v>46</v>
      </c>
      <c r="G3" s="4">
        <v>4</v>
      </c>
    </row>
    <row r="4" ht="45" customHeight="1">
      <c r="A4" s="4" t="str">
        <v>AOW00: Cross Cutting</v>
      </c>
      <c r="B4" s="4" t="str">
        <v>Unknown Center</v>
      </c>
      <c r="C4" s="4" t="str">
        <v>Discretionary funds</v>
      </c>
      <c r="D4" s="5">
        <v>100000</v>
      </c>
      <c r="E4" s="4" t="str">
        <v>Studies and additional consultancies</v>
      </c>
      <c r="F4" s="4">
        <v>75</v>
      </c>
      <c r="G4" s="4">
        <v>7</v>
      </c>
    </row>
    <row r="5" ht="25" customHeight="1">
      <c r="C5" s="9" t="str">
        <v>Cross-cutting budget subtotal</v>
      </c>
      <c r="D5" s="9">
        <v>490115</v>
      </c>
      <c r="E5" s="9" t="str">
        <v/>
      </c>
      <c r="F5" s="9" t="str">
        <v/>
      </c>
      <c r="G5" s="9" t="str">
        <v/>
      </c>
    </row>
  </sheetData>
  <mergeCells count="1">
    <mergeCell ref="A2:A5"/>
  </mergeCells>
  <ignoredErrors>
    <ignoredError numberStoredAsText="1" sqref="A1:G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4" t="str">
        <v>Staffing, Chargebacks and Indirect</v>
      </c>
      <c r="B2" s="5">
        <v>235000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f>=SUM(B2:G2)</f>
        <v>0</v>
      </c>
    </row>
    <row r="3" ht="20" customHeight="1">
      <c r="A3" s="4" t="str">
        <v>Operations (supplies, consultants, travels, workshops, other)</v>
      </c>
      <c r="B3" s="5">
        <v>255115</v>
      </c>
      <c r="C3" s="5">
        <v>0</v>
      </c>
      <c r="D3" s="5">
        <v>9261000</v>
      </c>
      <c r="E3" s="5">
        <v>0</v>
      </c>
      <c r="F3" s="5">
        <v>0</v>
      </c>
      <c r="G3" s="5">
        <v>130000</v>
      </c>
      <c r="H3" s="5">
        <f>=SUM(B3:G3)</f>
        <v>0</v>
      </c>
    </row>
    <row r="4" ht="20" customHeight="1">
      <c r="A4" s="4" t="str">
        <v>Collaborators non-CGIAR centers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f>=SUM(B4:G4)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  <c r="G5" s="7">
        <f>=SUM(G2:G4)</f>
        <v>0</v>
      </c>
      <c r="H5" s="7">
        <f>=SUM(H2:H4)</f>
        <v>0</v>
      </c>
    </row>
  </sheetData>
  <ignoredErrors>
    <ignoredError numberStoredAsText="1" sqref="A1:H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</sheetData>
  <ignoredErrors>
    <ignoredError numberStoredAsText="1" sqref="A1:E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Unknown Center</v>
      </c>
      <c r="C2" s="4" t="str">
        <v>Global</v>
      </c>
      <c r="D2" s="4" t="str">
        <v>global</v>
      </c>
      <c r="E2" s="5">
        <v>100</v>
      </c>
      <c r="F2" s="4">
        <v>1693</v>
      </c>
    </row>
  </sheetData>
  <mergeCells count="1">
    <mergeCell ref="A2"/>
  </mergeCells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Market Intelligence</v>
      </c>
      <c r="B2" s="4" t="str">
        <v xml:space="preserve">Digital Transformation </v>
      </c>
      <c r="C2" s="4" t="str">
        <v>HLO1.AOW1.IO1 Steer to impact</v>
      </c>
      <c r="D2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2" s="4">
        <v>860</v>
      </c>
    </row>
    <row r="3" ht="60" customHeight="1">
      <c r="A3" s="4" t="str">
        <v>AOW01: Market Intelligence</v>
      </c>
      <c r="B3" s="4" t="str">
        <v>Scaling for Impact</v>
      </c>
      <c r="C3" s="4" t="str">
        <v>HLO1.AOW1.IO1 Steer to impact</v>
      </c>
      <c r="D3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3" s="4">
        <v>861</v>
      </c>
    </row>
    <row r="4" ht="60" customHeight="1">
      <c r="A4" s="4" t="str">
        <v>AOW01: Market Intelligence</v>
      </c>
      <c r="B4" s="4" t="str">
        <v>Better Diets and Nutrition</v>
      </c>
      <c r="C4" s="4" t="str">
        <v>HLO1.AOW1.IO1 Steer to impact</v>
      </c>
      <c r="D4" s="4" t="str">
        <v>Nutrition models developed witth Better Diets and Nutrition, poverty and employment models developed with Policy Innovations, AI support for GloMIP functionalities with Digital Transformation, Intelligence sharing with Scaling for Impact</v>
      </c>
      <c r="E4" s="4">
        <v>862</v>
      </c>
    </row>
    <row r="5" ht="60" customHeight="1">
      <c r="A5" s="4" t="str">
        <v>AOW01: Market Intelligence</v>
      </c>
      <c r="B5" s="4" t="str">
        <v xml:space="preserve">Gender Equality and Inclusion </v>
      </c>
      <c r="C5" s="4" t="str">
        <v>HLO3.AOW1.IO1 Design concepts</v>
      </c>
      <c r="D5" s="4" t="str">
        <v>Gender and Inclusion Accelerator; to involve gender expertise on methods and indicators for gender intentionality in product design</v>
      </c>
      <c r="E5" s="4">
        <v>863</v>
      </c>
    </row>
    <row r="6" ht="60" customHeight="1">
      <c r="A6" s="4" t="str">
        <v>AOW01: Market Intelligence</v>
      </c>
      <c r="B6" s="4" t="str">
        <v>Better Diets and Nutrition</v>
      </c>
      <c r="C6" s="4" t="str">
        <v>HLO2.AOW1.IO1 Target markets</v>
      </c>
      <c r="D6" s="4" t="str">
        <v>Better Diets and Nutrition, AoW4 to align on methodologies and indicators and exchange data</v>
      </c>
      <c r="E6" s="4">
        <v>864</v>
      </c>
    </row>
    <row r="7" ht="60" customHeight="1">
      <c r="A7" s="4" t="str">
        <v>AOW01: Market Intelligence</v>
      </c>
      <c r="B7" s="4" t="str">
        <v>Better Diets and Nutrition</v>
      </c>
      <c r="C7" s="4" t="str">
        <v>HLO5.AOW1.IO3 Investment cases</v>
      </c>
      <c r="D7" s="4" t="str">
        <v>Better Diets and Nutrition; to help BDN identify TPPs where nutrition should be important but there is not current evidence of demand for traits in the Value Proposition 13</v>
      </c>
      <c r="E7" s="4">
        <v>865</v>
      </c>
    </row>
    <row r="8" ht="60" customHeight="1">
      <c r="A8" s="4" t="str">
        <v>AOW01: Market Intelligence</v>
      </c>
      <c r="B8" s="4" t="str">
        <v>Better Diets and Nutrition</v>
      </c>
      <c r="C8" s="4" t="str">
        <v>HLO1.AOW1.IO1 Steer to impact</v>
      </c>
      <c r="D8" s="4" t="str">
        <v>.---------IITA (CROP AGNOSTIC) --------- BIOFORTIFICATION COORDINATION TEAM - WITH BDN AND S4I --------------DESCRIPTION OF ACTIVITIES: The Biofortification Coordination Team (BCT) package will provide strategic and technical coordination for CGIAR’s biofortification agenda in 2026. It will translate the BCT brief and Terms of Reference into a demand-driven workplan that aligns breeding, nutrition, scaling, seed systems, farming systems, policy engagement, and market delivery pathways. The package will deliver a unified micronutrient trait and target-setting framework; a crop-country-market prioritization and operational framework for 2027–2030; reviews of phenotyping capacity and scaling lessons; a mainstreaming consultation workshop; partner engagement and MOU templates; an investment-case template; policy and donor engagement materials; and a webinar series with stakeholder mapping. Collectively, the deliverables will generate actionable evidence, clear decision criteria, and coordination mechanisms to improve prioritization, uptake, and investment in biofortified crops. ----------INDICATOR: A concise 2027–2030 operational framework for Biofortification 2.0, grounded in the evidence generated through the 2026 work.</v>
      </c>
      <c r="E8" s="4">
        <v>1284</v>
      </c>
    </row>
    <row r="9" ht="60" customHeight="1">
      <c r="A9" s="8" t="str">
        <v>AOW02: Accelerated Breeding</v>
      </c>
      <c r="B9" s="4" t="str">
        <v>Climate Action</v>
      </c>
      <c r="C9" s="4" t="str">
        <v>HLO6.AOW2.IO1 Refocus to markets</v>
      </c>
      <c r="D9" s="4" t="str">
        <v xml:space="preserve">Discovery and development of foundational genetic resources such as traits, high-value haplotypes and elite lines that can deliver on targeted product profiles </v>
      </c>
      <c r="E9" s="4">
        <v>866</v>
      </c>
    </row>
    <row r="10" ht="60" customHeight="1">
      <c r="A10" s="4" t="str">
        <v>AOW02: Accelerated Breeding</v>
      </c>
      <c r="B10" s="4" t="str">
        <v>Genebank</v>
      </c>
      <c r="C10" s="4" t="str">
        <v>HLO8.AOW2.IO2 Discover genetic potential</v>
      </c>
      <c r="D10" s="4" t="str">
        <v xml:space="preserve">Discovery and development of foundational genetic resources such as traits, high-value haplotypes and elite lines that can deliver on targeted product profiles </v>
      </c>
      <c r="E10" s="4">
        <v>867</v>
      </c>
    </row>
    <row r="11" ht="60" customHeight="1">
      <c r="A11" s="8" t="str">
        <v>AOW03: Inclusive Delivery</v>
      </c>
      <c r="B11" s="4" t="str">
        <v xml:space="preserve">Gender Equality and Inclusion </v>
      </c>
      <c r="C11" s="4" t="str">
        <v>HLO11.AOW3.IO4 Position for demand</v>
      </c>
      <c r="D11" s="4" t="str">
        <v>Strategies to position quality seed and increase scaling partner demand for new varieties, encouraging variety replacement and Product Lifecycle Management</v>
      </c>
      <c r="E11" s="4">
        <v>868</v>
      </c>
    </row>
    <row r="12" ht="60" customHeight="1">
      <c r="A12" s="4" t="str">
        <v>AOW03: Inclusive Delivery</v>
      </c>
      <c r="B12" s="4" t="str">
        <v>Scaling for Impact</v>
      </c>
      <c r="C12" s="4" t="str">
        <v>HLO11.AOW3.IO4 Position for demand</v>
      </c>
      <c r="D12" s="4" t="str">
        <v>Strategies to position quality seed and increase scaling partner demand for new varieties, encouraging variety replacement and Product Lifecycle Management</v>
      </c>
      <c r="E12" s="4">
        <v>869</v>
      </c>
    </row>
    <row r="13" ht="60" customHeight="1">
      <c r="A13" s="4" t="str">
        <v>AOW03: Inclusive Delivery</v>
      </c>
      <c r="B13" s="4" t="str">
        <v>Scaling for Impact</v>
      </c>
      <c r="C13" s="4" t="str">
        <v>HLO12.AOW3.IO5 Deploy seed</v>
      </c>
      <c r="D13" s="4" t="str">
        <v>Technologies and strategies to encourage scaling partners to increase production and equitable supply of new varieties.</v>
      </c>
      <c r="E13" s="4">
        <v>870</v>
      </c>
    </row>
    <row r="14" ht="60" customHeight="1">
      <c r="A14" s="4" t="str">
        <v>AOW03: Inclusive Delivery</v>
      </c>
      <c r="B14" s="4" t="str">
        <v xml:space="preserve">Gender Equality and Inclusion </v>
      </c>
      <c r="C14" s="4" t="str">
        <v>HLO12.AOW3.IO5 Deploy seed</v>
      </c>
      <c r="D14" s="4" t="str">
        <v>Technologies and strategies to encourage scaling partners to increase production and equitable supply of new varieties.</v>
      </c>
      <c r="E14" s="4">
        <v>871</v>
      </c>
    </row>
    <row r="15" ht="60" customHeight="1">
      <c r="A15" s="4" t="str">
        <v>AOW03: Inclusive Delivery</v>
      </c>
      <c r="B15" s="4" t="str">
        <v>Scaling for Impact</v>
      </c>
      <c r="C15" s="4" t="str">
        <v>HLO13.AOW3.IO5 Power seed scaling</v>
      </c>
      <c r="D15" s="4" t="str">
        <v>Technologies, strategies and regulatory solutions to encourage scaling partners to accelerate delivery of new varieties to smallholders.</v>
      </c>
      <c r="E15" s="4">
        <v>872</v>
      </c>
    </row>
    <row r="16" ht="60" customHeight="1">
      <c r="A16" s="4" t="str">
        <v>AOW03: Inclusive Delivery</v>
      </c>
      <c r="B16" s="4" t="str">
        <v>Genebank</v>
      </c>
      <c r="C16" s="4" t="str">
        <v>HLO13.AOW3.IO5 Power seed scaling</v>
      </c>
      <c r="D16" s="4" t="str">
        <v>Technologies, strategies and regulatory solutions to encourage scaling partners to accelerate delivery of new varieties to smallholders.</v>
      </c>
      <c r="E16" s="4">
        <v>873</v>
      </c>
    </row>
    <row r="17" ht="60" customHeight="1">
      <c r="A17" s="4" t="str">
        <v>AOW03: Inclusive Delivery</v>
      </c>
      <c r="B17" s="4" t="str">
        <v>Better Diets and Nutrition</v>
      </c>
      <c r="C17" s="4" t="str">
        <v>HLO14.AOW3.IO5 TRACK adoption</v>
      </c>
      <c r="D17" s="4" t="str">
        <v xml:space="preserve">Methods and tools to track variety adoption and turnover at scale </v>
      </c>
      <c r="E17" s="4">
        <v>876</v>
      </c>
    </row>
    <row r="18" ht="60" customHeight="1">
      <c r="A18" s="4" t="str">
        <v>AOW03: Inclusive Delivery</v>
      </c>
      <c r="B18" s="4" t="str">
        <v xml:space="preserve">Gender Equality and Inclusion </v>
      </c>
      <c r="C18" s="4" t="str">
        <v>HLO14.AOW3.IO5 TRACK adoption</v>
      </c>
      <c r="D18" s="4" t="str">
        <v xml:space="preserve">Methods and tools to track variety adoption and turnover at scale </v>
      </c>
      <c r="E18" s="4">
        <v>877</v>
      </c>
    </row>
    <row r="19" ht="60" customHeight="1">
      <c r="A19" s="4" t="str">
        <v>AOW03: Inclusive Delivery</v>
      </c>
      <c r="B19" s="4" t="str">
        <v>Scaling for Impact</v>
      </c>
      <c r="C19" s="4" t="str">
        <v>HLO14.AOW3.IO5 TRACK adoption</v>
      </c>
      <c r="D19" s="4" t="str">
        <v xml:space="preserve">Methods and tools to track variety adoption and turnover at scale </v>
      </c>
      <c r="E19" s="4">
        <v>878</v>
      </c>
    </row>
    <row r="20" ht="60" customHeight="1" xml:space="preserve">
      <c r="A20" s="8" t="str">
        <v>AOW04: Breeding Resources</v>
      </c>
      <c r="B20" s="4" t="str">
        <v>Capacity Sharing</v>
      </c>
      <c r="C20" s="4" t="str">
        <v>HLO15.AOW4.IO2 Hub &amp; spoke scaling</v>
      </c>
      <c r="D20" s="4" t="str" xml:space="preserve">
        <v xml:space="preserve">Interoperable tools and services are scaled to match the varied capacities of partners across the breeding network. 
High-capacity partners are supported to act as central hubs, providing in breeding network support to less resourced partners. </v>
      </c>
      <c r="E20" s="4">
        <v>874</v>
      </c>
    </row>
    <row r="21" ht="60" customHeight="1" xml:space="preserve">
      <c r="A21" s="4" t="str">
        <v>AOW04: Breeding Resources</v>
      </c>
      <c r="B21" s="4" t="str">
        <v xml:space="preserve">Digital Transformation </v>
      </c>
      <c r="C21" s="4" t="str">
        <v>HLO16.AOW4.IO3 Shared services</v>
      </c>
      <c r="D21" s="4" t="str" xml:space="preserve">
        <v xml:space="preserve">DTA- Fairgrounds and infrastructure
</v>
      </c>
      <c r="E21" s="4">
        <v>875</v>
      </c>
    </row>
    <row r="22" ht="60" customHeight="1" xml:space="preserve">
      <c r="A22" s="4" t="str">
        <v>AOW05: Enable</v>
      </c>
      <c r="B22" s="4" t="str">
        <v xml:space="preserve">Digital Transformation </v>
      </c>
      <c r="C22" s="4" t="str">
        <v>HLO20.AOW5.IO3 Assess performance</v>
      </c>
      <c r="D22" s="4" t="str" xml:space="preserve">
        <v xml:space="preserve">Evaluation and assessment of performance data gathered by AOWS and any additional data gathering required to address gaps in the MELIA framework. 
Development of a B4T level performance dashboard.</v>
      </c>
      <c r="E22" s="4">
        <v>859</v>
      </c>
    </row>
  </sheetData>
  <mergeCells count="4">
    <mergeCell ref="A2:A8"/>
    <mergeCell ref="A9:A10"/>
    <mergeCell ref="A11:A19"/>
    <mergeCell ref="A20:A21"/>
  </mergeCells>
  <ignoredErrors>
    <ignoredError numberStoredAsText="1" sqref="A1:E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I-OC 1.3. Breeding network actors orient product development toward delivery of the greatest benefits across the 5 Impact Areas</v>
      </c>
      <c r="C2" s="4" t="str">
        <v/>
      </c>
      <c r="D2" s="4" t="str">
        <v>Innovation Use</v>
      </c>
      <c r="E2" s="4" t="str">
        <v>Global</v>
      </c>
      <c r="F2" s="5">
        <v>150</v>
      </c>
      <c r="G2" s="4">
        <v>475</v>
      </c>
    </row>
    <row r="3" ht="60" customHeight="1">
      <c r="A3" s="4" t="str">
        <v>AOW00: Cross Cutting</v>
      </c>
      <c r="B3" s="4" t="str">
        <v>2030-OC 2. Farmers use improved products that result in transformative benefits for farmers, consumers and society in the Global South</v>
      </c>
      <c r="C3" s="4" t="str">
        <v/>
      </c>
      <c r="D3" s="4" t="str">
        <v>Realized genetic gains in farmer-relevant conditions.</v>
      </c>
      <c r="E3" s="4" t="str">
        <v>Global</v>
      </c>
      <c r="F3" s="5">
        <v>0</v>
      </c>
      <c r="G3" s="4">
        <v>476</v>
      </c>
    </row>
    <row r="4" ht="60" customHeight="1">
      <c r="A4" s="4" t="str">
        <v>AOW00: Cross Cutting</v>
      </c>
      <c r="B4" s="4" t="str">
        <v>2030-OC 2. Farmers use improved products that result in transformative benefits for farmers, consumers and society in the Global South</v>
      </c>
      <c r="C4" s="4" t="str">
        <v/>
      </c>
      <c r="D4" s="4" t="str">
        <v>Number of food producers using CGIAR innovations.</v>
      </c>
      <c r="E4" s="4" t="str">
        <v>Global</v>
      </c>
      <c r="F4" s="5">
        <v>0</v>
      </c>
      <c r="G4" s="4">
        <v>476</v>
      </c>
    </row>
    <row r="5" ht="60" customHeight="1">
      <c r="A5" s="4" t="str">
        <v>AOW00: Cross Cutting</v>
      </c>
      <c r="B5" s="4" t="str">
        <v>2030-OC 2. Farmers use improved products that result in transformative benefits for farmers, consumers and society in the Global South</v>
      </c>
      <c r="C5" s="4" t="str">
        <v/>
      </c>
      <c r="D5" s="4" t="str">
        <v>Weighted average age of varieties in farmers’ fields for a prioritized set of representative crops and countries.</v>
      </c>
      <c r="E5" s="4" t="str">
        <v>Global</v>
      </c>
      <c r="F5" s="5">
        <v>0</v>
      </c>
      <c r="G5" s="4">
        <v>476</v>
      </c>
    </row>
    <row r="6" ht="60" customHeight="1">
      <c r="A6" s="4" t="str">
        <v>AOW00: Cross Cutting</v>
      </c>
      <c r="B6" s="4" t="str">
        <v>2030-OC 1. Women, youth, and other marginalized groups in food, land, and water systems are empowered by and benefit from improved products in the Global South</v>
      </c>
      <c r="C6" s="4" t="str">
        <v/>
      </c>
      <c r="D6" s="4" t="str">
        <v>Innovation Use</v>
      </c>
      <c r="E6" s="4" t="str">
        <v>Global</v>
      </c>
      <c r="F6" s="5">
        <v>0</v>
      </c>
      <c r="G6" s="4">
        <v>477</v>
      </c>
    </row>
    <row r="7" ht="60" customHeight="1">
      <c r="A7" s="4" t="str">
        <v>AOW00: Cross Cutting</v>
      </c>
      <c r="B7" s="4" t="str">
        <v>I-OC 1.4. Breeding network actors accelerate the development of impactful products that provide large-scale benefits across the 5 Impact Areas</v>
      </c>
      <c r="C7" s="4" t="str">
        <v/>
      </c>
      <c r="D7" s="4" t="str">
        <v xml:space="preserve"> Proportion of Breeding Pipelines with &gt;1% genetic gain</v>
      </c>
      <c r="E7" s="4" t="str">
        <v>Global</v>
      </c>
      <c r="F7" s="5">
        <v>52</v>
      </c>
      <c r="G7" s="4">
        <v>478</v>
      </c>
    </row>
    <row r="8" ht="60" customHeight="1" xml:space="preserve">
      <c r="A8" s="4" t="str">
        <v>AOW00: Cross Cutting</v>
      </c>
      <c r="B8" s="4" t="str" xml:space="preserve">
        <v xml:space="preserve">I-OC 1.1. Breeding network actors innovate and strengthen their research, partnerships, development, and delivery capabilities to accelerate the design, development, and delivery of transformative products in a more effective, efficient, and equitable manner
</v>
      </c>
      <c r="C8" s="4" t="str">
        <v/>
      </c>
      <c r="D8" s="4" t="str">
        <v xml:space="preserve"> Number of CGIAR-NARES regional crop breeding networks that have revised their regional MS and TPPs based on formal input (national MS and TPPs defined by PDTs) from their Level 1 and 2 network member countries</v>
      </c>
      <c r="E8" s="4" t="str">
        <v>Global</v>
      </c>
      <c r="F8" s="5">
        <v>2</v>
      </c>
      <c r="G8" s="4">
        <v>479</v>
      </c>
    </row>
    <row r="9" ht="60" customHeight="1" xml:space="preserve">
      <c r="A9" s="4" t="str">
        <v>AOW00: Cross Cutting</v>
      </c>
      <c r="B9" s="4" t="str" xml:space="preserve">
        <v xml:space="preserve">I-OC 1.1. Breeding network actors innovate and strengthen their research, partnerships, development, and delivery capabilities to accelerate the design, development, and delivery of transformative products in a more effective, efficient, and equitable manner
</v>
      </c>
      <c r="C9" s="4" t="str">
        <v/>
      </c>
      <c r="D9" s="4" t="str">
        <v>Innovation Use</v>
      </c>
      <c r="E9" s="4" t="str">
        <v>Global</v>
      </c>
      <c r="F9" s="5">
        <v>10</v>
      </c>
      <c r="G9" s="4">
        <v>479</v>
      </c>
    </row>
    <row r="10" ht="60" customHeight="1">
      <c r="A10" s="4" t="str">
        <v>AOW00: Cross Cutting</v>
      </c>
      <c r="B10" s="4" t="str">
        <v>I-OC 1.2. Breeding network actors adopt transformative partnership approaches driving equity and sustainability for analyzing markets and opportunities, product development, product delivery and scaling</v>
      </c>
      <c r="C10" s="4" t="str">
        <v/>
      </c>
      <c r="D10" s="4" t="str">
        <v xml:space="preserve"> Number of CGIAR-NARES regional crop breeding networks that have defined roles and responsibilities of network members and allocated resources commensurate to role</v>
      </c>
      <c r="E10" s="4" t="str">
        <v>Global</v>
      </c>
      <c r="F10" s="5">
        <v>10</v>
      </c>
      <c r="G10" s="4">
        <v>480</v>
      </c>
    </row>
    <row r="11" ht="60" customHeight="1">
      <c r="A11" s="4" t="str">
        <v>AOW00: Cross Cutting</v>
      </c>
      <c r="B11" s="4" t="str">
        <v>I-OC 1.2. Breeding network actors adopt transformative partnership approaches driving equity and sustainability for analyzing markets and opportunities, product development, product delivery and scaling</v>
      </c>
      <c r="C11" s="4" t="str">
        <v/>
      </c>
      <c r="D11" s="4" t="str">
        <v>Proportion of CGIAR-NARS-SME breeding pipelines within CGIAR-NARS-SME network using market segments, target product profiles to guide selection decisions for all advancement steps.</v>
      </c>
      <c r="E11" s="4" t="str">
        <v>Global</v>
      </c>
      <c r="F11" s="5">
        <v>0</v>
      </c>
      <c r="G11" s="4">
        <v>480</v>
      </c>
    </row>
    <row r="12" ht="60" customHeight="1">
      <c r="A12" s="4" t="str">
        <v>AOW00: Cross Cutting</v>
      </c>
      <c r="B12" s="4" t="str">
        <v>I-OC 1.2. Breeding network actors adopt transformative partnership approaches driving equity and sustainability for analyzing markets and opportunities, product development, product delivery and scaling</v>
      </c>
      <c r="C12" s="4" t="str">
        <v/>
      </c>
      <c r="D12" s="4" t="str">
        <v>Number of research partners from the Global South that collaborate with CGIAR.</v>
      </c>
      <c r="E12" s="4" t="str">
        <v>Global</v>
      </c>
      <c r="F12" s="5">
        <v>0</v>
      </c>
      <c r="G12" s="4">
        <v>480</v>
      </c>
    </row>
    <row r="13" ht="60" customHeight="1">
      <c r="A13" s="4" t="str">
        <v>AOW00: Cross Cutting</v>
      </c>
      <c r="B13" s="4" t="str">
        <v>2030-OC 3. Breeding network actors increase uptake of quality products in priority market segments</v>
      </c>
      <c r="C13" s="4" t="str">
        <v/>
      </c>
      <c r="D13" s="4" t="str">
        <v>Innovation Use</v>
      </c>
      <c r="E13" s="4" t="str">
        <v>Global</v>
      </c>
      <c r="F13" s="5">
        <v>150</v>
      </c>
      <c r="G13" s="4">
        <v>735</v>
      </c>
    </row>
    <row r="14" ht="60" customHeight="1">
      <c r="A14" s="4" t="str">
        <v>AOW01: Market Intelligence</v>
      </c>
      <c r="B14" s="4" t="str">
        <v>Breeding for Tomorrow (B4T) leadership, center directors, and partners use a prioritization tool to guide transparent, evidence-based investment allocation in breeding pipelines aligned with CGIAR Impact Areas and future demand</v>
      </c>
      <c r="C14" s="4" t="str">
        <v/>
      </c>
      <c r="D14" s="4" t="str">
        <v>Proportion of CGIAR-NARS-SME breeding pipelines within CGIAR-NARS-SME network using market segments, target product profiles to guide selection decisions for all advancement steps.</v>
      </c>
      <c r="E14" s="4" t="str">
        <v>Global</v>
      </c>
      <c r="F14" s="5">
        <v>75</v>
      </c>
      <c r="G14" s="4">
        <v>736</v>
      </c>
    </row>
    <row r="15" ht="60" customHeight="1">
      <c r="A15" s="8" t="str">
        <v>AOW03: Inclusive Delivery</v>
      </c>
      <c r="B15" s="4" t="str">
        <v>I-OC 3.5. Women, men, youth, and marginalized social groups accessing quality seed of improved varieties</v>
      </c>
      <c r="C15" s="4" t="str">
        <v/>
      </c>
      <c r="D15" s="4" t="str">
        <v>Innovation Use</v>
      </c>
      <c r="E15" s="4" t="str">
        <v>Global</v>
      </c>
      <c r="F15" s="5">
        <v>0</v>
      </c>
      <c r="G15" s="4">
        <v>474</v>
      </c>
    </row>
    <row r="16" ht="60" customHeight="1">
      <c r="A16" s="4" t="str">
        <v>AOW03: Inclusive Delivery</v>
      </c>
      <c r="B16" s="4" t="str">
        <v>I-OC 3.5. Women, men, youth, and marginalized social groups accessing quality seed of improved varieties</v>
      </c>
      <c r="C16" s="4" t="str">
        <v/>
      </c>
      <c r="D16" s="4" t="str">
        <v>Innovation Use</v>
      </c>
      <c r="E16" s="4" t="str">
        <v>Global</v>
      </c>
      <c r="F16" s="5">
        <v>1000000</v>
      </c>
      <c r="G16" s="4">
        <v>474</v>
      </c>
    </row>
    <row r="17" ht="60" customHeight="1">
      <c r="A17" s="4" t="str">
        <v>AOW03: Inclusive Delivery</v>
      </c>
      <c r="B17" s="4" t="str">
        <v>I-OC 3.1. Seed sector actors increasing their demand for and delivery of quality seed of improved varieties to women and men smallholder farmers</v>
      </c>
      <c r="C17" s="4" t="str">
        <v/>
      </c>
      <c r="D17" s="4" t="str">
        <v>Quantity of seed produced and certified for a prioritized set of representative crops and countries.</v>
      </c>
      <c r="E17" s="4" t="str">
        <v>Global</v>
      </c>
      <c r="F17" s="5">
        <v>0</v>
      </c>
      <c r="G17" s="4">
        <v>727</v>
      </c>
    </row>
    <row r="18" ht="60" customHeight="1" xml:space="preserve">
      <c r="A18" s="4" t="str">
        <v>AOW03: Inclusive Delivery</v>
      </c>
      <c r="B18" s="4" t="str" xml:space="preserve">
        <v xml:space="preserve">I-OC 3.3. Governments, funders, researchers, extension services, and other seed system actors using
co-designed, validated, low-cost, and effective methods and tools to collect, analyze, and share data on the performance and impact of seed sector development and the contributions of seed sector actors</v>
      </c>
      <c r="C18" s="4" t="str">
        <v/>
      </c>
      <c r="D18" s="4" t="str">
        <v>Number of CGIAR-supported innovations being used by next users.</v>
      </c>
      <c r="E18" s="4" t="str">
        <v>Global</v>
      </c>
      <c r="F18" s="5">
        <v>0</v>
      </c>
      <c r="G18" s="4">
        <v>728</v>
      </c>
    </row>
    <row r="19" ht="60" customHeight="1">
      <c r="A19" s="4" t="str">
        <v>AOW03: Inclusive Delivery</v>
      </c>
      <c r="B19" s="4" t="str">
        <v>I-OC 3.2. Seed sector actors promoting uptake of quality seed of improved varieties by women and men farmers in selected geographies, countries, and market segments</v>
      </c>
      <c r="C19" s="4" t="str">
        <v/>
      </c>
      <c r="D19" s="4" t="str">
        <v>Weighted average age of varieties in farmers’ fields for a prioritized set of representative crops and countries.</v>
      </c>
      <c r="E19" s="4" t="str">
        <v>Global</v>
      </c>
      <c r="F19" s="5">
        <v>0</v>
      </c>
      <c r="G19" s="4">
        <v>729</v>
      </c>
    </row>
    <row r="20" ht="60" customHeight="1" xml:space="preserve">
      <c r="A20" s="4" t="str">
        <v>AOW03: Inclusive Delivery</v>
      </c>
      <c r="B20" s="4" t="str" xml:space="preserve">
        <v xml:space="preserve">I-OC 3.4. Government partners actively promoting policy solutions to accelerate the uptake of quality seed of improved varieties by women and men in selected geographies, countries, and market
segments</v>
      </c>
      <c r="C20" s="4" t="str">
        <v/>
      </c>
      <c r="D20" s="4" t="str">
        <v>Number of Policy (Policy Change)</v>
      </c>
      <c r="E20" s="4" t="str">
        <v>Global</v>
      </c>
      <c r="F20" s="5">
        <v>0</v>
      </c>
      <c r="G20" s="4">
        <v>731</v>
      </c>
    </row>
    <row r="21" ht="60" customHeight="1">
      <c r="A21" s="8" t="str">
        <v>AOW05: Enable</v>
      </c>
      <c r="B21" s="4" t="str">
        <v>I-OC 5.1. Breeding network actors adopt transformative partnership approaches driving equity and sustainability of 1) analyzing markets and opportunities, 2) product development,and 3) product delivery and scaling</v>
      </c>
      <c r="C21" s="4" t="str">
        <v/>
      </c>
      <c r="D21" s="4" t="str">
        <v xml:space="preserve"> </v>
      </c>
      <c r="E21" s="4" t="str">
        <v>Global</v>
      </c>
      <c r="F21" s="5">
        <v>5</v>
      </c>
      <c r="G21" s="4">
        <v>732</v>
      </c>
    </row>
    <row r="22" ht="60" customHeight="1">
      <c r="A22" s="4" t="str">
        <v>AOW05: Enable</v>
      </c>
      <c r="B22" s="4" t="str">
        <v>I-OC 5.2. Breeding network actors innovate and strengthen their research, partnership, development, and delivery capabilities to accelerate the design, development and delivery of transformative products in a more effective, efficient, and equitable manner</v>
      </c>
      <c r="C22" s="4" t="str">
        <v/>
      </c>
      <c r="D22" s="4" t="str">
        <v xml:space="preserve"> </v>
      </c>
      <c r="E22" s="4" t="str">
        <v>Global</v>
      </c>
      <c r="F22" s="5">
        <v>5</v>
      </c>
      <c r="G22" s="4">
        <v>733</v>
      </c>
    </row>
    <row r="23" ht="60" customHeight="1">
      <c r="A23" s="4" t="str">
        <v>AOW05: Enable</v>
      </c>
      <c r="B23" s="4" t="str">
        <v>I-OC 5.3. Breeding network actors use evidence-based guidance and recommendations to formulate policies, procedures, and institutionalize best-fit practices related to breeding, delivery, and product management</v>
      </c>
      <c r="C23" s="4" t="str">
        <v/>
      </c>
      <c r="D23" s="4" t="str">
        <v xml:space="preserve"> </v>
      </c>
      <c r="E23" s="4" t="str">
        <v>Global</v>
      </c>
      <c r="F23" s="5">
        <v>1</v>
      </c>
      <c r="G23" s="4">
        <v>734</v>
      </c>
    </row>
  </sheetData>
  <mergeCells count="11">
    <mergeCell ref="B3:B5"/>
    <mergeCell ref="C3:C5"/>
    <mergeCell ref="B8:B9"/>
    <mergeCell ref="C8:C9"/>
    <mergeCell ref="B10:B12"/>
    <mergeCell ref="C10:C12"/>
    <mergeCell ref="A2:A13"/>
    <mergeCell ref="B15:B16"/>
    <mergeCell ref="C15:C16"/>
    <mergeCell ref="A15:A20"/>
    <mergeCell ref="A21:A23"/>
  </mergeCells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