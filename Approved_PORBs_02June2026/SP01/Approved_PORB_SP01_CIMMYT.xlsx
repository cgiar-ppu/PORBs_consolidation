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470003</v>
      </c>
      <c r="K4" s="5">
        <v>470003</v>
      </c>
      <c r="L4" s="5">
        <v>0</v>
      </c>
      <c r="M4" s="5">
        <v>0</v>
      </c>
      <c r="N4" s="4">
        <v>163</v>
      </c>
    </row>
    <row r="5" ht="20" customHeight="1">
      <c r="A5" s="4" t="str">
        <v>AOW01: Market Intelligence</v>
      </c>
      <c r="B5" s="5">
        <v>0</v>
      </c>
      <c r="C5" s="5">
        <v>0</v>
      </c>
      <c r="D5" s="5">
        <v>2</v>
      </c>
      <c r="E5" s="5">
        <v>271281</v>
      </c>
      <c r="F5" s="5">
        <v>0</v>
      </c>
      <c r="G5" s="5">
        <v>0</v>
      </c>
      <c r="H5" s="5">
        <v>0</v>
      </c>
      <c r="I5" s="5">
        <v>0</v>
      </c>
      <c r="J5" s="5">
        <v>271281</v>
      </c>
      <c r="K5" s="5">
        <v>271281</v>
      </c>
      <c r="L5" s="5">
        <v>0</v>
      </c>
      <c r="M5" s="5">
        <v>0</v>
      </c>
      <c r="N5" s="4">
        <v>161</v>
      </c>
    </row>
    <row r="6" ht="20" customHeight="1">
      <c r="A6" s="4" t="str">
        <v>AOW02: Accelerated Breeding</v>
      </c>
      <c r="B6" s="5">
        <v>197</v>
      </c>
      <c r="C6" s="5">
        <v>3160702</v>
      </c>
      <c r="D6" s="5">
        <v>0</v>
      </c>
      <c r="E6" s="5">
        <v>0</v>
      </c>
      <c r="F6" s="5">
        <v>0</v>
      </c>
      <c r="G6" s="5">
        <v>0</v>
      </c>
      <c r="H6" s="5">
        <v>6</v>
      </c>
      <c r="I6" s="5">
        <v>225982</v>
      </c>
      <c r="J6" s="5">
        <v>3386684</v>
      </c>
      <c r="K6" s="5">
        <v>3386684</v>
      </c>
      <c r="L6" s="5">
        <v>0</v>
      </c>
      <c r="M6" s="5">
        <v>0</v>
      </c>
      <c r="N6" s="4">
        <v>160</v>
      </c>
    </row>
    <row r="7" ht="20" customHeight="1">
      <c r="A7" s="4" t="str">
        <v>AOW03: Inclusive Delivery</v>
      </c>
      <c r="B7" s="5">
        <v>0</v>
      </c>
      <c r="C7" s="5">
        <v>0</v>
      </c>
      <c r="D7" s="5">
        <v>3</v>
      </c>
      <c r="E7" s="5">
        <v>425257</v>
      </c>
      <c r="F7" s="5">
        <v>0</v>
      </c>
      <c r="G7" s="5">
        <v>0</v>
      </c>
      <c r="H7" s="5">
        <v>291</v>
      </c>
      <c r="I7" s="5">
        <v>995050</v>
      </c>
      <c r="J7" s="5">
        <v>1420307</v>
      </c>
      <c r="K7" s="5">
        <v>1420307</v>
      </c>
      <c r="L7" s="5">
        <v>0</v>
      </c>
      <c r="M7" s="5">
        <v>0</v>
      </c>
      <c r="N7" s="4">
        <v>159</v>
      </c>
    </row>
    <row r="8" ht="20" customHeight="1">
      <c r="A8" s="4" t="str">
        <v>AOW04: Breeding Resources</v>
      </c>
      <c r="B8" s="5">
        <v>1</v>
      </c>
      <c r="C8" s="5">
        <v>106949</v>
      </c>
      <c r="D8" s="5">
        <v>0</v>
      </c>
      <c r="E8" s="5">
        <v>0</v>
      </c>
      <c r="F8" s="5">
        <v>350</v>
      </c>
      <c r="G8" s="5">
        <v>316371</v>
      </c>
      <c r="H8" s="5">
        <v>1266</v>
      </c>
      <c r="I8" s="5">
        <v>1489083</v>
      </c>
      <c r="J8" s="5">
        <v>1912403</v>
      </c>
      <c r="K8" s="5">
        <v>1912403</v>
      </c>
      <c r="L8" s="5">
        <v>0</v>
      </c>
      <c r="M8" s="5">
        <v>0</v>
      </c>
      <c r="N8" s="4">
        <v>158</v>
      </c>
    </row>
    <row r="9" ht="20" customHeight="1">
      <c r="A9" s="4" t="str">
        <v>AOW05: Enable</v>
      </c>
      <c r="B9" s="5">
        <v>0</v>
      </c>
      <c r="C9" s="5">
        <v>0</v>
      </c>
      <c r="D9" s="5">
        <v>2</v>
      </c>
      <c r="E9" s="5">
        <v>50000</v>
      </c>
      <c r="F9" s="5">
        <v>80</v>
      </c>
      <c r="G9" s="5">
        <v>123000</v>
      </c>
      <c r="H9" s="5">
        <v>28</v>
      </c>
      <c r="I9" s="5">
        <v>410787</v>
      </c>
      <c r="J9" s="5">
        <v>583787</v>
      </c>
      <c r="K9" s="5">
        <v>583787</v>
      </c>
      <c r="L9" s="5">
        <v>0</v>
      </c>
      <c r="M9" s="5">
        <v>0</v>
      </c>
      <c r="N9" s="4">
        <v>162</v>
      </c>
    </row>
    <row r="10" ht="25" customHeight="1">
      <c r="A10" s="6" t="str">
        <v>Total</v>
      </c>
      <c r="B10" s="7" t="str">
        <v/>
      </c>
      <c r="C10" s="7">
        <v>3267651</v>
      </c>
      <c r="D10" s="7" t="str">
        <v/>
      </c>
      <c r="E10" s="7">
        <v>746538</v>
      </c>
      <c r="F10" s="7" t="str">
        <v/>
      </c>
      <c r="G10" s="7">
        <v>439371</v>
      </c>
      <c r="H10" s="7" t="str">
        <v/>
      </c>
      <c r="I10" s="7">
        <v>3120902</v>
      </c>
      <c r="J10" s="7">
        <v>8044465</v>
      </c>
      <c r="K10" s="7">
        <v>8044465</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6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Market Intelligence</v>
      </c>
      <c r="B3" s="4" t="str">
        <v>CIMMYT</v>
      </c>
      <c r="C3" s="4" t="str">
        <v>HLO3.AOW1.IO1 Design concepts</v>
      </c>
      <c r="D3" s="4" t="str">
        <v>7---. --------------------- CRITICAL CAPABILITIES - CIMMYT - CROP AGNOSTIC - (Strengthening and standardizing PDT and advancement meeting processes, tools, and data flows to guide CGIAR breeding and ensure new crop varieties align with farmer, market, and stakeholder needs.) ----------------------------.-----------ACTIVITY DESCRIPTION: The process of PDTs and integration of advancement meetings will be documented and described in detail as a product design standard including guidelines for NARS and other partners.-----------BREEDING PIPELINE: Global.-----------MARKET SEGMENT: Global.-----------INDICATOR: Number of knowledge products (disaggregated by type; reports )</v>
      </c>
      <c r="E3" s="4" t="str">
        <v>Number of knowledge products</v>
      </c>
      <c r="F3" s="4" t="str">
        <v>Kenya</v>
      </c>
      <c r="G3" s="5">
        <v>1</v>
      </c>
      <c r="H3" s="5">
        <v>200000</v>
      </c>
      <c r="I3" s="4" t="str">
        <v>.</v>
      </c>
      <c r="J3" s="4">
        <v>4728</v>
      </c>
    </row>
    <row r="4" ht="50" customHeight="1" xml:space="preserve">
      <c r="A4" s="4" t="str">
        <v>AOW01: Market Intelligence</v>
      </c>
      <c r="B4" s="4" t="str">
        <v>CIMMYT</v>
      </c>
      <c r="C4" s="4" t="str">
        <v>HLO2.AOW1.IO1 Target markets</v>
      </c>
      <c r="D4" s="4" t="str" xml:space="preserve">
        <v xml:space="preserve">5---.--------------CIMMYT - (Maize, wheat, Sorghum, Pearl Millet, Finger Millet) -----------.-----------ACTIVITY DESCRIPTION: Design and test  product concepts for wheat in Ethiopia, and sorghum in Nigeria to map the future demand for hybrids and guide the development of breakthrough product of the breeding programs. .-----------BREEDING PIPELINE: BP00005, BP00069
BP00226, BP00225, BP00228, BP00229.-----------MARKET SEGMENT: MS00700, MS00701
MS00400, MS00673, MS00674, MS00675.-----------INDICATOR: Number of knowledge products developed</v>
      </c>
      <c r="E4" s="4" t="str">
        <v>Number of knowledge products</v>
      </c>
      <c r="F4" s="4" t="str">
        <v>Kenya</v>
      </c>
      <c r="G4" s="5">
        <v>1</v>
      </c>
      <c r="H4" s="5">
        <v>71281</v>
      </c>
      <c r="I4" s="4" t="str">
        <v>.</v>
      </c>
      <c r="J4" s="4">
        <v>4732</v>
      </c>
    </row>
    <row r="5" ht="25" customHeight="1">
      <c r="C5" s="9" t="str">
        <v>HLO budget subtotal</v>
      </c>
      <c r="H5" s="9">
        <v>271281</v>
      </c>
      <c r="J5" s="9" t="str">
        <v/>
      </c>
    </row>
    <row r="6" ht="50" customHeight="1">
      <c r="A6" s="8" t="str">
        <v>AOW02: Accelerated Breeding</v>
      </c>
      <c r="B6" s="4" t="str">
        <v>CIMMYT</v>
      </c>
      <c r="C6" s="4" t="str">
        <v>HLO6.AOW2.IO1 Refocus to markets</v>
      </c>
      <c r="D6" s="4" t="str">
        <v>16---. ---- CIMMYT - CROP AGNOSTIC --------.-----------ACTIVITY DESCRIPTION: This is to support convenening and development of trait discovery and deployment standards across B4T.-----------BREEDING PIPELINE: Global.-----------MARKET SEGMENT: Global.-----------INDICATOR: Number of breeding pipelines developed</v>
      </c>
      <c r="E6" s="4" t="str">
        <v>Number of innovations (innovation development)</v>
      </c>
      <c r="F6" s="4" t="str">
        <v>Kenya, Mexico</v>
      </c>
      <c r="G6" s="5">
        <v>150</v>
      </c>
      <c r="H6" s="5">
        <v>227191</v>
      </c>
      <c r="I6" s="4" t="str">
        <v>.</v>
      </c>
      <c r="J6" s="4">
        <v>4755</v>
      </c>
    </row>
    <row r="7" ht="50" customHeight="1" xml:space="preserve">
      <c r="A7" s="4" t="str">
        <v>AOW02: Accelerated Breeding</v>
      </c>
      <c r="B7" s="4" t="str">
        <v>CIMMYT</v>
      </c>
      <c r="C7" s="4" t="str">
        <v>HLO8.AOW2.IO2 Discover genetic potential</v>
      </c>
      <c r="D7" s="4" t="str">
        <v>33---. ---- CIMMYT - CROP AGNOSITC ------------.-----------ACTIVITY DESCRIPTION: This is to support convenening and development of trait discovery and deployment standards across B4T.-----------BREEDING PIPELINE: Global.-----------MARKET SEGMENT: Global.-----------INDICATOR: Number of Breeding Pipelines those TPP or MS were adjusted so to be more feasible and/or more impactful.</v>
      </c>
      <c r="E7" s="4" t="str">
        <v>Number of innovations (innovation development)</v>
      </c>
      <c r="F7" s="4" t="str">
        <v>Kenya, Mexico</v>
      </c>
      <c r="G7" s="5">
        <v>20</v>
      </c>
      <c r="H7" s="5">
        <v>127191</v>
      </c>
      <c r="I7" s="4" t="str" xml:space="preserve">
        <v xml:space="preserve">.
</v>
      </c>
      <c r="J7" s="4">
        <v>4762</v>
      </c>
    </row>
    <row r="8" ht="50" customHeight="1">
      <c r="A8" s="4" t="str">
        <v>AOW02: Accelerated Breeding</v>
      </c>
      <c r="B8" s="4" t="str">
        <v>CIMMYT</v>
      </c>
      <c r="C8" s="4" t="str">
        <v>HLO7.AOW2.IO2 Accelerating genetic gain</v>
      </c>
      <c r="D8" s="4" t="str">
        <v>21---.------------------ CRITICAL CAPABILITIES - CIMMYT --- maize, sorghum, finger millet, pearl millet, pigeon pea, groundnut, chickpea (Sparse phenotyping standard operating procedures and analysis development, including downstream analysis steps) --------------------.-----------ACTIVITY DESCRIPTION: Methods for sparse testing trial designs and analysis are developed and validated and three SOPs and scripts are created for sparse tetsing trial design, data colleciton, data management and analysis. Scripts are validated by Bioflow Community and added to Bioflow/EBS.-----------BREEDING PIPELINE: Global.-----------MARKET SEGMENT: Global.-----------INDICATOR: Number of SOPs/protocols developed ( disaggregated by use; for sparse testing trial design, data collection, data management, and analysis)</v>
      </c>
      <c r="E8" s="4" t="str">
        <v>custom</v>
      </c>
      <c r="F8" s="4" t="str">
        <v>Mexico, Kenya</v>
      </c>
      <c r="G8" s="5">
        <v>3</v>
      </c>
      <c r="H8" s="5">
        <v>100982</v>
      </c>
      <c r="I8" s="4" t="str">
        <v>.</v>
      </c>
      <c r="J8" s="4">
        <v>4771</v>
      </c>
    </row>
    <row r="9" ht="50" customHeight="1">
      <c r="B9" s="4" t="str">
        <v>CIMMYT</v>
      </c>
      <c r="D9" s="4" t="str">
        <v>23---. -----  CIMMYT --- WHEAT  (Breeding program optimization plan designed and approved for implementation in CIMMYT bread wheat breeding pipelines)-----.-----------ACTIVITY DESCRIPTION: 5 wheat breeding pipelines optimized and redesigned to maximize the potential for genetic gain, using quantitative genetics simulations. New designs of optimized breeding schemes are agreed with breeders for implementation in the 5 breeding pipelines.-----------BREEDING PIPELINE: BP0001, BP0002, BP0003,BP0004,BP0005.-----------MARKET SEGMENT: MS00700, MS00701, MS00702, MS00709, MS00710, MS00711, MS01031, MS01032.-----------INDICATOR: Number of breeding schemes and pipelines designed with optimized breeding cycle time as compared to 2025</v>
      </c>
      <c r="E9" s="4" t="str">
        <v>Number of innovations (innovation development)</v>
      </c>
      <c r="F9" s="4" t="str">
        <v>Kenya, Mexico</v>
      </c>
      <c r="G9" s="5">
        <v>5</v>
      </c>
      <c r="H9" s="5">
        <v>73000</v>
      </c>
      <c r="I9" s="4" t="str">
        <v>.</v>
      </c>
      <c r="J9" s="4">
        <v>4773</v>
      </c>
    </row>
    <row r="10" ht="50" customHeight="1" xml:space="preserve">
      <c r="B10" s="4" t="str">
        <v>CIMMYT</v>
      </c>
      <c r="D10" s="4" t="str" xml:space="preserve">
        <v xml:space="preserve">27---. ----- CIMMYT --- maize, sorghum, finger millet, pearl millet, groundnut, chickpea, pigeon pea (Provision of breeding program optimization in CIMMYT maize and DCP breeding pipelines)-----.-----------ACTIVITY DESCRIPTION: 5 maize and DCP breeding pipelines optimized and redesigned to maximize the potential for genetic gain, using quantitative genetics simulations. New designs of optimized breeding schemes are agreed with breeders for implementation in the 5 breeding pipelines.-----------BREEDING PIPELINE: BP00032, BP00033 (maize), BP00151 (Sorghum), BP00228 (Sorghum), BP00141 (Pearl Millet) .-----------MARKET SEGMENT: MS00355, MS00356 (maize), all the BPs are linked to MS in GloMip, this is redudant informaiton, in any case here it is: MS00663, MS00664, MS00674, MS00644.-----------INDICATOR: Number of breeding schemes and pipelines designed with optimized breeding cycle time as compared to 2025
</v>
      </c>
      <c r="E10" s="4" t="str">
        <v>Number of innovations (innovation development)</v>
      </c>
      <c r="F10" s="4" t="str">
        <v>Mexico, Senegal, Kenya</v>
      </c>
      <c r="G10" s="5">
        <v>5</v>
      </c>
      <c r="H10" s="5">
        <v>40000</v>
      </c>
      <c r="I10" s="4" t="str">
        <v>.</v>
      </c>
      <c r="J10" s="4">
        <v>4777</v>
      </c>
    </row>
    <row r="11" ht="50" customHeight="1">
      <c r="A11" s="4" t="str">
        <v>AOW02: Accelerated Breeding</v>
      </c>
      <c r="B11" s="4" t="str">
        <v>CIMMYT</v>
      </c>
      <c r="C11" s="4" t="str">
        <v>HLO9.AOW2.IO2 Create products</v>
      </c>
      <c r="D11" s="4" t="str">
        <v>22---.------------------ CRITICAL CAPABILITIES - CIMMYT --- maize, sorghum, finger millet, pearl millet, pigeon pea,  groundnut, chickpea (Late stage On-Farm Trial standard operating procedure and analysis development) --------------------.-----------ACTIVITY DESCRIPTION: Methods for OFVT trial designs and analysis are developed and validated and three SOPs and scripts are created for sparse tetsing trial design, data colleciton, data nmanagement and analysis. Scripts are validated by Bioflow Community and added to Bioflow/EBS.-----------BREEDING PIPELINE: Global.-----------MARKET SEGMENT: Global.-----------INDICATOR: Number of SOPs/protocols developed ( disaggregated by use; for on-farm trial design, data collection, data management, and analysis)</v>
      </c>
      <c r="E11" s="4" t="str">
        <v>custom</v>
      </c>
      <c r="F11" s="4" t="str">
        <v>Kenya, Mexico</v>
      </c>
      <c r="G11" s="5">
        <v>3</v>
      </c>
      <c r="H11" s="5">
        <v>125000</v>
      </c>
      <c r="I11" s="4" t="str">
        <v>.</v>
      </c>
      <c r="J11" s="4">
        <v>4772</v>
      </c>
    </row>
    <row r="12" ht="50" customHeight="1">
      <c r="B12" s="4" t="str">
        <v>CIMMYT</v>
      </c>
      <c r="D12" s="4" t="str">
        <v>44---. ---- CIMMYT - WHEAT (Climate resilient bread wheat lines with 1.5% yield gains, durable disease resistance and enhanced nutritional value.)----------.-----------ACTIVITY DESCRIPTION: Number of elite lines released to partners in  Ethiopia.-----------BREEDING PIPELINE: BP0003, BP0005.-----------MARKET SEGMENT: MS00700, MS00701.-----------INDICATOR: Number of Breeding Pipelines with updated Breeding Portal information</v>
      </c>
      <c r="E12" s="4" t="str">
        <v>Number of innovations (innovation development)</v>
      </c>
      <c r="F12" s="4" t="str">
        <v>Ethiopia</v>
      </c>
      <c r="G12" s="5">
        <v>2</v>
      </c>
      <c r="H12" s="5">
        <v>663814</v>
      </c>
      <c r="I12" s="4" t="str">
        <v>.</v>
      </c>
      <c r="J12" s="4">
        <v>4783</v>
      </c>
    </row>
    <row r="13" ht="50" customHeight="1">
      <c r="B13" s="4" t="str">
        <v>CIMMYT</v>
      </c>
      <c r="D13" s="4" t="str">
        <v>45---. ---- CIMMYT - WHEAT - (Climate resilient, yellow rust-resistant wheat lines with 1.5% yield gain and enhanced nutritional quality.) ----------.-----------ACTIVITY DESCRIPTION: Number of elite lines released to partners in India and Nepal.-----------BREEDING PIPELINE: BP0002, BP0004.-----------MARKET SEGMENT: MS01031, MS01032.-----------INDICATOR:Number of Breeding Pipelines with updated Breeding Portal information</v>
      </c>
      <c r="E13" s="4" t="str">
        <v>Number of innovations (innovation development)</v>
      </c>
      <c r="F13" s="4" t="str">
        <v>Mexico</v>
      </c>
      <c r="G13" s="5">
        <v>2</v>
      </c>
      <c r="H13" s="5">
        <v>325449</v>
      </c>
      <c r="I13" s="4" t="str">
        <v>.</v>
      </c>
      <c r="J13" s="4">
        <v>4784</v>
      </c>
    </row>
    <row r="14" ht="50" customHeight="1">
      <c r="B14" s="4" t="str">
        <v>CIMMYT</v>
      </c>
      <c r="D14" s="4" t="str">
        <v>46---. ---- CIMMYT - WHEAT - (Climate resilient wheat lines with 1.5% annual yield gain, enhanced  nutritional benefits and protection of yield losses from biotic stress.) --------------------.-----------ACTIVITY DESCRIPTION: Number of elite lines released to partners in Pakistan.-----------BREEDING PIPELINE: BP0001.-----------MARKET SEGMENT: MS00709.-----------INDICATOR: Number of Breeding Pipelines with updated Breeding Portal information</v>
      </c>
      <c r="E14" s="4" t="str">
        <v>Number of innovations (innovation development)</v>
      </c>
      <c r="F14" s="4" t="str">
        <v>Mexico</v>
      </c>
      <c r="G14" s="5">
        <v>1</v>
      </c>
      <c r="H14" s="5">
        <v>325449</v>
      </c>
      <c r="I14" s="4" t="str">
        <v>.</v>
      </c>
      <c r="J14" s="4">
        <v>4785</v>
      </c>
    </row>
    <row r="15" ht="50" customHeight="1">
      <c r="B15" s="4" t="str">
        <v>CIMMYT</v>
      </c>
      <c r="D15" s="4" t="str">
        <v>47---. ---- CIMMYT - sorghum, pearl millet, groundnut, pigeon pea, finger millet, chickpea--- (Breakthrough Maize Hybrids and CMLs for Eastern Africa.) --------.-----------ACTIVITY DESCRIPTION: Number of stage 1and higher candidate varieties released to ADCIN partners across Dryland Legumes and Finger Millet (pigeon pea, chickpea, finger millet).-----------BREEDING PIPELINE:  BP00152, BP00153 (F. Millet), Chickpea (Ethiopia PDC): BP00197, BP00200 (Pigeonpea).-----------MARKET SEGMENT:  MS00652, MS00655 (F. millet),   MS00695, MS0696 (Pigeon Pea), MS00687, MS00685 (Chickpea).-----------INDICATOR: Number of Breeding Pipelines with updated Breeding Portal information</v>
      </c>
      <c r="E15" s="4" t="str">
        <v>Number of innovations (innovation development)</v>
      </c>
      <c r="F15" s="4" t="str">
        <v>Kenya, Senegal</v>
      </c>
      <c r="G15" s="5">
        <v>4</v>
      </c>
      <c r="H15" s="5">
        <v>226804</v>
      </c>
      <c r="I15" s="4" t="str">
        <v>.</v>
      </c>
      <c r="J15" s="4">
        <v>4786</v>
      </c>
    </row>
    <row r="16" ht="50" customHeight="1">
      <c r="B16" s="4" t="str">
        <v>CIMMYT</v>
      </c>
      <c r="D16" s="4" t="str">
        <v>48---. ---- CIMMYT -MAIZE (Breakthrough Maize Hybrids and CMLs for Southern Africa.) --------.-----------ACTIVITY DESCRIPTION: Number of varieties released to partners for scaling (5 CMLS, 3 hybrids).-----------BREEDING PIPELINE: BP00032, BP00033.-----------MARKET SEGMENT: MS00355, MS00356.-----------INDICATOR: Number of Breeding Pipelines with updated Breeding Portal information</v>
      </c>
      <c r="E16" s="4" t="str">
        <v>Number of innovations (innovation development)</v>
      </c>
      <c r="F16" s="4" t="str">
        <v>Zimbabwe</v>
      </c>
      <c r="G16" s="5">
        <v>2</v>
      </c>
      <c r="H16" s="5">
        <v>400000</v>
      </c>
      <c r="I16" s="4" t="str">
        <v>.</v>
      </c>
      <c r="J16" s="4">
        <v>4787</v>
      </c>
    </row>
    <row r="17" ht="50" customHeight="1">
      <c r="B17" s="4" t="str">
        <v>CIMMYT</v>
      </c>
      <c r="D17" s="4" t="str">
        <v>54---. ---- CIMMYT -MAIZE (Breakthrough Maize Hybrids and CMLs for Eastern Africa.) --------.-----------ACTIVITY DESCRIPTION: Number of varieties released to partners for scaling (4 CMLS, 3 hybrids).-----------BREEDING PIPELINE: BP00029, BP00125.-----------MARKET SEGMENT: MS00373, MS00375.-----------INDICATOR: Number of Breeding Pipelines with updated Breeding Portal information</v>
      </c>
      <c r="E17" s="4" t="str">
        <v>Number of innovations (innovation development)</v>
      </c>
      <c r="F17" s="4" t="str">
        <v>Kenya</v>
      </c>
      <c r="G17" s="5">
        <v>2</v>
      </c>
      <c r="H17" s="5">
        <v>400000</v>
      </c>
      <c r="I17" s="4" t="str">
        <v>.</v>
      </c>
      <c r="J17" s="4">
        <v>4793</v>
      </c>
    </row>
    <row r="18" ht="50" customHeight="1">
      <c r="B18" s="4" t="str">
        <v>CIMMYT</v>
      </c>
      <c r="D18" s="4" t="str">
        <v>new -cimmyt-1---.------CIMMYT (DCP SORGHUM)-----Stage 1 onwards testing of sorghum OPV and hybrids with ADCIN Network in coordination with ICRISAT.-----------ACTIVITY DESCRIPTION: Sparse testing of the new sorghum lines developed at ESA and WCA Population Development Center within ADCIN network .-----------BREEDING PIPELINE: Sorghum — BP00149 — ESA, Sorghum — BP00150 — ESA, Sorghum — BP00226 — WCA,  .-----------MARKET SEGMENT: MS00665,MS00661, MS00400,MS00673, MS00681 (Sorghum),  .-----------INDICATOR: Number of Breeding Pipelines with updated Breeding Portal information</v>
      </c>
      <c r="E18" s="4" t="str">
        <v>Number of innovations (innovation development)</v>
      </c>
      <c r="F18" s="4" t="str">
        <v>Kenya, Senegal</v>
      </c>
      <c r="G18" s="5">
        <v>3</v>
      </c>
      <c r="H18" s="5">
        <v>125000</v>
      </c>
      <c r="I18" s="4" t="str">
        <v>.</v>
      </c>
      <c r="J18" s="4">
        <v>8212</v>
      </c>
    </row>
    <row r="19" ht="50" customHeight="1">
      <c r="B19" s="4" t="str">
        <v>CIMMYT</v>
      </c>
      <c r="D19" s="4" t="str">
        <v>new -cimmyt-2---.------CIMMYT (DCP PEARL MILLET) -----Stage 1 onwards testing of Pearl Millet OPV and hybrids with ADCIN Network in coordination with ICRISAT.-----------ACTIVITY DESCRIPTION: Sparse testing of the new pearl millet OPV and hybrids developed at WCA Population Development Center within the ADCIN network .-----------BREEDING PIPELINE: Pearl Millet — BP00139 — ESA/WCA.-----------MARKET SEGMENT: MS00648, MS00641, MS00643 (P. Millet),  .-----------INDICATOR: Number of Breeding Pipelines those TPP or MS were adjusted so to be more feasible and/or more impactful</v>
      </c>
      <c r="E19" s="4" t="str">
        <v>Number of innovations (innovation development)</v>
      </c>
      <c r="F19" s="4" t="str">
        <v>Kenya, Senegal</v>
      </c>
      <c r="G19" s="5">
        <v>1</v>
      </c>
      <c r="H19" s="5">
        <v>226804</v>
      </c>
      <c r="I19" s="4" t="str">
        <v>.</v>
      </c>
      <c r="J19" s="4">
        <v>8213</v>
      </c>
    </row>
    <row r="20" ht="25" customHeight="1">
      <c r="C20" s="9" t="str">
        <v>HLO budget subtotal</v>
      </c>
      <c r="H20" s="9">
        <v>3386684</v>
      </c>
      <c r="J20" s="9" t="str">
        <v/>
      </c>
    </row>
    <row r="21" ht="50" customHeight="1" xml:space="preserve">
      <c r="A21" s="8" t="str">
        <v>AOW03: Inclusive Delivery</v>
      </c>
      <c r="B21" s="4" t="str">
        <v>CIMMYT</v>
      </c>
      <c r="C21" s="4" t="str">
        <v>HLO11.AOW3.IO4 Position for demand</v>
      </c>
      <c r="D21" s="4" t="str" xml:space="preserve">
        <v xml:space="preserve">66---.-------CIMMYT --MAIZE - (Farmer-preferred maize hybrids announced to partners)-----------.-----------ACTIVITY DESCRIPTION: - Conduct extensve on-farm testing (stage 5) network with partners in target countries
'- Generate performance data of new breakthrough maize products (BtP) against market dominant commercial and farmer preferred checks targetted for replacement
'- Conduct stage-gate advancement of high performing hybrids
'- Announce advanced hybrids for licensing &amp; commercialization by seed company partners
'- Produce product catalog with detailed variety description, performance  &amp; producibility data.-----------BREEDING PIPELINE: BP00125, BP00029, BP00030, BP00032, BP00033, BP00126.-----------MARKET SEGMENT: Maize EAF MS00372
Maize EAF MS00373
Maize EAF MS00375
Maize SAF MS00354
Maize SAF MS00355
Maize SAF MS00356.-----------INDICATOR: Number of new products per segments validated or introduced</v>
      </c>
      <c r="E21" s="4" t="str">
        <v>custom</v>
      </c>
      <c r="F21" s="4" t="str">
        <v>Zimbabwe, Kenya</v>
      </c>
      <c r="G21" s="5">
        <v>15</v>
      </c>
      <c r="H21" s="5">
        <v>282478</v>
      </c>
      <c r="I21" s="4" t="str">
        <v>.</v>
      </c>
      <c r="J21" s="4">
        <v>4805</v>
      </c>
    </row>
    <row r="22" ht="50" customHeight="1" xml:space="preserve">
      <c r="B22" s="4" t="str">
        <v>CIMMYT</v>
      </c>
      <c r="D22" s="4" t="str" xml:space="preserve">
        <v xml:space="preserve">72---. -----CIMMYT - MAIZE (Seed producibility data generated for advanced hybrids).-----------ACTIVITY DESCRIPTION: - Conduct seed production research to generate seed producibility data of hybrids in on-farm trials
'- Share seed producibility data of licensed hybrids with partners commercialization the products
'- Producibility data will be included in the product catalog on announcement.-----------BREEDING PIPELINE: BP00125, BP00029, BP00030, BP00032, BP00033, BP00126.-----------MARKET SEGMENT: Maize EAF MS00372
Maize EAF MS00373
Maize EAF MS00375
Maize SAF MS00354
Maize SAF MS00355
Maize SAF MS00356.-----------INDICATOR:  Number of datasets 
</v>
      </c>
      <c r="E22" s="4" t="str">
        <v>custom</v>
      </c>
      <c r="F22" s="4" t="str">
        <v>Zimbabwe, Kenya</v>
      </c>
      <c r="G22" s="5">
        <v>1</v>
      </c>
      <c r="H22" s="5">
        <v>145982</v>
      </c>
      <c r="I22" s="4" t="str">
        <v>.</v>
      </c>
      <c r="J22" s="4">
        <v>4811</v>
      </c>
    </row>
    <row r="23" ht="50" customHeight="1" xml:space="preserve">
      <c r="B23" s="4" t="str">
        <v>CIMMYT</v>
      </c>
      <c r="D23" s="4" t="str" xml:space="preserve">
        <v xml:space="preserve">new-fcdo- cimmyt-1----.------ CIMMYT (FCDO) ------Conduct participatory variety selection for at least 5 varieties each of sorghum and groundnut in Nigeria and generate performance and preference data to recommend 2 varieties per crop for production in target agroecologies.--------------.-----------ACTIVITY DESCRIPTION: Evaluate at least 4-5 varieties each of sorghum and groundnut in Nigeria through participatory approaches to generate  agronomic performance, farmer and user preference data and, based on the evidence, recommend 2 varieties per crop for production and dissemination..-----------BREEDING PIPELINE: Sorghum (Nigeria): BP00226, BP00229 
Groundnut (Nigeria): BP00143, BP00144
.-----------MARKET SEGMENT: Sorghum Nigeria:  MS00400; MS00675
Groundnut Nigeria:  MS00627, MS00631
.-----------INDICATOR: Number of varieties evaluated</v>
      </c>
      <c r="E23" s="4" t="str">
        <v>custom</v>
      </c>
      <c r="F23" s="4" t="str">
        <v>Nigeria</v>
      </c>
      <c r="G23" s="5">
        <v>9</v>
      </c>
      <c r="H23" s="5">
        <v>72989</v>
      </c>
      <c r="I23" s="4" t="str">
        <v>fcdo w2 funding</v>
      </c>
      <c r="J23" s="4">
        <v>8206</v>
      </c>
    </row>
    <row r="24" ht="50" customHeight="1" xml:space="preserve">
      <c r="B24" s="4" t="str">
        <v>CIMMYT</v>
      </c>
      <c r="D24" s="4" t="str" xml:space="preserve">
        <v xml:space="preserve">new-fcdo-cimmyt-2----.------ CIMMYT (FCDO)--------Conduct participatory variety selection for at least 5 varieties each of  sorghum and chickpea in Ethiopia, and generate performance and preference data to recommend 2 varieties per crop for production in target agroecologies.--------------.-----------ACTIVITY DESCRIPTION: Evaluate at least 4-5 varieties each of sorghum and chickpea in Ethiopia, through participatory approaches to generate  agronomic performance, farmer and user preference data and, based on the evidence, recommend 2 varieties per crop for production and dissemination...-----------BREEDING PIPELINE: Sorghum (Ethiopia):BP00148,  BP00150
Chickpea (Ethiopia): BP00197, BP00200.-----------MARKET SEGMENT: Sorghum (Ethiopia): MS00665; MS00672
Chickpea (Ethiopia):  MS00687, MS00685.-----------INDICATOR: Number of varieties evaluated</v>
      </c>
      <c r="E24" s="4" t="str">
        <v>custom</v>
      </c>
      <c r="F24" s="4" t="str">
        <v>Ethiopia</v>
      </c>
      <c r="G24" s="5">
        <v>9</v>
      </c>
      <c r="H24" s="5">
        <v>72988</v>
      </c>
      <c r="I24" s="4" t="str">
        <v>fcdo w2 funding</v>
      </c>
      <c r="J24" s="4">
        <v>8207</v>
      </c>
    </row>
    <row r="25" ht="50" customHeight="1" xml:space="preserve">
      <c r="A25" s="4" t="str">
        <v>AOW03: Inclusive Delivery</v>
      </c>
      <c r="B25" s="4" t="str">
        <v>CIMMYT</v>
      </c>
      <c r="C25" s="4" t="str">
        <v>HLO12.AOW3.IO5 Deploy seed</v>
      </c>
      <c r="D25" s="4" t="str" xml:space="preserve">
        <v xml:space="preserve">67---.--------------CIMMYT --MAIZE - (Breeder seed of parents of advanced hybrids produced)----------------.-----------ACTIVITY DESCRIPTION: - Produce enough breeder seed of announced products to be shared with licensed seed companies
'- Produce enough breeder seed of recently announced hybrids to be shared with licensed partners on demand.-----------BREEDING PIPELINE: BP00125, BP00029, BP00030, BP00032, BP00033, BP00126.-----------MARKET SEGMENT: Maize EAF MS00372
Maize EAF MS00373
Maize EAF MS00375
Maize SAF MS00354
Maize SAF MS00355
Maize SAF MS00356.-----------INDICATOR: Quantity of breeder seed produced</v>
      </c>
      <c r="E25" s="4" t="str">
        <v>custom</v>
      </c>
      <c r="F25" s="4" t="str">
        <v>Kenya, Zimbabwe</v>
      </c>
      <c r="G25" s="5">
        <v>15</v>
      </c>
      <c r="H25" s="5">
        <v>80000</v>
      </c>
      <c r="I25" s="4" t="str">
        <v>.</v>
      </c>
      <c r="J25" s="4">
        <v>4806</v>
      </c>
    </row>
    <row r="26" ht="50" customHeight="1" xml:space="preserve">
      <c r="B26" s="4" t="str">
        <v>CIMMYT</v>
      </c>
      <c r="D26" s="4" t="str" xml:space="preserve">
        <v xml:space="preserve">new-fcdo-cimmyt-3----. --------CIMMYT (FCDO)----------Support production and availability of 12.5 MT of EGS of sorghum and groundnut  --------.-----------ACTIVITY DESCRIPTION: Facilitate the production, distribution, and market availability of 11 MT of EGS through scaling partners in Nigeria.-----------BREEDING PIPELINE: Sorghum (Nigeria): BP00226, BP00229 
Groundnut (Nigeria): BP00143, BP00144
.-----------MARKET SEGMENT: Sorghum Nigeria:  MS00400; MS00675
Groundnut Nigeria:  MS00627, MS00631
.-----------INDICATOR: Quantities of quality Early Generation Seed (MT) produced</v>
      </c>
      <c r="E26" s="4" t="str">
        <v>custom</v>
      </c>
      <c r="F26" s="4" t="str">
        <v>Nigeria</v>
      </c>
      <c r="G26" s="5">
        <v>11</v>
      </c>
      <c r="H26" s="5">
        <v>30996</v>
      </c>
      <c r="I26" s="4" t="str">
        <v>fcdo w2 funding</v>
      </c>
      <c r="J26" s="4">
        <v>8208</v>
      </c>
    </row>
    <row r="27" ht="50" customHeight="1" xml:space="preserve">
      <c r="B27" s="4" t="str">
        <v>CIMMYT</v>
      </c>
      <c r="D27" s="4" t="str" xml:space="preserve">
        <v xml:space="preserve">new-fcdo-cimmyt-4----. --------CIMMYT (FCDO)----------Support production and availability of 125 MT of certified seed of sorghum and groundnut reaching at least 5000 farming households---------.-----------ACTIVITY DESCRIPTION: Facilitate the production, distribution, and market availability of 110 MT of certified seed through scaling partners in Nigeria with seed projected to serve at least 4,500 farming households in the target intervention areas...-----------BREEDING PIPELINE: Sorghum (Nigeria): BP00226, BP00229 
Groundnut (Nigeria): BP00143, BP00144
.-----------MARKET SEGMENT: Sorghum Nigeria:  MS00400; MS00675
Groundnut Nigeria:  MS00627, MS00631
.-----------INDICATOR: Quantities of quality commercial seed (MT) produced</v>
      </c>
      <c r="E27" s="4" t="str">
        <v>custom</v>
      </c>
      <c r="F27" s="4" t="str">
        <v>Nigeria</v>
      </c>
      <c r="G27" s="5">
        <v>110</v>
      </c>
      <c r="H27" s="5">
        <v>139310</v>
      </c>
      <c r="I27" s="4" t="str">
        <v>fcdo w2 funding</v>
      </c>
      <c r="J27" s="4">
        <v>8209</v>
      </c>
    </row>
    <row r="28" ht="50" customHeight="1" xml:space="preserve">
      <c r="B28" s="4" t="str">
        <v>CIMMYT</v>
      </c>
      <c r="D28" s="4" t="str" xml:space="preserve">
        <v xml:space="preserve">new-fcdo-cimmyt-5----. --------CIMMYT (FCDO)----------Support production and availability of 12.5 MT of EGS of sorghum and chickpea---------.-----------ACTIVITY DESCRIPTION: Facilitate the production, distribution, and market availability of 11 MT of EGS through scaling partners in Ethiopia.-----------BREEDING PIPELINE: Sorghum (Ethiopia):BP00148,  BP00150
Chickpea (Ethiopia): BP00197, BP00200.-----------MARKET SEGMENT: Sorghum (Ethiopia): MS00665; MS00672
Chickpea (Ethiopia):  MS00687, MS00685.-----------INDICATOR: Quantities of quality Early Generation Seed (MT) produced</v>
      </c>
      <c r="E28" s="4" t="str">
        <v>custom</v>
      </c>
      <c r="F28" s="4" t="str">
        <v>Ethiopia</v>
      </c>
      <c r="G28" s="5">
        <v>11</v>
      </c>
      <c r="H28" s="5">
        <v>30997</v>
      </c>
      <c r="I28" s="4" t="str">
        <v>fcdo w2 funds</v>
      </c>
      <c r="J28" s="4">
        <v>8210</v>
      </c>
    </row>
    <row r="29" ht="50" customHeight="1" xml:space="preserve">
      <c r="B29" s="4" t="str">
        <v>CIMMYT</v>
      </c>
      <c r="D29" s="4" t="str" xml:space="preserve">
        <v xml:space="preserve">new-fcdo-cimmyt-6----. --------CIMMYT (FCDO)----------Support production and availability of 125 MT of certified seed of sorghum and chickpea reaching at least 5000 farming households---------.-----------ACTIVITY DESCRIPTION: Facilitate the production, distribution, and market availability of 110 MT of certified seed through scaling partners in Ethiopia with seed projected to serve at least 4,500 farming households in the target intervention areas..-----------BREEDING PIPELINE: Sorghum (Ethiopia):BP00148,  BP00150
Chickpea (Ethiopia): BP00197, BP00200.-----------MARKET SEGMENT: Sorghum (Ethiopia): MS00665; MS00672
Chickpea (Ethiopia):  MS00687, MS00685.-----------INDICATOR: Quantities of quality commercial seed (MT) produced</v>
      </c>
      <c r="E29" s="4" t="str">
        <v>custom</v>
      </c>
      <c r="F29" s="4" t="str">
        <v>Ethiopia</v>
      </c>
      <c r="G29" s="5">
        <v>110</v>
      </c>
      <c r="H29" s="5">
        <v>139310</v>
      </c>
      <c r="I29" s="4" t="str">
        <v>fcdo funds</v>
      </c>
      <c r="J29" s="4">
        <v>8211</v>
      </c>
    </row>
    <row r="30" ht="50" customHeight="1" xml:space="preserve">
      <c r="A30" s="4" t="str">
        <v>AOW03: Inclusive Delivery</v>
      </c>
      <c r="B30" s="4" t="str">
        <v>CIMMYT</v>
      </c>
      <c r="C30" s="4" t="str">
        <v>HLO14.AOW3.IO5 TRACK adoption</v>
      </c>
      <c r="D30" s="4" t="str" xml:space="preserve">
        <v xml:space="preserve">101---. ---- CIMMYT - sorghum, pearl millet, groundnut, pigeon pea, finger millet, chickpea-  (Assessment of seed system functionality and readiness of target countries to absorb new dryland crop varieties) -----.-----------ACTIVITY DESCRIPTION: Assess the readiness of at least three priority countries to absorb newly released breakthrough product varieties in sorghum, pearl millet, and groundnut through a structured diagnosis using seed system readiness indicators, and produce country specific readiness reports..-----------BREEDING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	
High Level Output - HLO14.AOW3.IO5 TRACK adoption
</v>
      </c>
      <c r="E30" s="4" t="str">
        <v>Number of knowledge products</v>
      </c>
      <c r="F30" s="4" t="str">
        <v>Senegal, Kenya</v>
      </c>
      <c r="G30" s="5">
        <v>1</v>
      </c>
      <c r="H30" s="5">
        <v>119072</v>
      </c>
      <c r="I30" s="4" t="str">
        <v>.</v>
      </c>
      <c r="J30" s="4">
        <v>4878</v>
      </c>
    </row>
    <row r="31" ht="50" customHeight="1" xml:space="preserve">
      <c r="B31" s="4" t="str">
        <v>CIMMYT</v>
      </c>
      <c r="D31" s="4" t="str" xml:space="preserve">
        <v xml:space="preserve">102---. ----CIMMYT - (sorghum, pearl millet, groundnut, pigeon pea, finger millet, chickpea) - (Characterizing leading dryland crop varieties to inform product design, strengthen breeding pipelines, and position new varieties in the market.) -----.-----------ACTIVITY DESCRIPTION: Detailed profiling of dominant legacy and currently preferred varieties of dryland crops against pipeline candidates, using evidence from diverse users, to define trait benchmarks and market reference standards that guide target product profiles, advancement decisions, and variety positioning..-----------BREEDING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v>
      </c>
      <c r="E31" s="4" t="str">
        <v>Number of knowledge products</v>
      </c>
      <c r="F31" s="4" t="str">
        <v>Senegal, Kenya</v>
      </c>
      <c r="G31" s="5">
        <v>1</v>
      </c>
      <c r="H31" s="5">
        <v>191366</v>
      </c>
      <c r="I31" s="4" t="str">
        <v>.</v>
      </c>
      <c r="J31" s="4">
        <v>4879</v>
      </c>
    </row>
    <row r="32" ht="50" customHeight="1" xml:space="preserve">
      <c r="B32" s="4" t="str">
        <v>CIMMYT</v>
      </c>
      <c r="D32" s="4" t="str" xml:space="preserve">
        <v xml:space="preserve">103---. ---------------CIMMYT -- sorghum, pearl millet, groundnut, pigeon pea, finger millet, chickpea--- Analysis of varietal adoption, varietal turnover, seed replacement, and quality seed use in dryland crops) -----------------.-----------ACTIVITY DESCRIPTION: Systematic analysis of varietal adoption, varietal turnover, seed replacement behavior, and use of quality seed in dryland crops, using farmer, market, and seed system data, to generate evidence on uptake patterns, persistence of legacy varieties, rates of seed renewal, and constraints to quality seed use, and to guide breeding and deployment interventions..-----------BREEDING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v>
      </c>
      <c r="E32" s="4" t="str">
        <v>Number of knowledge products</v>
      </c>
      <c r="F32" s="4" t="str">
        <v>Senegal, Kenya</v>
      </c>
      <c r="G32" s="5">
        <v>1</v>
      </c>
      <c r="H32" s="5">
        <v>114819</v>
      </c>
      <c r="I32" s="4" t="str">
        <v>.</v>
      </c>
      <c r="J32" s="4">
        <v>4880</v>
      </c>
    </row>
    <row r="33" ht="25" customHeight="1">
      <c r="C33" s="9" t="str">
        <v>HLO budget subtotal</v>
      </c>
      <c r="H33" s="9">
        <v>1420307</v>
      </c>
      <c r="J33" s="9" t="str">
        <v/>
      </c>
    </row>
    <row r="34" ht="50" customHeight="1">
      <c r="A34" s="8" t="str">
        <v>AOW04: Breeding Resources</v>
      </c>
      <c r="B34" s="4" t="str">
        <v>CIMMYT</v>
      </c>
      <c r="C34" s="4" t="str">
        <v>HLO17.AOW4.IO3 FAIR principles</v>
      </c>
      <c r="D34" s="4" t="str">
        <v>146---. ---- CIMMYT - CROP AGNOSTIC (Pilot interoperability across breeding, agronomy and genebank systems)--------------.-----------ACTIVITY DESCRIPTION: Note: this is a cross cutting software development. Once developed, all EBS users will be have the data connectivity..-----------BREEDING PIPELINE: Global.-----------MARKET SEGMENT: Global.-----------INDICATOR: Number of tools and services offered</v>
      </c>
      <c r="E34" s="4" t="str">
        <v>custom</v>
      </c>
      <c r="F34" s="4" t="str">
        <v>Mexico, Kenya, Philippines</v>
      </c>
      <c r="G34" s="5">
        <v>3</v>
      </c>
      <c r="H34" s="5">
        <v>200000</v>
      </c>
      <c r="I34" s="4" t="str">
        <v>.</v>
      </c>
      <c r="J34" s="4">
        <v>4722</v>
      </c>
    </row>
    <row r="35" ht="50" customHeight="1">
      <c r="A35" s="4" t="str">
        <v>AOW04: Breeding Resources</v>
      </c>
      <c r="B35" s="4" t="str">
        <v>CIMMYT</v>
      </c>
      <c r="C35" s="4" t="str">
        <v>HLO15.AOW4.IO2 Hub &amp; spoke scaling</v>
      </c>
      <c r="D35" s="4" t="str">
        <v>107---. ---- CIMMYT (wheat, maize, sorghum, finger millet, pearl millet, pigeon pea, groundnut, chickpea ) - ------.-----------ACTIVITY DESCRIPTION: CIMMYT data team provide backstopping support for EBS and Bioflow for CIMMYT breeding programs by acting as a hub responding to requests from colleagues across the globe..-----------BREEDING PIPELINE: BP00001, BP00002, BP00003, BP00004, BP00005 (wheat), BP00029, BP00032, BP00033, BP00125 (maize), P00149, BP00225, BP00226 (Sorghum),  BP00227, BP00139 BP00139, BP00140 (P. Millet), BP00152, BP00153 (F. Millet), BP00147, BP00143, BP00144 (Groundnut).-----------MARKET SEGMENT: MS00355, MS00356, MS00373, MS00375 (maize), MS00700, M00701, MS00702, MS00709, M00710, MS00711,MS01031, MS01032 (wheat), MS00665,MS00661, MS00400,MS00673, MS00681 (Sorghum),  MS00648, MS00641, MS00643 (P. Millet), MS00652, MS00655 (F. millet),    MS00392, MS00397, MS00630, MS00631 (Groundnut), MS00695, MS0696 (Pigeon Pea).-----------INDICATOR: Number of tools and services</v>
      </c>
      <c r="E35" s="4" t="str">
        <v>custom</v>
      </c>
      <c r="F35" s="4" t="str">
        <v>Zimbabwe, India, Kenya, Mexico</v>
      </c>
      <c r="G35" s="5">
        <v>1</v>
      </c>
      <c r="H35" s="5">
        <v>56496</v>
      </c>
      <c r="I35" s="4" t="str">
        <v>.</v>
      </c>
      <c r="J35" s="4">
        <v>4836</v>
      </c>
    </row>
    <row r="36" ht="50" customHeight="1">
      <c r="B36" s="4" t="str">
        <v>CIMMYT</v>
      </c>
      <c r="D36" s="4" t="str">
        <v>108---. ---------------------CIMMYT (CROP AGNOSTIC)CGIAR Centers Breeding Operations Assessments conducted and technical support -----.-----------ACTIVITY DESCRIPTION: This is a joint activity across multiple CG centers.-----------BREEDING PIPELINE: Global.-----------MARKET SEGMENT: Global.-----------INDICATOR: Number of assesments conducted</v>
      </c>
      <c r="E36" s="4" t="str">
        <v>custom</v>
      </c>
      <c r="F36" s="4" t="str">
        <v>Mexico, Senegal, Kenya</v>
      </c>
      <c r="G36" s="5">
        <v>500</v>
      </c>
      <c r="H36" s="5">
        <v>100000</v>
      </c>
      <c r="I36" s="4" t="str">
        <v>.</v>
      </c>
      <c r="J36" s="4">
        <v>4837</v>
      </c>
    </row>
    <row r="37" ht="50" customHeight="1">
      <c r="B37" s="4" t="str">
        <v>CIMMYT</v>
      </c>
      <c r="D37" s="4" t="str">
        <v xml:space="preserve">109---. ----- CIMMYT - CROP AGNOSTIC (Develop and deploy SOPs, QC protocols and cost-recovery model)----.-----------ACTIVITY DESCRIPTION: This is a joint activity across multiple CG centers.-----------BREEDING PIPELINE: Global.-----------MARKET SEGMENT: Global.-----------INDICATOR: Number of SOPs/protocols developed </v>
      </c>
      <c r="E37" s="4" t="str">
        <v>custom</v>
      </c>
      <c r="F37" s="4" t="str">
        <v>Mexico, Senegal, Kenya</v>
      </c>
      <c r="G37" s="5">
        <v>2</v>
      </c>
      <c r="H37" s="5">
        <v>80000</v>
      </c>
      <c r="I37" s="4" t="str">
        <v>.</v>
      </c>
      <c r="J37" s="4">
        <v>4838</v>
      </c>
    </row>
    <row r="38" ht="50" customHeight="1">
      <c r="B38" s="4" t="str">
        <v>CIMMYT</v>
      </c>
      <c r="D38" s="4" t="str">
        <v>112---.-----------------------------------CRITICAL CAPABILITIES - CIMMYT - CROP AGNOSTIC - (EBS and Bioflow Backstopping) -------------.-----------ACTIVITY DESCRIPTION: CIMMYT data team provide backstopping support for EBS and Bioflow for CGIAR breeding programs by acting as a hub responding to requests from colleagues in 7 priority African countries.-----------BREEDING PIPELINE: Multi-crop, multi-pipeline (details under discussion, project is country-based).-----------MARKET SEGMENT: Multi-crop, multi-pipeline (details under discussion, project is country-based).-----------INDICATOR: Number of High-capacity partners acting as central hub, providing breeding network support services to less resourced partners</v>
      </c>
      <c r="E38" s="4" t="str">
        <v>custom</v>
      </c>
      <c r="F38" s="4" t="str">
        <v>Kenya, Mexico</v>
      </c>
      <c r="G38" s="5">
        <v>1</v>
      </c>
      <c r="H38" s="5">
        <v>80000</v>
      </c>
      <c r="I38" s="4" t="str">
        <v>.</v>
      </c>
      <c r="J38" s="4">
        <v>4841</v>
      </c>
    </row>
    <row r="39" ht="50" customHeight="1" xml:space="preserve">
      <c r="B39" s="4" t="str">
        <v>CIMMYT</v>
      </c>
      <c r="D39" s="4" t="str" xml:space="preserve">
        <v xml:space="preserve">116---.
---------------------CIMMYT (CROP AGNOSTIC) Expand EBS adoption across CGIAR-NARES networks -----.-----------ACTIVITY DESCRIPTION: .-----------BREEDING PIPELINE: Global.-----------MARKET SEGMENT: Global.-----------INDICATOR: Number of tools and services</v>
      </c>
      <c r="E39" s="4" t="str">
        <v>custom</v>
      </c>
      <c r="F39" s="4" t="str">
        <v>Philippines, Kenya, Mexico</v>
      </c>
      <c r="G39" s="5">
        <v>750</v>
      </c>
      <c r="H39" s="5">
        <v>250000</v>
      </c>
      <c r="I39" s="4" t="str">
        <v>.</v>
      </c>
      <c r="J39" s="4">
        <v>4845</v>
      </c>
    </row>
    <row r="40" ht="50" customHeight="1">
      <c r="B40" s="4" t="str">
        <v>CIMMYT</v>
      </c>
      <c r="D40" s="4" t="str">
        <v>117---. ----- CIMMYT - CROP AGNOSTIC - (South Asia Elemental Analysis Hub strengthened with QMS and SOPs) ------------------.-----------ACTIVITY DESCRIPTION: .-----------BREEDING PIPELINE: Global.-----------MARKET SEGMENT: Global.-----------INDICATOR: Number of tools and services</v>
      </c>
      <c r="E40" s="4" t="str">
        <v>custom</v>
      </c>
      <c r="F40" s="4" t="str">
        <v>India</v>
      </c>
      <c r="G40" s="5">
        <v>1</v>
      </c>
      <c r="H40" s="5">
        <v>75000</v>
      </c>
      <c r="I40" s="4" t="str">
        <v>.</v>
      </c>
      <c r="J40" s="4">
        <v>4846</v>
      </c>
    </row>
    <row r="41" ht="50" customHeight="1">
      <c r="A41" s="4" t="str">
        <v>AOW04: Breeding Resources</v>
      </c>
      <c r="B41" s="4" t="str">
        <v>CIMMYT</v>
      </c>
      <c r="C41" s="4" t="str">
        <v>HLO16.AOW4.IO3 Shared services</v>
      </c>
      <c r="D41" s="4" t="str">
        <v>A portfolio of connected tools and services that collectively meet current and emerging needs for modernized breeding is made available to breeding networks ---------------------CIMMYT (CROP AGNOSTIC) Upgrade CGIAR genotyping QA/QC workflows, forecast planning and quality control</v>
      </c>
      <c r="E41" s="4" t="str">
        <v>custom</v>
      </c>
      <c r="F41" s="4" t="str">
        <v>India, Philippines, Mexico, Kenya</v>
      </c>
      <c r="G41" s="5">
        <v>1</v>
      </c>
      <c r="H41" s="5">
        <v>0</v>
      </c>
      <c r="I41" s="4" t="str">
        <v/>
      </c>
      <c r="J41" s="4">
        <v>4847</v>
      </c>
    </row>
    <row r="42" ht="50" customHeight="1">
      <c r="B42" s="4" t="str">
        <v>CIMMYT</v>
      </c>
      <c r="D42" s="4" t="str">
        <v>123---. ------------------------------- CIMMYT - CROP AGNOSTIC (Integrated Return on Investment methodology used in 2 priority breeding pipelines) - (CIMMYT_Breeding for Tomorrow_CC5 (ex. IRRI_Breeding for Tomorrow_05)) ----------------------.-----------ACTIVITY DESCRIPTION: Return on Investment methodology, developed in PORB 67, is used and validated in two priority breeding pipelines.-----------BREEDING PIPELINE: BP0003, BP00029.-----------MARKET SEGMENT: MS00701, MS00373.-----------INDICATOR: Number of services</v>
      </c>
      <c r="E42" s="4" t="str">
        <v>custom</v>
      </c>
      <c r="F42" s="4" t="str">
        <v>Ethiopia, Kenya</v>
      </c>
      <c r="G42" s="5">
        <v>2</v>
      </c>
      <c r="H42" s="5">
        <v>70587</v>
      </c>
      <c r="I42" s="4" t="str">
        <v>.</v>
      </c>
      <c r="J42" s="4">
        <v>4852</v>
      </c>
    </row>
    <row r="43" ht="50" customHeight="1">
      <c r="B43" s="4" t="str">
        <v>CIMMYT</v>
      </c>
      <c r="D43" s="4" t="str">
        <v>124---. ---- CIMMYT - CROP AGNOSTIC (Return on Investment estimation methodlogy developed, integrating quantitative genetics and market intelligence) - (CIMMYT_Breeding for Tomorrow_CC5 (ex. IRRI_Breeding for Tomorrow_05)) ----.-----------ACTIVITY DESCRIPTION: Return on Investment  methodology developed, integrating quantitative genetics and market intelligence, and report and recommendations prooduced..-----------BREEDING PIPELINE: Global.-----------MARKET SEGMENT: Global.-----------INDICATOR: Number of tools and services offered</v>
      </c>
      <c r="E43" s="4" t="str">
        <v>custom</v>
      </c>
      <c r="F43" s="4" t="str">
        <v>Mexico, Kenya</v>
      </c>
      <c r="G43" s="5">
        <v>1</v>
      </c>
      <c r="H43" s="5">
        <v>60000</v>
      </c>
      <c r="I43" s="4" t="str">
        <v>.</v>
      </c>
      <c r="J43" s="4">
        <v>4853</v>
      </c>
    </row>
    <row r="44" ht="50" customHeight="1">
      <c r="B44" s="4" t="str">
        <v>CIMMYT</v>
      </c>
      <c r="D44" s="4" t="str">
        <v>125---. ---- CRITICAL CAPABILITIES - CIMMYT - CROP AGNOSTIC (Mapping future climate scenarios for CGIAR crops in Africa: future TPEs, risks, and altered cropping systems.) ----.-----------ACTIVITY DESCRIPTION: Maps of future climate and crop suitability in Africa plus a report on the most likely cropping system scenarios for priority African countries in 2045, and the implications for CIMMYT crop TPEs and TPPs. .-----------BREEDING PIPELINE: Africa.-----------MARKET SEGMENT: Africa.-----------INDICATOR: Number of tools and services offered</v>
      </c>
      <c r="E44" s="4" t="str">
        <v>custom</v>
      </c>
      <c r="F44" s="4" t="str">
        <v>Mexico</v>
      </c>
      <c r="G44" s="5">
        <v>1</v>
      </c>
      <c r="H44" s="5">
        <v>80000</v>
      </c>
      <c r="I44" s="4" t="str">
        <v>.</v>
      </c>
      <c r="J44" s="4">
        <v>4854</v>
      </c>
    </row>
    <row r="45" ht="50" customHeight="1" xml:space="preserve">
      <c r="B45" s="4" t="str">
        <v>CIMMYT</v>
      </c>
      <c r="D45" s="4" t="str" xml:space="preserve">
        <v xml:space="preserve">126---. ---- CRITICAL CAPABILITIES - CIMMYT - CROP AGNOSTIC (High resolution environmental data extraction service developed and validated) ----.-----------ACTIVITY DESCRIPTION: Provision of a CGIAR-wide service of automatized environmental data extraction for any breeding site globally, for incoporation of environmental data in breeding protocols..-----------BREEDING PIPELINE: Global.-----------MARKET SEGMENT: Global.-----------INDICATOR: Number of tools and services offered	
</v>
      </c>
      <c r="E45" s="4" t="str">
        <v>custom</v>
      </c>
      <c r="F45" s="4" t="str">
        <v>Mexico</v>
      </c>
      <c r="G45" s="5">
        <v>1</v>
      </c>
      <c r="H45" s="5">
        <v>40000</v>
      </c>
      <c r="I45" s="4" t="str">
        <v>.</v>
      </c>
      <c r="J45" s="4">
        <v>4855</v>
      </c>
    </row>
    <row r="46" ht="50" customHeight="1" xml:space="preserve">
      <c r="B46" s="4" t="str">
        <v>CIMMYT</v>
      </c>
      <c r="D46" s="4" t="str" xml:space="preserve">
        <v xml:space="preserve">127---.---------INDICATOR Number of people trained
 ----.-----------ACTIVITY DESCRIPTION: (Users trained and have access to shared services).-----------BREEDING PIPELINE: Global.-----------MARKET SEGMENT: Global.-----------INDICATOR: Number of individuals from research or scaling partner organizations who attended CGIAR trainings</v>
      </c>
      <c r="E46" s="4" t="str">
        <v>Number of people trained (capacity sharing for development)</v>
      </c>
      <c r="F46" s="4" t="str">
        <v>Mexico, Philippines, Kenya</v>
      </c>
      <c r="G46" s="5">
        <v>100</v>
      </c>
      <c r="H46" s="5">
        <v>29311</v>
      </c>
      <c r="I46" s="4" t="str">
        <v>.</v>
      </c>
      <c r="J46" s="4">
        <v>4856</v>
      </c>
    </row>
    <row r="47" ht="50" customHeight="1">
      <c r="B47" s="4" t="str">
        <v>CIMMYT</v>
      </c>
      <c r="D47" s="4" t="str">
        <v xml:space="preserve">138---. ---------------- CRITICAL CAPABILITIES - CIMMYT - CROP AGNOSTIC - (EBS and Bioflow Capacity Sharing)  ----------------------------.-----------ACTIVITY DESCRIPTION: Provide initial training in EBS and Bioflow for EBS adoption for National Partners, training at least 50 individuals from research or scaling partner organizations across 7 priority African countries..-----------BREEDING PIPELINE: Multi-crop, multi-pipeline (details under discussion, project is country-based).-----------MARKET SEGMENT: Multi-crop, multi-pipeline (details under discussion, project is country-based).-----------INDICATOR: Number of people trained </v>
      </c>
      <c r="E47" s="4" t="str">
        <v>Number of people trained (capacity sharing for development)</v>
      </c>
      <c r="F47" s="4" t="str">
        <v>Mexico, Kenya</v>
      </c>
      <c r="G47" s="5">
        <v>50</v>
      </c>
      <c r="H47" s="5">
        <v>120000</v>
      </c>
      <c r="I47" s="4" t="str">
        <v>.</v>
      </c>
      <c r="J47" s="4">
        <v>4867</v>
      </c>
    </row>
    <row r="48" ht="50" customHeight="1" xml:space="preserve">
      <c r="B48" s="4" t="str">
        <v>CIMMYT</v>
      </c>
      <c r="D48" s="4" t="str" xml:space="preserve">
        <v xml:space="preserve">141---.---------CIMMYT (Users trained and have access to image analysis shared services and technical backstopping support) ----.-----------ACTIVITY DESCRIPTION: .-----------BREEDING PIPELINE: Global.-----------MARKET SEGMENT: Global.-----------INDICATOR: Number of people trained
</v>
      </c>
      <c r="E48" s="4" t="str">
        <v>Number of people trained (capacity sharing for development)</v>
      </c>
      <c r="F48" s="4" t="str">
        <v>Senegal, Kenya, Mexico</v>
      </c>
      <c r="G48" s="5">
        <v>100</v>
      </c>
      <c r="H48" s="5">
        <v>80000</v>
      </c>
      <c r="I48" s="4" t="str">
        <v>.</v>
      </c>
      <c r="J48" s="4">
        <v>4869</v>
      </c>
    </row>
    <row r="49" ht="50" customHeight="1">
      <c r="B49" s="4" t="str">
        <v>CIMMYT</v>
      </c>
      <c r="D49" s="4" t="str">
        <v>140---.---------CIMMYT (Users trained and have access to shared services and technical backstopping support) ----.-----------ACTIVITY DESCRIPTION: .-----------BREEDING PIPELINE: Global.-----------MARKET SEGMENT: Global.-----------INDICATOR: Number of people trained</v>
      </c>
      <c r="E49" s="4" t="str">
        <v>Number of people trained (capacity sharing for development)</v>
      </c>
      <c r="F49" s="4" t="str">
        <v>India, Philippines, Mexico, Kenya</v>
      </c>
      <c r="G49" s="5">
        <v>100</v>
      </c>
      <c r="H49" s="5">
        <v>87060</v>
      </c>
      <c r="I49" s="4" t="str">
        <v>.</v>
      </c>
      <c r="J49" s="4">
        <v>4870</v>
      </c>
    </row>
    <row r="50" ht="50" customHeight="1">
      <c r="B50" s="4" t="str">
        <v>CIMMYT</v>
      </c>
      <c r="D50" s="4" t="str">
        <v>142---. ---- CIMMYT - CROP AGNOSTIC - (Release BioFlow 2026 with enhanced QA/QC, MTA, DGI and mate-optimization modules) ----.-----------ACTIVITY DESCRIPTION: .-----------BREEDING PIPELINE: Global.-----------MARKET SEGMENT: Global.-----------INDICATOR: Number of tools and services offered</v>
      </c>
      <c r="E50" s="4" t="str">
        <v>custom</v>
      </c>
      <c r="F50" s="4" t="str">
        <v>Philippines, Kenya, Mexico</v>
      </c>
      <c r="G50" s="5">
        <v>1</v>
      </c>
      <c r="H50" s="5">
        <v>170000</v>
      </c>
      <c r="I50" s="4" t="str">
        <v>.</v>
      </c>
      <c r="J50" s="4">
        <v>4871</v>
      </c>
    </row>
    <row r="51" ht="50" customHeight="1">
      <c r="B51" s="4" t="str">
        <v>CIMMYT</v>
      </c>
      <c r="D51" s="4" t="str">
        <v>143---. ---- CIMMYT - CROP AGNOSTIC (Establish phenotyping platform as shared service) ----.-----------ACTIVITY DESCRIPTION: .-----------BREEDING PIPELINE: Global.-----------MARKET SEGMENT: Global.-----------INDICATOR: Number of tools and services offered</v>
      </c>
      <c r="E51" s="4" t="str">
        <v>Number of innovations (innovation development)</v>
      </c>
      <c r="F51" s="4" t="str">
        <v>Kenya, Senegal, Mexico</v>
      </c>
      <c r="G51" s="5">
        <v>1</v>
      </c>
      <c r="H51" s="5">
        <v>106949</v>
      </c>
      <c r="I51" s="4" t="str">
        <v>to be updated ---- new funding in 2026</v>
      </c>
      <c r="J51" s="4">
        <v>4872</v>
      </c>
    </row>
    <row r="52" ht="50" customHeight="1">
      <c r="B52" s="4" t="str">
        <v>CIMMYT</v>
      </c>
      <c r="D52" s="4" t="str">
        <v>118---. ---------------------CIMMYT (CROP AGNOSTIC).-----------ACTIVITY DESCRIPTION: Upgrade CGIAR genotyping QA/QC workflows, forecast planning and quality control.-----------BREEDING PIPELINE: Global.-----------MARKET SEGMENT: Global.-----------INDICATOR:  Number of tools and services</v>
      </c>
      <c r="E52" s="4" t="str">
        <v>custom</v>
      </c>
      <c r="F52" s="4" t="str">
        <v>Kenya, Philippines, India, Mexico</v>
      </c>
      <c r="G52" s="5">
        <v>1</v>
      </c>
      <c r="H52" s="5">
        <v>100000</v>
      </c>
      <c r="I52" s="4" t="str">
        <v>.</v>
      </c>
      <c r="J52" s="4">
        <v>8204</v>
      </c>
    </row>
    <row r="53" ht="50" customHeight="1" xml:space="preserve">
      <c r="B53" s="4" t="str">
        <v>CIMMYT</v>
      </c>
      <c r="D53" s="4" t="str" xml:space="preserve">
        <v xml:space="preserve">new-cimmyt-BR-1---. ---- CRITICAL CAPABILITIES - CIMMYT - CROP AGNOSTIC (Breeding Hub AI capabilities) ---- 
.-----------ACTIVITY DESCRIPTION: This is to develop AI capabilities to enhance usability of Breeding Hub.-----------BREEDING PIPELINE: Global.-----------MARKET SEGMENT: Global.-----------INDICATOR: Number of services</v>
      </c>
      <c r="E53" s="4" t="str">
        <v>custom</v>
      </c>
      <c r="F53" s="4" t="str">
        <v>United Kingdom of Great Britain and Northern Ireland</v>
      </c>
      <c r="G53" s="5">
        <v>1</v>
      </c>
      <c r="H53" s="5">
        <v>127000</v>
      </c>
      <c r="I53" s="4" t="str">
        <v>.</v>
      </c>
      <c r="J53" s="4">
        <v>8205</v>
      </c>
    </row>
    <row r="54" ht="25" customHeight="1">
      <c r="C54" s="9" t="str">
        <v>HLO budget subtotal</v>
      </c>
      <c r="H54" s="9">
        <v>1912403</v>
      </c>
      <c r="J54" s="9" t="str">
        <v/>
      </c>
    </row>
    <row r="55" ht="50" customHeight="1">
      <c r="A55" s="8" t="str">
        <v>AOW05: Enable</v>
      </c>
      <c r="B55" s="4" t="str">
        <v>CIMMYT</v>
      </c>
      <c r="C55" s="4" t="str">
        <v>HLO20.AOW5.IO3 Assess performance</v>
      </c>
      <c r="D55" s="4" t="str">
        <v>164---Evaluation and assessment of performance data gathered by AOWS and any additional data gathering required to address gaps in the MELIA framework. Number of AoWs, with MELIA performance reports completed, addressing identified data gaps. CIMMYT - CROP AGNOSTIC - .-----------ACTIVITY DESCRIPTION: This is to cover updates and feature enhancement of Breeding Hub, updates on trait naming across systems.-----------BREEDING PIPELINE: .-----------MARKET SEGMENT: .-----------INDICATOR: Number of portfolio level performance dashboard made available</v>
      </c>
      <c r="E55" s="4" t="str">
        <v>custom</v>
      </c>
      <c r="F55" s="4" t="str">
        <v>Mexico</v>
      </c>
      <c r="G55" s="5">
        <v>1</v>
      </c>
      <c r="H55" s="5">
        <v>150000</v>
      </c>
      <c r="I55" s="4" t="str">
        <v>.</v>
      </c>
      <c r="J55" s="4">
        <v>4716</v>
      </c>
    </row>
    <row r="56" ht="50" customHeight="1">
      <c r="B56" s="4" t="str">
        <v>CIMMYT</v>
      </c>
      <c r="D56" s="4" t="str">
        <v>167---Evaluation and assessment of performance data gathered by AOWS and any additional data gathering required to address gaps in the MELIA framework. Number of AoWs, with MELIA performance reports completed, addressing identified data gaps. CIMMYT - CROP AGNOSTIC - .-----------ACTIVITY DESCRIPTION: Capability enhancement for Harmonized Crop Report.-----------BREEDING PIPELINE: .-----------MARKET SEGMENT: .-----------INDICATOR: Number of knowledge products</v>
      </c>
      <c r="E56" s="4" t="str">
        <v>custom</v>
      </c>
      <c r="F56" s="4" t="str">
        <v>Mexico</v>
      </c>
      <c r="G56" s="5">
        <v>1</v>
      </c>
      <c r="H56" s="5">
        <v>190787</v>
      </c>
      <c r="I56" s="4" t="str">
        <v>.</v>
      </c>
      <c r="J56" s="4">
        <v>4719</v>
      </c>
    </row>
    <row r="57" ht="50" customHeight="1">
      <c r="A57" s="4" t="str">
        <v>AOW05: Enable</v>
      </c>
      <c r="B57" s="4" t="str">
        <v>CIMMYT</v>
      </c>
      <c r="C57" s="4" t="str">
        <v>HLO18.AOW5.IO2 Partnered networks</v>
      </c>
      <c r="D57" s="4" t="str">
        <v>151---.----CIMMYT - CROP AGNOSTIC - (Network agreements with clearly defined and updated roles and responsibilities ) -----------.-----------ACTIVITY DESCRIPTION: This is to covenene CG NARES meetings, leading to updated network agreements.-----------BREEDING PIPELINE: .-----------MARKET SEGMENT: .-----------INDICATOR: Number of meetings conducted</v>
      </c>
      <c r="E57" s="4" t="str">
        <v>custom</v>
      </c>
      <c r="F57" s="4" t="str">
        <v>Kenya, Mexico</v>
      </c>
      <c r="G57" s="5">
        <v>20</v>
      </c>
      <c r="H57" s="5">
        <v>30000</v>
      </c>
      <c r="I57" s="4" t="str">
        <v>.</v>
      </c>
      <c r="J57" s="4">
        <v>4741</v>
      </c>
    </row>
    <row r="58" ht="50" customHeight="1">
      <c r="B58" s="4" t="str">
        <v>CIMMYT</v>
      </c>
      <c r="D58" s="4" t="str">
        <v>157---.----CIMMYT - CROP AGNOSTIC (Network assessments to support development of strategic improvement plans) ---------.-----------ACTIVITY DESCRIPTION: This is to conduct partner netwrok assessment.-----------BREEDING PIPELINE: .-----------MARKET SEGMENT: .-----------INDICATOR: Number of network assesments conducted</v>
      </c>
      <c r="E58" s="4" t="str">
        <v>custom</v>
      </c>
      <c r="F58" s="4" t="str">
        <v>Kenya, Mexico</v>
      </c>
      <c r="G58" s="5">
        <v>6</v>
      </c>
      <c r="H58" s="5">
        <v>40000</v>
      </c>
      <c r="I58" s="4" t="str">
        <v>.</v>
      </c>
      <c r="J58" s="4">
        <v>4747</v>
      </c>
    </row>
    <row r="59" ht="50" customHeight="1" xml:space="preserve">
      <c r="A59" s="4" t="str">
        <v>AOW05: Enable</v>
      </c>
      <c r="B59" s="4" t="str">
        <v>CIMMYT</v>
      </c>
      <c r="C59" s="4" t="str">
        <v>HLO19.AOW5.IO2 Share capacity</v>
      </c>
      <c r="D59" s="4" t="str" xml:space="preserve">
        <v xml:space="preserve">159---. ---- CIMMYT -WHEAT - (Breeding network support)--------------.-----------ACTIVITY DESCRIPTION: CIMMYT data team provide backstopping support for networked breeding communities in wheat, including trial designs, analytics, EBS and Bioflow usage, by acting as a hub responding to requests from colleagues in South Asia and East Africa.-----------BREEDING PIPELINE: BP0001, BP0002, BP0003,BP0004,BP0005.-----------MARKET SEGMENT: MS00700, MS00701, MS00702, MS00709, MS00710, MS00711, MS01031, MS01032.-----------INDICATOR: Number of people trained (capacity sharing for development)
</v>
      </c>
      <c r="E59" s="4" t="str">
        <v>Number of people trained (capacity sharing for development)</v>
      </c>
      <c r="F59" s="4" t="str">
        <v>Uganda, Nepal, Kenya, Mexico, Bangladesh, Ethiopia, India</v>
      </c>
      <c r="G59" s="5">
        <v>40</v>
      </c>
      <c r="H59" s="5">
        <v>64500</v>
      </c>
      <c r="I59" s="4" t="str">
        <v>TO BE UPDATED, NEW FUNDING FROM 2026</v>
      </c>
      <c r="J59" s="4">
        <v>4749</v>
      </c>
    </row>
    <row r="60" ht="50" customHeight="1">
      <c r="B60" s="4" t="str">
        <v>CIMMYT</v>
      </c>
      <c r="D60" s="4" t="str">
        <v>161---. ---- CIMMYT -WHEAT - (Breeding network capacity building including communities of practice)--------------.-----------ACTIVITY DESCRIPTION: Number of participants trained in two Community of Practice meetings for networked breeding in wheat in: (1) East Africa (Ethiopia) and (2) South Asia (Nepal)..-----------BREEDING PIPELINE: BP0001, BP0002, BP0003,BP0004,BP0005.-----------MARKET SEGMENT: MS00700, MS00701, MS00702, MS00709, MS00710, MS00711, MS01031, MS01032.-----------INDICATOR: Number of people trained (capacity sharing for development)</v>
      </c>
      <c r="E60" s="4" t="str">
        <v>Number of people trained (capacity sharing for development)</v>
      </c>
      <c r="F60" s="4" t="str">
        <v>Pakistan, Uganda, Bangladesh, Tanzania, United Republic, India, Mexico, Ethiopia, Kenya, Nepal</v>
      </c>
      <c r="G60" s="5">
        <v>40</v>
      </c>
      <c r="H60" s="5">
        <v>58500</v>
      </c>
      <c r="I60" s="4" t="str">
        <v>.</v>
      </c>
      <c r="J60" s="4">
        <v>4751</v>
      </c>
    </row>
    <row r="61" ht="50" customHeight="1" xml:space="preserve">
      <c r="A61" s="4" t="str">
        <v>AOW05: Enable</v>
      </c>
      <c r="B61" s="4" t="str">
        <v>CIMMYT</v>
      </c>
      <c r="C61" s="4" t="str">
        <v>HLO22.AOW5.IO5 Exchange genetic resources</v>
      </c>
      <c r="D61" s="4" t="str" xml:space="preserve">
        <v xml:space="preserve">new -cimmyt-6--- CIMMYT (CROP NOT YET DECIDED) ----------- ACTIVITIES: Work with Africa Agricultural Technology Foundation to support the development of two licensing templates in two countries in Africa ---- INDICATOR: Development of licencing templates
</v>
      </c>
      <c r="E61" s="4" t="str">
        <v>Number of knowledge products</v>
      </c>
      <c r="F61" s="4" t="str">
        <v>Kenya, Malawi</v>
      </c>
      <c r="G61" s="5">
        <v>2</v>
      </c>
      <c r="H61" s="5">
        <v>50000</v>
      </c>
      <c r="I61" s="4" t="str">
        <v>crops not yet decided --- countries also tentative</v>
      </c>
      <c r="J61" s="4">
        <v>8306</v>
      </c>
    </row>
    <row r="62" ht="25" customHeight="1">
      <c r="C62" s="9" t="str">
        <v>HLO budget subtotal</v>
      </c>
      <c r="H62" s="9">
        <v>583787</v>
      </c>
      <c r="J62" s="9" t="str">
        <v/>
      </c>
    </row>
  </sheetData>
  <mergeCells count="26">
    <mergeCell ref="A1:A2"/>
    <mergeCell ref="B1:B2"/>
    <mergeCell ref="C1:C2"/>
    <mergeCell ref="D1:H1"/>
    <mergeCell ref="I1:I2"/>
    <mergeCell ref="J1:J2"/>
    <mergeCell ref="C5:G5"/>
    <mergeCell ref="A3:A5"/>
    <mergeCell ref="C8:C10"/>
    <mergeCell ref="C11:C19"/>
    <mergeCell ref="C20:G20"/>
    <mergeCell ref="A6:A20"/>
    <mergeCell ref="C21:C24"/>
    <mergeCell ref="C25:C29"/>
    <mergeCell ref="C30:C32"/>
    <mergeCell ref="C33:G33"/>
    <mergeCell ref="A21:A33"/>
    <mergeCell ref="C35:C40"/>
    <mergeCell ref="C41:C53"/>
    <mergeCell ref="C54:G54"/>
    <mergeCell ref="A34:A54"/>
    <mergeCell ref="C55:C56"/>
    <mergeCell ref="C57:C58"/>
    <mergeCell ref="C59:C60"/>
    <mergeCell ref="C62:G62"/>
    <mergeCell ref="A55:A62"/>
  </mergeCells>
  <ignoredErrors>
    <ignoredError numberStoredAsText="1" sqref="A1:J6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CIMMYT</v>
      </c>
      <c r="B2" s="4" t="str">
        <v>D0001-SGP-AVISA Accelerated varietal improvement and seed delivery of legumes and cereals in Africa</v>
      </c>
      <c r="C2" s="4" t="str">
        <v>I-OC 3.5. Women, men, youth, and marginalized social groups accessing quality seed of improved varieties</v>
      </c>
      <c r="D2" s="5">
        <v>0</v>
      </c>
      <c r="E2" s="4" t="str">
        <v/>
      </c>
      <c r="F2" s="4">
        <v>876</v>
      </c>
    </row>
    <row r="3" ht="60" customHeight="1">
      <c r="A3" s="4" t="str">
        <v>CIMMYT</v>
      </c>
      <c r="B3" s="4" t="str">
        <v>D0006-VACS Crop Improvement Coalition</v>
      </c>
      <c r="C3" s="4" t="str">
        <v>I-OC 3.5. Women, men, youth, and marginalized social groups accessing quality seed of improved varieties</v>
      </c>
      <c r="D3" s="5">
        <v>0</v>
      </c>
      <c r="E3" s="4" t="str">
        <v/>
      </c>
      <c r="F3" s="4">
        <v>893</v>
      </c>
    </row>
    <row r="4" ht="60" customHeight="1">
      <c r="A4" s="4" t="str">
        <v>CIMMYT</v>
      </c>
      <c r="B4" s="4" t="str">
        <v>I0001 - SGP-BMI Genetic Innovation Transition Plan</v>
      </c>
      <c r="C4" s="4" t="str">
        <v>I-OC 1.3. Breeding network actors orient product development toward delivery of the greatest benefits across the 5 Impact Areas</v>
      </c>
      <c r="D4" s="5">
        <v>0</v>
      </c>
      <c r="E4" s="4" t="str">
        <v/>
      </c>
      <c r="F4" s="4">
        <v>904</v>
      </c>
    </row>
    <row r="5" ht="60" customHeight="1">
      <c r="A5" s="4" t="str">
        <v>CIMMYT</v>
      </c>
      <c r="B5" s="4" t="str">
        <v>M0369-1000Farms-MaizeSelect</v>
      </c>
      <c r="C5" s="4" t="str">
        <v>I-OC 1.2. Breeding network actors adopt transformative partnership approaches driving equity and sustainability for analyzing markets and opportunities, product development, product delivery and scaling</v>
      </c>
      <c r="D5" s="5">
        <v>0</v>
      </c>
      <c r="E5" s="4" t="str">
        <v/>
      </c>
      <c r="F5" s="4">
        <v>924</v>
      </c>
    </row>
    <row r="6" ht="60" customHeight="1">
      <c r="A6" s="4" t="str">
        <v>CIMMYT</v>
      </c>
      <c r="B6" s="4" t="str">
        <v>M0377-VACS Quick Wins Project</v>
      </c>
      <c r="C6" s="4" t="str">
        <v>I-OC 1.2. Breeding network actors adopt transformative partnership approaches driving equity and sustainability for analyzing markets and opportunities, product development, product delivery and scaling</v>
      </c>
      <c r="D6" s="5">
        <v>0</v>
      </c>
      <c r="E6" s="4" t="str">
        <v/>
      </c>
      <c r="F6" s="4">
        <v>936</v>
      </c>
    </row>
    <row r="7" ht="60" customHeight="1">
      <c r="A7" s="4" t="str">
        <v>CIMMYT</v>
      </c>
      <c r="B7" s="4" t="str">
        <v>R0218-Accelerating Genetic Gains in Maize &amp; Wheat (DFID-DF</v>
      </c>
      <c r="C7" s="4" t="str">
        <v>I-OC 3.5. Women, men, youth, and marginalized social groups accessing quality seed of improved varieties</v>
      </c>
      <c r="D7" s="5">
        <v>0</v>
      </c>
      <c r="E7" s="4" t="str">
        <v/>
      </c>
      <c r="F7" s="4">
        <v>895</v>
      </c>
    </row>
    <row r="8" ht="60" customHeight="1">
      <c r="A8" s="4" t="str">
        <v>CIMMYT</v>
      </c>
      <c r="B8" s="4" t="str">
        <v>R0223-Mining useful alleles for climate change adaptation</v>
      </c>
      <c r="C8" s="4" t="str">
        <v>I-OC 1.3. Breeding network actors orient product development toward delivery of the greatest benefits across the 5 Impact Areas</v>
      </c>
      <c r="D8" s="5">
        <v>0</v>
      </c>
      <c r="E8" s="4" t="str">
        <v/>
      </c>
      <c r="F8" s="4">
        <v>901</v>
      </c>
    </row>
    <row r="9" ht="60" customHeight="1">
      <c r="A9" s="4" t="str">
        <v>CIMMYT</v>
      </c>
      <c r="B9" s="4" t="str">
        <v>R0230-Mining useful alleles for climate change adaptation</v>
      </c>
      <c r="C9" s="4" t="str">
        <v>I-OC 1.2. Breeding network actors adopt transformative partnership approaches driving equity and sustainability for analyzing markets and opportunities, product development, product delivery and scaling</v>
      </c>
      <c r="D9" s="5">
        <v>0</v>
      </c>
      <c r="E9" s="4" t="str">
        <v/>
      </c>
      <c r="F9" s="4">
        <v>941</v>
      </c>
    </row>
    <row r="10" ht="60" customHeight="1">
      <c r="A10" s="4" t="str">
        <v>CIMMYT</v>
      </c>
      <c r="B10" s="4" t="str">
        <v>R0235-USAID-VACS BT Pigeon Pea</v>
      </c>
      <c r="C10" s="4" t="str">
        <v>I-OC 1.3. Breeding network actors orient product development toward delivery of the greatest benefits across the 5 Impact Areas</v>
      </c>
      <c r="D10" s="5">
        <v>0</v>
      </c>
      <c r="E10" s="4" t="str">
        <v/>
      </c>
      <c r="F10" s="4">
        <v>896</v>
      </c>
    </row>
    <row r="11" ht="60" customHeight="1">
      <c r="A11" s="4" t="str">
        <v>CIMMYT</v>
      </c>
      <c r="B11" s="4" t="str">
        <v>S0003 -Piloting a Private-Public Genotyping Consortium for Crops in LMICs</v>
      </c>
      <c r="C11" s="4" t="str">
        <v>I-OC 3.5. Women, men, youth, and marginalized social groups accessing quality seed of improved varieties</v>
      </c>
      <c r="D11" s="5">
        <v>0</v>
      </c>
      <c r="E11" s="4" t="str">
        <v/>
      </c>
      <c r="F11" s="4">
        <v>894</v>
      </c>
    </row>
    <row r="12" ht="60" customHeight="1">
      <c r="A12" s="4" t="str">
        <v>CIMMYT</v>
      </c>
      <c r="B12" s="4" t="str">
        <v>W0500-Verify global potential of biologic. Nitrific. inhib</v>
      </c>
      <c r="C12" s="4" t="str">
        <v>I-OC 1.2. Breeding network actors adopt transformative partnership approaches driving equity and sustainability for analyzing markets and opportunities, product development, product delivery and scaling</v>
      </c>
      <c r="D12" s="5">
        <v>0</v>
      </c>
      <c r="E12" s="4" t="str">
        <v/>
      </c>
      <c r="F12" s="4">
        <v>929</v>
      </c>
    </row>
    <row r="13" ht="60" customHeight="1">
      <c r="A13" s="4" t="str">
        <v>CIMMYT</v>
      </c>
      <c r="B13" s="4" t="str">
        <v>W0516 W-Shandong Maize and wheat production caused by abiotic an biotic stresses and Global climate chan</v>
      </c>
      <c r="C13" s="4" t="str">
        <v>HLO18.AOW5.IO2 Partnered networks</v>
      </c>
      <c r="D13" s="5">
        <v>0</v>
      </c>
      <c r="E13" s="4" t="str">
        <v/>
      </c>
      <c r="F13" s="4">
        <v>917</v>
      </c>
    </row>
    <row r="14" ht="25" customHeight="1">
      <c r="B14" s="9" t="str">
        <v>W3/Bilateral budget subtotal</v>
      </c>
      <c r="D14" s="9">
        <v>0</v>
      </c>
      <c r="E14" s="9" t="str">
        <v/>
      </c>
      <c r="F14" s="9" t="str">
        <v/>
      </c>
    </row>
  </sheetData>
  <mergeCells count="2">
    <mergeCell ref="B14:C14"/>
    <mergeCell ref="A2:A14"/>
  </mergeCells>
  <ignoredErrors>
    <ignoredError numberStoredAsText="1" sqref="A1:F1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CIMMYT</v>
      </c>
      <c r="C2" s="4" t="str">
        <v>Area of Work Leads</v>
      </c>
      <c r="D2" s="5">
        <v>356153</v>
      </c>
      <c r="E2" s="4" t="str" xml:space="preserve">
        <v xml:space="preserve">AoW Lead salaries: 
1) 17,626USD for Chris Oijewo for Jan, Feb, March 2026.
2) 164,127USD for Eng Hwa Ng for all of 2026
3) 119,338USD for Bish Das for all of 2026
4) 55,062USD for Pieter for 8 Months (April-Dec) 2026.
Total of the 4 AOW Lead salaries is 336,336USD
</v>
      </c>
      <c r="F2" s="4">
        <v>39</v>
      </c>
      <c r="G2" s="4">
        <v>3</v>
      </c>
    </row>
    <row r="3" ht="45" customHeight="1" xml:space="preserve">
      <c r="A3" s="4" t="str">
        <v>AOW00: Cross Cutting</v>
      </c>
      <c r="B3" s="4" t="str">
        <v>CIMMYT</v>
      </c>
      <c r="C3" s="4" t="str">
        <v>PMU, CGIAR Program Finance Support and associated Allocation</v>
      </c>
      <c r="D3" s="5">
        <v>53850</v>
      </c>
      <c r="E3" s="4" t="str" xml:space="preserve">
        <v xml:space="preserve">Salaries for PMU costs:
1) 50,000 for Ruth Mawia (MELIA Focal point) for the whole year -- NOTE: A PORTION OF RUTH'S SALARY WAS TAKEN FROM CARRYOVER IN 2025 -- AS APPROVED BY SARAH HEARNE
2)  3,850usd FOR CIMMYT KENYA - FOR THE DESK COSTS OF RUTH MAWIA
TOTAL PM COST: 53,850USD</v>
      </c>
      <c r="F3" s="4">
        <v>40</v>
      </c>
      <c r="G3" s="4">
        <v>2</v>
      </c>
    </row>
    <row r="4" ht="45" customHeight="1">
      <c r="A4" s="4" t="str">
        <v>AOW00: Cross Cutting</v>
      </c>
      <c r="B4" s="4" t="str">
        <v>CIMMYT</v>
      </c>
      <c r="C4" s="4" t="str">
        <v>Operations</v>
      </c>
      <c r="D4" s="5">
        <v>0</v>
      </c>
      <c r="E4" s="4" t="str">
        <v/>
      </c>
      <c r="F4" s="4">
        <v>47</v>
      </c>
      <c r="G4" s="4">
        <v>4</v>
      </c>
    </row>
    <row r="5" ht="45" customHeight="1">
      <c r="A5" s="4" t="str">
        <v>AOW00: Cross Cutting</v>
      </c>
      <c r="B5" s="4" t="str">
        <v>CIMMYT</v>
      </c>
      <c r="C5" s="4" t="str">
        <v>Communication/Knowledge management</v>
      </c>
      <c r="D5" s="5">
        <v>60000</v>
      </c>
      <c r="E5" s="4" t="str">
        <v>1) 60,000USD for Julie Puech (Communications Focal Point) for the whole year</v>
      </c>
      <c r="F5" s="4">
        <v>72</v>
      </c>
      <c r="G5" s="4">
        <v>5</v>
      </c>
    </row>
    <row r="6" ht="25" customHeight="1">
      <c r="C6" s="9" t="str">
        <v>Cross-cutting budget subtotal</v>
      </c>
      <c r="D6" s="9">
        <v>470003</v>
      </c>
      <c r="E6" s="9" t="str">
        <v/>
      </c>
      <c r="F6" s="9" t="str">
        <v/>
      </c>
      <c r="G6" s="9" t="str">
        <v/>
      </c>
    </row>
  </sheetData>
  <mergeCells count="1">
    <mergeCell ref="A2:A6"/>
  </mergeCells>
  <ignoredErrors>
    <ignoredError numberStoredAsText="1" sqref="A1:G6"/>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466153</v>
      </c>
      <c r="C2" s="5">
        <v>0</v>
      </c>
      <c r="D2" s="5">
        <v>0</v>
      </c>
      <c r="E2" s="5">
        <v>0</v>
      </c>
      <c r="F2" s="5">
        <v>0</v>
      </c>
      <c r="G2" s="5">
        <v>0</v>
      </c>
      <c r="H2" s="5">
        <f>=SUM(B2:G2)</f>
        <v>0</v>
      </c>
    </row>
    <row r="3" ht="20" customHeight="1">
      <c r="A3" s="4" t="str">
        <v>Operations (supplies, consultants, travels, workshops, other)</v>
      </c>
      <c r="B3" s="5">
        <v>3850</v>
      </c>
      <c r="C3" s="5">
        <v>271281</v>
      </c>
      <c r="D3" s="5">
        <v>3386684</v>
      </c>
      <c r="E3" s="5">
        <v>1420307</v>
      </c>
      <c r="F3" s="5">
        <v>1912403</v>
      </c>
      <c r="G3" s="5">
        <v>583787</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3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CIMMYT</v>
      </c>
      <c r="C2" s="4" t="str">
        <v>Kenya</v>
      </c>
      <c r="D2" s="5">
        <v>50</v>
      </c>
      <c r="E2" s="4">
        <v>3375</v>
      </c>
    </row>
    <row r="3" ht="45" customHeight="1">
      <c r="A3" s="4" t="str">
        <v>AOW00: Cross Cutting</v>
      </c>
      <c r="B3" s="4" t="str">
        <v>CIMMYT</v>
      </c>
      <c r="C3" s="4" t="str">
        <v>Mexico</v>
      </c>
      <c r="D3" s="5">
        <v>50</v>
      </c>
      <c r="E3" s="4">
        <v>3374</v>
      </c>
    </row>
    <row r="4" ht="45" customHeight="1">
      <c r="A4" s="8" t="str">
        <v>AOW01: Market Intelligence</v>
      </c>
      <c r="B4" s="4" t="str">
        <v>CIMMYT</v>
      </c>
      <c r="C4" s="4" t="str">
        <v>Kenya</v>
      </c>
      <c r="D4" s="5">
        <v>100</v>
      </c>
      <c r="E4" s="4">
        <v>3267</v>
      </c>
    </row>
    <row r="5" ht="45" customHeight="1">
      <c r="A5" s="8" t="str">
        <v>AOW02: Accelerated Breeding</v>
      </c>
      <c r="B5" s="4" t="str">
        <v>CIMMYT</v>
      </c>
      <c r="C5" s="4" t="str">
        <v>Ethiopia</v>
      </c>
      <c r="D5" s="5">
        <v>20</v>
      </c>
      <c r="E5" s="4">
        <v>3268</v>
      </c>
    </row>
    <row r="6" ht="45" customHeight="1">
      <c r="A6" s="4" t="str">
        <v>AOW02: Accelerated Breeding</v>
      </c>
      <c r="B6" s="4" t="str">
        <v>CIMMYT</v>
      </c>
      <c r="C6" s="4" t="str">
        <v>Kenya</v>
      </c>
      <c r="D6" s="5">
        <v>20</v>
      </c>
      <c r="E6" s="4">
        <v>3269</v>
      </c>
    </row>
    <row r="7" ht="45" customHeight="1">
      <c r="A7" s="4" t="str">
        <v>AOW02: Accelerated Breeding</v>
      </c>
      <c r="B7" s="4" t="str">
        <v>CIMMYT</v>
      </c>
      <c r="C7" s="4" t="str">
        <v>Mexico</v>
      </c>
      <c r="D7" s="5">
        <v>20</v>
      </c>
      <c r="E7" s="4">
        <v>3270</v>
      </c>
    </row>
    <row r="8" ht="45" customHeight="1">
      <c r="A8" s="4" t="str">
        <v>AOW02: Accelerated Breeding</v>
      </c>
      <c r="B8" s="4" t="str">
        <v>CIMMYT</v>
      </c>
      <c r="C8" s="4" t="str">
        <v>Senegal</v>
      </c>
      <c r="D8" s="5">
        <v>20</v>
      </c>
      <c r="E8" s="4">
        <v>3271</v>
      </c>
    </row>
    <row r="9" ht="45" customHeight="1">
      <c r="A9" s="4" t="str">
        <v>AOW02: Accelerated Breeding</v>
      </c>
      <c r="B9" s="4" t="str">
        <v>CIMMYT</v>
      </c>
      <c r="C9" s="4" t="str">
        <v>Zimbabwe</v>
      </c>
      <c r="D9" s="5">
        <v>20</v>
      </c>
      <c r="E9" s="4">
        <v>3272</v>
      </c>
    </row>
    <row r="10" ht="45" customHeight="1">
      <c r="A10" s="8" t="str">
        <v>AOW03: Inclusive Delivery</v>
      </c>
      <c r="B10" s="4" t="str">
        <v>CIMMYT</v>
      </c>
      <c r="C10" s="4" t="str">
        <v>Ethiopia</v>
      </c>
      <c r="D10" s="5">
        <v>20</v>
      </c>
      <c r="E10" s="4">
        <v>3273</v>
      </c>
    </row>
    <row r="11" ht="45" customHeight="1">
      <c r="A11" s="4" t="str">
        <v>AOW03: Inclusive Delivery</v>
      </c>
      <c r="B11" s="4" t="str">
        <v>CIMMYT</v>
      </c>
      <c r="C11" s="4" t="str">
        <v>Kenya</v>
      </c>
      <c r="D11" s="5">
        <v>20</v>
      </c>
      <c r="E11" s="4">
        <v>3274</v>
      </c>
    </row>
    <row r="12" ht="45" customHeight="1">
      <c r="A12" s="4" t="str">
        <v>AOW03: Inclusive Delivery</v>
      </c>
      <c r="B12" s="4" t="str">
        <v>CIMMYT</v>
      </c>
      <c r="C12" s="4" t="str">
        <v>Nigeria</v>
      </c>
      <c r="D12" s="5">
        <v>20</v>
      </c>
      <c r="E12" s="4">
        <v>3275</v>
      </c>
    </row>
    <row r="13" ht="45" customHeight="1">
      <c r="A13" s="4" t="str">
        <v>AOW03: Inclusive Delivery</v>
      </c>
      <c r="B13" s="4" t="str">
        <v>CIMMYT</v>
      </c>
      <c r="C13" s="4" t="str">
        <v>Senegal</v>
      </c>
      <c r="D13" s="5">
        <v>20</v>
      </c>
      <c r="E13" s="4">
        <v>3276</v>
      </c>
    </row>
    <row r="14" ht="45" customHeight="1">
      <c r="A14" s="4" t="str">
        <v>AOW03: Inclusive Delivery</v>
      </c>
      <c r="B14" s="4" t="str">
        <v>CIMMYT</v>
      </c>
      <c r="C14" s="4" t="str">
        <v>Zimbabwe</v>
      </c>
      <c r="D14" s="5">
        <v>20</v>
      </c>
      <c r="E14" s="4">
        <v>3277</v>
      </c>
    </row>
    <row r="15" ht="45" customHeight="1">
      <c r="A15" s="8" t="str">
        <v>AOW04: Breeding Resources</v>
      </c>
      <c r="B15" s="4" t="str">
        <v>CIMMYT</v>
      </c>
      <c r="C15" s="4" t="str">
        <v>Ethiopia</v>
      </c>
      <c r="D15" s="5">
        <v>12.5</v>
      </c>
      <c r="E15" s="4">
        <v>3278</v>
      </c>
    </row>
    <row r="16" ht="45" customHeight="1">
      <c r="A16" s="4" t="str">
        <v>AOW04: Breeding Resources</v>
      </c>
      <c r="B16" s="4" t="str">
        <v>CIMMYT</v>
      </c>
      <c r="C16" s="4" t="str">
        <v>India</v>
      </c>
      <c r="D16" s="5">
        <v>12.5</v>
      </c>
      <c r="E16" s="4">
        <v>3279</v>
      </c>
    </row>
    <row r="17" ht="45" customHeight="1">
      <c r="A17" s="4" t="str">
        <v>AOW04: Breeding Resources</v>
      </c>
      <c r="B17" s="4" t="str">
        <v>CIMMYT</v>
      </c>
      <c r="C17" s="4" t="str">
        <v>Kenya</v>
      </c>
      <c r="D17" s="5">
        <v>12.5</v>
      </c>
      <c r="E17" s="4">
        <v>3280</v>
      </c>
    </row>
    <row r="18" ht="45" customHeight="1">
      <c r="A18" s="4" t="str">
        <v>AOW04: Breeding Resources</v>
      </c>
      <c r="B18" s="4" t="str">
        <v>CIMMYT</v>
      </c>
      <c r="C18" s="4" t="str">
        <v>Mexico</v>
      </c>
      <c r="D18" s="5">
        <v>12.5</v>
      </c>
      <c r="E18" s="4">
        <v>3281</v>
      </c>
    </row>
    <row r="19" ht="45" customHeight="1">
      <c r="A19" s="4" t="str">
        <v>AOW04: Breeding Resources</v>
      </c>
      <c r="B19" s="4" t="str">
        <v>CIMMYT</v>
      </c>
      <c r="C19" s="4" t="str">
        <v>Philippines</v>
      </c>
      <c r="D19" s="5">
        <v>12.5</v>
      </c>
      <c r="E19" s="4">
        <v>3282</v>
      </c>
    </row>
    <row r="20" ht="45" customHeight="1">
      <c r="A20" s="4" t="str">
        <v>AOW04: Breeding Resources</v>
      </c>
      <c r="B20" s="4" t="str">
        <v>CIMMYT</v>
      </c>
      <c r="C20" s="4" t="str">
        <v>Senegal</v>
      </c>
      <c r="D20" s="5">
        <v>12.5</v>
      </c>
      <c r="E20" s="4">
        <v>3283</v>
      </c>
    </row>
    <row r="21" ht="45" customHeight="1">
      <c r="A21" s="4" t="str">
        <v>AOW04: Breeding Resources</v>
      </c>
      <c r="B21" s="4" t="str">
        <v>CIMMYT</v>
      </c>
      <c r="C21" s="4" t="str">
        <v>United Kingdom of Great Britain and Northern Ireland</v>
      </c>
      <c r="D21" s="5">
        <v>12.5</v>
      </c>
      <c r="E21" s="4">
        <v>3284</v>
      </c>
    </row>
    <row r="22" ht="45" customHeight="1">
      <c r="A22" s="4" t="str">
        <v>AOW04: Breeding Resources</v>
      </c>
      <c r="B22" s="4" t="str">
        <v>CIMMYT</v>
      </c>
      <c r="C22" s="4" t="str">
        <v>Zimbabwe</v>
      </c>
      <c r="D22" s="5">
        <v>12.5</v>
      </c>
      <c r="E22" s="4">
        <v>3285</v>
      </c>
    </row>
    <row r="23" ht="45" customHeight="1">
      <c r="A23" s="8" t="str">
        <v>AOW05: Enable</v>
      </c>
      <c r="B23" s="4" t="str">
        <v>CIMMYT</v>
      </c>
      <c r="C23" s="4" t="str">
        <v>Bangladesh</v>
      </c>
      <c r="D23" s="5">
        <v>10</v>
      </c>
      <c r="E23" s="4">
        <v>3286</v>
      </c>
    </row>
    <row r="24" ht="45" customHeight="1">
      <c r="A24" s="4" t="str">
        <v>AOW05: Enable</v>
      </c>
      <c r="B24" s="4" t="str">
        <v>CIMMYT</v>
      </c>
      <c r="C24" s="4" t="str">
        <v>Ethiopia</v>
      </c>
      <c r="D24" s="5">
        <v>10</v>
      </c>
      <c r="E24" s="4">
        <v>3287</v>
      </c>
    </row>
    <row r="25" ht="45" customHeight="1">
      <c r="A25" s="4" t="str">
        <v>AOW05: Enable</v>
      </c>
      <c r="B25" s="4" t="str">
        <v>CIMMYT</v>
      </c>
      <c r="C25" s="4" t="str">
        <v>India</v>
      </c>
      <c r="D25" s="5">
        <v>10</v>
      </c>
      <c r="E25" s="4">
        <v>3288</v>
      </c>
    </row>
    <row r="26" ht="45" customHeight="1">
      <c r="A26" s="4" t="str">
        <v>AOW05: Enable</v>
      </c>
      <c r="B26" s="4" t="str">
        <v>CIMMYT</v>
      </c>
      <c r="C26" s="4" t="str">
        <v>Kenya</v>
      </c>
      <c r="D26" s="5">
        <v>10</v>
      </c>
      <c r="E26" s="4">
        <v>3289</v>
      </c>
    </row>
    <row r="27" ht="45" customHeight="1">
      <c r="A27" s="4" t="str">
        <v>AOW05: Enable</v>
      </c>
      <c r="B27" s="4" t="str">
        <v>CIMMYT</v>
      </c>
      <c r="C27" s="4" t="str">
        <v>Malawi</v>
      </c>
      <c r="D27" s="5">
        <v>10</v>
      </c>
      <c r="E27" s="4">
        <v>3290</v>
      </c>
    </row>
    <row r="28" ht="45" customHeight="1">
      <c r="A28" s="4" t="str">
        <v>AOW05: Enable</v>
      </c>
      <c r="B28" s="4" t="str">
        <v>CIMMYT</v>
      </c>
      <c r="C28" s="4" t="str">
        <v>Mexico</v>
      </c>
      <c r="D28" s="5">
        <v>10</v>
      </c>
      <c r="E28" s="4">
        <v>3291</v>
      </c>
    </row>
    <row r="29" ht="45" customHeight="1">
      <c r="A29" s="4" t="str">
        <v>AOW05: Enable</v>
      </c>
      <c r="B29" s="4" t="str">
        <v>CIMMYT</v>
      </c>
      <c r="C29" s="4" t="str">
        <v>Nepal</v>
      </c>
      <c r="D29" s="5">
        <v>10</v>
      </c>
      <c r="E29" s="4">
        <v>3292</v>
      </c>
    </row>
    <row r="30" ht="45" customHeight="1">
      <c r="A30" s="4" t="str">
        <v>AOW05: Enable</v>
      </c>
      <c r="B30" s="4" t="str">
        <v>CIMMYT</v>
      </c>
      <c r="C30" s="4" t="str">
        <v>Pakistan</v>
      </c>
      <c r="D30" s="5">
        <v>10</v>
      </c>
      <c r="E30" s="4">
        <v>3293</v>
      </c>
    </row>
    <row r="31" ht="45" customHeight="1">
      <c r="A31" s="4" t="str">
        <v>AOW05: Enable</v>
      </c>
      <c r="B31" s="4" t="str">
        <v>CIMMYT</v>
      </c>
      <c r="C31" s="4" t="str">
        <v>Tanzania</v>
      </c>
      <c r="D31" s="5">
        <v>10</v>
      </c>
      <c r="E31" s="4">
        <v>3294</v>
      </c>
    </row>
    <row r="32" ht="45" customHeight="1">
      <c r="A32" s="4" t="str">
        <v>AOW05: Enable</v>
      </c>
      <c r="B32" s="4" t="str">
        <v>CIMMYT</v>
      </c>
      <c r="C32" s="4" t="str">
        <v>Uganda</v>
      </c>
      <c r="D32" s="5">
        <v>10</v>
      </c>
      <c r="E32" s="4">
        <v>3295</v>
      </c>
    </row>
  </sheetData>
  <mergeCells count="6">
    <mergeCell ref="A2:A3"/>
    <mergeCell ref="A4"/>
    <mergeCell ref="A5:A9"/>
    <mergeCell ref="A10:A14"/>
    <mergeCell ref="A15:A22"/>
    <mergeCell ref="A23:A32"/>
  </mergeCells>
  <ignoredErrors>
    <ignoredError numberStoredAsText="1" sqref="A1:E32"/>
  </ignoredErrors>
</worksheet>
</file>

<file path=xl/worksheets/sheet9.xml><?xml version="1.0" encoding="utf-8"?>
<worksheet xmlns="http://schemas.openxmlformats.org/spreadsheetml/2006/main" xmlns:r="http://schemas.openxmlformats.org/officeDocument/2006/relationships">
  <dimension ref="A1:F1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CIMMYT</v>
      </c>
      <c r="C2" s="4" t="str">
        <v>Global</v>
      </c>
      <c r="D2" s="4" t="str">
        <v>global</v>
      </c>
      <c r="E2" s="5">
        <v>100</v>
      </c>
      <c r="F2" s="4">
        <v>1685</v>
      </c>
    </row>
    <row r="3" ht="45" customHeight="1">
      <c r="A3" s="8" t="str">
        <v>AOW01: Market Intelligence</v>
      </c>
      <c r="B3" s="4" t="str">
        <v>CIMMYT</v>
      </c>
      <c r="C3" s="4" t="str">
        <v>Global</v>
      </c>
      <c r="D3" s="4" t="str">
        <v>global</v>
      </c>
      <c r="E3" s="5">
        <v>100</v>
      </c>
      <c r="F3" s="4">
        <v>1505</v>
      </c>
    </row>
    <row r="4" ht="45" customHeight="1">
      <c r="A4" s="8" t="str">
        <v>AOW02: Accelerated Breeding</v>
      </c>
      <c r="B4" s="4" t="str">
        <v>CIMMYT</v>
      </c>
      <c r="C4" s="4" t="str">
        <v>Eastern Africa</v>
      </c>
      <c r="D4" s="4" t="str">
        <v>region</v>
      </c>
      <c r="E4" s="5">
        <v>33.33</v>
      </c>
      <c r="F4" s="4">
        <v>1506</v>
      </c>
    </row>
    <row r="5" ht="45" customHeight="1">
      <c r="A5" s="4" t="str">
        <v>AOW02: Accelerated Breeding</v>
      </c>
      <c r="B5" s="4" t="str">
        <v>CIMMYT</v>
      </c>
      <c r="C5" s="4" t="str">
        <v>Latin America and the Caribbean</v>
      </c>
      <c r="D5" s="4" t="str">
        <v>region</v>
      </c>
      <c r="E5" s="5">
        <v>33.34</v>
      </c>
      <c r="F5" s="4">
        <v>1508</v>
      </c>
    </row>
    <row r="6" ht="45" customHeight="1">
      <c r="A6" s="4" t="str">
        <v>AOW02: Accelerated Breeding</v>
      </c>
      <c r="B6" s="4" t="str">
        <v>CIMMYT</v>
      </c>
      <c r="C6" s="4" t="str">
        <v>Southern Africa</v>
      </c>
      <c r="D6" s="4" t="str">
        <v>region</v>
      </c>
      <c r="E6" s="5">
        <v>33.33</v>
      </c>
      <c r="F6" s="4">
        <v>1507</v>
      </c>
    </row>
    <row r="7" ht="45" customHeight="1">
      <c r="A7" s="8" t="str">
        <v>AOW03: Inclusive Delivery</v>
      </c>
      <c r="B7" s="4" t="str">
        <v>CIMMYT</v>
      </c>
      <c r="C7" s="4" t="str">
        <v>Eastern Africa</v>
      </c>
      <c r="D7" s="4" t="str">
        <v>region</v>
      </c>
      <c r="E7" s="5">
        <v>50</v>
      </c>
      <c r="F7" s="4">
        <v>1509</v>
      </c>
    </row>
    <row r="8" ht="45" customHeight="1">
      <c r="A8" s="4" t="str">
        <v>AOW03: Inclusive Delivery</v>
      </c>
      <c r="B8" s="4" t="str">
        <v>CIMMYT</v>
      </c>
      <c r="C8" s="4" t="str">
        <v>Southern Africa</v>
      </c>
      <c r="D8" s="4" t="str">
        <v>region</v>
      </c>
      <c r="E8" s="5">
        <v>50</v>
      </c>
      <c r="F8" s="4">
        <v>1510</v>
      </c>
    </row>
    <row r="9" ht="45" customHeight="1">
      <c r="A9" s="8" t="str">
        <v>AOW04: Breeding Resources</v>
      </c>
      <c r="B9" s="4" t="str">
        <v>CIMMYT</v>
      </c>
      <c r="C9" s="4" t="str">
        <v>Global</v>
      </c>
      <c r="D9" s="4" t="str">
        <v>global</v>
      </c>
      <c r="E9" s="5">
        <v>100</v>
      </c>
      <c r="F9" s="4">
        <v>1511</v>
      </c>
    </row>
    <row r="10" ht="45" customHeight="1">
      <c r="A10" s="8" t="str">
        <v>AOW05: Enable</v>
      </c>
      <c r="B10" s="4" t="str">
        <v>CIMMYT</v>
      </c>
      <c r="C10" s="4" t="str">
        <v>Bangladesh</v>
      </c>
      <c r="D10" s="4" t="str">
        <v>country</v>
      </c>
      <c r="E10" s="5">
        <v>10</v>
      </c>
      <c r="F10" s="4">
        <v>1512</v>
      </c>
    </row>
    <row r="11" ht="45" customHeight="1">
      <c r="A11" s="4" t="str">
        <v>AOW05: Enable</v>
      </c>
      <c r="B11" s="4" t="str">
        <v>CIMMYT</v>
      </c>
      <c r="C11" s="4" t="str">
        <v>Ethiopia</v>
      </c>
      <c r="D11" s="4" t="str">
        <v>country</v>
      </c>
      <c r="E11" s="5">
        <v>10</v>
      </c>
      <c r="F11" s="4">
        <v>1513</v>
      </c>
    </row>
    <row r="12" ht="45" customHeight="1">
      <c r="A12" s="4" t="str">
        <v>AOW05: Enable</v>
      </c>
      <c r="B12" s="4" t="str">
        <v>CIMMYT</v>
      </c>
      <c r="C12" s="4" t="str">
        <v>India</v>
      </c>
      <c r="D12" s="4" t="str">
        <v>country</v>
      </c>
      <c r="E12" s="5">
        <v>10</v>
      </c>
      <c r="F12" s="4">
        <v>1515</v>
      </c>
    </row>
    <row r="13" ht="45" customHeight="1">
      <c r="A13" s="4" t="str">
        <v>AOW05: Enable</v>
      </c>
      <c r="B13" s="4" t="str">
        <v>CIMMYT</v>
      </c>
      <c r="C13" s="4" t="str">
        <v>Kenya</v>
      </c>
      <c r="D13" s="4" t="str">
        <v>country</v>
      </c>
      <c r="E13" s="5">
        <v>10</v>
      </c>
      <c r="F13" s="4">
        <v>1514</v>
      </c>
    </row>
    <row r="14" ht="45" customHeight="1">
      <c r="A14" s="4" t="str">
        <v>AOW05: Enable</v>
      </c>
      <c r="B14" s="4" t="str">
        <v>CIMMYT</v>
      </c>
      <c r="C14" s="4" t="str">
        <v>Malawi</v>
      </c>
      <c r="D14" s="4" t="str">
        <v>country</v>
      </c>
      <c r="E14" s="5">
        <v>10</v>
      </c>
      <c r="F14" s="4">
        <v>1516</v>
      </c>
    </row>
    <row r="15" ht="45" customHeight="1">
      <c r="A15" s="4" t="str">
        <v>AOW05: Enable</v>
      </c>
      <c r="B15" s="4" t="str">
        <v>CIMMYT</v>
      </c>
      <c r="C15" s="4" t="str">
        <v>Mexico</v>
      </c>
      <c r="D15" s="4" t="str">
        <v>country</v>
      </c>
      <c r="E15" s="5">
        <v>10</v>
      </c>
      <c r="F15" s="4">
        <v>1517</v>
      </c>
    </row>
    <row r="16" ht="45" customHeight="1">
      <c r="A16" s="4" t="str">
        <v>AOW05: Enable</v>
      </c>
      <c r="B16" s="4" t="str">
        <v>CIMMYT</v>
      </c>
      <c r="C16" s="4" t="str">
        <v>Nepal</v>
      </c>
      <c r="D16" s="4" t="str">
        <v>country</v>
      </c>
      <c r="E16" s="5">
        <v>10</v>
      </c>
      <c r="F16" s="4">
        <v>1518</v>
      </c>
    </row>
    <row r="17" ht="45" customHeight="1">
      <c r="A17" s="4" t="str">
        <v>AOW05: Enable</v>
      </c>
      <c r="B17" s="4" t="str">
        <v>CIMMYT</v>
      </c>
      <c r="C17" s="4" t="str">
        <v>Pakistan</v>
      </c>
      <c r="D17" s="4" t="str">
        <v>country</v>
      </c>
      <c r="E17" s="5">
        <v>10</v>
      </c>
      <c r="F17" s="4">
        <v>1519</v>
      </c>
    </row>
    <row r="18" ht="45" customHeight="1">
      <c r="A18" s="4" t="str">
        <v>AOW05: Enable</v>
      </c>
      <c r="B18" s="4" t="str">
        <v>CIMMYT</v>
      </c>
      <c r="C18" s="4" t="str">
        <v>Tanzania, United Republic</v>
      </c>
      <c r="D18" s="4" t="str">
        <v>country</v>
      </c>
      <c r="E18" s="5">
        <v>10</v>
      </c>
      <c r="F18" s="4">
        <v>1520</v>
      </c>
    </row>
    <row r="19" ht="45" customHeight="1">
      <c r="A19" s="4" t="str">
        <v>AOW05: Enable</v>
      </c>
      <c r="B19" s="4" t="str">
        <v>CIMMYT</v>
      </c>
      <c r="C19" s="4" t="str">
        <v>Uganda</v>
      </c>
      <c r="D19" s="4" t="str">
        <v>country</v>
      </c>
      <c r="E19" s="5">
        <v>10</v>
      </c>
      <c r="F19" s="4">
        <v>1521</v>
      </c>
    </row>
  </sheetData>
  <mergeCells count="6">
    <mergeCell ref="A2"/>
    <mergeCell ref="A3"/>
    <mergeCell ref="A4:A6"/>
    <mergeCell ref="A7:A8"/>
    <mergeCell ref="A9"/>
    <mergeCell ref="A10:A19"/>
  </mergeCells>
  <ignoredErrors>
    <ignoredError numberStoredAsText="1" sqref="A1:F19"/>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