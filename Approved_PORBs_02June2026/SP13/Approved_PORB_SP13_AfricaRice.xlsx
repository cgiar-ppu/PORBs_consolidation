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43990</v>
      </c>
      <c r="K4" s="5">
        <v>43990</v>
      </c>
      <c r="L4" s="5">
        <v>0</v>
      </c>
      <c r="M4" s="5">
        <v>0</v>
      </c>
      <c r="N4" s="4">
        <v>225</v>
      </c>
    </row>
    <row r="5" ht="20" customHeight="1">
      <c r="A5" s="4" t="str">
        <v>AOW01: Biodiversity Conservation</v>
      </c>
      <c r="B5" s="5">
        <v>5</v>
      </c>
      <c r="C5" s="5">
        <v>125394</v>
      </c>
      <c r="D5" s="5">
        <v>3</v>
      </c>
      <c r="E5" s="5">
        <v>8000</v>
      </c>
      <c r="F5" s="5">
        <v>0</v>
      </c>
      <c r="G5" s="5">
        <v>0</v>
      </c>
      <c r="H5" s="5">
        <v>837</v>
      </c>
      <c r="I5" s="5">
        <v>287736</v>
      </c>
      <c r="J5" s="5">
        <v>421130</v>
      </c>
      <c r="K5" s="5">
        <v>421130</v>
      </c>
      <c r="L5" s="5">
        <v>0</v>
      </c>
      <c r="M5" s="5">
        <v>0</v>
      </c>
      <c r="N5" s="4">
        <v>220</v>
      </c>
    </row>
    <row r="6" ht="20" customHeight="1">
      <c r="A6" s="4" t="str">
        <v>AOW02: Strategic User Engagement</v>
      </c>
      <c r="B6" s="5">
        <v>2</v>
      </c>
      <c r="C6" s="5">
        <v>12000</v>
      </c>
      <c r="D6" s="5">
        <v>2</v>
      </c>
      <c r="E6" s="5">
        <v>5000</v>
      </c>
      <c r="F6" s="5">
        <v>0</v>
      </c>
      <c r="G6" s="5">
        <v>0</v>
      </c>
      <c r="H6" s="5">
        <v>10</v>
      </c>
      <c r="I6" s="5">
        <v>13000</v>
      </c>
      <c r="J6" s="5">
        <v>30000</v>
      </c>
      <c r="K6" s="5">
        <v>30000</v>
      </c>
      <c r="L6" s="5">
        <v>0</v>
      </c>
      <c r="M6" s="5">
        <v>0</v>
      </c>
      <c r="N6" s="4">
        <v>223</v>
      </c>
    </row>
    <row r="7" ht="20" customHeight="1">
      <c r="A7" s="4" t="str">
        <v>AOW03: Genetic Resources Policy</v>
      </c>
      <c r="B7" s="5">
        <v>0</v>
      </c>
      <c r="C7" s="5">
        <v>0</v>
      </c>
      <c r="D7" s="5">
        <v>0</v>
      </c>
      <c r="E7" s="5">
        <v>0</v>
      </c>
      <c r="F7" s="5">
        <v>0</v>
      </c>
      <c r="G7" s="5">
        <v>0</v>
      </c>
      <c r="H7" s="5">
        <v>0</v>
      </c>
      <c r="I7" s="5">
        <v>0</v>
      </c>
      <c r="J7" s="5">
        <v>0</v>
      </c>
      <c r="K7" s="5">
        <v>0</v>
      </c>
      <c r="L7" s="5">
        <v>0</v>
      </c>
      <c r="M7" s="5">
        <v>0</v>
      </c>
      <c r="N7" s="4">
        <v>221</v>
      </c>
    </row>
    <row r="8" ht="20" customHeight="1">
      <c r="A8" s="4" t="str">
        <v>AOW04: Germplasm Health</v>
      </c>
      <c r="B8" s="5">
        <v>3</v>
      </c>
      <c r="C8" s="5">
        <v>35000</v>
      </c>
      <c r="D8" s="5">
        <v>4</v>
      </c>
      <c r="E8" s="5">
        <v>45000</v>
      </c>
      <c r="F8" s="5">
        <v>0</v>
      </c>
      <c r="G8" s="5">
        <v>0</v>
      </c>
      <c r="H8" s="5">
        <v>101</v>
      </c>
      <c r="I8" s="5">
        <v>100000</v>
      </c>
      <c r="J8" s="5">
        <v>180000</v>
      </c>
      <c r="K8" s="5">
        <v>180000</v>
      </c>
      <c r="L8" s="5">
        <v>0</v>
      </c>
      <c r="M8" s="5">
        <v>0</v>
      </c>
      <c r="N8" s="4">
        <v>224</v>
      </c>
    </row>
    <row r="9" ht="20" customHeight="1">
      <c r="A9" s="4" t="str">
        <v>AOW05: Strengthening Capacity for In Situ and Ex Situ Conservation Globally</v>
      </c>
      <c r="B9" s="5">
        <v>0</v>
      </c>
      <c r="C9" s="5">
        <v>0</v>
      </c>
      <c r="D9" s="5">
        <v>1</v>
      </c>
      <c r="E9" s="5">
        <v>3000</v>
      </c>
      <c r="F9" s="5">
        <v>50</v>
      </c>
      <c r="G9" s="5">
        <v>10000</v>
      </c>
      <c r="H9" s="5">
        <v>1004</v>
      </c>
      <c r="I9" s="5">
        <v>315000</v>
      </c>
      <c r="J9" s="5">
        <v>328000</v>
      </c>
      <c r="K9" s="5">
        <v>328000</v>
      </c>
      <c r="L9" s="5">
        <v>0</v>
      </c>
      <c r="M9" s="5">
        <v>0</v>
      </c>
      <c r="N9" s="4">
        <v>222</v>
      </c>
    </row>
    <row r="10" ht="25" customHeight="1">
      <c r="A10" s="6" t="str">
        <v>Total</v>
      </c>
      <c r="B10" s="7" t="str">
        <v/>
      </c>
      <c r="C10" s="7">
        <v>172394</v>
      </c>
      <c r="D10" s="7" t="str">
        <v/>
      </c>
      <c r="E10" s="7">
        <v>61000</v>
      </c>
      <c r="F10" s="7" t="str">
        <v/>
      </c>
      <c r="G10" s="7">
        <v>10000</v>
      </c>
      <c r="H10" s="7" t="str">
        <v/>
      </c>
      <c r="I10" s="7">
        <v>715736</v>
      </c>
      <c r="J10" s="7">
        <v>1003120</v>
      </c>
      <c r="K10" s="7">
        <v>1003120</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AfricaRice</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7500</v>
      </c>
      <c r="I3" s="4" t="str" xml:space="preserve">
        <v xml:space="preserve">Personnel costs will continue to increase at approximately 10% per year due to institutional salary adjustments
</v>
      </c>
      <c r="J3" s="4">
        <v>6493</v>
      </c>
    </row>
    <row r="4" ht="50" customHeight="1" xml:space="preserve">
      <c r="B4" s="4" t="str">
        <v>AfricaRice</v>
      </c>
      <c r="D4" s="4" t="str">
        <v>1.1.5. Crop collections reach and sustain genebank performance targets (90% availability, safety duplication, documentation and Quality Management System (QMS))</v>
      </c>
      <c r="E4" s="4" t="str">
        <v>custom</v>
      </c>
      <c r="F4" s="4" t="str">
        <v>Philippines, Colombia, Côte d'Ivoire, Mexico, India, Nigeria</v>
      </c>
      <c r="G4" s="5">
        <v>1</v>
      </c>
      <c r="H4" s="5">
        <v>5000</v>
      </c>
      <c r="I4" s="4" t="str" xml:space="preserve">
        <v xml:space="preserve">"Personnel costs will continue to increase at approximately 10% per year due to institutional salary adjustments
"
</v>
      </c>
      <c r="J4" s="4">
        <v>6498</v>
      </c>
    </row>
    <row r="5" ht="50" customHeight="1" xml:space="preserve">
      <c r="B5" s="4" t="str">
        <v>AfricaRice</v>
      </c>
      <c r="D5" s="4" t="str">
        <v>1.1.4. Quality Management System (QMS) elements in place</v>
      </c>
      <c r="E5" s="4" t="str">
        <v>custom</v>
      </c>
      <c r="F5" s="4" t="str">
        <v>Morocco, India, Ethiopia, Belgium, Philippines, Colombia, Lebanon, Peru, Côte d'Ivoire, Mexico, Nigeria</v>
      </c>
      <c r="G5" s="5">
        <v>42</v>
      </c>
      <c r="H5" s="5">
        <v>17236</v>
      </c>
      <c r="I5" s="4" t="str" xml:space="preserve">
        <v xml:space="preserve">"Personnel costs will continue to increase at approximately 10% per year due to institutional salary adjustments
"
</v>
      </c>
      <c r="J5" s="4">
        <v>6521</v>
      </c>
    </row>
    <row r="6" ht="50" customHeight="1" xml:space="preserve">
      <c r="B6" s="4" t="str">
        <v>AfricaRice</v>
      </c>
      <c r="D6" s="4" t="str">
        <v xml:space="preserve">1.1.1. Accessions made available for global distribution from CGIAR genebanks </v>
      </c>
      <c r="E6" s="4" t="str">
        <v>custom</v>
      </c>
      <c r="F6" s="4" t="str">
        <v>Philippines, India, Lebanon, Morocco, Belgium, Peru, Ethiopia, Nigeria, Mexico, Colombia, Côte d'Ivoire</v>
      </c>
      <c r="G6" s="5">
        <v>95</v>
      </c>
      <c r="H6" s="5">
        <v>10000</v>
      </c>
      <c r="I6" s="4" t="str" xml:space="preserve">
        <v xml:space="preserve">Personnel costs will continue to increase at approximately 10% per year due to institutional salary adjustments
</v>
      </c>
      <c r="J6" s="4">
        <v>6945</v>
      </c>
    </row>
    <row r="7" ht="50" customHeight="1" xml:space="preserve">
      <c r="B7" s="4" t="str">
        <v>AfricaRice</v>
      </c>
      <c r="D7" s="4" t="str">
        <v xml:space="preserve">1.1.2. Seed accessions managed at CGIAR genebanks safety duplicated at two sites </v>
      </c>
      <c r="E7" s="4" t="str">
        <v>custom</v>
      </c>
      <c r="F7" s="4" t="str">
        <v>Taiwan (Province of China), Philippines, Mexico, India, Nigeria, Peru, Ethiopia, Colombia, Lebanon, Morocco, United States of America, Norway, Côte d'Ivoire</v>
      </c>
      <c r="G7" s="5">
        <v>98</v>
      </c>
      <c r="H7" s="5">
        <v>10000</v>
      </c>
      <c r="I7" s="4" t="str" xml:space="preserve">
        <v xml:space="preserve">Personnel costs will continue to increase at approximately 10% per year due to institutional salary adjustments
</v>
      </c>
      <c r="J7" s="4">
        <v>6954</v>
      </c>
    </row>
    <row r="8" ht="50" customHeight="1" xml:space="preserve">
      <c r="B8" s="4" t="str">
        <v>AfricaRice</v>
      </c>
      <c r="D8" s="4" t="str">
        <v xml:space="preserve">1.1.7. Technically and legally feasible germplasm requests to CGIAR genebanks that are successfully fulfilled </v>
      </c>
      <c r="E8" s="4" t="str">
        <v>custom</v>
      </c>
      <c r="F8" s="4" t="str">
        <v>Philippines, India, Ethiopia, Mexico, Nigeria, Morocco, Colombia, Belgium, Lebanon, Peru, Côte d'Ivoire</v>
      </c>
      <c r="G8" s="5">
        <v>90</v>
      </c>
      <c r="H8" s="5">
        <v>7500</v>
      </c>
      <c r="I8" s="4" t="str" xml:space="preserve">
        <v xml:space="preserve">Personnel costs will continue to increase at approximately 10% per year due to institutional salary adjustments
</v>
      </c>
      <c r="J8" s="4">
        <v>6985</v>
      </c>
    </row>
    <row r="9" ht="50" customHeight="1">
      <c r="B9" s="4" t="str">
        <v>AfricaRice</v>
      </c>
      <c r="D9" s="4" t="str">
        <v>1.1.8. CGIAR genebank staff trained in areas related to genebank management, conservation, and data management.</v>
      </c>
      <c r="E9" s="4" t="str">
        <v>Number of people trained (capacity sharing for development)</v>
      </c>
      <c r="F9" s="4" t="str">
        <v>Belgium, India, Lebanon, Côte d'Ivoire, Mexico, Nigeria, Morocco, Ethiopia, Colombia, Philippines, Peru</v>
      </c>
      <c r="G9" s="5">
        <v>3</v>
      </c>
      <c r="H9" s="5">
        <v>0</v>
      </c>
      <c r="I9" s="4" t="str">
        <v/>
      </c>
      <c r="J9" s="4">
        <v>7175</v>
      </c>
    </row>
    <row r="10" ht="50" customHeight="1" xml:space="preserve">
      <c r="A10" s="4" t="str">
        <v>AOW01: Biodiversity Conservation</v>
      </c>
      <c r="B10" s="4" t="str">
        <v>AfricaRice</v>
      </c>
      <c r="C10" s="4" t="str">
        <v>1.2. Innovations to enhance the efficiency of conserving collections</v>
      </c>
      <c r="D10" s="4" t="str">
        <v>1.2.5 Journal articles related to innovations and improvements to conservation published each year</v>
      </c>
      <c r="E10" s="4" t="str">
        <v>Number of knowledge products</v>
      </c>
      <c r="F10" s="4" t="str">
        <v>Ethiopia, Belgium, Philippines, Lebanon, Morocco, Colombia, Peru, Nigeria, India, Mexico, Côte d'Ivoire</v>
      </c>
      <c r="G10" s="5">
        <v>2</v>
      </c>
      <c r="H10" s="5">
        <v>5000</v>
      </c>
      <c r="I10" s="4" t="str" xml:space="preserve">
        <v xml:space="preserve">"Personnel costs will continue to increase at approximately 10% per year due to institutional salary adjustments
"
</v>
      </c>
      <c r="J10" s="4">
        <v>6545</v>
      </c>
    </row>
    <row r="11" ht="50" customHeight="1" xml:space="preserve">
      <c r="B11" s="4" t="str">
        <v>AfricaRice</v>
      </c>
      <c r="D11" s="4" t="str">
        <v>1.2.4. New or improved protocols to enhance the efficiency of conservation or to increase the availability of accessions</v>
      </c>
      <c r="E11" s="4" t="str">
        <v>Number of innovations (innovation development)</v>
      </c>
      <c r="F11" s="4" t="str">
        <v>Philippines, Peru, Ethiopia, Mexico, Colombia, Morocco, Lebanon, India, Nigeria, Belgium, Côte d'Ivoire</v>
      </c>
      <c r="G11" s="5">
        <v>3</v>
      </c>
      <c r="H11" s="5">
        <v>55000</v>
      </c>
      <c r="I11" s="4" t="str" xml:space="preserve">
        <v xml:space="preserve">Personnel costs will continue to increase at approximately 10% per year due to institutional salary adjustments
</v>
      </c>
      <c r="J11" s="4">
        <v>6568</v>
      </c>
    </row>
    <row r="12" ht="50" customHeight="1" xml:space="preserve">
      <c r="B12" s="4" t="str">
        <v>AfricaRice</v>
      </c>
      <c r="D12" s="4" t="str">
        <v>1.2.2 Taxa (genus) for which new viability testing protocols  are developed each year</v>
      </c>
      <c r="E12" s="4" t="str">
        <v>Number of innovations (innovation development)</v>
      </c>
      <c r="F12" s="4" t="str">
        <v>Nigeria, Belgium, Côte d'Ivoire, Philippines, Morocco, Ethiopia, Colombia, Lebanon, India, Peru</v>
      </c>
      <c r="G12" s="5">
        <v>1</v>
      </c>
      <c r="H12" s="5">
        <v>40000</v>
      </c>
      <c r="I12" s="4" t="str" xml:space="preserve">
        <v xml:space="preserve">"Personnel costs will continue to increase at approximately 10% per year due to institutional salary adjustments
"
</v>
      </c>
      <c r="J12" s="4">
        <v>6577</v>
      </c>
    </row>
    <row r="13" ht="50" customHeight="1" xml:space="preserve">
      <c r="B13" s="4" t="str">
        <v>AfricaRice</v>
      </c>
      <c r="D13" s="4" t="str">
        <v>1.2.1.b. Number of crops routinely characterized using developed/refined MSI algorithms (VideometerLab) during the year</v>
      </c>
      <c r="E13" s="4" t="str">
        <v>Number of innovations (innovation development)</v>
      </c>
      <c r="F13" s="4" t="str">
        <v>Côte d'Ivoire, Morocco, Colombia, India, Philippines, Mexico, Lebanon</v>
      </c>
      <c r="G13" s="5">
        <v>1</v>
      </c>
      <c r="H13" s="5">
        <v>30394</v>
      </c>
      <c r="I13" s="4" t="str" xml:space="preserve">
        <v xml:space="preserve">"Personnel costs will continue to increase at approximately 10% per year due to institutional salary adjustments
"
</v>
      </c>
      <c r="J13" s="4">
        <v>7163</v>
      </c>
    </row>
    <row r="14" ht="50" customHeight="1" xml:space="preserve">
      <c r="A14" s="4" t="str">
        <v>AOW01: Biodiversity Conservation</v>
      </c>
      <c r="B14" s="4" t="str">
        <v>AfricaRice</v>
      </c>
      <c r="C14" s="4" t="str">
        <v xml:space="preserve">1.3. Optimized collection composition and structure to represent crop gene pools </v>
      </c>
      <c r="D14" s="4" t="str">
        <v>1.3.4. Journal articles related to optimized collections published</v>
      </c>
      <c r="E14" s="4" t="str">
        <v>Number of knowledge products</v>
      </c>
      <c r="F14" s="4" t="str">
        <v>Mexico, Ethiopia, Nigeria, Colombia, Peru, India, Belgium, Côte d'Ivoire</v>
      </c>
      <c r="G14" s="5">
        <v>1</v>
      </c>
      <c r="H14" s="5">
        <v>3000</v>
      </c>
      <c r="I14" s="4" t="str" xml:space="preserve">
        <v xml:space="preserve">Personnel costs will continue to increase at approximately 10% per year due to institutional salary adjustments
</v>
      </c>
      <c r="J14" s="4">
        <v>6588</v>
      </c>
    </row>
    <row r="15" ht="50" customHeight="1">
      <c r="B15" s="4" t="str">
        <v>AfricaRice</v>
      </c>
      <c r="D15" s="4" t="str">
        <v xml:space="preserve">1.3.3. Updated document on CGIAR accession management to include criteria and policies for eliminating redundant accessions </v>
      </c>
      <c r="E15" s="4" t="str">
        <v>Number of knowledge products</v>
      </c>
      <c r="F15" s="4" t="str">
        <v/>
      </c>
      <c r="G15" s="5">
        <v>1</v>
      </c>
      <c r="H15" s="5">
        <v>0</v>
      </c>
      <c r="I15" s="4" t="str">
        <v/>
      </c>
      <c r="J15" s="4">
        <v>6598</v>
      </c>
    </row>
    <row r="16" ht="50" customHeight="1" xml:space="preserve">
      <c r="B16" s="4" t="str">
        <v>AfricaRice</v>
      </c>
      <c r="D16" s="4" t="str">
        <v>1.3.2. Accessions earmarked as potentially redundant and/or archived each year</v>
      </c>
      <c r="E16" s="4" t="str">
        <v>custom</v>
      </c>
      <c r="F16" s="4" t="str">
        <v>Philippines, Morocco, Belgium, Lebanon, Ethiopia, India, Mexico, Peru, Colombia, Côte d'Ivoire, Nigeria</v>
      </c>
      <c r="G16" s="5">
        <v>50</v>
      </c>
      <c r="H16" s="5">
        <v>37000</v>
      </c>
      <c r="I16" s="4" t="str" xml:space="preserve">
        <v xml:space="preserve">Personnel costs will continue to increase at approximately 10% per year due to institutional salary adjustments
</v>
      </c>
      <c r="J16" s="4">
        <v>6608</v>
      </c>
    </row>
    <row r="17" ht="50" customHeight="1" xml:space="preserve">
      <c r="B17" s="4" t="str">
        <v>AfricaRice</v>
      </c>
      <c r="D17" s="4" t="str">
        <v>1.3.1. New accessions acquired from in/ex situ</v>
      </c>
      <c r="E17" s="4" t="str">
        <v>custom</v>
      </c>
      <c r="F17" s="4" t="str">
        <v>Lebanon, Peru, Colombia, Côte d'Ivoire, Morocco, Belgium, Philippines, Mexico, India, Nigeria</v>
      </c>
      <c r="G17" s="5">
        <v>100</v>
      </c>
      <c r="H17" s="5">
        <v>70000</v>
      </c>
      <c r="I17" s="4" t="str" xml:space="preserve">
        <v xml:space="preserve">Personnel costs will continue to increase at approximately 10% per year due to institutional salary adjustments
</v>
      </c>
      <c r="J17" s="4">
        <v>6618</v>
      </c>
    </row>
    <row r="18" ht="50" customHeight="1" xml:space="preserve">
      <c r="A18" s="4" t="str">
        <v>AOW01: Biodiversity Conservation</v>
      </c>
      <c r="B18" s="4" t="str">
        <v>AfricaRice</v>
      </c>
      <c r="C18" s="4" t="str">
        <v>1.4. Effective and AI-ready data management systems using harmonized data standards across Centers</v>
      </c>
      <c r="D18" s="4" t="str">
        <v xml:space="preserve"> 1.4.2 Average % of genebank processes digitized and being managed using GGCE</v>
      </c>
      <c r="E18" s="4" t="str">
        <v>custom</v>
      </c>
      <c r="F18" s="4" t="str">
        <v>Mexico, Peru, Belgium, Côte d'Ivoire, Ethiopia, Colombia, Nigeria, India</v>
      </c>
      <c r="G18" s="5">
        <v>89</v>
      </c>
      <c r="H18" s="5">
        <v>80000</v>
      </c>
      <c r="I18" s="4" t="str" xml:space="preserve">
        <v xml:space="preserve">Personnel costs will continue to increase at approximately 10% per year due to institutional salary adjustments
</v>
      </c>
      <c r="J18" s="4">
        <v>6628</v>
      </c>
    </row>
    <row r="19" ht="50" customHeight="1" xml:space="preserve">
      <c r="B19" s="4" t="str">
        <v>AfricaRice</v>
      </c>
      <c r="D19" s="4" t="str">
        <v>1.4.3. Datasets uploaded to the GIGWA database to manage molecular accession data</v>
      </c>
      <c r="E19" s="4" t="str">
        <v>custom</v>
      </c>
      <c r="F19" s="4" t="str">
        <v>Morocco, Côte d'Ivoire, Philippines, Belgium, Ethiopia, France, Mexico, India, Peru, Colombia, Lebanon, Nigeria</v>
      </c>
      <c r="G19" s="5">
        <v>4</v>
      </c>
      <c r="H19" s="5">
        <v>23500</v>
      </c>
      <c r="I19" s="4" t="str" xml:space="preserve">
        <v xml:space="preserve">Personnel costs will continue to increase at approximately 10% per year due to institutional salary adjustments
</v>
      </c>
      <c r="J19" s="4">
        <v>6638</v>
      </c>
    </row>
    <row r="20" ht="50" customHeight="1" xml:space="preserve">
      <c r="B20" s="4" t="str">
        <v>AfricaRice</v>
      </c>
      <c r="D20" s="4" t="str">
        <v>1.4.1. Average % of accessions for which all static (passport, characterization, etc.) and dynamic (inventory, viability, etc.) data have been fully curated/validated</v>
      </c>
      <c r="E20" s="4" t="str">
        <v>custom</v>
      </c>
      <c r="F20" s="4" t="str">
        <v>Ethiopia, Colombia, Philippines, Mexico, Belgium, India, Côte d'Ivoire, Lebanon, Morocco, Peru, Nigeria</v>
      </c>
      <c r="G20" s="5">
        <v>93</v>
      </c>
      <c r="H20" s="5">
        <v>10000</v>
      </c>
      <c r="I20" s="4" t="str" xml:space="preserve">
        <v xml:space="preserve">Personnel costs will continue to increase at approximately 10% per year due to institutional salary adjustments
</v>
      </c>
      <c r="J20" s="4">
        <v>6648</v>
      </c>
    </row>
    <row r="21" ht="50" customHeight="1" xml:space="preserve">
      <c r="B21" s="4" t="str">
        <v>AfricaRice</v>
      </c>
      <c r="D21" s="4" t="str">
        <v>1.4.1.a. Average % of accessions for which all up-to-date static (passport, characterization, etc.) data have been migrated to GGCE</v>
      </c>
      <c r="E21" s="4" t="str">
        <v>custom</v>
      </c>
      <c r="F21" s="4" t="str">
        <v>Mexico, Nigeria, Peru, Ethiopia, Belgium, Côte d'Ivoire, Morocco, Philippines, Lebanon, India, Colombia</v>
      </c>
      <c r="G21" s="5">
        <v>75</v>
      </c>
      <c r="H21" s="5">
        <v>10000</v>
      </c>
      <c r="I21" s="4" t="str" xml:space="preserve">
        <v xml:space="preserve">Personnel costs will continue to increase at approximately 10% per year due to institutional salary adjustments
</v>
      </c>
      <c r="J21" s="4">
        <v>7185</v>
      </c>
    </row>
    <row r="22" ht="25" customHeight="1">
      <c r="C22" s="9" t="str">
        <v>HLO budget subtotal</v>
      </c>
      <c r="H22" s="9">
        <v>421130</v>
      </c>
      <c r="J22" s="9" t="str">
        <v/>
      </c>
    </row>
    <row r="23" ht="50" customHeight="1" xml:space="preserve">
      <c r="A23" s="8" t="str">
        <v>AOW02: Strategic User Engagement</v>
      </c>
      <c r="B23" s="4" t="str">
        <v>AfricaRice</v>
      </c>
      <c r="C23" s="4" t="str">
        <v>2.2. Enhanced germplasm information for more precise accession targeting</v>
      </c>
      <c r="D23" s="4" t="str">
        <v>2.2.2. Journal articles related to enhanced accessions data published</v>
      </c>
      <c r="E23" s="4" t="str">
        <v>Number of knowledge products</v>
      </c>
      <c r="F23" s="4" t="str">
        <v>Morocco, Lebanon, Peru, India, Mexico, Philippines, Côte d'Ivoire, Ethiopia, Nigeria, Belgium, Colombia</v>
      </c>
      <c r="G23" s="5">
        <v>2</v>
      </c>
      <c r="H23" s="5">
        <v>5000</v>
      </c>
      <c r="I23" s="4" t="str" xml:space="preserve">
        <v xml:space="preserve">Personnel costs will continue to increase at approximately 10% per year due to institutional salary adjustments
</v>
      </c>
      <c r="J23" s="4">
        <v>6659</v>
      </c>
    </row>
    <row r="24" ht="50" customHeight="1" xml:space="preserve">
      <c r="B24" s="4" t="str">
        <v>AfricaRice</v>
      </c>
      <c r="D24" s="4" t="str">
        <v>2.2.1. Phenotyping, genotyping, environmental datasets of crops generated and uploaded into open-access databases ​(Dataverse, global databases, and crop community databases)</v>
      </c>
      <c r="E24" s="4" t="str">
        <v>custom</v>
      </c>
      <c r="F24" s="4" t="str">
        <v>Morocco, Mexico, Philippines, Peru, India, Côte d'Ivoire, Ethiopia, Colombia, Lebanon, Belgium, Nigeria</v>
      </c>
      <c r="G24" s="5">
        <v>5</v>
      </c>
      <c r="H24" s="5">
        <v>8000</v>
      </c>
      <c r="I24" s="4" t="str" xml:space="preserve">
        <v xml:space="preserve">Personnel costs will continue to increase at approximately 10% per year due to institutional salary adjustments
</v>
      </c>
      <c r="J24" s="4">
        <v>6669</v>
      </c>
    </row>
    <row r="25" ht="50" customHeight="1" xml:space="preserve">
      <c r="B25" s="4" t="str">
        <v>AfricaRice</v>
      </c>
      <c r="D25" s="4" t="str">
        <v>2.2.3.Trait-specific subsets developed with the related dataset uploaded in GENESYS</v>
      </c>
      <c r="E25" s="4" t="str">
        <v>custom</v>
      </c>
      <c r="F25" s="4" t="str">
        <v>Lebanon, Philippines, Colombia, Mexico, Peru, France, Morocco, India, Côte d'Ivoire, Ethiopia, Nigeria</v>
      </c>
      <c r="G25" s="5">
        <v>5</v>
      </c>
      <c r="H25" s="5">
        <v>5000</v>
      </c>
      <c r="I25" s="4" t="str" xml:space="preserve">
        <v xml:space="preserve">Personnel costs will continue to increase at approximately 10% per year due to institutional salary adjustments
</v>
      </c>
      <c r="J25" s="4">
        <v>6686</v>
      </c>
    </row>
    <row r="26" ht="50" customHeight="1" xml:space="preserve">
      <c r="A26" s="4" t="str">
        <v>AOW02: Strategic User Engagement</v>
      </c>
      <c r="B26" s="4" t="str">
        <v>AfricaRice</v>
      </c>
      <c r="C26" s="4" t="str">
        <v>2.3. CGIAR-wide portal with AI enabled digital infrastructure for germplasm data and requests</v>
      </c>
      <c r="D26" s="4" t="str">
        <v xml:space="preserve">2.3.1.a. AI-supported subset generation approaches or tools developed or refined </v>
      </c>
      <c r="E26" s="4" t="str">
        <v>Number of innovations (innovation development)</v>
      </c>
      <c r="F26" s="4" t="str">
        <v>Philippines, France, Nigeria, Colombia, Morocco, Côte d'Ivoire</v>
      </c>
      <c r="G26" s="5">
        <v>1</v>
      </c>
      <c r="H26" s="5">
        <v>7000</v>
      </c>
      <c r="I26" s="4" t="str" xml:space="preserve">
        <v xml:space="preserve">Personnel costs will continue to increase at approximately 10% per year due to institutional salary adjustments
</v>
      </c>
      <c r="J26" s="4">
        <v>7051</v>
      </c>
    </row>
    <row r="27" ht="50" customHeight="1" xml:space="preserve">
      <c r="B27" s="4" t="str">
        <v>AfricaRice</v>
      </c>
      <c r="D27" s="4" t="str">
        <v>2.3.1. Tools related to request of material and associated data developed or updated</v>
      </c>
      <c r="E27" s="4" t="str">
        <v>Number of innovations (innovation development)</v>
      </c>
      <c r="F27" s="4" t="str">
        <v>United States of America, Mexico, Peru, Nigeria, Belgium, Côte d'Ivoire, Lebanon, Morocco</v>
      </c>
      <c r="G27" s="5">
        <v>1</v>
      </c>
      <c r="H27" s="5">
        <v>5000</v>
      </c>
      <c r="I27" s="4" t="str" xml:space="preserve">
        <v xml:space="preserve">Personnel costs will continue to increase at approximately 10% per year due to institutional salary adjustments
</v>
      </c>
      <c r="J27" s="4">
        <v>7191</v>
      </c>
    </row>
    <row r="28" ht="25" customHeight="1">
      <c r="C28" s="9" t="str">
        <v>HLO budget subtotal</v>
      </c>
      <c r="H28" s="9">
        <v>30000</v>
      </c>
      <c r="J28" s="9" t="str">
        <v/>
      </c>
    </row>
    <row r="29" ht="50" customHeight="1" xml:space="preserve">
      <c r="A29" s="8" t="str">
        <v>AOW04: Germplasm Health</v>
      </c>
      <c r="B29" s="4" t="str">
        <v>AfricaRice</v>
      </c>
      <c r="C29" s="4" t="str">
        <v>4.1. Optimized phytosanitary health delivery system</v>
      </c>
      <c r="D29" s="4" t="str">
        <v>4.1.4. Standard Operating Procedures (SOPs) harmonized or updated within the Quality Management System during the year</v>
      </c>
      <c r="E29" s="4" t="str">
        <v>custom</v>
      </c>
      <c r="F29" s="4" t="str">
        <v>Belgium, Colombia, Philippines, Lebanon, Morocco, Côte d'Ivoire, Nigeria, Peru, Mexico, Ethiopia, India</v>
      </c>
      <c r="G29" s="5">
        <v>2</v>
      </c>
      <c r="H29" s="5">
        <v>20000</v>
      </c>
      <c r="I29" s="4" t="str" xml:space="preserve">
        <v xml:space="preserve">Assumes NPPO cooperation; Risk: external delays; Mitigation: regular NPPO liaison
</v>
      </c>
      <c r="J29" s="4">
        <v>6713</v>
      </c>
    </row>
    <row r="30" ht="50" customHeight="1" xml:space="preserve">
      <c r="B30" s="4" t="str">
        <v>AfricaRice</v>
      </c>
      <c r="D30" s="4" t="str">
        <v xml:space="preserve">4.1.1. Service requests processed on time per year </v>
      </c>
      <c r="E30" s="4" t="str">
        <v>custom</v>
      </c>
      <c r="F30" s="4" t="str">
        <v>Nigeria, Lebanon, India, Mexico, Colombia, Peru, Côte d'Ivoire, Ethiopia, Philippines, Morocco, Belgium</v>
      </c>
      <c r="G30" s="5">
        <v>95</v>
      </c>
      <c r="H30" s="5">
        <v>20000</v>
      </c>
      <c r="I30" s="4" t="str" xml:space="preserve">
        <v xml:space="preserve">Personnel costs will continue to increase at approximately 10% per year due to institutional salary adjustments
</v>
      </c>
      <c r="J30" s="4">
        <v>6733</v>
      </c>
    </row>
    <row r="31" ht="50" customHeight="1" xml:space="preserve">
      <c r="B31" s="4" t="str">
        <v>AfricaRice</v>
      </c>
      <c r="D31" s="4" t="str">
        <v xml:space="preserve">4.1.2. Germplasm Health Unit (GHU) data dashboards created, updated, or under development </v>
      </c>
      <c r="E31" s="4" t="str">
        <v>custom</v>
      </c>
      <c r="F31" s="4" t="str">
        <v>India, Ethiopia, Lebanon, Philippines, Morocco, Peru, Nigeria, Côte d'Ivoire</v>
      </c>
      <c r="G31" s="5">
        <v>1</v>
      </c>
      <c r="H31" s="5">
        <v>20000</v>
      </c>
      <c r="I31" s="4" t="str" xml:space="preserve">
        <v xml:space="preserve">Personnel costs will continue to increase at approximately 10% per year due to institutional salary adjustments
</v>
      </c>
      <c r="J31" s="4">
        <v>7065</v>
      </c>
    </row>
    <row r="32" ht="50" customHeight="1" xml:space="preserve">
      <c r="B32" s="4" t="str">
        <v>AfricaRice</v>
      </c>
      <c r="D32" s="4" t="str">
        <v xml:space="preserve">4.1.3.c. Germplasm Health Units (GHUs) with preliminary costing and cost-recovery analyses developed in preparation for implementation </v>
      </c>
      <c r="E32" s="4" t="str">
        <v>custom</v>
      </c>
      <c r="F32" s="4" t="str">
        <v>Côte d'Ivoire</v>
      </c>
      <c r="G32" s="5">
        <v>1</v>
      </c>
      <c r="H32" s="5">
        <v>10000</v>
      </c>
      <c r="I32" s="4" t="str" xml:space="preserve">
        <v xml:space="preserve">Personnel costs will continue to increase at approximately 10% per year due to institutional salary adjustments
</v>
      </c>
      <c r="J32" s="4">
        <v>7083</v>
      </c>
    </row>
    <row r="33" ht="50" customHeight="1" xml:space="preserve">
      <c r="A33" s="4" t="str">
        <v>AOW04: Germplasm Health</v>
      </c>
      <c r="B33" s="4" t="str">
        <v>AfricaRice</v>
      </c>
      <c r="C33" s="4" t="str">
        <v>4.2. Improved diagnostics and novel therapies for efficient germplasm health testing and phytosanitation​</v>
      </c>
      <c r="D33" s="4" t="str">
        <v>4.2.1. Upgraded/new protocols for germplasm health diagnostics and health monitoring</v>
      </c>
      <c r="E33" s="4" t="str">
        <v>Number of innovations (innovation development)</v>
      </c>
      <c r="F33" s="4" t="str">
        <v>Colombia, Philippines, Nigeria, Lebanon, Morocco, Belgium, Côte d'Ivoire, Peru, Ethiopia, Mexico, India</v>
      </c>
      <c r="G33" s="5">
        <v>2</v>
      </c>
      <c r="H33" s="5">
        <v>25000</v>
      </c>
      <c r="I33" s="4" t="str" xml:space="preserve">
        <v xml:space="preserve">No major delays from supply chain disruptions; Risk: delays in procurement of LAMP reagents; Mitigation: Initiate procurement processes early and maintain communication with suppliers
</v>
      </c>
      <c r="J33" s="4">
        <v>6753</v>
      </c>
    </row>
    <row r="34" ht="50" customHeight="1" xml:space="preserve">
      <c r="B34" s="4" t="str">
        <v>AfricaRice</v>
      </c>
      <c r="D34" s="4" t="str">
        <v>4.2.2. Improved phytosanitary protocols for clonal and seed germplasm, including novel virus therapies and chemicals for seed dressing</v>
      </c>
      <c r="E34" s="4" t="str">
        <v>Number of innovations (innovation development)</v>
      </c>
      <c r="F34" s="4" t="str">
        <v>Colombia, Belgium, Mexico, Morocco, Nigeria, Lebanon, Philippines, India, Côte d'Ivoire</v>
      </c>
      <c r="G34" s="5">
        <v>1</v>
      </c>
      <c r="H34" s="5">
        <v>10000</v>
      </c>
      <c r="I34" s="4" t="str" xml:space="preserve">
        <v xml:space="preserve">Assumes availability of supplies; Risk: supply chain issues; Mitigation - maintain buffer stock, multiple suppliers
</v>
      </c>
      <c r="J34" s="4">
        <v>6763</v>
      </c>
    </row>
    <row r="35" ht="50" customHeight="1" xml:space="preserve">
      <c r="A35" s="4" t="str">
        <v>AOW04: Germplasm Health</v>
      </c>
      <c r="B35" s="4" t="str">
        <v>AfricaRice</v>
      </c>
      <c r="C35" s="4" t="str">
        <v>4.3. Enhanced knowledge for effective control of germplasm-borne pests and diseases</v>
      </c>
      <c r="D35" s="4" t="str">
        <v>4.3.3. Knowledge products on key seed-borne pests and diseases published</v>
      </c>
      <c r="E35" s="4" t="str">
        <v>Number of knowledge products</v>
      </c>
      <c r="F35" s="4" t="str">
        <v>Colombia, Belgium, Côte d'Ivoire, Nigeria, Lebanon, Mexico, India, Morocco, Philippines, Ethiopia</v>
      </c>
      <c r="G35" s="5">
        <v>2</v>
      </c>
      <c r="H35" s="5">
        <v>10000</v>
      </c>
      <c r="I35" s="4" t="str" xml:space="preserve">
        <v xml:space="preserve">Personnel costs will continue to increase at approximately 10% per year due to institutional salary adjustments
</v>
      </c>
      <c r="J35" s="4">
        <v>6774</v>
      </c>
    </row>
    <row r="36" ht="50" customHeight="1" xml:space="preserve">
      <c r="B36" s="4" t="str">
        <v>AfricaRice</v>
      </c>
      <c r="D36" s="4" t="str">
        <v xml:space="preserve">4.3.1. Knowledge Products about Pest and Diseases interception information by crop by center. </v>
      </c>
      <c r="E36" s="4" t="str">
        <v>Number of knowledge products</v>
      </c>
      <c r="F36" s="4" t="str">
        <v>Philippines, Lebanon, Nigeria, Belgium, India, Mexico, Côte d'Ivoire, Peru, Morocco, Colombia, Ethiopia</v>
      </c>
      <c r="G36" s="5">
        <v>1</v>
      </c>
      <c r="H36" s="5">
        <v>25000</v>
      </c>
      <c r="I36" s="4" t="str" xml:space="preserve">
        <v xml:space="preserve">Personnel costs will continue to increase at approximately 10% per year due to institutional salary adjustments
</v>
      </c>
      <c r="J36" s="4">
        <v>6784</v>
      </c>
    </row>
    <row r="37" ht="50" customHeight="1" xml:space="preserve">
      <c r="B37" s="4" t="str">
        <v>AfricaRice</v>
      </c>
      <c r="D37" s="4" t="str">
        <v xml:space="preserve">4.3.2. Protocols for preventing seed-transmission during seed regeneration and propagation </v>
      </c>
      <c r="E37" s="4" t="str">
        <v>custom</v>
      </c>
      <c r="F37" s="4" t="str">
        <v>Peru, Ethiopia, Côte d'Ivoire, Mexico, Nigeria</v>
      </c>
      <c r="G37" s="5">
        <v>2</v>
      </c>
      <c r="H37" s="5">
        <v>30000</v>
      </c>
      <c r="I37" s="4" t="str" xml:space="preserve">
        <v xml:space="preserve">Personnel costs will continue to increase at approximately 10% per year due to institutional salary adjustments
</v>
      </c>
      <c r="J37" s="4">
        <v>6794</v>
      </c>
    </row>
    <row r="38" ht="50" customHeight="1">
      <c r="A38" s="4" t="str">
        <v>AOW04: Germplasm Health</v>
      </c>
      <c r="B38" s="4" t="str">
        <v>AfricaRice</v>
      </c>
      <c r="C38" s="4" t="str">
        <v>4.4. Systems-based phytosanitary protocol for expedited germplasm delivery​</v>
      </c>
      <c r="D38" s="4" t="str">
        <v>4.4.1. Average time to clear shipments under systems-based protocol.</v>
      </c>
      <c r="E38" s="4" t="str">
        <v>custom</v>
      </c>
      <c r="F38" s="4" t="str">
        <v>Philippines</v>
      </c>
      <c r="G38" s="5">
        <v>0</v>
      </c>
      <c r="H38" s="5">
        <v>0</v>
      </c>
      <c r="I38" s="4" t="str">
        <v/>
      </c>
      <c r="J38" s="4">
        <v>6804</v>
      </c>
    </row>
    <row r="39" ht="50" customHeight="1" xml:space="preserve">
      <c r="B39" s="4" t="str">
        <v>AfricaRice</v>
      </c>
      <c r="D39" s="4" t="str">
        <v>4.4.2. Formal protocols for expedited germplasm exchange developed through stakeholder consultations and submitted for accreditation by relevant NPPOs</v>
      </c>
      <c r="E39" s="4" t="str">
        <v>Number of knowledge products</v>
      </c>
      <c r="F39" s="4" t="str">
        <v>Morocco, Côte d'Ivoire, Niger, Philippines, Lebanon</v>
      </c>
      <c r="G39" s="5">
        <v>1</v>
      </c>
      <c r="H39" s="5">
        <v>10000</v>
      </c>
      <c r="I39" s="4" t="str" xml:space="preserve">
        <v xml:space="preserve">Personnel costs will continue to increase at approximately 10% per year due to institutional salary adjustments
</v>
      </c>
      <c r="J39" s="4">
        <v>6814</v>
      </c>
    </row>
    <row r="40" ht="25" customHeight="1">
      <c r="C40" s="9" t="str">
        <v>HLO budget subtotal</v>
      </c>
      <c r="H40" s="9">
        <v>180000</v>
      </c>
      <c r="J40" s="9" t="str">
        <v/>
      </c>
    </row>
    <row r="41" ht="50" customHeight="1" xml:space="preserve">
      <c r="A41" s="8" t="str">
        <v>AOW05: Strengthening Capacity for In Situ and Ex Situ Conservation Globally</v>
      </c>
      <c r="B41" s="4" t="str">
        <v>AfricaRice</v>
      </c>
      <c r="C41" s="4" t="str">
        <v>5.2. Regional Communities of Practices and networks for diversity/gap analyses/SQM and key themes established and functioning</v>
      </c>
      <c r="D41" s="4" t="str">
        <v>5.2.2. Knowledge products including journal articles co-authored with NARS partners on topics related to cryopreservation, DSI, in-situ</v>
      </c>
      <c r="E41" s="4" t="str">
        <v>Number of knowledge products</v>
      </c>
      <c r="F41" s="4" t="str">
        <v>Peru, Lebanon, Morocco, The Socialist Republic of Viet Nam, Colombia, Mexico</v>
      </c>
      <c r="G41" s="5">
        <v>1</v>
      </c>
      <c r="H41" s="5">
        <v>3000</v>
      </c>
      <c r="I41" s="4" t="str" xml:space="preserve">
        <v xml:space="preserve">Personnel costs will continue to increase at approximately 10% per year due to institutional salary adjustments
</v>
      </c>
      <c r="J41" s="4">
        <v>6822</v>
      </c>
    </row>
    <row r="42" ht="50" customHeight="1" xml:space="preserve">
      <c r="B42" s="4" t="str">
        <v>AfricaRice</v>
      </c>
      <c r="D42" s="4" t="str">
        <v>5.2.1. CoPs and networks for diversity/gap analyses of crops at a regional level for strategic conservation, use and exchange, maintained, created, or re-activated</v>
      </c>
      <c r="E42" s="4" t="str">
        <v>custom</v>
      </c>
      <c r="F42" s="4" t="str">
        <v>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v>
      </c>
      <c r="G42" s="5">
        <v>4</v>
      </c>
      <c r="H42" s="5">
        <v>303000</v>
      </c>
      <c r="I42" s="4" t="str" xml:space="preserve">
        <v xml:space="preserve">Personnel costs based on standard organizational salary scales
</v>
      </c>
      <c r="J42" s="4">
        <v>6831</v>
      </c>
    </row>
    <row r="43" ht="50" customHeight="1" xml:space="preserve">
      <c r="A43" s="4" t="str">
        <v>AOW05: Strengthening Capacity for In Situ and Ex Situ Conservation Globally</v>
      </c>
      <c r="B43" s="4" t="str">
        <v>AfricaRice</v>
      </c>
      <c r="C43" s="4" t="str">
        <v>5.3 Capacity strengthened at national and regional levels across genebank activities (SQM, data management, germplasm health, policy…)</v>
      </c>
      <c r="D43" s="4" t="str">
        <v>5.3.1. Individuals trained on collection, SQM, cryo, germplasm health, in situ, community genebanks, policy</v>
      </c>
      <c r="E43" s="4" t="str">
        <v>Number of people trained (capacity sharing for development)</v>
      </c>
      <c r="F43" s="4" t="str">
        <v>Morocco, Colombia, Belgium, Lebanon, Ethiopia, India, Peru, Mexico, Côte d'Ivoire, Nigeria</v>
      </c>
      <c r="G43" s="5">
        <v>50</v>
      </c>
      <c r="H43" s="5">
        <v>10000</v>
      </c>
      <c r="I43" s="4" t="str" xml:space="preserve">
        <v xml:space="preserve">Personnel costs based on standard organizational salary scales
</v>
      </c>
      <c r="J43" s="4">
        <v>6842</v>
      </c>
    </row>
    <row r="44" ht="50" customHeight="1" xml:space="preserve">
      <c r="A44" s="4" t="str">
        <v>AOW05: Strengthening Capacity for In Situ and Ex Situ Conservation Globally</v>
      </c>
      <c r="B44" s="4" t="str">
        <v>AfricaRice</v>
      </c>
      <c r="C44" s="4" t="str">
        <v xml:space="preserve">5.4. Unique crop diversity under threat is protected through the integration of in situ and ex situ conservation strategies </v>
      </c>
      <c r="D44" s="4" t="str">
        <v xml:space="preserve">5.4.2. Unique accessions shared by non CG genebanks to be safeguarded at CG Genebanks </v>
      </c>
      <c r="E44" s="4" t="str">
        <v>custom</v>
      </c>
      <c r="F44" s="4" t="str">
        <v>Papua New Guinea, Nigeria, Bangladesh, Pakistan, Peru, Madagascar, Côte d'Ivoire, Malawi</v>
      </c>
      <c r="G44" s="5">
        <v>1000</v>
      </c>
      <c r="H44" s="5">
        <v>12000</v>
      </c>
      <c r="I44" s="4" t="str" xml:space="preserve">
        <v xml:space="preserve">Personnel costs based on standard organizational salary scales
</v>
      </c>
      <c r="J44" s="4">
        <v>6854</v>
      </c>
    </row>
    <row r="45" ht="25" customHeight="1">
      <c r="C45" s="9" t="str">
        <v>HLO budget subtotal</v>
      </c>
      <c r="H45" s="9">
        <v>328000</v>
      </c>
      <c r="J45" s="9" t="str">
        <v/>
      </c>
    </row>
  </sheetData>
  <mergeCells count="25">
    <mergeCell ref="A1:A2"/>
    <mergeCell ref="B1:B2"/>
    <mergeCell ref="C1:C2"/>
    <mergeCell ref="D1:H1"/>
    <mergeCell ref="I1:I2"/>
    <mergeCell ref="J1:J2"/>
    <mergeCell ref="C3:C9"/>
    <mergeCell ref="C10:C13"/>
    <mergeCell ref="C14:C17"/>
    <mergeCell ref="C18:C21"/>
    <mergeCell ref="C22:G22"/>
    <mergeCell ref="A3:A22"/>
    <mergeCell ref="C23:C25"/>
    <mergeCell ref="C26:C27"/>
    <mergeCell ref="C28:G28"/>
    <mergeCell ref="A23:A28"/>
    <mergeCell ref="C29:C32"/>
    <mergeCell ref="C33:C34"/>
    <mergeCell ref="C35:C37"/>
    <mergeCell ref="C38:C39"/>
    <mergeCell ref="C40:G40"/>
    <mergeCell ref="A29:A40"/>
    <mergeCell ref="C41:C42"/>
    <mergeCell ref="C45:G45"/>
    <mergeCell ref="A41:A45"/>
  </mergeCells>
  <ignoredErrors>
    <ignoredError numberStoredAsText="1" sqref="A1:J45"/>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Long Term Patnership Grant for conservation of the rice biodiversity at AfricaRice genebank</v>
      </c>
      <c r="C2" s="4" t="str">
        <v>1.1. All collections conserved and made available according to international standards and best practices</v>
      </c>
      <c r="D2" s="5">
        <v>510000</v>
      </c>
      <c r="E2" s="4" t="str">
        <v xml:space="preserve">As per figures received from the Crop Trust </v>
      </c>
      <c r="F2" s="4">
        <v>1226</v>
      </c>
    </row>
    <row r="3" ht="25" customHeight="1">
      <c r="B3" s="9" t="str">
        <v>W3/Bilateral budget subtotal</v>
      </c>
      <c r="D3" s="9">
        <v>510000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Area of Work Leads</v>
      </c>
      <c r="D2" s="5">
        <v>43990</v>
      </c>
      <c r="E2" s="4" t="str">
        <v>Personnel costs based on standard organizational salary scales</v>
      </c>
      <c r="F2" s="4">
        <v>141</v>
      </c>
      <c r="G2" s="4">
        <v>3</v>
      </c>
    </row>
    <row r="3" ht="25" customHeight="1">
      <c r="C3" s="9" t="str">
        <v>Cross-cutting budget subtotal</v>
      </c>
      <c r="D3" s="9">
        <v>43990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43990</v>
      </c>
      <c r="C2" s="5">
        <v>265312</v>
      </c>
      <c r="D2" s="5">
        <v>18900</v>
      </c>
      <c r="E2" s="5">
        <v>0</v>
      </c>
      <c r="F2" s="5">
        <v>113400</v>
      </c>
      <c r="G2" s="5">
        <v>206640</v>
      </c>
      <c r="H2" s="5">
        <f>=SUM(B2:G2)</f>
        <v>0</v>
      </c>
    </row>
    <row r="3" ht="20" customHeight="1">
      <c r="A3" s="4" t="str">
        <v>Operations (supplies, consultants, travels, workshops, other)</v>
      </c>
      <c r="B3" s="5">
        <v>0</v>
      </c>
      <c r="C3" s="5">
        <v>155818</v>
      </c>
      <c r="D3" s="5">
        <v>11100</v>
      </c>
      <c r="E3" s="5">
        <v>0</v>
      </c>
      <c r="F3" s="5">
        <v>66600</v>
      </c>
      <c r="G3" s="5">
        <v>121360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8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Côte d'Ivoire</v>
      </c>
      <c r="D2" s="5">
        <v>100</v>
      </c>
      <c r="E2" s="4">
        <v>109</v>
      </c>
    </row>
    <row r="3" ht="45" customHeight="1">
      <c r="A3" s="8" t="str">
        <v>AOW01: Biodiversity Conservation</v>
      </c>
      <c r="B3" s="4" t="str">
        <v>AfricaRice</v>
      </c>
      <c r="C3" s="4" t="str">
        <v>Belgium</v>
      </c>
      <c r="D3" s="5">
        <v>0</v>
      </c>
      <c r="E3" s="4">
        <v>82</v>
      </c>
    </row>
    <row r="4" ht="45" customHeight="1">
      <c r="A4" s="4" t="str">
        <v>AOW01: Biodiversity Conservation</v>
      </c>
      <c r="B4" s="4" t="str">
        <v>AfricaRice</v>
      </c>
      <c r="C4" s="4" t="str">
        <v>Colombia</v>
      </c>
      <c r="D4" s="5">
        <v>0</v>
      </c>
      <c r="E4" s="4">
        <v>15</v>
      </c>
    </row>
    <row r="5" ht="45" customHeight="1">
      <c r="A5" s="4" t="str">
        <v>AOW01: Biodiversity Conservation</v>
      </c>
      <c r="B5" s="4" t="str">
        <v>AfricaRice</v>
      </c>
      <c r="C5" s="4" t="str">
        <v>Côte d'Ivoire</v>
      </c>
      <c r="D5" s="5">
        <v>100</v>
      </c>
      <c r="E5" s="4">
        <v>81</v>
      </c>
    </row>
    <row r="6" ht="45" customHeight="1">
      <c r="A6" s="4" t="str">
        <v>AOW01: Biodiversity Conservation</v>
      </c>
      <c r="B6" s="4" t="str">
        <v>AfricaRice</v>
      </c>
      <c r="C6" s="4" t="str">
        <v>Ethiopia</v>
      </c>
      <c r="D6" s="5">
        <v>0</v>
      </c>
      <c r="E6" s="4">
        <v>83</v>
      </c>
    </row>
    <row r="7" ht="45" customHeight="1">
      <c r="A7" s="4" t="str">
        <v>AOW01: Biodiversity Conservation</v>
      </c>
      <c r="B7" s="4" t="str">
        <v>AfricaRice</v>
      </c>
      <c r="C7" s="4" t="str">
        <v>France</v>
      </c>
      <c r="D7" s="5">
        <v>0</v>
      </c>
      <c r="E7" s="4">
        <v>84</v>
      </c>
    </row>
    <row r="8" ht="45" customHeight="1">
      <c r="A8" s="4" t="str">
        <v>AOW01: Biodiversity Conservation</v>
      </c>
      <c r="B8" s="4" t="str">
        <v>AfricaRice</v>
      </c>
      <c r="C8" s="4" t="str">
        <v>India</v>
      </c>
      <c r="D8" s="5">
        <v>0</v>
      </c>
      <c r="E8" s="4">
        <v>85</v>
      </c>
    </row>
    <row r="9" ht="45" customHeight="1">
      <c r="A9" s="4" t="str">
        <v>AOW01: Biodiversity Conservation</v>
      </c>
      <c r="B9" s="4" t="str">
        <v>AfricaRice</v>
      </c>
      <c r="C9" s="4" t="str">
        <v>Lebanon</v>
      </c>
      <c r="D9" s="5">
        <v>0</v>
      </c>
      <c r="E9" s="4">
        <v>86</v>
      </c>
    </row>
    <row r="10" ht="45" customHeight="1">
      <c r="A10" s="4" t="str">
        <v>AOW01: Biodiversity Conservation</v>
      </c>
      <c r="B10" s="4" t="str">
        <v>AfricaRice</v>
      </c>
      <c r="C10" s="4" t="str">
        <v>Mexico</v>
      </c>
      <c r="D10" s="5">
        <v>0</v>
      </c>
      <c r="E10" s="4">
        <v>87</v>
      </c>
    </row>
    <row r="11" ht="45" customHeight="1">
      <c r="A11" s="4" t="str">
        <v>AOW01: Biodiversity Conservation</v>
      </c>
      <c r="B11" s="4" t="str">
        <v>AfricaRice</v>
      </c>
      <c r="C11" s="4" t="str">
        <v>Morocco</v>
      </c>
      <c r="D11" s="5">
        <v>0</v>
      </c>
      <c r="E11" s="4">
        <v>88</v>
      </c>
    </row>
    <row r="12" ht="45" customHeight="1">
      <c r="A12" s="4" t="str">
        <v>AOW01: Biodiversity Conservation</v>
      </c>
      <c r="B12" s="4" t="str">
        <v>AfricaRice</v>
      </c>
      <c r="C12" s="4" t="str">
        <v>Nigeria</v>
      </c>
      <c r="D12" s="5">
        <v>0</v>
      </c>
      <c r="E12" s="4">
        <v>89</v>
      </c>
    </row>
    <row r="13" ht="45" customHeight="1">
      <c r="A13" s="4" t="str">
        <v>AOW01: Biodiversity Conservation</v>
      </c>
      <c r="B13" s="4" t="str">
        <v>AfricaRice</v>
      </c>
      <c r="C13" s="4" t="str">
        <v>Peru</v>
      </c>
      <c r="D13" s="5">
        <v>0</v>
      </c>
      <c r="E13" s="4">
        <v>90</v>
      </c>
    </row>
    <row r="14" ht="45" customHeight="1">
      <c r="A14" s="4" t="str">
        <v>AOW01: Biodiversity Conservation</v>
      </c>
      <c r="B14" s="4" t="str">
        <v>AfricaRice</v>
      </c>
      <c r="C14" s="4" t="str">
        <v>Philippines</v>
      </c>
      <c r="D14" s="5">
        <v>0</v>
      </c>
      <c r="E14" s="4">
        <v>91</v>
      </c>
    </row>
    <row r="15" ht="45" customHeight="1">
      <c r="A15" s="8" t="str">
        <v>AOW02: Strategic User Engagement</v>
      </c>
      <c r="B15" s="4" t="str">
        <v>AfricaRice</v>
      </c>
      <c r="C15" s="4" t="str">
        <v>Côte d'Ivoire</v>
      </c>
      <c r="D15" s="5">
        <v>100</v>
      </c>
      <c r="E15" s="4">
        <v>123</v>
      </c>
    </row>
    <row r="16" ht="45" customHeight="1">
      <c r="A16" s="8" t="str">
        <v>AOW04: Germplasm Health</v>
      </c>
      <c r="B16" s="4" t="str">
        <v>AfricaRice</v>
      </c>
      <c r="C16" s="4" t="str">
        <v>Belgium</v>
      </c>
      <c r="D16" s="5">
        <v>8.099</v>
      </c>
      <c r="E16" s="4">
        <v>234</v>
      </c>
    </row>
    <row r="17" ht="45" customHeight="1">
      <c r="A17" s="4" t="str">
        <v>AOW04: Germplasm Health</v>
      </c>
      <c r="B17" s="4" t="str">
        <v>AfricaRice</v>
      </c>
      <c r="C17" s="4" t="str">
        <v>Colombia</v>
      </c>
      <c r="D17" s="5">
        <v>8.08</v>
      </c>
      <c r="E17" s="4">
        <v>235</v>
      </c>
    </row>
    <row r="18" ht="45" customHeight="1">
      <c r="A18" s="4" t="str">
        <v>AOW04: Germplasm Health</v>
      </c>
      <c r="B18" s="4" t="str">
        <v>AfricaRice</v>
      </c>
      <c r="C18" s="4" t="str">
        <v>Côte d'Ivoire</v>
      </c>
      <c r="D18" s="5">
        <v>11.27</v>
      </c>
      <c r="E18" s="4">
        <v>124</v>
      </c>
    </row>
    <row r="19" ht="45" customHeight="1">
      <c r="A19" s="4" t="str">
        <v>AOW04: Germplasm Health</v>
      </c>
      <c r="B19" s="4" t="str">
        <v>AfricaRice</v>
      </c>
      <c r="C19" s="4" t="str">
        <v>Ethiopia</v>
      </c>
      <c r="D19" s="5">
        <v>8.05</v>
      </c>
      <c r="E19" s="4">
        <v>236</v>
      </c>
    </row>
    <row r="20" ht="45" customHeight="1">
      <c r="A20" s="4" t="str">
        <v>AOW04: Germplasm Health</v>
      </c>
      <c r="B20" s="4" t="str">
        <v>AfricaRice</v>
      </c>
      <c r="C20" s="4" t="str">
        <v>India</v>
      </c>
      <c r="D20" s="5">
        <v>8.07</v>
      </c>
      <c r="E20" s="4">
        <v>237</v>
      </c>
    </row>
    <row r="21" ht="45" customHeight="1">
      <c r="A21" s="4" t="str">
        <v>AOW04: Germplasm Health</v>
      </c>
      <c r="B21" s="4" t="str">
        <v>AfricaRice</v>
      </c>
      <c r="C21" s="4" t="str">
        <v>Lebanon</v>
      </c>
      <c r="D21" s="5">
        <v>8.06</v>
      </c>
      <c r="E21" s="4">
        <v>238</v>
      </c>
    </row>
    <row r="22" ht="45" customHeight="1">
      <c r="A22" s="4" t="str">
        <v>AOW04: Germplasm Health</v>
      </c>
      <c r="B22" s="4" t="str">
        <v>AfricaRice</v>
      </c>
      <c r="C22" s="4" t="str">
        <v>Mexico</v>
      </c>
      <c r="D22" s="5">
        <v>8.05</v>
      </c>
      <c r="E22" s="4">
        <v>239</v>
      </c>
    </row>
    <row r="23" ht="45" customHeight="1">
      <c r="A23" s="4" t="str">
        <v>AOW04: Germplasm Health</v>
      </c>
      <c r="B23" s="4" t="str">
        <v>AfricaRice</v>
      </c>
      <c r="C23" s="4" t="str">
        <v>Morocco</v>
      </c>
      <c r="D23" s="5">
        <v>8.06</v>
      </c>
      <c r="E23" s="4">
        <v>240</v>
      </c>
    </row>
    <row r="24" ht="45" customHeight="1">
      <c r="A24" s="4" t="str">
        <v>AOW04: Germplasm Health</v>
      </c>
      <c r="B24" s="4" t="str">
        <v>AfricaRice</v>
      </c>
      <c r="C24" s="4" t="str">
        <v>Niger</v>
      </c>
      <c r="D24" s="5">
        <v>8.08</v>
      </c>
      <c r="E24" s="4">
        <v>241</v>
      </c>
    </row>
    <row r="25" ht="45" customHeight="1">
      <c r="A25" s="4" t="str">
        <v>AOW04: Germplasm Health</v>
      </c>
      <c r="B25" s="4" t="str">
        <v>AfricaRice</v>
      </c>
      <c r="C25" s="4" t="str">
        <v>Nigeria</v>
      </c>
      <c r="D25" s="5">
        <v>8.06</v>
      </c>
      <c r="E25" s="4">
        <v>242</v>
      </c>
    </row>
    <row r="26" ht="45" customHeight="1">
      <c r="A26" s="4" t="str">
        <v>AOW04: Germplasm Health</v>
      </c>
      <c r="B26" s="4" t="str">
        <v>AfricaRice</v>
      </c>
      <c r="C26" s="4" t="str">
        <v>Peru</v>
      </c>
      <c r="D26" s="5">
        <v>8.07</v>
      </c>
      <c r="E26" s="4">
        <v>243</v>
      </c>
    </row>
    <row r="27" ht="45" customHeight="1">
      <c r="A27" s="4" t="str">
        <v>AOW04: Germplasm Health</v>
      </c>
      <c r="B27" s="4" t="str">
        <v>AfricaRice</v>
      </c>
      <c r="C27" s="4" t="str">
        <v>Philippines</v>
      </c>
      <c r="D27" s="5">
        <v>8.05</v>
      </c>
      <c r="E27" s="4">
        <v>244</v>
      </c>
    </row>
    <row r="28" ht="45" customHeight="1">
      <c r="A28" s="8" t="str">
        <v>AOW05: Strengthening Capacity for In Situ and Ex Situ Conservation Globally</v>
      </c>
      <c r="B28" s="4" t="str">
        <v>AfricaRice</v>
      </c>
      <c r="C28" s="4" t="str">
        <v>Argentina</v>
      </c>
      <c r="D28" s="5">
        <v>1</v>
      </c>
      <c r="E28" s="4">
        <v>162</v>
      </c>
    </row>
    <row r="29" ht="45" customHeight="1">
      <c r="A29" s="4" t="str">
        <v>AOW05: Strengthening Capacity for In Situ and Ex Situ Conservation Globally</v>
      </c>
      <c r="B29" s="4" t="str">
        <v>AfricaRice</v>
      </c>
      <c r="C29" s="4" t="str">
        <v>Bangladesh</v>
      </c>
      <c r="D29" s="5">
        <v>1</v>
      </c>
      <c r="E29" s="4">
        <v>33</v>
      </c>
    </row>
    <row r="30" ht="45" customHeight="1">
      <c r="A30" s="4" t="str">
        <v>AOW05: Strengthening Capacity for In Situ and Ex Situ Conservation Globally</v>
      </c>
      <c r="B30" s="4" t="str">
        <v>AfricaRice</v>
      </c>
      <c r="C30" s="4" t="str">
        <v>Belgium</v>
      </c>
      <c r="D30" s="5">
        <v>1</v>
      </c>
      <c r="E30" s="4">
        <v>34</v>
      </c>
    </row>
    <row r="31" ht="45" customHeight="1">
      <c r="A31" s="4" t="str">
        <v>AOW05: Strengthening Capacity for In Situ and Ex Situ Conservation Globally</v>
      </c>
      <c r="B31" s="4" t="str">
        <v>AfricaRice</v>
      </c>
      <c r="C31" s="4" t="str">
        <v>Benin</v>
      </c>
      <c r="D31" s="5">
        <v>1</v>
      </c>
      <c r="E31" s="4">
        <v>35</v>
      </c>
    </row>
    <row r="32" ht="45" customHeight="1">
      <c r="A32" s="4" t="str">
        <v>AOW05: Strengthening Capacity for In Situ and Ex Situ Conservation Globally</v>
      </c>
      <c r="B32" s="4" t="str">
        <v>AfricaRice</v>
      </c>
      <c r="C32" s="4" t="str">
        <v>Brazil</v>
      </c>
      <c r="D32" s="5">
        <v>1</v>
      </c>
      <c r="E32" s="4">
        <v>160</v>
      </c>
    </row>
    <row r="33" ht="45" customHeight="1">
      <c r="A33" s="4" t="str">
        <v>AOW05: Strengthening Capacity for In Situ and Ex Situ Conservation Globally</v>
      </c>
      <c r="B33" s="4" t="str">
        <v>AfricaRice</v>
      </c>
      <c r="C33" s="4" t="str">
        <v>Burkina Faso</v>
      </c>
      <c r="D33" s="5">
        <v>1</v>
      </c>
      <c r="E33" s="4">
        <v>128</v>
      </c>
    </row>
    <row r="34" ht="45" customHeight="1">
      <c r="A34" s="4" t="str">
        <v>AOW05: Strengthening Capacity for In Situ and Ex Situ Conservation Globally</v>
      </c>
      <c r="B34" s="4" t="str">
        <v>AfricaRice</v>
      </c>
      <c r="C34" s="4" t="str">
        <v>Burundi</v>
      </c>
      <c r="D34" s="5">
        <v>1.88</v>
      </c>
      <c r="E34" s="4">
        <v>174</v>
      </c>
    </row>
    <row r="35" ht="45" customHeight="1">
      <c r="A35" s="4" t="str">
        <v>AOW05: Strengthening Capacity for In Situ and Ex Situ Conservation Globally</v>
      </c>
      <c r="B35" s="4" t="str">
        <v>AfricaRice</v>
      </c>
      <c r="C35" s="4" t="str">
        <v>Cambodia</v>
      </c>
      <c r="D35" s="5">
        <v>1.88</v>
      </c>
      <c r="E35" s="4">
        <v>165</v>
      </c>
    </row>
    <row r="36" ht="45" customHeight="1">
      <c r="A36" s="4" t="str">
        <v>AOW05: Strengthening Capacity for In Situ and Ex Situ Conservation Globally</v>
      </c>
      <c r="B36" s="4" t="str">
        <v>AfricaRice</v>
      </c>
      <c r="C36" s="4" t="str">
        <v>Cameroon</v>
      </c>
      <c r="D36" s="5">
        <v>1.88</v>
      </c>
      <c r="E36" s="4">
        <v>157</v>
      </c>
    </row>
    <row r="37" ht="45" customHeight="1">
      <c r="A37" s="4" t="str">
        <v>AOW05: Strengthening Capacity for In Situ and Ex Situ Conservation Globally</v>
      </c>
      <c r="B37" s="4" t="str">
        <v>AfricaRice</v>
      </c>
      <c r="C37" s="4" t="str">
        <v>Central African Republic</v>
      </c>
      <c r="D37" s="5">
        <v>1.88</v>
      </c>
      <c r="E37" s="4">
        <v>156</v>
      </c>
    </row>
    <row r="38" ht="45" customHeight="1">
      <c r="A38" s="4" t="str">
        <v>AOW05: Strengthening Capacity for In Situ and Ex Situ Conservation Globally</v>
      </c>
      <c r="B38" s="4" t="str">
        <v>AfricaRice</v>
      </c>
      <c r="C38" s="4" t="str">
        <v>Chad</v>
      </c>
      <c r="D38" s="5">
        <v>1.88</v>
      </c>
      <c r="E38" s="4">
        <v>36</v>
      </c>
    </row>
    <row r="39" ht="45" customHeight="1">
      <c r="A39" s="4" t="str">
        <v>AOW05: Strengthening Capacity for In Situ and Ex Situ Conservation Globally</v>
      </c>
      <c r="B39" s="4" t="str">
        <v>AfricaRice</v>
      </c>
      <c r="C39" s="4" t="str">
        <v>Chile</v>
      </c>
      <c r="D39" s="5">
        <v>1.88</v>
      </c>
      <c r="E39" s="4">
        <v>158</v>
      </c>
    </row>
    <row r="40" ht="45" customHeight="1">
      <c r="A40" s="4" t="str">
        <v>AOW05: Strengthening Capacity for In Situ and Ex Situ Conservation Globally</v>
      </c>
      <c r="B40" s="4" t="str">
        <v>AfricaRice</v>
      </c>
      <c r="C40" s="4" t="str">
        <v>Colombia</v>
      </c>
      <c r="D40" s="5">
        <v>1.88</v>
      </c>
      <c r="E40" s="4">
        <v>37</v>
      </c>
    </row>
    <row r="41" ht="45" customHeight="1">
      <c r="A41" s="4" t="str">
        <v>AOW05: Strengthening Capacity for In Situ and Ex Situ Conservation Globally</v>
      </c>
      <c r="B41" s="4" t="str">
        <v>AfricaRice</v>
      </c>
      <c r="C41" s="4" t="str">
        <v>Congo</v>
      </c>
      <c r="D41" s="5">
        <v>1.88</v>
      </c>
      <c r="E41" s="4">
        <v>130</v>
      </c>
    </row>
    <row r="42" ht="45" customHeight="1">
      <c r="A42" s="4" t="str">
        <v>AOW05: Strengthening Capacity for In Situ and Ex Situ Conservation Globally</v>
      </c>
      <c r="B42" s="4" t="str">
        <v>AfricaRice</v>
      </c>
      <c r="C42" s="4" t="str">
        <v>Costa Rica</v>
      </c>
      <c r="D42" s="5">
        <v>1.88</v>
      </c>
      <c r="E42" s="4">
        <v>173</v>
      </c>
    </row>
    <row r="43" ht="45" customHeight="1">
      <c r="A43" s="4" t="str">
        <v>AOW05: Strengthening Capacity for In Situ and Ex Situ Conservation Globally</v>
      </c>
      <c r="B43" s="4" t="str">
        <v>AfricaRice</v>
      </c>
      <c r="C43" s="4" t="str">
        <v>Côte d'Ivoire</v>
      </c>
      <c r="D43" s="5">
        <v>2.25</v>
      </c>
      <c r="E43" s="4">
        <v>38</v>
      </c>
    </row>
    <row r="44" ht="45" customHeight="1">
      <c r="A44" s="4" t="str">
        <v>AOW05: Strengthening Capacity for In Situ and Ex Situ Conservation Globally</v>
      </c>
      <c r="B44" s="4" t="str">
        <v>AfricaRice</v>
      </c>
      <c r="C44" s="4" t="str">
        <v>Cuba</v>
      </c>
      <c r="D44" s="5">
        <v>1.88</v>
      </c>
      <c r="E44" s="4">
        <v>168</v>
      </c>
    </row>
    <row r="45" ht="45" customHeight="1">
      <c r="A45" s="4" t="str">
        <v>AOW05: Strengthening Capacity for In Situ and Ex Situ Conservation Globally</v>
      </c>
      <c r="B45" s="4" t="str">
        <v>AfricaRice</v>
      </c>
      <c r="C45" s="4" t="str">
        <v>Ecuador</v>
      </c>
      <c r="D45" s="5">
        <v>1.88</v>
      </c>
      <c r="E45" s="4">
        <v>180</v>
      </c>
    </row>
    <row r="46" ht="45" customHeight="1">
      <c r="A46" s="4" t="str">
        <v>AOW05: Strengthening Capacity for In Situ and Ex Situ Conservation Globally</v>
      </c>
      <c r="B46" s="4" t="str">
        <v>AfricaRice</v>
      </c>
      <c r="C46" s="4" t="str">
        <v>El Salvador</v>
      </c>
      <c r="D46" s="5">
        <v>1.88</v>
      </c>
      <c r="E46" s="4">
        <v>176</v>
      </c>
    </row>
    <row r="47" ht="45" customHeight="1">
      <c r="A47" s="4" t="str">
        <v>AOW05: Strengthening Capacity for In Situ and Ex Situ Conservation Globally</v>
      </c>
      <c r="B47" s="4" t="str">
        <v>AfricaRice</v>
      </c>
      <c r="C47" s="4" t="str">
        <v>Eswatini</v>
      </c>
      <c r="D47" s="5">
        <v>1</v>
      </c>
      <c r="E47" s="4">
        <v>884</v>
      </c>
    </row>
    <row r="48" ht="45" customHeight="1">
      <c r="A48" s="4" t="str">
        <v>AOW05: Strengthening Capacity for In Situ and Ex Situ Conservation Globally</v>
      </c>
      <c r="B48" s="4" t="str">
        <v>AfricaRice</v>
      </c>
      <c r="C48" s="4" t="str">
        <v>Ethiopia</v>
      </c>
      <c r="D48" s="5">
        <v>1.88</v>
      </c>
      <c r="E48" s="4">
        <v>39</v>
      </c>
    </row>
    <row r="49" ht="45" customHeight="1">
      <c r="A49" s="4" t="str">
        <v>AOW05: Strengthening Capacity for In Situ and Ex Situ Conservation Globally</v>
      </c>
      <c r="B49" s="4" t="str">
        <v>AfricaRice</v>
      </c>
      <c r="C49" s="4" t="str">
        <v>Ghana</v>
      </c>
      <c r="D49" s="5">
        <v>1.88</v>
      </c>
      <c r="E49" s="4">
        <v>129</v>
      </c>
    </row>
    <row r="50" ht="45" customHeight="1">
      <c r="A50" s="4" t="str">
        <v>AOW05: Strengthening Capacity for In Situ and Ex Situ Conservation Globally</v>
      </c>
      <c r="B50" s="4" t="str">
        <v>AfricaRice</v>
      </c>
      <c r="C50" s="4" t="str">
        <v>Guatemala</v>
      </c>
      <c r="D50" s="5">
        <v>1.88</v>
      </c>
      <c r="E50" s="4">
        <v>181</v>
      </c>
    </row>
    <row r="51" ht="45" customHeight="1">
      <c r="A51" s="4" t="str">
        <v>AOW05: Strengthening Capacity for In Situ and Ex Situ Conservation Globally</v>
      </c>
      <c r="B51" s="4" t="str">
        <v>AfricaRice</v>
      </c>
      <c r="C51" s="4" t="str">
        <v>Honduras</v>
      </c>
      <c r="D51" s="5">
        <v>1.88</v>
      </c>
      <c r="E51" s="4">
        <v>163</v>
      </c>
    </row>
    <row r="52" ht="45" customHeight="1">
      <c r="A52" s="4" t="str">
        <v>AOW05: Strengthening Capacity for In Situ and Ex Situ Conservation Globally</v>
      </c>
      <c r="B52" s="4" t="str">
        <v>AfricaRice</v>
      </c>
      <c r="C52" s="4" t="str">
        <v>India</v>
      </c>
      <c r="D52" s="5">
        <v>1.88</v>
      </c>
      <c r="E52" s="4">
        <v>40</v>
      </c>
    </row>
    <row r="53" ht="45" customHeight="1">
      <c r="A53" s="4" t="str">
        <v>AOW05: Strengthening Capacity for In Situ and Ex Situ Conservation Globally</v>
      </c>
      <c r="B53" s="4" t="str">
        <v>AfricaRice</v>
      </c>
      <c r="C53" s="4" t="str">
        <v>Indonesia</v>
      </c>
      <c r="D53" s="5">
        <v>1.88</v>
      </c>
      <c r="E53" s="4">
        <v>167</v>
      </c>
    </row>
    <row r="54" ht="45" customHeight="1">
      <c r="A54" s="4" t="str">
        <v>AOW05: Strengthening Capacity for In Situ and Ex Situ Conservation Globally</v>
      </c>
      <c r="B54" s="4" t="str">
        <v>AfricaRice</v>
      </c>
      <c r="C54" s="4" t="str">
        <v>Kenya</v>
      </c>
      <c r="D54" s="5">
        <v>1.88</v>
      </c>
      <c r="E54" s="4">
        <v>159</v>
      </c>
    </row>
    <row r="55" ht="45" customHeight="1">
      <c r="A55" s="4" t="str">
        <v>AOW05: Strengthening Capacity for In Situ and Ex Situ Conservation Globally</v>
      </c>
      <c r="B55" s="4" t="str">
        <v>AfricaRice</v>
      </c>
      <c r="C55" s="4" t="str">
        <v>Lao People's Democratic Republic</v>
      </c>
      <c r="D55" s="5">
        <v>1.88</v>
      </c>
      <c r="E55" s="4">
        <v>164</v>
      </c>
    </row>
    <row r="56" ht="45" customHeight="1">
      <c r="A56" s="4" t="str">
        <v>AOW05: Strengthening Capacity for In Situ and Ex Situ Conservation Globally</v>
      </c>
      <c r="B56" s="4" t="str">
        <v>AfricaRice</v>
      </c>
      <c r="C56" s="4" t="str">
        <v>Lebanon</v>
      </c>
      <c r="D56" s="5">
        <v>1.88</v>
      </c>
      <c r="E56" s="4">
        <v>41</v>
      </c>
    </row>
    <row r="57" ht="45" customHeight="1">
      <c r="A57" s="4" t="str">
        <v>AOW05: Strengthening Capacity for In Situ and Ex Situ Conservation Globally</v>
      </c>
      <c r="B57" s="4" t="str">
        <v>AfricaRice</v>
      </c>
      <c r="C57" s="4" t="str">
        <v>Lesotho</v>
      </c>
      <c r="D57" s="5">
        <v>1</v>
      </c>
      <c r="E57" s="4">
        <v>885</v>
      </c>
    </row>
    <row r="58" ht="45" customHeight="1">
      <c r="A58" s="4" t="str">
        <v>AOW05: Strengthening Capacity for In Situ and Ex Situ Conservation Globally</v>
      </c>
      <c r="B58" s="4" t="str">
        <v>AfricaRice</v>
      </c>
      <c r="C58" s="4" t="str">
        <v>Madagascar</v>
      </c>
      <c r="D58" s="5">
        <v>1</v>
      </c>
      <c r="E58" s="4">
        <v>42</v>
      </c>
    </row>
    <row r="59" ht="45" customHeight="1">
      <c r="A59" s="4" t="str">
        <v>AOW05: Strengthening Capacity for In Situ and Ex Situ Conservation Globally</v>
      </c>
      <c r="B59" s="4" t="str">
        <v>AfricaRice</v>
      </c>
      <c r="C59" s="4" t="str">
        <v>Malawi</v>
      </c>
      <c r="D59" s="5">
        <v>1</v>
      </c>
      <c r="E59" s="4">
        <v>43</v>
      </c>
    </row>
    <row r="60" ht="45" customHeight="1">
      <c r="A60" s="4" t="str">
        <v>AOW05: Strengthening Capacity for In Situ and Ex Situ Conservation Globally</v>
      </c>
      <c r="B60" s="4" t="str">
        <v>AfricaRice</v>
      </c>
      <c r="C60" s="4" t="str">
        <v>Mali</v>
      </c>
      <c r="D60" s="5">
        <v>1.88</v>
      </c>
      <c r="E60" s="4">
        <v>44</v>
      </c>
    </row>
    <row r="61" ht="45" customHeight="1">
      <c r="A61" s="4" t="str">
        <v>AOW05: Strengthening Capacity for In Situ and Ex Situ Conservation Globally</v>
      </c>
      <c r="B61" s="4" t="str">
        <v>AfricaRice</v>
      </c>
      <c r="C61" s="4" t="str">
        <v>Mauritius</v>
      </c>
      <c r="D61" s="5">
        <v>1</v>
      </c>
      <c r="E61" s="4">
        <v>886</v>
      </c>
    </row>
    <row r="62" ht="45" customHeight="1">
      <c r="A62" s="4" t="str">
        <v>AOW05: Strengthening Capacity for In Situ and Ex Situ Conservation Globally</v>
      </c>
      <c r="B62" s="4" t="str">
        <v>AfricaRice</v>
      </c>
      <c r="C62" s="4" t="str">
        <v>Mexico</v>
      </c>
      <c r="D62" s="5">
        <v>1.88</v>
      </c>
      <c r="E62" s="4">
        <v>45</v>
      </c>
    </row>
    <row r="63" ht="45" customHeight="1">
      <c r="A63" s="4" t="str">
        <v>AOW05: Strengthening Capacity for In Situ and Ex Situ Conservation Globally</v>
      </c>
      <c r="B63" s="4" t="str">
        <v>AfricaRice</v>
      </c>
      <c r="C63" s="4" t="str">
        <v>Morocco</v>
      </c>
      <c r="D63" s="5">
        <v>1.88</v>
      </c>
      <c r="E63" s="4">
        <v>46</v>
      </c>
    </row>
    <row r="64" ht="45" customHeight="1">
      <c r="A64" s="4" t="str">
        <v>AOW05: Strengthening Capacity for In Situ and Ex Situ Conservation Globally</v>
      </c>
      <c r="B64" s="4" t="str">
        <v>AfricaRice</v>
      </c>
      <c r="C64" s="4" t="str">
        <v>Namibia</v>
      </c>
      <c r="D64" s="5">
        <v>1.12</v>
      </c>
      <c r="E64" s="4">
        <v>887</v>
      </c>
    </row>
    <row r="65" ht="45" customHeight="1">
      <c r="A65" s="4" t="str">
        <v>AOW05: Strengthening Capacity for In Situ and Ex Situ Conservation Globally</v>
      </c>
      <c r="B65" s="4" t="str">
        <v>AfricaRice</v>
      </c>
      <c r="C65" s="4" t="str">
        <v>Niger</v>
      </c>
      <c r="D65" s="5">
        <v>1.88</v>
      </c>
      <c r="E65" s="4">
        <v>47</v>
      </c>
    </row>
    <row r="66" ht="45" customHeight="1">
      <c r="A66" s="4" t="str">
        <v>AOW05: Strengthening Capacity for In Situ and Ex Situ Conservation Globally</v>
      </c>
      <c r="B66" s="4" t="str">
        <v>AfricaRice</v>
      </c>
      <c r="C66" s="4" t="str">
        <v>Nigeria</v>
      </c>
      <c r="D66" s="5">
        <v>1.88</v>
      </c>
      <c r="E66" s="4">
        <v>48</v>
      </c>
    </row>
    <row r="67" ht="45" customHeight="1">
      <c r="A67" s="4" t="str">
        <v>AOW05: Strengthening Capacity for In Situ and Ex Situ Conservation Globally</v>
      </c>
      <c r="B67" s="4" t="str">
        <v>AfricaRice</v>
      </c>
      <c r="C67" s="4" t="str">
        <v>Pakistan</v>
      </c>
      <c r="D67" s="5">
        <v>1.88</v>
      </c>
      <c r="E67" s="4">
        <v>49</v>
      </c>
    </row>
    <row r="68" ht="45" customHeight="1">
      <c r="A68" s="4" t="str">
        <v>AOW05: Strengthening Capacity for In Situ and Ex Situ Conservation Globally</v>
      </c>
      <c r="B68" s="4" t="str">
        <v>AfricaRice</v>
      </c>
      <c r="C68" s="4" t="str">
        <v>Panama</v>
      </c>
      <c r="D68" s="5">
        <v>1.88</v>
      </c>
      <c r="E68" s="4">
        <v>175</v>
      </c>
    </row>
    <row r="69" ht="45" customHeight="1">
      <c r="A69" s="4" t="str">
        <v>AOW05: Strengthening Capacity for In Situ and Ex Situ Conservation Globally</v>
      </c>
      <c r="B69" s="4" t="str">
        <v>AfricaRice</v>
      </c>
      <c r="C69" s="4" t="str">
        <v>Papua New Guinea</v>
      </c>
      <c r="D69" s="5">
        <v>1.88</v>
      </c>
      <c r="E69" s="4">
        <v>50</v>
      </c>
    </row>
    <row r="70" ht="45" customHeight="1">
      <c r="A70" s="4" t="str">
        <v>AOW05: Strengthening Capacity for In Situ and Ex Situ Conservation Globally</v>
      </c>
      <c r="B70" s="4" t="str">
        <v>AfricaRice</v>
      </c>
      <c r="C70" s="4" t="str">
        <v>Paraguay</v>
      </c>
      <c r="D70" s="5">
        <v>1.87</v>
      </c>
      <c r="E70" s="4">
        <v>172</v>
      </c>
    </row>
    <row r="71" ht="45" customHeight="1">
      <c r="A71" s="4" t="str">
        <v>AOW05: Strengthening Capacity for In Situ and Ex Situ Conservation Globally</v>
      </c>
      <c r="B71" s="4" t="str">
        <v>AfricaRice</v>
      </c>
      <c r="C71" s="4" t="str">
        <v>Peru</v>
      </c>
      <c r="D71" s="5">
        <v>1.88</v>
      </c>
      <c r="E71" s="4">
        <v>51</v>
      </c>
    </row>
    <row r="72" ht="45" customHeight="1">
      <c r="A72" s="4" t="str">
        <v>AOW05: Strengthening Capacity for In Situ and Ex Situ Conservation Globally</v>
      </c>
      <c r="B72" s="4" t="str">
        <v>AfricaRice</v>
      </c>
      <c r="C72" s="4" t="str">
        <v>Philippines</v>
      </c>
      <c r="D72" s="5">
        <v>1.88</v>
      </c>
      <c r="E72" s="4">
        <v>52</v>
      </c>
    </row>
    <row r="73" ht="45" customHeight="1">
      <c r="A73" s="4" t="str">
        <v>AOW05: Strengthening Capacity for In Situ and Ex Situ Conservation Globally</v>
      </c>
      <c r="B73" s="4" t="str">
        <v>AfricaRice</v>
      </c>
      <c r="C73" s="4" t="str">
        <v>Rwanda</v>
      </c>
      <c r="D73" s="5">
        <v>1.88</v>
      </c>
      <c r="E73" s="4">
        <v>170</v>
      </c>
    </row>
    <row r="74" ht="45" customHeight="1">
      <c r="A74" s="4" t="str">
        <v>AOW05: Strengthening Capacity for In Situ and Ex Situ Conservation Globally</v>
      </c>
      <c r="B74" s="4" t="str">
        <v>AfricaRice</v>
      </c>
      <c r="C74" s="4" t="str">
        <v>Senegal</v>
      </c>
      <c r="D74" s="5">
        <v>1.88</v>
      </c>
      <c r="E74" s="4">
        <v>179</v>
      </c>
    </row>
    <row r="75" ht="45" customHeight="1">
      <c r="A75" s="4" t="str">
        <v>AOW05: Strengthening Capacity for In Situ and Ex Situ Conservation Globally</v>
      </c>
      <c r="B75" s="4" t="str">
        <v>AfricaRice</v>
      </c>
      <c r="C75" s="4" t="str">
        <v>Somalia</v>
      </c>
      <c r="D75" s="5">
        <v>2</v>
      </c>
      <c r="E75" s="4">
        <v>760</v>
      </c>
    </row>
    <row r="76" ht="45" customHeight="1">
      <c r="A76" s="4" t="str">
        <v>AOW05: Strengthening Capacity for In Situ and Ex Situ Conservation Globally</v>
      </c>
      <c r="B76" s="4" t="str">
        <v>AfricaRice</v>
      </c>
      <c r="C76" s="4" t="str">
        <v>South Sudan</v>
      </c>
      <c r="D76" s="5">
        <v>1.88</v>
      </c>
      <c r="E76" s="4">
        <v>132</v>
      </c>
    </row>
    <row r="77" ht="45" customHeight="1">
      <c r="A77" s="4" t="str">
        <v>AOW05: Strengthening Capacity for In Situ and Ex Situ Conservation Globally</v>
      </c>
      <c r="B77" s="4" t="str">
        <v>AfricaRice</v>
      </c>
      <c r="C77" s="4" t="str">
        <v>Suriname</v>
      </c>
      <c r="D77" s="5">
        <v>3.22</v>
      </c>
      <c r="E77" s="4">
        <v>759</v>
      </c>
    </row>
    <row r="78" ht="45" customHeight="1">
      <c r="A78" s="4" t="str">
        <v>AOW05: Strengthening Capacity for In Situ and Ex Situ Conservation Globally</v>
      </c>
      <c r="B78" s="4" t="str">
        <v>AfricaRice</v>
      </c>
      <c r="C78" s="4" t="str">
        <v>Tanzania</v>
      </c>
      <c r="D78" s="5">
        <v>1.5</v>
      </c>
      <c r="E78" s="4">
        <v>161</v>
      </c>
    </row>
    <row r="79" ht="45" customHeight="1">
      <c r="A79" s="4" t="str">
        <v>AOW05: Strengthening Capacity for In Situ and Ex Situ Conservation Globally</v>
      </c>
      <c r="B79" s="4" t="str">
        <v>AfricaRice</v>
      </c>
      <c r="C79" s="4" t="str">
        <v>The Democratic Republic of the Congo</v>
      </c>
      <c r="D79" s="5">
        <v>1.58</v>
      </c>
      <c r="E79" s="4">
        <v>131</v>
      </c>
    </row>
    <row r="80" ht="45" customHeight="1">
      <c r="A80" s="4" t="str">
        <v>AOW05: Strengthening Capacity for In Situ and Ex Situ Conservation Globally</v>
      </c>
      <c r="B80" s="4" t="str">
        <v>AfricaRice</v>
      </c>
      <c r="C80" s="4" t="str">
        <v>The Socialist Republic of Viet Nam</v>
      </c>
      <c r="D80" s="5">
        <v>2.02</v>
      </c>
      <c r="E80" s="4">
        <v>166</v>
      </c>
    </row>
    <row r="81" ht="45" customHeight="1">
      <c r="A81" s="4" t="str">
        <v>AOW05: Strengthening Capacity for In Situ and Ex Situ Conservation Globally</v>
      </c>
      <c r="B81" s="4" t="str">
        <v>AfricaRice</v>
      </c>
      <c r="C81" s="4" t="str">
        <v>Togo</v>
      </c>
      <c r="D81" s="5">
        <v>2</v>
      </c>
      <c r="E81" s="4">
        <v>53</v>
      </c>
    </row>
    <row r="82" ht="45" customHeight="1">
      <c r="A82" s="4" t="str">
        <v>AOW05: Strengthening Capacity for In Situ and Ex Situ Conservation Globally</v>
      </c>
      <c r="B82" s="4" t="str">
        <v>AfricaRice</v>
      </c>
      <c r="C82" s="4" t="str">
        <v>Uganda</v>
      </c>
      <c r="D82" s="5">
        <v>1.88</v>
      </c>
      <c r="E82" s="4">
        <v>171</v>
      </c>
    </row>
    <row r="83" ht="45" customHeight="1">
      <c r="A83" s="4" t="str">
        <v>AOW05: Strengthening Capacity for In Situ and Ex Situ Conservation Globally</v>
      </c>
      <c r="B83" s="4" t="str">
        <v>AfricaRice</v>
      </c>
      <c r="C83" s="4" t="str">
        <v>United Republic</v>
      </c>
      <c r="D83" s="5">
        <v>0</v>
      </c>
      <c r="E83" s="4">
        <v>178</v>
      </c>
    </row>
    <row r="84" ht="45" customHeight="1">
      <c r="A84" s="4" t="str">
        <v>AOW05: Strengthening Capacity for In Situ and Ex Situ Conservation Globally</v>
      </c>
      <c r="B84" s="4" t="str">
        <v>AfricaRice</v>
      </c>
      <c r="C84" s="4" t="str">
        <v>Uruguay</v>
      </c>
      <c r="D84" s="5">
        <v>1.88</v>
      </c>
      <c r="E84" s="4">
        <v>177</v>
      </c>
    </row>
    <row r="85" ht="45" customHeight="1">
      <c r="A85" s="4" t="str">
        <v>AOW05: Strengthening Capacity for In Situ and Ex Situ Conservation Globally</v>
      </c>
      <c r="B85" s="4" t="str">
        <v>AfricaRice</v>
      </c>
      <c r="C85" s="4" t="str">
        <v>Zambia</v>
      </c>
      <c r="D85" s="5">
        <v>1.88</v>
      </c>
      <c r="E85" s="4">
        <v>169</v>
      </c>
    </row>
    <row r="86" ht="45" customHeight="1">
      <c r="A86" s="4" t="str">
        <v>AOW05: Strengthening Capacity for In Situ and Ex Situ Conservation Globally</v>
      </c>
      <c r="B86" s="4" t="str">
        <v>AfricaRice</v>
      </c>
      <c r="C86" s="4" t="str">
        <v>Zimbabwe</v>
      </c>
      <c r="D86" s="5">
        <v>1.88</v>
      </c>
      <c r="E86" s="4">
        <v>54</v>
      </c>
    </row>
  </sheetData>
  <mergeCells count="5">
    <mergeCell ref="A2"/>
    <mergeCell ref="A3:A14"/>
    <mergeCell ref="A15"/>
    <mergeCell ref="A16:A27"/>
    <mergeCell ref="A28:A86"/>
  </mergeCells>
  <ignoredErrors>
    <ignoredError numberStoredAsText="1" sqref="A1:E86"/>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116</v>
      </c>
    </row>
    <row r="3" ht="45" customHeight="1">
      <c r="A3" s="8" t="str">
        <v>AOW01: Biodiversity Conservation</v>
      </c>
      <c r="B3" s="4" t="str">
        <v>AfricaRice</v>
      </c>
      <c r="C3" s="4" t="str">
        <v>Global</v>
      </c>
      <c r="D3" s="4" t="str">
        <v>global</v>
      </c>
      <c r="E3" s="5">
        <v>100</v>
      </c>
      <c r="F3" s="4">
        <v>95</v>
      </c>
    </row>
    <row r="4" ht="45" customHeight="1">
      <c r="A4" s="8" t="str">
        <v>AOW02: Strategic User Engagement</v>
      </c>
      <c r="B4" s="4" t="str">
        <v>AfricaRice</v>
      </c>
      <c r="C4" s="4" t="str">
        <v>Global</v>
      </c>
      <c r="D4" s="4" t="str">
        <v>global</v>
      </c>
      <c r="E4" s="5">
        <v>100</v>
      </c>
      <c r="F4" s="4">
        <v>117</v>
      </c>
    </row>
    <row r="5" ht="45" customHeight="1">
      <c r="A5" s="8" t="str">
        <v>AOW04: Germplasm Health</v>
      </c>
      <c r="B5" s="4" t="str">
        <v>AfricaRice</v>
      </c>
      <c r="C5" s="4" t="str">
        <v>Global</v>
      </c>
      <c r="D5" s="4" t="str">
        <v>global</v>
      </c>
      <c r="E5" s="5">
        <v>100</v>
      </c>
      <c r="F5" s="4">
        <v>118</v>
      </c>
    </row>
    <row r="6" ht="45" customHeight="1">
      <c r="A6" s="8" t="str">
        <v>AOW05: Strengthening Capacity for In Situ and Ex Situ Conservation Globally</v>
      </c>
      <c r="B6" s="4" t="str">
        <v>AfricaRice</v>
      </c>
      <c r="C6" s="4" t="str">
        <v>Global</v>
      </c>
      <c r="D6" s="4" t="str">
        <v>global</v>
      </c>
      <c r="E6" s="5">
        <v>100</v>
      </c>
      <c r="F6" s="4">
        <v>119</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