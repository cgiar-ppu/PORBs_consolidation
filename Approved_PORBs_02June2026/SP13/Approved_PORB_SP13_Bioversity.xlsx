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593943</v>
      </c>
      <c r="K4" s="5">
        <v>593943</v>
      </c>
      <c r="L4" s="5">
        <v>0</v>
      </c>
      <c r="M4" s="5">
        <v>0</v>
      </c>
      <c r="N4" s="4">
        <v>225</v>
      </c>
    </row>
    <row r="5" ht="20" customHeight="1">
      <c r="A5" s="4" t="str">
        <v>AOW01: Biodiversity Conservation</v>
      </c>
      <c r="B5" s="5">
        <v>4</v>
      </c>
      <c r="C5" s="5">
        <v>140000</v>
      </c>
      <c r="D5" s="5">
        <v>3</v>
      </c>
      <c r="E5" s="5">
        <v>30000</v>
      </c>
      <c r="F5" s="5">
        <v>0</v>
      </c>
      <c r="G5" s="5">
        <v>0</v>
      </c>
      <c r="H5" s="5">
        <v>652</v>
      </c>
      <c r="I5" s="5">
        <v>1804670</v>
      </c>
      <c r="J5" s="5">
        <v>1974670</v>
      </c>
      <c r="K5" s="5">
        <v>1974670</v>
      </c>
      <c r="L5" s="5">
        <v>659000</v>
      </c>
      <c r="M5" s="5">
        <v>0</v>
      </c>
      <c r="N5" s="4">
        <v>220</v>
      </c>
    </row>
    <row r="6" ht="20" customHeight="1">
      <c r="A6" s="4" t="str">
        <v>AOW02: Strategic User Engagement</v>
      </c>
      <c r="B6" s="5">
        <v>2</v>
      </c>
      <c r="C6" s="5">
        <v>7500</v>
      </c>
      <c r="D6" s="5">
        <v>1</v>
      </c>
      <c r="E6" s="5">
        <v>10000</v>
      </c>
      <c r="F6" s="5">
        <v>0</v>
      </c>
      <c r="G6" s="5">
        <v>0</v>
      </c>
      <c r="H6" s="5">
        <v>2</v>
      </c>
      <c r="I6" s="5">
        <v>12500</v>
      </c>
      <c r="J6" s="5">
        <v>30000</v>
      </c>
      <c r="K6" s="5">
        <v>30000</v>
      </c>
      <c r="L6" s="5">
        <v>0</v>
      </c>
      <c r="M6" s="5">
        <v>0</v>
      </c>
      <c r="N6" s="4">
        <v>223</v>
      </c>
    </row>
    <row r="7" ht="20" customHeight="1">
      <c r="A7" s="4" t="str">
        <v>AOW03: Genetic Resources Policy</v>
      </c>
      <c r="B7" s="5">
        <v>0</v>
      </c>
      <c r="C7" s="5">
        <v>0</v>
      </c>
      <c r="D7" s="5">
        <v>19</v>
      </c>
      <c r="E7" s="5">
        <v>375000</v>
      </c>
      <c r="F7" s="5">
        <v>60</v>
      </c>
      <c r="G7" s="5">
        <v>150000</v>
      </c>
      <c r="H7" s="5">
        <v>38</v>
      </c>
      <c r="I7" s="5">
        <v>425000</v>
      </c>
      <c r="J7" s="5">
        <v>950000</v>
      </c>
      <c r="K7" s="5">
        <v>950000</v>
      </c>
      <c r="L7" s="5">
        <v>8000</v>
      </c>
      <c r="M7" s="5">
        <v>0</v>
      </c>
      <c r="N7" s="4">
        <v>221</v>
      </c>
    </row>
    <row r="8" ht="20" customHeight="1">
      <c r="A8" s="4" t="str">
        <v>AOW04: Germplasm Health</v>
      </c>
      <c r="B8" s="5">
        <v>2</v>
      </c>
      <c r="C8" s="5">
        <v>80000</v>
      </c>
      <c r="D8" s="5">
        <v>2</v>
      </c>
      <c r="E8" s="5">
        <v>20000</v>
      </c>
      <c r="F8" s="5">
        <v>0</v>
      </c>
      <c r="G8" s="5">
        <v>0</v>
      </c>
      <c r="H8" s="5">
        <v>83</v>
      </c>
      <c r="I8" s="5">
        <v>55000</v>
      </c>
      <c r="J8" s="5">
        <v>155000</v>
      </c>
      <c r="K8" s="5">
        <v>155000</v>
      </c>
      <c r="L8" s="5">
        <v>134783</v>
      </c>
      <c r="M8" s="5">
        <v>0</v>
      </c>
      <c r="N8" s="4">
        <v>224</v>
      </c>
    </row>
    <row r="9" ht="20" customHeight="1">
      <c r="A9" s="4" t="str">
        <v>AOW05: Strengthening Capacity for In Situ and Ex Situ Conservation Globally</v>
      </c>
      <c r="B9" s="5">
        <v>0</v>
      </c>
      <c r="C9" s="5">
        <v>0</v>
      </c>
      <c r="D9" s="5">
        <v>2</v>
      </c>
      <c r="E9" s="5">
        <v>170000</v>
      </c>
      <c r="F9" s="5">
        <v>210</v>
      </c>
      <c r="G9" s="5">
        <v>82000</v>
      </c>
      <c r="H9" s="5">
        <v>0</v>
      </c>
      <c r="I9" s="5">
        <v>0</v>
      </c>
      <c r="J9" s="5">
        <v>252000</v>
      </c>
      <c r="K9" s="5">
        <v>252000</v>
      </c>
      <c r="L9" s="5">
        <v>125000</v>
      </c>
      <c r="M9" s="5">
        <v>0</v>
      </c>
      <c r="N9" s="4">
        <v>222</v>
      </c>
    </row>
    <row r="10" ht="25" customHeight="1">
      <c r="A10" s="6" t="str">
        <v>Total</v>
      </c>
      <c r="B10" s="7" t="str">
        <v/>
      </c>
      <c r="C10" s="7">
        <v>227500</v>
      </c>
      <c r="D10" s="7" t="str">
        <v/>
      </c>
      <c r="E10" s="7">
        <v>605000</v>
      </c>
      <c r="F10" s="7" t="str">
        <v/>
      </c>
      <c r="G10" s="7">
        <v>232000</v>
      </c>
      <c r="H10" s="7" t="str">
        <v/>
      </c>
      <c r="I10" s="7">
        <v>2297170</v>
      </c>
      <c r="J10" s="7">
        <v>3955613</v>
      </c>
      <c r="K10" s="7">
        <v>3955613</v>
      </c>
      <c r="L10" s="7">
        <v>926783</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Bioversity (Alliance)</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75000</v>
      </c>
      <c r="I3" s="4" t="str" xml:space="preserve">
        <v xml:space="preserve">Personnel costs based on standard organizational salary scales.
</v>
      </c>
      <c r="J3" s="4">
        <v>6492</v>
      </c>
    </row>
    <row r="4" ht="50" customHeight="1" xml:space="preserve">
      <c r="B4" s="4" t="str">
        <v>Bioversity (Alliance)</v>
      </c>
      <c r="D4" s="4" t="str">
        <v>1.1.4. Quality Management System (QMS) elements in place</v>
      </c>
      <c r="E4" s="4" t="str">
        <v>custom</v>
      </c>
      <c r="F4" s="4" t="str">
        <v>Morocco, India, Ethiopia, Belgium, Philippines, Colombia, Lebanon, Peru, Côte d'Ivoire, Mexico, Nigeria</v>
      </c>
      <c r="G4" s="5">
        <v>39</v>
      </c>
      <c r="H4" s="5">
        <v>102316</v>
      </c>
      <c r="I4" s="4" t="str" xml:space="preserve">
        <v xml:space="preserve">Due to the recent move to a new genebank building, almost all SOPs need to be comprehensively updated. To safe time and money, we will focus on the Spanish versions (the native tongue of SOP owners) and will use LLMs to translate into English.
</v>
      </c>
      <c r="J4" s="4">
        <v>6515</v>
      </c>
    </row>
    <row r="5" ht="50" customHeight="1" xml:space="preserve">
      <c r="B5" s="4" t="str">
        <v>Bioversity (Alliance)</v>
      </c>
      <c r="D5" s="4" t="str">
        <v>1.1.3. Clonal accessions managed at CGIAR genebanks safety duplicated at one site</v>
      </c>
      <c r="E5" s="4" t="str">
        <v>custom</v>
      </c>
      <c r="F5" s="4" t="str">
        <v>Bangladesh, Zambia, Madagascar, Niger, Zimbabwe, India, Papua New Guinea, Pakistan, Philippines, Malaysia, Ethiopia, France, Peru, Belgium, Mexico, Benin, Germany, Colombia, Nigeria</v>
      </c>
      <c r="G5" s="5">
        <v>96</v>
      </c>
      <c r="H5" s="5">
        <v>50000</v>
      </c>
      <c r="I5" s="4" t="str" xml:space="preserve">
        <v xml:space="preserve">Personnel costs based on standard organizational salary scales.
</v>
      </c>
      <c r="J5" s="4">
        <v>6535</v>
      </c>
    </row>
    <row r="6" ht="50" customHeight="1" xml:space="preserve">
      <c r="B6" s="4" t="str">
        <v>Bioversity (Alliance)</v>
      </c>
      <c r="D6" s="4" t="str">
        <v xml:space="preserve">1.1.7. Technically and legally feasible germplasm requests to CGIAR genebanks that are successfully fulfilled </v>
      </c>
      <c r="E6" s="4" t="str">
        <v>custom</v>
      </c>
      <c r="F6" s="4" t="str">
        <v>Philippines, India, Ethiopia, Mexico, Nigeria, Morocco, Colombia, Belgium, Lebanon, Peru, Côte d'Ivoire</v>
      </c>
      <c r="G6" s="5">
        <v>90</v>
      </c>
      <c r="H6" s="5">
        <v>75000</v>
      </c>
      <c r="I6" s="4" t="str" xml:space="preserve">
        <v xml:space="preserve">Personnel costs based on standard organizational salary scales.
</v>
      </c>
      <c r="J6" s="4">
        <v>7153</v>
      </c>
    </row>
    <row r="7" ht="50" customHeight="1">
      <c r="B7" s="4" t="str">
        <v>Bioversity (Alliance)</v>
      </c>
      <c r="D7" s="4" t="str">
        <v>1.1.8. CGIAR genebank staff trained in areas related to genebank management, conservation, and data management.</v>
      </c>
      <c r="E7" s="4" t="str">
        <v>Number of people trained (capacity sharing for development)</v>
      </c>
      <c r="F7" s="4" t="str">
        <v>Belgium, India, Lebanon, Côte d'Ivoire, Mexico, Nigeria, Morocco, Ethiopia, Colombia, Philippines, Peru</v>
      </c>
      <c r="G7" s="5">
        <v>2</v>
      </c>
      <c r="H7" s="5">
        <v>0</v>
      </c>
      <c r="I7" s="4" t="str">
        <v/>
      </c>
      <c r="J7" s="4">
        <v>7172</v>
      </c>
    </row>
    <row r="8" ht="50" customHeight="1">
      <c r="B8" s="4" t="str">
        <v>Bioversity (Alliance)</v>
      </c>
      <c r="D8" s="4" t="str">
        <v>1.1.5. Crop collections reach and sustain genebank performance targets (90% availability, safety duplication, documentation and Quality Management System (QMS))</v>
      </c>
      <c r="E8" s="4" t="str">
        <v>custom</v>
      </c>
      <c r="F8" s="4" t="str">
        <v>Philippines, Colombia, Côte d'Ivoire, Mexico, India, Nigeria</v>
      </c>
      <c r="G8" s="5">
        <v>0</v>
      </c>
      <c r="H8" s="5">
        <v>0</v>
      </c>
      <c r="I8" s="4" t="str">
        <v/>
      </c>
      <c r="J8" s="4">
        <v>7718</v>
      </c>
    </row>
    <row r="9" ht="50" customHeight="1">
      <c r="B9" s="4" t="str">
        <v>Bioversity (Alliance)</v>
      </c>
      <c r="D9" s="4" t="str">
        <v xml:space="preserve">1.1.1. Accessions made available for global distribution from CGIAR genebanks </v>
      </c>
      <c r="E9" s="4" t="str">
        <v>custom</v>
      </c>
      <c r="F9" s="4" t="str">
        <v>Philippines, India, Lebanon, Morocco, Belgium, Peru, Ethiopia, Nigeria, Mexico, Colombia, Côte d'Ivoire</v>
      </c>
      <c r="G9" s="5">
        <v>72</v>
      </c>
      <c r="H9" s="5">
        <v>990000</v>
      </c>
      <c r="I9" s="4" t="str">
        <v xml:space="preserve">Personal costs according to agreed organizational scales. </v>
      </c>
      <c r="J9" s="4">
        <v>8100</v>
      </c>
    </row>
    <row r="10" ht="50" customHeight="1" xml:space="preserve">
      <c r="A10" s="4" t="str">
        <v>AOW01: Biodiversity Conservation</v>
      </c>
      <c r="B10" s="4" t="str">
        <v>Bioversity (Alliance)</v>
      </c>
      <c r="C10" s="4" t="str">
        <v>1.2. Innovations to enhance the efficiency of conserving collections</v>
      </c>
      <c r="D10" s="4" t="str">
        <v>1.2.5 Journal articles related to innovations and improvements to conservation published each year</v>
      </c>
      <c r="E10" s="4" t="str">
        <v>Number of knowledge products</v>
      </c>
      <c r="F10" s="4" t="str">
        <v>Ethiopia, Belgium, Philippines, Lebanon, Morocco, Colombia, Peru, Nigeria, India, Mexico, Côte d'Ivoire</v>
      </c>
      <c r="G10" s="5">
        <v>2</v>
      </c>
      <c r="H10" s="5">
        <v>20000</v>
      </c>
      <c r="I10" s="4" t="str" xml:space="preserve">
        <v xml:space="preserve">The coconut publication is delayed due to time constraints  
</v>
      </c>
      <c r="J10" s="4">
        <v>6536</v>
      </c>
    </row>
    <row r="11" ht="50" customHeight="1" xml:space="preserve">
      <c r="B11" s="4" t="str">
        <v>Bioversity (Alliance)</v>
      </c>
      <c r="D11" s="4" t="str">
        <v>1.2.3. Clonal accessions managed at CGIAR genebanks cryopreserved</v>
      </c>
      <c r="E11" s="4" t="str">
        <v>custom</v>
      </c>
      <c r="F11" s="4" t="str">
        <v>Peru, Colombia, Belgium, Nigeria</v>
      </c>
      <c r="G11" s="5">
        <v>85</v>
      </c>
      <c r="H11" s="5">
        <v>120000</v>
      </c>
      <c r="I11" s="4" t="str" xml:space="preserve">
        <v xml:space="preserve">Not enough material meeting the criteria (health status and TTT status) for cryo directly availble. Mitigation : closely follow up with GHU and partners to obtain the neccesary results.  
</v>
      </c>
      <c r="J11" s="4">
        <v>6549</v>
      </c>
    </row>
    <row r="12" ht="50" customHeight="1" xml:space="preserve">
      <c r="B12" s="4" t="str">
        <v>Bioversity (Alliance)</v>
      </c>
      <c r="D12" s="4" t="str">
        <v>1.2.4. New or improved protocols to enhance the efficiency of conservation or to increase the availability of accessions</v>
      </c>
      <c r="E12" s="4" t="str">
        <v>Number of innovations (innovation development)</v>
      </c>
      <c r="F12" s="4" t="str">
        <v>Philippines, Peru, Ethiopia, Mexico, Colombia, Morocco, Lebanon, India, Nigeria, Belgium, Côte d'Ivoire</v>
      </c>
      <c r="G12" s="5">
        <v>3</v>
      </c>
      <c r="H12" s="5">
        <v>100000</v>
      </c>
      <c r="I12" s="4" t="str" xml:space="preserve">
        <v xml:space="preserve">Limited resources: Mitigation: attract KULeuven master students and interns
</v>
      </c>
      <c r="J12" s="4">
        <v>6565</v>
      </c>
    </row>
    <row r="13" ht="50" customHeight="1" xml:space="preserve">
      <c r="B13" s="4" t="str">
        <v>Bioversity (Alliance)</v>
      </c>
      <c r="D13" s="4" t="str">
        <v>1.2.2 Taxa (genus) for which new viability testing protocols  are developed each year</v>
      </c>
      <c r="E13" s="4" t="str">
        <v>Number of innovations (innovation development)</v>
      </c>
      <c r="F13" s="4" t="str">
        <v>Nigeria, Belgium, Côte d'Ivoire, Philippines, Morocco, Ethiopia, Colombia, Lebanon, India, Peru</v>
      </c>
      <c r="G13" s="5">
        <v>1</v>
      </c>
      <c r="H13" s="5">
        <v>40000</v>
      </c>
      <c r="I13" s="4" t="str" xml:space="preserve">
        <v xml:space="preserve">No available seed lots. Mitigation: wild banans are grown in Meise Greenhouse 
.</v>
      </c>
      <c r="J13" s="4">
        <v>6572</v>
      </c>
    </row>
    <row r="14" ht="50" customHeight="1">
      <c r="A14" s="4" t="str">
        <v>AOW01: Biodiversity Conservation</v>
      </c>
      <c r="B14" s="4" t="str">
        <v>Bioversity (Alliance)</v>
      </c>
      <c r="C14" s="4" t="str">
        <v xml:space="preserve">1.3. Optimized collection composition and structure to represent crop gene pools </v>
      </c>
      <c r="D14" s="4" t="str">
        <v>1.3.4. Journal articles related to optimized collections published</v>
      </c>
      <c r="E14" s="4" t="str">
        <v>Number of knowledge products</v>
      </c>
      <c r="F14" s="4" t="str">
        <v>Mexico, Ethiopia, Nigeria, Colombia, Peru, India, Belgium, Côte d'Ivoire</v>
      </c>
      <c r="G14" s="5">
        <v>1</v>
      </c>
      <c r="H14" s="5">
        <v>10000</v>
      </c>
      <c r="I14" s="4" t="str">
        <v>Time constraints</v>
      </c>
      <c r="J14" s="4">
        <v>6587</v>
      </c>
    </row>
    <row r="15" ht="50" customHeight="1">
      <c r="B15" s="4" t="str">
        <v>Bioversity (Alliance)</v>
      </c>
      <c r="D15" s="4" t="str">
        <v xml:space="preserve">1.3.3. Updated document on CGIAR accession management to include criteria and policies for eliminating redundant accessions </v>
      </c>
      <c r="E15" s="4" t="str">
        <v>Number of knowledge products</v>
      </c>
      <c r="F15" s="4" t="str">
        <v/>
      </c>
      <c r="G15" s="5">
        <v>1</v>
      </c>
      <c r="H15" s="5">
        <v>0</v>
      </c>
      <c r="I15" s="4" t="str">
        <v/>
      </c>
      <c r="J15" s="4">
        <v>6594</v>
      </c>
    </row>
    <row r="16" ht="50" customHeight="1" xml:space="preserve">
      <c r="B16" s="4" t="str">
        <v>Bioversity (Alliance)</v>
      </c>
      <c r="D16" s="4" t="str">
        <v>1.3.2. Accessions earmarked as potentially redundant and/or archived each year</v>
      </c>
      <c r="E16" s="4" t="str">
        <v>custom</v>
      </c>
      <c r="F16" s="4" t="str">
        <v>Philippines, Morocco, Belgium, Lebanon, Ethiopia, India, Mexico, Peru, Colombia, Côte d'Ivoire, Nigeria</v>
      </c>
      <c r="G16" s="5">
        <v>25</v>
      </c>
      <c r="H16" s="5">
        <v>15000</v>
      </c>
      <c r="I16" s="4" t="str" xml:space="preserve">
        <v xml:space="preserve">Field characterization/verification is take time because banane is a multi-year crop and we are depneding on partners for this activity 
</v>
      </c>
      <c r="J16" s="4">
        <v>6602</v>
      </c>
    </row>
    <row r="17" ht="50" customHeight="1" xml:space="preserve">
      <c r="B17" s="4" t="str">
        <v>Bioversity (Alliance)</v>
      </c>
      <c r="D17" s="4" t="str">
        <v>1.3.1. New accessions acquired from in/ex situ</v>
      </c>
      <c r="E17" s="4" t="str">
        <v>custom</v>
      </c>
      <c r="F17" s="4" t="str">
        <v>Lebanon, Peru, Colombia, Côte d'Ivoire, Morocco, Belgium, Philippines, Mexico, India, Nigeria</v>
      </c>
      <c r="G17" s="5">
        <v>10</v>
      </c>
      <c r="H17" s="5">
        <v>30000</v>
      </c>
      <c r="I17" s="4" t="str" xml:space="preserve">
        <v xml:space="preserve">Less and less countries are sharing genetic resources to be placed in the MLS. Mitigation : work closer with national collection and enhance collaboration on conservation 
</v>
      </c>
      <c r="J17" s="4">
        <v>6610</v>
      </c>
    </row>
    <row r="18" ht="50" customHeight="1" xml:space="preserve">
      <c r="A18" s="4" t="str">
        <v>AOW01: Biodiversity Conservation</v>
      </c>
      <c r="B18" s="4" t="str">
        <v>Bioversity (Alliance)</v>
      </c>
      <c r="C18" s="4" t="str">
        <v>1.4. Effective and AI-ready data management systems using harmonized data standards across Centers</v>
      </c>
      <c r="D18" s="4" t="str">
        <v xml:space="preserve"> 1.4.2 Average % of genebank processes digitized and being managed using GGCE</v>
      </c>
      <c r="E18" s="4" t="str">
        <v>custom</v>
      </c>
      <c r="F18" s="4" t="str">
        <v>Mexico, Peru, Belgium, Côte d'Ivoire, Ethiopia, Colombia, Nigeria, India</v>
      </c>
      <c r="G18" s="5">
        <v>24</v>
      </c>
      <c r="H18" s="5">
        <v>37250</v>
      </c>
      <c r="I18" s="4" t="str" xml:space="preserve">
        <v xml:space="preserve">Personnel costs based on standard organizational salary scales.
</v>
      </c>
      <c r="J18" s="4">
        <v>6624</v>
      </c>
    </row>
    <row r="19" ht="50" customHeight="1" xml:space="preserve">
      <c r="B19" s="4" t="str">
        <v>Bioversity (Alliance)</v>
      </c>
      <c r="D19" s="4" t="str">
        <v>1.4.3. Datasets uploaded to the GIGWA database to manage molecular accession data</v>
      </c>
      <c r="E19" s="4" t="str">
        <v>custom</v>
      </c>
      <c r="F19" s="4" t="str">
        <v>Morocco, Côte d'Ivoire, Philippines, Belgium, Ethiopia, France, Mexico, India, Peru, Colombia, Lebanon, Nigeria</v>
      </c>
      <c r="G19" s="5">
        <v>1</v>
      </c>
      <c r="H19" s="5">
        <v>290104</v>
      </c>
      <c r="I19" s="4" t="str" xml:space="preserve">
        <v xml:space="preserve">Personnel costs based on standard organizational salary scales.
</v>
      </c>
      <c r="J19" s="4">
        <v>6631</v>
      </c>
    </row>
    <row r="20" ht="50" customHeight="1" xml:space="preserve">
      <c r="B20" s="4" t="str">
        <v>Bioversity (Alliance)</v>
      </c>
      <c r="D20" s="4" t="str">
        <v>1.4.1. Average % of accessions for which all static (passport, characterization, etc.) and dynamic (inventory, viability, etc.) data have been fully curated/validated</v>
      </c>
      <c r="E20" s="4" t="str">
        <v>custom</v>
      </c>
      <c r="F20" s="4" t="str">
        <v>Ethiopia, Colombia, Philippines, Mexico, Belgium, India, Côte d'Ivoire, Lebanon, Morocco, Peru, Nigeria</v>
      </c>
      <c r="G20" s="5">
        <v>77</v>
      </c>
      <c r="H20" s="5">
        <v>10000</v>
      </c>
      <c r="I20" s="4" t="str" xml:space="preserve">
        <v xml:space="preserve">Personnel costs based on standard organizational salary scales.
</v>
      </c>
      <c r="J20" s="4">
        <v>6647</v>
      </c>
    </row>
    <row r="21" ht="50" customHeight="1" xml:space="preserve">
      <c r="B21" s="4" t="str">
        <v>Bioversity (Alliance)</v>
      </c>
      <c r="D21" s="4" t="str">
        <v>1.4.1.a. Average % of accessions for which all up-to-date static (passport, characterization, etc.) data have been migrated to GGCE</v>
      </c>
      <c r="E21" s="4" t="str">
        <v>custom</v>
      </c>
      <c r="F21" s="4" t="str">
        <v>Mexico, Nigeria, Peru, Ethiopia, Belgium, Côte d'Ivoire, Morocco, Philippines, Lebanon, India, Colombia</v>
      </c>
      <c r="G21" s="5">
        <v>33</v>
      </c>
      <c r="H21" s="5">
        <v>10000</v>
      </c>
      <c r="I21" s="4" t="str" xml:space="preserve">
        <v xml:space="preserve">Due to the recent move to a new genebank building, almost all SOPs need to be comprehensively updated. To safe time and money, we will focus on the Spanish versions (the native tongue of SOP owners) and will use LLMs to translate into English.
</v>
      </c>
      <c r="J21" s="4">
        <v>7184</v>
      </c>
    </row>
    <row r="22" ht="25" customHeight="1">
      <c r="C22" s="9" t="str">
        <v>HLO budget subtotal</v>
      </c>
      <c r="H22" s="9">
        <v>1974670</v>
      </c>
      <c r="J22" s="9" t="str">
        <v/>
      </c>
    </row>
    <row r="23" ht="50" customHeight="1">
      <c r="A23" s="8" t="str">
        <v>AOW02: Strategic User Engagement</v>
      </c>
      <c r="B23" s="4" t="str">
        <v>Bioversity (Alliance)</v>
      </c>
      <c r="C23" s="4" t="str">
        <v>2.1. A strategy for proactive engagement with diverse users</v>
      </c>
      <c r="D23" s="4" t="str">
        <v>2.1.2. Communication products published annually to support user outreach, including website content, social media materials</v>
      </c>
      <c r="E23" s="4" t="str">
        <v>custom</v>
      </c>
      <c r="F23" s="4" t="str">
        <v>France</v>
      </c>
      <c r="G23" s="5">
        <v>4</v>
      </c>
      <c r="H23" s="5">
        <v>0</v>
      </c>
      <c r="I23" s="4" t="str">
        <v/>
      </c>
      <c r="J23" s="4">
        <v>6649</v>
      </c>
    </row>
    <row r="24" ht="50" customHeight="1">
      <c r="B24" s="4" t="str">
        <v>Bioversity (Alliance)</v>
      </c>
      <c r="D24" s="4" t="str">
        <v>2.1.1. Strategy for proactive engagement with diverse users updated</v>
      </c>
      <c r="E24" s="4" t="str">
        <v>Number of knowledge products</v>
      </c>
      <c r="F24" s="4" t="str">
        <v>Nigeria, France</v>
      </c>
      <c r="G24" s="5">
        <v>1</v>
      </c>
      <c r="H24" s="5">
        <v>0</v>
      </c>
      <c r="I24" s="4" t="str">
        <v/>
      </c>
      <c r="J24" s="4">
        <v>8302</v>
      </c>
    </row>
    <row r="25" ht="50" customHeight="1" xml:space="preserve">
      <c r="A25" s="4" t="str">
        <v>AOW02: Strategic User Engagement</v>
      </c>
      <c r="B25" s="4" t="str">
        <v>Bioversity (Alliance)</v>
      </c>
      <c r="C25" s="4" t="str">
        <v>2.2. Enhanced germplasm information for more precise accession targeting</v>
      </c>
      <c r="D25" s="4" t="str">
        <v>2.2.2. Journal articles related to enhanced accessions data published</v>
      </c>
      <c r="E25" s="4" t="str">
        <v>Number of knowledge products</v>
      </c>
      <c r="F25" s="4" t="str">
        <v>Morocco, Lebanon, Peru, India, Mexico, Philippines, Côte d'Ivoire, Ethiopia, Nigeria, Belgium, Colombia</v>
      </c>
      <c r="G25" s="5">
        <v>1</v>
      </c>
      <c r="H25" s="5">
        <v>10000</v>
      </c>
      <c r="I25" s="4" t="str" xml:space="preserve">
        <v xml:space="preserve">Personnel costs based on standard organizational salary scales.
</v>
      </c>
      <c r="J25" s="4">
        <v>6652</v>
      </c>
    </row>
    <row r="26" ht="50" customHeight="1" xml:space="preserve">
      <c r="B26" s="4" t="str">
        <v>Bioversity (Alliance)</v>
      </c>
      <c r="D26" s="4" t="str">
        <v>2.2.1. Phenotyping, genotyping, environmental datasets of crops generated and uploaded into open-access databases ​(Dataverse, global databases, and crop community databases)</v>
      </c>
      <c r="E26" s="4" t="str">
        <v>custom</v>
      </c>
      <c r="F26" s="4" t="str">
        <v>Morocco, Mexico, Philippines, Peru, India, Côte d'Ivoire, Ethiopia, Colombia, Lebanon, Belgium, Nigeria</v>
      </c>
      <c r="G26" s="5">
        <v>1</v>
      </c>
      <c r="H26" s="5">
        <v>10000</v>
      </c>
      <c r="I26" s="4" t="str" xml:space="preserve">
        <v xml:space="preserve">Personnel costs based on standard organizational salary scales.
</v>
      </c>
      <c r="J26" s="4">
        <v>6660</v>
      </c>
    </row>
    <row r="27" ht="50" customHeight="1" xml:space="preserve">
      <c r="B27" s="4" t="str">
        <v>Bioversity (Alliance)</v>
      </c>
      <c r="D27" s="4" t="str">
        <v>2.2.3.Trait-specific subsets developed with the related dataset uploaded in GENESYS</v>
      </c>
      <c r="E27" s="4" t="str">
        <v>custom</v>
      </c>
      <c r="F27" s="4" t="str">
        <v>Lebanon, Philippines, Colombia, Mexico, Peru, France, Morocco, India, Côte d'Ivoire, Ethiopia, Nigeria</v>
      </c>
      <c r="G27" s="5">
        <v>1</v>
      </c>
      <c r="H27" s="5">
        <v>2500</v>
      </c>
      <c r="I27" s="4" t="str" xml:space="preserve">
        <v xml:space="preserve">Personnel costs based on standard organizational salary scales.
</v>
      </c>
      <c r="J27" s="4">
        <v>7188</v>
      </c>
    </row>
    <row r="28" ht="50" customHeight="1" xml:space="preserve">
      <c r="A28" s="4" t="str">
        <v>AOW02: Strategic User Engagement</v>
      </c>
      <c r="B28" s="4" t="str">
        <v>Bioversity (Alliance)</v>
      </c>
      <c r="C28" s="4" t="str">
        <v>2.3. CGIAR-wide portal with AI enabled digital infrastructure for germplasm data and requests</v>
      </c>
      <c r="D28" s="4" t="str">
        <v>2.3.1. Tools related to request of material and associated data developed or updated</v>
      </c>
      <c r="E28" s="4" t="str">
        <v>Number of innovations (innovation development)</v>
      </c>
      <c r="F28" s="4" t="str">
        <v>United States of America, Mexico, Peru, Nigeria, Belgium, Côte d'Ivoire, Lebanon, Morocco</v>
      </c>
      <c r="G28" s="5">
        <v>1</v>
      </c>
      <c r="H28" s="5">
        <v>5000</v>
      </c>
      <c r="I28" s="4" t="str" xml:space="preserve">
        <v xml:space="preserve">Personnel costs based on standard organizational salary scales.
</v>
      </c>
      <c r="J28" s="4">
        <v>7190</v>
      </c>
    </row>
    <row r="29" ht="50" customHeight="1" xml:space="preserve">
      <c r="B29" s="4" t="str">
        <v>Bioversity (Alliance)</v>
      </c>
      <c r="D29" s="4" t="str">
        <v xml:space="preserve">2.3.1.a. AI-supported subset generation approaches or tools developed or refined </v>
      </c>
      <c r="E29" s="4" t="str">
        <v>Number of innovations (innovation development)</v>
      </c>
      <c r="F29" s="4" t="str">
        <v>Philippines, France, Nigeria, Colombia, Morocco, Côte d'Ivoire</v>
      </c>
      <c r="G29" s="5">
        <v>1</v>
      </c>
      <c r="H29" s="5">
        <v>2500</v>
      </c>
      <c r="I29" s="4" t="str" xml:space="preserve">
        <v xml:space="preserve">Personnel costs based on standard organizational salary scales.
</v>
      </c>
      <c r="J29" s="4">
        <v>7192</v>
      </c>
    </row>
    <row r="30" ht="25" customHeight="1">
      <c r="C30" s="9" t="str">
        <v>HLO budget subtotal</v>
      </c>
      <c r="H30" s="9">
        <v>30000</v>
      </c>
      <c r="J30" s="9" t="str">
        <v/>
      </c>
    </row>
    <row r="31" ht="50" customHeight="1" xml:space="preserve">
      <c r="A31" s="8" t="str">
        <v>AOW03: Genetic Resources Policy</v>
      </c>
      <c r="B31" s="4" t="str">
        <v>Bioversity (Alliance)</v>
      </c>
      <c r="C31" s="4" t="str">
        <v xml:space="preserve">3.1. CGIAR Genebanks contributions to international negotiations </v>
      </c>
      <c r="D31" s="4" t="str">
        <v>3.1.4. Reports to Article 15 DGs, SO, SLT, relevant Programs and Accelerators regarding  negotiating progress and CGIAR engagement</v>
      </c>
      <c r="E31" s="4" t="str">
        <v>Number of knowledge products</v>
      </c>
      <c r="F31" s="4" t="str">
        <v>Kenya, Italy</v>
      </c>
      <c r="G31" s="5">
        <v>4</v>
      </c>
      <c r="H31" s="5">
        <v>50000</v>
      </c>
      <c r="I31" s="4" t="str" xml:space="preserve">
        <v xml:space="preserve">Assuming that the intergovernmental meetings and negotiations will go ahead according to planned schedules. 
</v>
      </c>
      <c r="J31" s="4">
        <v>6692</v>
      </c>
    </row>
    <row r="32" ht="50" customHeight="1" xml:space="preserve">
      <c r="B32" s="4" t="str">
        <v>Bioversity (Alliance)</v>
      </c>
      <c r="D32" s="4" t="str">
        <v>3.1.5. CGIAR represented in ITPGRFA, CBD, CGRFA meetings</v>
      </c>
      <c r="E32" s="4" t="str">
        <v>custom</v>
      </c>
      <c r="F32" s="4" t="str">
        <v>Canada, Kenya, Italy, Belgium, Armenia, Brazil</v>
      </c>
      <c r="G32" s="5">
        <v>9</v>
      </c>
      <c r="H32" s="5">
        <v>175000</v>
      </c>
      <c r="I32" s="4" t="str" xml:space="preserve">
        <v xml:space="preserve">Assuming that internaitonal meetings will take place and scheduled. If physical meetings replaced by vertual, we will participate virtually. 
</v>
      </c>
      <c r="J32" s="4">
        <v>6693</v>
      </c>
    </row>
    <row r="33" ht="50" customHeight="1" xml:space="preserve">
      <c r="B33" s="4" t="str">
        <v>Bioversity (Alliance)</v>
      </c>
      <c r="D33" s="4" t="str">
        <v>3.1.1. CGIAR reports/submissions to international bodies dealing with genetic resources and DSI issues.</v>
      </c>
      <c r="E33" s="4" t="str">
        <v>Number of knowledge products</v>
      </c>
      <c r="F33" s="4" t="str">
        <v>Armenia, Kenya, Canada, Italy</v>
      </c>
      <c r="G33" s="5">
        <v>3</v>
      </c>
      <c r="H33" s="5">
        <v>75000</v>
      </c>
      <c r="I33" s="4" t="str" xml:space="preserve">
        <v xml:space="preserve">No appreciable risks. We know there is demand for the submisions and we are well placed to make them. No reason why the bodies concerned would not accept them. 
</v>
      </c>
      <c r="J33" s="4">
        <v>6694</v>
      </c>
    </row>
    <row r="34" ht="50" customHeight="1" xml:space="preserve">
      <c r="B34" s="4" t="str">
        <v>Bioversity (Alliance)</v>
      </c>
      <c r="D34" s="4" t="str">
        <v xml:space="preserve">3.1.3. Policy side events targeting negotiators </v>
      </c>
      <c r="E34" s="4" t="str">
        <v>custom</v>
      </c>
      <c r="F34" s="4" t="str">
        <v>Italy, Armenia</v>
      </c>
      <c r="G34" s="5">
        <v>2</v>
      </c>
      <c r="H34" s="5">
        <v>50000</v>
      </c>
      <c r="I34" s="4" t="str" xml:space="preserve">
        <v xml:space="preserve">Assuming that the international meetings concerned will go ahead. Some, but not much, risk that current wars and political tension will disrupt meeting plans.
</v>
      </c>
      <c r="J34" s="4">
        <v>6695</v>
      </c>
    </row>
    <row r="35" ht="50" customHeight="1" xml:space="preserve">
      <c r="B35" s="4" t="str">
        <v>Bioversity (Alliance)</v>
      </c>
      <c r="D35" s="4" t="str">
        <v xml:space="preserve">3.1.2. Policy-related publications in peer review journals, policy briefs and or other forms of written responses to requests for inputs from negotiating bodies. </v>
      </c>
      <c r="E35" s="4" t="str">
        <v>Number of knowledge products</v>
      </c>
      <c r="F35" s="4" t="str">
        <v>Kenya, United States of America, Italy</v>
      </c>
      <c r="G35" s="5">
        <v>7</v>
      </c>
      <c r="H35" s="5">
        <v>150000</v>
      </c>
      <c r="I35" s="4" t="str" xml:space="preserve">
        <v xml:space="preserve">Assuming that the international meetings concerned will go ahead. Some, but not much, risk that current wars and political tension will disrupt meeting plans.
</v>
      </c>
      <c r="J35" s="4">
        <v>6697</v>
      </c>
    </row>
    <row r="36" ht="50" customHeight="1" xml:space="preserve">
      <c r="A36" s="4" t="str">
        <v>AOW03: Genetic Resources Policy</v>
      </c>
      <c r="B36" s="4" t="str">
        <v>Bioversity (Alliance)</v>
      </c>
      <c r="C36" s="4" t="str">
        <v>3.2. New CGIAR policies developed to operate under new access and benefit sharing rules.</v>
      </c>
      <c r="D36" s="4" t="str">
        <v>3.2.4. Internal policy network(s) created and functioning</v>
      </c>
      <c r="E36" s="4" t="str">
        <v>custom</v>
      </c>
      <c r="F36" s="4" t="str">
        <v>Peru, India, Morocco, Belgium, Mexico, Philippines, Côte d'Ivoire, Lebanon, Colombia, Ethiopia, Nigeria, Italy, Kenya</v>
      </c>
      <c r="G36" s="5">
        <v>2</v>
      </c>
      <c r="H36" s="5">
        <v>100000</v>
      </c>
      <c r="I36" s="4" t="str" xml:space="preserve">
        <v xml:space="preserve">Although the network has been established and meetings are being held, the level of engagement of the individual members (e.g., participation to the meetings) is ultimately out of our hands. One mitigation measure already taken, is the creation of a dedicated Teamspace for sharing useful resources and session recordings, in addition to the meetings we will continue to hold. The team will monitor this, and evaluate going forward if other measures need to be taken in order to enhance network member engagement
</v>
      </c>
      <c r="J36" s="4">
        <v>6698</v>
      </c>
    </row>
    <row r="37" ht="50" customHeight="1" xml:space="preserve">
      <c r="B37" s="4" t="str">
        <v>Bioversity (Alliance)</v>
      </c>
      <c r="D37" s="4" t="str">
        <v>3.2.3. Policy help desk requests addressed</v>
      </c>
      <c r="E37" s="4" t="str">
        <v>custom</v>
      </c>
      <c r="F37" s="4" t="str">
        <v>Mexico, Côte d'Ivoire, Philippines, Nigeria, Peru, Ethiopia, India, Lebanon, Morocco, Colombia, Belgium, Italy, Kenya</v>
      </c>
      <c r="G37" s="5">
        <v>25</v>
      </c>
      <c r="H37" s="5">
        <v>100000</v>
      </c>
      <c r="I37" s="4" t="str" xml:space="preserve">
        <v xml:space="preserve">The exact number of queries that we will receive is impossible predict, but we assume a 30% increase of requests from last year. 
</v>
      </c>
      <c r="J37" s="4">
        <v>6699</v>
      </c>
    </row>
    <row r="38" ht="50" customHeight="1" xml:space="preserve">
      <c r="B38" s="4" t="str">
        <v>Bioversity (Alliance)</v>
      </c>
      <c r="D38" s="4" t="str">
        <v>3.2.2. Individuals from the CGIAR trained on policy through policy courses and other training events</v>
      </c>
      <c r="E38" s="4" t="str">
        <v>Number of people trained (capacity sharing for development)</v>
      </c>
      <c r="F38" s="4" t="str">
        <v>Colombia, Philippines, Belgium, Peru, Lebanon, Morocco, Ethiopia, Nigeria, India, Mexico, Côte d'Ivoire, Italy, Kenya</v>
      </c>
      <c r="G38" s="5">
        <v>60</v>
      </c>
      <c r="H38" s="5">
        <v>150000</v>
      </c>
      <c r="I38" s="4" t="str" xml:space="preserve">
        <v xml:space="preserve">The exact number of queries that we will receive is impossible predict, but we assume a 30% increase of requests from last year. 
</v>
      </c>
      <c r="J38" s="4">
        <v>6700</v>
      </c>
    </row>
    <row r="39" ht="50" customHeight="1" xml:space="preserve">
      <c r="B39" s="4" t="str">
        <v>Bioversity (Alliance)</v>
      </c>
      <c r="D39" s="4" t="str">
        <v xml:space="preserve">3.2.1. Guidelines, tools and best practices published or submitted for approval by CGIAR leadership </v>
      </c>
      <c r="E39" s="4" t="str">
        <v>Number of knowledge products</v>
      </c>
      <c r="F39" s="4" t="str">
        <v>Kenya, Italy</v>
      </c>
      <c r="G39" s="5">
        <v>5</v>
      </c>
      <c r="H39" s="5">
        <v>100000</v>
      </c>
      <c r="I39" s="4" t="str" xml:space="preserve">
        <v xml:space="preserve">CGIAR leadership likely will not have time to consider and approve, by the end of the  year,  all of the  instruments we are planning to deliver. To minimize this risk, we are working to get them prepared for circulation in the first half of the year, and to provide SO, Chief Scientist,  DGs  and posbility others with notice in advance that these documents will be coming to them  for consideration. 
</v>
      </c>
      <c r="J39" s="4">
        <v>6701</v>
      </c>
    </row>
    <row r="40" ht="25" customHeight="1">
      <c r="C40" s="9" t="str">
        <v>HLO budget subtotal</v>
      </c>
      <c r="H40" s="9">
        <v>950000</v>
      </c>
      <c r="J40" s="9" t="str">
        <v/>
      </c>
    </row>
    <row r="41" ht="50" customHeight="1" xml:space="preserve">
      <c r="A41" s="8" t="str">
        <v>AOW04: Germplasm Health</v>
      </c>
      <c r="B41" s="4" t="str">
        <v>Bioversity (Alliance)</v>
      </c>
      <c r="C41" s="4" t="str">
        <v>4.1. Optimized phytosanitary health delivery system</v>
      </c>
      <c r="D41" s="4" t="str">
        <v>4.1.4. Standard Operating Procedures (SOPs) harmonized or updated within the Quality Management System during the year</v>
      </c>
      <c r="E41" s="4" t="str">
        <v>custom</v>
      </c>
      <c r="F41" s="4" t="str">
        <v>Belgium, Colombia, Philippines, Lebanon, Morocco, Côte d'Ivoire, Nigeria, Peru, Mexico, Ethiopia, India</v>
      </c>
      <c r="G41" s="5">
        <v>3</v>
      </c>
      <c r="H41" s="5">
        <v>35000</v>
      </c>
      <c r="I41" s="4" t="str" xml:space="preserve">
        <v xml:space="preserve">Complexity of improving the QMS without compromizing excellence. To address this issue, we have made a year-long planning with short objectives and biweekly meetings
</v>
      </c>
      <c r="J41" s="4">
        <v>6705</v>
      </c>
    </row>
    <row r="42" ht="50" customHeight="1" xml:space="preserve">
      <c r="B42" s="4" t="str">
        <v>Bioversity (Alliance)</v>
      </c>
      <c r="D42" s="4" t="str">
        <v xml:space="preserve">4.1.1. Service requests processed on time per year </v>
      </c>
      <c r="E42" s="4" t="str">
        <v>custom</v>
      </c>
      <c r="F42" s="4" t="str">
        <v>Nigeria, Lebanon, India, Mexico, Colombia, Peru, Côte d'Ivoire, Ethiopia, Philippines, Morocco, Belgium</v>
      </c>
      <c r="G42" s="5">
        <v>80</v>
      </c>
      <c r="H42" s="5">
        <v>20000</v>
      </c>
      <c r="I42" s="4" t="str" xml:space="preserve">
        <v xml:space="preserve">Personnel costs based on standard organizational salary scales.
</v>
      </c>
      <c r="J42" s="4">
        <v>6731</v>
      </c>
    </row>
    <row r="43" ht="50" customHeight="1">
      <c r="B43" s="4" t="str">
        <v>Bioversity (Alliance)</v>
      </c>
      <c r="D43" s="4" t="str">
        <v xml:space="preserve">4.1.3.c. Germplasm Health Units (GHUs) with preliminary costing and cost-recovery analyses developed in preparation for implementation </v>
      </c>
      <c r="E43" s="4" t="str">
        <v>custom</v>
      </c>
      <c r="F43" s="4" t="str">
        <v>Côte d'Ivoire</v>
      </c>
      <c r="G43" s="5">
        <v>1</v>
      </c>
      <c r="H43" s="5">
        <v>0</v>
      </c>
      <c r="I43" s="4" t="str">
        <v/>
      </c>
      <c r="J43" s="4">
        <v>7206</v>
      </c>
    </row>
    <row r="44" ht="50" customHeight="1" xml:space="preserve">
      <c r="A44" s="4" t="str">
        <v>AOW04: Germplasm Health</v>
      </c>
      <c r="B44" s="4" t="str">
        <v>Bioversity (Alliance)</v>
      </c>
      <c r="C44" s="4" t="str">
        <v>4.2. Improved diagnostics and novel therapies for efficient germplasm health testing and phytosanitation​</v>
      </c>
      <c r="D44" s="4" t="str">
        <v>4.2.1. Upgraded/new protocols for germplasm health diagnostics and health monitoring</v>
      </c>
      <c r="E44" s="4" t="str">
        <v>Number of innovations (innovation development)</v>
      </c>
      <c r="F44" s="4" t="str">
        <v>Colombia, Philippines, Nigeria, Lebanon, Morocco, Belgium, Côte d'Ivoire, Peru, Ethiopia, Mexico, India</v>
      </c>
      <c r="G44" s="5">
        <v>1</v>
      </c>
      <c r="H44" s="5">
        <v>70000</v>
      </c>
      <c r="I44" s="4" t="str" xml:space="preserve">
        <v xml:space="preserve">Limited risk as the process is mastered in the laboratory
</v>
      </c>
      <c r="J44" s="4">
        <v>6746</v>
      </c>
    </row>
    <row r="45" ht="50" customHeight="1" xml:space="preserve">
      <c r="B45" s="4" t="str">
        <v>Bioversity (Alliance)</v>
      </c>
      <c r="D45" s="4" t="str">
        <v>4.2.2. Improved phytosanitary protocols for clonal and seed germplasm, including novel virus therapies and chemicals for seed dressing</v>
      </c>
      <c r="E45" s="4" t="str">
        <v>Number of innovations (innovation development)</v>
      </c>
      <c r="F45" s="4" t="str">
        <v>Colombia, Belgium, Mexico, Morocco, Nigeria, Lebanon, Philippines, India, Côte d'Ivoire</v>
      </c>
      <c r="G45" s="5">
        <v>1</v>
      </c>
      <c r="H45" s="5">
        <v>10000</v>
      </c>
      <c r="I45" s="4" t="str" xml:space="preserve">
        <v xml:space="preserve">Risk of sanitation failure. To limit the risk, the multiplication of plants infected by the virus is pursued as back-up and several viruses will be tested
</v>
      </c>
      <c r="J45" s="4">
        <v>6756</v>
      </c>
    </row>
    <row r="46" ht="50" customHeight="1" xml:space="preserve">
      <c r="A46" s="4" t="str">
        <v>AOW04: Germplasm Health</v>
      </c>
      <c r="B46" s="4" t="str">
        <v>Bioversity (Alliance)</v>
      </c>
      <c r="C46" s="4" t="str">
        <v>4.3. Enhanced knowledge for effective control of germplasm-borne pests and diseases</v>
      </c>
      <c r="D46" s="4" t="str">
        <v>4.3.3. Knowledge products on key seed-borne pests and diseases published</v>
      </c>
      <c r="E46" s="4" t="str">
        <v>Number of knowledge products</v>
      </c>
      <c r="F46" s="4" t="str">
        <v>Colombia, Belgium, Côte d'Ivoire, Nigeria, Lebanon, Mexico, India, Morocco, Philippines, Ethiopia</v>
      </c>
      <c r="G46" s="5">
        <v>1</v>
      </c>
      <c r="H46" s="5">
        <v>10000</v>
      </c>
      <c r="I46" s="4" t="str" xml:space="preserve">
        <v xml:space="preserve">Personnel costs based on standard organizational salary scales.
</v>
      </c>
      <c r="J46" s="4">
        <v>6772</v>
      </c>
    </row>
    <row r="47" ht="50" customHeight="1" xml:space="preserve">
      <c r="B47" s="4" t="str">
        <v>Bioversity (Alliance)</v>
      </c>
      <c r="D47" s="4" t="str">
        <v xml:space="preserve">4.3.1. Knowledge Products about Pest and Diseases interception information by crop by center. </v>
      </c>
      <c r="E47" s="4" t="str">
        <v>Number of knowledge products</v>
      </c>
      <c r="F47" s="4" t="str">
        <v>Philippines, Lebanon, Nigeria, Belgium, India, Mexico, Côte d'Ivoire, Peru, Morocco, Colombia, Ethiopia</v>
      </c>
      <c r="G47" s="5">
        <v>1</v>
      </c>
      <c r="H47" s="5">
        <v>10000</v>
      </c>
      <c r="I47" s="4" t="str" xml:space="preserve">
        <v xml:space="preserve">Limited risk as all the data have been generated and the work correspond to the writing process
</v>
      </c>
      <c r="J47" s="4">
        <v>6776</v>
      </c>
    </row>
    <row r="48" ht="50" customHeight="1">
      <c r="B48" s="4" t="str">
        <v>Bioversity (Alliance)</v>
      </c>
      <c r="D48" s="4" t="str">
        <v xml:space="preserve">4.3.2. Protocols for preventing seed-transmission during seed regeneration and propagation </v>
      </c>
      <c r="E48" s="4" t="str">
        <v>custom</v>
      </c>
      <c r="F48" s="4" t="str">
        <v>Peru, Ethiopia, Côte d'Ivoire, Mexico, Nigeria</v>
      </c>
      <c r="G48" s="5">
        <v>0</v>
      </c>
      <c r="H48" s="5">
        <v>0</v>
      </c>
      <c r="I48" s="4" t="str">
        <v/>
      </c>
      <c r="J48" s="4">
        <v>6788</v>
      </c>
    </row>
    <row r="49" ht="50" customHeight="1">
      <c r="A49" s="4" t="str">
        <v>AOW04: Germplasm Health</v>
      </c>
      <c r="B49" s="4" t="str">
        <v>Bioversity (Alliance)</v>
      </c>
      <c r="C49" s="4" t="str">
        <v>4.4. Systems-based phytosanitary protocol for expedited germplasm delivery​</v>
      </c>
      <c r="D49" s="4" t="str">
        <v>4.4.1. Average time to clear shipments under systems-based protocol.</v>
      </c>
      <c r="E49" s="4" t="str">
        <v>custom</v>
      </c>
      <c r="F49" s="4" t="str">
        <v>Philippines</v>
      </c>
      <c r="G49" s="5">
        <v>0</v>
      </c>
      <c r="H49" s="5">
        <v>0</v>
      </c>
      <c r="I49" s="4" t="str">
        <v/>
      </c>
      <c r="J49" s="4">
        <v>6799</v>
      </c>
    </row>
    <row r="50" ht="50" customHeight="1">
      <c r="B50" s="4" t="str">
        <v>Bioversity (Alliance)</v>
      </c>
      <c r="D50" s="4" t="str">
        <v>4.4.2. Formal protocols for expedited germplasm exchange developed through stakeholder consultations and submitted for accreditation by relevant NPPOs</v>
      </c>
      <c r="E50" s="4" t="str">
        <v>Number of knowledge products</v>
      </c>
      <c r="F50" s="4" t="str">
        <v>Morocco, Côte d'Ivoire, Niger, Philippines, Lebanon</v>
      </c>
      <c r="G50" s="5">
        <v>0</v>
      </c>
      <c r="H50" s="5">
        <v>0</v>
      </c>
      <c r="I50" s="4" t="str">
        <v/>
      </c>
      <c r="J50" s="4">
        <v>6809</v>
      </c>
    </row>
    <row r="51" ht="25" customHeight="1">
      <c r="C51" s="9" t="str">
        <v>HLO budget subtotal</v>
      </c>
      <c r="H51" s="9">
        <v>155000</v>
      </c>
      <c r="J51" s="9" t="str">
        <v/>
      </c>
    </row>
    <row r="52" ht="50" customHeight="1" xml:space="preserve">
      <c r="A52" s="8" t="str">
        <v>AOW05: Strengthening Capacity for In Situ and Ex Situ Conservation Globally</v>
      </c>
      <c r="B52" s="4" t="str">
        <v>Bioversity (Alliance)</v>
      </c>
      <c r="C52" s="4" t="str">
        <v xml:space="preserve">5.5. Draft national laws, policies and guidelines developed for partner countries to implement and operate under the Plant Treaty. </v>
      </c>
      <c r="D52" s="4" t="str">
        <v xml:space="preserve">5.5.1 Number of draft laws, policies, and guidelines developed for partners to implement and operate under the Plant Treaty </v>
      </c>
      <c r="E52" s="4" t="str">
        <v>Number of knowledge products</v>
      </c>
      <c r="F52" s="4" t="str">
        <v>Papua New Guinea, Canada, Mali, Colombia, Niger, Nigeria, Togo, Mauritius</v>
      </c>
      <c r="G52" s="5">
        <v>2</v>
      </c>
      <c r="H52" s="5">
        <v>170000</v>
      </c>
      <c r="I52" s="4" t="str" xml:space="preserve">
        <v xml:space="preserve">Four of six country teams we are working with will produce 'policy road maps' in 2026, and develop draft policies in 2027. But two of the country teams will actually draft policies in 2026, assuming that political/security situtions in those countries do not interrupt policy devleopment and consulationg meetings. To minimize risk, we are keeping in close contact with leaders of national teams. Some activities can be conducted virtually, instead of in person, if necessary. 
</v>
      </c>
      <c r="J52" s="4">
        <v>6485</v>
      </c>
    </row>
    <row r="53" ht="50" customHeight="1" xml:space="preserve">
      <c r="A53" s="4" t="str">
        <v>AOW05: Strengthening Capacity for In Situ and Ex Situ Conservation Globally</v>
      </c>
      <c r="B53" s="4" t="str">
        <v>Bioversity (Alliance)</v>
      </c>
      <c r="C53" s="4" t="str">
        <v>5.3 Capacity strengthened at national and regional levels across genebank activities (SQM, data management, germplasm health, policy…)</v>
      </c>
      <c r="D53" s="4" t="str">
        <v>5.3.1. Individuals trained on collection, SQM, cryo, germplasm health, in situ, community genebanks, policy</v>
      </c>
      <c r="E53" s="4" t="str">
        <v>Number of people trained (capacity sharing for development)</v>
      </c>
      <c r="F53" s="4" t="str">
        <v>Morocco, Colombia, Belgium, Lebanon, Ethiopia, India, Peru, Mexico, Côte d'Ivoire, Nigeria</v>
      </c>
      <c r="G53" s="5">
        <v>210</v>
      </c>
      <c r="H53" s="5">
        <v>82000</v>
      </c>
      <c r="I53" s="4" t="str" xml:space="preserve">
        <v xml:space="preserve">The KPI is based on planned enrolment numbers, however this could be less if colleagues who express interest, fail to participate fully. To mitigate this, we will a) accept a higher number of enrolments, b) give a deadline for starting the course, after which point, the spaces being occupied by inactive participants will be offered to other colleagues
</v>
      </c>
      <c r="J53" s="4">
        <v>6841</v>
      </c>
    </row>
    <row r="54" ht="50" customHeight="1">
      <c r="B54" s="4" t="str">
        <v>Bioversity (Alliance)</v>
      </c>
      <c r="D54" s="4" t="str">
        <v xml:space="preserve">5.3.2. Online training modules launched, updated, or under development addressing key topics (SQM, Policy, GHUs) </v>
      </c>
      <c r="E54" s="4" t="str">
        <v>custom</v>
      </c>
      <c r="F54" s="4" t="str">
        <v>Kenya, United Kingdom of Great Britain and Northern Ireland, Italy</v>
      </c>
      <c r="G54" s="5">
        <v>1</v>
      </c>
      <c r="H54" s="5">
        <v>0</v>
      </c>
      <c r="I54" s="4" t="str">
        <v/>
      </c>
      <c r="J54" s="4">
        <v>7111</v>
      </c>
    </row>
    <row r="55" ht="50" customHeight="1">
      <c r="B55" s="4" t="str">
        <v>Bioversity (Alliance)</v>
      </c>
      <c r="D55" s="4" t="str">
        <v>5.3.3. Online training modules translated into priority languages</v>
      </c>
      <c r="E55" s="4" t="str">
        <v>custom</v>
      </c>
      <c r="F55" s="4" t="str">
        <v>United Kingdom of Great Britain and Northern Ireland, Colombia, Kenya, Italy</v>
      </c>
      <c r="G55" s="5">
        <v>2</v>
      </c>
      <c r="H55" s="5">
        <v>0</v>
      </c>
      <c r="I55" s="4" t="str">
        <v/>
      </c>
      <c r="J55" s="4">
        <v>7113</v>
      </c>
    </row>
    <row r="56" ht="25" customHeight="1">
      <c r="C56" s="9" t="str">
        <v>HLO budget subtotal</v>
      </c>
      <c r="H56" s="9">
        <v>252000</v>
      </c>
      <c r="J56" s="9" t="str">
        <v/>
      </c>
    </row>
  </sheetData>
  <mergeCells count="30">
    <mergeCell ref="A1:A2"/>
    <mergeCell ref="B1:B2"/>
    <mergeCell ref="C1:C2"/>
    <mergeCell ref="D1:H1"/>
    <mergeCell ref="I1:I2"/>
    <mergeCell ref="J1:J2"/>
    <mergeCell ref="C3:C9"/>
    <mergeCell ref="C10:C13"/>
    <mergeCell ref="C14:C17"/>
    <mergeCell ref="C18:C21"/>
    <mergeCell ref="C22:G22"/>
    <mergeCell ref="A3:A22"/>
    <mergeCell ref="C23:C24"/>
    <mergeCell ref="C25:C27"/>
    <mergeCell ref="C28:C29"/>
    <mergeCell ref="C30:G30"/>
    <mergeCell ref="A23:A30"/>
    <mergeCell ref="C31:C35"/>
    <mergeCell ref="C36:C39"/>
    <mergeCell ref="C40:G40"/>
    <mergeCell ref="A31:A40"/>
    <mergeCell ref="C41:C43"/>
    <mergeCell ref="C44:C45"/>
    <mergeCell ref="C46:C48"/>
    <mergeCell ref="C49:C50"/>
    <mergeCell ref="C51:G51"/>
    <mergeCell ref="A41:A51"/>
    <mergeCell ref="C53:C55"/>
    <mergeCell ref="C56:G56"/>
    <mergeCell ref="A52:A56"/>
  </mergeCells>
  <ignoredErrors>
    <ignoredError numberStoredAsText="1" sqref="A1:J56"/>
  </ignoredErrors>
</worksheet>
</file>

<file path=xl/worksheets/sheet3.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Biodiversity Conservation</v>
      </c>
      <c r="B2" s="4" t="str">
        <v>Katholieke Universiteit Leuven</v>
      </c>
      <c r="C2" s="4" t="str">
        <v>Bioversity (Alliance)</v>
      </c>
      <c r="D2" s="4" t="str">
        <v>Belgium</v>
      </c>
      <c r="E2" s="5">
        <v>629000</v>
      </c>
      <c r="F2" s="4" t="str">
        <v>Partners budget assuming same as 2025.</v>
      </c>
      <c r="G2" s="4">
        <v>22</v>
      </c>
    </row>
    <row r="3" ht="50" customHeight="1">
      <c r="A3" s="4" t="str">
        <v>AOW01: Biodiversity Conservation</v>
      </c>
      <c r="B3" s="4" t="str">
        <v>Agentschap Plantentuin Meise / Meise Botanic Garden</v>
      </c>
      <c r="C3" s="4" t="str">
        <v>Bioversity (Alliance)</v>
      </c>
      <c r="D3" s="4" t="str">
        <v>Belgium</v>
      </c>
      <c r="E3" s="5">
        <v>30000</v>
      </c>
      <c r="F3" s="4" t="str">
        <v>Agreement on ToR, deliverables, timelines, and costs</v>
      </c>
      <c r="G3" s="4">
        <v>283</v>
      </c>
    </row>
    <row r="4" ht="25" customHeight="1">
      <c r="B4" s="9" t="str">
        <v>Contracted partners subtotal</v>
      </c>
      <c r="E4" s="9">
        <v>659000</v>
      </c>
      <c r="F4" s="9" t="str">
        <v/>
      </c>
      <c r="G4" s="9" t="str">
        <v/>
      </c>
    </row>
    <row r="5" ht="50" customHeight="1">
      <c r="A5" s="8" t="str">
        <v>AOW03: Genetic Resources Policy</v>
      </c>
      <c r="B5" s="4" t="str">
        <v>Emerging Ag Inc</v>
      </c>
      <c r="C5" s="4" t="str">
        <v>Bioversity (Alliance)</v>
      </c>
      <c r="D5" s="4" t="str">
        <v>Canada, Italy</v>
      </c>
      <c r="E5" s="5">
        <v>8000</v>
      </c>
      <c r="F5" s="4" t="str">
        <v>As per LOA signed</v>
      </c>
      <c r="G5" s="4">
        <v>39</v>
      </c>
    </row>
    <row r="6" ht="25" customHeight="1">
      <c r="B6" s="9" t="str">
        <v>Contracted partners subtotal</v>
      </c>
      <c r="E6" s="9">
        <v>8000</v>
      </c>
      <c r="F6" s="9" t="str">
        <v/>
      </c>
      <c r="G6" s="9" t="str">
        <v/>
      </c>
    </row>
    <row r="7" ht="50" customHeight="1">
      <c r="A7" s="8" t="str">
        <v>AOW04: Germplasm Health</v>
      </c>
      <c r="B7" s="4" t="str">
        <v>University of Liège</v>
      </c>
      <c r="C7" s="4" t="str">
        <v>Bioversity (Alliance)</v>
      </c>
      <c r="D7" s="4" t="str">
        <v>Belgium</v>
      </c>
      <c r="E7" s="5">
        <v>134783</v>
      </c>
      <c r="F7" s="4" t="str">
        <v>As per LOA being signed at the time of submission</v>
      </c>
      <c r="G7" s="4">
        <v>113</v>
      </c>
    </row>
    <row r="8" ht="25" customHeight="1">
      <c r="B8" s="9" t="str">
        <v>Contracted partners subtotal</v>
      </c>
      <c r="E8" s="9">
        <v>134783</v>
      </c>
      <c r="F8" s="9" t="str">
        <v/>
      </c>
      <c r="G8" s="9" t="str">
        <v/>
      </c>
    </row>
    <row r="9" ht="50" customHeight="1">
      <c r="A9" s="8" t="str">
        <v>AOW05: Strengthening Capacity for In Situ and Ex Situ Conservation Globally</v>
      </c>
      <c r="B9" s="4" t="str">
        <v>Institut National de la Recherche Agronomique du Niger</v>
      </c>
      <c r="C9" s="4" t="str">
        <v>Bioversity (Alliance)</v>
      </c>
      <c r="D9" s="4" t="str">
        <v>Niger, Italy, Kenya</v>
      </c>
      <c r="E9" s="5">
        <v>29984</v>
      </c>
      <c r="F9" s="4" t="str">
        <v>LOA being signed</v>
      </c>
      <c r="G9" s="4">
        <v>27</v>
      </c>
    </row>
    <row r="10" ht="50" customHeight="1">
      <c r="A10" s="4" t="str">
        <v>AOW05: Strengthening Capacity for In Situ and Ex Situ Conservation Globally</v>
      </c>
      <c r="B10" s="4" t="str">
        <v>Institute for Rural Economy (Mali) / Institut d’Economie Rurale (Mali)</v>
      </c>
      <c r="C10" s="4" t="str">
        <v>Bioversity (Alliance)</v>
      </c>
      <c r="D10" s="4" t="str">
        <v>Mali, Italy, Kenya</v>
      </c>
      <c r="E10" s="5">
        <v>25000</v>
      </c>
      <c r="F10" s="4" t="str">
        <v>As per LOA being signed</v>
      </c>
      <c r="G10" s="4">
        <v>28</v>
      </c>
    </row>
    <row r="11" ht="50" customHeight="1">
      <c r="A11" s="4" t="str">
        <v>AOW05: Strengthening Capacity for In Situ and Ex Situ Conservation Globally</v>
      </c>
      <c r="B11" s="4" t="str">
        <v>National Agricultural Research Institute of Papua New Guinea</v>
      </c>
      <c r="C11" s="4" t="str">
        <v>Bioversity (Alliance)</v>
      </c>
      <c r="D11" s="4" t="str">
        <v>Papua New Guinea, Italy, Kenya</v>
      </c>
      <c r="E11" s="5">
        <v>20036</v>
      </c>
      <c r="F11" s="4" t="str">
        <v>LOA under review at the time of submission</v>
      </c>
      <c r="G11" s="4">
        <v>42</v>
      </c>
    </row>
    <row r="12" ht="50" customHeight="1">
      <c r="A12" s="4" t="str">
        <v>AOW05: Strengthening Capacity for In Situ and Ex Situ Conservation Globally</v>
      </c>
      <c r="B12" s="4" t="str">
        <v>Institut Togolais des Recherches Agronomiques</v>
      </c>
      <c r="C12" s="4" t="str">
        <v>Bioversity (Alliance)</v>
      </c>
      <c r="D12" s="4" t="str">
        <v>Togo, Italy, Kenya</v>
      </c>
      <c r="E12" s="5">
        <v>14980</v>
      </c>
      <c r="F12" s="4" t="str">
        <v>As per LOA being signed at the time of submission</v>
      </c>
      <c r="G12" s="4">
        <v>45</v>
      </c>
    </row>
    <row r="13" ht="50" customHeight="1">
      <c r="A13" s="4" t="str">
        <v>AOW05: Strengthening Capacity for In Situ and Ex Situ Conservation Globally</v>
      </c>
      <c r="B13" s="4" t="str">
        <v>Corporación Colombiana de Investigación Agropecuaria</v>
      </c>
      <c r="C13" s="4" t="str">
        <v>Bioversity (Alliance)</v>
      </c>
      <c r="D13" s="4" t="str">
        <v>Colombia, Kenya, Italy</v>
      </c>
      <c r="E13" s="5">
        <v>20000</v>
      </c>
      <c r="F13" s="4" t="str">
        <v>LOA under review at time of submission</v>
      </c>
      <c r="G13" s="4">
        <v>46</v>
      </c>
    </row>
    <row r="14" ht="50" customHeight="1">
      <c r="A14" s="4" t="str">
        <v>AOW05: Strengthening Capacity for In Situ and Ex Situ Conservation Globally</v>
      </c>
      <c r="B14" s="4" t="str">
        <v>National Centre for Genetic Resources and Biotechnology</v>
      </c>
      <c r="C14" s="4" t="str">
        <v>Bioversity (Alliance)</v>
      </c>
      <c r="D14" s="4" t="str">
        <v>Nigeria, Italy, Kenya</v>
      </c>
      <c r="E14" s="5">
        <v>15000</v>
      </c>
      <c r="F14" s="4" t="str">
        <v>LOA being signed at the time of submission</v>
      </c>
      <c r="G14" s="4">
        <v>47</v>
      </c>
    </row>
    <row r="15" ht="25" customHeight="1">
      <c r="B15" s="9" t="str">
        <v>Contracted partners subtotal</v>
      </c>
      <c r="E15" s="9">
        <v>125000</v>
      </c>
      <c r="F15" s="9" t="str">
        <v/>
      </c>
      <c r="G15" s="9" t="str">
        <v/>
      </c>
    </row>
  </sheetData>
  <mergeCells count="8">
    <mergeCell ref="B4:D4"/>
    <mergeCell ref="A2:A4"/>
    <mergeCell ref="B6:D6"/>
    <mergeCell ref="A5:A6"/>
    <mergeCell ref="B8:D8"/>
    <mergeCell ref="A7:A8"/>
    <mergeCell ref="B15:D15"/>
    <mergeCell ref="A9:A15"/>
  </mergeCells>
  <ignoredErrors>
    <ignoredError numberStoredAsText="1" sqref="A1:G15"/>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Bioversity (Alliance)</v>
      </c>
      <c r="B2" s="4" t="str">
        <v>Providing for the long-term funding of ex situ collections of germplasm held by Bioversity</v>
      </c>
      <c r="C2" s="4" t="str">
        <v>1.1. All collections conserved and made available according to international standards and best practices</v>
      </c>
      <c r="D2" s="5">
        <v>214236</v>
      </c>
      <c r="E2" s="4" t="str" xml:space="preserve">
        <v xml:space="preserve">As per figures provided by Crop Trust
</v>
      </c>
      <c r="F2" s="4">
        <v>1225</v>
      </c>
    </row>
    <row r="3" ht="25" customHeight="1">
      <c r="B3" s="9" t="str">
        <v>W3/Bilateral budget subtotal</v>
      </c>
      <c r="D3" s="9">
        <v>214236</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Bioversity (Alliance)</v>
      </c>
      <c r="C2" s="4" t="str">
        <v>Area of Work Leads</v>
      </c>
      <c r="D2" s="5">
        <v>33622</v>
      </c>
      <c r="E2" s="4" t="str" xml:space="preserve">
        <v xml:space="preserve">Personnel costs based on standard organizational salary scales.
</v>
      </c>
      <c r="F2" s="4">
        <v>92</v>
      </c>
      <c r="G2" s="4">
        <v>3</v>
      </c>
    </row>
    <row r="3" ht="45" customHeight="1" xml:space="preserve">
      <c r="A3" s="4" t="str">
        <v>AOW00: Cross Cutting</v>
      </c>
      <c r="B3" s="4" t="str">
        <v>Bioversity (Alliance)</v>
      </c>
      <c r="C3" s="4" t="str">
        <v>PMU, CGIAR Program Finance Support and associated Allocation</v>
      </c>
      <c r="D3" s="5">
        <v>240321</v>
      </c>
      <c r="E3" s="4" t="str" xml:space="preserve">
        <v xml:space="preserve">Personnel costs based on standard organizational salary scales.
</v>
      </c>
      <c r="F3" s="4">
        <v>93</v>
      </c>
      <c r="G3" s="4">
        <v>2</v>
      </c>
    </row>
    <row r="4" ht="45" customHeight="1">
      <c r="A4" s="4" t="str">
        <v>AOW00: Cross Cutting</v>
      </c>
      <c r="B4" s="4" t="str">
        <v>Bioversity (Alliance)</v>
      </c>
      <c r="C4" s="4" t="str">
        <v>Operations</v>
      </c>
      <c r="D4" s="5">
        <v>320000</v>
      </c>
      <c r="E4" s="4" t="str">
        <v>Annual planning and consultation, communications-related costs, peer reviews.</v>
      </c>
      <c r="F4" s="4">
        <v>94</v>
      </c>
      <c r="G4" s="4">
        <v>4</v>
      </c>
    </row>
    <row r="5" ht="45" customHeight="1">
      <c r="A5" s="4" t="str">
        <v>AOW00: Cross Cutting</v>
      </c>
      <c r="B5" s="4" t="str">
        <v>Bioversity (Alliance)</v>
      </c>
      <c r="C5" s="4" t="str">
        <v>Discretionary funds</v>
      </c>
      <c r="D5" s="5">
        <v>0</v>
      </c>
      <c r="E5" s="4" t="str">
        <v/>
      </c>
      <c r="F5" s="4">
        <v>95</v>
      </c>
      <c r="G5" s="4">
        <v>7</v>
      </c>
    </row>
    <row r="6" ht="25" customHeight="1">
      <c r="C6" s="9" t="str">
        <v>Cross-cutting budget subtotal</v>
      </c>
      <c r="D6" s="9">
        <v>593943</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186981</v>
      </c>
      <c r="C2" s="5">
        <v>1192846</v>
      </c>
      <c r="D2" s="5">
        <v>24500</v>
      </c>
      <c r="E2" s="5">
        <v>844441</v>
      </c>
      <c r="F2" s="5">
        <v>20217</v>
      </c>
      <c r="G2" s="5">
        <v>43087</v>
      </c>
      <c r="H2" s="5">
        <f>=SUM(B2:G2)</f>
        <v>0</v>
      </c>
    </row>
    <row r="3" ht="20" customHeight="1">
      <c r="A3" s="4" t="str">
        <v>Operations (supplies, consultants, travels, workshops, other)</v>
      </c>
      <c r="B3" s="5">
        <v>406962</v>
      </c>
      <c r="C3" s="5">
        <v>122824</v>
      </c>
      <c r="D3" s="5">
        <v>5500</v>
      </c>
      <c r="E3" s="5">
        <v>97559</v>
      </c>
      <c r="F3" s="5">
        <v>0</v>
      </c>
      <c r="G3" s="5">
        <v>83913</v>
      </c>
      <c r="H3" s="5">
        <f>=SUM(B3:G3)</f>
        <v>0</v>
      </c>
    </row>
    <row r="4" ht="20" customHeight="1">
      <c r="A4" s="4" t="str">
        <v>Collaborators non-CGIAR centers</v>
      </c>
      <c r="B4" s="5">
        <v>0</v>
      </c>
      <c r="C4" s="5">
        <v>659000</v>
      </c>
      <c r="D4" s="5">
        <v>0</v>
      </c>
      <c r="E4" s="5">
        <v>8000</v>
      </c>
      <c r="F4" s="5">
        <v>134783</v>
      </c>
      <c r="G4" s="5">
        <v>125000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6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Italy</v>
      </c>
      <c r="D2" s="5">
        <v>100</v>
      </c>
      <c r="E2" s="4">
        <v>126</v>
      </c>
    </row>
    <row r="3" ht="45" customHeight="1">
      <c r="A3" s="8" t="str">
        <v>AOW01: Biodiversity Conservation</v>
      </c>
      <c r="B3" s="4" t="str">
        <v>Bioversity (Alliance)</v>
      </c>
      <c r="C3" s="4" t="str">
        <v>Bangladesh</v>
      </c>
      <c r="D3" s="5">
        <v>0</v>
      </c>
      <c r="E3" s="4">
        <v>110</v>
      </c>
    </row>
    <row r="4" ht="45" customHeight="1">
      <c r="A4" s="4" t="str">
        <v>AOW01: Biodiversity Conservation</v>
      </c>
      <c r="B4" s="4" t="str">
        <v>Bioversity (Alliance)</v>
      </c>
      <c r="C4" s="4" t="str">
        <v>Belgium</v>
      </c>
      <c r="D4" s="5">
        <v>100</v>
      </c>
      <c r="E4" s="4">
        <v>111</v>
      </c>
    </row>
    <row r="5" ht="45" customHeight="1">
      <c r="A5" s="4" t="str">
        <v>AOW01: Biodiversity Conservation</v>
      </c>
      <c r="B5" s="4" t="str">
        <v>Bioversity (Alliance)</v>
      </c>
      <c r="C5" s="4" t="str">
        <v>Colombia</v>
      </c>
      <c r="D5" s="5">
        <v>0</v>
      </c>
      <c r="E5" s="4">
        <v>112</v>
      </c>
    </row>
    <row r="6" ht="45" customHeight="1">
      <c r="A6" s="4" t="str">
        <v>AOW01: Biodiversity Conservation</v>
      </c>
      <c r="B6" s="4" t="str">
        <v>Bioversity (Alliance)</v>
      </c>
      <c r="C6" s="4" t="str">
        <v>Côte d'Ivoire</v>
      </c>
      <c r="D6" s="5">
        <v>0</v>
      </c>
      <c r="E6" s="4">
        <v>114</v>
      </c>
    </row>
    <row r="7" ht="45" customHeight="1">
      <c r="A7" s="4" t="str">
        <v>AOW01: Biodiversity Conservation</v>
      </c>
      <c r="B7" s="4" t="str">
        <v>Bioversity (Alliance)</v>
      </c>
      <c r="C7" s="4" t="str">
        <v>Ethiopia</v>
      </c>
      <c r="D7" s="5">
        <v>0</v>
      </c>
      <c r="E7" s="4">
        <v>113</v>
      </c>
    </row>
    <row r="8" ht="45" customHeight="1">
      <c r="A8" s="4" t="str">
        <v>AOW01: Biodiversity Conservation</v>
      </c>
      <c r="B8" s="4" t="str">
        <v>Bioversity (Alliance)</v>
      </c>
      <c r="C8" s="4" t="str">
        <v>France</v>
      </c>
      <c r="D8" s="5">
        <v>0</v>
      </c>
      <c r="E8" s="4">
        <v>115</v>
      </c>
    </row>
    <row r="9" ht="45" customHeight="1">
      <c r="A9" s="4" t="str">
        <v>AOW01: Biodiversity Conservation</v>
      </c>
      <c r="B9" s="4" t="str">
        <v>Bioversity (Alliance)</v>
      </c>
      <c r="C9" s="4" t="str">
        <v>India</v>
      </c>
      <c r="D9" s="5">
        <v>0</v>
      </c>
      <c r="E9" s="4">
        <v>116</v>
      </c>
    </row>
    <row r="10" ht="45" customHeight="1">
      <c r="A10" s="4" t="str">
        <v>AOW01: Biodiversity Conservation</v>
      </c>
      <c r="B10" s="4" t="str">
        <v>Bioversity (Alliance)</v>
      </c>
      <c r="C10" s="4" t="str">
        <v>Lebanon</v>
      </c>
      <c r="D10" s="5">
        <v>0</v>
      </c>
      <c r="E10" s="4">
        <v>117</v>
      </c>
    </row>
    <row r="11" ht="45" customHeight="1">
      <c r="A11" s="4" t="str">
        <v>AOW01: Biodiversity Conservation</v>
      </c>
      <c r="B11" s="4" t="str">
        <v>Bioversity (Alliance)</v>
      </c>
      <c r="C11" s="4" t="str">
        <v>Mexico</v>
      </c>
      <c r="D11" s="5">
        <v>0</v>
      </c>
      <c r="E11" s="4">
        <v>118</v>
      </c>
    </row>
    <row r="12" ht="45" customHeight="1">
      <c r="A12" s="4" t="str">
        <v>AOW01: Biodiversity Conservation</v>
      </c>
      <c r="B12" s="4" t="str">
        <v>Bioversity (Alliance)</v>
      </c>
      <c r="C12" s="4" t="str">
        <v>Morocco</v>
      </c>
      <c r="D12" s="5">
        <v>0</v>
      </c>
      <c r="E12" s="4">
        <v>119</v>
      </c>
    </row>
    <row r="13" ht="45" customHeight="1">
      <c r="A13" s="4" t="str">
        <v>AOW01: Biodiversity Conservation</v>
      </c>
      <c r="B13" s="4" t="str">
        <v>Bioversity (Alliance)</v>
      </c>
      <c r="C13" s="4" t="str">
        <v>Nigeria</v>
      </c>
      <c r="D13" s="5">
        <v>0</v>
      </c>
      <c r="E13" s="4">
        <v>120</v>
      </c>
    </row>
    <row r="14" ht="45" customHeight="1">
      <c r="A14" s="4" t="str">
        <v>AOW01: Biodiversity Conservation</v>
      </c>
      <c r="B14" s="4" t="str">
        <v>Bioversity (Alliance)</v>
      </c>
      <c r="C14" s="4" t="str">
        <v>Peru</v>
      </c>
      <c r="D14" s="5">
        <v>0</v>
      </c>
      <c r="E14" s="4">
        <v>121</v>
      </c>
    </row>
    <row r="15" ht="45" customHeight="1">
      <c r="A15" s="4" t="str">
        <v>AOW01: Biodiversity Conservation</v>
      </c>
      <c r="B15" s="4" t="str">
        <v>Bioversity (Alliance)</v>
      </c>
      <c r="C15" s="4" t="str">
        <v>Philippines</v>
      </c>
      <c r="D15" s="5">
        <v>0</v>
      </c>
      <c r="E15" s="4">
        <v>122</v>
      </c>
    </row>
    <row r="16" ht="45" customHeight="1">
      <c r="A16" s="8" t="str">
        <v>AOW02: Strategic User Engagement</v>
      </c>
      <c r="B16" s="4" t="str">
        <v>Bioversity (Alliance)</v>
      </c>
      <c r="C16" s="4" t="str">
        <v>Belgium</v>
      </c>
      <c r="D16" s="5">
        <v>50</v>
      </c>
      <c r="E16" s="4">
        <v>204</v>
      </c>
    </row>
    <row r="17" ht="45" customHeight="1">
      <c r="A17" s="4" t="str">
        <v>AOW02: Strategic User Engagement</v>
      </c>
      <c r="B17" s="4" t="str">
        <v>Bioversity (Alliance)</v>
      </c>
      <c r="C17" s="4" t="str">
        <v>France</v>
      </c>
      <c r="D17" s="5">
        <v>50</v>
      </c>
      <c r="E17" s="4">
        <v>207</v>
      </c>
    </row>
    <row r="18" ht="45" customHeight="1">
      <c r="A18" s="8" t="str">
        <v>AOW03: Genetic Resources Policy</v>
      </c>
      <c r="B18" s="4" t="str">
        <v>Bioversity (Alliance)</v>
      </c>
      <c r="C18" s="4" t="str">
        <v>Armenia</v>
      </c>
      <c r="D18" s="5">
        <v>7</v>
      </c>
      <c r="E18" s="4">
        <v>184</v>
      </c>
    </row>
    <row r="19" ht="45" customHeight="1">
      <c r="A19" s="4" t="str">
        <v>AOW03: Genetic Resources Policy</v>
      </c>
      <c r="B19" s="4" t="str">
        <v>Bioversity (Alliance)</v>
      </c>
      <c r="C19" s="4" t="str">
        <v>Belgium</v>
      </c>
      <c r="D19" s="5">
        <v>7</v>
      </c>
      <c r="E19" s="4">
        <v>185</v>
      </c>
    </row>
    <row r="20" ht="45" customHeight="1">
      <c r="A20" s="4" t="str">
        <v>AOW03: Genetic Resources Policy</v>
      </c>
      <c r="B20" s="4" t="str">
        <v>Bioversity (Alliance)</v>
      </c>
      <c r="C20" s="4" t="str">
        <v>Brazil</v>
      </c>
      <c r="D20" s="5">
        <v>7</v>
      </c>
      <c r="E20" s="4">
        <v>189</v>
      </c>
    </row>
    <row r="21" ht="45" customHeight="1">
      <c r="A21" s="4" t="str">
        <v>AOW03: Genetic Resources Policy</v>
      </c>
      <c r="B21" s="4" t="str">
        <v>Bioversity (Alliance)</v>
      </c>
      <c r="C21" s="4" t="str">
        <v>Canada</v>
      </c>
      <c r="D21" s="5">
        <v>7</v>
      </c>
      <c r="E21" s="4">
        <v>186</v>
      </c>
    </row>
    <row r="22" ht="45" customHeight="1">
      <c r="A22" s="4" t="str">
        <v>AOW03: Genetic Resources Policy</v>
      </c>
      <c r="B22" s="4" t="str">
        <v>Bioversity (Alliance)</v>
      </c>
      <c r="C22" s="4" t="str">
        <v>Colombia</v>
      </c>
      <c r="D22" s="5">
        <v>7</v>
      </c>
      <c r="E22" s="4">
        <v>729</v>
      </c>
    </row>
    <row r="23" ht="45" customHeight="1">
      <c r="A23" s="4" t="str">
        <v>AOW03: Genetic Resources Policy</v>
      </c>
      <c r="B23" s="4" t="str">
        <v>Bioversity (Alliance)</v>
      </c>
      <c r="C23" s="4" t="str">
        <v>Côte d'Ivoire</v>
      </c>
      <c r="D23" s="5">
        <v>7</v>
      </c>
      <c r="E23" s="4">
        <v>730</v>
      </c>
    </row>
    <row r="24" ht="45" customHeight="1">
      <c r="A24" s="4" t="str">
        <v>AOW03: Genetic Resources Policy</v>
      </c>
      <c r="B24" s="4" t="str">
        <v>Bioversity (Alliance)</v>
      </c>
      <c r="C24" s="4" t="str">
        <v>Ethiopia</v>
      </c>
      <c r="D24" s="5">
        <v>7</v>
      </c>
      <c r="E24" s="4">
        <v>731</v>
      </c>
    </row>
    <row r="25" ht="45" customHeight="1">
      <c r="A25" s="4" t="str">
        <v>AOW03: Genetic Resources Policy</v>
      </c>
      <c r="B25" s="4" t="str">
        <v>Bioversity (Alliance)</v>
      </c>
      <c r="C25" s="4" t="str">
        <v>India</v>
      </c>
      <c r="D25" s="5">
        <v>7</v>
      </c>
      <c r="E25" s="4">
        <v>732</v>
      </c>
    </row>
    <row r="26" ht="45" customHeight="1">
      <c r="A26" s="4" t="str">
        <v>AOW03: Genetic Resources Policy</v>
      </c>
      <c r="B26" s="4" t="str">
        <v>Bioversity (Alliance)</v>
      </c>
      <c r="C26" s="4" t="str">
        <v>Italy</v>
      </c>
      <c r="D26" s="5">
        <v>7</v>
      </c>
      <c r="E26" s="4">
        <v>127</v>
      </c>
    </row>
    <row r="27" ht="45" customHeight="1">
      <c r="A27" s="4" t="str">
        <v>AOW03: Genetic Resources Policy</v>
      </c>
      <c r="B27" s="4" t="str">
        <v>Bioversity (Alliance)</v>
      </c>
      <c r="C27" s="4" t="str">
        <v>Kenya</v>
      </c>
      <c r="D27" s="5">
        <v>7</v>
      </c>
      <c r="E27" s="4">
        <v>187</v>
      </c>
    </row>
    <row r="28" ht="45" customHeight="1">
      <c r="A28" s="4" t="str">
        <v>AOW03: Genetic Resources Policy</v>
      </c>
      <c r="B28" s="4" t="str">
        <v>Bioversity (Alliance)</v>
      </c>
      <c r="C28" s="4" t="str">
        <v>Lebanon</v>
      </c>
      <c r="D28" s="5">
        <v>5</v>
      </c>
      <c r="E28" s="4">
        <v>733</v>
      </c>
    </row>
    <row r="29" ht="45" customHeight="1">
      <c r="A29" s="4" t="str">
        <v>AOW03: Genetic Resources Policy</v>
      </c>
      <c r="B29" s="4" t="str">
        <v>Bioversity (Alliance)</v>
      </c>
      <c r="C29" s="4" t="str">
        <v>Mexico</v>
      </c>
      <c r="D29" s="5">
        <v>5</v>
      </c>
      <c r="E29" s="4">
        <v>734</v>
      </c>
    </row>
    <row r="30" ht="45" customHeight="1">
      <c r="A30" s="4" t="str">
        <v>AOW03: Genetic Resources Policy</v>
      </c>
      <c r="B30" s="4" t="str">
        <v>Bioversity (Alliance)</v>
      </c>
      <c r="C30" s="4" t="str">
        <v>Morocco</v>
      </c>
      <c r="D30" s="5">
        <v>3</v>
      </c>
      <c r="E30" s="4">
        <v>738</v>
      </c>
    </row>
    <row r="31" ht="45" customHeight="1">
      <c r="A31" s="4" t="str">
        <v>AOW03: Genetic Resources Policy</v>
      </c>
      <c r="B31" s="4" t="str">
        <v>Bioversity (Alliance)</v>
      </c>
      <c r="C31" s="4" t="str">
        <v>Nigeria</v>
      </c>
      <c r="D31" s="5">
        <v>5</v>
      </c>
      <c r="E31" s="4">
        <v>737</v>
      </c>
    </row>
    <row r="32" ht="45" customHeight="1">
      <c r="A32" s="4" t="str">
        <v>AOW03: Genetic Resources Policy</v>
      </c>
      <c r="B32" s="4" t="str">
        <v>Bioversity (Alliance)</v>
      </c>
      <c r="C32" s="4" t="str">
        <v>Peru</v>
      </c>
      <c r="D32" s="5">
        <v>2</v>
      </c>
      <c r="E32" s="4">
        <v>736</v>
      </c>
    </row>
    <row r="33" ht="45" customHeight="1">
      <c r="A33" s="4" t="str">
        <v>AOW03: Genetic Resources Policy</v>
      </c>
      <c r="B33" s="4" t="str">
        <v>Bioversity (Alliance)</v>
      </c>
      <c r="C33" s="4" t="str">
        <v>Philippines</v>
      </c>
      <c r="D33" s="5">
        <v>5</v>
      </c>
      <c r="E33" s="4">
        <v>735</v>
      </c>
    </row>
    <row r="34" ht="45" customHeight="1">
      <c r="A34" s="4" t="str">
        <v>AOW03: Genetic Resources Policy</v>
      </c>
      <c r="B34" s="4" t="str">
        <v>Bioversity (Alliance)</v>
      </c>
      <c r="C34" s="4" t="str">
        <v>United States of America</v>
      </c>
      <c r="D34" s="5">
        <v>5</v>
      </c>
      <c r="E34" s="4">
        <v>188</v>
      </c>
    </row>
    <row r="35" ht="45" customHeight="1">
      <c r="A35" s="8" t="str">
        <v>AOW04: Germplasm Health</v>
      </c>
      <c r="B35" s="4" t="str">
        <v>Bioversity (Alliance)</v>
      </c>
      <c r="C35" s="4" t="str">
        <v>Belgium</v>
      </c>
      <c r="D35" s="5">
        <v>8.699</v>
      </c>
      <c r="E35" s="4">
        <v>190</v>
      </c>
    </row>
    <row r="36" ht="45" customHeight="1">
      <c r="A36" s="4" t="str">
        <v>AOW04: Germplasm Health</v>
      </c>
      <c r="B36" s="4" t="str">
        <v>Bioversity (Alliance)</v>
      </c>
      <c r="C36" s="4" t="str">
        <v>Colombia</v>
      </c>
      <c r="D36" s="5">
        <v>8.3</v>
      </c>
      <c r="E36" s="4">
        <v>191</v>
      </c>
    </row>
    <row r="37" ht="45" customHeight="1">
      <c r="A37" s="4" t="str">
        <v>AOW04: Germplasm Health</v>
      </c>
      <c r="B37" s="4" t="str">
        <v>Bioversity (Alliance)</v>
      </c>
      <c r="C37" s="4" t="str">
        <v>Côte d'Ivoire</v>
      </c>
      <c r="D37" s="5">
        <v>8.3</v>
      </c>
      <c r="E37" s="4">
        <v>192</v>
      </c>
    </row>
    <row r="38" ht="45" customHeight="1">
      <c r="A38" s="4" t="str">
        <v>AOW04: Germplasm Health</v>
      </c>
      <c r="B38" s="4" t="str">
        <v>Bioversity (Alliance)</v>
      </c>
      <c r="C38" s="4" t="str">
        <v>Ethiopia</v>
      </c>
      <c r="D38" s="5">
        <v>8.3</v>
      </c>
      <c r="E38" s="4">
        <v>193</v>
      </c>
    </row>
    <row r="39" ht="45" customHeight="1">
      <c r="A39" s="4" t="str">
        <v>AOW04: Germplasm Health</v>
      </c>
      <c r="B39" s="4" t="str">
        <v>Bioversity (Alliance)</v>
      </c>
      <c r="C39" s="4" t="str">
        <v>India</v>
      </c>
      <c r="D39" s="5">
        <v>8.3</v>
      </c>
      <c r="E39" s="4">
        <v>194</v>
      </c>
    </row>
    <row r="40" ht="45" customHeight="1">
      <c r="A40" s="4" t="str">
        <v>AOW04: Germplasm Health</v>
      </c>
      <c r="B40" s="4" t="str">
        <v>Bioversity (Alliance)</v>
      </c>
      <c r="C40" s="4" t="str">
        <v>Lebanon</v>
      </c>
      <c r="D40" s="5">
        <v>8.3</v>
      </c>
      <c r="E40" s="4">
        <v>195</v>
      </c>
    </row>
    <row r="41" ht="45" customHeight="1">
      <c r="A41" s="4" t="str">
        <v>AOW04: Germplasm Health</v>
      </c>
      <c r="B41" s="4" t="str">
        <v>Bioversity (Alliance)</v>
      </c>
      <c r="C41" s="4" t="str">
        <v>Mexico</v>
      </c>
      <c r="D41" s="5">
        <v>8.3</v>
      </c>
      <c r="E41" s="4">
        <v>196</v>
      </c>
    </row>
    <row r="42" ht="45" customHeight="1">
      <c r="A42" s="4" t="str">
        <v>AOW04: Germplasm Health</v>
      </c>
      <c r="B42" s="4" t="str">
        <v>Bioversity (Alliance)</v>
      </c>
      <c r="C42" s="4" t="str">
        <v>Morocco</v>
      </c>
      <c r="D42" s="5">
        <v>8.3</v>
      </c>
      <c r="E42" s="4">
        <v>197</v>
      </c>
    </row>
    <row r="43" ht="45" customHeight="1">
      <c r="A43" s="4" t="str">
        <v>AOW04: Germplasm Health</v>
      </c>
      <c r="B43" s="4" t="str">
        <v>Bioversity (Alliance)</v>
      </c>
      <c r="C43" s="4" t="str">
        <v>Niger</v>
      </c>
      <c r="D43" s="5">
        <v>8.3</v>
      </c>
      <c r="E43" s="4">
        <v>198</v>
      </c>
    </row>
    <row r="44" ht="45" customHeight="1">
      <c r="A44" s="4" t="str">
        <v>AOW04: Germplasm Health</v>
      </c>
      <c r="B44" s="4" t="str">
        <v>Bioversity (Alliance)</v>
      </c>
      <c r="C44" s="4" t="str">
        <v>Nigeria</v>
      </c>
      <c r="D44" s="5">
        <v>8.3</v>
      </c>
      <c r="E44" s="4">
        <v>199</v>
      </c>
    </row>
    <row r="45" ht="45" customHeight="1">
      <c r="A45" s="4" t="str">
        <v>AOW04: Germplasm Health</v>
      </c>
      <c r="B45" s="4" t="str">
        <v>Bioversity (Alliance)</v>
      </c>
      <c r="C45" s="4" t="str">
        <v>Peru</v>
      </c>
      <c r="D45" s="5">
        <v>8.3</v>
      </c>
      <c r="E45" s="4">
        <v>200</v>
      </c>
    </row>
    <row r="46" ht="45" customHeight="1">
      <c r="A46" s="4" t="str">
        <v>AOW04: Germplasm Health</v>
      </c>
      <c r="B46" s="4" t="str">
        <v>Bioversity (Alliance)</v>
      </c>
      <c r="C46" s="4" t="str">
        <v>Philippines</v>
      </c>
      <c r="D46" s="5">
        <v>8.3</v>
      </c>
      <c r="E46" s="4">
        <v>201</v>
      </c>
    </row>
    <row r="47" ht="45" customHeight="1">
      <c r="A47" s="8" t="str">
        <v>AOW05: Strengthening Capacity for In Situ and Ex Situ Conservation Globally</v>
      </c>
      <c r="B47" s="4" t="str">
        <v>Bioversity (Alliance)</v>
      </c>
      <c r="C47" s="4" t="str">
        <v>Belgium</v>
      </c>
      <c r="D47" s="5">
        <v>4.87</v>
      </c>
      <c r="E47" s="4">
        <v>739</v>
      </c>
    </row>
    <row r="48" ht="45" customHeight="1">
      <c r="A48" s="4" t="str">
        <v>AOW05: Strengthening Capacity for In Situ and Ex Situ Conservation Globally</v>
      </c>
      <c r="B48" s="4" t="str">
        <v>Bioversity (Alliance)</v>
      </c>
      <c r="C48" s="4" t="str">
        <v>Canada</v>
      </c>
      <c r="D48" s="5">
        <v>3.329</v>
      </c>
      <c r="E48" s="4">
        <v>740</v>
      </c>
    </row>
    <row r="49" ht="45" customHeight="1">
      <c r="A49" s="4" t="str">
        <v>AOW05: Strengthening Capacity for In Situ and Ex Situ Conservation Globally</v>
      </c>
      <c r="B49" s="4" t="str">
        <v>Bioversity (Alliance)</v>
      </c>
      <c r="C49" s="4" t="str">
        <v>Colombia</v>
      </c>
      <c r="D49" s="5">
        <v>5.4</v>
      </c>
      <c r="E49" s="4">
        <v>741</v>
      </c>
    </row>
    <row r="50" ht="45" customHeight="1">
      <c r="A50" s="4" t="str">
        <v>AOW05: Strengthening Capacity for In Situ and Ex Situ Conservation Globally</v>
      </c>
      <c r="B50" s="4" t="str">
        <v>Bioversity (Alliance)</v>
      </c>
      <c r="C50" s="4" t="str">
        <v>Côte d'Ivoire</v>
      </c>
      <c r="D50" s="5">
        <v>5.4</v>
      </c>
      <c r="E50" s="4">
        <v>742</v>
      </c>
    </row>
    <row r="51" ht="45" customHeight="1">
      <c r="A51" s="4" t="str">
        <v>AOW05: Strengthening Capacity for In Situ and Ex Situ Conservation Globally</v>
      </c>
      <c r="B51" s="4" t="str">
        <v>Bioversity (Alliance)</v>
      </c>
      <c r="C51" s="4" t="str">
        <v>Ethiopia</v>
      </c>
      <c r="D51" s="5">
        <v>5.4</v>
      </c>
      <c r="E51" s="4">
        <v>743</v>
      </c>
    </row>
    <row r="52" ht="45" customHeight="1">
      <c r="A52" s="4" t="str">
        <v>AOW05: Strengthening Capacity for In Situ and Ex Situ Conservation Globally</v>
      </c>
      <c r="B52" s="4" t="str">
        <v>Bioversity (Alliance)</v>
      </c>
      <c r="C52" s="4" t="str">
        <v>India</v>
      </c>
      <c r="D52" s="5">
        <v>5.4</v>
      </c>
      <c r="E52" s="4">
        <v>744</v>
      </c>
    </row>
    <row r="53" ht="45" customHeight="1">
      <c r="A53" s="4" t="str">
        <v>AOW05: Strengthening Capacity for In Situ and Ex Situ Conservation Globally</v>
      </c>
      <c r="B53" s="4" t="str">
        <v>Bioversity (Alliance)</v>
      </c>
      <c r="C53" s="4" t="str">
        <v>Italy</v>
      </c>
      <c r="D53" s="5">
        <v>5.4</v>
      </c>
      <c r="E53" s="4">
        <v>745</v>
      </c>
    </row>
    <row r="54" ht="45" customHeight="1">
      <c r="A54" s="4" t="str">
        <v>AOW05: Strengthening Capacity for In Situ and Ex Situ Conservation Globally</v>
      </c>
      <c r="B54" s="4" t="str">
        <v>Bioversity (Alliance)</v>
      </c>
      <c r="C54" s="4" t="str">
        <v>Kenya</v>
      </c>
      <c r="D54" s="5">
        <v>5.4</v>
      </c>
      <c r="E54" s="4">
        <v>746</v>
      </c>
    </row>
    <row r="55" ht="45" customHeight="1">
      <c r="A55" s="4" t="str">
        <v>AOW05: Strengthening Capacity for In Situ and Ex Situ Conservation Globally</v>
      </c>
      <c r="B55" s="4" t="str">
        <v>Bioversity (Alliance)</v>
      </c>
      <c r="C55" s="4" t="str">
        <v>Lebanon</v>
      </c>
      <c r="D55" s="5">
        <v>5.4</v>
      </c>
      <c r="E55" s="4">
        <v>747</v>
      </c>
    </row>
    <row r="56" ht="45" customHeight="1">
      <c r="A56" s="4" t="str">
        <v>AOW05: Strengthening Capacity for In Situ and Ex Situ Conservation Globally</v>
      </c>
      <c r="B56" s="4" t="str">
        <v>Bioversity (Alliance)</v>
      </c>
      <c r="C56" s="4" t="str">
        <v>Mali</v>
      </c>
      <c r="D56" s="5">
        <v>5.4</v>
      </c>
      <c r="E56" s="4">
        <v>748</v>
      </c>
    </row>
    <row r="57" ht="45" customHeight="1">
      <c r="A57" s="4" t="str">
        <v>AOW05: Strengthening Capacity for In Situ and Ex Situ Conservation Globally</v>
      </c>
      <c r="B57" s="4" t="str">
        <v>Bioversity (Alliance)</v>
      </c>
      <c r="C57" s="4" t="str">
        <v>Mauritius</v>
      </c>
      <c r="D57" s="5">
        <v>5.4</v>
      </c>
      <c r="E57" s="4">
        <v>749</v>
      </c>
    </row>
    <row r="58" ht="45" customHeight="1">
      <c r="A58" s="4" t="str">
        <v>AOW05: Strengthening Capacity for In Situ and Ex Situ Conservation Globally</v>
      </c>
      <c r="B58" s="4" t="str">
        <v>Bioversity (Alliance)</v>
      </c>
      <c r="C58" s="4" t="str">
        <v>Mexico</v>
      </c>
      <c r="D58" s="5">
        <v>5.4</v>
      </c>
      <c r="E58" s="4">
        <v>750</v>
      </c>
    </row>
    <row r="59" ht="45" customHeight="1">
      <c r="A59" s="4" t="str">
        <v>AOW05: Strengthening Capacity for In Situ and Ex Situ Conservation Globally</v>
      </c>
      <c r="B59" s="4" t="str">
        <v>Bioversity (Alliance)</v>
      </c>
      <c r="C59" s="4" t="str">
        <v>Morocco</v>
      </c>
      <c r="D59" s="5">
        <v>5.4</v>
      </c>
      <c r="E59" s="4">
        <v>752</v>
      </c>
    </row>
    <row r="60" ht="45" customHeight="1">
      <c r="A60" s="4" t="str">
        <v>AOW05: Strengthening Capacity for In Situ and Ex Situ Conservation Globally</v>
      </c>
      <c r="B60" s="4" t="str">
        <v>Bioversity (Alliance)</v>
      </c>
      <c r="C60" s="4" t="str">
        <v>Niger</v>
      </c>
      <c r="D60" s="5">
        <v>5.4</v>
      </c>
      <c r="E60" s="4">
        <v>753</v>
      </c>
    </row>
    <row r="61" ht="45" customHeight="1">
      <c r="A61" s="4" t="str">
        <v>AOW05: Strengthening Capacity for In Situ and Ex Situ Conservation Globally</v>
      </c>
      <c r="B61" s="4" t="str">
        <v>Bioversity (Alliance)</v>
      </c>
      <c r="C61" s="4" t="str">
        <v>Nigeria</v>
      </c>
      <c r="D61" s="5">
        <v>5.4</v>
      </c>
      <c r="E61" s="4">
        <v>754</v>
      </c>
    </row>
    <row r="62" ht="45" customHeight="1">
      <c r="A62" s="4" t="str">
        <v>AOW05: Strengthening Capacity for In Situ and Ex Situ Conservation Globally</v>
      </c>
      <c r="B62" s="4" t="str">
        <v>Bioversity (Alliance)</v>
      </c>
      <c r="C62" s="4" t="str">
        <v>Papua New Guinea</v>
      </c>
      <c r="D62" s="5">
        <v>5.4</v>
      </c>
      <c r="E62" s="4">
        <v>755</v>
      </c>
    </row>
    <row r="63" ht="45" customHeight="1">
      <c r="A63" s="4" t="str">
        <v>AOW05: Strengthening Capacity for In Situ and Ex Situ Conservation Globally</v>
      </c>
      <c r="B63" s="4" t="str">
        <v>Bioversity (Alliance)</v>
      </c>
      <c r="C63" s="4" t="str">
        <v>Peru</v>
      </c>
      <c r="D63" s="5">
        <v>5.4</v>
      </c>
      <c r="E63" s="4">
        <v>756</v>
      </c>
    </row>
    <row r="64" ht="45" customHeight="1">
      <c r="A64" s="4" t="str">
        <v>AOW05: Strengthening Capacity for In Situ and Ex Situ Conservation Globally</v>
      </c>
      <c r="B64" s="4" t="str">
        <v>Bioversity (Alliance)</v>
      </c>
      <c r="C64" s="4" t="str">
        <v>Togo</v>
      </c>
      <c r="D64" s="5">
        <v>5.4</v>
      </c>
      <c r="E64" s="4">
        <v>751</v>
      </c>
    </row>
    <row r="65" ht="45" customHeight="1">
      <c r="A65" s="4" t="str">
        <v>AOW05: Strengthening Capacity for In Situ and Ex Situ Conservation Globally</v>
      </c>
      <c r="B65" s="4" t="str">
        <v>Bioversity (Alliance)</v>
      </c>
      <c r="C65" s="4" t="str">
        <v>United Kingdom of Great Britain and Northern Ireland</v>
      </c>
      <c r="D65" s="5">
        <v>5.4</v>
      </c>
      <c r="E65" s="4">
        <v>757</v>
      </c>
    </row>
  </sheetData>
  <mergeCells count="6">
    <mergeCell ref="A2"/>
    <mergeCell ref="A3:A15"/>
    <mergeCell ref="A16:A17"/>
    <mergeCell ref="A18:A34"/>
    <mergeCell ref="A35:A46"/>
    <mergeCell ref="A47:A65"/>
  </mergeCells>
  <ignoredErrors>
    <ignoredError numberStoredAsText="1" sqref="A1:E65"/>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120</v>
      </c>
    </row>
    <row r="3" ht="45" customHeight="1">
      <c r="A3" s="8" t="str">
        <v>AOW01: Biodiversity Conservation</v>
      </c>
      <c r="B3" s="4" t="str">
        <v>Bioversity (Alliance)</v>
      </c>
      <c r="C3" s="4" t="str">
        <v>Global</v>
      </c>
      <c r="D3" s="4" t="str">
        <v>global</v>
      </c>
      <c r="E3" s="5">
        <v>100</v>
      </c>
      <c r="F3" s="4">
        <v>121</v>
      </c>
    </row>
    <row r="4" ht="45" customHeight="1">
      <c r="A4" s="8" t="str">
        <v>AOW02: Strategic User Engagement</v>
      </c>
      <c r="B4" s="4" t="str">
        <v>Bioversity (Alliance)</v>
      </c>
      <c r="C4" s="4" t="str">
        <v>Global</v>
      </c>
      <c r="D4" s="4" t="str">
        <v>global</v>
      </c>
      <c r="E4" s="5">
        <v>100</v>
      </c>
      <c r="F4" s="4">
        <v>136</v>
      </c>
    </row>
    <row r="5" ht="45" customHeight="1">
      <c r="A5" s="8" t="str">
        <v>AOW03: Genetic Resources Policy</v>
      </c>
      <c r="B5" s="4" t="str">
        <v>Bioversity (Alliance)</v>
      </c>
      <c r="C5" s="4" t="str">
        <v>Global</v>
      </c>
      <c r="D5" s="4" t="str">
        <v>global</v>
      </c>
      <c r="E5" s="5">
        <v>100</v>
      </c>
      <c r="F5" s="4">
        <v>122</v>
      </c>
    </row>
    <row r="6" ht="45" customHeight="1">
      <c r="A6" s="8" t="str">
        <v>AOW04: Germplasm Health</v>
      </c>
      <c r="B6" s="4" t="str">
        <v>Bioversity (Alliance)</v>
      </c>
      <c r="C6" s="4" t="str">
        <v>Global</v>
      </c>
      <c r="D6" s="4" t="str">
        <v>global</v>
      </c>
      <c r="E6" s="5">
        <v>100</v>
      </c>
      <c r="F6" s="4">
        <v>133</v>
      </c>
    </row>
    <row r="7" ht="45" customHeight="1">
      <c r="A7" s="8" t="str">
        <v>AOW05: Strengthening Capacity for In Situ and Ex Situ Conservation Globally</v>
      </c>
      <c r="B7" s="4" t="str">
        <v>Bioversity (Alliance)</v>
      </c>
      <c r="C7" s="4" t="str">
        <v>Global</v>
      </c>
      <c r="D7" s="4" t="str">
        <v>global</v>
      </c>
      <c r="E7" s="5">
        <v>100</v>
      </c>
      <c r="F7" s="4">
        <v>134</v>
      </c>
    </row>
  </sheetData>
  <mergeCells count="6">
    <mergeCell ref="A2"/>
    <mergeCell ref="A3"/>
    <mergeCell ref="A4"/>
    <mergeCell ref="A5"/>
    <mergeCell ref="A6"/>
    <mergeCell ref="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