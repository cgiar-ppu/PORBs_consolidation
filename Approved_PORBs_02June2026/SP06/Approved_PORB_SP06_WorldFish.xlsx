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80015</v>
      </c>
      <c r="K4" s="5">
        <v>80015</v>
      </c>
      <c r="L4" s="5">
        <v>0</v>
      </c>
      <c r="M4" s="5">
        <v>0</v>
      </c>
      <c r="N4" s="4">
        <v>195</v>
      </c>
    </row>
    <row r="5" ht="20" customHeight="1">
      <c r="A5" s="4" t="str">
        <v xml:space="preserve">AOW01: Prioritization and Coordination of Climate Action </v>
      </c>
      <c r="B5" s="5">
        <v>1</v>
      </c>
      <c r="C5" s="5">
        <v>49767</v>
      </c>
      <c r="D5" s="5">
        <v>6</v>
      </c>
      <c r="E5" s="5">
        <v>20000</v>
      </c>
      <c r="F5" s="5">
        <v>0</v>
      </c>
      <c r="G5" s="5">
        <v>0</v>
      </c>
      <c r="H5" s="5">
        <v>0</v>
      </c>
      <c r="I5" s="5">
        <v>0</v>
      </c>
      <c r="J5" s="5">
        <v>69767</v>
      </c>
      <c r="K5" s="5">
        <v>69767</v>
      </c>
      <c r="L5" s="5">
        <v>0</v>
      </c>
      <c r="M5" s="5">
        <v>0</v>
      </c>
      <c r="N5" s="4">
        <v>193</v>
      </c>
    </row>
    <row r="6" ht="20" customHeight="1">
      <c r="A6" s="4" t="str">
        <v xml:space="preserve">AOW02: Digital Advisories and Climate Risk Management  </v>
      </c>
      <c r="B6" s="5">
        <v>4</v>
      </c>
      <c r="C6" s="5">
        <v>150000</v>
      </c>
      <c r="D6" s="5">
        <v>4</v>
      </c>
      <c r="E6" s="5">
        <v>100000</v>
      </c>
      <c r="F6" s="5">
        <v>0</v>
      </c>
      <c r="G6" s="5">
        <v>0</v>
      </c>
      <c r="H6" s="5">
        <v>0</v>
      </c>
      <c r="I6" s="5">
        <v>0</v>
      </c>
      <c r="J6" s="5">
        <v>250000</v>
      </c>
      <c r="K6" s="5">
        <v>250000</v>
      </c>
      <c r="L6" s="5">
        <v>15000</v>
      </c>
      <c r="M6" s="5">
        <v>0</v>
      </c>
      <c r="N6" s="4">
        <v>190</v>
      </c>
    </row>
    <row r="7" ht="20" customHeight="1">
      <c r="A7" s="4" t="str">
        <v xml:space="preserve">AOW03: Locally-led Adaptation  </v>
      </c>
      <c r="B7" s="5">
        <v>10</v>
      </c>
      <c r="C7" s="5">
        <v>195000</v>
      </c>
      <c r="D7" s="5">
        <v>10</v>
      </c>
      <c r="E7" s="5">
        <v>155000</v>
      </c>
      <c r="F7" s="5">
        <v>0</v>
      </c>
      <c r="G7" s="5">
        <v>0</v>
      </c>
      <c r="H7" s="5">
        <v>0</v>
      </c>
      <c r="I7" s="5">
        <v>0</v>
      </c>
      <c r="J7" s="5">
        <v>350000</v>
      </c>
      <c r="K7" s="5">
        <v>350000</v>
      </c>
      <c r="L7" s="5">
        <v>25000</v>
      </c>
      <c r="M7" s="5">
        <v>0</v>
      </c>
      <c r="N7" s="4">
        <v>194</v>
      </c>
    </row>
    <row r="8" ht="20" customHeight="1">
      <c r="A8" s="4" t="str">
        <v xml:space="preserve">AOW04: Low-emission Transitions  </v>
      </c>
      <c r="B8" s="5">
        <v>0</v>
      </c>
      <c r="C8" s="5">
        <v>0</v>
      </c>
      <c r="D8" s="5">
        <v>3</v>
      </c>
      <c r="E8" s="5">
        <v>100000</v>
      </c>
      <c r="F8" s="5">
        <v>0</v>
      </c>
      <c r="G8" s="5">
        <v>0</v>
      </c>
      <c r="H8" s="5">
        <v>0</v>
      </c>
      <c r="I8" s="5">
        <v>0</v>
      </c>
      <c r="J8" s="5">
        <v>100000</v>
      </c>
      <c r="K8" s="5">
        <v>100000</v>
      </c>
      <c r="L8" s="5">
        <v>28700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394767</v>
      </c>
      <c r="D10" s="7" t="str">
        <v/>
      </c>
      <c r="E10" s="7">
        <v>375000</v>
      </c>
      <c r="F10" s="7" t="str">
        <v/>
      </c>
      <c r="G10" s="7">
        <v>0</v>
      </c>
      <c r="H10" s="7" t="str">
        <v/>
      </c>
      <c r="I10" s="7">
        <v>0</v>
      </c>
      <c r="J10" s="7">
        <v>849782</v>
      </c>
      <c r="K10" s="7">
        <v>849782</v>
      </c>
      <c r="L10" s="7">
        <v>68700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WorldFish</v>
      </c>
      <c r="C3" s="4" t="str">
        <v>1.3. Harmonized data, simulations, insights and decision support tools</v>
      </c>
      <c r="D3" s="4" t="str">
        <v>Number of Climate Data Hub governance frameworks, analytical pipelines, and decision-support tools developed to support harmonized GHG data management, emission factor development, and national inventory and mitigation reporting</v>
      </c>
      <c r="E3" s="4" t="str">
        <v>Number of innovations (innovation development)</v>
      </c>
      <c r="F3" s="4" t="str">
        <v>The Republic of the Sudan, Niger, Tanzania, United Republic, Uganda, Philippines, Kenya, Honduras, Colombia, India, Nigeria, France, Malaysia</v>
      </c>
      <c r="G3" s="5">
        <v>1</v>
      </c>
      <c r="H3" s="5">
        <v>49767</v>
      </c>
      <c r="I3" s="4" t="str">
        <v>.</v>
      </c>
      <c r="J3" s="4">
        <v>5734</v>
      </c>
    </row>
    <row r="4" ht="50" customHeight="1">
      <c r="B4" s="4" t="str">
        <v>WorldFish</v>
      </c>
      <c r="D4" s="4" t="str">
        <v>Number of climate-relevant datasets, geospatial risk layers, and user guides curated and submitted to the Climate Data Hub</v>
      </c>
      <c r="E4" s="4" t="str">
        <v>Number of knowledge products</v>
      </c>
      <c r="F4" s="4" t="str">
        <v>France, United States of America, Sri Lanka, Tanzania, United Republic, The Republic of the Sudan, Niger, Ethiopia, Ghana, Colombia, Mali, Philippines, Uganda, Kenya, Nigeria, Malaysia, Portugal</v>
      </c>
      <c r="G4" s="5">
        <v>6</v>
      </c>
      <c r="H4" s="5">
        <v>20000</v>
      </c>
      <c r="I4" s="4" t="str">
        <v>.</v>
      </c>
      <c r="J4" s="4">
        <v>5739</v>
      </c>
    </row>
    <row r="5" ht="25" customHeight="1">
      <c r="C5" s="9" t="str">
        <v>HLO budget subtotal</v>
      </c>
      <c r="H5" s="9">
        <v>69767</v>
      </c>
      <c r="J5" s="9" t="str">
        <v/>
      </c>
    </row>
    <row r="6" ht="50" customHeight="1">
      <c r="A6" s="8" t="str">
        <v xml:space="preserve">AOW02: Digital Advisories and Climate Risk Management  </v>
      </c>
      <c r="B6" s="4" t="str">
        <v>WorldFish</v>
      </c>
      <c r="C6" s="4" t="str">
        <v>2.1. Climate information products and services</v>
      </c>
      <c r="D6" s="4" t="str">
        <v>Number of climate service quality reports, user feedback and synthesis on advisory service effectiveness produced</v>
      </c>
      <c r="E6" s="4" t="str">
        <v>Number of knowledge products</v>
      </c>
      <c r="F6" s="4" t="str">
        <v>Sri Lanka, Senegal, The Socialist Republic of Viet Nam, Kenya, Mali, Colombia, India, Zambia, Philippines, Nigeria, Bangladesh</v>
      </c>
      <c r="G6" s="5">
        <v>4</v>
      </c>
      <c r="H6" s="5">
        <v>100000</v>
      </c>
      <c r="I6" s="4" t="str">
        <v>.</v>
      </c>
      <c r="J6" s="4">
        <v>5686</v>
      </c>
    </row>
    <row r="7" ht="50" customHeight="1">
      <c r="B7" s="4" t="str">
        <v>WorldFish</v>
      </c>
      <c r="D7" s="4" t="str">
        <v>Number of localized digital climate advisory services, forecast-based decision tools, and index-based insurance products co-designed with farmers and intermediary service providers</v>
      </c>
      <c r="E7" s="4" t="str">
        <v>Number of innovations (innovation development)</v>
      </c>
      <c r="F7" s="4" t="str">
        <v>Sri Lanka, Ghana, Mali, Ethiopia, India, Bangladesh, Nigeria, Zambia, Philippines, Kenya, The Socialist Republic of Viet Nam</v>
      </c>
      <c r="G7" s="5">
        <v>4</v>
      </c>
      <c r="H7" s="5">
        <v>150000</v>
      </c>
      <c r="I7" s="4" t="str">
        <v>.</v>
      </c>
      <c r="J7" s="4">
        <v>5694</v>
      </c>
    </row>
    <row r="8" ht="25" customHeight="1">
      <c r="C8" s="9" t="str">
        <v>HLO budget subtotal</v>
      </c>
      <c r="H8" s="9">
        <v>250000</v>
      </c>
      <c r="J8" s="9" t="str">
        <v/>
      </c>
    </row>
    <row r="9" ht="50" customHeight="1">
      <c r="A9" s="8" t="str">
        <v xml:space="preserve">AOW03: Locally-led Adaptation  </v>
      </c>
      <c r="B9" s="4" t="str">
        <v>WorldFish</v>
      </c>
      <c r="C9" s="4" t="str">
        <v>3.1. Institutional innovations and technical practices</v>
      </c>
      <c r="D9" s="4" t="str">
        <v>Number of facilitator handbooks, practical guides, and compendiums documenting institutional innovations and locally-led adaptation principles for climate solution scaling</v>
      </c>
      <c r="E9" s="4" t="str">
        <v>Number of knowledge products</v>
      </c>
      <c r="F9" s="4" t="str">
        <v>Philippines, Kenya, Ethiopia</v>
      </c>
      <c r="G9" s="5">
        <v>2</v>
      </c>
      <c r="H9" s="5">
        <v>50000</v>
      </c>
      <c r="I9" s="4" t="str">
        <v>.</v>
      </c>
      <c r="J9" s="4">
        <v>5767</v>
      </c>
    </row>
    <row r="10" ht="50" customHeight="1">
      <c r="B10" s="4" t="str">
        <v>WorldFish</v>
      </c>
      <c r="D10" s="4" t="str">
        <v>Number of socio-technical innovation bundles and living lab governance models for climate adaptation co-created with local communities and institutional partners</v>
      </c>
      <c r="E10" s="4" t="str">
        <v>Number of innovations (innovation development)</v>
      </c>
      <c r="F10" s="4" t="str">
        <v>Tanzania, United Republic, Brazil, Niger, Mali, Ethiopia, Nigeria, India, Kenya, Bangladesh</v>
      </c>
      <c r="G10" s="5">
        <v>8</v>
      </c>
      <c r="H10" s="5">
        <v>120000</v>
      </c>
      <c r="I10" s="4" t="str">
        <v>.</v>
      </c>
      <c r="J10" s="4">
        <v>5770</v>
      </c>
    </row>
    <row r="11" ht="50" customHeight="1">
      <c r="A11" s="4" t="str">
        <v xml:space="preserve">AOW03: Locally-led Adaptation  </v>
      </c>
      <c r="B11" s="4" t="str">
        <v>WorldFish</v>
      </c>
      <c r="C11" s="4" t="str">
        <v>3.5. Recommendations on policies  and institutions for addressing the root causes of inequality</v>
      </c>
      <c r="D11" s="4" t="str">
        <v>Number of gender-transformative community adaptation plans and policy recommendations addressing root causes of inequality co-developed with local stakeholders</v>
      </c>
      <c r="E11" s="4" t="str">
        <v>Number of knowledge products</v>
      </c>
      <c r="F11" s="4" t="str">
        <v>Nigeria, Bangladesh, Tanzania, United Republic, Kenya</v>
      </c>
      <c r="G11" s="5">
        <v>8</v>
      </c>
      <c r="H11" s="5">
        <v>105000</v>
      </c>
      <c r="I11" s="4" t="str">
        <v>.</v>
      </c>
      <c r="J11" s="4">
        <v>5783</v>
      </c>
    </row>
    <row r="12" ht="50" customHeight="1">
      <c r="A12" s="4" t="str">
        <v xml:space="preserve">AOW03: Locally-led Adaptation  </v>
      </c>
      <c r="B12" s="4" t="str">
        <v>WorldFish</v>
      </c>
      <c r="C12" s="4" t="str">
        <v>3.2. Methodologies for implementing locally-led adaptation</v>
      </c>
      <c r="D12" s="4" t="str">
        <v>Number of participatory methodologies and toolboxes co-developed for locally-led adaptation governance, institutional innovation co-creation, and climate solution planning</v>
      </c>
      <c r="E12" s="4" t="str">
        <v>Number of innovations (innovation development)</v>
      </c>
      <c r="F12" s="4" t="str">
        <v>Bangladesh, Tanzania, United Republic, Nigeria, Niger, Mali</v>
      </c>
      <c r="G12" s="5">
        <v>2</v>
      </c>
      <c r="H12" s="5">
        <v>75000</v>
      </c>
      <c r="I12" s="4" t="str">
        <v>.</v>
      </c>
      <c r="J12" s="4">
        <v>7288</v>
      </c>
    </row>
    <row r="13" ht="25" customHeight="1">
      <c r="C13" s="9" t="str">
        <v>HLO budget subtotal</v>
      </c>
      <c r="H13" s="9">
        <v>350000</v>
      </c>
      <c r="J13" s="9" t="str">
        <v/>
      </c>
    </row>
    <row r="14" ht="50" customHeight="1">
      <c r="A14" s="8" t="str">
        <v xml:space="preserve">AOW04: Low-emission Transitions  </v>
      </c>
      <c r="B14" s="4" t="str">
        <v>WorldFish</v>
      </c>
      <c r="C14" s="4" t="str">
        <v>4.1. Evidence and partnerships to inform low-emission development</v>
      </c>
      <c r="D14" s="4" t="str">
        <v>Number of reports on policy readiness, methane reduction analyses, and institutional recommendations for low-emission development strategies  produced</v>
      </c>
      <c r="E14" s="4" t="str">
        <v>Number of knowledge products</v>
      </c>
      <c r="F14" s="4" t="str">
        <v>The Socialist Republic of Viet Nam, Philippines, India, Tanzania, United Republic, Egypt, Colombia, Kenya</v>
      </c>
      <c r="G14" s="5">
        <v>3</v>
      </c>
      <c r="H14" s="5">
        <v>100000</v>
      </c>
      <c r="I14" s="4" t="str">
        <v>.</v>
      </c>
      <c r="J14" s="4">
        <v>7303</v>
      </c>
    </row>
    <row r="15" ht="25" customHeight="1">
      <c r="C15" s="9" t="str">
        <v>HLO budget subtotal</v>
      </c>
      <c r="H15" s="9">
        <v>100000</v>
      </c>
      <c r="J15" s="9" t="str">
        <v/>
      </c>
    </row>
  </sheetData>
  <mergeCells count="17">
    <mergeCell ref="A1:A2"/>
    <mergeCell ref="B1:B2"/>
    <mergeCell ref="C1:C2"/>
    <mergeCell ref="D1:H1"/>
    <mergeCell ref="I1:I2"/>
    <mergeCell ref="J1:J2"/>
    <mergeCell ref="C3:C4"/>
    <mergeCell ref="C5:G5"/>
    <mergeCell ref="A3:A5"/>
    <mergeCell ref="C6:C7"/>
    <mergeCell ref="C8:G8"/>
    <mergeCell ref="A6:A8"/>
    <mergeCell ref="C9:C10"/>
    <mergeCell ref="C13:G13"/>
    <mergeCell ref="A9:A13"/>
    <mergeCell ref="C15:G15"/>
    <mergeCell ref="A14:A15"/>
  </mergeCells>
  <ignoredErrors>
    <ignoredError numberStoredAsText="1" sqref="A1:J15"/>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AOW02: Digital Advisories and Climate Risk Management  </v>
      </c>
      <c r="B2" s="4" t="str">
        <v>Green Delta Insurance Company Limited</v>
      </c>
      <c r="C2" s="4" t="str">
        <v>WorldFish</v>
      </c>
      <c r="D2" s="4" t="str">
        <v>Bangladesh</v>
      </c>
      <c r="E2" s="5">
        <v>5000</v>
      </c>
      <c r="F2" s="4" t="str">
        <v>Green Delta has launched weather index–based agriculture insurance in Bangladesh. Partnering with them will open opportunities for aquaculture by enabling the development of weather index–based aquaculture insurance and bundling it with our climate services, thereby strengthening risk protection and climate resilience for fish farmers.</v>
      </c>
      <c r="G2" s="4">
        <v>161</v>
      </c>
    </row>
    <row r="3" ht="50" customHeight="1">
      <c r="A3" s="4" t="str">
        <v xml:space="preserve">AOW02: Digital Advisories and Climate Risk Management  </v>
      </c>
      <c r="B3" s="4" t="str">
        <v>Crea2Sol Pvt Ltd</v>
      </c>
      <c r="C3" s="4" t="str">
        <v>WorldFish</v>
      </c>
      <c r="D3" s="4" t="str">
        <v>Zambia</v>
      </c>
      <c r="E3" s="5">
        <v>10000</v>
      </c>
      <c r="F3" s="4" t="str">
        <v>.</v>
      </c>
      <c r="G3" s="4">
        <v>503</v>
      </c>
    </row>
    <row r="4" ht="25" customHeight="1">
      <c r="B4" s="9" t="str">
        <v>Contracted partners subtotal</v>
      </c>
      <c r="E4" s="9">
        <v>15000</v>
      </c>
      <c r="F4" s="9" t="str">
        <v/>
      </c>
      <c r="G4" s="9" t="str">
        <v/>
      </c>
    </row>
    <row r="5" ht="50" customHeight="1">
      <c r="A5" s="8" t="str">
        <v xml:space="preserve">AOW03: Locally-led Adaptation  </v>
      </c>
      <c r="B5" s="4" t="str">
        <v>Environmental Management and Economic Development Organization</v>
      </c>
      <c r="C5" s="4" t="str">
        <v>WorldFish</v>
      </c>
      <c r="D5" s="4" t="str">
        <v>Tanzania, United Republic</v>
      </c>
      <c r="E5" s="5">
        <v>25000</v>
      </c>
      <c r="F5" s="4" t="str">
        <v>.</v>
      </c>
      <c r="G5" s="4">
        <v>335</v>
      </c>
    </row>
    <row r="6" ht="25" customHeight="1">
      <c r="B6" s="9" t="str">
        <v>Contracted partners subtotal</v>
      </c>
      <c r="E6" s="9">
        <v>25000</v>
      </c>
      <c r="F6" s="9" t="str">
        <v/>
      </c>
      <c r="G6" s="9" t="str">
        <v/>
      </c>
    </row>
    <row r="7" ht="50" customHeight="1">
      <c r="A7" s="8" t="str">
        <v xml:space="preserve">AOW04: Low-emission Transitions  </v>
      </c>
      <c r="B7" s="4" t="str">
        <v>Center for International Forestry Research (CIFOR) and World Agroforestry (ICRAF)</v>
      </c>
      <c r="C7" s="4" t="str">
        <v>WorldFish</v>
      </c>
      <c r="D7" s="4" t="str">
        <v>India</v>
      </c>
      <c r="E7" s="5">
        <v>25000</v>
      </c>
      <c r="F7" s="4" t="str">
        <v>Drawing on their experience with quantifying ecosystem services in mangrove ecosystems and integrated mangrove aquaculture systems, CIFOR-ICRAF will support development and implementation of our analytical protocol.</v>
      </c>
      <c r="G7" s="4">
        <v>162</v>
      </c>
    </row>
    <row r="8" ht="50" customHeight="1">
      <c r="A8" s="4" t="str">
        <v xml:space="preserve">AOW04: Low-emission Transitions  </v>
      </c>
      <c r="B8" s="4" t="str">
        <v>Indian Council of Agricultural Research</v>
      </c>
      <c r="C8" s="4" t="str">
        <v>WorldFish</v>
      </c>
      <c r="D8" s="4" t="str">
        <v>India</v>
      </c>
      <c r="E8" s="5">
        <v>3700</v>
      </c>
      <c r="F8" s="4" t="str">
        <v>Additional partner to support the soil/water analysis.The institute has the required technical capacity to conduct soil sample analysis in accordance with CIFOR-ICRAF protocols.</v>
      </c>
      <c r="G8" s="4">
        <v>163</v>
      </c>
    </row>
    <row r="9" ht="25" customHeight="1">
      <c r="B9" s="9" t="str">
        <v>Contracted partners subtotal</v>
      </c>
      <c r="E9" s="9">
        <v>28700</v>
      </c>
      <c r="F9" s="9" t="str">
        <v/>
      </c>
      <c r="G9" s="9" t="str">
        <v/>
      </c>
    </row>
  </sheetData>
  <mergeCells count="6">
    <mergeCell ref="B4:D4"/>
    <mergeCell ref="A2:A4"/>
    <mergeCell ref="B6:D6"/>
    <mergeCell ref="A5:A6"/>
    <mergeCell ref="B9:D9"/>
    <mergeCell ref="A7: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New finance for just climate action and transitions</v>
      </c>
      <c r="D2" s="5">
        <v>824739</v>
      </c>
      <c r="E2" s="4" t="str">
        <v>.</v>
      </c>
      <c r="F2" s="4">
        <v>1102</v>
      </c>
    </row>
    <row r="3" ht="60" customHeight="1">
      <c r="A3" s="4" t="str">
        <v>WorldFish</v>
      </c>
      <c r="B3" s="4" t="str">
        <v>F-PP-2022-1020-Climate-Resilient Aquaculture Systems for Afr (AG10618)</v>
      </c>
      <c r="C3" s="4" t="str">
        <v>New finance for just climate action and transitions</v>
      </c>
      <c r="D3" s="5">
        <v>1397371</v>
      </c>
      <c r="E3" s="4" t="str">
        <v>.</v>
      </c>
      <c r="F3" s="4">
        <v>1100</v>
      </c>
    </row>
    <row r="4" ht="25" customHeight="1">
      <c r="B4" s="9" t="str">
        <v>W3/Bilateral budget subtotal</v>
      </c>
      <c r="D4" s="9">
        <v>2222110</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WorldFish</v>
      </c>
      <c r="C2" s="4" t="str">
        <v>Area of Work Leads</v>
      </c>
      <c r="D2" s="5">
        <v>69950</v>
      </c>
      <c r="E2" s="4" t="str">
        <v>$80,015 for Tigchelaar, Michelle.</v>
      </c>
      <c r="F2" s="4">
        <v>242</v>
      </c>
      <c r="G2" s="4">
        <v>3</v>
      </c>
    </row>
    <row r="3" ht="45" customHeight="1">
      <c r="A3" s="4" t="str">
        <v>AOW00: Cross Cutting</v>
      </c>
      <c r="B3" s="4" t="str">
        <v>WorldFish</v>
      </c>
      <c r="C3" s="4" t="str">
        <v>Operations</v>
      </c>
      <c r="D3" s="5">
        <v>10065</v>
      </c>
      <c r="E3" s="4" t="str">
        <v>AoW1 Lead travel and operations</v>
      </c>
      <c r="F3" s="4">
        <v>247</v>
      </c>
      <c r="G3" s="4">
        <v>4</v>
      </c>
    </row>
    <row r="4" ht="25" customHeight="1">
      <c r="C4" s="9" t="str">
        <v>Cross-cutting budget subtotal</v>
      </c>
      <c r="D4" s="9">
        <v>80015</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69950</v>
      </c>
      <c r="C2" s="5">
        <v>59308</v>
      </c>
      <c r="D2" s="5">
        <v>167684</v>
      </c>
      <c r="E2" s="5">
        <v>208397</v>
      </c>
      <c r="F2" s="5">
        <v>51358</v>
      </c>
      <c r="G2" s="5">
        <v>0</v>
      </c>
      <c r="H2" s="5">
        <f>=SUM(B2:G2)</f>
        <v>0</v>
      </c>
    </row>
    <row r="3" ht="20" customHeight="1">
      <c r="A3" s="4" t="str">
        <v>Operations (supplies, consultants, travels, workshops, other)</v>
      </c>
      <c r="B3" s="5">
        <v>10065</v>
      </c>
      <c r="C3" s="5">
        <v>10459</v>
      </c>
      <c r="D3" s="5">
        <v>67316</v>
      </c>
      <c r="E3" s="5">
        <v>116603</v>
      </c>
      <c r="F3" s="5">
        <v>19942</v>
      </c>
      <c r="G3" s="5">
        <v>0</v>
      </c>
      <c r="H3" s="5">
        <f>=SUM(B3:G3)</f>
        <v>0</v>
      </c>
    </row>
    <row r="4" ht="20" customHeight="1">
      <c r="A4" s="4" t="str">
        <v>Collaborators non-CGIAR centers</v>
      </c>
      <c r="B4" s="5">
        <v>0</v>
      </c>
      <c r="C4" s="5">
        <v>0</v>
      </c>
      <c r="D4" s="5">
        <v>15000</v>
      </c>
      <c r="E4" s="5">
        <v>25000</v>
      </c>
      <c r="F4" s="5">
        <v>28700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Malaysia</v>
      </c>
      <c r="D2" s="5">
        <v>100</v>
      </c>
      <c r="E2" s="4">
        <v>3175</v>
      </c>
    </row>
    <row r="3" ht="45" customHeight="1">
      <c r="A3" s="8" t="str">
        <v xml:space="preserve">AOW01: Prioritization and Coordination of Climate Action </v>
      </c>
      <c r="B3" s="4" t="str">
        <v>WorldFish</v>
      </c>
      <c r="C3" s="4" t="str">
        <v>India</v>
      </c>
      <c r="D3" s="5">
        <v>0</v>
      </c>
      <c r="E3" s="4">
        <v>1926</v>
      </c>
    </row>
    <row r="4" ht="45" customHeight="1">
      <c r="A4" s="4" t="str">
        <v xml:space="preserve">AOW01: Prioritization and Coordination of Climate Action </v>
      </c>
      <c r="B4" s="4" t="str">
        <v>WorldFish</v>
      </c>
      <c r="C4" s="4" t="str">
        <v>Kenya</v>
      </c>
      <c r="D4" s="5">
        <v>0</v>
      </c>
      <c r="E4" s="4">
        <v>1925</v>
      </c>
    </row>
    <row r="5" ht="45" customHeight="1">
      <c r="A5" s="4" t="str">
        <v xml:space="preserve">AOW01: Prioritization and Coordination of Climate Action </v>
      </c>
      <c r="B5" s="4" t="str">
        <v>WorldFish</v>
      </c>
      <c r="C5" s="4" t="str">
        <v>Malaysia</v>
      </c>
      <c r="D5" s="5">
        <v>100</v>
      </c>
      <c r="E5" s="4">
        <v>1923</v>
      </c>
    </row>
    <row r="6" ht="45" customHeight="1">
      <c r="A6" s="4" t="str">
        <v xml:space="preserve">AOW01: Prioritization and Coordination of Climate Action </v>
      </c>
      <c r="B6" s="4" t="str">
        <v>WorldFish</v>
      </c>
      <c r="C6" s="4" t="str">
        <v>Niger</v>
      </c>
      <c r="D6" s="5">
        <v>0</v>
      </c>
      <c r="E6" s="4">
        <v>1924</v>
      </c>
    </row>
    <row r="7" ht="45" customHeight="1">
      <c r="A7" s="4" t="str">
        <v xml:space="preserve">AOW01: Prioritization and Coordination of Climate Action </v>
      </c>
      <c r="B7" s="4" t="str">
        <v>WorldFish</v>
      </c>
      <c r="C7" s="4" t="str">
        <v>Tanzania</v>
      </c>
      <c r="D7" s="5">
        <v>0</v>
      </c>
      <c r="E7" s="4">
        <v>1927</v>
      </c>
    </row>
    <row r="8" ht="45" customHeight="1">
      <c r="A8" s="4" t="str">
        <v xml:space="preserve">AOW01: Prioritization and Coordination of Climate Action </v>
      </c>
      <c r="B8" s="4" t="str">
        <v>WorldFish</v>
      </c>
      <c r="C8" s="4" t="str">
        <v>United States of America</v>
      </c>
      <c r="D8" s="5">
        <v>0</v>
      </c>
      <c r="E8" s="4">
        <v>1928</v>
      </c>
    </row>
    <row r="9" ht="45" customHeight="1">
      <c r="A9" s="8" t="str">
        <v xml:space="preserve">AOW02: Digital Advisories and Climate Risk Management  </v>
      </c>
      <c r="B9" s="4" t="str">
        <v>WorldFish</v>
      </c>
      <c r="C9" s="4" t="str">
        <v>Bangladesh</v>
      </c>
      <c r="D9" s="5">
        <v>50</v>
      </c>
      <c r="E9" s="4">
        <v>1930</v>
      </c>
    </row>
    <row r="10" ht="45" customHeight="1">
      <c r="A10" s="4" t="str">
        <v xml:space="preserve">AOW02: Digital Advisories and Climate Risk Management  </v>
      </c>
      <c r="B10" s="4" t="str">
        <v>WorldFish</v>
      </c>
      <c r="C10" s="4" t="str">
        <v>India</v>
      </c>
      <c r="D10" s="5">
        <v>0</v>
      </c>
      <c r="E10" s="4">
        <v>1931</v>
      </c>
    </row>
    <row r="11" ht="45" customHeight="1">
      <c r="A11" s="4" t="str">
        <v xml:space="preserve">AOW02: Digital Advisories and Climate Risk Management  </v>
      </c>
      <c r="B11" s="4" t="str">
        <v>WorldFish</v>
      </c>
      <c r="C11" s="4" t="str">
        <v>Zambia</v>
      </c>
      <c r="D11" s="5">
        <v>50</v>
      </c>
      <c r="E11" s="4">
        <v>1929</v>
      </c>
    </row>
    <row r="12" ht="45" customHeight="1">
      <c r="A12" s="8" t="str">
        <v xml:space="preserve">AOW03: Locally-led Adaptation  </v>
      </c>
      <c r="B12" s="4" t="str">
        <v>WorldFish</v>
      </c>
      <c r="C12" s="4" t="str">
        <v>Bangladesh</v>
      </c>
      <c r="D12" s="5">
        <v>43</v>
      </c>
      <c r="E12" s="4">
        <v>1932</v>
      </c>
    </row>
    <row r="13" ht="45" customHeight="1">
      <c r="A13" s="4" t="str">
        <v xml:space="preserve">AOW03: Locally-led Adaptation  </v>
      </c>
      <c r="B13" s="4" t="str">
        <v>WorldFish</v>
      </c>
      <c r="C13" s="4" t="str">
        <v>Brazil</v>
      </c>
      <c r="D13" s="5">
        <v>0</v>
      </c>
      <c r="E13" s="4">
        <v>1933</v>
      </c>
    </row>
    <row r="14" ht="45" customHeight="1">
      <c r="A14" s="4" t="str">
        <v xml:space="preserve">AOW03: Locally-led Adaptation  </v>
      </c>
      <c r="B14" s="4" t="str">
        <v>WorldFish</v>
      </c>
      <c r="C14" s="4" t="str">
        <v>India</v>
      </c>
      <c r="D14" s="5">
        <v>0</v>
      </c>
      <c r="E14" s="4">
        <v>1934</v>
      </c>
    </row>
    <row r="15" ht="45" customHeight="1">
      <c r="A15" s="4" t="str">
        <v xml:space="preserve">AOW03: Locally-led Adaptation  </v>
      </c>
      <c r="B15" s="4" t="str">
        <v>WorldFish</v>
      </c>
      <c r="C15" s="4" t="str">
        <v>Kenya</v>
      </c>
      <c r="D15" s="5">
        <v>7</v>
      </c>
      <c r="E15" s="4">
        <v>3177</v>
      </c>
    </row>
    <row r="16" ht="45" customHeight="1">
      <c r="A16" s="4" t="str">
        <v xml:space="preserve">AOW03: Locally-led Adaptation  </v>
      </c>
      <c r="B16" s="4" t="str">
        <v>WorldFish</v>
      </c>
      <c r="C16" s="4" t="str">
        <v>Philippines</v>
      </c>
      <c r="D16" s="5">
        <v>7</v>
      </c>
      <c r="E16" s="4">
        <v>3176</v>
      </c>
    </row>
    <row r="17" ht="45" customHeight="1">
      <c r="A17" s="4" t="str">
        <v xml:space="preserve">AOW03: Locally-led Adaptation  </v>
      </c>
      <c r="B17" s="4" t="str">
        <v>WorldFish</v>
      </c>
      <c r="C17" s="4" t="str">
        <v>Tanzania</v>
      </c>
      <c r="D17" s="5">
        <v>43</v>
      </c>
      <c r="E17" s="4">
        <v>1935</v>
      </c>
    </row>
    <row r="18" ht="45" customHeight="1">
      <c r="A18" s="8" t="str">
        <v xml:space="preserve">AOW04: Low-emission Transitions  </v>
      </c>
      <c r="B18" s="4" t="str">
        <v>WorldFish</v>
      </c>
      <c r="C18" s="4" t="str">
        <v>India</v>
      </c>
      <c r="D18" s="5">
        <v>100</v>
      </c>
      <c r="E18" s="4">
        <v>1936</v>
      </c>
    </row>
    <row r="19" ht="45" customHeight="1">
      <c r="A19" s="4" t="str">
        <v xml:space="preserve">AOW04: Low-emission Transitions  </v>
      </c>
      <c r="B19" s="4" t="str">
        <v>WorldFish</v>
      </c>
      <c r="C19" s="4" t="str">
        <v>Tanzania</v>
      </c>
      <c r="D19" s="5">
        <v>0</v>
      </c>
      <c r="E19" s="4">
        <v>1937</v>
      </c>
    </row>
  </sheetData>
  <mergeCells count="5">
    <mergeCell ref="A2"/>
    <mergeCell ref="A3:A8"/>
    <mergeCell ref="A9:A11"/>
    <mergeCell ref="A12:A17"/>
    <mergeCell ref="A18:A19"/>
  </mergeCells>
  <ignoredErrors>
    <ignoredError numberStoredAsText="1" sqref="A1:E19"/>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Global</v>
      </c>
      <c r="D2" s="4" t="str">
        <v>global</v>
      </c>
      <c r="E2" s="5">
        <v>100</v>
      </c>
      <c r="F2" s="4">
        <v>1435</v>
      </c>
    </row>
    <row r="3" ht="45" customHeight="1">
      <c r="A3" s="8" t="str">
        <v xml:space="preserve">AOW01: Prioritization and Coordination of Climate Action </v>
      </c>
      <c r="B3" s="4" t="str">
        <v>WorldFish</v>
      </c>
      <c r="C3" s="4" t="str">
        <v>Global</v>
      </c>
      <c r="D3" s="4" t="str">
        <v>global</v>
      </c>
      <c r="E3" s="5">
        <v>100</v>
      </c>
      <c r="F3" s="4">
        <v>665</v>
      </c>
    </row>
    <row r="4" ht="45" customHeight="1">
      <c r="A4" s="8" t="str">
        <v xml:space="preserve">AOW02: Digital Advisories and Climate Risk Management  </v>
      </c>
      <c r="B4" s="4" t="str">
        <v>WorldFish</v>
      </c>
      <c r="C4" s="4" t="str">
        <v>Bangladesh</v>
      </c>
      <c r="D4" s="4" t="str">
        <v>country</v>
      </c>
      <c r="E4" s="5">
        <v>50</v>
      </c>
      <c r="F4" s="4">
        <v>1417</v>
      </c>
    </row>
    <row r="5" ht="45" customHeight="1">
      <c r="A5" s="4" t="str">
        <v xml:space="preserve">AOW02: Digital Advisories and Climate Risk Management  </v>
      </c>
      <c r="B5" s="4" t="str">
        <v>WorldFish</v>
      </c>
      <c r="C5" s="4" t="str">
        <v>India</v>
      </c>
      <c r="D5" s="4" t="str">
        <v>country</v>
      </c>
      <c r="E5" s="5">
        <v>0</v>
      </c>
      <c r="F5" s="4">
        <v>1418</v>
      </c>
    </row>
    <row r="6" ht="45" customHeight="1">
      <c r="A6" s="4" t="str">
        <v xml:space="preserve">AOW02: Digital Advisories and Climate Risk Management  </v>
      </c>
      <c r="B6" s="4" t="str">
        <v>WorldFish</v>
      </c>
      <c r="C6" s="4" t="str">
        <v>Zambia</v>
      </c>
      <c r="D6" s="4" t="str">
        <v>country</v>
      </c>
      <c r="E6" s="5">
        <v>50</v>
      </c>
      <c r="F6" s="4">
        <v>1419</v>
      </c>
    </row>
    <row r="7" ht="45" customHeight="1">
      <c r="A7" s="8" t="str">
        <v xml:space="preserve">AOW03: Locally-led Adaptation  </v>
      </c>
      <c r="B7" s="4" t="str">
        <v>WorldFish</v>
      </c>
      <c r="C7" s="4" t="str">
        <v>Global</v>
      </c>
      <c r="D7" s="4" t="str">
        <v>global</v>
      </c>
      <c r="E7" s="5">
        <v>100</v>
      </c>
      <c r="F7" s="4">
        <v>1420</v>
      </c>
    </row>
    <row r="8" ht="45" customHeight="1">
      <c r="A8" s="8" t="str">
        <v xml:space="preserve">AOW04: Low-emission Transitions  </v>
      </c>
      <c r="B8" s="4" t="str">
        <v>WorldFish</v>
      </c>
      <c r="C8" s="4" t="str">
        <v>Global</v>
      </c>
      <c r="D8" s="4" t="str">
        <v>global</v>
      </c>
      <c r="E8" s="5">
        <v>100</v>
      </c>
      <c r="F8" s="4">
        <v>672</v>
      </c>
    </row>
    <row r="9" ht="45" customHeight="1">
      <c r="A9" s="8" t="str">
        <v xml:space="preserve">AOW05: Finance and Policy for Scaling Solutions </v>
      </c>
      <c r="B9" s="4" t="str">
        <v>WorldFish</v>
      </c>
      <c r="C9" s="4" t="str">
        <v>Global</v>
      </c>
      <c r="D9" s="4" t="str">
        <v>global</v>
      </c>
      <c r="E9" s="5">
        <v>100</v>
      </c>
      <c r="F9" s="4">
        <v>673</v>
      </c>
    </row>
  </sheetData>
  <mergeCells count="6">
    <mergeCell ref="A2"/>
    <mergeCell ref="A3"/>
    <mergeCell ref="A4:A6"/>
    <mergeCell ref="A7"/>
    <mergeCell ref="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