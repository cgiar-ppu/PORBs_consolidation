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657245</v>
      </c>
      <c r="K4" s="5">
        <v>657245</v>
      </c>
      <c r="L4" s="5">
        <v>0</v>
      </c>
      <c r="M4" s="5">
        <v>0</v>
      </c>
      <c r="N4" s="4">
        <v>176</v>
      </c>
    </row>
    <row r="5" ht="20" customHeight="1">
      <c r="A5" s="4" t="str">
        <v>AOW01: Productivity+</v>
      </c>
      <c r="B5" s="5">
        <v>19</v>
      </c>
      <c r="C5" s="5">
        <v>1160516</v>
      </c>
      <c r="D5" s="5">
        <v>24</v>
      </c>
      <c r="E5" s="5">
        <v>1436850</v>
      </c>
      <c r="F5" s="5">
        <v>275</v>
      </c>
      <c r="G5" s="5">
        <v>280000</v>
      </c>
      <c r="H5" s="5">
        <v>42</v>
      </c>
      <c r="I5" s="5">
        <v>532666</v>
      </c>
      <c r="J5" s="5">
        <v>3410032</v>
      </c>
      <c r="K5" s="5">
        <v>3410032</v>
      </c>
      <c r="L5" s="5">
        <v>303500</v>
      </c>
      <c r="M5" s="5">
        <v>0</v>
      </c>
      <c r="N5" s="4">
        <v>175</v>
      </c>
    </row>
    <row r="6" ht="20" customHeight="1">
      <c r="A6" s="4" t="str">
        <v>AOW02: Climate and the Environment</v>
      </c>
      <c r="B6" s="5">
        <v>1</v>
      </c>
      <c r="C6" s="5">
        <v>100749</v>
      </c>
      <c r="D6" s="5">
        <v>12</v>
      </c>
      <c r="E6" s="5">
        <v>245071</v>
      </c>
      <c r="F6" s="5">
        <v>0</v>
      </c>
      <c r="G6" s="5">
        <v>0</v>
      </c>
      <c r="H6" s="5">
        <v>0</v>
      </c>
      <c r="I6" s="5">
        <v>0</v>
      </c>
      <c r="J6" s="5">
        <v>345820</v>
      </c>
      <c r="K6" s="5">
        <v>345820</v>
      </c>
      <c r="L6" s="5">
        <v>0</v>
      </c>
      <c r="M6" s="5">
        <v>0</v>
      </c>
      <c r="N6" s="4">
        <v>173</v>
      </c>
    </row>
    <row r="7" ht="20" customHeight="1">
      <c r="A7" s="4" t="str">
        <v>AOW03: One Health</v>
      </c>
      <c r="B7" s="5">
        <v>5</v>
      </c>
      <c r="C7" s="5">
        <v>529350</v>
      </c>
      <c r="D7" s="5">
        <v>20</v>
      </c>
      <c r="E7" s="5">
        <v>809487</v>
      </c>
      <c r="F7" s="5">
        <v>130</v>
      </c>
      <c r="G7" s="5">
        <v>53791</v>
      </c>
      <c r="H7" s="5">
        <v>5005</v>
      </c>
      <c r="I7" s="5">
        <v>287852</v>
      </c>
      <c r="J7" s="5">
        <v>1680480</v>
      </c>
      <c r="K7" s="5">
        <v>1680480</v>
      </c>
      <c r="L7" s="5">
        <v>0</v>
      </c>
      <c r="M7" s="5">
        <v>0</v>
      </c>
      <c r="N7" s="4">
        <v>170</v>
      </c>
    </row>
    <row r="8" ht="20" customHeight="1">
      <c r="A8" s="4" t="str">
        <v>AOW04: Market Systems, Policy Solutions and Scaling</v>
      </c>
      <c r="B8" s="5">
        <v>4</v>
      </c>
      <c r="C8" s="5">
        <v>242925</v>
      </c>
      <c r="D8" s="5">
        <v>7</v>
      </c>
      <c r="E8" s="5">
        <v>322000</v>
      </c>
      <c r="F8" s="5">
        <v>60</v>
      </c>
      <c r="G8" s="5">
        <v>63000</v>
      </c>
      <c r="H8" s="5">
        <v>6</v>
      </c>
      <c r="I8" s="5">
        <v>250000</v>
      </c>
      <c r="J8" s="5">
        <v>877925</v>
      </c>
      <c r="K8" s="5">
        <v>877925</v>
      </c>
      <c r="L8" s="5">
        <v>0</v>
      </c>
      <c r="M8" s="5">
        <v>0</v>
      </c>
      <c r="N8" s="4">
        <v>172</v>
      </c>
    </row>
    <row r="9" ht="20" customHeight="1">
      <c r="A9" s="4" t="str">
        <v>AOW05: Gender, Youth and Social Inclusion</v>
      </c>
      <c r="B9" s="5">
        <v>1</v>
      </c>
      <c r="C9" s="5">
        <v>170000</v>
      </c>
      <c r="D9" s="5">
        <v>7</v>
      </c>
      <c r="E9" s="5">
        <v>399053</v>
      </c>
      <c r="F9" s="5">
        <v>0</v>
      </c>
      <c r="G9" s="5">
        <v>0</v>
      </c>
      <c r="H9" s="5">
        <v>0</v>
      </c>
      <c r="I9" s="5">
        <v>0</v>
      </c>
      <c r="J9" s="5">
        <v>569053</v>
      </c>
      <c r="K9" s="5">
        <v>569053</v>
      </c>
      <c r="L9" s="5">
        <v>100000</v>
      </c>
      <c r="M9" s="5">
        <v>0</v>
      </c>
      <c r="N9" s="4">
        <v>171</v>
      </c>
    </row>
    <row r="10" ht="20" customHeight="1">
      <c r="A10" s="4" t="str">
        <v>AOW06: Data and Digital Solutions</v>
      </c>
      <c r="B10" s="5">
        <v>1</v>
      </c>
      <c r="C10" s="5">
        <v>10000</v>
      </c>
      <c r="D10" s="5">
        <v>4</v>
      </c>
      <c r="E10" s="5">
        <v>102283</v>
      </c>
      <c r="F10" s="5">
        <v>50</v>
      </c>
      <c r="G10" s="5">
        <v>20000</v>
      </c>
      <c r="H10" s="5">
        <v>0</v>
      </c>
      <c r="I10" s="5">
        <v>0</v>
      </c>
      <c r="J10" s="5">
        <v>132283</v>
      </c>
      <c r="K10" s="5">
        <v>132283</v>
      </c>
      <c r="L10" s="5">
        <v>0</v>
      </c>
      <c r="M10" s="5">
        <v>0</v>
      </c>
      <c r="N10" s="4">
        <v>174</v>
      </c>
    </row>
    <row r="11" ht="25" customHeight="1">
      <c r="A11" s="6" t="str">
        <v>Total</v>
      </c>
      <c r="B11" s="7" t="str">
        <v/>
      </c>
      <c r="C11" s="7">
        <v>2213540</v>
      </c>
      <c r="D11" s="7" t="str">
        <v/>
      </c>
      <c r="E11" s="7">
        <v>3314744</v>
      </c>
      <c r="F11" s="7" t="str">
        <v/>
      </c>
      <c r="G11" s="7">
        <v>416791</v>
      </c>
      <c r="H11" s="7" t="str">
        <v/>
      </c>
      <c r="I11" s="7">
        <v>1070518</v>
      </c>
      <c r="J11" s="7">
        <v>7672838</v>
      </c>
      <c r="K11" s="7">
        <v>7672838</v>
      </c>
      <c r="L11" s="7">
        <v>403500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Productivity+</v>
      </c>
      <c r="B3" s="4" t="str">
        <v>ILRI</v>
      </c>
      <c r="C3" s="4" t="str">
        <v>HLO 1.2 - Cost-efficient animal and aquatic species feed and forage innovations and inclusive delivery models</v>
      </c>
      <c r="D3" s="4" t="str">
        <v>Critical capability: ILRI Kapiti Research Station and Wildlife Conservancy for animal feeding trials comparing farmer practice with feed baskets including improved forages will be carried out to elicit productivity, economic and environmental gains</v>
      </c>
      <c r="E3" s="4" t="str">
        <v>custom</v>
      </c>
      <c r="F3" s="4" t="str">
        <v>Kenya</v>
      </c>
      <c r="G3" s="5">
        <v>1</v>
      </c>
      <c r="H3" s="5">
        <v>100000</v>
      </c>
      <c r="I3" s="4" t="str">
        <v>Estimate for personnel, supplies and services</v>
      </c>
      <c r="J3" s="4">
        <v>5088</v>
      </c>
    </row>
    <row r="4" ht="50" customHeight="1">
      <c r="B4" s="4" t="str">
        <v>ILRI</v>
      </c>
      <c r="D4" s="4" t="str">
        <v xml:space="preserve"> Vietnam - beef cattle and pigs: on-station feeding trials to optimize feeding strategies for beef cattle: feeding trial data generated</v>
      </c>
      <c r="E4" s="4" t="str">
        <v>custom</v>
      </c>
      <c r="F4" s="4" t="str">
        <v>The Socialist Republic of Viet Nam</v>
      </c>
      <c r="G4" s="5">
        <v>1</v>
      </c>
      <c r="H4" s="5">
        <v>43666</v>
      </c>
      <c r="I4" s="4" t="str">
        <v>Estimate for personnel, supplies and services, partners</v>
      </c>
      <c r="J4" s="4">
        <v>5089</v>
      </c>
    </row>
    <row r="5" ht="50" customHeight="1">
      <c r="B5" s="4" t="str">
        <v>ILRI</v>
      </c>
      <c r="D5" s="4" t="str">
        <v>Mali - small ruminants: development of tailored-feed intervention for small ruminant fattening systems in Mali</v>
      </c>
      <c r="E5" s="4" t="str">
        <v>Number of innovations (innovation development)</v>
      </c>
      <c r="F5" s="4" t="str">
        <v>Mali</v>
      </c>
      <c r="G5" s="5">
        <v>1</v>
      </c>
      <c r="H5" s="5">
        <v>32350</v>
      </c>
      <c r="I5" s="4" t="str">
        <v>Estimate for personnel, supplies and services</v>
      </c>
      <c r="J5" s="4">
        <v>5090</v>
      </c>
    </row>
    <row r="6" ht="50" customHeight="1">
      <c r="B6" s="4" t="str">
        <v>ILRI</v>
      </c>
      <c r="D6" s="4" t="str">
        <v>Global - Productivity+: strenghtening of the Sub-Saharan Africa feed composition database: database updated with new data</v>
      </c>
      <c r="E6" s="4" t="str">
        <v>Number of innovations (innovation development)</v>
      </c>
      <c r="F6" s="4" t="str">
        <v>Ethiopia, Kenya</v>
      </c>
      <c r="G6" s="5">
        <v>1</v>
      </c>
      <c r="H6" s="5">
        <v>62330</v>
      </c>
      <c r="I6" s="4" t="str">
        <v>Estimate for personnel, supplies and services</v>
      </c>
      <c r="J6" s="4">
        <v>5091</v>
      </c>
    </row>
    <row r="7" ht="50" customHeight="1">
      <c r="B7" s="4" t="str">
        <v>ILRI</v>
      </c>
      <c r="D7" s="4" t="str">
        <v>Global - Productivity+: evaluating forages for scaling across different agro-ecological zones in East Africa</v>
      </c>
      <c r="E7" s="4" t="str">
        <v>Number of knowledge products</v>
      </c>
      <c r="F7" s="4" t="str">
        <v>Kenya</v>
      </c>
      <c r="G7" s="5">
        <v>1</v>
      </c>
      <c r="H7" s="5">
        <v>40000</v>
      </c>
      <c r="I7" s="4" t="str">
        <v>Estimate for personnel, supplies and services</v>
      </c>
      <c r="J7" s="4">
        <v>5094</v>
      </c>
    </row>
    <row r="8" ht="50" customHeight="1">
      <c r="B8" s="4" t="str">
        <v>ILRI</v>
      </c>
      <c r="D8" s="4" t="str">
        <v>Global - Productivity+: online version of G-FEAST tool to select and optimise local feed baskets</v>
      </c>
      <c r="E8" s="4" t="str">
        <v>Number of innovations (innovation development)</v>
      </c>
      <c r="F8" s="4" t="str">
        <v>Kenya</v>
      </c>
      <c r="G8" s="5">
        <v>1</v>
      </c>
      <c r="H8" s="5">
        <v>60000</v>
      </c>
      <c r="I8" s="4" t="str">
        <v>Estimate for personnel, supplies and services</v>
      </c>
      <c r="J8" s="4">
        <v>5095</v>
      </c>
    </row>
    <row r="9" ht="50" customHeight="1" xml:space="preserve">
      <c r="B9" s="4" t="str">
        <v>ILRI</v>
      </c>
      <c r="D9" s="4" t="str" xml:space="preserve">
        <v xml:space="preserve">Nepal - dairy buffalo: A functional protocol for commercial production of new forage seed
</v>
      </c>
      <c r="E9" s="4" t="str">
        <v>Number of knowledge products</v>
      </c>
      <c r="F9" s="4" t="str">
        <v>Nepal</v>
      </c>
      <c r="G9" s="5">
        <v>1</v>
      </c>
      <c r="H9" s="5">
        <v>44927</v>
      </c>
      <c r="I9" s="4" t="str">
        <v>Estimate for personnel, supplies and services</v>
      </c>
      <c r="J9" s="4">
        <v>5097</v>
      </c>
    </row>
    <row r="10" ht="50" customHeight="1" xml:space="preserve">
      <c r="B10" s="4" t="str">
        <v>ILRI</v>
      </c>
      <c r="D10" s="4" t="str">
        <v>Nepal - dairy buffalo: Functional digital feed advisory platform being used by village livestock promoters /technicians to advise dairy farmers to improve profitability through feed balancing and feed quality upgradation</v>
      </c>
      <c r="E10" s="4" t="str">
        <v>Number of innovations (innovation development)</v>
      </c>
      <c r="F10" s="4" t="str">
        <v>Nepal</v>
      </c>
      <c r="G10" s="5">
        <v>1</v>
      </c>
      <c r="H10" s="5">
        <v>45000</v>
      </c>
      <c r="I10" s="4" t="str" xml:space="preserve">
        <v xml:space="preserve">Estimate for personnel, supplies and services
</v>
      </c>
      <c r="J10" s="4">
        <v>5098</v>
      </c>
    </row>
    <row r="11" ht="50" customHeight="1">
      <c r="B11" s="4" t="str">
        <v>ILRI</v>
      </c>
      <c r="D11" s="4" t="str">
        <v>Uganda - pigs: evidence of whether pig feeds constitute a risk for African swine fever virus transmission: database of results from testing feeds for African Swine Fever using real time PCR</v>
      </c>
      <c r="E11" s="4" t="str">
        <v>Number of knowledge products</v>
      </c>
      <c r="F11" s="4" t="str">
        <v>Uganda</v>
      </c>
      <c r="G11" s="5">
        <v>1</v>
      </c>
      <c r="H11" s="5">
        <v>20000</v>
      </c>
      <c r="I11" s="4" t="str">
        <v>Estimate for personnel, supplies and services</v>
      </c>
      <c r="J11" s="4">
        <v>5099</v>
      </c>
    </row>
    <row r="12" ht="50" customHeight="1">
      <c r="B12" s="4" t="str">
        <v>ILRI</v>
      </c>
      <c r="D12" s="4" t="str">
        <v xml:space="preserve">Uganda - pigs: Evidence of how different creep feed diets impact piglet performance, including average daily gain: database   </v>
      </c>
      <c r="E12" s="4" t="str">
        <v>Number of knowledge products</v>
      </c>
      <c r="F12" s="4" t="str">
        <v>Uganda</v>
      </c>
      <c r="G12" s="5">
        <v>1</v>
      </c>
      <c r="H12" s="5">
        <v>95837</v>
      </c>
      <c r="I12" s="4" t="str">
        <v>Estimate for personnel, supplies and services, partners</v>
      </c>
      <c r="J12" s="4">
        <v>5100</v>
      </c>
    </row>
    <row r="13" ht="50" customHeight="1">
      <c r="B13" s="4" t="str">
        <v>ILRI</v>
      </c>
      <c r="D13" s="4" t="str">
        <v>Mali - small ruminants: development of an optimized feed rations for small ruminants based on locally available feed resource</v>
      </c>
      <c r="E13" s="4" t="str">
        <v>Number of knowledge products</v>
      </c>
      <c r="F13" s="4" t="str">
        <v>Mali</v>
      </c>
      <c r="G13" s="5">
        <v>1</v>
      </c>
      <c r="H13" s="5">
        <v>32350</v>
      </c>
      <c r="I13" s="4" t="str">
        <v>Estimate for personnel, supplies and services</v>
      </c>
      <c r="J13" s="4">
        <v>5110</v>
      </c>
    </row>
    <row r="14" ht="50" customHeight="1">
      <c r="B14" s="4" t="str">
        <v>ILRI</v>
      </c>
      <c r="D14" s="4" t="str">
        <v>Kenya - dairy cattle: appropriate forage technologies (improved, drought-tolerant and high-yielding) selected, validated and promoted for enhanced adoption</v>
      </c>
      <c r="E14" s="4" t="str">
        <v>Number of innovations (innovation development)</v>
      </c>
      <c r="F14" s="4" t="str">
        <v>Kenya</v>
      </c>
      <c r="G14" s="5">
        <v>2</v>
      </c>
      <c r="H14" s="5">
        <v>50000</v>
      </c>
      <c r="I14" s="4" t="str">
        <v>Estimate for personnel, supplies and services</v>
      </c>
      <c r="J14" s="4">
        <v>5111</v>
      </c>
    </row>
    <row r="15" ht="50" customHeight="1">
      <c r="B15" s="4" t="str">
        <v>ILRI</v>
      </c>
      <c r="D15" s="4" t="str">
        <v>Kenya - dairy cattle: evaluation of  silage practices amongst pioneer farmers and recommendation to improve silage making amongst small scale farmers</v>
      </c>
      <c r="E15" s="4" t="str">
        <v>Number of knowledge products</v>
      </c>
      <c r="F15" s="4" t="str">
        <v>Kenya</v>
      </c>
      <c r="G15" s="5">
        <v>1</v>
      </c>
      <c r="H15" s="5">
        <v>50000</v>
      </c>
      <c r="I15" s="4" t="str">
        <v>Estimate for personnel, supplies and services</v>
      </c>
      <c r="J15" s="4">
        <v>5112</v>
      </c>
    </row>
    <row r="16" ht="50" customHeight="1">
      <c r="B16" s="4" t="str">
        <v>ILRI</v>
      </c>
      <c r="D16" s="4" t="str">
        <v>Kenya - dairy cattle: locally based optimized feed rations for key dairy production cycles developed and validated</v>
      </c>
      <c r="E16" s="4" t="str">
        <v>Number of knowledge products</v>
      </c>
      <c r="F16" s="4" t="str">
        <v>Kenya</v>
      </c>
      <c r="G16" s="5">
        <v>1</v>
      </c>
      <c r="H16" s="5">
        <v>87048</v>
      </c>
      <c r="I16" s="4" t="str">
        <v>Estimate for personnel, supplies and services, partners</v>
      </c>
      <c r="J16" s="4">
        <v>5113</v>
      </c>
    </row>
    <row r="17" ht="50" customHeight="1">
      <c r="A17" s="4" t="str">
        <v>AOW01: Productivity+</v>
      </c>
      <c r="B17" s="4" t="str">
        <v>ILRI</v>
      </c>
      <c r="C17" s="4" t="str">
        <v>HLO 1.3 - Cost-efficient animal and aquatic species health and welfare innovations and inclusive delivery models</v>
      </c>
      <c r="D17" s="4" t="str">
        <v>Uganda - pigs: development of a delivery business model of a context specific pig herd heath package (including vaccination)</v>
      </c>
      <c r="E17" s="4" t="str">
        <v>Number of innovations (innovation development)</v>
      </c>
      <c r="F17" s="4" t="str">
        <v>Uganda</v>
      </c>
      <c r="G17" s="5">
        <v>1</v>
      </c>
      <c r="H17" s="5">
        <v>65000</v>
      </c>
      <c r="I17" s="4" t="str">
        <v>Estimate for personnel, supplies and services</v>
      </c>
      <c r="J17" s="4">
        <v>5114</v>
      </c>
    </row>
    <row r="18" ht="50" customHeight="1">
      <c r="B18" s="4" t="str">
        <v>ILRI</v>
      </c>
      <c r="D18" s="4" t="str">
        <v>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v>
      </c>
      <c r="E18" s="4" t="str">
        <v>Number of innovations (innovation development)</v>
      </c>
      <c r="F18" s="4" t="str">
        <v>Kenya</v>
      </c>
      <c r="G18" s="5">
        <v>1</v>
      </c>
      <c r="H18" s="5">
        <v>70000</v>
      </c>
      <c r="I18" s="4" t="str">
        <v>Estimate for personnel, supplies and services</v>
      </c>
      <c r="J18" s="4">
        <v>5115</v>
      </c>
    </row>
    <row r="19" ht="50" customHeight="1">
      <c r="B19" s="4" t="str">
        <v>ILRI</v>
      </c>
      <c r="D19" s="4" t="str">
        <v>Nepal - dairy buffalo: Enhanced capacity of Nepal's lab for Lumpy Skin Disease vaccine quality control</v>
      </c>
      <c r="E19" s="4" t="str">
        <v>Number of people trained (capacity sharing for development)</v>
      </c>
      <c r="F19" s="4" t="str">
        <v>Nepal</v>
      </c>
      <c r="G19" s="5">
        <v>5</v>
      </c>
      <c r="H19" s="5">
        <v>40000</v>
      </c>
      <c r="I19" s="4" t="str">
        <v>Estimate for personnel, supplies and services</v>
      </c>
      <c r="J19" s="4">
        <v>5117</v>
      </c>
    </row>
    <row r="20" ht="50" customHeight="1">
      <c r="B20" s="4" t="str">
        <v>ILRI</v>
      </c>
      <c r="D20" s="4" t="str">
        <v>Uganda - pigs: evidence of adoption and impacts of a piloted pig herd-health innovation package (comprising messaging on pig herd-health as well as use of models farms to demonstrate practices) and recommendations for scaling</v>
      </c>
      <c r="E20" s="4" t="str">
        <v>Number of knowledge products</v>
      </c>
      <c r="F20" s="4" t="str">
        <v>Uganda</v>
      </c>
      <c r="G20" s="5">
        <v>1</v>
      </c>
      <c r="H20" s="5">
        <v>30000</v>
      </c>
      <c r="I20" s="4" t="str">
        <v>Estimate for personnel, supplies and services</v>
      </c>
      <c r="J20" s="4">
        <v>5118</v>
      </c>
    </row>
    <row r="21" ht="50" customHeight="1">
      <c r="B21" s="4" t="str">
        <v>ILRI</v>
      </c>
      <c r="D21" s="4" t="str">
        <v>Tanzania - chicken: assessment of chicken flock health issues and inform flock health package/intervention: database on chicken health</v>
      </c>
      <c r="E21" s="4" t="str">
        <v>Number of knowledge products</v>
      </c>
      <c r="F21" s="4" t="str">
        <v>Tanzania, United Republic</v>
      </c>
      <c r="G21" s="5">
        <v>1</v>
      </c>
      <c r="H21" s="5">
        <v>145508</v>
      </c>
      <c r="I21" s="4" t="str">
        <v>Estimate for personnel, supplies and services, partners</v>
      </c>
      <c r="J21" s="4">
        <v>5119</v>
      </c>
    </row>
    <row r="22" ht="50" customHeight="1">
      <c r="B22" s="4" t="str">
        <v>ILRI</v>
      </c>
      <c r="D22" s="4" t="str">
        <v>Vietnam - beef cattle and pigs: scaling the herd health package, via capacity building of animal health workers, to an additional commune with Son La province</v>
      </c>
      <c r="E22" s="4" t="str">
        <v>Number of people trained (capacity sharing for development)</v>
      </c>
      <c r="F22" s="4" t="str">
        <v>The Socialist Republic of Viet Nam</v>
      </c>
      <c r="G22" s="5">
        <v>20</v>
      </c>
      <c r="H22" s="5">
        <v>105000</v>
      </c>
      <c r="I22" s="4" t="str">
        <v>Estimate for personnel, supplies and services, partners</v>
      </c>
      <c r="J22" s="4">
        <v>5120</v>
      </c>
    </row>
    <row r="23" ht="50" customHeight="1">
      <c r="B23" s="4" t="str">
        <v>ILRI</v>
      </c>
      <c r="D23" s="4" t="str">
        <v>Mali - small ruminants: policy brief on improved delivery of peste des petits ruminant thermotolerant vaccine</v>
      </c>
      <c r="E23" s="4" t="str">
        <v>Number of knowledge products</v>
      </c>
      <c r="F23" s="4" t="str">
        <v>Mali</v>
      </c>
      <c r="G23" s="5">
        <v>1</v>
      </c>
      <c r="H23" s="5">
        <v>90000</v>
      </c>
      <c r="I23" s="4" t="str">
        <v>Estimate for personnel, supplies and services, partners</v>
      </c>
      <c r="J23" s="4">
        <v>5122</v>
      </c>
    </row>
    <row r="24" ht="50" customHeight="1">
      <c r="B24" s="4" t="str">
        <v>ILRI</v>
      </c>
      <c r="D24" s="4" t="str">
        <v>Mali - small ruminants: context specific sustainable delivery of sheep and goats herd health packages codesigned and tested for adoptability</v>
      </c>
      <c r="E24" s="4" t="str">
        <v>Number of innovations (innovation development)</v>
      </c>
      <c r="F24" s="4" t="str">
        <v>Mali</v>
      </c>
      <c r="G24" s="5">
        <v>1</v>
      </c>
      <c r="H24" s="5">
        <v>100000</v>
      </c>
      <c r="I24" s="4" t="str">
        <v>Estimate for personnel, supplies and services</v>
      </c>
      <c r="J24" s="4">
        <v>5124</v>
      </c>
    </row>
    <row r="25" ht="50" customHeight="1">
      <c r="B25" s="4" t="str">
        <v>ILRI</v>
      </c>
      <c r="D25" s="4" t="str">
        <v>Kenya - dairy cattle:   Emerging evidence on application of the business model for sustainable delivery of the herd health package</v>
      </c>
      <c r="E25" s="4" t="str">
        <v>Number of knowledge products</v>
      </c>
      <c r="F25" s="4" t="str">
        <v>Kenya</v>
      </c>
      <c r="G25" s="5">
        <v>1</v>
      </c>
      <c r="H25" s="5">
        <v>50000</v>
      </c>
      <c r="I25" s="4" t="str">
        <v>Estimate for personnel, supplies and services</v>
      </c>
      <c r="J25" s="4">
        <v>5125</v>
      </c>
    </row>
    <row r="26" ht="50" customHeight="1">
      <c r="B26" s="4" t="str">
        <v>ILRI</v>
      </c>
      <c r="D26" s="4" t="str">
        <v>Kenya - dairy cattle: A business model for sustainable delivery of herd health package codesigned and deployed for testing in the dairy system</v>
      </c>
      <c r="E26" s="4" t="str">
        <v>Number of innovations (innovation development)</v>
      </c>
      <c r="F26" s="4" t="str">
        <v>Kenya</v>
      </c>
      <c r="G26" s="5">
        <v>1</v>
      </c>
      <c r="H26" s="5">
        <v>48000</v>
      </c>
      <c r="I26" s="4" t="str">
        <v>Estimate for personnel, supplies and services</v>
      </c>
      <c r="J26" s="4">
        <v>5126</v>
      </c>
    </row>
    <row r="27" ht="50" customHeight="1" xml:space="preserve">
      <c r="B27" s="4" t="str">
        <v>ILRI</v>
      </c>
      <c r="D27" s="4" t="str" xml:space="preserve">
        <v xml:space="preserve">Global - Productivity+:  A prevalence map of the distribution of African Swine Fever genotypes in East Africa to inform future vaccine trials: Uganda focus 
</v>
      </c>
      <c r="E27" s="4" t="str">
        <v>Number of knowledge products</v>
      </c>
      <c r="F27" s="4" t="str">
        <v>Kenya, Uganda</v>
      </c>
      <c r="G27" s="5">
        <v>1</v>
      </c>
      <c r="H27" s="5">
        <v>40000</v>
      </c>
      <c r="I27" s="4" t="str">
        <v>Estimate for personnel, supplies and services</v>
      </c>
      <c r="J27" s="4">
        <v>7607</v>
      </c>
    </row>
    <row r="28" ht="50" customHeight="1">
      <c r="B28" s="4" t="str">
        <v>ILRI</v>
      </c>
      <c r="D28" s="4" t="str">
        <v>Ethiopia - small ruminants: training of herd health champions in Community-Based Breeding Program villages in Ethiopia</v>
      </c>
      <c r="E28" s="4" t="str">
        <v>Number of people trained (capacity sharing for development)</v>
      </c>
      <c r="F28" s="4" t="str">
        <v>Ethiopia</v>
      </c>
      <c r="G28" s="5">
        <v>50</v>
      </c>
      <c r="H28" s="5">
        <v>50000</v>
      </c>
      <c r="I28" s="4" t="str">
        <v>Estimate for personnel, supplies and services</v>
      </c>
      <c r="J28" s="4">
        <v>7610</v>
      </c>
    </row>
    <row r="29" ht="50" customHeight="1">
      <c r="A29" s="4" t="str">
        <v>AOW01: Productivity+</v>
      </c>
      <c r="B29" s="4" t="str">
        <v>ILRI</v>
      </c>
      <c r="C29" s="4" t="str">
        <v>HLO 1.5  - Inclusive approaches, tools and capacity sharing to support animal and aquatic food producers to adopt combinations of innovations</v>
      </c>
      <c r="D29" s="4" t="str">
        <v>Nepal - dairy buffalo: Protocol /strategy for mandatory inclusion of women and youth in dairy value chain activities including recommendations for capacity building</v>
      </c>
      <c r="E29" s="4" t="str">
        <v>Number of knowledge products</v>
      </c>
      <c r="F29" s="4" t="str">
        <v>Nepal</v>
      </c>
      <c r="G29" s="5">
        <v>1</v>
      </c>
      <c r="H29" s="5">
        <v>95351</v>
      </c>
      <c r="I29" s="4" t="str">
        <v>Estimate for personnel, supplies and services</v>
      </c>
      <c r="J29" s="4">
        <v>5127</v>
      </c>
    </row>
    <row r="30" ht="50" customHeight="1">
      <c r="B30" s="4" t="str">
        <v>ILRI</v>
      </c>
      <c r="D30" s="4" t="str">
        <v>Vietnam - beef cattle and pigs: development of market sytem approach on bundling service delivery, advisory support, and output market facilitation,  through entreprenurial orientation of technical local agents</v>
      </c>
      <c r="E30" s="4" t="str">
        <v>Number of innovations (innovation development)</v>
      </c>
      <c r="F30" s="4" t="str">
        <v>The Socialist Republic of Viet Nam</v>
      </c>
      <c r="G30" s="5">
        <v>1</v>
      </c>
      <c r="H30" s="5">
        <v>87134</v>
      </c>
      <c r="I30" s="4" t="str">
        <v>Estimate for personnel, supplies and services, partners</v>
      </c>
      <c r="J30" s="4">
        <v>5130</v>
      </c>
    </row>
    <row r="31" ht="50" customHeight="1">
      <c r="B31" s="4" t="str">
        <v>ILRI</v>
      </c>
      <c r="D31" s="4" t="str">
        <v>Vietnam - beef cattle and pigs: pilot test of the beef-cattle weigh band with smallholder cattle keepers and other actors: pilot initiated</v>
      </c>
      <c r="E31" s="4" t="str">
        <v>custom</v>
      </c>
      <c r="F31" s="4" t="str">
        <v>The Socialist Republic of Viet Nam</v>
      </c>
      <c r="G31" s="5">
        <v>1</v>
      </c>
      <c r="H31" s="5">
        <v>30000</v>
      </c>
      <c r="I31" s="4" t="str">
        <v>Estimate for personnel, supplies and services</v>
      </c>
      <c r="J31" s="4">
        <v>5131</v>
      </c>
    </row>
    <row r="32" ht="50" customHeight="1">
      <c r="B32" s="4" t="str">
        <v>ILRI</v>
      </c>
      <c r="D32" s="4" t="str">
        <v>Uganda - pigs: development a mobile phone application designed to determine the profit (or loss) of smallholder pig enterprises</v>
      </c>
      <c r="E32" s="4" t="str">
        <v>Number of innovations (innovation development)</v>
      </c>
      <c r="F32" s="4" t="str">
        <v>Uganda</v>
      </c>
      <c r="G32" s="5">
        <v>1</v>
      </c>
      <c r="H32" s="5">
        <v>45351</v>
      </c>
      <c r="I32" s="4" t="str">
        <v>Estimate for personnel, supplies and services</v>
      </c>
      <c r="J32" s="4">
        <v>5133</v>
      </c>
    </row>
    <row r="33" ht="50" customHeight="1">
      <c r="B33" s="4" t="str">
        <v>ILRI</v>
      </c>
      <c r="D33" s="4" t="str">
        <v>Uganda - pigs: A brief documenting pilot testing of the entrepreneurship ecosystem approach for  pork market actors in Uganda</v>
      </c>
      <c r="E33" s="4" t="str">
        <v>Number of knowledge products</v>
      </c>
      <c r="F33" s="4" t="str">
        <v>Uganda</v>
      </c>
      <c r="G33" s="5">
        <v>1</v>
      </c>
      <c r="H33" s="5">
        <v>87134</v>
      </c>
      <c r="I33" s="4" t="str">
        <v>Estimate for personnel, supplies and services</v>
      </c>
      <c r="J33" s="4">
        <v>5134</v>
      </c>
    </row>
    <row r="34" ht="50" customHeight="1">
      <c r="B34" s="4" t="str">
        <v>ILRI</v>
      </c>
      <c r="D34" s="4" t="str">
        <v>Tanzania - chicken: Enhance the promotion of digital services by training farmers and service providers through agrienterpreurship model</v>
      </c>
      <c r="E34" s="4" t="str">
        <v>Number of people trained (capacity sharing for development)</v>
      </c>
      <c r="F34" s="4" t="str">
        <v>Tanzania, United Republic</v>
      </c>
      <c r="G34" s="5">
        <v>40</v>
      </c>
      <c r="H34" s="5">
        <v>25000</v>
      </c>
      <c r="I34" s="4" t="str">
        <v>Estimate for personnel, supplies and services</v>
      </c>
      <c r="J34" s="4">
        <v>5135</v>
      </c>
    </row>
    <row r="35" ht="50" customHeight="1">
      <c r="B35" s="4" t="str">
        <v>ILRI</v>
      </c>
      <c r="D35" s="4" t="str">
        <v>Tanzania - chicken: Development of a business model for delivery of improved Horasi chicken</v>
      </c>
      <c r="E35" s="4" t="str">
        <v>Number of innovations (innovation development)</v>
      </c>
      <c r="F35" s="4" t="str">
        <v>Tanzania, United Republic</v>
      </c>
      <c r="G35" s="5">
        <v>1</v>
      </c>
      <c r="H35" s="5">
        <v>15000</v>
      </c>
      <c r="I35" s="4" t="str">
        <v>Estimate for personnel, supplies and services</v>
      </c>
      <c r="J35" s="4">
        <v>5136</v>
      </c>
    </row>
    <row r="36" ht="50" customHeight="1">
      <c r="B36" s="4" t="str">
        <v>ILRI</v>
      </c>
      <c r="D36" s="4" t="str">
        <v xml:space="preserve">Tanzania - chicken: capacity building smallholder farmers on nutritious poultry meat and egg consumption </v>
      </c>
      <c r="E36" s="4" t="str">
        <v>Number of people trained (capacity sharing for development)</v>
      </c>
      <c r="F36" s="4" t="str">
        <v>Tanzania, United Republic</v>
      </c>
      <c r="G36" s="5">
        <v>50</v>
      </c>
      <c r="H36" s="5">
        <v>15000</v>
      </c>
      <c r="I36" s="4" t="str">
        <v>Estimate for personnel, supplies and services</v>
      </c>
      <c r="J36" s="4">
        <v>5137</v>
      </c>
    </row>
    <row r="37" ht="50" customHeight="1">
      <c r="B37" s="4" t="str">
        <v>ILRI</v>
      </c>
      <c r="D37" s="4" t="str">
        <v xml:space="preserve"> Vietnam - beef cattle and pigs: development of a social behaviour communication change (SBCC)  package on best practices in livestock productivity aimed at smallholder cattle and pig keepers in Vietnam: web-platform with farmer friendly messaging including local-language videos: development of tool to level of minimal viable product for deployment</v>
      </c>
      <c r="E37" s="4" t="str">
        <v>Number of innovations (innovation development)</v>
      </c>
      <c r="F37" s="4" t="str">
        <v>The Socialist Republic of Viet Nam</v>
      </c>
      <c r="G37" s="5">
        <v>1</v>
      </c>
      <c r="H37" s="5">
        <v>65351</v>
      </c>
      <c r="I37" s="4" t="str">
        <v>Estimate for personnel, supplies and services, partners</v>
      </c>
      <c r="J37" s="4">
        <v>5141</v>
      </c>
    </row>
    <row r="38" ht="50" customHeight="1">
      <c r="B38" s="4" t="str">
        <v>ILRI</v>
      </c>
      <c r="D38" s="4" t="str">
        <v>Mali - small ruminants: testing of a package that promotes farmer adoption of varied productivity enhancing technologies, supported by a market ecosystem approach, for small ruminants: baseline survey</v>
      </c>
      <c r="E38" s="4" t="str">
        <v>Number of knowledge products</v>
      </c>
      <c r="F38" s="4" t="str">
        <v>Mali</v>
      </c>
      <c r="G38" s="5">
        <v>1</v>
      </c>
      <c r="H38" s="5">
        <v>87134</v>
      </c>
      <c r="I38" s="4" t="str">
        <v>Estimate for personnel, supplies and services, partners</v>
      </c>
      <c r="J38" s="4">
        <v>5142</v>
      </c>
    </row>
    <row r="39" ht="50" customHeight="1" xml:space="preserve">
      <c r="B39" s="4" t="str">
        <v>ILRI</v>
      </c>
      <c r="D39" s="4" t="str" xml:space="preserve">
        <v xml:space="preserve">Colombia - dual-purpose cattle: assessment of key constraints to improved beef cattle productivity in Columbia and recommendations on how these could be addressed
</v>
      </c>
      <c r="E39" s="4" t="str">
        <v>Number of knowledge products</v>
      </c>
      <c r="F39" s="4" t="str">
        <v>Colombia</v>
      </c>
      <c r="G39" s="5">
        <v>1</v>
      </c>
      <c r="H39" s="5">
        <v>20000</v>
      </c>
      <c r="I39" s="4" t="str">
        <v>Estimate for personnel, supplies and services</v>
      </c>
      <c r="J39" s="4">
        <v>7632</v>
      </c>
    </row>
    <row r="40" ht="50" customHeight="1">
      <c r="B40" s="4" t="str">
        <v>ILRI</v>
      </c>
      <c r="D40" s="4" t="str">
        <v>Kenya - pastoral: scoping report to extend an existing innovations on water bunds to furhter improve livestock productivity in Kenya Pastoral Stystem</v>
      </c>
      <c r="E40" s="4" t="str">
        <v>Number of knowledge products</v>
      </c>
      <c r="F40" s="4" t="str">
        <v>Kenya</v>
      </c>
      <c r="G40" s="5">
        <v>1</v>
      </c>
      <c r="H40" s="5">
        <v>50000</v>
      </c>
      <c r="I40" s="4" t="str">
        <v>Estimate for personnel, supplies and services</v>
      </c>
      <c r="J40" s="4">
        <v>7635</v>
      </c>
    </row>
    <row r="41" ht="50" customHeight="1" xml:space="preserve">
      <c r="B41" s="4" t="str">
        <v>ILRI</v>
      </c>
      <c r="D41" s="4" t="str" xml:space="preserve">
        <v xml:space="preserve">Uganda - pigs: Report on stakeholder engagement and co-design workshop for pigs in Uganda
</v>
      </c>
      <c r="E41" s="4" t="str">
        <v>Number of knowledge products</v>
      </c>
      <c r="F41" s="4" t="str">
        <v>Uganda</v>
      </c>
      <c r="G41" s="5">
        <v>1</v>
      </c>
      <c r="H41" s="5">
        <v>7000</v>
      </c>
      <c r="I41" s="4" t="str">
        <v>Estimate for personnel, supplies and services</v>
      </c>
      <c r="J41" s="4">
        <v>7638</v>
      </c>
    </row>
    <row r="42" ht="50" customHeight="1">
      <c r="B42" s="4" t="str">
        <v>ILRI</v>
      </c>
      <c r="D42" s="4" t="str">
        <v>Mali - small ruminants:  training of young women and men in small ruminants production to acquire capacity to join community based breeding program</v>
      </c>
      <c r="E42" s="4" t="str">
        <v>Number of people trained (capacity sharing for development)</v>
      </c>
      <c r="F42" s="4" t="str">
        <v>Mali</v>
      </c>
      <c r="G42" s="5">
        <v>100</v>
      </c>
      <c r="H42" s="5">
        <v>30000</v>
      </c>
      <c r="I42" s="4" t="str">
        <v>Estimate for personnel, supplies and services</v>
      </c>
      <c r="J42" s="4">
        <v>7646</v>
      </c>
    </row>
    <row r="43" ht="50" customHeight="1" xml:space="preserve">
      <c r="A43" s="4" t="str">
        <v>AOW01: Productivity+</v>
      </c>
      <c r="B43" s="4" t="str">
        <v>ILRI</v>
      </c>
      <c r="C43" s="4" t="str">
        <v>HLO 1.1 - Sustainable breeding and conservation programs and inclusive delivery models</v>
      </c>
      <c r="D43" s="4" t="str" xml:space="preserve">
        <v xml:space="preserve">Critical capability: Use of the ILRI Clinical research facilities to support ongoing poultry breeding work, via distribution of improved chickens (New Hybrid ILRI 20) to national partners
</v>
      </c>
      <c r="E43" s="4" t="str">
        <v>custom</v>
      </c>
      <c r="F43" s="4" t="str">
        <v>Ethiopia</v>
      </c>
      <c r="G43" s="5">
        <v>5</v>
      </c>
      <c r="H43" s="5">
        <v>75000</v>
      </c>
      <c r="I43" s="4" t="str">
        <v>Estimate for personnel, supplies and services</v>
      </c>
      <c r="J43" s="4">
        <v>5143</v>
      </c>
    </row>
    <row r="44" ht="50" customHeight="1">
      <c r="B44" s="4" t="str">
        <v>ILRI</v>
      </c>
      <c r="D44" s="4" t="str">
        <v>Critical capability: use of the ILRI Biosciences facility (BSL2) to train national partners on animal conservation technologies using induced pluripotent stem cells in cattle and pigs</v>
      </c>
      <c r="E44" s="4" t="str">
        <v>custom</v>
      </c>
      <c r="F44" s="4" t="str">
        <v>India, Kenya</v>
      </c>
      <c r="G44" s="5">
        <v>18</v>
      </c>
      <c r="H44" s="5">
        <v>54000</v>
      </c>
      <c r="I44" s="4" t="str">
        <v>Estimate for personnel, supplies and services</v>
      </c>
      <c r="J44" s="4">
        <v>5144</v>
      </c>
    </row>
    <row r="45" ht="50" customHeight="1">
      <c r="B45" s="4" t="str">
        <v>ILRI</v>
      </c>
      <c r="D45" s="4" t="str">
        <v>Critical capability: Africa Asia Dairy Genetic Gain Platform - supporting uptake by counties in Kenya via capacity building of county extension staff and co-operatives</v>
      </c>
      <c r="E45" s="4" t="str">
        <v>custom</v>
      </c>
      <c r="F45" s="4" t="str">
        <v>India, Kenya</v>
      </c>
      <c r="G45" s="5">
        <v>15</v>
      </c>
      <c r="H45" s="5">
        <v>150000</v>
      </c>
      <c r="I45" s="4" t="str">
        <v>Estimate for personnel, supplies and services</v>
      </c>
      <c r="J45" s="4">
        <v>5145</v>
      </c>
    </row>
    <row r="46" ht="50" customHeight="1">
      <c r="B46" s="4" t="str">
        <v>ILRI</v>
      </c>
      <c r="D46" s="4" t="str">
        <v>Global - Productivity+: testing whether the SLICK phenotype in cross-dairy cattle (underpinned by an allelic variation) confers tick resistance in cattle raised in a semi-arid environment: database</v>
      </c>
      <c r="E46" s="4" t="str">
        <v>Number of knowledge products</v>
      </c>
      <c r="F46" s="4" t="str">
        <v>Kenya</v>
      </c>
      <c r="G46" s="5">
        <v>1</v>
      </c>
      <c r="H46" s="5">
        <v>109210</v>
      </c>
      <c r="I46" s="4" t="str">
        <v>Estimate for personnel, supplies and services</v>
      </c>
      <c r="J46" s="4">
        <v>5147</v>
      </c>
    </row>
    <row r="47" ht="50" customHeight="1">
      <c r="B47" s="4" t="str">
        <v>ILRI</v>
      </c>
      <c r="D47" s="4" t="str">
        <v>Global - Productivity+: proof of concept on pig cryoconservation: Differentiation of stem cells (derived from somatic cells of local east African pig breeds ) into eggs and sperm</v>
      </c>
      <c r="E47" s="4" t="str">
        <v>Number of knowledge products</v>
      </c>
      <c r="F47" s="4" t="str">
        <v>Kenya</v>
      </c>
      <c r="G47" s="5">
        <v>1</v>
      </c>
      <c r="H47" s="5">
        <v>30000</v>
      </c>
      <c r="I47" s="4" t="str">
        <v>Estimate for personnel, supplies and services</v>
      </c>
      <c r="J47" s="4">
        <v>5158</v>
      </c>
    </row>
    <row r="48" ht="50" customHeight="1" xml:space="preserve">
      <c r="B48" s="4" t="str">
        <v>ILRI</v>
      </c>
      <c r="D48" s="4" t="str" xml:space="preserve">
        <v xml:space="preserve">Nepal - dairy buffalo: Innovative practices to address post ovarian cyclicity in buffalo leading to improved fertility
</v>
      </c>
      <c r="E48" s="4" t="str">
        <v>Number of innovations (innovation development)</v>
      </c>
      <c r="F48" s="4" t="str">
        <v>Nepal</v>
      </c>
      <c r="G48" s="5">
        <v>1</v>
      </c>
      <c r="H48" s="5">
        <v>72500</v>
      </c>
      <c r="I48" s="4" t="str">
        <v>Estimate for personnel, supplies and services</v>
      </c>
      <c r="J48" s="4">
        <v>5160</v>
      </c>
    </row>
    <row r="49" ht="50" customHeight="1">
      <c r="B49" s="4" t="str">
        <v>ILRI</v>
      </c>
      <c r="D49" s="4" t="str">
        <v>Nepal - dairy buffalo: Functional genomic selection platform used by the national agencies for selecting superior dairy buffalo</v>
      </c>
      <c r="E49" s="4" t="str">
        <v>Number of innovations (innovation development)</v>
      </c>
      <c r="F49" s="4" t="str">
        <v>Nepal</v>
      </c>
      <c r="G49" s="5">
        <v>1</v>
      </c>
      <c r="H49" s="5">
        <v>102500</v>
      </c>
      <c r="I49" s="4" t="str">
        <v>Estimate for personnel, supplies and services, partners</v>
      </c>
      <c r="J49" s="4">
        <v>5161</v>
      </c>
    </row>
    <row r="50" ht="50" customHeight="1" xml:space="preserve">
      <c r="B50" s="4" t="str">
        <v>ILRI</v>
      </c>
      <c r="D50" s="4" t="str" xml:space="preserve">
        <v xml:space="preserve">Vietnam - beef cattle and pigs: scaling of the co-operative model on cattle artificial insemination (AI) service provision to an additional commune within Son La province
</v>
      </c>
      <c r="E50" s="4" t="str">
        <v>custom</v>
      </c>
      <c r="F50" s="4" t="str">
        <v>The Socialist Republic of Viet Nam</v>
      </c>
      <c r="G50" s="5">
        <v>1</v>
      </c>
      <c r="H50" s="5">
        <v>80000</v>
      </c>
      <c r="I50" s="4" t="str">
        <v>Estimate for personnel, supplies and services, partners</v>
      </c>
      <c r="J50" s="4">
        <v>5162</v>
      </c>
    </row>
    <row r="51" ht="50" customHeight="1">
      <c r="B51" s="4" t="str">
        <v>ILRI</v>
      </c>
      <c r="D51" s="4" t="str">
        <v>Uganda - pigs: Strengthen pig artificial insemination service delivery via capacity building of women and men service providers</v>
      </c>
      <c r="E51" s="4" t="str">
        <v>Number of people trained (capacity sharing for development)</v>
      </c>
      <c r="F51" s="4" t="str">
        <v>Uganda</v>
      </c>
      <c r="G51" s="5">
        <v>10</v>
      </c>
      <c r="H51" s="5">
        <v>15000</v>
      </c>
      <c r="I51" s="4" t="str">
        <v>Estimate for personnel, supplies and services, partners</v>
      </c>
      <c r="J51" s="4">
        <v>5164</v>
      </c>
    </row>
    <row r="52" ht="50" customHeight="1" xml:space="preserve">
      <c r="B52" s="4" t="str">
        <v>ILRI</v>
      </c>
      <c r="D52" s="4" t="str" xml:space="preserve">
        <v xml:space="preserve">Uganda - pigs: best practice guidelines for boar semen producing units, feeding into strengthened pig artificial insemination service delivery
</v>
      </c>
      <c r="E52" s="4" t="str">
        <v>Number of knowledge products</v>
      </c>
      <c r="F52" s="4" t="str">
        <v>Uganda</v>
      </c>
      <c r="G52" s="5">
        <v>1</v>
      </c>
      <c r="H52" s="5">
        <v>30000</v>
      </c>
      <c r="I52" s="4" t="str">
        <v>Estimate for personnel, supplies and services, partners</v>
      </c>
      <c r="J52" s="4">
        <v>5165</v>
      </c>
    </row>
    <row r="53" ht="50" customHeight="1">
      <c r="B53" s="4" t="str">
        <v>ILRI</v>
      </c>
      <c r="D53" s="4" t="str">
        <v>Tanzania - chicken:  evaluating the productivity of current generation genetically improved Horasi chicken among smallholder households: database on chicken performance</v>
      </c>
      <c r="E53" s="4" t="str">
        <v>Number of knowledge products</v>
      </c>
      <c r="F53" s="4" t="str">
        <v>Tanzania, United Republic</v>
      </c>
      <c r="G53" s="5">
        <v>1</v>
      </c>
      <c r="H53" s="5">
        <v>65000</v>
      </c>
      <c r="I53" s="4" t="str">
        <v>Estimate for personnel, supplies and services, partners</v>
      </c>
      <c r="J53" s="4">
        <v>5166</v>
      </c>
    </row>
    <row r="54" ht="50" customHeight="1">
      <c r="B54" s="4" t="str">
        <v>ILRI</v>
      </c>
      <c r="D54" s="4" t="str">
        <v>Mali - small ruminants: establishment of a small ruminant reproductive lab</v>
      </c>
      <c r="E54" s="4" t="str">
        <v>Number of innovations (innovation development)</v>
      </c>
      <c r="F54" s="4" t="str">
        <v>Mali</v>
      </c>
      <c r="G54" s="5">
        <v>1</v>
      </c>
      <c r="H54" s="5">
        <v>110000</v>
      </c>
      <c r="I54" s="4" t="str">
        <v>Estimate for personnel, supplies and services, partners</v>
      </c>
      <c r="J54" s="4">
        <v>5168</v>
      </c>
    </row>
    <row r="55" ht="50" customHeight="1">
      <c r="B55" s="4" t="str">
        <v>ILRI</v>
      </c>
      <c r="D55" s="4" t="str">
        <v>Mali - small ruminants: evidence of community based breeding program (CBBP) governance systems that facilitate the involvement of women in CBBP and their ability to benefit from such participation: report</v>
      </c>
      <c r="E55" s="4" t="str">
        <v>Number of knowledge products</v>
      </c>
      <c r="F55" s="4" t="str">
        <v>Mali</v>
      </c>
      <c r="G55" s="5">
        <v>1</v>
      </c>
      <c r="H55" s="5">
        <v>65351</v>
      </c>
      <c r="I55" s="4" t="str">
        <v>Estimate for personnel, supplies and services</v>
      </c>
      <c r="J55" s="4">
        <v>5169</v>
      </c>
    </row>
    <row r="56" ht="50" customHeight="1">
      <c r="B56" s="4" t="str">
        <v>ILRI</v>
      </c>
      <c r="D56" s="4" t="str">
        <v>Kenya - dairy cattle: data platforms for dairy cattle recording enhanced and deployed to guide decision-making, enterprise profitability, and genetic improvement</v>
      </c>
      <c r="E56" s="4" t="str">
        <v>Number of innovations (innovation development)</v>
      </c>
      <c r="F56" s="4" t="str">
        <v>Kenya</v>
      </c>
      <c r="G56" s="5">
        <v>1</v>
      </c>
      <c r="H56" s="5">
        <v>60000</v>
      </c>
      <c r="I56" s="4" t="str">
        <v>Estimate for personnel, supplies and services</v>
      </c>
      <c r="J56" s="4">
        <v>5170</v>
      </c>
    </row>
    <row r="57" ht="50" customHeight="1">
      <c r="B57" s="4" t="str">
        <v>ILRI</v>
      </c>
      <c r="D57" s="4" t="str">
        <v xml:space="preserve">Global - Productivity+: Repository of induced pluripotent stem cell (iPSC) and organoid lines derived from priority indigenous chicken breeds and fish species </v>
      </c>
      <c r="E57" s="4" t="str">
        <v>Number of innovations (innovation development)</v>
      </c>
      <c r="F57" s="4" t="str">
        <v>Kenya</v>
      </c>
      <c r="G57" s="5">
        <v>1</v>
      </c>
      <c r="H57" s="5">
        <v>70000</v>
      </c>
      <c r="I57" s="4" t="str">
        <v>Estimate for personnel, supplies and services, partners</v>
      </c>
      <c r="J57" s="4">
        <v>7600</v>
      </c>
    </row>
    <row r="58" ht="50" customHeight="1" xml:space="preserve">
      <c r="B58" s="4" t="str">
        <v>ILRI</v>
      </c>
      <c r="D58" s="4" t="str" xml:space="preserve">
        <v xml:space="preserve">Uganda - pigs: evidence on whether subsidisation of pig artificial insemination for a limited time period leads to longer-term artificial insemiantion adoption: end-line survey database
</v>
      </c>
      <c r="E58" s="4" t="str">
        <v>Number of knowledge products</v>
      </c>
      <c r="F58" s="4" t="str">
        <v>Uganda</v>
      </c>
      <c r="G58" s="5">
        <v>1</v>
      </c>
      <c r="H58" s="5">
        <v>65000</v>
      </c>
      <c r="I58" s="4" t="str">
        <v>Estimate for personnel, supplies and services, partners</v>
      </c>
      <c r="J58" s="4">
        <v>8138</v>
      </c>
    </row>
    <row r="59" ht="25" customHeight="1">
      <c r="C59" s="9" t="str">
        <v>HLO budget subtotal</v>
      </c>
      <c r="H59" s="9">
        <v>3410032</v>
      </c>
      <c r="J59" s="9" t="str">
        <v/>
      </c>
    </row>
    <row r="60" ht="50" customHeight="1">
      <c r="A60" s="8" t="str">
        <v>AOW02: Climate and the Environment</v>
      </c>
      <c r="B60" s="4" t="str">
        <v>ILRI</v>
      </c>
      <c r="C60" s="4" t="str">
        <v xml:space="preserve">HLO 2.1 - Evidence of the benefits and impacts on climate and the environment </v>
      </c>
      <c r="D60" s="4" t="str">
        <v>Uganda - pigs: Evidence on current gendered manure management practices for targeting of farms for capacity sharing</v>
      </c>
      <c r="E60" s="4" t="str">
        <v>Number of knowledge products</v>
      </c>
      <c r="F60" s="4" t="str">
        <v>Uganda</v>
      </c>
      <c r="G60" s="5">
        <v>1</v>
      </c>
      <c r="H60" s="5">
        <v>25000</v>
      </c>
      <c r="I60" s="4" t="str">
        <v>Estimate for personnel, supplies and services</v>
      </c>
      <c r="J60" s="4">
        <v>5173</v>
      </c>
    </row>
    <row r="61" ht="50" customHeight="1">
      <c r="B61" s="4" t="str">
        <v>ILRI</v>
      </c>
      <c r="D61" s="4" t="str">
        <v>Kenya - dairy cattle: Testing Climate-Smart Interventions in Dairy Systems: Evidence on Productivity and GHG Emissions: report</v>
      </c>
      <c r="E61" s="4" t="str">
        <v>Number of knowledge products</v>
      </c>
      <c r="F61" s="4" t="str">
        <v>Kenya</v>
      </c>
      <c r="G61" s="5">
        <v>1</v>
      </c>
      <c r="H61" s="5">
        <v>30000</v>
      </c>
      <c r="I61" s="4" t="str">
        <v>Estimate for personnel, supplies and services</v>
      </c>
      <c r="J61" s="4">
        <v>5177</v>
      </c>
    </row>
    <row r="62" ht="50" customHeight="1">
      <c r="B62" s="4" t="str">
        <v>ILRI</v>
      </c>
      <c r="D62" s="4" t="str">
        <v>Kenya - dairy cattle: Biodiverse pasture management with adaptation pioneer households and families (Pioneer Positive Deviance): assessing the role of social learning on biodiverse pastures for improved productivity and climate resilience.</v>
      </c>
      <c r="E62" s="4" t="str">
        <v>Number of innovations (innovation development)</v>
      </c>
      <c r="F62" s="4" t="str">
        <v>Kenya</v>
      </c>
      <c r="G62" s="5">
        <v>1</v>
      </c>
      <c r="H62" s="5">
        <v>100749</v>
      </c>
      <c r="I62" s="4" t="str">
        <v>Estimate for personnel, supplies and services</v>
      </c>
      <c r="J62" s="4">
        <v>5178</v>
      </c>
    </row>
    <row r="63" ht="50" customHeight="1">
      <c r="B63" s="4" t="str">
        <v>ILRI</v>
      </c>
      <c r="D63" s="4" t="str">
        <v>Uganda - pig: pig manure management practices in Central Uganda for reducing GHG emissions</v>
      </c>
      <c r="E63" s="4" t="str">
        <v>Number of knowledge products</v>
      </c>
      <c r="F63" s="4" t="str">
        <v>Uganda</v>
      </c>
      <c r="G63" s="5">
        <v>2</v>
      </c>
      <c r="H63" s="5">
        <v>15071</v>
      </c>
      <c r="I63" s="4" t="str">
        <v>Estimate for personnel, supplies and services</v>
      </c>
      <c r="J63" s="4">
        <v>7562</v>
      </c>
    </row>
    <row r="64" ht="50" customHeight="1">
      <c r="B64" s="4" t="str">
        <v>ILRI</v>
      </c>
      <c r="D64" s="4" t="str">
        <v>GLOBAL- Climate and Environment: Analysis of stakeholders' narratives about livestock, with a focus on climate change, in the international climate agenda</v>
      </c>
      <c r="E64" s="4" t="str">
        <v>Number of knowledge products</v>
      </c>
      <c r="F64" s="4" t="str">
        <v>Colombia, Ethiopia, The Socialist Republic of Viet Nam</v>
      </c>
      <c r="G64" s="5">
        <v>3</v>
      </c>
      <c r="H64" s="5">
        <v>10000</v>
      </c>
      <c r="I64" s="4" t="str">
        <v>Estimate for personnel, supplies and services</v>
      </c>
      <c r="J64" s="4">
        <v>7570</v>
      </c>
    </row>
    <row r="65" ht="50" customHeight="1">
      <c r="A65" s="4" t="str">
        <v>AOW02: Climate and the Environment</v>
      </c>
      <c r="B65" s="4" t="str">
        <v>ILRI</v>
      </c>
      <c r="C65" s="4" t="str">
        <v>HLO 2.2- Climate-adapted innovations for efficient use and restoration of water, soil, and land resources, enhanced livelihoods, and reduced climate impacts</v>
      </c>
      <c r="D65" s="4" t="str">
        <v>East Africa - livestock health and resilience: Decision-support product highlighting spatial hotspots and investment priorities for climate adaptation in livestock systems.</v>
      </c>
      <c r="E65" s="4" t="str">
        <v>Number of knowledge products</v>
      </c>
      <c r="F65" s="4" t="str">
        <v>Kenya, Ethiopia, Tanzania, United Republic</v>
      </c>
      <c r="G65" s="5">
        <v>1</v>
      </c>
      <c r="H65" s="5">
        <v>105000</v>
      </c>
      <c r="I65" s="4" t="str">
        <v>Estimate for personnel, supplies and services</v>
      </c>
      <c r="J65" s="4">
        <v>5179</v>
      </c>
    </row>
    <row r="66" ht="50" customHeight="1">
      <c r="B66" s="4" t="str">
        <v>ILRI</v>
      </c>
      <c r="D66" s="4" t="str">
        <v>Uganda - pigs: On-farm validation of improved pig manure management practices to reduce pathogens and nutrient losses</v>
      </c>
      <c r="E66" s="4" t="str">
        <v>Number of knowledge products</v>
      </c>
      <c r="F66" s="4" t="str">
        <v>Uganda</v>
      </c>
      <c r="G66" s="5">
        <v>1</v>
      </c>
      <c r="H66" s="5">
        <v>25000</v>
      </c>
      <c r="I66" s="4" t="str">
        <v>Estimate for personnel, supplies and services</v>
      </c>
      <c r="J66" s="4">
        <v>5180</v>
      </c>
    </row>
    <row r="67" ht="50" customHeight="1">
      <c r="B67" s="4" t="str">
        <v>ILRI</v>
      </c>
      <c r="D67" s="4" t="str">
        <v>Global - forages: Integrate GEYSI lens into forage adoption to assess gender, age, and social inclusion constraints and enabling environments</v>
      </c>
      <c r="E67" s="4" t="str">
        <v>Number of knowledge products</v>
      </c>
      <c r="F67" s="4" t="str">
        <v>Colombia, Kenya</v>
      </c>
      <c r="G67" s="5">
        <v>2</v>
      </c>
      <c r="H67" s="5">
        <v>20000</v>
      </c>
      <c r="I67" s="4" t="str">
        <v>Estimate for personnel, supplies and services</v>
      </c>
      <c r="J67" s="4">
        <v>7556</v>
      </c>
    </row>
    <row r="68" ht="50" customHeight="1">
      <c r="B68" s="4" t="str">
        <v>ILRI</v>
      </c>
      <c r="D68" s="4" t="str">
        <v>Kenya - dairy cattle: Azolla farming as a socio-technical innovation integrating gender, biodiversity, carbon sequestration, and farming systems</v>
      </c>
      <c r="E68" s="4" t="str">
        <v>Number of knowledge products</v>
      </c>
      <c r="F68" s="4" t="str">
        <v>Kenya</v>
      </c>
      <c r="G68" s="5">
        <v>1</v>
      </c>
      <c r="H68" s="5">
        <v>15000</v>
      </c>
      <c r="I68" s="4" t="str">
        <v>Estimate for personnel, supplies and services</v>
      </c>
      <c r="J68" s="4">
        <v>7558</v>
      </c>
    </row>
    <row r="69" ht="25" customHeight="1">
      <c r="C69" s="9" t="str">
        <v>HLO budget subtotal</v>
      </c>
      <c r="H69" s="9">
        <v>345820</v>
      </c>
      <c r="J69" s="9" t="str">
        <v/>
      </c>
    </row>
    <row r="70" ht="50" customHeight="1">
      <c r="A70" s="8" t="str">
        <v>AOW03: One Health</v>
      </c>
      <c r="B70" s="4" t="str">
        <v>ILRI</v>
      </c>
      <c r="C70" s="4" t="str">
        <v>HLO 3.1 - Targeted innovations and incentives to reduce zoonotic diseases</v>
      </c>
      <c r="D70" s="4" t="str">
        <v xml:space="preserve">Vietnam - One Health Lab: Co-designed communication and training materials to improve biosecurity in wild meat value chain </v>
      </c>
      <c r="E70" s="4" t="str">
        <v>Number of knowledge products</v>
      </c>
      <c r="F70" s="4" t="str">
        <v>The Socialist Republic of Viet Nam</v>
      </c>
      <c r="G70" s="5">
        <v>2</v>
      </c>
      <c r="H70" s="5">
        <v>30000</v>
      </c>
      <c r="I70" s="4" t="str">
        <v>Estimate for personnel, supplies and services, partners</v>
      </c>
      <c r="J70" s="4">
        <v>5185</v>
      </c>
    </row>
    <row r="71" ht="50" customHeight="1">
      <c r="B71" s="4" t="str">
        <v>ILRI</v>
      </c>
      <c r="D71" s="4" t="str">
        <v xml:space="preserve">Uganda - pigs: A new surveillance tool for use at slaughter node and for empowering meat inspectors to collect data on zoonotic, foodborne and production limiting disease and animal welfare indicators. </v>
      </c>
      <c r="E71" s="4" t="str">
        <v>Number of innovations (innovation development)</v>
      </c>
      <c r="F71" s="4" t="str">
        <v>Uganda</v>
      </c>
      <c r="G71" s="5">
        <v>1</v>
      </c>
      <c r="H71" s="5">
        <v>156583</v>
      </c>
      <c r="I71" s="4" t="str">
        <v>Estimate for personnel, supplies and services</v>
      </c>
      <c r="J71" s="4">
        <v>5186</v>
      </c>
    </row>
    <row r="72" ht="50" customHeight="1">
      <c r="B72" s="4" t="str">
        <v>ILRI</v>
      </c>
      <c r="D72" s="4" t="str">
        <v>Uganda - pigs: Feasibility and acceptability framework for an integrated human-pig intervention for T. solium control co-created with stakeholders.</v>
      </c>
      <c r="E72" s="4" t="str">
        <v>Number of innovations (innovation development)</v>
      </c>
      <c r="F72" s="4" t="str">
        <v>Uganda</v>
      </c>
      <c r="G72" s="5">
        <v>1</v>
      </c>
      <c r="H72" s="5">
        <v>156583</v>
      </c>
      <c r="I72" s="4" t="str">
        <v>Estimate for personnel, supplies and services</v>
      </c>
      <c r="J72" s="4">
        <v>5187</v>
      </c>
    </row>
    <row r="73" ht="50" customHeight="1">
      <c r="B73" s="4" t="str">
        <v>ILRI</v>
      </c>
      <c r="D73" s="4" t="str">
        <v>Uganda - pigs: Evidence for the relative burden of  priority zoonotic and production limiting diseases documented in a scoping review supported by expert elicitation</v>
      </c>
      <c r="E73" s="4" t="str">
        <v>Number of knowledge products</v>
      </c>
      <c r="F73" s="4" t="str">
        <v>Uganda</v>
      </c>
      <c r="G73" s="5">
        <v>1</v>
      </c>
      <c r="H73" s="5">
        <v>50000</v>
      </c>
      <c r="I73" s="4" t="str">
        <v>Estimate for personnel, supplies and services</v>
      </c>
      <c r="J73" s="4">
        <v>5188</v>
      </c>
    </row>
    <row r="74" ht="50" customHeight="1">
      <c r="B74" s="4" t="str">
        <v>ILRI</v>
      </c>
      <c r="D74" s="4" t="str">
        <v>Uganda - pigs: Evidence for the current burden of  disease in Uganda pig value chains modelled and documented in a report</v>
      </c>
      <c r="E74" s="4" t="str">
        <v>Number of knowledge products</v>
      </c>
      <c r="F74" s="4" t="str">
        <v>Uganda</v>
      </c>
      <c r="G74" s="5">
        <v>1</v>
      </c>
      <c r="H74" s="5">
        <v>50000</v>
      </c>
      <c r="I74" s="4" t="str">
        <v>Estimate for personnel, supplies and services</v>
      </c>
      <c r="J74" s="4">
        <v>5189</v>
      </c>
    </row>
    <row r="75" ht="50" customHeight="1">
      <c r="B75" s="4" t="str">
        <v>ILRI</v>
      </c>
      <c r="D75" s="4" t="str">
        <v>Vietnam - One Health Lab: Farm-level biosecurity intervention package in farmed wildlife systems in Vietnam.</v>
      </c>
      <c r="E75" s="4" t="str">
        <v>Number of knowledge products</v>
      </c>
      <c r="F75" s="4" t="str">
        <v>The Socialist Republic of Viet Nam</v>
      </c>
      <c r="G75" s="5">
        <v>1</v>
      </c>
      <c r="H75" s="5">
        <v>65497</v>
      </c>
      <c r="I75" s="4" t="str">
        <v>Estimate for personnel, supplies and services, partners</v>
      </c>
      <c r="J75" s="4">
        <v>7550</v>
      </c>
    </row>
    <row r="76" ht="50" customHeight="1">
      <c r="A76" s="4" t="str">
        <v>AOW03: One Health</v>
      </c>
      <c r="B76" s="4" t="str">
        <v>ILRI</v>
      </c>
      <c r="C76" s="4" t="str">
        <v xml:space="preserve">HLO 3.2 - Target innovations and incentives to improve food safety in informal markets and better nutrition </v>
      </c>
      <c r="D76" s="4" t="str">
        <v>Ethiopia and Kenya - From abattoirs to consumers: From abattoirs to consumers: Stakeholder engagement related to the decontamination of meat</v>
      </c>
      <c r="E76" s="4" t="str">
        <v>custom</v>
      </c>
      <c r="F76" s="4" t="str">
        <v>Kenya</v>
      </c>
      <c r="G76" s="5">
        <v>1</v>
      </c>
      <c r="H76" s="5">
        <v>0</v>
      </c>
      <c r="I76" s="4" t="str">
        <v/>
      </c>
      <c r="J76" s="4">
        <v>5190</v>
      </c>
    </row>
    <row r="77" ht="50" customHeight="1">
      <c r="B77" s="4" t="str">
        <v>ILRI</v>
      </c>
      <c r="D77" s="4" t="str">
        <v>Vietnam - beef cattle and pigs: Adapted approach to improve food safety in tradtional markets using  low-cost intervention and capacity building for food actors (pork and beef)</v>
      </c>
      <c r="E77" s="4" t="str">
        <v>Number of innovations (innovation development)</v>
      </c>
      <c r="F77" s="4" t="str">
        <v>The Socialist Republic of Viet Nam</v>
      </c>
      <c r="G77" s="5">
        <v>1</v>
      </c>
      <c r="H77" s="5">
        <v>40000</v>
      </c>
      <c r="I77" s="4" t="str">
        <v>Estimate for personnel, supplies and services</v>
      </c>
      <c r="J77" s="4">
        <v>5197</v>
      </c>
    </row>
    <row r="78" ht="50" customHeight="1">
      <c r="B78" s="4" t="str">
        <v>ILRI</v>
      </c>
      <c r="D78" s="4" t="str">
        <v>Vietnam - One Health Lab: Report of  meetings and workshop with local authorities and food actors and national partners (Vietnam One Health Partnership and Food safety technical working group, engagement)  to support food safety research, intervention and communication.</v>
      </c>
      <c r="E78" s="4" t="str">
        <v>Number of knowledge products</v>
      </c>
      <c r="F78" s="4" t="str">
        <v>The Socialist Republic of Viet Nam</v>
      </c>
      <c r="G78" s="5">
        <v>1</v>
      </c>
      <c r="H78" s="5">
        <v>50000</v>
      </c>
      <c r="I78" s="4" t="str">
        <v>Estimate for personnel, supplies and services, partners</v>
      </c>
      <c r="J78" s="4">
        <v>5198</v>
      </c>
    </row>
    <row r="79" ht="50" customHeight="1">
      <c r="B79" s="4" t="str">
        <v>ILRI</v>
      </c>
      <c r="D79" s="4" t="str">
        <v>Vietnam - One Health Lab: Capacity building on the food safety hygience package</v>
      </c>
      <c r="E79" s="4" t="str">
        <v>Number of people trained (capacity sharing for development)</v>
      </c>
      <c r="F79" s="4" t="str">
        <v>The Socialist Republic of Viet Nam</v>
      </c>
      <c r="G79" s="5">
        <v>80</v>
      </c>
      <c r="H79" s="5">
        <v>30000</v>
      </c>
      <c r="I79" s="4" t="str">
        <v>Estimate for personnel, supplies and services, partners</v>
      </c>
      <c r="J79" s="4">
        <v>5199</v>
      </c>
    </row>
    <row r="80" ht="50" customHeight="1">
      <c r="B80" s="4" t="str">
        <v>ILRI</v>
      </c>
      <c r="D80" s="4" t="str">
        <v>Vietnam - One Health Lab: Tested decontamination technologies to reduce microbial contamination in slaughterhouse and markets</v>
      </c>
      <c r="E80" s="4" t="str">
        <v>Number of innovations (innovation development)</v>
      </c>
      <c r="F80" s="4" t="str">
        <v>The Socialist Republic of Viet Nam</v>
      </c>
      <c r="G80" s="5">
        <v>1</v>
      </c>
      <c r="H80" s="5">
        <v>146184</v>
      </c>
      <c r="I80" s="4" t="str">
        <v>Estimate for personnel, supplies and services, partners</v>
      </c>
      <c r="J80" s="4">
        <v>5200</v>
      </c>
    </row>
    <row r="81" ht="50" customHeight="1">
      <c r="B81" s="4" t="str">
        <v>ILRI</v>
      </c>
      <c r="D81" s="4" t="str">
        <v>Ethiopia and Kenya - From abattoirs to consumers: Reports on stakeholder engagement and CGIAR-supported piloting related to the decontamination of meat</v>
      </c>
      <c r="E81" s="4" t="str">
        <v>Number of knowledge products</v>
      </c>
      <c r="F81" s="4" t="str">
        <v>Kenya, Ethiopia</v>
      </c>
      <c r="G81" s="5">
        <v>1</v>
      </c>
      <c r="H81" s="5">
        <v>50000</v>
      </c>
      <c r="I81" s="4" t="str">
        <v>Estimate for personnel, supplies and services</v>
      </c>
      <c r="J81" s="4">
        <v>7537</v>
      </c>
    </row>
    <row r="82" ht="50" customHeight="1" xml:space="preserve">
      <c r="A82" s="4" t="str">
        <v>AOW03: One Health</v>
      </c>
      <c r="B82" s="4" t="str">
        <v>ILRI</v>
      </c>
      <c r="C82" s="4" t="str">
        <v xml:space="preserve">HLO 3.3 - Targeted innovations and incentives to reduce antimicrobial use and mitigate antimicrobial risks </v>
      </c>
      <c r="D82" s="4" t="str" xml:space="preserve">
        <v xml:space="preserve">Critical capability - Genomics platform: Use of the platform for various services by CG centers (other than ILRI) and non-CG partners.
</v>
      </c>
      <c r="E82" s="4" t="str">
        <v>custom</v>
      </c>
      <c r="F82" s="4" t="str">
        <v>Kenya</v>
      </c>
      <c r="G82" s="5">
        <v>5</v>
      </c>
      <c r="H82" s="5">
        <v>162852</v>
      </c>
      <c r="I82" s="4" t="str">
        <v>Estimate for personnel, supplies and services</v>
      </c>
      <c r="J82" s="4">
        <v>5201</v>
      </c>
    </row>
    <row r="83" ht="50" customHeight="1">
      <c r="B83" s="4" t="str">
        <v>ILRI</v>
      </c>
      <c r="D83" s="4" t="str">
        <v>Critical capability- AMR Lab: standardized ISO-compliant bacterial isolation, rapid and accurate pathogen identification using MALDI-TOF MS, and quality-controlled antimicrobial susceptibility testing (AST)</v>
      </c>
      <c r="E83" s="4" t="str">
        <v>custom</v>
      </c>
      <c r="F83" s="4" t="str">
        <v>Kenya</v>
      </c>
      <c r="G83" s="5">
        <v>5000</v>
      </c>
      <c r="H83" s="5">
        <v>125000</v>
      </c>
      <c r="I83" s="4" t="str">
        <v>Estimate for personnel, supplies and services</v>
      </c>
      <c r="J83" s="4">
        <v>5202</v>
      </c>
    </row>
    <row r="84" ht="50" customHeight="1">
      <c r="B84" s="4" t="str">
        <v>ILRI</v>
      </c>
      <c r="D84" s="4" t="str">
        <v>Uganda - pigs: Analysis of vaccine delivery and last-mile practices, and longitudinal assessment of antimicrobial use in pig farms to identify governance gaps, behavioural drivers, and stewardship entry points for improved animal health service delivery and antimicrobial resistance mitigation</v>
      </c>
      <c r="E84" s="4" t="str">
        <v>Number of knowledge products</v>
      </c>
      <c r="F84" s="4" t="str">
        <v>Uganda</v>
      </c>
      <c r="G84" s="5">
        <v>1</v>
      </c>
      <c r="H84" s="5">
        <v>162032</v>
      </c>
      <c r="I84" s="4" t="str">
        <v>Estimate for personnel, supplies and services</v>
      </c>
      <c r="J84" s="4">
        <v>5207</v>
      </c>
    </row>
    <row r="85" ht="50" customHeight="1">
      <c r="B85" s="4" t="str">
        <v>ILRI</v>
      </c>
      <c r="D85" s="4" t="str">
        <v>Kenya - dairy cattle: Evidence on mastitis, pathogen distribution and antimicrobial resistance in smallholder dairy farms to inform national dairy health strategies, antimicrobial stewardship, and improved milk quality and productivity</v>
      </c>
      <c r="E85" s="4" t="str">
        <v>Number of knowledge products</v>
      </c>
      <c r="F85" s="4" t="str">
        <v>Kenya</v>
      </c>
      <c r="G85" s="5">
        <v>1</v>
      </c>
      <c r="H85" s="5">
        <v>77108</v>
      </c>
      <c r="I85" s="4" t="str">
        <v>Estimate for personnel, supplies and services</v>
      </c>
      <c r="J85" s="4">
        <v>5208</v>
      </c>
    </row>
    <row r="86" ht="50" customHeight="1">
      <c r="B86" s="4" t="str">
        <v>ILRI</v>
      </c>
      <c r="D86" s="4" t="str">
        <v>Global - One Health: analysis linking cellular insights, predictive biomarkers, and population immune diversity to understand gastrointestinal resistance in African sheep (Blue Sky Project)</v>
      </c>
      <c r="E86" s="4" t="str">
        <v>Number of knowledge products</v>
      </c>
      <c r="F86" s="4" t="str">
        <v>Ethiopia, Ghana, Kenya</v>
      </c>
      <c r="G86" s="5">
        <v>1</v>
      </c>
      <c r="H86" s="5">
        <v>57850</v>
      </c>
      <c r="I86" s="4" t="str">
        <v>Estimate for personnel, supplies and services, partners</v>
      </c>
      <c r="J86" s="4">
        <v>7609</v>
      </c>
    </row>
    <row r="87" ht="50" customHeight="1">
      <c r="A87" s="4" t="str">
        <v>AOW03: One Health</v>
      </c>
      <c r="B87" s="4" t="str">
        <v>ILRI</v>
      </c>
      <c r="C87" s="4" t="str">
        <v>HLO 3.4 - Optimized One Health service delivery model​</v>
      </c>
      <c r="D87" s="4" t="str">
        <v>East Africa- livestock health and resilience: Conduct microcosting and willingness-to-pay studies in at least 2 sites to quantify unit costs and community demand for integrated services, informing cost–benefit analysis, resource allocation, and sustainable financing mechanisms for scale-up</v>
      </c>
      <c r="E87" s="4" t="str">
        <v>Number of knowledge products</v>
      </c>
      <c r="F87" s="4" t="str">
        <v>Kenya, Ethiopia</v>
      </c>
      <c r="G87" s="5">
        <v>1</v>
      </c>
      <c r="H87" s="5">
        <v>80000</v>
      </c>
      <c r="I87" s="4" t="str">
        <v>Estimate for personnel, supplies and services</v>
      </c>
      <c r="J87" s="4">
        <v>5211</v>
      </c>
    </row>
    <row r="88" ht="50" customHeight="1">
      <c r="B88" s="4" t="str">
        <v>ILRI</v>
      </c>
      <c r="D88" s="4" t="str">
        <v>East Africa - livestock health and resilience: Capacity building for frontline service providers and community-based actors through targeted training on One Health; gender and cultural competence; Standard Operating Procedure implementation for One Health Units; and/or community facilitation skills.</v>
      </c>
      <c r="E88" s="4" t="str">
        <v>Number of people trained (capacity sharing for development)</v>
      </c>
      <c r="F88" s="4" t="str">
        <v>Kenya, Ethiopia</v>
      </c>
      <c r="G88" s="5">
        <v>50</v>
      </c>
      <c r="H88" s="5">
        <v>23791</v>
      </c>
      <c r="I88" s="4" t="str">
        <v>Estimate for personnel, supplies and services</v>
      </c>
      <c r="J88" s="4">
        <v>5212</v>
      </c>
    </row>
    <row r="89" ht="50" customHeight="1">
      <c r="B89" s="4" t="str">
        <v>ILRI</v>
      </c>
      <c r="D89" s="4" t="str">
        <v>East Africa - livestock health and resilience: Stakeholder-endorsed plan for optimising the existing One Health Laboratory in Loitoktok as a hub for integrated One Health laboratory service delivery, including strengthened laboratory infrastructure and a feasible, jointly coordinated cross-border human–animal surveillance framework, informed by multi-sectoral consultation.</v>
      </c>
      <c r="E89" s="4" t="str">
        <v>Number of knowledge products</v>
      </c>
      <c r="F89" s="4" t="str">
        <v>Kenya</v>
      </c>
      <c r="G89" s="5">
        <v>1</v>
      </c>
      <c r="H89" s="5">
        <v>5000</v>
      </c>
      <c r="I89" s="4" t="str">
        <v>Estimate for personnel, supplies and services</v>
      </c>
      <c r="J89" s="4">
        <v>7543</v>
      </c>
    </row>
    <row r="90" ht="50" customHeight="1">
      <c r="B90" s="4" t="str">
        <v>ILRI</v>
      </c>
      <c r="D90" s="4" t="str">
        <v>East Africa - livestock health and resilience: Cadre of community rangeland health workers (CRHWs) in at least 1 site in Kenya in 2026, to provide rangeland health extension services as part of the One Health Unit.</v>
      </c>
      <c r="E90" s="4" t="str">
        <v>Number of innovations (innovation development)</v>
      </c>
      <c r="F90" s="4" t="str">
        <v>Kenya</v>
      </c>
      <c r="G90" s="5">
        <v>1</v>
      </c>
      <c r="H90" s="5">
        <v>30000</v>
      </c>
      <c r="I90" s="4" t="str">
        <v>Estimate for personnel, supplies and services</v>
      </c>
      <c r="J90" s="4">
        <v>7544</v>
      </c>
    </row>
    <row r="91" ht="50" customHeight="1">
      <c r="B91" s="4" t="str">
        <v>ILRI</v>
      </c>
      <c r="D91" s="4" t="str">
        <v>East Africa - livestock health and resilience: Manuscript and draft compendium on applied One Health training and Community Conversations developed to support One Health operationalisation and integration into health extension curricula.</v>
      </c>
      <c r="E91" s="4" t="str">
        <v>Number of knowledge products</v>
      </c>
      <c r="F91" s="4" t="str">
        <v>Ethiopia, Kenya</v>
      </c>
      <c r="G91" s="5">
        <v>2</v>
      </c>
      <c r="H91" s="5">
        <v>15000</v>
      </c>
      <c r="I91" s="4" t="str">
        <v>Estimate for personnel, supplies and services</v>
      </c>
      <c r="J91" s="4">
        <v>7545</v>
      </c>
    </row>
    <row r="92" ht="50" customHeight="1">
      <c r="B92" s="4" t="str">
        <v>ILRI</v>
      </c>
      <c r="D92" s="4" t="str">
        <v>Vietnam - One Health lab: Standard Operating Procedure (SOP) to establish and operate One Health coordinating center at province and commune levels.</v>
      </c>
      <c r="E92" s="4" t="str">
        <v>Number of knowledge products</v>
      </c>
      <c r="F92" s="4" t="str">
        <v>The Socialist Republic of Viet Nam</v>
      </c>
      <c r="G92" s="5">
        <v>1</v>
      </c>
      <c r="H92" s="5">
        <v>35000</v>
      </c>
      <c r="I92" s="4" t="str">
        <v>Estimate for personnel, supplies and services, partners</v>
      </c>
      <c r="J92" s="4">
        <v>7548</v>
      </c>
    </row>
    <row r="93" ht="50" customHeight="1">
      <c r="B93" s="4" t="str">
        <v>ILRI</v>
      </c>
      <c r="D93" s="4" t="str">
        <v>Global - One Health: Impact stories and communication package</v>
      </c>
      <c r="E93" s="4" t="str">
        <v>Number of knowledge products</v>
      </c>
      <c r="F93" s="4" t="str">
        <v>The Socialist Republic of Viet Nam</v>
      </c>
      <c r="G93" s="5">
        <v>4</v>
      </c>
      <c r="H93" s="5">
        <v>62000</v>
      </c>
      <c r="I93" s="4" t="str">
        <v>Estimate for personnel, supplies and services</v>
      </c>
      <c r="J93" s="4">
        <v>7560</v>
      </c>
    </row>
    <row r="94" ht="50" customHeight="1">
      <c r="B94" s="4" t="str">
        <v>ILRI</v>
      </c>
      <c r="D94" s="4" t="str">
        <v>Vietnam - One Health Lab: One Health impact story from Vietnam that demonstrates the value of integrated approaches</v>
      </c>
      <c r="E94" s="4" t="str">
        <v>Number of knowledge products</v>
      </c>
      <c r="F94" s="4" t="str">
        <v>The Socialist Republic of Viet Nam</v>
      </c>
      <c r="G94" s="5">
        <v>1</v>
      </c>
      <c r="H94" s="5">
        <v>20000</v>
      </c>
      <c r="I94" s="4" t="str">
        <v>Estimate for personnel, supplies and services</v>
      </c>
      <c r="J94" s="4">
        <v>7682</v>
      </c>
    </row>
    <row r="95" ht="25" customHeight="1">
      <c r="C95" s="9" t="str">
        <v>HLO budget subtotal</v>
      </c>
      <c r="H95" s="9">
        <v>1680480</v>
      </c>
      <c r="J95" s="9" t="str">
        <v/>
      </c>
    </row>
    <row r="96" ht="50" customHeight="1">
      <c r="A96" s="8" t="str">
        <v>AOW04: Market Systems, Policy Solutions and Scaling</v>
      </c>
      <c r="B96" s="4" t="str">
        <v>ILRI</v>
      </c>
      <c r="C96" s="4" t="str">
        <v>HLO 4.2 - Decision-support tools for efficient animal and aquatic food system</v>
      </c>
      <c r="D96" s="4" t="str">
        <v>Kenya - dairy cattle: Dairy profitability App with enhanced functionality deployed on App store</v>
      </c>
      <c r="E96" s="4" t="str">
        <v>Number of innovations (innovation development)</v>
      </c>
      <c r="F96" s="4" t="str">
        <v>Kenya</v>
      </c>
      <c r="G96" s="5">
        <v>1</v>
      </c>
      <c r="H96" s="5">
        <v>10000</v>
      </c>
      <c r="I96" s="4" t="str">
        <v>Estimate for personnel, supplies and services</v>
      </c>
      <c r="J96" s="4">
        <v>5217</v>
      </c>
    </row>
    <row r="97" ht="50" customHeight="1">
      <c r="A97" s="4" t="str">
        <v>AOW04: Market Systems, Policy Solutions and Scaling</v>
      </c>
      <c r="B97" s="4" t="str">
        <v>ILRI</v>
      </c>
      <c r="C97" s="4" t="str">
        <v xml:space="preserve">HLO 4.3 - Institutional &amp; behavioral models for enhanced use of innovations and improved governance </v>
      </c>
      <c r="D97" s="4" t="str">
        <v>Uganda - pigs: Pilot testing of the entrepreneurship ecosystem approach for pork market actors in Uganda</v>
      </c>
      <c r="E97" s="4" t="str">
        <v>custom</v>
      </c>
      <c r="F97" s="4" t="str">
        <v>Uganda</v>
      </c>
      <c r="G97" s="5">
        <v>1</v>
      </c>
      <c r="H97" s="5">
        <v>50000</v>
      </c>
      <c r="I97" s="4" t="str">
        <v>Estimate for personnel, supplies and services</v>
      </c>
      <c r="J97" s="4">
        <v>5221</v>
      </c>
    </row>
    <row r="98" ht="50" customHeight="1">
      <c r="B98" s="4" t="str">
        <v>ILRI</v>
      </c>
      <c r="D98" s="4" t="str">
        <v>Uganda - pigs: Emerging impact of a pig price incentive and extension education on farmers uptake of appropriate practices - Knowledge product</v>
      </c>
      <c r="E98" s="4" t="str">
        <v>Number of knowledge products</v>
      </c>
      <c r="F98" s="4" t="str">
        <v>Uganda</v>
      </c>
      <c r="G98" s="5">
        <v>1</v>
      </c>
      <c r="H98" s="5">
        <v>55000</v>
      </c>
      <c r="I98" s="4" t="str">
        <v>Estimate for personnel, supplies and services</v>
      </c>
      <c r="J98" s="4">
        <v>5222</v>
      </c>
    </row>
    <row r="99" ht="50" customHeight="1">
      <c r="B99" s="4" t="str">
        <v>ILRI</v>
      </c>
      <c r="D99" s="4" t="str">
        <v xml:space="preserve">Mali - small ruminants: Pilot testing the entrepreneurship ecosystem agency model among small ruminant market actors in Mali: pilot initiated </v>
      </c>
      <c r="E99" s="4" t="str">
        <v>Number of innovations (innovation development)</v>
      </c>
      <c r="F99" s="4" t="str">
        <v>Mali</v>
      </c>
      <c r="G99" s="5">
        <v>1</v>
      </c>
      <c r="H99" s="5">
        <v>150925</v>
      </c>
      <c r="I99" s="4" t="str">
        <v>Estimate for personnel, supplies and services</v>
      </c>
      <c r="J99" s="4">
        <v>5224</v>
      </c>
    </row>
    <row r="100" ht="50" customHeight="1">
      <c r="B100" s="4" t="str">
        <v>ILRI</v>
      </c>
      <c r="D100" s="4" t="str">
        <v>Kenya - dairy cattle: Testing of different strategies to promote farmer adoption of optimal feeding strategies for dairy cattle in Kenya: trial design and initial implementation as evidenced by research approvals</v>
      </c>
      <c r="E100" s="4" t="str">
        <v>Number of knowledge products</v>
      </c>
      <c r="F100" s="4" t="str">
        <v>Kenya</v>
      </c>
      <c r="G100" s="5">
        <v>1</v>
      </c>
      <c r="H100" s="5">
        <v>90000</v>
      </c>
      <c r="I100" s="4" t="str">
        <v>Estimate for personnel, supplies and services</v>
      </c>
      <c r="J100" s="4">
        <v>5225</v>
      </c>
    </row>
    <row r="101" ht="50" customHeight="1">
      <c r="B101" s="4" t="str">
        <v>ILRI</v>
      </c>
      <c r="D101" s="4" t="str">
        <v xml:space="preserve">Uganda - pigs: Appropriate incentives to enhance bundling of markets and services by market agents (enhancing treatment compliance): brief </v>
      </c>
      <c r="E101" s="4" t="str">
        <v>Number of knowledge products</v>
      </c>
      <c r="F101" s="4" t="str">
        <v>Uganda</v>
      </c>
      <c r="G101" s="5">
        <v>1</v>
      </c>
      <c r="H101" s="5">
        <v>20000</v>
      </c>
      <c r="I101" s="4" t="str">
        <v>Estimate for personnel, supplies and services</v>
      </c>
      <c r="J101" s="4">
        <v>7334</v>
      </c>
    </row>
    <row r="102" ht="50" customHeight="1">
      <c r="B102" s="4" t="str">
        <v>ILRI</v>
      </c>
      <c r="D102" s="4" t="str">
        <v>Mali - small ruminant: Appropriate incentives to enhance bundling of markets and services by market agents (enhancing treatment compliance): brief</v>
      </c>
      <c r="E102" s="4" t="str">
        <v>Number of knowledge products</v>
      </c>
      <c r="F102" s="4" t="str">
        <v>Mali</v>
      </c>
      <c r="G102" s="5">
        <v>1</v>
      </c>
      <c r="H102" s="5">
        <v>22000</v>
      </c>
      <c r="I102" s="4" t="str">
        <v>Estimate for personnel, supplies and services</v>
      </c>
      <c r="J102" s="4">
        <v>7335</v>
      </c>
    </row>
    <row r="103" ht="50" customHeight="1">
      <c r="B103" s="4" t="str">
        <v>ILRI</v>
      </c>
      <c r="D103" s="4" t="str">
        <v>Global - AoW4 learnings: Learning brief (joint) - Behavioral change in AAF systems</v>
      </c>
      <c r="E103" s="4" t="str">
        <v>Number of knowledge products</v>
      </c>
      <c r="F103" s="4" t="str">
        <v>Kenya</v>
      </c>
      <c r="G103" s="5">
        <v>1</v>
      </c>
      <c r="H103" s="5">
        <v>10000</v>
      </c>
      <c r="I103" s="4" t="str">
        <v>Estimate for personnel, supplies and services</v>
      </c>
      <c r="J103" s="4">
        <v>7426</v>
      </c>
    </row>
    <row r="104" ht="50" customHeight="1">
      <c r="B104" s="4" t="str">
        <v>ILRI</v>
      </c>
      <c r="D104" s="4" t="str">
        <v>Vietnam - beef cattle and pigs: Early evidence on testing of business model for entrepreneurship ecosystem agency: report</v>
      </c>
      <c r="E104" s="4" t="str">
        <v>Number of knowledge products</v>
      </c>
      <c r="F104" s="4" t="str">
        <v>The Socialist Republic of Viet Nam</v>
      </c>
      <c r="G104" s="5">
        <v>1</v>
      </c>
      <c r="H104" s="5">
        <v>75000</v>
      </c>
      <c r="I104" s="4" t="str">
        <v>Estimate for personnel, supplies and services</v>
      </c>
      <c r="J104" s="4">
        <v>8202</v>
      </c>
    </row>
    <row r="105" ht="50" customHeight="1">
      <c r="A105" s="4" t="str">
        <v>AOW04: Market Systems, Policy Solutions and Scaling</v>
      </c>
      <c r="B105" s="4" t="str">
        <v>ILRI</v>
      </c>
      <c r="C105" s="4" t="str">
        <v xml:space="preserve">HLO 4.4 - Policy analysis and engagement processes for improved governance and effectiveness </v>
      </c>
      <c r="D105" s="4" t="str">
        <v>Critical capability: Livestock Master Plan Nigeria - technical support on implementation of livestock data management, genetics, feeds, gender inclusion, policy analysis and M&amp;E</v>
      </c>
      <c r="E105" s="4" t="str">
        <v>custom</v>
      </c>
      <c r="F105" s="4" t="str">
        <v>Nigeria</v>
      </c>
      <c r="G105" s="5">
        <v>5</v>
      </c>
      <c r="H105" s="5">
        <v>200000</v>
      </c>
      <c r="I105" s="4" t="str">
        <v>Estimate for personnel, supplies and services</v>
      </c>
      <c r="J105" s="4">
        <v>5226</v>
      </c>
    </row>
    <row r="106" ht="50" customHeight="1">
      <c r="A106" s="4" t="str">
        <v>AOW04: Market Systems, Policy Solutions and Scaling</v>
      </c>
      <c r="B106" s="4" t="str">
        <v>ILRI</v>
      </c>
      <c r="C106" s="4" t="str">
        <v>HLO 4.5 - Evidence-based pathways for scaling  contextualized innovation packages with high readiness and demand</v>
      </c>
      <c r="D106" s="4" t="str">
        <v>Vietnam - beef cattle and pigs: Identification of mechanisms to leverage existing local policies and programs to scale up best practices for improving livestock productivity among smallholder farmers: report</v>
      </c>
      <c r="E106" s="4" t="str">
        <v>Number of knowledge products</v>
      </c>
      <c r="F106" s="4" t="str">
        <v>The Socialist Republic of Viet Nam</v>
      </c>
      <c r="G106" s="5">
        <v>1</v>
      </c>
      <c r="H106" s="5">
        <v>50000</v>
      </c>
      <c r="I106" s="4" t="str">
        <v>Estimate for personnel, supplies and services</v>
      </c>
      <c r="J106" s="4">
        <v>5234</v>
      </c>
    </row>
    <row r="107" ht="50" customHeight="1">
      <c r="B107" s="4" t="str">
        <v>ILRI</v>
      </c>
      <c r="D107" s="4" t="str">
        <v>Nepal - dairy buffalo: Pathways to scaling the village livestock promoter (VLP) model developed and promoted among government, cooperative and private market actors.</v>
      </c>
      <c r="E107" s="4" t="str">
        <v>Number of innovations (innovation development)</v>
      </c>
      <c r="F107" s="4" t="str">
        <v>Nepal</v>
      </c>
      <c r="G107" s="5">
        <v>1</v>
      </c>
      <c r="H107" s="5">
        <v>72000</v>
      </c>
      <c r="I107" s="4" t="str">
        <v>Estimate for personnel, supplies and services</v>
      </c>
      <c r="J107" s="4">
        <v>5235</v>
      </c>
    </row>
    <row r="108" ht="50" customHeight="1">
      <c r="B108" s="4" t="str">
        <v>ILRI</v>
      </c>
      <c r="D108" s="4" t="str">
        <v xml:space="preserve">Kenya - dairy cattle: Feed centre-embedded Dairy Farmer Advisor (DFAs) innovation optimized for scaling and promoted </v>
      </c>
      <c r="E108" s="4" t="str">
        <v>Number of innovations (innovation development)</v>
      </c>
      <c r="F108" s="4" t="str">
        <v>Kenya</v>
      </c>
      <c r="G108" s="5">
        <v>1</v>
      </c>
      <c r="H108" s="5">
        <v>10000</v>
      </c>
      <c r="I108" s="4" t="str">
        <v>Estimate for personnel, supplies and services</v>
      </c>
      <c r="J108" s="4">
        <v>5236</v>
      </c>
    </row>
    <row r="109" ht="50" customHeight="1">
      <c r="B109" s="4" t="str">
        <v>ILRI</v>
      </c>
      <c r="D109" s="4" t="str">
        <v>Vietnam - beef cattle and pigs: Entrepreneurship incubation and coaching for selecting bundling agents</v>
      </c>
      <c r="E109" s="4" t="str">
        <v>Number of people trained (capacity sharing for development)</v>
      </c>
      <c r="F109" s="4" t="str">
        <v>The Socialist Republic of Viet Nam</v>
      </c>
      <c r="G109" s="5">
        <v>30</v>
      </c>
      <c r="H109" s="5">
        <v>52000</v>
      </c>
      <c r="I109" s="4" t="str">
        <v>Estimate for personnel, supplies and services</v>
      </c>
      <c r="J109" s="4">
        <v>7324</v>
      </c>
    </row>
    <row r="110" ht="50" customHeight="1">
      <c r="B110" s="4" t="str">
        <v>ILRI</v>
      </c>
      <c r="D110" s="4" t="str">
        <v>Nepal - dairy buffalo: Strengthening the capacity of partners to scale SAAF innovation previously developed through training of VLPs</v>
      </c>
      <c r="E110" s="4" t="str">
        <v>Number of people trained (capacity sharing for development)</v>
      </c>
      <c r="F110" s="4" t="str">
        <v>Nepal</v>
      </c>
      <c r="G110" s="5">
        <v>30</v>
      </c>
      <c r="H110" s="5">
        <v>11000</v>
      </c>
      <c r="I110" s="4" t="str">
        <v>Estimate for personnel, supplies and services</v>
      </c>
      <c r="J110" s="4">
        <v>7328</v>
      </c>
    </row>
    <row r="111" ht="25" customHeight="1">
      <c r="C111" s="9" t="str">
        <v>HLO budget subtotal</v>
      </c>
      <c r="H111" s="9">
        <v>877925</v>
      </c>
      <c r="J111" s="9" t="str">
        <v/>
      </c>
    </row>
    <row r="112" ht="50" customHeight="1">
      <c r="A112" s="8" t="str">
        <v>AOW05: Gender, Youth and Social Inclusion</v>
      </c>
      <c r="B112" s="4" t="str">
        <v>ILRI</v>
      </c>
      <c r="C112" s="4" t="str">
        <v>HLO 5.2 -  Tested interventions and theoretical advances on women &amp; youth empowerment and for equitable norms and policies</v>
      </c>
      <c r="D112" s="4" t="str">
        <v>Vietnam - beef cattle and pigs: Gender transformative videos and community-level tools for conducive gender and ethnic norms developed</v>
      </c>
      <c r="E112" s="4" t="str">
        <v>Number of knowledge products</v>
      </c>
      <c r="F112" s="4" t="str">
        <v>The Socialist Republic of Viet Nam</v>
      </c>
      <c r="G112" s="5">
        <v>1</v>
      </c>
      <c r="H112" s="5">
        <v>50000</v>
      </c>
      <c r="I112" s="4" t="str">
        <v>Estimate for personnel, supplies and services, and partners</v>
      </c>
      <c r="J112" s="4">
        <v>5076</v>
      </c>
    </row>
    <row r="113" ht="50" customHeight="1">
      <c r="B113" s="4" t="str">
        <v>ILRI</v>
      </c>
      <c r="D113" s="4" t="str">
        <v>Global- GYSI: A brief outlining an approach to integrating gender considerations in livestock policy</v>
      </c>
      <c r="E113" s="4" t="str">
        <v>Number of knowledge products</v>
      </c>
      <c r="F113" s="4" t="str">
        <v>Kenya</v>
      </c>
      <c r="G113" s="5">
        <v>1</v>
      </c>
      <c r="H113" s="5">
        <v>50836</v>
      </c>
      <c r="I113" s="4" t="str">
        <v>Estimated costs for personnel, supplies &amp; services</v>
      </c>
      <c r="J113" s="4">
        <v>5079</v>
      </c>
    </row>
    <row r="114" ht="50" customHeight="1">
      <c r="B114" s="4" t="str">
        <v>ILRI</v>
      </c>
      <c r="D114" s="4" t="str">
        <v xml:space="preserve">Nepal - dairy buffalo: Exploring gender norms facing water management and decision-making of women VLPs </v>
      </c>
      <c r="E114" s="4" t="str">
        <v>Number of knowledge products</v>
      </c>
      <c r="F114" s="4" t="str">
        <v>Nepal</v>
      </c>
      <c r="G114" s="5">
        <v>1</v>
      </c>
      <c r="H114" s="5">
        <v>30000</v>
      </c>
      <c r="I114" s="4" t="str">
        <v>Estimated costs for personnel, supplies &amp; services</v>
      </c>
      <c r="J114" s="4">
        <v>7453</v>
      </c>
    </row>
    <row r="115" ht="50" customHeight="1">
      <c r="B115" s="4" t="str">
        <v>ILRI</v>
      </c>
      <c r="D115" s="4" t="str">
        <v>Mali - small ruminant: Documentation of enhanced access to finances for young women involved in CBBP</v>
      </c>
      <c r="E115" s="4" t="str">
        <v>Number of knowledge products</v>
      </c>
      <c r="F115" s="4" t="str">
        <v>Mali</v>
      </c>
      <c r="G115" s="5">
        <v>1</v>
      </c>
      <c r="H115" s="5">
        <v>30000</v>
      </c>
      <c r="I115" s="4" t="str">
        <v>Estimated costs for personnel, supplies &amp; services</v>
      </c>
      <c r="J115" s="4">
        <v>7458</v>
      </c>
    </row>
    <row r="116" ht="50" customHeight="1">
      <c r="B116" s="4" t="str">
        <v>ILRI</v>
      </c>
      <c r="D116" s="4" t="str">
        <v>Kenya- dairy: gender transformative approaches to address gender and youth norms in forage for dairy business</v>
      </c>
      <c r="E116" s="4" t="str">
        <v>Number of knowledge products</v>
      </c>
      <c r="F116" s="4" t="str">
        <v>Kenya</v>
      </c>
      <c r="G116" s="5">
        <v>1</v>
      </c>
      <c r="H116" s="5">
        <v>58217</v>
      </c>
      <c r="I116" s="4" t="str">
        <v>Estimated costs for personnel, supplies &amp; services, partners</v>
      </c>
      <c r="J116" s="4">
        <v>8316</v>
      </c>
    </row>
    <row r="117" ht="50" customHeight="1" xml:space="preserve">
      <c r="B117" s="4" t="str">
        <v>ILRI</v>
      </c>
      <c r="D117" s="4" t="str" xml:space="preserve">
        <v xml:space="preserve">Tanzania - chicken: Documentation of enhanced access to finance and feed business opportunities for young women in aquaculture, fisheries and livestock, with a focus on norms
</v>
      </c>
      <c r="E117" s="4" t="str">
        <v>Number of innovations (innovation development)</v>
      </c>
      <c r="F117" s="4" t="str">
        <v>Tanzania, United Republic</v>
      </c>
      <c r="G117" s="5">
        <v>1</v>
      </c>
      <c r="H117" s="5">
        <v>170000</v>
      </c>
      <c r="I117" s="4" t="str">
        <v>Estimated costs for personnel, supplies &amp; services, partners</v>
      </c>
      <c r="J117" s="4">
        <v>8317</v>
      </c>
    </row>
    <row r="118" ht="50" customHeight="1">
      <c r="A118" s="4" t="str">
        <v>AOW05: Gender, Youth and Social Inclusion</v>
      </c>
      <c r="B118" s="4" t="str">
        <v>ILRI</v>
      </c>
      <c r="C118" s="4" t="str">
        <v xml:space="preserve">HLO 5.1 - Tools and datasets on gender and youth norms and dynamics, and on empowerment </v>
      </c>
      <c r="D118" s="4" t="str">
        <v>Global- GYSI: An improved tool to explore gender norms and assess changes</v>
      </c>
      <c r="E118" s="4" t="str">
        <v>Number of knowledge products</v>
      </c>
      <c r="F118" s="4" t="str">
        <v>Kenya</v>
      </c>
      <c r="G118" s="5">
        <v>1</v>
      </c>
      <c r="H118" s="5">
        <v>30000</v>
      </c>
      <c r="I118" s="4" t="str">
        <v>Estimated costs for personnel, supplies &amp; services</v>
      </c>
      <c r="J118" s="4">
        <v>5083</v>
      </c>
    </row>
    <row r="119" ht="50" customHeight="1">
      <c r="B119" s="4" t="str">
        <v>ILRI</v>
      </c>
      <c r="D119" s="4" t="str">
        <v>Uganda - pigs: Empowerment and norms datasets</v>
      </c>
      <c r="E119" s="4" t="str">
        <v>Number of knowledge products</v>
      </c>
      <c r="F119" s="4" t="str">
        <v>Uganda</v>
      </c>
      <c r="G119" s="5">
        <v>1</v>
      </c>
      <c r="H119" s="5">
        <v>150000</v>
      </c>
      <c r="I119" s="4" t="str">
        <v>Estimated costs for personnel, supplies &amp; services, partners</v>
      </c>
      <c r="J119" s="4">
        <v>5084</v>
      </c>
    </row>
    <row r="120" ht="25" customHeight="1">
      <c r="C120" s="9" t="str">
        <v>HLO budget subtotal</v>
      </c>
      <c r="H120" s="9">
        <v>569053</v>
      </c>
      <c r="J120" s="9" t="str">
        <v/>
      </c>
    </row>
    <row r="121" ht="50" customHeight="1">
      <c r="A121" s="8" t="str">
        <v>AOW06: Data and Digital Solutions</v>
      </c>
      <c r="B121" s="4" t="str">
        <v>ILRI</v>
      </c>
      <c r="C121" s="4" t="str">
        <v>HLO 6.2 - Co-develop and test exploratory digital solutions, AI-based analytics, and decision-support systems</v>
      </c>
      <c r="D121" s="4" t="str">
        <v>East Africa- livestock health and resilience: Digitally curated geospatial datasets and map layers on livestock vulnerability, exposure, and adaptive capacity for data-driven decision-making</v>
      </c>
      <c r="E121" s="4" t="str">
        <v>Number of knowledge products</v>
      </c>
      <c r="F121" s="4" t="str">
        <v>Ethiopia, Tanzania, United Republic, Kenya</v>
      </c>
      <c r="G121" s="5">
        <v>1</v>
      </c>
      <c r="H121" s="5">
        <v>12283</v>
      </c>
      <c r="I121" s="4" t="str">
        <v>Estimated costs for personnel, supplies &amp; services</v>
      </c>
      <c r="J121" s="4">
        <v>5072</v>
      </c>
    </row>
    <row r="122" ht="50" customHeight="1">
      <c r="B122" s="4" t="str">
        <v>ILRI</v>
      </c>
      <c r="D122" s="4" t="str">
        <v>Kenya - dairy cattle: a brief on spatial insights and investment priorities for enhancing resilience in Kenya’s smallholder dairy systems</v>
      </c>
      <c r="E122" s="4" t="str">
        <v>Number of knowledge products</v>
      </c>
      <c r="F122" s="4" t="str">
        <v>Kenya</v>
      </c>
      <c r="G122" s="5">
        <v>1</v>
      </c>
      <c r="H122" s="5">
        <v>65000</v>
      </c>
      <c r="I122" s="4" t="str">
        <v>Estimated costs for personnel, supplies &amp; services</v>
      </c>
      <c r="J122" s="4">
        <v>5073</v>
      </c>
    </row>
    <row r="123" ht="50" customHeight="1">
      <c r="B123" s="4" t="str">
        <v>ILRI</v>
      </c>
      <c r="D123" s="4" t="str">
        <v>Kenya - dairy cattle: Dairy profitability App with enhanced functionality deployed on App store</v>
      </c>
      <c r="E123" s="4" t="str">
        <v>Number of innovations (innovation development)</v>
      </c>
      <c r="F123" s="4" t="str">
        <v>Kenya</v>
      </c>
      <c r="G123" s="5">
        <v>1</v>
      </c>
      <c r="H123" s="5">
        <v>10000</v>
      </c>
      <c r="I123" s="4" t="str">
        <v>Estimate for app deployment</v>
      </c>
      <c r="J123" s="4">
        <v>7479</v>
      </c>
    </row>
    <row r="124" ht="50" customHeight="1">
      <c r="B124" s="4" t="str">
        <v>ILRI</v>
      </c>
      <c r="D124" s="4" t="str">
        <v xml:space="preserve">East Africa- livestock health and resilience: Development and validation of a geospatial decision-support tool (dashboard) to visualize livestock vulnerability, risk, and investment priorities. </v>
      </c>
      <c r="E124" s="4" t="str">
        <v>Number of knowledge products</v>
      </c>
      <c r="F124" s="4" t="str">
        <v>Tanzania, United Republic, Kenya, Ethiopia</v>
      </c>
      <c r="G124" s="5">
        <v>1</v>
      </c>
      <c r="H124" s="5">
        <v>17000</v>
      </c>
      <c r="I124" s="4" t="str">
        <v>Estimated costs for personnel, supplies &amp; services</v>
      </c>
      <c r="J124" s="4">
        <v>7504</v>
      </c>
    </row>
    <row r="125" ht="50" customHeight="1" xml:space="preserve">
      <c r="A125" s="4" t="str">
        <v>AOW06: Data and Digital Solutions</v>
      </c>
      <c r="B125" s="4" t="str">
        <v>ILRI</v>
      </c>
      <c r="C125" s="4" t="str">
        <v>HLO 6.3 - Co-design and deploy scalable digital platforms to facilitate knowledge exchange, data sharing, and innovation scaling in target geographies</v>
      </c>
      <c r="D125" s="4" t="str" xml:space="preserve">
        <v xml:space="preserve">
East Africa - livestock health and resilience: building capacity of national stakeholders in the use of digital decision support tools in Kenya</v>
      </c>
      <c r="E125" s="4" t="str">
        <v>Number of people trained (capacity sharing for development)</v>
      </c>
      <c r="F125" s="4" t="str">
        <v>Kenya</v>
      </c>
      <c r="G125" s="5">
        <v>25</v>
      </c>
      <c r="H125" s="5">
        <v>7000</v>
      </c>
      <c r="I125" s="4" t="str">
        <v>Estimated costs for personnel, supplies &amp; services</v>
      </c>
      <c r="J125" s="4">
        <v>7482</v>
      </c>
    </row>
    <row r="126" ht="50" customHeight="1">
      <c r="A126" s="4" t="str">
        <v>AOW06: Data and Digital Solutions</v>
      </c>
      <c r="B126" s="4" t="str">
        <v>ILRI</v>
      </c>
      <c r="C126" s="4" t="str">
        <v>HLO 6.1 - Develop and promote standardized, FAIR-aligned data protocols, ethical guidelines, best practices, and inform institutional practice and policies</v>
      </c>
      <c r="D126" s="4" t="str">
        <v>East Africa- livestock health and resilience: Stakeholder engagement workshop to enhance usability and uptake</v>
      </c>
      <c r="E126" s="4" t="str">
        <v>Number of people trained (capacity sharing for development)</v>
      </c>
      <c r="F126" s="4" t="str">
        <v>Ethiopia, Tanzania, United Republic, Kenya</v>
      </c>
      <c r="G126" s="5">
        <v>25</v>
      </c>
      <c r="H126" s="5">
        <v>13000</v>
      </c>
      <c r="I126" s="4" t="str">
        <v>Estimated costs for personnel, supplies &amp; services</v>
      </c>
      <c r="J126" s="4">
        <v>7486</v>
      </c>
    </row>
    <row r="127" ht="50" customHeight="1">
      <c r="B127" s="4" t="str">
        <v>ILRI</v>
      </c>
      <c r="D127" s="4" t="str">
        <v>East Africa- livestock health and resilience: Report on workshop on national stakeholders in the use of digital decision support tools in Kenya</v>
      </c>
      <c r="E127" s="4" t="str">
        <v>Number of knowledge products</v>
      </c>
      <c r="F127" s="4" t="str">
        <v>Kenya</v>
      </c>
      <c r="G127" s="5">
        <v>1</v>
      </c>
      <c r="H127" s="5">
        <v>8000</v>
      </c>
      <c r="I127" s="4" t="str">
        <v>Estimated costs for personnel, supplies &amp; services</v>
      </c>
      <c r="J127" s="4">
        <v>7491</v>
      </c>
    </row>
    <row r="128" ht="25" customHeight="1">
      <c r="C128" s="9" t="str">
        <v>HLO budget subtotal</v>
      </c>
      <c r="H128" s="9">
        <v>132283</v>
      </c>
      <c r="J128" s="9" t="str">
        <v/>
      </c>
    </row>
  </sheetData>
  <mergeCells count="34">
    <mergeCell ref="A1:A2"/>
    <mergeCell ref="B1:B2"/>
    <mergeCell ref="C1:C2"/>
    <mergeCell ref="D1:H1"/>
    <mergeCell ref="I1:I2"/>
    <mergeCell ref="J1:J2"/>
    <mergeCell ref="C3:C16"/>
    <mergeCell ref="C17:C28"/>
    <mergeCell ref="C29:C42"/>
    <mergeCell ref="C43:C58"/>
    <mergeCell ref="C59:G59"/>
    <mergeCell ref="A3:A59"/>
    <mergeCell ref="C60:C64"/>
    <mergeCell ref="C65:C68"/>
    <mergeCell ref="C69:G69"/>
    <mergeCell ref="A60:A69"/>
    <mergeCell ref="C70:C75"/>
    <mergeCell ref="C76:C81"/>
    <mergeCell ref="C82:C86"/>
    <mergeCell ref="C87:C94"/>
    <mergeCell ref="C95:G95"/>
    <mergeCell ref="A70:A95"/>
    <mergeCell ref="C97:C104"/>
    <mergeCell ref="C106:C110"/>
    <mergeCell ref="C111:G111"/>
    <mergeCell ref="A96:A111"/>
    <mergeCell ref="C112:C117"/>
    <mergeCell ref="C118:C119"/>
    <mergeCell ref="C120:G120"/>
    <mergeCell ref="A112:A120"/>
    <mergeCell ref="C121:C124"/>
    <mergeCell ref="C126:C127"/>
    <mergeCell ref="C128:G128"/>
    <mergeCell ref="A121:A128"/>
  </mergeCells>
  <ignoredErrors>
    <ignoredError numberStoredAsText="1" sqref="A1:J128"/>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Productivity+</v>
      </c>
      <c r="B2" s="4" t="str">
        <v>Vietnam National University of Agriculture</v>
      </c>
      <c r="C2" s="4" t="str">
        <v>ILRI</v>
      </c>
      <c r="D2" s="4" t="str">
        <v>The Socialist Republic of Viet Nam</v>
      </c>
      <c r="E2" s="5">
        <v>27000</v>
      </c>
      <c r="F2" s="4" t="str">
        <v>Development of market systems approach</v>
      </c>
      <c r="G2" s="4">
        <v>74</v>
      </c>
    </row>
    <row r="3" ht="50" customHeight="1">
      <c r="A3" s="4" t="str">
        <v>AOW01: Productivity+</v>
      </c>
      <c r="B3" s="4" t="str">
        <v>National Veterinary Services - Tanzania</v>
      </c>
      <c r="C3" s="4" t="str">
        <v>ILRI</v>
      </c>
      <c r="D3" s="4" t="str">
        <v>Tanzania, United Republic</v>
      </c>
      <c r="E3" s="5">
        <v>10000</v>
      </c>
      <c r="F3" s="4" t="str">
        <v>Estimate for assessment chicken flock health issues</v>
      </c>
      <c r="G3" s="4">
        <v>75</v>
      </c>
    </row>
    <row r="4" ht="50" customHeight="1">
      <c r="A4" s="4" t="str">
        <v>AOW01: Productivity+</v>
      </c>
      <c r="B4" s="4" t="str">
        <v>Nepal Livestock Breeding Office</v>
      </c>
      <c r="C4" s="4" t="str">
        <v>ILRI</v>
      </c>
      <c r="D4" s="4" t="str">
        <v>Nepal</v>
      </c>
      <c r="E4" s="5">
        <v>10000</v>
      </c>
      <c r="F4" s="4" t="str">
        <v>Estimate for assigned work</v>
      </c>
      <c r="G4" s="4">
        <v>76</v>
      </c>
    </row>
    <row r="5" ht="50" customHeight="1">
      <c r="A5" s="4" t="str">
        <v>AOW01: Productivity+</v>
      </c>
      <c r="B5" s="4" t="str">
        <v>CowSense kenya Limited</v>
      </c>
      <c r="C5" s="4" t="str">
        <v>ILRI</v>
      </c>
      <c r="D5" s="4" t="str">
        <v>Kenya</v>
      </c>
      <c r="E5" s="5">
        <v>15000</v>
      </c>
      <c r="F5" s="4" t="str">
        <v>Estimate for assigned work</v>
      </c>
      <c r="G5" s="4">
        <v>77</v>
      </c>
    </row>
    <row r="6" ht="50" customHeight="1">
      <c r="A6" s="4" t="str">
        <v>AOW01: Productivity+</v>
      </c>
      <c r="B6" s="4" t="str">
        <v>Makerere University</v>
      </c>
      <c r="C6" s="4" t="str">
        <v>ILRI</v>
      </c>
      <c r="D6" s="4" t="str">
        <v>Uganda</v>
      </c>
      <c r="E6" s="5">
        <v>30000</v>
      </c>
      <c r="F6" s="4" t="str">
        <v>Estimate for assigned work</v>
      </c>
      <c r="G6" s="4">
        <v>78</v>
      </c>
    </row>
    <row r="7" ht="50" customHeight="1">
      <c r="A7" s="4" t="str">
        <v>AOW01: Productivity+</v>
      </c>
      <c r="B7" s="4" t="str">
        <v>All Across Africa</v>
      </c>
      <c r="C7" s="4" t="str">
        <v>ILRI</v>
      </c>
      <c r="D7" s="4" t="str">
        <v>Uganda</v>
      </c>
      <c r="E7" s="5">
        <v>12000</v>
      </c>
      <c r="F7" s="4" t="str">
        <v>Estimate for assigned work</v>
      </c>
      <c r="G7" s="4">
        <v>79</v>
      </c>
    </row>
    <row r="8" ht="50" customHeight="1">
      <c r="A8" s="4" t="str">
        <v>AOW01: Productivity+</v>
      </c>
      <c r="B8" s="4" t="str">
        <v>National d'Insemination Artificielle - Mali</v>
      </c>
      <c r="C8" s="4" t="str">
        <v>ILRI</v>
      </c>
      <c r="D8" s="4" t="str">
        <v>Mali</v>
      </c>
      <c r="E8" s="5">
        <v>25000</v>
      </c>
      <c r="F8" s="4" t="str">
        <v>Estimate for assigned work</v>
      </c>
      <c r="G8" s="4">
        <v>80</v>
      </c>
    </row>
    <row r="9" ht="50" customHeight="1">
      <c r="A9" s="4" t="str">
        <v>AOW01: Productivity+</v>
      </c>
      <c r="B9" s="4" t="str">
        <v>Central Veterinary Laboratory in Mali/Laboratoire Centrale Veterinaire au Mali</v>
      </c>
      <c r="C9" s="4" t="str">
        <v>ILRI</v>
      </c>
      <c r="D9" s="4" t="str">
        <v>Mali</v>
      </c>
      <c r="E9" s="5">
        <v>15000</v>
      </c>
      <c r="F9" s="4" t="str">
        <v>Estimate for assigned work</v>
      </c>
      <c r="G9" s="4">
        <v>82</v>
      </c>
    </row>
    <row r="10" ht="50" customHeight="1">
      <c r="A10" s="4" t="str">
        <v>AOW01: Productivity+</v>
      </c>
      <c r="B10" s="4" t="str">
        <v>National Institute of Animal Sciences</v>
      </c>
      <c r="C10" s="4" t="str">
        <v>ILRI</v>
      </c>
      <c r="D10" s="4" t="str">
        <v>The Socialist Republic of Viet Nam</v>
      </c>
      <c r="E10" s="5">
        <v>59000</v>
      </c>
      <c r="F10" s="4" t="str">
        <v>Estimate for assigned work</v>
      </c>
      <c r="G10" s="4">
        <v>114</v>
      </c>
    </row>
    <row r="11" ht="50" customHeight="1">
      <c r="A11" s="4" t="str">
        <v>AOW01: Productivity+</v>
      </c>
      <c r="B11" s="4" t="str">
        <v>Institute for Rural Economy (Mali) / Institut d’Economie Rurale (Mali)</v>
      </c>
      <c r="C11" s="4" t="str">
        <v>ILRI</v>
      </c>
      <c r="D11" s="4" t="str">
        <v>Mali</v>
      </c>
      <c r="E11" s="5">
        <v>10000</v>
      </c>
      <c r="F11" s="4" t="str">
        <v>Should be on HLO 1.5</v>
      </c>
      <c r="G11" s="4">
        <v>118</v>
      </c>
    </row>
    <row r="12" ht="50" customHeight="1">
      <c r="A12" s="4" t="str">
        <v>AOW01: Productivity+</v>
      </c>
      <c r="B12" s="4" t="str">
        <v>Tanzania Livestock Research Institute</v>
      </c>
      <c r="C12" s="4" t="str">
        <v>ILRI</v>
      </c>
      <c r="D12" s="4" t="str">
        <v>Tanzania, United Republic</v>
      </c>
      <c r="E12" s="5">
        <v>30000</v>
      </c>
      <c r="F12" s="4" t="str">
        <v>Estimate for assessmsent chicken flock health issue</v>
      </c>
      <c r="G12" s="4">
        <v>119</v>
      </c>
    </row>
    <row r="13" ht="50" customHeight="1">
      <c r="A13" s="4" t="str">
        <v>AOW01: Productivity+</v>
      </c>
      <c r="B13" s="4" t="str">
        <v>Son La Sub-Department of Animal Husbandry, Animal Health and Aquaculture</v>
      </c>
      <c r="C13" s="4" t="str">
        <v>ILRI</v>
      </c>
      <c r="D13" s="4" t="str">
        <v>The Socialist Republic of Viet Nam</v>
      </c>
      <c r="E13" s="5">
        <v>60500</v>
      </c>
      <c r="F13" s="4" t="str">
        <v>Estimate</v>
      </c>
      <c r="G13" s="4">
        <v>122</v>
      </c>
    </row>
    <row r="14" ht="25" customHeight="1">
      <c r="B14" s="9" t="str">
        <v>Contracted partners subtotal</v>
      </c>
      <c r="E14" s="9">
        <v>303500</v>
      </c>
      <c r="F14" s="9" t="str">
        <v/>
      </c>
      <c r="G14" s="9" t="str">
        <v/>
      </c>
    </row>
    <row r="15" ht="50" customHeight="1">
      <c r="A15" s="8" t="str">
        <v>AOW05: Gender, Youth and Social Inclusion</v>
      </c>
      <c r="B15" s="4" t="str">
        <v>Shujaaz Inc</v>
      </c>
      <c r="C15" s="4" t="str">
        <v>ILRI</v>
      </c>
      <c r="D15" s="4" t="str">
        <v>Tanzania, United Republic</v>
      </c>
      <c r="E15" s="5">
        <v>40000</v>
      </c>
      <c r="F15" s="4" t="str">
        <v>d</v>
      </c>
      <c r="G15" s="4">
        <v>37</v>
      </c>
    </row>
    <row r="16" ht="50" customHeight="1">
      <c r="A16" s="4" t="str">
        <v>AOW05: Gender, Youth and Social Inclusion</v>
      </c>
      <c r="B16" s="4" t="str">
        <v>Ripple Effect</v>
      </c>
      <c r="C16" s="4" t="str">
        <v>ILRI</v>
      </c>
      <c r="D16" s="4" t="str">
        <v>Uganda</v>
      </c>
      <c r="E16" s="5">
        <v>20000</v>
      </c>
      <c r="F16" s="4" t="str">
        <v>Empowerment</v>
      </c>
      <c r="G16" s="4">
        <v>41</v>
      </c>
    </row>
    <row r="17" ht="50" customHeight="1">
      <c r="A17" s="4" t="str">
        <v>AOW05: Gender, Youth and Social Inclusion</v>
      </c>
      <c r="B17" s="4" t="str">
        <v>Media for education and development</v>
      </c>
      <c r="C17" s="4" t="str">
        <v>ILRI</v>
      </c>
      <c r="D17" s="4" t="str">
        <v>Kenya</v>
      </c>
      <c r="E17" s="5">
        <v>30000</v>
      </c>
      <c r="F17" s="4" t="str">
        <v>GTA dairy</v>
      </c>
      <c r="G17" s="4">
        <v>43</v>
      </c>
    </row>
    <row r="18" ht="50" customHeight="1">
      <c r="A18" s="4" t="str">
        <v>AOW05: Gender, Youth and Social Inclusion</v>
      </c>
      <c r="B18" s="4" t="str">
        <v>Thang Creative Agency</v>
      </c>
      <c r="C18" s="4" t="str">
        <v>ILRI</v>
      </c>
      <c r="D18" s="4" t="str">
        <v>The Socialist Republic of Viet Nam</v>
      </c>
      <c r="E18" s="5">
        <v>10000</v>
      </c>
      <c r="F18" s="4" t="str">
        <v>GTA Video</v>
      </c>
      <c r="G18" s="4">
        <v>44</v>
      </c>
    </row>
    <row r="19" ht="25" customHeight="1">
      <c r="B19" s="9" t="str">
        <v>Contracted partners subtotal</v>
      </c>
      <c r="E19" s="9">
        <v>100000</v>
      </c>
      <c r="F19" s="9" t="str">
        <v/>
      </c>
      <c r="G19" s="9" t="str">
        <v/>
      </c>
    </row>
  </sheetData>
  <mergeCells count="4">
    <mergeCell ref="B14:D14"/>
    <mergeCell ref="A2:A14"/>
    <mergeCell ref="B19:D19"/>
    <mergeCell ref="A15:A19"/>
  </mergeCells>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F2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ILRI</v>
      </c>
      <c r="B2" s="4" t="str">
        <v>L-ACI033-Strengthening Adaptive Capacity of Extensive Lives</v>
      </c>
      <c r="C2" s="4" t="str">
        <v>PO3 - People within animal and aquatic food systems adopt innovations for increased social, economic and environmental resilience</v>
      </c>
      <c r="D2" s="5">
        <v>0</v>
      </c>
      <c r="E2" s="4" t="str">
        <v/>
      </c>
      <c r="F2" s="4">
        <v>1005</v>
      </c>
    </row>
    <row r="3" ht="60" customHeight="1">
      <c r="A3" s="4" t="str">
        <v>ILRI</v>
      </c>
      <c r="B3" s="4" t="str">
        <v>L-BLM001-Ballmer Group Funding</v>
      </c>
      <c r="C3" s="4" t="str">
        <v>PO8 - Policy and decision-makers design and implement new or improved policies, regulations or strategies for equitable, efficient, low-emission and resilient animal and aquatic food systems</v>
      </c>
      <c r="D3" s="5">
        <v>0</v>
      </c>
      <c r="E3" s="4" t="str">
        <v/>
      </c>
      <c r="F3" s="4">
        <v>994</v>
      </c>
    </row>
    <row r="4" ht="60" customHeight="1">
      <c r="A4" s="4" t="str">
        <v>ILRI</v>
      </c>
      <c r="B4" s="4" t="str">
        <v>L-BMG026-CGIAR Livestock Partnership</v>
      </c>
      <c r="C4" s="4" t="str">
        <v xml:space="preserve">PO4 - People within animals and aquatic food systems adopt innovations for improved community health and well-being </v>
      </c>
      <c r="D4" s="5">
        <v>0</v>
      </c>
      <c r="E4" s="4" t="str">
        <v/>
      </c>
      <c r="F4" s="4">
        <v>1000</v>
      </c>
    </row>
    <row r="5" ht="60" customHeight="1">
      <c r="A5" s="4" t="str">
        <v>ILRI</v>
      </c>
      <c r="B5" s="4" t="str">
        <v>L-BMG027-MoreMiLK: More Milk for Lives and Livelihoods in Ke</v>
      </c>
      <c r="C5" s="4" t="str">
        <v xml:space="preserve">PO4 - People within animals and aquatic food systems adopt innovations for improved community health and well-being </v>
      </c>
      <c r="D5" s="5">
        <v>0</v>
      </c>
      <c r="E5" s="4" t="str">
        <v/>
      </c>
      <c r="F5" s="4">
        <v>1001</v>
      </c>
    </row>
    <row r="6" ht="60" customHeight="1">
      <c r="A6" s="4" t="str">
        <v>ILRI</v>
      </c>
      <c r="B6" s="4" t="str">
        <v>L-BMG028-Platform for Alternative Feed Ingredients Evaluati</v>
      </c>
      <c r="C6" s="4" t="str">
        <v>PO7 - Public and private sector actors (including market actors) invest in equitable, efficient, low-emission and resilient animal and aquatic food systems</v>
      </c>
      <c r="D6" s="5">
        <v>0</v>
      </c>
      <c r="E6" s="4" t="str">
        <v/>
      </c>
      <c r="F6" s="4">
        <v>997</v>
      </c>
    </row>
    <row r="7" ht="60" customHeight="1">
      <c r="A7" s="4" t="str">
        <v>ILRI</v>
      </c>
      <c r="B7" s="4" t="str">
        <v>L-BMZ002-One Health Research, Education and Outreach Centre</v>
      </c>
      <c r="C7" s="4" t="str">
        <v xml:space="preserve">PO1 - Animal and aquatic food producers, including women, youth and marginalized groups adopting combinations of innovations </v>
      </c>
      <c r="D7" s="5">
        <v>0</v>
      </c>
      <c r="E7" s="4" t="str">
        <v/>
      </c>
      <c r="F7" s="4">
        <v>1009</v>
      </c>
    </row>
    <row r="8" ht="60" customHeight="1">
      <c r="A8" s="4" t="str">
        <v>ILRI</v>
      </c>
      <c r="B8" s="4" t="str">
        <v>L-CIA022-Screening, Developing and Deploying Anti-methanogen</v>
      </c>
      <c r="C8" s="4" t="str">
        <v xml:space="preserve">PO1 - Animal and aquatic food producers, including women, youth and marginalized groups adopting combinations of innovations </v>
      </c>
      <c r="D8" s="5">
        <v>0</v>
      </c>
      <c r="E8" s="4" t="str">
        <v/>
      </c>
      <c r="F8" s="4">
        <v>1014</v>
      </c>
    </row>
    <row r="9" ht="60" customHeight="1">
      <c r="A9" s="4" t="str">
        <v>ILRI</v>
      </c>
      <c r="B9" s="4" t="str">
        <v>L-CIA024-Anti-methanogenic feedstock for livestock systems in Global South</v>
      </c>
      <c r="C9" s="4" t="str">
        <v xml:space="preserve">PO1 - Animal and aquatic food producers, including women, youth and marginalized groups adopting combinations of innovations </v>
      </c>
      <c r="D9" s="5">
        <v>0</v>
      </c>
      <c r="E9" s="4" t="str">
        <v/>
      </c>
      <c r="F9" s="4">
        <v>1012</v>
      </c>
    </row>
    <row r="10" ht="60" customHeight="1">
      <c r="A10" s="4" t="str">
        <v>ILRI</v>
      </c>
      <c r="B10" s="4" t="str">
        <v>L-CIM012-Accelerated Intervention Delivery Initiative (Sout</v>
      </c>
      <c r="C10" s="4" t="str">
        <v>HLO 4.5 - Evidence-based pathways for scaling  contextualized innovation packages with high readiness and demand</v>
      </c>
      <c r="D10" s="5">
        <v>0</v>
      </c>
      <c r="E10" s="4" t="str">
        <v/>
      </c>
      <c r="F10" s="4">
        <v>998</v>
      </c>
    </row>
    <row r="11" ht="60" customHeight="1">
      <c r="A11" s="4" t="str">
        <v>ILRI</v>
      </c>
      <c r="B11" s="4" t="str">
        <v>L-EUR021-Capacitating One Health in Eastern and Southern Afr</v>
      </c>
      <c r="C11" s="4" t="str">
        <v>PO8 - Policy and decision-makers design and implement new or improved policies, regulations or strategies for equitable, efficient, low-emission and resilient animal and aquatic food systems</v>
      </c>
      <c r="D11" s="5">
        <v>0</v>
      </c>
      <c r="E11" s="4" t="str">
        <v/>
      </c>
      <c r="F11" s="4">
        <v>993</v>
      </c>
    </row>
    <row r="12" ht="60" customHeight="1">
      <c r="A12" s="4" t="str">
        <v>ILRI</v>
      </c>
      <c r="B12" s="4" t="str">
        <v>L-EUR022-Restoration of Livestock Services in Conflict and D</v>
      </c>
      <c r="C12" s="4" t="str">
        <v>PO7 - Public and private sector actors (including market actors) invest in equitable, efficient, low-emission and resilient animal and aquatic food systems</v>
      </c>
      <c r="D12" s="5">
        <v>0</v>
      </c>
      <c r="E12" s="4" t="str">
        <v/>
      </c>
      <c r="F12" s="4">
        <v>996</v>
      </c>
    </row>
    <row r="13" ht="60" customHeight="1">
      <c r="A13" s="4" t="str">
        <v>ILRI</v>
      </c>
      <c r="B13" s="4" t="str">
        <v>L-KOR025-The Ministry of Agriculture,Food and Rural Affairs</v>
      </c>
      <c r="C13" s="4" t="str">
        <v xml:space="preserve">PO4 - People within animals and aquatic food systems adopt innovations for improved community health and well-being </v>
      </c>
      <c r="D13" s="5">
        <v>0</v>
      </c>
      <c r="E13" s="4" t="str">
        <v/>
      </c>
      <c r="F13" s="4">
        <v>999</v>
      </c>
    </row>
    <row r="14" ht="60" customHeight="1">
      <c r="A14" s="4" t="str">
        <v>ILRI</v>
      </c>
      <c r="B14" s="4" t="str">
        <v>L-MML007-Antimicrobial Resistance and One Health, including Animal Health, the Environment and Practitioner Engagement (AMROH) Eastern and Southern Africa (ESA)</v>
      </c>
      <c r="C14" s="4" t="str">
        <v xml:space="preserve">PO1 - Animal and aquatic food producers, including women, youth and marginalized groups adopting combinations of innovations </v>
      </c>
      <c r="D14" s="5">
        <v>0</v>
      </c>
      <c r="E14" s="4" t="str">
        <v/>
      </c>
      <c r="F14" s="4">
        <v>1013</v>
      </c>
    </row>
    <row r="15" ht="60" customHeight="1">
      <c r="A15" s="4" t="str">
        <v>ILRI</v>
      </c>
      <c r="B15" s="4" t="str">
        <v>L-MML008-Fleming Fund Country Grant for Kenya phase 2</v>
      </c>
      <c r="C15" s="4" t="str">
        <v xml:space="preserve">PO1 - Animal and aquatic food producers, including women, youth and marginalized groups adopting combinations of innovations </v>
      </c>
      <c r="D15" s="5">
        <v>0</v>
      </c>
      <c r="E15" s="4" t="str">
        <v/>
      </c>
      <c r="F15" s="4">
        <v>1011</v>
      </c>
    </row>
    <row r="16" ht="60" customHeight="1">
      <c r="A16" s="4" t="str">
        <v>ILRI</v>
      </c>
      <c r="B16" s="4" t="str">
        <v>L-UOE012-Centre for Tropical Livestock Genetics and Health -</v>
      </c>
      <c r="C16" s="4" t="str">
        <v xml:space="preserve">PO1 - Animal and aquatic food producers, including women, youth and marginalized groups adopting combinations of innovations </v>
      </c>
      <c r="D16" s="5">
        <v>0</v>
      </c>
      <c r="E16" s="4" t="str">
        <v/>
      </c>
      <c r="F16" s="4">
        <v>1010</v>
      </c>
    </row>
    <row r="17" ht="60" customHeight="1">
      <c r="A17" s="4" t="str">
        <v>ILRI</v>
      </c>
      <c r="B17" s="4" t="str">
        <v>L-UOH001-Earth observation and environmental sensing for cl</v>
      </c>
      <c r="C17" s="4" t="str">
        <v>PO3 - People within animal and aquatic food systems adopt innovations for increased social, economic and environmental resilience</v>
      </c>
      <c r="D17" s="5">
        <v>0</v>
      </c>
      <c r="E17" s="4" t="str">
        <v/>
      </c>
      <c r="F17" s="4">
        <v>1007</v>
      </c>
    </row>
    <row r="18" ht="60" customHeight="1">
      <c r="A18" s="4" t="str">
        <v>ILRI</v>
      </c>
      <c r="B18" s="4" t="str">
        <v>L-UOS001-Accelerating genomics surveillance for COVID-19 re</v>
      </c>
      <c r="C18" s="4" t="str">
        <v xml:space="preserve">PO4 - People within animals and aquatic food systems adopt innovations for improved community health and well-being </v>
      </c>
      <c r="D18" s="5">
        <v>0</v>
      </c>
      <c r="E18" s="4" t="str">
        <v/>
      </c>
      <c r="F18" s="4">
        <v>1003</v>
      </c>
    </row>
    <row r="19" ht="60" customHeight="1">
      <c r="A19" s="4" t="str">
        <v>ILRI</v>
      </c>
      <c r="B19" s="4" t="str">
        <v>L-USA093-Mali Project</v>
      </c>
      <c r="C19" s="4" t="str">
        <v>HLO 5.2 -  Tested interventions and theoretical advances on women &amp; youth empowerment and for equitable norms and policies</v>
      </c>
      <c r="D19" s="5">
        <v>0</v>
      </c>
      <c r="E19" s="4" t="str">
        <v/>
      </c>
      <c r="F19" s="4">
        <v>1017</v>
      </c>
    </row>
    <row r="20" ht="60" customHeight="1">
      <c r="A20" s="4" t="str">
        <v>ILRI</v>
      </c>
      <c r="B20" s="4" t="str">
        <v>L-WEL016-Modelling dengue and chikungunya transmission patt</v>
      </c>
      <c r="C20" s="4" t="str">
        <v xml:space="preserve">PO4 - People within animals and aquatic food systems adopt innovations for improved community health and well-being </v>
      </c>
      <c r="D20" s="5">
        <v>0</v>
      </c>
      <c r="E20" s="4" t="str">
        <v/>
      </c>
      <c r="F20" s="4">
        <v>1002</v>
      </c>
    </row>
    <row r="21" ht="25" customHeight="1">
      <c r="B21" s="9" t="str">
        <v>W3/Bilateral budget subtotal</v>
      </c>
      <c r="D21" s="9">
        <v>0</v>
      </c>
      <c r="E21" s="9" t="str">
        <v/>
      </c>
      <c r="F21" s="9" t="str">
        <v/>
      </c>
    </row>
  </sheetData>
  <mergeCells count="2">
    <mergeCell ref="B21:C21"/>
    <mergeCell ref="A2:A21"/>
  </mergeCells>
  <ignoredErrors>
    <ignoredError numberStoredAsText="1" sqref="A1:F21"/>
  </ignoredErrors>
</worksheet>
</file>

<file path=xl/worksheets/sheet5.xml><?xml version="1.0" encoding="utf-8"?>
<worksheet xmlns="http://schemas.openxmlformats.org/spreadsheetml/2006/main" xmlns:r="http://schemas.openxmlformats.org/officeDocument/2006/relationships">
  <dimension ref="A1:H1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ILRI</v>
      </c>
      <c r="C2" s="4" t="str">
        <v>Impacts of Sustainable Cattle Farming on the 2030 Agenda: A Global Review</v>
      </c>
      <c r="D2" s="4" t="str">
        <v>PO8 - Policy and decision-makers design and implement new or improved policies, regulations or strategies for equitable, efficient, low-emission and resilient animal and aquatic food systems</v>
      </c>
      <c r="E2" s="4" t="str">
        <v>N/A</v>
      </c>
      <c r="F2" s="5">
        <v>0</v>
      </c>
      <c r="G2" s="4" t="str">
        <v/>
      </c>
      <c r="H2" s="4">
        <v>315</v>
      </c>
    </row>
    <row r="3" ht="60" customHeight="1">
      <c r="A3" s="4" t="str">
        <v>AOW00: Cross Cutting</v>
      </c>
      <c r="B3" s="4" t="str">
        <v>ILRI</v>
      </c>
      <c r="C3" s="4" t="str">
        <v xml:space="preserve">WELI tool </v>
      </c>
      <c r="D3" s="4" t="str">
        <v>PO6 - Animal and aquatic food producers, market actors and communities within animal and aquatic food systems exhibit behavior supporting gender-equitable norms</v>
      </c>
      <c r="E3" s="4" t="str">
        <v>N/A</v>
      </c>
      <c r="F3" s="5">
        <v>0</v>
      </c>
      <c r="G3" s="4" t="str">
        <v/>
      </c>
      <c r="H3" s="4">
        <v>316</v>
      </c>
    </row>
    <row r="4" ht="60" customHeight="1">
      <c r="A4" s="4" t="str">
        <v>AOW00: Cross Cutting</v>
      </c>
      <c r="B4" s="4" t="str">
        <v>ILRI</v>
      </c>
      <c r="C4" s="4" t="str">
        <v xml:space="preserve">Food safety intervention study in meat markets in Ethiopia </v>
      </c>
      <c r="D4" s="4" t="str">
        <v>PO2 - Animal and aquatic food producers and their households, integrate adequate safe, nutrient-dense, animal and aquatic foods in diverse diets</v>
      </c>
      <c r="E4" s="4" t="str">
        <v>N/A</v>
      </c>
      <c r="F4" s="5">
        <v>0</v>
      </c>
      <c r="G4" s="4" t="str">
        <v/>
      </c>
      <c r="H4" s="4">
        <v>320</v>
      </c>
    </row>
    <row r="5" ht="60" customHeight="1">
      <c r="A5" s="4" t="str">
        <v>AOW00: Cross Cutting</v>
      </c>
      <c r="B5" s="4" t="str">
        <v>ILRI</v>
      </c>
      <c r="C5" s="4" t="str">
        <v xml:space="preserve">Research uptake and use study of findings from One Health Initiative </v>
      </c>
      <c r="D5" s="4" t="str">
        <v>PO2 - Animal and aquatic food producers and their households, integrate adequate safe, nutrient-dense, animal and aquatic foods in diverse diets</v>
      </c>
      <c r="E5" s="4" t="str">
        <v>N/A</v>
      </c>
      <c r="F5" s="5">
        <v>0</v>
      </c>
      <c r="G5" s="4" t="str">
        <v/>
      </c>
      <c r="H5" s="4">
        <v>321</v>
      </c>
    </row>
    <row r="6" ht="60" customHeight="1">
      <c r="A6" s="4" t="str">
        <v>AOW00: Cross Cutting</v>
      </c>
      <c r="B6" s="4" t="str">
        <v>ILRI</v>
      </c>
      <c r="C6" s="4" t="str">
        <v xml:space="preserve">Food safety intervention study in meat markets in Vietnam </v>
      </c>
      <c r="D6" s="4" t="str">
        <v>PO2 - Animal and aquatic food producers and their households, integrate adequate safe, nutrient-dense, animal and aquatic foods in diverse diets</v>
      </c>
      <c r="E6" s="4" t="str">
        <v>N/A</v>
      </c>
      <c r="F6" s="5">
        <v>0</v>
      </c>
      <c r="G6" s="4" t="str">
        <v/>
      </c>
      <c r="H6" s="4">
        <v>322</v>
      </c>
    </row>
    <row r="7" ht="60" customHeight="1">
      <c r="A7" s="4" t="str">
        <v>AOW00: Cross Cutting</v>
      </c>
      <c r="B7" s="4" t="str">
        <v>ILRI</v>
      </c>
      <c r="C7" s="4" t="str">
        <v>SBCC on equitable nutrition and gender norms in Uganda</v>
      </c>
      <c r="D7" s="4" t="str">
        <v>PO2 - Animal and aquatic food producers and their households, integrate adequate safe, nutrient-dense, animal and aquatic foods in diverse diets</v>
      </c>
      <c r="E7" s="4" t="str">
        <v>N/A</v>
      </c>
      <c r="F7" s="5">
        <v>0</v>
      </c>
      <c r="G7" s="4" t="str">
        <v/>
      </c>
      <c r="H7" s="4">
        <v>323</v>
      </c>
    </row>
    <row r="8" ht="60" customHeight="1">
      <c r="A8" s="4" t="str">
        <v>AOW00: Cross Cutting</v>
      </c>
      <c r="B8" s="4" t="str">
        <v>ILRI</v>
      </c>
      <c r="C8" s="4" t="str">
        <v>Adoption of best practices in piggery through pigsmart and herd health innovations</v>
      </c>
      <c r="D8" s="4" t="str">
        <v>PO1 - Animal and aquatic food producers, including women, youth and marginalized groups adopting combinations of innovations</v>
      </c>
      <c r="E8" s="4" t="str">
        <v>N/A</v>
      </c>
      <c r="F8" s="5">
        <v>0</v>
      </c>
      <c r="G8" s="4" t="str">
        <v/>
      </c>
      <c r="H8" s="4">
        <v>324</v>
      </c>
    </row>
    <row r="9" ht="60" customHeight="1">
      <c r="A9" s="4" t="str">
        <v>AOW00: Cross Cutting</v>
      </c>
      <c r="B9" s="4" t="str">
        <v>ILRI</v>
      </c>
      <c r="C9" s="4" t="str">
        <v>Methodology for improved assessment of innovation users, and application to one SAAF animal system innovation</v>
      </c>
      <c r="D9" s="4" t="str">
        <v>PO1 - Animal and aquatic food producers, including women, youth and marginalized groups adopting combinations of innovations</v>
      </c>
      <c r="E9" s="4" t="str">
        <v>N/A</v>
      </c>
      <c r="F9" s="5">
        <v>0</v>
      </c>
      <c r="G9" s="4" t="str">
        <v/>
      </c>
      <c r="H9" s="4">
        <v>457</v>
      </c>
    </row>
    <row r="10" ht="25" customHeight="1">
      <c r="C10" s="9" t="str">
        <v>MELIA budget subtotal</v>
      </c>
      <c r="F10" s="9">
        <v>0</v>
      </c>
      <c r="G10" s="9" t="str">
        <v/>
      </c>
      <c r="H10" s="9" t="str">
        <v/>
      </c>
    </row>
    <row r="11" ht="60" customHeight="1">
      <c r="A11" s="8" t="str">
        <v>AOW03: One Health</v>
      </c>
      <c r="B11" s="4" t="str">
        <v>ILRI</v>
      </c>
      <c r="C11" s="4" t="str">
        <v xml:space="preserve">Food safety intervention study in meat markets in Ethiopia </v>
      </c>
      <c r="D11" s="4" t="str">
        <v>PO2 - Animal and aquatic food producers and their households, integrate adequate safe, nutrient-dense, animal and aquatic foods in diverse diets</v>
      </c>
      <c r="E11" s="4" t="str">
        <v>N/A</v>
      </c>
      <c r="F11" s="5">
        <v>0</v>
      </c>
      <c r="G11" s="4" t="str">
        <v/>
      </c>
      <c r="H11" s="4">
        <v>319</v>
      </c>
    </row>
    <row r="12" ht="25" customHeight="1">
      <c r="C12" s="9" t="str">
        <v>MELIA budget subtotal</v>
      </c>
      <c r="F12" s="9">
        <v>0</v>
      </c>
      <c r="G12" s="9" t="str">
        <v/>
      </c>
      <c r="H12" s="9" t="str">
        <v/>
      </c>
    </row>
    <row r="13" ht="60" customHeight="1">
      <c r="A13" s="8" t="str">
        <v>AOW05: Gender, Youth and Social Inclusion</v>
      </c>
      <c r="B13" s="4" t="str">
        <v>ILRI</v>
      </c>
      <c r="C13" s="4" t="str">
        <v>Baseline on women's empowerment in selected Kenya livestock systems</v>
      </c>
      <c r="D13" s="4" t="str">
        <v>I-OC5.3 - Women, youth and marginalized people have increased decision-making capacity to engage in animal and aquatic food systems</v>
      </c>
      <c r="E13" s="4" t="str">
        <v>N/A</v>
      </c>
      <c r="F13" s="5">
        <v>0</v>
      </c>
      <c r="G13" s="4" t="str">
        <v/>
      </c>
      <c r="H13" s="4">
        <v>325</v>
      </c>
    </row>
    <row r="14" ht="25" customHeight="1">
      <c r="C14" s="9" t="str">
        <v>MELIA budget subtotal</v>
      </c>
      <c r="F14" s="9">
        <v>0</v>
      </c>
      <c r="G14" s="9" t="str">
        <v/>
      </c>
      <c r="H14" s="9" t="str">
        <v/>
      </c>
    </row>
  </sheetData>
  <mergeCells count="6">
    <mergeCell ref="C10:E10"/>
    <mergeCell ref="A2:A10"/>
    <mergeCell ref="C12:E12"/>
    <mergeCell ref="A11:A12"/>
    <mergeCell ref="C14:E14"/>
    <mergeCell ref="A13:A14"/>
  </mergeCells>
  <ignoredErrors>
    <ignoredError numberStoredAsText="1" sqref="A1:H14"/>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ILRI</v>
      </c>
      <c r="C2" s="4" t="str">
        <v>Area of Work Leads</v>
      </c>
      <c r="D2" s="5">
        <v>338688</v>
      </c>
      <c r="E2" s="4" t="str" xml:space="preserve">
        <v xml:space="preserve">AoW 1 - Productivity + Lead LoE 50%
AoW 3 - One Health Lead LoE 25%
AoW 5 - Gender, Youth and Social Inclusion LoE 25%</v>
      </c>
      <c r="F2" s="4">
        <v>30</v>
      </c>
      <c r="G2" s="4">
        <v>3</v>
      </c>
    </row>
    <row r="3" ht="45" customHeight="1">
      <c r="A3" s="4" t="str">
        <v>AOW00: Cross Cutting</v>
      </c>
      <c r="B3" s="4" t="str">
        <v>ILRI</v>
      </c>
      <c r="C3" s="4" t="str">
        <v>Operations</v>
      </c>
      <c r="D3" s="5">
        <v>822</v>
      </c>
      <c r="E3" s="4" t="str">
        <v>Pulse and Reflect Workshop 17-19 Mar 2026 at Penang. ILRI Center Delegate Airfare and related.</v>
      </c>
      <c r="F3" s="4">
        <v>31</v>
      </c>
      <c r="G3" s="4">
        <v>4</v>
      </c>
    </row>
    <row r="4" ht="45" customHeight="1" xml:space="preserve">
      <c r="A4" s="4" t="str">
        <v>AOW00: Cross Cutting</v>
      </c>
      <c r="B4" s="4" t="str">
        <v>ILRI</v>
      </c>
      <c r="C4" s="4" t="str">
        <v>Communication/Knowledge management</v>
      </c>
      <c r="D4" s="5">
        <v>57160</v>
      </c>
      <c r="E4" s="4" t="str" xml:space="preserve">
        <v xml:space="preserve">Communication Staff Time $37,500
Communication Operation Costs $19,660</v>
      </c>
      <c r="F4" s="4">
        <v>32</v>
      </c>
      <c r="G4" s="4">
        <v>5</v>
      </c>
    </row>
    <row r="5" ht="45" customHeight="1" xml:space="preserve">
      <c r="A5" s="4" t="str">
        <v>AOW00: Cross Cutting</v>
      </c>
      <c r="B5" s="4" t="str">
        <v>ILRI</v>
      </c>
      <c r="C5" s="4" t="str">
        <v>PMU, CGIAR Program Finance Support and associated Allocation</v>
      </c>
      <c r="D5" s="5">
        <v>241977</v>
      </c>
      <c r="E5" s="4" t="str" xml:space="preserve">
        <v xml:space="preserve">Program/ Accelerator Coordinators LoE 50%
MELIA Focal Points LoE 25%
Communication Focal Points LoE 50%
</v>
      </c>
      <c r="F5" s="4">
        <v>33</v>
      </c>
      <c r="G5" s="4">
        <v>2</v>
      </c>
    </row>
    <row r="6" ht="45" customHeight="1" xml:space="preserve">
      <c r="A6" s="4" t="str">
        <v>AOW00: Cross Cutting</v>
      </c>
      <c r="B6" s="4" t="str">
        <v>ILRI</v>
      </c>
      <c r="C6" s="4" t="str">
        <v>MELIA</v>
      </c>
      <c r="D6" s="5">
        <v>18598</v>
      </c>
      <c r="E6" s="4" t="str" xml:space="preserve">
        <v xml:space="preserve">MELIA staff time $4,900
MELIA Operation $18,598</v>
      </c>
      <c r="F6" s="4">
        <v>34</v>
      </c>
      <c r="G6" s="4">
        <v>6</v>
      </c>
    </row>
    <row r="7" ht="25" customHeight="1">
      <c r="C7" s="9" t="str">
        <v>Cross-cutting budget subtotal</v>
      </c>
      <c r="D7" s="9">
        <v>657245</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623065</v>
      </c>
      <c r="C2" s="5">
        <v>1826643</v>
      </c>
      <c r="D2" s="5">
        <v>276587</v>
      </c>
      <c r="E2" s="5">
        <v>1068484</v>
      </c>
      <c r="F2" s="5">
        <v>639969</v>
      </c>
      <c r="G2" s="5">
        <v>463875</v>
      </c>
      <c r="H2" s="5">
        <v>101627</v>
      </c>
      <c r="I2" s="5">
        <f>=SUM(B2:H2)</f>
        <v>0</v>
      </c>
    </row>
    <row r="3" ht="20" customHeight="1">
      <c r="A3" s="4" t="str">
        <v>Operations (supplies, consultants, travels, workshops, other)</v>
      </c>
      <c r="B3" s="5">
        <v>34180</v>
      </c>
      <c r="C3" s="5">
        <v>1279889</v>
      </c>
      <c r="D3" s="5">
        <v>69233</v>
      </c>
      <c r="E3" s="5">
        <v>611996</v>
      </c>
      <c r="F3" s="5">
        <v>237956</v>
      </c>
      <c r="G3" s="5">
        <v>5178</v>
      </c>
      <c r="H3" s="5">
        <v>30656</v>
      </c>
      <c r="I3" s="5">
        <f>=SUM(B3:H3)</f>
        <v>0</v>
      </c>
    </row>
    <row r="4" ht="20" customHeight="1">
      <c r="A4" s="4" t="str">
        <v>Collaborators non-CGIAR centers</v>
      </c>
      <c r="B4" s="5">
        <v>0</v>
      </c>
      <c r="C4" s="5">
        <v>303500</v>
      </c>
      <c r="D4" s="5">
        <v>0</v>
      </c>
      <c r="E4" s="5">
        <v>0</v>
      </c>
      <c r="F4" s="5">
        <v>0</v>
      </c>
      <c r="G4" s="5">
        <v>100000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3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23</v>
      </c>
    </row>
    <row r="3" ht="45" customHeight="1">
      <c r="A3" s="8" t="str">
        <v>AOW01: Productivity+</v>
      </c>
      <c r="B3" s="4" t="str">
        <v>ILRI</v>
      </c>
      <c r="C3" s="4" t="str">
        <v>Colombia</v>
      </c>
      <c r="D3" s="5">
        <v>0.59</v>
      </c>
      <c r="E3" s="4">
        <v>2564</v>
      </c>
    </row>
    <row r="4" ht="45" customHeight="1">
      <c r="A4" s="4" t="str">
        <v>AOW01: Productivity+</v>
      </c>
      <c r="B4" s="4" t="str">
        <v>ILRI</v>
      </c>
      <c r="C4" s="4" t="str">
        <v>Ethiopia</v>
      </c>
      <c r="D4" s="5">
        <v>4.58</v>
      </c>
      <c r="E4" s="4">
        <v>12</v>
      </c>
    </row>
    <row r="5" ht="45" customHeight="1">
      <c r="A5" s="4" t="str">
        <v>AOW01: Productivity+</v>
      </c>
      <c r="B5" s="4" t="str">
        <v>ILRI</v>
      </c>
      <c r="C5" s="4" t="str">
        <v>India</v>
      </c>
      <c r="D5" s="5">
        <v>2.99</v>
      </c>
      <c r="E5" s="4">
        <v>2565</v>
      </c>
    </row>
    <row r="6" ht="45" customHeight="1">
      <c r="A6" s="4" t="str">
        <v>AOW01: Productivity+</v>
      </c>
      <c r="B6" s="4" t="str">
        <v>ILRI</v>
      </c>
      <c r="C6" s="4" t="str">
        <v>Kenya</v>
      </c>
      <c r="D6" s="5">
        <v>30.11</v>
      </c>
      <c r="E6" s="4">
        <v>2566</v>
      </c>
    </row>
    <row r="7" ht="45" customHeight="1">
      <c r="A7" s="4" t="str">
        <v>AOW01: Productivity+</v>
      </c>
      <c r="B7" s="4" t="str">
        <v>ILRI</v>
      </c>
      <c r="C7" s="4" t="str">
        <v>Mali</v>
      </c>
      <c r="D7" s="5">
        <v>16.05</v>
      </c>
      <c r="E7" s="4">
        <v>2571</v>
      </c>
    </row>
    <row r="8" ht="45" customHeight="1">
      <c r="A8" s="4" t="str">
        <v>AOW01: Productivity+</v>
      </c>
      <c r="B8" s="4" t="str">
        <v>ILRI</v>
      </c>
      <c r="C8" s="4" t="str">
        <v>Nepal</v>
      </c>
      <c r="D8" s="5">
        <v>11.74</v>
      </c>
      <c r="E8" s="4">
        <v>2572</v>
      </c>
    </row>
    <row r="9" ht="45" customHeight="1">
      <c r="A9" s="4" t="str">
        <v>AOW01: Productivity+</v>
      </c>
      <c r="B9" s="4" t="str">
        <v>ILRI</v>
      </c>
      <c r="C9" s="4" t="str">
        <v>Tanzania</v>
      </c>
      <c r="D9" s="5">
        <v>7.79</v>
      </c>
      <c r="E9" s="4">
        <v>2569</v>
      </c>
    </row>
    <row r="10" ht="45" customHeight="1">
      <c r="A10" s="4" t="str">
        <v>AOW01: Productivity+</v>
      </c>
      <c r="B10" s="4" t="str">
        <v>ILRI</v>
      </c>
      <c r="C10" s="4" t="str">
        <v>The Socialist Republic of Viet Nam</v>
      </c>
      <c r="D10" s="5">
        <v>12.06</v>
      </c>
      <c r="E10" s="4">
        <v>2567</v>
      </c>
    </row>
    <row r="11" ht="45" customHeight="1">
      <c r="A11" s="4" t="str">
        <v>AOW01: Productivity+</v>
      </c>
      <c r="B11" s="4" t="str">
        <v>ILRI</v>
      </c>
      <c r="C11" s="4" t="str">
        <v>Uganda</v>
      </c>
      <c r="D11" s="5">
        <v>14.09</v>
      </c>
      <c r="E11" s="4">
        <v>2570</v>
      </c>
    </row>
    <row r="12" ht="45" customHeight="1">
      <c r="A12" s="4" t="str">
        <v>AOW01: Productivity+</v>
      </c>
      <c r="B12" s="4" t="str">
        <v>ILRI</v>
      </c>
      <c r="C12" s="4" t="str">
        <v>United Republic</v>
      </c>
      <c r="D12" s="5">
        <v>0</v>
      </c>
      <c r="E12" s="4">
        <v>2568</v>
      </c>
    </row>
    <row r="13" ht="45" customHeight="1">
      <c r="A13" s="8" t="str">
        <v>AOW02: Climate and the Environment</v>
      </c>
      <c r="B13" s="4" t="str">
        <v>ILRI</v>
      </c>
      <c r="C13" s="4" t="str">
        <v>Colombia</v>
      </c>
      <c r="D13" s="5">
        <v>3.46</v>
      </c>
      <c r="E13" s="4">
        <v>2646</v>
      </c>
    </row>
    <row r="14" ht="45" customHeight="1">
      <c r="A14" s="4" t="str">
        <v>AOW02: Climate and the Environment</v>
      </c>
      <c r="B14" s="4" t="str">
        <v>ILRI</v>
      </c>
      <c r="C14" s="4" t="str">
        <v>Ethiopia</v>
      </c>
      <c r="D14" s="5">
        <v>9.99</v>
      </c>
      <c r="E14" s="4">
        <v>2642</v>
      </c>
    </row>
    <row r="15" ht="45" customHeight="1">
      <c r="A15" s="4" t="str">
        <v>AOW02: Climate and the Environment</v>
      </c>
      <c r="B15" s="4" t="str">
        <v>ILRI</v>
      </c>
      <c r="C15" s="4" t="str">
        <v>Kenya</v>
      </c>
      <c r="D15" s="5">
        <v>59.6</v>
      </c>
      <c r="E15" s="4">
        <v>2641</v>
      </c>
    </row>
    <row r="16" ht="45" customHeight="1">
      <c r="A16" s="4" t="str">
        <v>AOW02: Climate and the Environment</v>
      </c>
      <c r="B16" s="4" t="str">
        <v>ILRI</v>
      </c>
      <c r="C16" s="4" t="str">
        <v>Tanzania</v>
      </c>
      <c r="D16" s="5">
        <v>9.13</v>
      </c>
      <c r="E16" s="4">
        <v>2644</v>
      </c>
    </row>
    <row r="17" ht="45" customHeight="1">
      <c r="A17" s="4" t="str">
        <v>AOW02: Climate and the Environment</v>
      </c>
      <c r="B17" s="4" t="str">
        <v>ILRI</v>
      </c>
      <c r="C17" s="4" t="str">
        <v>The Socialist Republic of Viet Nam</v>
      </c>
      <c r="D17" s="5">
        <v>0.87</v>
      </c>
      <c r="E17" s="4">
        <v>2643</v>
      </c>
    </row>
    <row r="18" ht="45" customHeight="1">
      <c r="A18" s="4" t="str">
        <v>AOW02: Climate and the Environment</v>
      </c>
      <c r="B18" s="4" t="str">
        <v>ILRI</v>
      </c>
      <c r="C18" s="4" t="str">
        <v>Uganda</v>
      </c>
      <c r="D18" s="5">
        <v>16.95</v>
      </c>
      <c r="E18" s="4">
        <v>2645</v>
      </c>
    </row>
    <row r="19" ht="45" customHeight="1">
      <c r="A19" s="8" t="str">
        <v>AOW03: One Health</v>
      </c>
      <c r="B19" s="4" t="str">
        <v>ILRI</v>
      </c>
      <c r="C19" s="4" t="str">
        <v>Ethiopia</v>
      </c>
      <c r="D19" s="5">
        <v>6.17</v>
      </c>
      <c r="E19" s="4">
        <v>2655</v>
      </c>
    </row>
    <row r="20" ht="45" customHeight="1">
      <c r="A20" s="4" t="str">
        <v>AOW03: One Health</v>
      </c>
      <c r="B20" s="4" t="str">
        <v>ILRI</v>
      </c>
      <c r="C20" s="4" t="str">
        <v>Ghana</v>
      </c>
      <c r="D20" s="5">
        <v>1.15</v>
      </c>
      <c r="E20" s="4">
        <v>2656</v>
      </c>
    </row>
    <row r="21" ht="45" customHeight="1">
      <c r="A21" s="4" t="str">
        <v>AOW03: One Health</v>
      </c>
      <c r="B21" s="4" t="str">
        <v>ILRI</v>
      </c>
      <c r="C21" s="4" t="str">
        <v>Kenya</v>
      </c>
      <c r="D21" s="5">
        <v>29.97</v>
      </c>
      <c r="E21" s="4">
        <v>2652</v>
      </c>
    </row>
    <row r="22" ht="45" customHeight="1">
      <c r="A22" s="4" t="str">
        <v>AOW03: One Health</v>
      </c>
      <c r="B22" s="4" t="str">
        <v>ILRI</v>
      </c>
      <c r="C22" s="4" t="str">
        <v>The Socialist Republic of Viet Nam</v>
      </c>
      <c r="D22" s="5">
        <v>28.48</v>
      </c>
      <c r="E22" s="4">
        <v>2653</v>
      </c>
    </row>
    <row r="23" ht="45" customHeight="1">
      <c r="A23" s="4" t="str">
        <v>AOW03: One Health</v>
      </c>
      <c r="B23" s="4" t="str">
        <v>ILRI</v>
      </c>
      <c r="C23" s="4" t="str">
        <v>Uganda</v>
      </c>
      <c r="D23" s="5">
        <v>34.23</v>
      </c>
      <c r="E23" s="4">
        <v>2654</v>
      </c>
    </row>
    <row r="24" ht="45" customHeight="1">
      <c r="A24" s="8" t="str">
        <v>AOW04: Market Systems, Policy Solutions and Scaling</v>
      </c>
      <c r="B24" s="4" t="str">
        <v>ILRI</v>
      </c>
      <c r="C24" s="4" t="str">
        <v>Kenya</v>
      </c>
      <c r="D24" s="5">
        <v>13.67</v>
      </c>
      <c r="E24" s="4">
        <v>2657</v>
      </c>
    </row>
    <row r="25" ht="45" customHeight="1">
      <c r="A25" s="4" t="str">
        <v>AOW04: Market Systems, Policy Solutions and Scaling</v>
      </c>
      <c r="B25" s="4" t="str">
        <v>ILRI</v>
      </c>
      <c r="C25" s="4" t="str">
        <v>Mali</v>
      </c>
      <c r="D25" s="5">
        <v>19.7</v>
      </c>
      <c r="E25" s="4">
        <v>2660</v>
      </c>
    </row>
    <row r="26" ht="45" customHeight="1">
      <c r="A26" s="4" t="str">
        <v>AOW04: Market Systems, Policy Solutions and Scaling</v>
      </c>
      <c r="B26" s="4" t="str">
        <v>ILRI</v>
      </c>
      <c r="C26" s="4" t="str">
        <v>Nepal</v>
      </c>
      <c r="D26" s="5">
        <v>9.45</v>
      </c>
      <c r="E26" s="4">
        <v>2662</v>
      </c>
    </row>
    <row r="27" ht="45" customHeight="1">
      <c r="A27" s="4" t="str">
        <v>AOW04: Market Systems, Policy Solutions and Scaling</v>
      </c>
      <c r="B27" s="4" t="str">
        <v>ILRI</v>
      </c>
      <c r="C27" s="4" t="str">
        <v>Nigeria</v>
      </c>
      <c r="D27" s="5">
        <v>22.78</v>
      </c>
      <c r="E27" s="4">
        <v>2661</v>
      </c>
    </row>
    <row r="28" ht="45" customHeight="1">
      <c r="A28" s="4" t="str">
        <v>AOW04: Market Systems, Policy Solutions and Scaling</v>
      </c>
      <c r="B28" s="4" t="str">
        <v>ILRI</v>
      </c>
      <c r="C28" s="4" t="str">
        <v>The Socialist Republic of Viet Nam</v>
      </c>
      <c r="D28" s="5">
        <v>20.16</v>
      </c>
      <c r="E28" s="4">
        <v>2658</v>
      </c>
    </row>
    <row r="29" ht="45" customHeight="1">
      <c r="A29" s="4" t="str">
        <v>AOW04: Market Systems, Policy Solutions and Scaling</v>
      </c>
      <c r="B29" s="4" t="str">
        <v>ILRI</v>
      </c>
      <c r="C29" s="4" t="str">
        <v>Uganda</v>
      </c>
      <c r="D29" s="5">
        <v>14.24</v>
      </c>
      <c r="E29" s="4">
        <v>2659</v>
      </c>
    </row>
    <row r="30" ht="45" customHeight="1">
      <c r="A30" s="8" t="str">
        <v>AOW05: Gender, Youth and Social Inclusion</v>
      </c>
      <c r="B30" s="4" t="str">
        <v>ILRI</v>
      </c>
      <c r="C30" s="4" t="str">
        <v>Kenya</v>
      </c>
      <c r="D30" s="5">
        <v>24.44</v>
      </c>
      <c r="E30" s="4">
        <v>2663</v>
      </c>
    </row>
    <row r="31" ht="45" customHeight="1">
      <c r="A31" s="4" t="str">
        <v>AOW05: Gender, Youth and Social Inclusion</v>
      </c>
      <c r="B31" s="4" t="str">
        <v>ILRI</v>
      </c>
      <c r="C31" s="4" t="str">
        <v>Mali</v>
      </c>
      <c r="D31" s="5">
        <v>5.27</v>
      </c>
      <c r="E31" s="4">
        <v>2667</v>
      </c>
    </row>
    <row r="32" ht="45" customHeight="1">
      <c r="A32" s="4" t="str">
        <v>AOW05: Gender, Youth and Social Inclusion</v>
      </c>
      <c r="B32" s="4" t="str">
        <v>ILRI</v>
      </c>
      <c r="C32" s="4" t="str">
        <v>Nepal</v>
      </c>
      <c r="D32" s="5">
        <v>5.27</v>
      </c>
      <c r="E32" s="4">
        <v>2668</v>
      </c>
    </row>
    <row r="33" ht="45" customHeight="1">
      <c r="A33" s="4" t="str">
        <v>AOW05: Gender, Youth and Social Inclusion</v>
      </c>
      <c r="B33" s="4" t="str">
        <v>ILRI</v>
      </c>
      <c r="C33" s="4" t="str">
        <v>Tanzania</v>
      </c>
      <c r="D33" s="5">
        <v>29.86</v>
      </c>
      <c r="E33" s="4">
        <v>2665</v>
      </c>
    </row>
    <row r="34" ht="45" customHeight="1">
      <c r="A34" s="4" t="str">
        <v>AOW05: Gender, Youth and Social Inclusion</v>
      </c>
      <c r="B34" s="4" t="str">
        <v>ILRI</v>
      </c>
      <c r="C34" s="4" t="str">
        <v>The Socialist Republic of Viet Nam</v>
      </c>
      <c r="D34" s="5">
        <v>8.79</v>
      </c>
      <c r="E34" s="4">
        <v>2664</v>
      </c>
    </row>
    <row r="35" ht="45" customHeight="1">
      <c r="A35" s="4" t="str">
        <v>AOW05: Gender, Youth and Social Inclusion</v>
      </c>
      <c r="B35" s="4" t="str">
        <v>ILRI</v>
      </c>
      <c r="C35" s="4" t="str">
        <v>Uganda</v>
      </c>
      <c r="D35" s="5">
        <v>26.37</v>
      </c>
      <c r="E35" s="4">
        <v>2666</v>
      </c>
    </row>
    <row r="36" ht="45" customHeight="1">
      <c r="A36" s="8" t="str">
        <v>AOW06: Data and Digital Solutions</v>
      </c>
      <c r="B36" s="4" t="str">
        <v>ILRI</v>
      </c>
      <c r="C36" s="4" t="str">
        <v>Ethiopia</v>
      </c>
      <c r="D36" s="5">
        <v>10.66</v>
      </c>
      <c r="E36" s="4">
        <v>2671</v>
      </c>
    </row>
    <row r="37" ht="45" customHeight="1">
      <c r="A37" s="4" t="str">
        <v>AOW06: Data and Digital Solutions</v>
      </c>
      <c r="B37" s="4" t="str">
        <v>ILRI</v>
      </c>
      <c r="C37" s="4" t="str">
        <v>Kenya</v>
      </c>
      <c r="D37" s="5">
        <v>78.68</v>
      </c>
      <c r="E37" s="4">
        <v>2670</v>
      </c>
    </row>
    <row r="38" ht="45" customHeight="1">
      <c r="A38" s="4" t="str">
        <v>AOW06: Data and Digital Solutions</v>
      </c>
      <c r="B38" s="4" t="str">
        <v>ILRI</v>
      </c>
      <c r="C38" s="4" t="str">
        <v>Tanzania</v>
      </c>
      <c r="D38" s="5">
        <v>10.66</v>
      </c>
      <c r="E38" s="4">
        <v>2672</v>
      </c>
    </row>
  </sheetData>
  <mergeCells count="7">
    <mergeCell ref="A2"/>
    <mergeCell ref="A3:A12"/>
    <mergeCell ref="A13:A18"/>
    <mergeCell ref="A19:A23"/>
    <mergeCell ref="A24:A29"/>
    <mergeCell ref="A30:A35"/>
    <mergeCell ref="A36:A38"/>
  </mergeCells>
  <ignoredErrors>
    <ignoredError numberStoredAsText="1" sqref="A1:E38"/>
  </ignoredErrors>
</worksheet>
</file>

<file path=xl/worksheets/sheet9.xml><?xml version="1.0" encoding="utf-8"?>
<worksheet xmlns="http://schemas.openxmlformats.org/spreadsheetml/2006/main" xmlns:r="http://schemas.openxmlformats.org/officeDocument/2006/relationships">
  <dimension ref="A1:F4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1478</v>
      </c>
    </row>
    <row r="3" ht="45" customHeight="1">
      <c r="A3" s="8" t="str">
        <v>AOW01: Productivity+</v>
      </c>
      <c r="B3" s="4" t="str">
        <v>ILRI</v>
      </c>
      <c r="C3" s="4" t="str">
        <v>Global</v>
      </c>
      <c r="D3" s="4" t="str">
        <v>global</v>
      </c>
      <c r="E3" s="5">
        <v>14.11</v>
      </c>
      <c r="F3" s="4">
        <v>938</v>
      </c>
    </row>
    <row r="4" ht="45" customHeight="1">
      <c r="A4" s="4" t="str">
        <v>AOW01: Productivity+</v>
      </c>
      <c r="B4" s="4" t="str">
        <v>ILRI</v>
      </c>
      <c r="C4" s="4" t="str">
        <v>Bangladesh</v>
      </c>
      <c r="D4" s="4" t="str">
        <v>country</v>
      </c>
      <c r="E4" s="5">
        <v>2.97</v>
      </c>
      <c r="F4" s="4">
        <v>939</v>
      </c>
    </row>
    <row r="5" ht="45" customHeight="1">
      <c r="A5" s="4" t="str">
        <v>AOW01: Productivity+</v>
      </c>
      <c r="B5" s="4" t="str">
        <v>ILRI</v>
      </c>
      <c r="C5" s="4" t="str">
        <v>Colombia</v>
      </c>
      <c r="D5" s="4" t="str">
        <v>country</v>
      </c>
      <c r="E5" s="5">
        <v>0.59</v>
      </c>
      <c r="F5" s="4">
        <v>940</v>
      </c>
    </row>
    <row r="6" ht="45" customHeight="1">
      <c r="A6" s="4" t="str">
        <v>AOW01: Productivity+</v>
      </c>
      <c r="B6" s="4" t="str">
        <v>ILRI</v>
      </c>
      <c r="C6" s="4" t="str">
        <v>Ethiopia</v>
      </c>
      <c r="D6" s="4" t="str">
        <v>country</v>
      </c>
      <c r="E6" s="5">
        <v>4.58</v>
      </c>
      <c r="F6" s="4">
        <v>941</v>
      </c>
    </row>
    <row r="7" ht="45" customHeight="1">
      <c r="A7" s="4" t="str">
        <v>AOW01: Productivity+</v>
      </c>
      <c r="B7" s="4" t="str">
        <v>ILRI</v>
      </c>
      <c r="C7" s="4" t="str">
        <v>Kenya</v>
      </c>
      <c r="D7" s="4" t="str">
        <v>country</v>
      </c>
      <c r="E7" s="5">
        <v>16.01</v>
      </c>
      <c r="F7" s="4">
        <v>942</v>
      </c>
    </row>
    <row r="8" ht="45" customHeight="1">
      <c r="A8" s="4" t="str">
        <v>AOW01: Productivity+</v>
      </c>
      <c r="B8" s="4" t="str">
        <v>ILRI</v>
      </c>
      <c r="C8" s="4" t="str">
        <v>Mali</v>
      </c>
      <c r="D8" s="4" t="str">
        <v>country</v>
      </c>
      <c r="E8" s="5">
        <v>16.05</v>
      </c>
      <c r="F8" s="4">
        <v>943</v>
      </c>
    </row>
    <row r="9" ht="45" customHeight="1">
      <c r="A9" s="4" t="str">
        <v>AOW01: Productivity+</v>
      </c>
      <c r="B9" s="4" t="str">
        <v>ILRI</v>
      </c>
      <c r="C9" s="4" t="str">
        <v>Nepal</v>
      </c>
      <c r="D9" s="4" t="str">
        <v>country</v>
      </c>
      <c r="E9" s="5">
        <v>11.74</v>
      </c>
      <c r="F9" s="4">
        <v>944</v>
      </c>
    </row>
    <row r="10" ht="45" customHeight="1">
      <c r="A10" s="4" t="str">
        <v>AOW01: Productivity+</v>
      </c>
      <c r="B10" s="4" t="str">
        <v>ILRI</v>
      </c>
      <c r="C10" s="4" t="str">
        <v>Tanzania</v>
      </c>
      <c r="D10" s="4" t="str">
        <v>country</v>
      </c>
      <c r="E10" s="5">
        <v>7.79</v>
      </c>
      <c r="F10" s="4">
        <v>945</v>
      </c>
    </row>
    <row r="11" ht="45" customHeight="1">
      <c r="A11" s="4" t="str">
        <v>AOW01: Productivity+</v>
      </c>
      <c r="B11" s="4" t="str">
        <v>ILRI</v>
      </c>
      <c r="C11" s="4" t="str">
        <v>The Socialist Republic of Viet Nam</v>
      </c>
      <c r="D11" s="4" t="str">
        <v>country</v>
      </c>
      <c r="E11" s="5">
        <v>12.06</v>
      </c>
      <c r="F11" s="4">
        <v>946</v>
      </c>
    </row>
    <row r="12" ht="45" customHeight="1">
      <c r="A12" s="4" t="str">
        <v>AOW01: Productivity+</v>
      </c>
      <c r="B12" s="4" t="str">
        <v>ILRI</v>
      </c>
      <c r="C12" s="4" t="str">
        <v>Uganda</v>
      </c>
      <c r="D12" s="4" t="str">
        <v>country</v>
      </c>
      <c r="E12" s="5">
        <v>14.1</v>
      </c>
      <c r="F12" s="4">
        <v>947</v>
      </c>
    </row>
    <row r="13" ht="45" customHeight="1">
      <c r="A13" s="4" t="str">
        <v>AOW01: Productivity+</v>
      </c>
      <c r="B13" s="4" t="str">
        <v>ILRI</v>
      </c>
      <c r="C13" s="4" t="str">
        <v>United Republic</v>
      </c>
      <c r="D13" s="4" t="str">
        <v>country</v>
      </c>
      <c r="E13" s="5">
        <v>0</v>
      </c>
      <c r="F13" s="4">
        <v>948</v>
      </c>
    </row>
    <row r="14" ht="45" customHeight="1">
      <c r="A14" s="8" t="str">
        <v>AOW02: Climate and the Environment</v>
      </c>
      <c r="B14" s="4" t="str">
        <v>ILRI</v>
      </c>
      <c r="C14" s="4" t="str">
        <v>Global</v>
      </c>
      <c r="D14" s="4" t="str">
        <v>global</v>
      </c>
      <c r="E14" s="5">
        <v>7.82</v>
      </c>
      <c r="F14" s="4">
        <v>962</v>
      </c>
    </row>
    <row r="15" ht="45" customHeight="1">
      <c r="A15" s="4" t="str">
        <v>AOW02: Climate and the Environment</v>
      </c>
      <c r="B15" s="4" t="str">
        <v>ILRI</v>
      </c>
      <c r="C15" s="4" t="str">
        <v>Colombia</v>
      </c>
      <c r="D15" s="4" t="str">
        <v>country</v>
      </c>
      <c r="E15" s="5">
        <v>0</v>
      </c>
      <c r="F15" s="4">
        <v>955</v>
      </c>
    </row>
    <row r="16" ht="45" customHeight="1">
      <c r="A16" s="4" t="str">
        <v>AOW02: Climate and the Environment</v>
      </c>
      <c r="B16" s="4" t="str">
        <v>ILRI</v>
      </c>
      <c r="C16" s="4" t="str">
        <v>Ethiopia</v>
      </c>
      <c r="D16" s="4" t="str">
        <v>country</v>
      </c>
      <c r="E16" s="5">
        <v>9.12</v>
      </c>
      <c r="F16" s="4">
        <v>961</v>
      </c>
    </row>
    <row r="17" ht="45" customHeight="1">
      <c r="A17" s="4" t="str">
        <v>AOW02: Climate and the Environment</v>
      </c>
      <c r="B17" s="4" t="str">
        <v>ILRI</v>
      </c>
      <c r="C17" s="4" t="str">
        <v>Ghana</v>
      </c>
      <c r="D17" s="4" t="str">
        <v>country</v>
      </c>
      <c r="E17" s="5">
        <v>0</v>
      </c>
      <c r="F17" s="4">
        <v>960</v>
      </c>
    </row>
    <row r="18" ht="45" customHeight="1">
      <c r="A18" s="4" t="str">
        <v>AOW02: Climate and the Environment</v>
      </c>
      <c r="B18" s="4" t="str">
        <v>ILRI</v>
      </c>
      <c r="C18" s="4" t="str">
        <v>Kenya</v>
      </c>
      <c r="D18" s="4" t="str">
        <v>country</v>
      </c>
      <c r="E18" s="5">
        <v>56.98</v>
      </c>
      <c r="F18" s="4">
        <v>956</v>
      </c>
    </row>
    <row r="19" ht="45" customHeight="1">
      <c r="A19" s="4" t="str">
        <v>AOW02: Climate and the Environment</v>
      </c>
      <c r="B19" s="4" t="str">
        <v>ILRI</v>
      </c>
      <c r="C19" s="4" t="str">
        <v>Tanzania, United Republic</v>
      </c>
      <c r="D19" s="4" t="str">
        <v>country</v>
      </c>
      <c r="E19" s="5">
        <v>9.13</v>
      </c>
      <c r="F19" s="4">
        <v>959</v>
      </c>
    </row>
    <row r="20" ht="45" customHeight="1">
      <c r="A20" s="4" t="str">
        <v>AOW02: Climate and the Environment</v>
      </c>
      <c r="B20" s="4" t="str">
        <v>ILRI</v>
      </c>
      <c r="C20" s="4" t="str">
        <v>The Socialist Republic of Viet Nam</v>
      </c>
      <c r="D20" s="4" t="str">
        <v>country</v>
      </c>
      <c r="E20" s="5">
        <v>0</v>
      </c>
      <c r="F20" s="4">
        <v>957</v>
      </c>
    </row>
    <row r="21" ht="45" customHeight="1">
      <c r="A21" s="4" t="str">
        <v>AOW02: Climate and the Environment</v>
      </c>
      <c r="B21" s="4" t="str">
        <v>ILRI</v>
      </c>
      <c r="C21" s="4" t="str">
        <v>Uganda</v>
      </c>
      <c r="D21" s="4" t="str">
        <v>country</v>
      </c>
      <c r="E21" s="5">
        <v>16.95</v>
      </c>
      <c r="F21" s="4">
        <v>958</v>
      </c>
    </row>
    <row r="22" ht="45" customHeight="1">
      <c r="A22" s="8" t="str">
        <v>AOW03: One Health</v>
      </c>
      <c r="B22" s="4" t="str">
        <v>ILRI</v>
      </c>
      <c r="C22" s="4" t="str">
        <v>Global</v>
      </c>
      <c r="D22" s="4" t="str">
        <v>global</v>
      </c>
      <c r="E22" s="5">
        <v>7.13</v>
      </c>
      <c r="F22" s="4">
        <v>967</v>
      </c>
    </row>
    <row r="23" ht="45" customHeight="1">
      <c r="A23" s="4" t="str">
        <v>AOW03: One Health</v>
      </c>
      <c r="B23" s="4" t="str">
        <v>ILRI</v>
      </c>
      <c r="C23" s="4" t="str">
        <v>Ethiopia</v>
      </c>
      <c r="D23" s="4" t="str">
        <v>country</v>
      </c>
      <c r="E23" s="5">
        <v>5.02</v>
      </c>
      <c r="F23" s="4">
        <v>971</v>
      </c>
    </row>
    <row r="24" ht="45" customHeight="1">
      <c r="A24" s="4" t="str">
        <v>AOW03: One Health</v>
      </c>
      <c r="B24" s="4" t="str">
        <v>ILRI</v>
      </c>
      <c r="C24" s="4" t="str">
        <v>Kenya</v>
      </c>
      <c r="D24" s="4" t="str">
        <v>country</v>
      </c>
      <c r="E24" s="5">
        <v>28.82</v>
      </c>
      <c r="F24" s="4">
        <v>968</v>
      </c>
    </row>
    <row r="25" ht="45" customHeight="1">
      <c r="A25" s="4" t="str">
        <v>AOW03: One Health</v>
      </c>
      <c r="B25" s="4" t="str">
        <v>ILRI</v>
      </c>
      <c r="C25" s="4" t="str">
        <v>The Socialist Republic of Viet Nam</v>
      </c>
      <c r="D25" s="4" t="str">
        <v>country</v>
      </c>
      <c r="E25" s="5">
        <v>24.8</v>
      </c>
      <c r="F25" s="4">
        <v>969</v>
      </c>
    </row>
    <row r="26" ht="45" customHeight="1">
      <c r="A26" s="4" t="str">
        <v>AOW03: One Health</v>
      </c>
      <c r="B26" s="4" t="str">
        <v>ILRI</v>
      </c>
      <c r="C26" s="4" t="str">
        <v>Uganda</v>
      </c>
      <c r="D26" s="4" t="str">
        <v>country</v>
      </c>
      <c r="E26" s="5">
        <v>34.23</v>
      </c>
      <c r="F26" s="4">
        <v>970</v>
      </c>
    </row>
    <row r="27" ht="45" customHeight="1">
      <c r="A27" s="8" t="str">
        <v>AOW04: Market Systems, Policy Solutions and Scaling</v>
      </c>
      <c r="B27" s="4" t="str">
        <v>ILRI</v>
      </c>
      <c r="C27" s="4" t="str">
        <v>Global</v>
      </c>
      <c r="D27" s="4" t="str">
        <v>global</v>
      </c>
      <c r="E27" s="5">
        <v>1.14</v>
      </c>
      <c r="F27" s="4">
        <v>972</v>
      </c>
    </row>
    <row r="28" ht="45" customHeight="1">
      <c r="A28" s="4" t="str">
        <v>AOW04: Market Systems, Policy Solutions and Scaling</v>
      </c>
      <c r="B28" s="4" t="str">
        <v>ILRI</v>
      </c>
      <c r="C28" s="4" t="str">
        <v>Kenya</v>
      </c>
      <c r="D28" s="4" t="str">
        <v>country</v>
      </c>
      <c r="E28" s="5">
        <v>12.53</v>
      </c>
      <c r="F28" s="4">
        <v>973</v>
      </c>
    </row>
    <row r="29" ht="45" customHeight="1">
      <c r="A29" s="4" t="str">
        <v>AOW04: Market Systems, Policy Solutions and Scaling</v>
      </c>
      <c r="B29" s="4" t="str">
        <v>ILRI</v>
      </c>
      <c r="C29" s="4" t="str">
        <v>Mali</v>
      </c>
      <c r="D29" s="4" t="str">
        <v>country</v>
      </c>
      <c r="E29" s="5">
        <v>19.7</v>
      </c>
      <c r="F29" s="4">
        <v>976</v>
      </c>
    </row>
    <row r="30" ht="45" customHeight="1">
      <c r="A30" s="4" t="str">
        <v>AOW04: Market Systems, Policy Solutions and Scaling</v>
      </c>
      <c r="B30" s="4" t="str">
        <v>ILRI</v>
      </c>
      <c r="C30" s="4" t="str">
        <v>Nepal</v>
      </c>
      <c r="D30" s="4" t="str">
        <v>country</v>
      </c>
      <c r="E30" s="5">
        <v>9.45</v>
      </c>
      <c r="F30" s="4">
        <v>978</v>
      </c>
    </row>
    <row r="31" ht="45" customHeight="1">
      <c r="A31" s="4" t="str">
        <v>AOW04: Market Systems, Policy Solutions and Scaling</v>
      </c>
      <c r="B31" s="4" t="str">
        <v>ILRI</v>
      </c>
      <c r="C31" s="4" t="str">
        <v>Nigeria</v>
      </c>
      <c r="D31" s="4" t="str">
        <v>country</v>
      </c>
      <c r="E31" s="5">
        <v>22.78</v>
      </c>
      <c r="F31" s="4">
        <v>977</v>
      </c>
    </row>
    <row r="32" ht="45" customHeight="1">
      <c r="A32" s="4" t="str">
        <v>AOW04: Market Systems, Policy Solutions and Scaling</v>
      </c>
      <c r="B32" s="4" t="str">
        <v>ILRI</v>
      </c>
      <c r="C32" s="4" t="str">
        <v>The Socialist Republic of Viet Nam</v>
      </c>
      <c r="D32" s="4" t="str">
        <v>country</v>
      </c>
      <c r="E32" s="5">
        <v>20.16</v>
      </c>
      <c r="F32" s="4">
        <v>974</v>
      </c>
    </row>
    <row r="33" ht="45" customHeight="1">
      <c r="A33" s="4" t="str">
        <v>AOW04: Market Systems, Policy Solutions and Scaling</v>
      </c>
      <c r="B33" s="4" t="str">
        <v>ILRI</v>
      </c>
      <c r="C33" s="4" t="str">
        <v>Uganda</v>
      </c>
      <c r="D33" s="4" t="str">
        <v>country</v>
      </c>
      <c r="E33" s="5">
        <v>14.24</v>
      </c>
      <c r="F33" s="4">
        <v>975</v>
      </c>
    </row>
    <row r="34" ht="45" customHeight="1">
      <c r="A34" s="8" t="str">
        <v>AOW05: Gender, Youth and Social Inclusion</v>
      </c>
      <c r="B34" s="4" t="str">
        <v>ILRI</v>
      </c>
      <c r="C34" s="4" t="str">
        <v>Global</v>
      </c>
      <c r="D34" s="4" t="str">
        <v>global</v>
      </c>
      <c r="E34" s="5">
        <v>14.21</v>
      </c>
      <c r="F34" s="4">
        <v>979</v>
      </c>
    </row>
    <row r="35" ht="45" customHeight="1">
      <c r="A35" s="4" t="str">
        <v>AOW05: Gender, Youth and Social Inclusion</v>
      </c>
      <c r="B35" s="4" t="str">
        <v>ILRI</v>
      </c>
      <c r="C35" s="4" t="str">
        <v>Kenya</v>
      </c>
      <c r="D35" s="4" t="str">
        <v>country</v>
      </c>
      <c r="E35" s="5">
        <v>10.23</v>
      </c>
      <c r="F35" s="4">
        <v>980</v>
      </c>
    </row>
    <row r="36" ht="45" customHeight="1">
      <c r="A36" s="4" t="str">
        <v>AOW05: Gender, Youth and Social Inclusion</v>
      </c>
      <c r="B36" s="4" t="str">
        <v>ILRI</v>
      </c>
      <c r="C36" s="4" t="str">
        <v>Mali</v>
      </c>
      <c r="D36" s="4" t="str">
        <v>country</v>
      </c>
      <c r="E36" s="5">
        <v>5.27</v>
      </c>
      <c r="F36" s="4">
        <v>982</v>
      </c>
    </row>
    <row r="37" ht="45" customHeight="1">
      <c r="A37" s="4" t="str">
        <v>AOW05: Gender, Youth and Social Inclusion</v>
      </c>
      <c r="B37" s="4" t="str">
        <v>ILRI</v>
      </c>
      <c r="C37" s="4" t="str">
        <v>Nepal</v>
      </c>
      <c r="D37" s="4" t="str">
        <v>country</v>
      </c>
      <c r="E37" s="5">
        <v>5.27</v>
      </c>
      <c r="F37" s="4">
        <v>983</v>
      </c>
    </row>
    <row r="38" ht="45" customHeight="1">
      <c r="A38" s="4" t="str">
        <v>AOW05: Gender, Youth and Social Inclusion</v>
      </c>
      <c r="B38" s="4" t="str">
        <v>ILRI</v>
      </c>
      <c r="C38" s="4" t="str">
        <v>Tanzania, United Republic</v>
      </c>
      <c r="D38" s="4" t="str">
        <v>country</v>
      </c>
      <c r="E38" s="5">
        <v>29.86</v>
      </c>
      <c r="F38" s="4">
        <v>984</v>
      </c>
    </row>
    <row r="39" ht="45" customHeight="1">
      <c r="A39" s="4" t="str">
        <v>AOW05: Gender, Youth and Social Inclusion</v>
      </c>
      <c r="B39" s="4" t="str">
        <v>ILRI</v>
      </c>
      <c r="C39" s="4" t="str">
        <v>The Socialist Republic of Viet Nam</v>
      </c>
      <c r="D39" s="4" t="str">
        <v>country</v>
      </c>
      <c r="E39" s="5">
        <v>8.79</v>
      </c>
      <c r="F39" s="4">
        <v>981</v>
      </c>
    </row>
    <row r="40" ht="45" customHeight="1">
      <c r="A40" s="4" t="str">
        <v>AOW05: Gender, Youth and Social Inclusion</v>
      </c>
      <c r="B40" s="4" t="str">
        <v>ILRI</v>
      </c>
      <c r="C40" s="4" t="str">
        <v>Uganda</v>
      </c>
      <c r="D40" s="4" t="str">
        <v>country</v>
      </c>
      <c r="E40" s="5">
        <v>26.37</v>
      </c>
      <c r="F40" s="4">
        <v>985</v>
      </c>
    </row>
    <row r="41" ht="45" customHeight="1">
      <c r="A41" s="8" t="str">
        <v>AOW06: Data and Digital Solutions</v>
      </c>
      <c r="B41" s="4" t="str">
        <v>ILRI</v>
      </c>
      <c r="C41" s="4" t="str">
        <v>Ethiopia</v>
      </c>
      <c r="D41" s="4" t="str">
        <v>country</v>
      </c>
      <c r="E41" s="5">
        <v>10.66</v>
      </c>
      <c r="F41" s="4">
        <v>988</v>
      </c>
    </row>
    <row r="42" ht="45" customHeight="1">
      <c r="A42" s="4" t="str">
        <v>AOW06: Data and Digital Solutions</v>
      </c>
      <c r="B42" s="4" t="str">
        <v>ILRI</v>
      </c>
      <c r="C42" s="4" t="str">
        <v>Kenya</v>
      </c>
      <c r="D42" s="4" t="str">
        <v>country</v>
      </c>
      <c r="E42" s="5">
        <v>78.68</v>
      </c>
      <c r="F42" s="4">
        <v>986</v>
      </c>
    </row>
    <row r="43" ht="45" customHeight="1">
      <c r="A43" s="4" t="str">
        <v>AOW06: Data and Digital Solutions</v>
      </c>
      <c r="B43" s="4" t="str">
        <v>ILRI</v>
      </c>
      <c r="C43" s="4" t="str">
        <v>Tanzania, United Republic</v>
      </c>
      <c r="D43" s="4" t="str">
        <v>country</v>
      </c>
      <c r="E43" s="5">
        <v>10.66</v>
      </c>
      <c r="F43" s="4">
        <v>987</v>
      </c>
    </row>
  </sheetData>
  <mergeCells count="7">
    <mergeCell ref="A2"/>
    <mergeCell ref="A3:A13"/>
    <mergeCell ref="A14:A21"/>
    <mergeCell ref="A22:A26"/>
    <mergeCell ref="A27:A33"/>
    <mergeCell ref="A34:A40"/>
    <mergeCell ref="A41:A43"/>
  </mergeCells>
  <ignoredErrors>
    <ignoredError numberStoredAsText="1" sqref="A1:F43"/>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