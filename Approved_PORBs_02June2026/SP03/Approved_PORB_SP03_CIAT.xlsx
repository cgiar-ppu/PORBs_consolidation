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100761</v>
      </c>
      <c r="K4" s="5">
        <v>100761</v>
      </c>
      <c r="L4" s="5">
        <v>0</v>
      </c>
      <c r="M4" s="5">
        <v>0</v>
      </c>
      <c r="N4" s="4">
        <v>176</v>
      </c>
    </row>
    <row r="5" ht="20" customHeight="1">
      <c r="A5" s="4" t="str">
        <v>AOW01: Productivity+</v>
      </c>
      <c r="B5" s="5">
        <v>3</v>
      </c>
      <c r="C5" s="5">
        <v>190000</v>
      </c>
      <c r="D5" s="5">
        <v>16</v>
      </c>
      <c r="E5" s="5">
        <v>257006</v>
      </c>
      <c r="F5" s="5">
        <v>150</v>
      </c>
      <c r="G5" s="5">
        <v>109416</v>
      </c>
      <c r="H5" s="5">
        <v>1</v>
      </c>
      <c r="I5" s="5">
        <v>35000</v>
      </c>
      <c r="J5" s="5">
        <v>591422</v>
      </c>
      <c r="K5" s="5">
        <v>591422</v>
      </c>
      <c r="L5" s="5">
        <v>17500</v>
      </c>
      <c r="M5" s="5">
        <v>0</v>
      </c>
      <c r="N5" s="4">
        <v>175</v>
      </c>
    </row>
    <row r="6" ht="20" customHeight="1">
      <c r="A6" s="4" t="str">
        <v>AOW02: Climate and the Environment</v>
      </c>
      <c r="B6" s="5">
        <v>4</v>
      </c>
      <c r="C6" s="5">
        <v>50000</v>
      </c>
      <c r="D6" s="5">
        <v>18</v>
      </c>
      <c r="E6" s="5">
        <v>405873</v>
      </c>
      <c r="F6" s="5">
        <v>0</v>
      </c>
      <c r="G6" s="5">
        <v>0</v>
      </c>
      <c r="H6" s="5">
        <v>0</v>
      </c>
      <c r="I6" s="5">
        <v>0</v>
      </c>
      <c r="J6" s="5">
        <v>455873</v>
      </c>
      <c r="K6" s="5">
        <v>455873</v>
      </c>
      <c r="L6" s="5">
        <v>2500</v>
      </c>
      <c r="M6" s="5">
        <v>0</v>
      </c>
      <c r="N6" s="4">
        <v>173</v>
      </c>
    </row>
    <row r="7" ht="20" customHeight="1">
      <c r="A7" s="4" t="str">
        <v>AOW03: One Health</v>
      </c>
      <c r="B7" s="5">
        <v>0</v>
      </c>
      <c r="C7" s="5">
        <v>0</v>
      </c>
      <c r="D7" s="5">
        <v>0</v>
      </c>
      <c r="E7" s="5">
        <v>0</v>
      </c>
      <c r="F7" s="5">
        <v>0</v>
      </c>
      <c r="G7" s="5">
        <v>0</v>
      </c>
      <c r="H7" s="5">
        <v>0</v>
      </c>
      <c r="I7" s="5">
        <v>0</v>
      </c>
      <c r="J7" s="5">
        <v>0</v>
      </c>
      <c r="K7" s="5">
        <v>0</v>
      </c>
      <c r="L7" s="5">
        <v>0</v>
      </c>
      <c r="M7" s="5">
        <v>0</v>
      </c>
      <c r="N7" s="4">
        <v>170</v>
      </c>
    </row>
    <row r="8" ht="20" customHeight="1">
      <c r="A8" s="4" t="str">
        <v>AOW04: Market Systems, Policy Solutions and Scaling</v>
      </c>
      <c r="B8" s="5">
        <v>4</v>
      </c>
      <c r="C8" s="5">
        <v>55000</v>
      </c>
      <c r="D8" s="5">
        <v>14</v>
      </c>
      <c r="E8" s="5">
        <v>316267</v>
      </c>
      <c r="F8" s="5">
        <v>0</v>
      </c>
      <c r="G8" s="5">
        <v>0</v>
      </c>
      <c r="H8" s="5">
        <v>0</v>
      </c>
      <c r="I8" s="5">
        <v>0</v>
      </c>
      <c r="J8" s="5">
        <v>371267</v>
      </c>
      <c r="K8" s="5">
        <v>371267</v>
      </c>
      <c r="L8" s="5">
        <v>0</v>
      </c>
      <c r="M8" s="5">
        <v>0</v>
      </c>
      <c r="N8" s="4">
        <v>172</v>
      </c>
    </row>
    <row r="9" ht="20" customHeight="1">
      <c r="A9" s="4" t="str">
        <v>AOW05: Gender, Youth and Social Inclusion</v>
      </c>
      <c r="B9" s="5">
        <v>2</v>
      </c>
      <c r="C9" s="5">
        <v>20000</v>
      </c>
      <c r="D9" s="5">
        <v>6</v>
      </c>
      <c r="E9" s="5">
        <v>189134</v>
      </c>
      <c r="F9" s="5">
        <v>0</v>
      </c>
      <c r="G9" s="5">
        <v>0</v>
      </c>
      <c r="H9" s="5">
        <v>0</v>
      </c>
      <c r="I9" s="5">
        <v>0</v>
      </c>
      <c r="J9" s="5">
        <v>209134</v>
      </c>
      <c r="K9" s="5">
        <v>209134</v>
      </c>
      <c r="L9" s="5">
        <v>15000</v>
      </c>
      <c r="M9" s="5">
        <v>0</v>
      </c>
      <c r="N9" s="4">
        <v>171</v>
      </c>
    </row>
    <row r="10" ht="20" customHeight="1">
      <c r="A10" s="4" t="str">
        <v>AOW06: Data and Digital Solutions</v>
      </c>
      <c r="B10" s="5">
        <v>0</v>
      </c>
      <c r="C10" s="5">
        <v>0</v>
      </c>
      <c r="D10" s="5">
        <v>1</v>
      </c>
      <c r="E10" s="5">
        <v>13500</v>
      </c>
      <c r="F10" s="5">
        <v>0</v>
      </c>
      <c r="G10" s="5">
        <v>0</v>
      </c>
      <c r="H10" s="5">
        <v>0</v>
      </c>
      <c r="I10" s="5">
        <v>0</v>
      </c>
      <c r="J10" s="5">
        <v>13500</v>
      </c>
      <c r="K10" s="5">
        <v>13500</v>
      </c>
      <c r="L10" s="5">
        <v>0</v>
      </c>
      <c r="M10" s="5">
        <v>0</v>
      </c>
      <c r="N10" s="4">
        <v>174</v>
      </c>
    </row>
    <row r="11" ht="25" customHeight="1">
      <c r="A11" s="6" t="str">
        <v>Total</v>
      </c>
      <c r="B11" s="7" t="str">
        <v/>
      </c>
      <c r="C11" s="7">
        <v>315000</v>
      </c>
      <c r="D11" s="7" t="str">
        <v/>
      </c>
      <c r="E11" s="7">
        <v>1181780</v>
      </c>
      <c r="F11" s="7" t="str">
        <v/>
      </c>
      <c r="G11" s="7">
        <v>109416</v>
      </c>
      <c r="H11" s="7" t="str">
        <v/>
      </c>
      <c r="I11" s="7">
        <v>35000</v>
      </c>
      <c r="J11" s="7">
        <v>1741957</v>
      </c>
      <c r="K11" s="7">
        <v>1741957</v>
      </c>
      <c r="L11" s="7">
        <v>35000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Productivity+</v>
      </c>
      <c r="B3" s="4" t="str">
        <v>CIAT (Alliance)</v>
      </c>
      <c r="C3" s="4" t="str">
        <v>HLO 1.2 - Cost-efficient animal and aquatic species feed and forage innovations and inclusive delivery models</v>
      </c>
      <c r="D3" s="4" t="str">
        <v xml:space="preserve">Kenya - dairy cattle: Generation of scientific knowledge products on the selection and promotion of improved forages for local conditions in Kenyan dairy systems. </v>
      </c>
      <c r="E3" s="4" t="str">
        <v>Number of knowledge products</v>
      </c>
      <c r="F3" s="4" t="str">
        <v>Kenya</v>
      </c>
      <c r="G3" s="5">
        <v>6</v>
      </c>
      <c r="H3" s="5">
        <v>100000</v>
      </c>
      <c r="I3" s="4" t="str">
        <v>Drought-tolerant, high-yielding forage technologies tested and validated through dairy cooperatives</v>
      </c>
      <c r="J3" s="4">
        <v>5101</v>
      </c>
    </row>
    <row r="4" ht="50" customHeight="1">
      <c r="B4" s="4" t="str">
        <v>CIAT (Alliance)</v>
      </c>
      <c r="D4" s="4" t="str">
        <v>Colombia - dual-purpose cattle: development of knowledge products on tested improved forages that guide future research and enhance adoption in Colombian dual-purpose cattle systems</v>
      </c>
      <c r="E4" s="4" t="str">
        <v>Number of knowledge products</v>
      </c>
      <c r="F4" s="4" t="str">
        <v>Colombia</v>
      </c>
      <c r="G4" s="5">
        <v>8</v>
      </c>
      <c r="H4" s="5">
        <v>100000</v>
      </c>
      <c r="I4" s="4" t="str">
        <v>Development of improved forage innovations, such as forage fact sheet bundles and sets of new promising forages, for Colombian dual-purpose cattle contexts</v>
      </c>
      <c r="J4" s="4">
        <v>5104</v>
      </c>
    </row>
    <row r="5" ht="50" customHeight="1">
      <c r="B5" s="4" t="str">
        <v>CIAT (Alliance)</v>
      </c>
      <c r="D5" s="4" t="str">
        <v>Mali - small ruminants: inclusive feed and forage innovations and seed systems to increase small ruminant productivity, resilience and income, reduce emissions, and include institutional models for adoption</v>
      </c>
      <c r="E5" s="4" t="str">
        <v>Number of innovations (innovation development)</v>
      </c>
      <c r="F5" s="4" t="str">
        <v>Mali</v>
      </c>
      <c r="G5" s="5">
        <v>1</v>
      </c>
      <c r="H5" s="5">
        <v>50000</v>
      </c>
      <c r="I5" s="4" t="str">
        <v>Inclusive feed and forage innovations and seed systems to increase small ruminant productivity, resilience and income, reduce emissions, and include institutional models for adoption.</v>
      </c>
      <c r="J5" s="4">
        <v>5106</v>
      </c>
    </row>
    <row r="6" ht="50" customHeight="1">
      <c r="B6" s="4" t="str">
        <v>CIAT (Alliance)</v>
      </c>
      <c r="D6" s="4" t="str">
        <v>Vietnam - beef cattle and pigs: Feeding strategies based on locally available feeds, including improved forages, for beef cattle and pigs</v>
      </c>
      <c r="E6" s="4" t="str">
        <v>Number of innovations (innovation development)</v>
      </c>
      <c r="F6" s="4" t="str">
        <v>The Socialist Republic of Viet Nam</v>
      </c>
      <c r="G6" s="5">
        <v>1</v>
      </c>
      <c r="H6" s="5">
        <v>100000</v>
      </c>
      <c r="I6" s="4" t="str">
        <v>Optimized feeding strategies including improved forages, and associated SBCC tools on best practices for beef cattle and pigs</v>
      </c>
      <c r="J6" s="4">
        <v>5107</v>
      </c>
    </row>
    <row r="7" ht="50" customHeight="1">
      <c r="B7" s="4" t="str">
        <v>CIAT (Alliance)</v>
      </c>
      <c r="D7" s="4" t="str">
        <v xml:space="preserve"> Vietnam - beef cattle and pigs: on-station feeding trials to optimize feeding strategies for beef cattle: feeding trial data generated</v>
      </c>
      <c r="E7" s="4" t="str">
        <v>custom</v>
      </c>
      <c r="F7" s="4" t="str">
        <v>The Socialist Republic of Viet Nam</v>
      </c>
      <c r="G7" s="5">
        <v>1</v>
      </c>
      <c r="H7" s="5">
        <v>35000</v>
      </c>
      <c r="I7" s="4" t="str">
        <v>On-station feeding trials to optimize feeding strategies for beef cattle</v>
      </c>
      <c r="J7" s="4">
        <v>7911</v>
      </c>
    </row>
    <row r="8" ht="50" customHeight="1" xml:space="preserve">
      <c r="A8" s="4" t="str">
        <v>AOW01: Productivity+</v>
      </c>
      <c r="B8" s="4" t="str">
        <v>CIAT (Alliance)</v>
      </c>
      <c r="C8" s="4" t="str">
        <v>HLO 1.5  - Inclusive approaches, tools and capacity sharing to support animal and aquatic food producers to adopt combinations of innovations</v>
      </c>
      <c r="D8" s="4" t="str" xml:space="preserve">
        <v xml:space="preserve">Global - forages: A report documenting development of improved methods to estimate forage adoption
 </v>
      </c>
      <c r="E8" s="4" t="str">
        <v>Number of knowledge products</v>
      </c>
      <c r="F8" s="4" t="str">
        <v>Mexico, China, Uganda, The Socialist Republic of Viet Nam, Kenya, Brazil, Thailand</v>
      </c>
      <c r="G8" s="5">
        <v>1</v>
      </c>
      <c r="H8" s="5">
        <v>47006</v>
      </c>
      <c r="I8" s="4" t="str">
        <v>Global package on the development of global tools, methods, and analyses that support forage adoption: Forage selection and management and for the exploration of economic–environmental–equity trade-offs of SAAF interventions.</v>
      </c>
      <c r="J8" s="4">
        <v>5139</v>
      </c>
    </row>
    <row r="9" ht="50" customHeight="1">
      <c r="B9" s="4" t="str">
        <v>CIAT (Alliance)</v>
      </c>
      <c r="D9" s="4" t="str">
        <v>Global - forages: Development of improved methods to estimate forage adoption</v>
      </c>
      <c r="E9" s="4" t="str">
        <v>Number of innovations (innovation development)</v>
      </c>
      <c r="F9" s="4" t="str">
        <v>Kenya, Uganda, Mexico, Brazil, The Socialist Republic of Viet Nam, Thailand, China</v>
      </c>
      <c r="G9" s="5">
        <v>1</v>
      </c>
      <c r="H9" s="5">
        <v>40000</v>
      </c>
      <c r="I9" s="4" t="str">
        <v>Development of improved methods to estimate forage adoption</v>
      </c>
      <c r="J9" s="4">
        <v>5140</v>
      </c>
    </row>
    <row r="10" ht="50" customHeight="1" xml:space="preserve">
      <c r="B10" s="4" t="str">
        <v>CIAT (Alliance)</v>
      </c>
      <c r="D10" s="4" t="str" xml:space="preserve">
        <v xml:space="preserve">Colombia - dual-purpose cattle: assessment of key constraints to improved beef cattle productivity in Columbia and recommendations on how these could be addressed
</v>
      </c>
      <c r="E10" s="4" t="str">
        <v>Number of knowledge products</v>
      </c>
      <c r="F10" s="4" t="str">
        <v>Colombia</v>
      </c>
      <c r="G10" s="5">
        <v>1</v>
      </c>
      <c r="H10" s="5">
        <v>10000</v>
      </c>
      <c r="I10" s="4" t="str">
        <v>Assessment of key constraints to improved beef cattle productivity in Columbia and recommendations on how these could be addressed</v>
      </c>
      <c r="J10" s="4">
        <v>7912</v>
      </c>
    </row>
    <row r="11" ht="50" customHeight="1" xml:space="preserve">
      <c r="B11" s="4" t="str">
        <v>CIAT (Alliance)</v>
      </c>
      <c r="D11" s="4" t="str" xml:space="preserve">
        <v xml:space="preserve">Colombia - dual-purpose cattle: training of women and men dual-purpose cattle farmers in Columbia on best practices in livestock production
</v>
      </c>
      <c r="E11" s="4" t="str">
        <v>Number of people trained (capacity sharing for development)</v>
      </c>
      <c r="F11" s="4" t="str">
        <v>Colombia</v>
      </c>
      <c r="G11" s="5">
        <v>150</v>
      </c>
      <c r="H11" s="5">
        <v>109416</v>
      </c>
      <c r="I11" s="4" t="str">
        <v>Training of women and men dual-purpose cattle farmers in Colombia on best practices in livestock production</v>
      </c>
      <c r="J11" s="4">
        <v>7913</v>
      </c>
    </row>
    <row r="12" ht="25" customHeight="1">
      <c r="C12" s="9" t="str">
        <v>HLO budget subtotal</v>
      </c>
      <c r="H12" s="9">
        <v>591422</v>
      </c>
      <c r="J12" s="9" t="str">
        <v/>
      </c>
    </row>
    <row r="13" ht="50" customHeight="1">
      <c r="A13" s="8" t="str">
        <v>AOW02: Climate and the Environment</v>
      </c>
      <c r="B13" s="4" t="str">
        <v>CIAT (Alliance)</v>
      </c>
      <c r="C13" s="4" t="str">
        <v xml:space="preserve">HLO 2.1 - Evidence of the benefits and impacts on climate and the environment </v>
      </c>
      <c r="D13" s="4" t="str">
        <v>Kenya - dairy cattle: Trade-off analysis: Assessment of economic–environmental–equity trade-offs of interventions in the dairy VC - report</v>
      </c>
      <c r="E13" s="4" t="str">
        <v>Number of knowledge products</v>
      </c>
      <c r="F13" s="4" t="str">
        <v>Kenya</v>
      </c>
      <c r="G13" s="5">
        <v>2</v>
      </c>
      <c r="H13" s="5">
        <v>101458</v>
      </c>
      <c r="I13" s="4" t="str">
        <v>Evidence on economic–environmental–equity trade-offs of interventions in the Kenyan dairy cattle value chain</v>
      </c>
      <c r="J13" s="4">
        <v>5174</v>
      </c>
    </row>
    <row r="14" ht="50" customHeight="1">
      <c r="B14" s="4" t="str">
        <v>CIAT (Alliance)</v>
      </c>
      <c r="D14" s="4" t="str">
        <v xml:space="preserve">Colombia - dual-purpose cattle: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v>
      </c>
      <c r="E14" s="4" t="str">
        <v>Number of knowledge products</v>
      </c>
      <c r="F14" s="4" t="str">
        <v>Colombia</v>
      </c>
      <c r="G14" s="5">
        <v>2</v>
      </c>
      <c r="H14" s="5">
        <v>80000</v>
      </c>
      <c r="I14" s="4" t="str">
        <v>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v>
      </c>
      <c r="J14" s="4">
        <v>5175</v>
      </c>
    </row>
    <row r="15" ht="50" customHeight="1">
      <c r="B15" s="4" t="str">
        <v>CIAT (Alliance)</v>
      </c>
      <c r="D15" s="4" t="str">
        <v>Vietnam - beef cattle and pigs: Assessment of productivity–environment co-benefits from livestock innovations, generating evidence to inform low-emission livestock strategies</v>
      </c>
      <c r="E15" s="4" t="str">
        <v>Number of knowledge products</v>
      </c>
      <c r="F15" s="4" t="str">
        <v>The Socialist Republic of Viet Nam</v>
      </c>
      <c r="G15" s="5">
        <v>1</v>
      </c>
      <c r="H15" s="5">
        <v>27000</v>
      </c>
      <c r="I15" s="4" t="str">
        <v>Assessment of productivity–environment co-benefits from livestock innovations, generating evidence to inform low-emission livestock strategies</v>
      </c>
      <c r="J15" s="4">
        <v>5176</v>
      </c>
    </row>
    <row r="16" ht="50" customHeight="1">
      <c r="B16" s="4" t="str">
        <v>CIAT (Alliance)</v>
      </c>
      <c r="D16" s="4" t="str">
        <v>GLOBAL- Climate and Environment: Analysis of stakeholders' narratives about livestock, with a focus on climate change, in the international climate agenda</v>
      </c>
      <c r="E16" s="4" t="str">
        <v>Number of knowledge products</v>
      </c>
      <c r="F16" s="4" t="str">
        <v>Colombia, Ethiopia, The Socialist Republic of Viet Nam</v>
      </c>
      <c r="G16" s="5">
        <v>3</v>
      </c>
      <c r="H16" s="5">
        <v>10000</v>
      </c>
      <c r="I16" s="4" t="str">
        <v>Narratives on livestock in the international climate agenda. Collaboration with CIRAD</v>
      </c>
      <c r="J16" s="4">
        <v>7568</v>
      </c>
    </row>
    <row r="17" ht="50" customHeight="1">
      <c r="B17" s="4" t="str">
        <v>CIAT (Alliance)</v>
      </c>
      <c r="D17" s="4" t="str">
        <v xml:space="preserve">GLOBAL- Climate and Environment: economic assessment of climate-smart livestock interventions through Cost of Inaction (CoI) analysis in Ethiopia </v>
      </c>
      <c r="E17" s="4" t="str">
        <v>Number of knowledge products</v>
      </c>
      <c r="F17" s="4" t="str">
        <v>Colombia, Ethiopia</v>
      </c>
      <c r="G17" s="5">
        <v>2</v>
      </c>
      <c r="H17" s="5">
        <v>15000</v>
      </c>
      <c r="I17" s="4" t="str">
        <v>Economic assessment of climate-smart livestock interventions through Cost of Inaction (CoI) analysis in Ethiopia and synthesis of AoW2 evidence from Tunisia; establishment of datasets for Benefits of Action (BoA) and Return on Investment (RoI) analyses in Ethiopia and Colombia to support cross-country comparative evaluation and future impact assessment.</v>
      </c>
      <c r="J17" s="4">
        <v>7576</v>
      </c>
    </row>
    <row r="18" ht="50" customHeight="1">
      <c r="B18" s="4" t="str">
        <v>CIAT (Alliance)</v>
      </c>
      <c r="D18" s="4" t="str">
        <v>Kenya - dairy cattle: Feed resource constraints, forage gaps, and system-level opportunities using FEAST/CLEANED analyses</v>
      </c>
      <c r="E18" s="4" t="str">
        <v>Number of knowledge products</v>
      </c>
      <c r="F18" s="4" t="str">
        <v>Kenya</v>
      </c>
      <c r="G18" s="5">
        <v>1</v>
      </c>
      <c r="H18" s="5">
        <v>0</v>
      </c>
      <c r="I18" s="4" t="str">
        <v/>
      </c>
      <c r="J18" s="4">
        <v>8335</v>
      </c>
    </row>
    <row r="19" ht="50" customHeight="1">
      <c r="A19" s="4" t="str">
        <v>AOW02: Climate and the Environment</v>
      </c>
      <c r="B19" s="4" t="str">
        <v>CIAT (Alliance)</v>
      </c>
      <c r="C19" s="4" t="str">
        <v xml:space="preserve">HLO 2.4 - Cost-efficient resilience and emission monitoring tools designed for animal and aquatic food systems </v>
      </c>
      <c r="D19" s="4" t="str">
        <v>Global - forages: Development of innovations on forage environment interactions, including a database on the capacity of forages to reduce enteric methane production and emissions as well as a methodology for developing carbon projects using forages as an entry point.</v>
      </c>
      <c r="E19" s="4" t="str">
        <v>Number of innovations (innovation development)</v>
      </c>
      <c r="F19" s="4" t="str">
        <v>Colombia</v>
      </c>
      <c r="G19" s="5">
        <v>4</v>
      </c>
      <c r="H19" s="5">
        <v>50000</v>
      </c>
      <c r="I19" s="4" t="str">
        <v>Development of innovations on forage environment interactions, including a database on the capacity of forages to reduce enteric methane production and emissions as well as a methodology for developing carbon projects using forages as an entry point.</v>
      </c>
      <c r="J19" s="4">
        <v>5183</v>
      </c>
    </row>
    <row r="20" ht="50" customHeight="1">
      <c r="A20" s="4" t="str">
        <v>AOW02: Climate and the Environment</v>
      </c>
      <c r="B20" s="4" t="str">
        <v>CIAT (Alliance)</v>
      </c>
      <c r="C20" s="4" t="str">
        <v>HLO 2.2- Climate-adapted innovations for efficient use and restoration of water, soil, and land resources, enhanced livelihoods, and reduced climate impacts</v>
      </c>
      <c r="D20" s="4" t="str">
        <v>Global - forages: Integrate GEYSI lens into forage adoption to assess gender, age, and social inclusion constraints and enabling environments</v>
      </c>
      <c r="E20" s="4" t="str">
        <v>Number of knowledge products</v>
      </c>
      <c r="F20" s="4" t="str">
        <v>Colombia, Kenya</v>
      </c>
      <c r="G20" s="5">
        <v>2</v>
      </c>
      <c r="H20" s="5">
        <v>20000</v>
      </c>
      <c r="I20" s="4" t="str">
        <v>Integrate GEYSI lens into forage adoption to assess gender, age, and social inclusion constraints and enabling environments</v>
      </c>
      <c r="J20" s="4">
        <v>7557</v>
      </c>
    </row>
    <row r="21" ht="50" customHeight="1">
      <c r="B21" s="4" t="str">
        <v>CIAT (Alliance)</v>
      </c>
      <c r="D21" s="4" t="str">
        <v>Colombia - dual-purpose cattle: analysis and evaluation of the champion farmers' approach to enhance the uptake of SAAF innovations</v>
      </c>
      <c r="E21" s="4" t="str">
        <v>Number of knowledge products</v>
      </c>
      <c r="F21" s="4" t="str">
        <v>Colombia</v>
      </c>
      <c r="G21" s="5">
        <v>2</v>
      </c>
      <c r="H21" s="5">
        <v>32500</v>
      </c>
      <c r="I21" s="4" t="str">
        <v>Champion farmers (ToT approach)</v>
      </c>
      <c r="J21" s="4">
        <v>7567</v>
      </c>
    </row>
    <row r="22" ht="50" customHeight="1">
      <c r="B22" s="4" t="str">
        <v>CIAT (Alliance)</v>
      </c>
      <c r="D22" s="4" t="str">
        <v>GLOBAL- Climate and Environment: robust, farm-level evidence on improved forage trials in Nigeria on productivity gains, methane intensity reduction and economic performance, to inform climate finance and carbon market mechanism</v>
      </c>
      <c r="E22" s="4" t="str">
        <v>Number of knowledge products</v>
      </c>
      <c r="F22" s="4" t="str">
        <v>Nigeria</v>
      </c>
      <c r="G22" s="5">
        <v>2</v>
      </c>
      <c r="H22" s="5">
        <v>30000</v>
      </c>
      <c r="I22" s="4" t="str">
        <v>Implementation of a 10 ha pilot using high-quality CGIAR-related forages in a commercial dairy farm in West Africa. The activity will include baseline characterization, forage establishment, and allocation of ~10-20 lactating cows to treatment and control groups. The improved system will be based on high-performing grasses and legumes developed and promoted through CGIAR research, selected for their productivity, nutritional quality, and potential to enhance feed efficiency. Monitoring will cover forage productivity, milk yield, methane emissions using Tier 2–consistent methodologies, and an economic analysis assessing costs, productivity gains, and returns at the farm level. The pilot will generate robust, farm-level evidence on productivity gains, methane intensity reduction, and economic performance under real production conditions, while establishing a practical MRV framework and a foundation for scaling and engagement with climate finance and carbon market mechanism</v>
      </c>
      <c r="J22" s="4">
        <v>7572</v>
      </c>
    </row>
    <row r="23" ht="50" customHeight="1">
      <c r="B23" s="4" t="str">
        <v>CIAT (Alliance)</v>
      </c>
      <c r="D23" s="4" t="str">
        <v>Global- forages: Complete roadmap linking genes, markers, and evidence-based approaches to reduce methane in  Urochloa interspecific hybrids, the most commercially deployed tropical forage grass in the Global South  (Blue Sky Project)</v>
      </c>
      <c r="E23" s="4" t="str">
        <v>Number of knowledge products</v>
      </c>
      <c r="F23" s="4" t="str">
        <v>Colombia</v>
      </c>
      <c r="G23" s="5">
        <v>1</v>
      </c>
      <c r="H23" s="5">
        <v>63415</v>
      </c>
      <c r="I23" s="4" t="str">
        <v>Operations, staff and OH for blue sky research on Genetic Architecture of Methane Mitigation in Tropical Forages; 1 of 3 bluesky ideas chosen in open call to participating SAAF CG centers</v>
      </c>
      <c r="J23" s="4">
        <v>7927</v>
      </c>
    </row>
    <row r="24" ht="50" customHeight="1">
      <c r="A24" s="4" t="str">
        <v>AOW02: Climate and the Environment</v>
      </c>
      <c r="B24" s="4" t="str">
        <v>CIAT (Alliance)</v>
      </c>
      <c r="C24" s="4" t="str">
        <v>HLO 2.3 - Business models, financial mechanisms and evidence of economic, climatic and environmental benefits</v>
      </c>
      <c r="D24" s="4" t="str">
        <v>GLOBAL- Climate and Environment:  private sector/blended climate finance investment case for livestock value chains, to improve productivity and reduce emissions intensity</v>
      </c>
      <c r="E24" s="4" t="str">
        <v>Number of knowledge products</v>
      </c>
      <c r="F24" s="4" t="str">
        <v>Colombia</v>
      </c>
      <c r="G24" s="5">
        <v>1</v>
      </c>
      <c r="H24" s="5">
        <v>26500</v>
      </c>
      <c r="I24" s="4" t="str">
        <v>Climate and Environment:  private sector/blended climate finance investment case for livestock value chains, to improve productivity and reduce emissions intensity</v>
      </c>
      <c r="J24" s="4">
        <v>7559</v>
      </c>
    </row>
    <row r="25" ht="25" customHeight="1">
      <c r="C25" s="9" t="str">
        <v>HLO budget subtotal</v>
      </c>
      <c r="H25" s="9">
        <v>455873</v>
      </c>
      <c r="J25" s="9" t="str">
        <v/>
      </c>
    </row>
    <row r="26" ht="50" customHeight="1">
      <c r="A26" s="8" t="str">
        <v>AOW04: Market Systems, Policy Solutions and Scaling</v>
      </c>
      <c r="B26" s="4" t="str">
        <v>CIAT (Alliance)</v>
      </c>
      <c r="C26" s="4" t="str">
        <v>HLO 4.2 - Decision-support tools for efficient animal and aquatic food system</v>
      </c>
      <c r="D26" s="4" t="str">
        <v xml:space="preserve">Global- forages: Tools for economic analysis, methodologies for innovation uptake tracking, global analyses of forage-based livestock systems, and investment models for forage-based livestock systems: brief </v>
      </c>
      <c r="E26" s="4" t="str">
        <v>Number of knowledge products</v>
      </c>
      <c r="F26" s="4" t="str">
        <v>Italy, Colombia</v>
      </c>
      <c r="G26" s="5">
        <v>4</v>
      </c>
      <c r="H26" s="5">
        <v>28267</v>
      </c>
      <c r="I26" s="4" t="str">
        <v>Development of improved methods to estimate forage adoption</v>
      </c>
      <c r="J26" s="4">
        <v>5215</v>
      </c>
    </row>
    <row r="27" ht="50" customHeight="1" xml:space="preserve">
      <c r="B27" s="4" t="str">
        <v>CIAT (Alliance)</v>
      </c>
      <c r="D27" s="4" t="str" xml:space="preserve">
        <v xml:space="preserve">Global- forages: Methodology for tracking global CIAT forage hybrid adoption and impacts developed and impacts of CIAT forage hybrid adoption estimated based on new methodology
</v>
      </c>
      <c r="E27" s="4" t="str">
        <v>Number of innovations (innovation development)</v>
      </c>
      <c r="F27" s="4" t="str">
        <v>Colombia</v>
      </c>
      <c r="G27" s="5">
        <v>3</v>
      </c>
      <c r="H27" s="5">
        <v>30000</v>
      </c>
      <c r="I27" s="4" t="str">
        <v>Methodology for tracking global CIAT forage hybrid adoption and impacts developed and impacts of CIAT forage hybrid adoption estimated based on new methodology.</v>
      </c>
      <c r="J27" s="4">
        <v>5216</v>
      </c>
    </row>
    <row r="28" ht="50" customHeight="1">
      <c r="A28" s="4" t="str">
        <v>AOW04: Market Systems, Policy Solutions and Scaling</v>
      </c>
      <c r="B28" s="4" t="str">
        <v>CIAT (Alliance)</v>
      </c>
      <c r="C28" s="4" t="str">
        <v xml:space="preserve">HLO 4.4 - Policy analysis and engagement processes for improved governance and effectiveness </v>
      </c>
      <c r="D28" s="4" t="str">
        <v>Kenya - dairy cattle: Generate scientific evidence products that inform national and local policy on forages in Kenya and helps create an enabling environment for forage adoption and scaling among dairy producers in Kenya: policy brief</v>
      </c>
      <c r="E28" s="4" t="str">
        <v>Number of knowledge products</v>
      </c>
      <c r="F28" s="4" t="str">
        <v>Kenya</v>
      </c>
      <c r="G28" s="5">
        <v>2</v>
      </c>
      <c r="H28" s="5">
        <v>50000</v>
      </c>
      <c r="I28" s="4" t="str">
        <v>Generate scientific evidence products that inform national and local policy on forages in Kenya and helps create an enabling environment for forage adoption and scaling among dairy producers in Kenya.</v>
      </c>
      <c r="J28" s="4">
        <v>5228</v>
      </c>
    </row>
    <row r="29" ht="50" customHeight="1">
      <c r="B29" s="4" t="str">
        <v>CIAT (Alliance)</v>
      </c>
      <c r="D29" s="4" t="str">
        <v>Colombia - dual-purpose cattle: Generate scientific evidence products that inform national and local policy on forages in Colombia and helps create an enabling environment for forage adoption and scaling among dual-purpose cattle producers in Colombia.</v>
      </c>
      <c r="E29" s="4" t="str">
        <v>Number of knowledge products</v>
      </c>
      <c r="F29" s="4" t="str">
        <v>Colombia</v>
      </c>
      <c r="G29" s="5">
        <v>3</v>
      </c>
      <c r="H29" s="5">
        <v>75000</v>
      </c>
      <c r="I29" s="4" t="str">
        <v>Generate scientific evidence products that inform national and local policy on forages in Colombia and helps create an enabling environment for forage adoption and scaling among dual-purpose cattle producers in Colombia.</v>
      </c>
      <c r="J29" s="4">
        <v>5229</v>
      </c>
    </row>
    <row r="30" ht="50" customHeight="1">
      <c r="B30" s="4" t="str">
        <v>CIAT (Alliance)</v>
      </c>
      <c r="D30" s="4" t="str">
        <v xml:space="preserve">Colombia - dual-purpose cattle: Development of an investment case in silvo-pastoral systems that helps create an enabling environment for adoption and scaling among dual-purpose cattle producers in Colombia. </v>
      </c>
      <c r="E30" s="4" t="str">
        <v>Number of innovations (innovation development)</v>
      </c>
      <c r="F30" s="4" t="str">
        <v>Colombia</v>
      </c>
      <c r="G30" s="5">
        <v>1</v>
      </c>
      <c r="H30" s="5">
        <v>25000</v>
      </c>
      <c r="I30" s="4" t="str">
        <v>Development of an investment case in silvo-pastoral systems that helps create an enabling environment for adoption and scaling among dual-purpose cattle producers in Colombia.</v>
      </c>
      <c r="J30" s="4">
        <v>5230</v>
      </c>
    </row>
    <row r="31" ht="50" customHeight="1">
      <c r="B31" s="4" t="str">
        <v>CIAT (Alliance)</v>
      </c>
      <c r="D31" s="4" t="str">
        <v>Vietnam - beef cattle and pigs: Institutional and policy analysis and engagement processes for improved forage uptake in Vietnam, including seed systems.</v>
      </c>
      <c r="E31" s="4" t="str">
        <v>Number of knowledge products</v>
      </c>
      <c r="F31" s="4" t="str">
        <v>The Socialist Republic of Viet Nam</v>
      </c>
      <c r="G31" s="5">
        <v>1</v>
      </c>
      <c r="H31" s="5">
        <v>60000</v>
      </c>
      <c r="I31" s="4" t="str">
        <v>Institutional and policy analysis and engagement processes for improved forage uptake in Vietnam, including seed systems.</v>
      </c>
      <c r="J31" s="4">
        <v>5231</v>
      </c>
    </row>
    <row r="32" ht="50" customHeight="1">
      <c r="B32" s="4" t="str">
        <v>CIAT (Alliance)</v>
      </c>
      <c r="D32" s="4" t="str">
        <v>Vietnam - beef cattle and pigs: Document experiences and lessons learned with farmer groups for scaling SAAF innovations and practices in Vietnam.</v>
      </c>
      <c r="E32" s="4" t="str">
        <v>Number of knowledge products</v>
      </c>
      <c r="F32" s="4" t="str">
        <v>The Socialist Republic of Viet Nam</v>
      </c>
      <c r="G32" s="5">
        <v>1</v>
      </c>
      <c r="H32" s="5">
        <v>30000</v>
      </c>
      <c r="I32" s="4" t="str">
        <v>Document experiences and lessons learned with farmer groups for scaling feed and forage technologies and other sustainable livestock practices in Vietnam.</v>
      </c>
      <c r="J32" s="4">
        <v>5232</v>
      </c>
    </row>
    <row r="33" ht="50" customHeight="1">
      <c r="B33" s="4" t="str">
        <v>CIAT (Alliance)</v>
      </c>
      <c r="D33" s="4" t="str">
        <v>Global - AoW4 learnings: Learning brief (joint) - Policy dialogues and MSP in AAF systems</v>
      </c>
      <c r="E33" s="4" t="str">
        <v>Number of knowledge products</v>
      </c>
      <c r="F33" s="4" t="str">
        <v>Colombia</v>
      </c>
      <c r="G33" s="5">
        <v>1</v>
      </c>
      <c r="H33" s="5">
        <v>10000</v>
      </c>
      <c r="I33" s="4" t="str">
        <v>Learning brief (joint) - Policy dialogues and MSP in AAF systems</v>
      </c>
      <c r="J33" s="4">
        <v>7910</v>
      </c>
    </row>
    <row r="34" ht="50" customHeight="1">
      <c r="A34" s="4" t="str">
        <v>AOW04: Market Systems, Policy Solutions and Scaling</v>
      </c>
      <c r="B34" s="4" t="str">
        <v>CIAT (Alliance)</v>
      </c>
      <c r="C34" s="4" t="str">
        <v xml:space="preserve">HLO 4.3 - Institutional &amp; behavioral models for enhanced use of innovations and improved governance </v>
      </c>
      <c r="D34" s="4" t="str">
        <v xml:space="preserve">Colombia- dual-purpose Cattle: Champion farmers (ToT approach)  Report on farmers’ perceived constraints and opportunities for increasing performance, including the identification of future training needs and required implementation support </v>
      </c>
      <c r="E34" s="4" t="str">
        <v>Number of knowledge products</v>
      </c>
      <c r="F34" s="4" t="str">
        <v>Colombia</v>
      </c>
      <c r="G34" s="5">
        <v>1</v>
      </c>
      <c r="H34" s="5">
        <v>48000</v>
      </c>
      <c r="I34" s="4" t="str">
        <v>Champion farmers (ToT approach)</v>
      </c>
      <c r="J34" s="4">
        <v>7914</v>
      </c>
    </row>
    <row r="35" ht="50" customHeight="1" xml:space="preserve">
      <c r="B35" s="4" t="str">
        <v>CIAT (Alliance)</v>
      </c>
      <c r="D35" s="4" t="str">
        <v>Kenya - Pastoral: Forage business model and value chain documentation for future integration as a part of water bends</v>
      </c>
      <c r="E35" s="4" t="str">
        <v>Number of knowledge products</v>
      </c>
      <c r="F35" s="4" t="str">
        <v>Kenya</v>
      </c>
      <c r="G35" s="5">
        <v>1</v>
      </c>
      <c r="H35" s="5">
        <v>15000</v>
      </c>
      <c r="I35" s="4" t="str" xml:space="preserve">
        <v xml:space="preserve">Forage business model and value chain documentation for future integration as a part of water bends
 </v>
      </c>
      <c r="J35" s="4">
        <v>7915</v>
      </c>
    </row>
    <row r="36" ht="25" customHeight="1">
      <c r="C36" s="9" t="str">
        <v>HLO budget subtotal</v>
      </c>
      <c r="H36" s="9">
        <v>371267</v>
      </c>
      <c r="J36" s="9" t="str">
        <v/>
      </c>
    </row>
    <row r="37" ht="50" customHeight="1">
      <c r="A37" s="8" t="str">
        <v>AOW05: Gender, Youth and Social Inclusion</v>
      </c>
      <c r="B37" s="4" t="str">
        <v>CIAT (Alliance)</v>
      </c>
      <c r="C37" s="4" t="str">
        <v xml:space="preserve">HLO 5.1 - Tools and datasets on gender and youth norms and dynamics, and on empowerment </v>
      </c>
      <c r="D37" s="4" t="str">
        <v>Global- GYSI:  Tools and approaches for inclusive governance of natural resources, i.e., forages developed.</v>
      </c>
      <c r="E37" s="4" t="str">
        <v>Number of innovations (innovation development)</v>
      </c>
      <c r="F37" s="4" t="str">
        <v>Colombia</v>
      </c>
      <c r="G37" s="5">
        <v>1</v>
      </c>
      <c r="H37" s="5">
        <v>10000</v>
      </c>
      <c r="I37" s="4" t="str">
        <v>Global- GYSI:  Tools and approaches for inclusive governance of natural resources, i.e., forages developed.</v>
      </c>
      <c r="J37" s="4">
        <v>5085</v>
      </c>
    </row>
    <row r="38" ht="50" customHeight="1">
      <c r="B38" s="4" t="str">
        <v>CIAT (Alliance)</v>
      </c>
      <c r="D38" s="4" t="str">
        <v>Global- GYSI: Development of a methodology on gender inclusive implementation of sustainable cattle technologies and practices in smallholder systems with deforestation contexts in Latin America</v>
      </c>
      <c r="E38" s="4" t="str">
        <v>Number of innovations (innovation development)</v>
      </c>
      <c r="F38" s="4" t="str">
        <v>Colombia</v>
      </c>
      <c r="G38" s="5">
        <v>1</v>
      </c>
      <c r="H38" s="5">
        <v>10000</v>
      </c>
      <c r="I38" s="4" t="str">
        <v>Global- GYSI: Development of a methodology on gender inclusive implementation of sustainable cattle technologies and practices in smallholder systems with deforestation contexts in Latin America</v>
      </c>
      <c r="J38" s="4">
        <v>5086</v>
      </c>
    </row>
    <row r="39" ht="50" customHeight="1" xml:space="preserve">
      <c r="B39" s="4" t="str">
        <v>CIAT (Alliance)</v>
      </c>
      <c r="D39" s="4" t="str">
        <v>Colombia - dual-purpose cattle: Generate scientific evidence products that improve the enabling environment for adoption of climate-smart forages by Indigenous and conflict-affected households in Colombia</v>
      </c>
      <c r="E39" s="4" t="str">
        <v>Number of knowledge products</v>
      </c>
      <c r="F39" s="4" t="str">
        <v>Colombia</v>
      </c>
      <c r="G39" s="5">
        <v>3</v>
      </c>
      <c r="H39" s="5">
        <v>75000</v>
      </c>
      <c r="I39" s="4" t="str" xml:space="preserve">
        <v xml:space="preserve">Generate scientific evidence products that improve the enabling environment for adoption of climate-smart forages by Indigenous and conflict-affected households in Colombia
</v>
      </c>
      <c r="J39" s="4">
        <v>5087</v>
      </c>
    </row>
    <row r="40" ht="50" customHeight="1">
      <c r="B40" s="4" t="str">
        <v>CIAT (Alliance)</v>
      </c>
      <c r="D40" s="4" t="str">
        <v>Colombia - dual-purpose cattle: Dataset on how gender norms and the absence of GEYSI-specific financial services limit the ability of women and youth to become forage innovators and forage-related business models</v>
      </c>
      <c r="E40" s="4" t="str">
        <v>Number of knowledge products</v>
      </c>
      <c r="F40" s="4" t="str">
        <v>Colombia</v>
      </c>
      <c r="G40" s="5">
        <v>1</v>
      </c>
      <c r="H40" s="5">
        <v>30000</v>
      </c>
      <c r="I40" s="4" t="str">
        <v>Dataset on how gender norms and the absence of GEYSI-specific financial services limit the ability of women and youth to become forage innovators and forage-related business models.</v>
      </c>
      <c r="J40" s="4">
        <v>7907</v>
      </c>
    </row>
    <row r="41" ht="50" customHeight="1">
      <c r="A41" s="4" t="str">
        <v>AOW05: Gender, Youth and Social Inclusion</v>
      </c>
      <c r="B41" s="4" t="str">
        <v>CIAT (Alliance)</v>
      </c>
      <c r="C41" s="4" t="str">
        <v>HLO 5.2 -  Tested interventions and theoretical advances on women &amp; youth empowerment and for equitable norms and policies</v>
      </c>
      <c r="D41" s="4" t="str">
        <v>Vietnam - beef cattle and pigs: Gender transformative videos and community-level tools for conducive gender and ethnic norms developed</v>
      </c>
      <c r="E41" s="4" t="str">
        <v>Number of knowledge products</v>
      </c>
      <c r="F41" s="4" t="str">
        <v>The Socialist Republic of Viet Nam</v>
      </c>
      <c r="G41" s="5">
        <v>1</v>
      </c>
      <c r="H41" s="5">
        <v>54134</v>
      </c>
      <c r="I41" s="4" t="str">
        <v>Gender transformative videos and community-level tools for conducive gender and ethnic norms</v>
      </c>
      <c r="J41" s="4">
        <v>7909</v>
      </c>
    </row>
    <row r="42" ht="50" customHeight="1">
      <c r="B42" s="4" t="str">
        <v>CIAT (Alliance)</v>
      </c>
      <c r="D42" s="4" t="str">
        <v>Vietnam- beef cattle and pigs:  Generate scientific evidence about factors supporting the adoption of improved forages by ethnic minorities, women, and youth in rural Vietnam.</v>
      </c>
      <c r="E42" s="4" t="str">
        <v>Number of knowledge products</v>
      </c>
      <c r="F42" s="4" t="str">
        <v>The Socialist Republic of Viet Nam</v>
      </c>
      <c r="G42" s="5">
        <v>1</v>
      </c>
      <c r="H42" s="5">
        <v>30000</v>
      </c>
      <c r="I42" s="4" t="str">
        <v>Generate scientific evidence about factors supporting the adoption of improved forages by ethnic minorities, women, and youth in rural Vietnam.</v>
      </c>
      <c r="J42" s="4">
        <v>8194</v>
      </c>
    </row>
    <row r="43" ht="25" customHeight="1">
      <c r="C43" s="9" t="str">
        <v>HLO budget subtotal</v>
      </c>
      <c r="H43" s="9">
        <v>209134</v>
      </c>
      <c r="J43" s="9" t="str">
        <v/>
      </c>
    </row>
    <row r="44" ht="50" customHeight="1">
      <c r="A44" s="8" t="str">
        <v>AOW06: Data and Digital Solutions</v>
      </c>
      <c r="B44" s="4" t="str">
        <v>CIAT (Alliance)</v>
      </c>
      <c r="C44" s="4" t="str">
        <v>HLO 6.2 - Co-develop and test exploratory digital solutions, AI-based analytics, and decision-support systems</v>
      </c>
      <c r="D44" s="4" t="str">
        <v>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v>
      </c>
      <c r="E44" s="4" t="str">
        <v>Number of knowledge products</v>
      </c>
      <c r="F44" s="4" t="str">
        <v>Ghana, Kenya</v>
      </c>
      <c r="G44" s="5">
        <v>1</v>
      </c>
      <c r="H44" s="5">
        <v>13500</v>
      </c>
      <c r="I44" s="4" t="str">
        <v>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v>
      </c>
      <c r="J44" s="4">
        <v>7908</v>
      </c>
    </row>
    <row r="45" ht="25" customHeight="1">
      <c r="C45" s="9" t="str">
        <v>HLO budget subtotal</v>
      </c>
      <c r="H45" s="9">
        <v>13500</v>
      </c>
      <c r="J45" s="9" t="str">
        <v/>
      </c>
    </row>
  </sheetData>
  <mergeCells count="25">
    <mergeCell ref="A1:A2"/>
    <mergeCell ref="B1:B2"/>
    <mergeCell ref="C1:C2"/>
    <mergeCell ref="D1:H1"/>
    <mergeCell ref="I1:I2"/>
    <mergeCell ref="J1:J2"/>
    <mergeCell ref="C3:C7"/>
    <mergeCell ref="C8:C11"/>
    <mergeCell ref="C12:G12"/>
    <mergeCell ref="A3:A12"/>
    <mergeCell ref="C13:C18"/>
    <mergeCell ref="C20:C23"/>
    <mergeCell ref="C25:G25"/>
    <mergeCell ref="A13:A25"/>
    <mergeCell ref="C26:C27"/>
    <mergeCell ref="C28:C33"/>
    <mergeCell ref="C34:C35"/>
    <mergeCell ref="C36:G36"/>
    <mergeCell ref="A26:A36"/>
    <mergeCell ref="C37:C40"/>
    <mergeCell ref="C41:C42"/>
    <mergeCell ref="C43:G43"/>
    <mergeCell ref="A37:A43"/>
    <mergeCell ref="C45:G45"/>
    <mergeCell ref="A44:A45"/>
  </mergeCells>
  <ignoredErrors>
    <ignoredError numberStoredAsText="1" sqref="A1:J45"/>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Productivity+</v>
      </c>
      <c r="B2" s="4" t="str">
        <v>National Institute of Animal Sciences</v>
      </c>
      <c r="C2" s="4" t="str">
        <v>CIAT (Alliance)</v>
      </c>
      <c r="D2" s="4" t="str">
        <v>The Socialist Republic of Viet Nam</v>
      </c>
      <c r="E2" s="5">
        <v>17500</v>
      </c>
      <c r="F2" s="4" t="str">
        <v>To support field work</v>
      </c>
      <c r="G2" s="4">
        <v>450</v>
      </c>
    </row>
    <row r="3" ht="25" customHeight="1">
      <c r="B3" s="9" t="str">
        <v>Contracted partners subtotal</v>
      </c>
      <c r="E3" s="9">
        <v>17500</v>
      </c>
      <c r="F3" s="9" t="str">
        <v/>
      </c>
      <c r="G3" s="9" t="str">
        <v/>
      </c>
    </row>
    <row r="4" ht="50" customHeight="1">
      <c r="A4" s="8" t="str">
        <v>AOW02: Climate and the Environment</v>
      </c>
      <c r="B4" s="4" t="str">
        <v>Unknown Partner 1</v>
      </c>
      <c r="C4" s="4" t="str">
        <v>CIAT (Alliance)</v>
      </c>
      <c r="D4" s="4" t="str">
        <v>The Socialist Republic of Viet Nam</v>
      </c>
      <c r="E4" s="5">
        <v>2500</v>
      </c>
      <c r="F4" s="4" t="str">
        <v>Support field work</v>
      </c>
      <c r="G4" s="4">
        <v>449</v>
      </c>
    </row>
    <row r="5" ht="25" customHeight="1">
      <c r="B5" s="9" t="str">
        <v>Contracted partners subtotal</v>
      </c>
      <c r="E5" s="9">
        <v>2500</v>
      </c>
      <c r="F5" s="9" t="str">
        <v/>
      </c>
      <c r="G5" s="9" t="str">
        <v/>
      </c>
    </row>
    <row r="6" ht="50" customHeight="1">
      <c r="A6" s="8" t="str">
        <v>AOW05: Gender, Youth and Social Inclusion</v>
      </c>
      <c r="B6" s="4" t="str">
        <v>National Institute of Animal Sciences</v>
      </c>
      <c r="C6" s="4" t="str">
        <v>CIAT (Alliance)</v>
      </c>
      <c r="D6" s="4" t="str">
        <v>The Socialist Republic of Viet Nam</v>
      </c>
      <c r="E6" s="5">
        <v>15000</v>
      </c>
      <c r="F6" s="4" t="str">
        <v>To support field work</v>
      </c>
      <c r="G6" s="4">
        <v>448</v>
      </c>
    </row>
    <row r="7" ht="25" customHeight="1">
      <c r="B7" s="9" t="str">
        <v>Contracted partners subtotal</v>
      </c>
      <c r="E7" s="9">
        <v>15000</v>
      </c>
      <c r="F7" s="9" t="str">
        <v/>
      </c>
      <c r="G7" s="9" t="str">
        <v/>
      </c>
    </row>
  </sheetData>
  <mergeCells count="6">
    <mergeCell ref="B3:D3"/>
    <mergeCell ref="A2:A3"/>
    <mergeCell ref="B5:D5"/>
    <mergeCell ref="A4: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(BEF)-Screening, developing, and deploying anti-methanogenic feedstock into livestock systems in the Global South</v>
      </c>
      <c r="C2" s="4" t="str">
        <v>PO3 - People within animal and aquatic food systems adopt innovations for increased social, economic and environmental resilience</v>
      </c>
      <c r="D2" s="5">
        <v>0</v>
      </c>
      <c r="E2" s="4" t="str">
        <v/>
      </c>
      <c r="F2" s="4">
        <v>1004</v>
      </c>
    </row>
    <row r="3" ht="25" customHeight="1">
      <c r="B3" s="9" t="str">
        <v>W3/Bilateral budget subtotal</v>
      </c>
      <c r="D3" s="9">
        <v>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CIAT (Alliance)</v>
      </c>
      <c r="C2" s="4" t="str">
        <v>Methodology for improved assessment of innovation users, and application to one SAAF feed innovation</v>
      </c>
      <c r="D2" s="4" t="str">
        <v>PO1 - Animal and aquatic food producers, including women, youth and marginalized groups adopting combinations of innovations</v>
      </c>
      <c r="E2" s="4" t="str">
        <v>N/A</v>
      </c>
      <c r="F2" s="5">
        <v>0</v>
      </c>
      <c r="G2" s="4" t="str">
        <v/>
      </c>
      <c r="H2" s="4">
        <v>459</v>
      </c>
    </row>
    <row r="3" ht="25" customHeight="1">
      <c r="C3" s="9" t="str">
        <v>MELIA budget subtotal</v>
      </c>
      <c r="F3" s="9">
        <v>0</v>
      </c>
      <c r="G3" s="9" t="str">
        <v/>
      </c>
      <c r="H3" s="9" t="str">
        <v/>
      </c>
    </row>
    <row r="4" ht="60" customHeight="1">
      <c r="A4" s="8" t="str">
        <v>AOW04: Market Systems, Policy Solutions and Scaling</v>
      </c>
      <c r="B4" s="4" t="str">
        <v>CIAT (Alliance)</v>
      </c>
      <c r="C4" s="4" t="str">
        <v>Urochloa hybrid adoption study in Latin America</v>
      </c>
      <c r="D4" s="4" t="str">
        <v>I-OC4.4 - Scaling partners increase capacity on scaling pathways for contextualized animal and aquatic food systems innovation packages</v>
      </c>
      <c r="E4" s="4" t="str">
        <v>N/A</v>
      </c>
      <c r="F4" s="5">
        <v>0</v>
      </c>
      <c r="G4" s="4" t="str">
        <v/>
      </c>
      <c r="H4" s="4">
        <v>313</v>
      </c>
    </row>
    <row r="5" ht="25" customHeight="1">
      <c r="C5" s="9" t="str">
        <v>MELIA budget subtotal</v>
      </c>
      <c r="F5" s="9">
        <v>0</v>
      </c>
      <c r="G5" s="9" t="str">
        <v/>
      </c>
      <c r="H5" s="9" t="str">
        <v/>
      </c>
    </row>
  </sheetData>
  <mergeCells count="4">
    <mergeCell ref="C3:E3"/>
    <mergeCell ref="A2:A3"/>
    <mergeCell ref="C5:E5"/>
    <mergeCell ref="A4: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Area of Work Leads</v>
      </c>
      <c r="D2" s="5">
        <v>60436</v>
      </c>
      <c r="E2" s="4" t="str">
        <v>AoW 2 - Climate and the Environment Lead LoE 25%</v>
      </c>
      <c r="F2" s="4">
        <v>16</v>
      </c>
      <c r="G2" s="4">
        <v>3</v>
      </c>
    </row>
    <row r="3" ht="45" customHeight="1">
      <c r="A3" s="4" t="str">
        <v>AOW00: Cross Cutting</v>
      </c>
      <c r="B3" s="4" t="str">
        <v>CIAT (Alliance)</v>
      </c>
      <c r="C3" s="4" t="str">
        <v>Communication/Knowledge management</v>
      </c>
      <c r="D3" s="5">
        <v>15700</v>
      </c>
      <c r="E3" s="4" t="str">
        <v>Allocation of Communication Staff Time</v>
      </c>
      <c r="F3" s="4">
        <v>17</v>
      </c>
      <c r="G3" s="4">
        <v>5</v>
      </c>
    </row>
    <row r="4" ht="45" customHeight="1">
      <c r="A4" s="4" t="str">
        <v>AOW00: Cross Cutting</v>
      </c>
      <c r="B4" s="4" t="str">
        <v>CIAT (Alliance)</v>
      </c>
      <c r="C4" s="4" t="str">
        <v>Operations</v>
      </c>
      <c r="D4" s="5">
        <v>4625</v>
      </c>
      <c r="E4" s="4" t="str">
        <v>Pulse and Reflect Workshop 17-19 Mar 2026 at Penang. CIAT Center Delegate Airfare and related.</v>
      </c>
      <c r="F4" s="4">
        <v>18</v>
      </c>
      <c r="G4" s="4">
        <v>4</v>
      </c>
    </row>
    <row r="5" ht="45" customHeight="1" xml:space="preserve">
      <c r="A5" s="4" t="str">
        <v>AOW00: Cross Cutting</v>
      </c>
      <c r="B5" s="4" t="str">
        <v>CIAT (Alliance)</v>
      </c>
      <c r="C5" s="4" t="str">
        <v>MELIA</v>
      </c>
      <c r="D5" s="5">
        <v>20000</v>
      </c>
      <c r="E5" s="4" t="str" xml:space="preserve">
        <v xml:space="preserve">MELIA staff time $15,000
MELIA Operation $5000</v>
      </c>
      <c r="F5" s="4">
        <v>58</v>
      </c>
      <c r="G5" s="4">
        <v>6</v>
      </c>
    </row>
    <row r="6" ht="25" customHeight="1">
      <c r="C6" s="9" t="str">
        <v>Cross-cutting budget subtotal</v>
      </c>
      <c r="D6" s="9">
        <v>100761</v>
      </c>
      <c r="E6" s="9" t="str">
        <v/>
      </c>
      <c r="F6" s="9" t="str">
        <v/>
      </c>
      <c r="G6" s="9" t="str">
        <v/>
      </c>
    </row>
  </sheetData>
  <mergeCells count="1">
    <mergeCell ref="A2:A6"/>
  </mergeCells>
  <ignoredErrors>
    <ignoredError numberStoredAsText="1" sqref="A1:G6"/>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91136</v>
      </c>
      <c r="C2" s="5">
        <v>340000</v>
      </c>
      <c r="D2" s="5">
        <v>252998</v>
      </c>
      <c r="E2" s="5">
        <v>0</v>
      </c>
      <c r="F2" s="5">
        <v>262334</v>
      </c>
      <c r="G2" s="5">
        <v>140000</v>
      </c>
      <c r="H2" s="5">
        <v>3500</v>
      </c>
      <c r="I2" s="5">
        <f>=SUM(B2:H2)</f>
        <v>0</v>
      </c>
    </row>
    <row r="3" ht="20" customHeight="1">
      <c r="A3" s="4" t="str">
        <v>Operations (supplies, consultants, travels, workshops, other)</v>
      </c>
      <c r="B3" s="5">
        <v>9625</v>
      </c>
      <c r="C3" s="5">
        <v>233922</v>
      </c>
      <c r="D3" s="5">
        <v>200375</v>
      </c>
      <c r="E3" s="5">
        <v>0</v>
      </c>
      <c r="F3" s="5">
        <v>108933</v>
      </c>
      <c r="G3" s="5">
        <v>54134</v>
      </c>
      <c r="H3" s="5">
        <v>10000</v>
      </c>
      <c r="I3" s="5">
        <f>=SUM(B3:H3)</f>
        <v>0</v>
      </c>
    </row>
    <row r="4" ht="20" customHeight="1">
      <c r="A4" s="4" t="str">
        <v>Collaborators non-CGIAR centers</v>
      </c>
      <c r="B4" s="5">
        <v>0</v>
      </c>
      <c r="C4" s="5">
        <v>17500</v>
      </c>
      <c r="D4" s="5">
        <v>2500</v>
      </c>
      <c r="E4" s="5">
        <v>0</v>
      </c>
      <c r="F4" s="5">
        <v>0</v>
      </c>
      <c r="G4" s="5">
        <v>15000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2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40</v>
      </c>
      <c r="E2" s="4">
        <v>18</v>
      </c>
    </row>
    <row r="3" ht="45" customHeight="1">
      <c r="A3" s="4" t="str">
        <v>AOW00: Cross Cutting</v>
      </c>
      <c r="B3" s="4" t="str">
        <v>CIAT (Alliance)</v>
      </c>
      <c r="C3" s="4" t="str">
        <v>Kenya</v>
      </c>
      <c r="D3" s="5">
        <v>25</v>
      </c>
      <c r="E3" s="4">
        <v>1062</v>
      </c>
    </row>
    <row r="4" ht="45" customHeight="1">
      <c r="A4" s="4" t="str">
        <v>AOW00: Cross Cutting</v>
      </c>
      <c r="B4" s="4" t="str">
        <v>CIAT (Alliance)</v>
      </c>
      <c r="C4" s="4" t="str">
        <v>Mali</v>
      </c>
      <c r="D4" s="5">
        <v>10</v>
      </c>
      <c r="E4" s="4">
        <v>1064</v>
      </c>
    </row>
    <row r="5" ht="45" customHeight="1">
      <c r="A5" s="4" t="str">
        <v>AOW00: Cross Cutting</v>
      </c>
      <c r="B5" s="4" t="str">
        <v>CIAT (Alliance)</v>
      </c>
      <c r="C5" s="4" t="str">
        <v>The Socialist Republic of Viet Nam</v>
      </c>
      <c r="D5" s="5">
        <v>25</v>
      </c>
      <c r="E5" s="4">
        <v>1063</v>
      </c>
    </row>
    <row r="6" ht="45" customHeight="1">
      <c r="A6" s="8" t="str">
        <v>AOW01: Productivity+</v>
      </c>
      <c r="B6" s="4" t="str">
        <v>CIAT (Alliance)</v>
      </c>
      <c r="C6" s="4" t="str">
        <v>Colombia</v>
      </c>
      <c r="D6" s="5">
        <v>40</v>
      </c>
      <c r="E6" s="4">
        <v>1068</v>
      </c>
    </row>
    <row r="7" ht="45" customHeight="1">
      <c r="A7" s="4" t="str">
        <v>AOW01: Productivity+</v>
      </c>
      <c r="B7" s="4" t="str">
        <v>CIAT (Alliance)</v>
      </c>
      <c r="C7" s="4" t="str">
        <v>Kenya</v>
      </c>
      <c r="D7" s="5">
        <v>25</v>
      </c>
      <c r="E7" s="4">
        <v>1069</v>
      </c>
    </row>
    <row r="8" ht="45" customHeight="1">
      <c r="A8" s="4" t="str">
        <v>AOW01: Productivity+</v>
      </c>
      <c r="B8" s="4" t="str">
        <v>CIAT (Alliance)</v>
      </c>
      <c r="C8" s="4" t="str">
        <v>Mali</v>
      </c>
      <c r="D8" s="5">
        <v>10</v>
      </c>
      <c r="E8" s="4">
        <v>1071</v>
      </c>
    </row>
    <row r="9" ht="45" customHeight="1">
      <c r="A9" s="4" t="str">
        <v>AOW01: Productivity+</v>
      </c>
      <c r="B9" s="4" t="str">
        <v>CIAT (Alliance)</v>
      </c>
      <c r="C9" s="4" t="str">
        <v>The Socialist Republic of Viet Nam</v>
      </c>
      <c r="D9" s="5">
        <v>25</v>
      </c>
      <c r="E9" s="4">
        <v>1070</v>
      </c>
    </row>
    <row r="10" ht="45" customHeight="1">
      <c r="A10" s="8" t="str">
        <v>AOW02: Climate and the Environment</v>
      </c>
      <c r="B10" s="4" t="str">
        <v>CIAT (Alliance)</v>
      </c>
      <c r="C10" s="4" t="str">
        <v>Colombia</v>
      </c>
      <c r="D10" s="5">
        <v>50</v>
      </c>
      <c r="E10" s="4">
        <v>1075</v>
      </c>
    </row>
    <row r="11" ht="45" customHeight="1">
      <c r="A11" s="4" t="str">
        <v>AOW02: Climate and the Environment</v>
      </c>
      <c r="B11" s="4" t="str">
        <v>CIAT (Alliance)</v>
      </c>
      <c r="C11" s="4" t="str">
        <v>Ethiopia</v>
      </c>
      <c r="D11" s="5">
        <v>0</v>
      </c>
      <c r="E11" s="4">
        <v>1076</v>
      </c>
    </row>
    <row r="12" ht="45" customHeight="1">
      <c r="A12" s="4" t="str">
        <v>AOW02: Climate and the Environment</v>
      </c>
      <c r="B12" s="4" t="str">
        <v>CIAT (Alliance)</v>
      </c>
      <c r="C12" s="4" t="str">
        <v>Kenya</v>
      </c>
      <c r="D12" s="5">
        <v>25</v>
      </c>
      <c r="E12" s="4">
        <v>1077</v>
      </c>
    </row>
    <row r="13" ht="45" customHeight="1">
      <c r="A13" s="4" t="str">
        <v>AOW02: Climate and the Environment</v>
      </c>
      <c r="B13" s="4" t="str">
        <v>CIAT (Alliance)</v>
      </c>
      <c r="C13" s="4" t="str">
        <v>Nigeria</v>
      </c>
      <c r="D13" s="5">
        <v>0</v>
      </c>
      <c r="E13" s="4">
        <v>1078</v>
      </c>
    </row>
    <row r="14" ht="45" customHeight="1">
      <c r="A14" s="4" t="str">
        <v>AOW02: Climate and the Environment</v>
      </c>
      <c r="B14" s="4" t="str">
        <v>CIAT (Alliance)</v>
      </c>
      <c r="C14" s="4" t="str">
        <v>The Socialist Republic of Viet Nam</v>
      </c>
      <c r="D14" s="5">
        <v>25</v>
      </c>
      <c r="E14" s="4">
        <v>1079</v>
      </c>
    </row>
    <row r="15" ht="45" customHeight="1">
      <c r="A15" s="8" t="str">
        <v>AOW04: Market Systems, Policy Solutions and Scaling</v>
      </c>
      <c r="B15" s="4" t="str">
        <v>CIAT (Alliance)</v>
      </c>
      <c r="C15" s="4" t="str">
        <v>Colombia</v>
      </c>
      <c r="D15" s="5">
        <v>60</v>
      </c>
      <c r="E15" s="4">
        <v>1080</v>
      </c>
    </row>
    <row r="16" ht="45" customHeight="1">
      <c r="A16" s="4" t="str">
        <v>AOW04: Market Systems, Policy Solutions and Scaling</v>
      </c>
      <c r="B16" s="4" t="str">
        <v>CIAT (Alliance)</v>
      </c>
      <c r="C16" s="4" t="str">
        <v>Italy</v>
      </c>
      <c r="D16" s="5">
        <v>0</v>
      </c>
      <c r="E16" s="4">
        <v>1081</v>
      </c>
    </row>
    <row r="17" ht="45" customHeight="1">
      <c r="A17" s="4" t="str">
        <v>AOW04: Market Systems, Policy Solutions and Scaling</v>
      </c>
      <c r="B17" s="4" t="str">
        <v>CIAT (Alliance)</v>
      </c>
      <c r="C17" s="4" t="str">
        <v>Kenya</v>
      </c>
      <c r="D17" s="5">
        <v>20</v>
      </c>
      <c r="E17" s="4">
        <v>1082</v>
      </c>
    </row>
    <row r="18" ht="45" customHeight="1">
      <c r="A18" s="4" t="str">
        <v>AOW04: Market Systems, Policy Solutions and Scaling</v>
      </c>
      <c r="B18" s="4" t="str">
        <v>CIAT (Alliance)</v>
      </c>
      <c r="C18" s="4" t="str">
        <v>The Socialist Republic of Viet Nam</v>
      </c>
      <c r="D18" s="5">
        <v>20</v>
      </c>
      <c r="E18" s="4">
        <v>1083</v>
      </c>
    </row>
    <row r="19" ht="45" customHeight="1">
      <c r="A19" s="8" t="str">
        <v>AOW05: Gender, Youth and Social Inclusion</v>
      </c>
      <c r="B19" s="4" t="str">
        <v>CIAT (Alliance)</v>
      </c>
      <c r="C19" s="4" t="str">
        <v>Colombia</v>
      </c>
      <c r="D19" s="5">
        <v>65</v>
      </c>
      <c r="E19" s="4">
        <v>1084</v>
      </c>
    </row>
    <row r="20" ht="45" customHeight="1">
      <c r="A20" s="4" t="str">
        <v>AOW05: Gender, Youth and Social Inclusion</v>
      </c>
      <c r="B20" s="4" t="str">
        <v>CIAT (Alliance)</v>
      </c>
      <c r="C20" s="4" t="str">
        <v>The Socialist Republic of Viet Nam</v>
      </c>
      <c r="D20" s="5">
        <v>35</v>
      </c>
      <c r="E20" s="4">
        <v>1085</v>
      </c>
    </row>
    <row r="21" ht="45" customHeight="1">
      <c r="A21" s="8" t="str">
        <v>AOW06: Data and Digital Solutions</v>
      </c>
      <c r="B21" s="4" t="str">
        <v>CIAT (Alliance)</v>
      </c>
      <c r="C21" s="4" t="str">
        <v>Ghana</v>
      </c>
      <c r="D21" s="5">
        <v>50</v>
      </c>
      <c r="E21" s="4">
        <v>1086</v>
      </c>
    </row>
    <row r="22" ht="45" customHeight="1">
      <c r="A22" s="4" t="str">
        <v>AOW06: Data and Digital Solutions</v>
      </c>
      <c r="B22" s="4" t="str">
        <v>CIAT (Alliance)</v>
      </c>
      <c r="C22" s="4" t="str">
        <v>Kenya</v>
      </c>
      <c r="D22" s="5">
        <v>50</v>
      </c>
      <c r="E22" s="4">
        <v>1087</v>
      </c>
    </row>
  </sheetData>
  <mergeCells count="6">
    <mergeCell ref="A2:A5"/>
    <mergeCell ref="A6:A9"/>
    <mergeCell ref="A10:A14"/>
    <mergeCell ref="A15:A18"/>
    <mergeCell ref="A19:A20"/>
    <mergeCell ref="A21:A22"/>
  </mergeCells>
  <ignoredErrors>
    <ignoredError numberStoredAsText="1" sqref="A1:E22"/>
  </ignoredErrors>
</worksheet>
</file>

<file path=xl/worksheets/sheet9.xml><?xml version="1.0" encoding="utf-8"?>
<worksheet xmlns="http://schemas.openxmlformats.org/spreadsheetml/2006/main" xmlns:r="http://schemas.openxmlformats.org/officeDocument/2006/relationships">
  <dimension ref="A1:F3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Colombia</v>
      </c>
      <c r="D2" s="4" t="str">
        <v>country</v>
      </c>
      <c r="E2" s="5">
        <v>30</v>
      </c>
      <c r="F2" s="4">
        <v>325</v>
      </c>
    </row>
    <row r="3" ht="45" customHeight="1">
      <c r="A3" s="4" t="str">
        <v>AOW00: Cross Cutting</v>
      </c>
      <c r="B3" s="4" t="str">
        <v>CIAT (Alliance)</v>
      </c>
      <c r="C3" s="4" t="str">
        <v>Ethiopia</v>
      </c>
      <c r="D3" s="4" t="str">
        <v>country</v>
      </c>
      <c r="E3" s="5">
        <v>5</v>
      </c>
      <c r="F3" s="4">
        <v>326</v>
      </c>
    </row>
    <row r="4" ht="45" customHeight="1">
      <c r="A4" s="4" t="str">
        <v>AOW00: Cross Cutting</v>
      </c>
      <c r="B4" s="4" t="str">
        <v>CIAT (Alliance)</v>
      </c>
      <c r="C4" s="4" t="str">
        <v>Ghana</v>
      </c>
      <c r="D4" s="4" t="str">
        <v>country</v>
      </c>
      <c r="E4" s="5">
        <v>5</v>
      </c>
      <c r="F4" s="4">
        <v>327</v>
      </c>
    </row>
    <row r="5" ht="45" customHeight="1">
      <c r="A5" s="4" t="str">
        <v>AOW00: Cross Cutting</v>
      </c>
      <c r="B5" s="4" t="str">
        <v>CIAT (Alliance)</v>
      </c>
      <c r="C5" s="4" t="str">
        <v>India</v>
      </c>
      <c r="D5" s="4" t="str">
        <v>country</v>
      </c>
      <c r="E5" s="5">
        <v>0</v>
      </c>
      <c r="F5" s="4">
        <v>328</v>
      </c>
    </row>
    <row r="6" ht="45" customHeight="1">
      <c r="A6" s="4" t="str">
        <v>AOW00: Cross Cutting</v>
      </c>
      <c r="B6" s="4" t="str">
        <v>CIAT (Alliance)</v>
      </c>
      <c r="C6" s="4" t="str">
        <v>Kenya</v>
      </c>
      <c r="D6" s="4" t="str">
        <v>country</v>
      </c>
      <c r="E6" s="5">
        <v>20</v>
      </c>
      <c r="F6" s="4">
        <v>329</v>
      </c>
    </row>
    <row r="7" ht="45" customHeight="1">
      <c r="A7" s="4" t="str">
        <v>AOW00: Cross Cutting</v>
      </c>
      <c r="B7" s="4" t="str">
        <v>CIAT (Alliance)</v>
      </c>
      <c r="C7" s="4" t="str">
        <v>Mali</v>
      </c>
      <c r="D7" s="4" t="str">
        <v>country</v>
      </c>
      <c r="E7" s="5">
        <v>10</v>
      </c>
      <c r="F7" s="4">
        <v>330</v>
      </c>
    </row>
    <row r="8" ht="45" customHeight="1">
      <c r="A8" s="4" t="str">
        <v>AOW00: Cross Cutting</v>
      </c>
      <c r="B8" s="4" t="str">
        <v>CIAT (Alliance)</v>
      </c>
      <c r="C8" s="4" t="str">
        <v>Tanzania</v>
      </c>
      <c r="D8" s="4" t="str">
        <v>country</v>
      </c>
      <c r="E8" s="5">
        <v>5</v>
      </c>
      <c r="F8" s="4">
        <v>333</v>
      </c>
    </row>
    <row r="9" ht="45" customHeight="1">
      <c r="A9" s="4" t="str">
        <v>AOW00: Cross Cutting</v>
      </c>
      <c r="B9" s="4" t="str">
        <v>CIAT (Alliance)</v>
      </c>
      <c r="C9" s="4" t="str">
        <v>The Socialist Republic of Viet Nam</v>
      </c>
      <c r="D9" s="4" t="str">
        <v>country</v>
      </c>
      <c r="E9" s="5">
        <v>20</v>
      </c>
      <c r="F9" s="4">
        <v>331</v>
      </c>
    </row>
    <row r="10" ht="45" customHeight="1">
      <c r="A10" s="4" t="str">
        <v>AOW00: Cross Cutting</v>
      </c>
      <c r="B10" s="4" t="str">
        <v>CIAT (Alliance)</v>
      </c>
      <c r="C10" s="4" t="str">
        <v>Uganda</v>
      </c>
      <c r="D10" s="4" t="str">
        <v>country</v>
      </c>
      <c r="E10" s="5">
        <v>5</v>
      </c>
      <c r="F10" s="4">
        <v>332</v>
      </c>
    </row>
    <row r="11" ht="45" customHeight="1">
      <c r="A11" s="8" t="str">
        <v>AOW01: Productivity+</v>
      </c>
      <c r="B11" s="4" t="str">
        <v>CIAT (Alliance)</v>
      </c>
      <c r="C11" s="4" t="str">
        <v>Global</v>
      </c>
      <c r="D11" s="4" t="str">
        <v>global</v>
      </c>
      <c r="E11" s="5">
        <v>30</v>
      </c>
      <c r="F11" s="4">
        <v>336</v>
      </c>
    </row>
    <row r="12" ht="45" customHeight="1">
      <c r="A12" s="4" t="str">
        <v>AOW01: Productivity+</v>
      </c>
      <c r="B12" s="4" t="str">
        <v>CIAT (Alliance)</v>
      </c>
      <c r="C12" s="4" t="str">
        <v>Bangladesh</v>
      </c>
      <c r="D12" s="4" t="str">
        <v>country</v>
      </c>
      <c r="E12" s="5">
        <v>0</v>
      </c>
      <c r="F12" s="4">
        <v>337</v>
      </c>
    </row>
    <row r="13" ht="45" customHeight="1">
      <c r="A13" s="4" t="str">
        <v>AOW01: Productivity+</v>
      </c>
      <c r="B13" s="4" t="str">
        <v>CIAT (Alliance)</v>
      </c>
      <c r="C13" s="4" t="str">
        <v>Colombia</v>
      </c>
      <c r="D13" s="4" t="str">
        <v>country</v>
      </c>
      <c r="E13" s="5">
        <v>20</v>
      </c>
      <c r="F13" s="4">
        <v>338</v>
      </c>
    </row>
    <row r="14" ht="45" customHeight="1">
      <c r="A14" s="4" t="str">
        <v>AOW01: Productivity+</v>
      </c>
      <c r="B14" s="4" t="str">
        <v>CIAT (Alliance)</v>
      </c>
      <c r="C14" s="4" t="str">
        <v>Ethiopia</v>
      </c>
      <c r="D14" s="4" t="str">
        <v>country</v>
      </c>
      <c r="E14" s="5">
        <v>5</v>
      </c>
      <c r="F14" s="4">
        <v>339</v>
      </c>
    </row>
    <row r="15" ht="45" customHeight="1">
      <c r="A15" s="4" t="str">
        <v>AOW01: Productivity+</v>
      </c>
      <c r="B15" s="4" t="str">
        <v>CIAT (Alliance)</v>
      </c>
      <c r="C15" s="4" t="str">
        <v>Kenya</v>
      </c>
      <c r="D15" s="4" t="str">
        <v>country</v>
      </c>
      <c r="E15" s="5">
        <v>15</v>
      </c>
      <c r="F15" s="4">
        <v>340</v>
      </c>
    </row>
    <row r="16" ht="45" customHeight="1">
      <c r="A16" s="4" t="str">
        <v>AOW01: Productivity+</v>
      </c>
      <c r="B16" s="4" t="str">
        <v>CIAT (Alliance)</v>
      </c>
      <c r="C16" s="4" t="str">
        <v>Mali</v>
      </c>
      <c r="D16" s="4" t="str">
        <v>country</v>
      </c>
      <c r="E16" s="5">
        <v>5</v>
      </c>
      <c r="F16" s="4">
        <v>341</v>
      </c>
    </row>
    <row r="17" ht="45" customHeight="1">
      <c r="A17" s="4" t="str">
        <v>AOW01: Productivity+</v>
      </c>
      <c r="B17" s="4" t="str">
        <v>CIAT (Alliance)</v>
      </c>
      <c r="C17" s="4" t="str">
        <v>Nepal</v>
      </c>
      <c r="D17" s="4" t="str">
        <v>country</v>
      </c>
      <c r="E17" s="5">
        <v>0</v>
      </c>
      <c r="F17" s="4">
        <v>342</v>
      </c>
    </row>
    <row r="18" ht="45" customHeight="1">
      <c r="A18" s="4" t="str">
        <v>AOW01: Productivity+</v>
      </c>
      <c r="B18" s="4" t="str">
        <v>CIAT (Alliance)</v>
      </c>
      <c r="C18" s="4" t="str">
        <v>Tanzania</v>
      </c>
      <c r="D18" s="4" t="str">
        <v>country</v>
      </c>
      <c r="E18" s="5">
        <v>5</v>
      </c>
      <c r="F18" s="4">
        <v>343</v>
      </c>
    </row>
    <row r="19" ht="45" customHeight="1">
      <c r="A19" s="4" t="str">
        <v>AOW01: Productivity+</v>
      </c>
      <c r="B19" s="4" t="str">
        <v>CIAT (Alliance)</v>
      </c>
      <c r="C19" s="4" t="str">
        <v>The Socialist Republic of Viet Nam</v>
      </c>
      <c r="D19" s="4" t="str">
        <v>country</v>
      </c>
      <c r="E19" s="5">
        <v>15</v>
      </c>
      <c r="F19" s="4">
        <v>344</v>
      </c>
    </row>
    <row r="20" ht="45" customHeight="1">
      <c r="A20" s="4" t="str">
        <v>AOW01: Productivity+</v>
      </c>
      <c r="B20" s="4" t="str">
        <v>CIAT (Alliance)</v>
      </c>
      <c r="C20" s="4" t="str">
        <v>Uganda</v>
      </c>
      <c r="D20" s="4" t="str">
        <v>country</v>
      </c>
      <c r="E20" s="5">
        <v>5</v>
      </c>
      <c r="F20" s="4">
        <v>345</v>
      </c>
    </row>
    <row r="21" ht="45" customHeight="1">
      <c r="A21" s="4" t="str">
        <v>AOW01: Productivity+</v>
      </c>
      <c r="B21" s="4" t="str">
        <v>CIAT (Alliance)</v>
      </c>
      <c r="C21" s="4" t="str">
        <v>United Republic</v>
      </c>
      <c r="D21" s="4" t="str">
        <v>country</v>
      </c>
      <c r="E21" s="5">
        <v>0</v>
      </c>
      <c r="F21" s="4">
        <v>346</v>
      </c>
    </row>
    <row r="22" ht="45" customHeight="1">
      <c r="A22" s="8" t="str">
        <v>AOW02: Climate and the Environment</v>
      </c>
      <c r="B22" s="4" t="str">
        <v>CIAT (Alliance)</v>
      </c>
      <c r="C22" s="4" t="str">
        <v>Colombia</v>
      </c>
      <c r="D22" s="4" t="str">
        <v>country</v>
      </c>
      <c r="E22" s="5">
        <v>40</v>
      </c>
      <c r="F22" s="4">
        <v>347</v>
      </c>
    </row>
    <row r="23" ht="45" customHeight="1">
      <c r="A23" s="4" t="str">
        <v>AOW02: Climate and the Environment</v>
      </c>
      <c r="B23" s="4" t="str">
        <v>CIAT (Alliance)</v>
      </c>
      <c r="C23" s="4" t="str">
        <v>Ghana</v>
      </c>
      <c r="D23" s="4" t="str">
        <v>country</v>
      </c>
      <c r="E23" s="5">
        <v>5</v>
      </c>
      <c r="F23" s="4">
        <v>348</v>
      </c>
    </row>
    <row r="24" ht="45" customHeight="1">
      <c r="A24" s="4" t="str">
        <v>AOW02: Climate and the Environment</v>
      </c>
      <c r="B24" s="4" t="str">
        <v>CIAT (Alliance)</v>
      </c>
      <c r="C24" s="4" t="str">
        <v>India</v>
      </c>
      <c r="D24" s="4" t="str">
        <v>country</v>
      </c>
      <c r="E24" s="5">
        <v>0</v>
      </c>
      <c r="F24" s="4">
        <v>349</v>
      </c>
    </row>
    <row r="25" ht="45" customHeight="1">
      <c r="A25" s="4" t="str">
        <v>AOW02: Climate and the Environment</v>
      </c>
      <c r="B25" s="4" t="str">
        <v>CIAT (Alliance)</v>
      </c>
      <c r="C25" s="4" t="str">
        <v>Kenya</v>
      </c>
      <c r="D25" s="4" t="str">
        <v>country</v>
      </c>
      <c r="E25" s="5">
        <v>25</v>
      </c>
      <c r="F25" s="4">
        <v>350</v>
      </c>
    </row>
    <row r="26" ht="45" customHeight="1">
      <c r="A26" s="4" t="str">
        <v>AOW02: Climate and the Environment</v>
      </c>
      <c r="B26" s="4" t="str">
        <v>CIAT (Alliance)</v>
      </c>
      <c r="C26" s="4" t="str">
        <v>The Socialist Republic of Viet Nam</v>
      </c>
      <c r="D26" s="4" t="str">
        <v>country</v>
      </c>
      <c r="E26" s="5">
        <v>25</v>
      </c>
      <c r="F26" s="4">
        <v>351</v>
      </c>
    </row>
    <row r="27" ht="45" customHeight="1">
      <c r="A27" s="4" t="str">
        <v>AOW02: Climate and the Environment</v>
      </c>
      <c r="B27" s="4" t="str">
        <v>CIAT (Alliance)</v>
      </c>
      <c r="C27" s="4" t="str">
        <v>Uganda</v>
      </c>
      <c r="D27" s="4" t="str">
        <v>country</v>
      </c>
      <c r="E27" s="5">
        <v>5</v>
      </c>
      <c r="F27" s="4">
        <v>352</v>
      </c>
    </row>
    <row r="28" ht="45" customHeight="1">
      <c r="A28" s="8" t="str">
        <v>AOW04: Market Systems, Policy Solutions and Scaling</v>
      </c>
      <c r="B28" s="4" t="str">
        <v>CIAT (Alliance)</v>
      </c>
      <c r="C28" s="4" t="str">
        <v>Global</v>
      </c>
      <c r="D28" s="4" t="str">
        <v>global</v>
      </c>
      <c r="E28" s="5">
        <v>30</v>
      </c>
      <c r="F28" s="4">
        <v>353</v>
      </c>
    </row>
    <row r="29" ht="45" customHeight="1">
      <c r="A29" s="4" t="str">
        <v>AOW04: Market Systems, Policy Solutions and Scaling</v>
      </c>
      <c r="B29" s="4" t="str">
        <v>CIAT (Alliance)</v>
      </c>
      <c r="C29" s="4" t="str">
        <v>Colombia</v>
      </c>
      <c r="D29" s="4" t="str">
        <v>country</v>
      </c>
      <c r="E29" s="5">
        <v>40</v>
      </c>
      <c r="F29" s="4">
        <v>354</v>
      </c>
    </row>
    <row r="30" ht="45" customHeight="1">
      <c r="A30" s="4" t="str">
        <v>AOW04: Market Systems, Policy Solutions and Scaling</v>
      </c>
      <c r="B30" s="4" t="str">
        <v>CIAT (Alliance)</v>
      </c>
      <c r="C30" s="4" t="str">
        <v>Kenya</v>
      </c>
      <c r="D30" s="4" t="str">
        <v>country</v>
      </c>
      <c r="E30" s="5">
        <v>15</v>
      </c>
      <c r="F30" s="4">
        <v>356</v>
      </c>
    </row>
    <row r="31" ht="45" customHeight="1">
      <c r="A31" s="4" t="str">
        <v>AOW04: Market Systems, Policy Solutions and Scaling</v>
      </c>
      <c r="B31" s="4" t="str">
        <v>CIAT (Alliance)</v>
      </c>
      <c r="C31" s="4" t="str">
        <v>The Socialist Republic of Viet Nam</v>
      </c>
      <c r="D31" s="4" t="str">
        <v>country</v>
      </c>
      <c r="E31" s="5">
        <v>15</v>
      </c>
      <c r="F31" s="4">
        <v>355</v>
      </c>
    </row>
    <row r="32" ht="45" customHeight="1">
      <c r="A32" s="8" t="str">
        <v>AOW05: Gender, Youth and Social Inclusion</v>
      </c>
      <c r="B32" s="4" t="str">
        <v>CIAT (Alliance)</v>
      </c>
      <c r="C32" s="4" t="str">
        <v>Global</v>
      </c>
      <c r="D32" s="4" t="str">
        <v>global</v>
      </c>
      <c r="E32" s="5">
        <v>20</v>
      </c>
      <c r="F32" s="4">
        <v>357</v>
      </c>
    </row>
    <row r="33" ht="45" customHeight="1">
      <c r="A33" s="4" t="str">
        <v>AOW05: Gender, Youth and Social Inclusion</v>
      </c>
      <c r="B33" s="4" t="str">
        <v>CIAT (Alliance)</v>
      </c>
      <c r="C33" s="4" t="str">
        <v>Colombia</v>
      </c>
      <c r="D33" s="4" t="str">
        <v>country</v>
      </c>
      <c r="E33" s="5">
        <v>50</v>
      </c>
      <c r="F33" s="4">
        <v>358</v>
      </c>
    </row>
    <row r="34" ht="45" customHeight="1">
      <c r="A34" s="4" t="str">
        <v>AOW05: Gender, Youth and Social Inclusion</v>
      </c>
      <c r="B34" s="4" t="str">
        <v>CIAT (Alliance)</v>
      </c>
      <c r="C34" s="4" t="str">
        <v>The Socialist Republic of Viet Nam</v>
      </c>
      <c r="D34" s="4" t="str">
        <v>country</v>
      </c>
      <c r="E34" s="5">
        <v>30</v>
      </c>
      <c r="F34" s="4">
        <v>359</v>
      </c>
    </row>
    <row r="35" ht="45" customHeight="1">
      <c r="A35" s="8" t="str">
        <v>AOW06: Data and Digital Solutions</v>
      </c>
      <c r="B35" s="4" t="str">
        <v>CIAT (Alliance)</v>
      </c>
      <c r="C35" s="4" t="str">
        <v>Global</v>
      </c>
      <c r="D35" s="4" t="str">
        <v>global</v>
      </c>
      <c r="E35" s="5">
        <v>100</v>
      </c>
      <c r="F35" s="4">
        <v>360</v>
      </c>
    </row>
  </sheetData>
  <mergeCells count="6">
    <mergeCell ref="A2:A10"/>
    <mergeCell ref="A11:A21"/>
    <mergeCell ref="A22:A27"/>
    <mergeCell ref="A28:A31"/>
    <mergeCell ref="A32:A34"/>
    <mergeCell ref="A35"/>
  </mergeCells>
  <ignoredErrors>
    <ignoredError numberStoredAsText="1" sqref="A1:F35"/>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