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47141</v>
      </c>
      <c r="K4" s="5">
        <v>47141</v>
      </c>
      <c r="L4" s="5">
        <v>0</v>
      </c>
      <c r="M4" s="5">
        <v>0</v>
      </c>
      <c r="N4" s="4">
        <v>169</v>
      </c>
    </row>
    <row r="5" ht="20" customHeight="1">
      <c r="A5" s="4" t="str">
        <v>AOW01: Accelerating AI-Enabled Farm Advisory at Scale.</v>
      </c>
      <c r="B5" s="5">
        <v>2</v>
      </c>
      <c r="C5" s="5">
        <v>104566</v>
      </c>
      <c r="D5" s="5">
        <v>8</v>
      </c>
      <c r="E5" s="5">
        <v>280387</v>
      </c>
      <c r="F5" s="5">
        <v>0</v>
      </c>
      <c r="G5" s="5">
        <v>0</v>
      </c>
      <c r="H5" s="5">
        <v>0</v>
      </c>
      <c r="I5" s="5">
        <v>0</v>
      </c>
      <c r="J5" s="5">
        <v>384953</v>
      </c>
      <c r="K5" s="5">
        <v>384953</v>
      </c>
      <c r="L5" s="5">
        <v>0</v>
      </c>
      <c r="M5" s="5">
        <v>0</v>
      </c>
      <c r="N5" s="4">
        <v>168</v>
      </c>
    </row>
    <row r="6" ht="20" customHeight="1">
      <c r="A6" s="4" t="str">
        <v>AOW02: Enabling Preparedness and Rapid Response to Emerging Shocks</v>
      </c>
      <c r="B6" s="5">
        <v>25</v>
      </c>
      <c r="C6" s="5">
        <v>401780</v>
      </c>
      <c r="D6" s="5">
        <v>5</v>
      </c>
      <c r="E6" s="5">
        <v>159327</v>
      </c>
      <c r="F6" s="5">
        <v>20</v>
      </c>
      <c r="G6" s="5">
        <v>31820</v>
      </c>
      <c r="H6" s="5">
        <v>0</v>
      </c>
      <c r="I6" s="5">
        <v>0</v>
      </c>
      <c r="J6" s="5">
        <v>592927</v>
      </c>
      <c r="K6" s="5">
        <v>592927</v>
      </c>
      <c r="L6" s="5">
        <v>21000</v>
      </c>
      <c r="M6" s="5">
        <v>0</v>
      </c>
      <c r="N6" s="4">
        <v>166</v>
      </c>
    </row>
    <row r="7" ht="20" customHeight="1">
      <c r="A7" s="4" t="str">
        <v>AOW03: Delivering Integrated Solutions to Systemic Farm-Level Binding Constraints</v>
      </c>
      <c r="B7" s="5">
        <v>4</v>
      </c>
      <c r="C7" s="5">
        <v>184215</v>
      </c>
      <c r="D7" s="5">
        <v>14</v>
      </c>
      <c r="E7" s="5">
        <v>392104</v>
      </c>
      <c r="F7" s="5">
        <v>1320</v>
      </c>
      <c r="G7" s="5">
        <v>412446</v>
      </c>
      <c r="H7" s="5">
        <v>0</v>
      </c>
      <c r="I7" s="5">
        <v>0</v>
      </c>
      <c r="J7" s="5">
        <v>988765</v>
      </c>
      <c r="K7" s="5">
        <v>988765</v>
      </c>
      <c r="L7" s="5">
        <v>30000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26</v>
      </c>
      <c r="C9" s="5">
        <v>1086572</v>
      </c>
      <c r="D9" s="5">
        <v>10</v>
      </c>
      <c r="E9" s="5">
        <v>40000</v>
      </c>
      <c r="F9" s="5">
        <v>0</v>
      </c>
      <c r="G9" s="5">
        <v>0</v>
      </c>
      <c r="H9" s="5">
        <v>0</v>
      </c>
      <c r="I9" s="5">
        <v>0</v>
      </c>
      <c r="J9" s="5">
        <v>1126572</v>
      </c>
      <c r="K9" s="5">
        <v>1126572</v>
      </c>
      <c r="L9" s="5">
        <v>0</v>
      </c>
      <c r="M9" s="5">
        <v>0</v>
      </c>
      <c r="N9" s="4">
        <v>167</v>
      </c>
    </row>
    <row r="10" ht="25" customHeight="1">
      <c r="A10" s="6" t="str">
        <v>Total</v>
      </c>
      <c r="B10" s="7" t="str">
        <v/>
      </c>
      <c r="C10" s="7">
        <v>1777133</v>
      </c>
      <c r="D10" s="7" t="str">
        <v/>
      </c>
      <c r="E10" s="7">
        <v>871818</v>
      </c>
      <c r="F10" s="7" t="str">
        <v/>
      </c>
      <c r="G10" s="7">
        <v>444266</v>
      </c>
      <c r="H10" s="7" t="str">
        <v/>
      </c>
      <c r="I10" s="7">
        <v>0</v>
      </c>
      <c r="J10" s="7">
        <v>3140358</v>
      </c>
      <c r="K10" s="7">
        <v>3140358</v>
      </c>
      <c r="L10" s="7">
        <v>51000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CIMMYT</v>
      </c>
      <c r="C3" s="4" t="str">
        <v xml:space="preserve">1.3: Farmer utilization and adoption of AI-enabled advisory services </v>
      </c>
      <c r="D3" s="4" t="str">
        <v xml:space="preserve"> Integrate at least three standardized datasets (e.g., from trials, LTEs, on soil, climate and soil water) into AI-ready pipelines and validate at least three 3 agroecology-specific advisory tools (e.g., AgWise, HaFAS and similar tools from CIMMYT and partners)</v>
      </c>
      <c r="E3" s="4" t="str">
        <v>Number of knowledge products</v>
      </c>
      <c r="F3" s="4" t="str">
        <v>India, Ethiopia</v>
      </c>
      <c r="G3" s="5">
        <v>3</v>
      </c>
      <c r="H3" s="5">
        <v>75105</v>
      </c>
      <c r="I3" s="4" t="str">
        <v>Additional fund added</v>
      </c>
      <c r="J3" s="4">
        <v>4912</v>
      </c>
    </row>
    <row r="4" ht="50" customHeight="1">
      <c r="B4" s="4" t="str">
        <v>CIMMYT</v>
      </c>
      <c r="D4" s="4" t="str">
        <v xml:space="preserve">Adapting current stochastic returns modeling framework to show how existing CGIAR resources captured through carob feed directly into a geospatial modeling framework for agronomic diagnostics/recommendations at broad spatial scales, and in ways that incorporate production and market uncertainty (which are important for farmers in sub-Saharan Africa who operate in rain-fed systems with volatile markets). </v>
      </c>
      <c r="E4" s="4" t="str">
        <v>Number of innovations (innovation development)</v>
      </c>
      <c r="F4" s="4" t="str">
        <v>Nigeria, Ethiopia, Kenya</v>
      </c>
      <c r="G4" s="5">
        <v>1</v>
      </c>
      <c r="H4" s="5">
        <v>44566</v>
      </c>
      <c r="I4" s="4" t="str">
        <v>additional funding added</v>
      </c>
      <c r="J4" s="4">
        <v>4913</v>
      </c>
    </row>
    <row r="5" ht="50" customHeight="1" xml:space="preserve">
      <c r="B5" s="4" t="str">
        <v>CIMMYT</v>
      </c>
      <c r="D5" s="4" t="str">
        <v>Translate partner and farmer needs/demands in key geographies (e.g., Ethiopia, Kenya, Mexico, and India) into actionable advisory requirements; define and close critical data gaps aligned to these needs; standardize and structure datasets and analytics to make them AI-ready; and operationalize existing DST advisory platforms (e.g., HaFAS, virtual agronomist, FarmerChat) using integrated data streams (e.g., CGIAR, NARES, remote sensing) to deliver context-specific, demand-driven advisory services.</v>
      </c>
      <c r="E5" s="4" t="str">
        <v>Number of knowledge products</v>
      </c>
      <c r="F5" s="4" t="str">
        <v>India, Kenya, Ethiopia, Mexico</v>
      </c>
      <c r="G5" s="5">
        <v>4</v>
      </c>
      <c r="H5" s="5">
        <v>85282</v>
      </c>
      <c r="I5" s="4" t="str" xml:space="preserve">
        <v xml:space="preserve">Split into multiple deliverables
</v>
      </c>
      <c r="J5" s="4">
        <v>7941</v>
      </c>
    </row>
    <row r="6" ht="50" customHeight="1">
      <c r="A6" s="4" t="str">
        <v>AOW01: Accelerating AI-Enabled Farm Advisory at Scale.</v>
      </c>
      <c r="B6" s="4" t="str">
        <v>CIMMYT</v>
      </c>
      <c r="C6" s="4" t="str">
        <v xml:space="preserve"> 1.1: Agronomic and farm management scientific data and analytics  </v>
      </c>
      <c r="D6" s="4" t="str">
        <v>Replicable workflow to translate existing soil and agronomy data assets (from GAIA and at least 3 related projects) into AI-ready advisory inputs by identifying and closing critical data gaps, structuring and harmonizing datasets and analytics, and developing an AI-enabled post-processing tool that feeds seamlessly into Carob and similar harmonization pipelines.</v>
      </c>
      <c r="E6" s="4" t="str">
        <v>Number of innovations (innovation development)</v>
      </c>
      <c r="F6" s="4" t="str">
        <v>Kenya, Mexico, India, Ethiopia</v>
      </c>
      <c r="G6" s="5">
        <v>1</v>
      </c>
      <c r="H6" s="5">
        <v>60000</v>
      </c>
      <c r="I6" s="4" t="str">
        <v>additional funding added</v>
      </c>
      <c r="J6" s="4">
        <v>7946</v>
      </c>
    </row>
    <row r="7" ht="50" customHeight="1">
      <c r="A7" s="4" t="str">
        <v>AOW01: Accelerating AI-Enabled Farm Advisory at Scale.</v>
      </c>
      <c r="B7" s="4" t="str">
        <v>CIMMYT</v>
      </c>
      <c r="C7" s="4" t="str">
        <v xml:space="preserve">1.2: Benchmarking and performance validation systems </v>
      </c>
      <c r="D7" s="4" t="str">
        <v>Randomized controlled trial (RCT) taking different versions of AI-enabled agronomic advisories to separate out the impacts of (a) site-specific versus non-site-specific content components and (b) high-quality one-on-one in-field delivery versus status-quo group extension or broadcast electronic messaging away from farmer fields.</v>
      </c>
      <c r="E7" s="4" t="str">
        <v>Number of knowledge products</v>
      </c>
      <c r="F7" s="4" t="str">
        <v>Ethiopia, Kenya</v>
      </c>
      <c r="G7" s="5">
        <v>1</v>
      </c>
      <c r="H7" s="5">
        <v>120000</v>
      </c>
      <c r="I7" s="4" t="str">
        <v>additional funding added</v>
      </c>
      <c r="J7" s="4">
        <v>7947</v>
      </c>
    </row>
    <row r="8" ht="25" customHeight="1">
      <c r="C8" s="9" t="str">
        <v>HLO budget subtotal</v>
      </c>
      <c r="H8" s="9">
        <v>384953</v>
      </c>
      <c r="J8" s="9" t="str">
        <v/>
      </c>
    </row>
    <row r="9" ht="50" customHeight="1">
      <c r="A9" s="8" t="str">
        <v>AOW02: Enabling Preparedness and Rapid Response to Emerging Shocks</v>
      </c>
      <c r="B9" s="4" t="str">
        <v>CIMMYT</v>
      </c>
      <c r="C9" s="4" t="str">
        <v>2.2: Strategies for response to water related shocks</v>
      </c>
      <c r="D9" s="4" t="str">
        <v>Datasets of field (e.g. longterm experiments, validation trials) or farm household level (impact assessments, response behaviour, adoption likelihood) to guide and evaluate response options.</v>
      </c>
      <c r="E9" s="4" t="str">
        <v>Number of innovations (innovation development)</v>
      </c>
      <c r="F9" s="4" t="str">
        <v>Bangladesh, Zambia, Uganda, India</v>
      </c>
      <c r="G9" s="5">
        <v>14</v>
      </c>
      <c r="H9" s="5">
        <v>338039</v>
      </c>
      <c r="I9" s="4" t="str">
        <v>inclusive of partner budget</v>
      </c>
      <c r="J9" s="4">
        <v>4922</v>
      </c>
    </row>
    <row r="10" ht="50" customHeight="1">
      <c r="B10" s="4" t="str">
        <v>CIMMYT</v>
      </c>
      <c r="D10" s="4" t="str">
        <v>Conduct comparative analysis using LSMS data from Ethiopia, Tanzania, and Malawi to identify household- and farm-level determinants of resilience to water-related shocks, pests, and disease outbreaks, and to generate evidence for context-specific response strategies. The activity will use nationally relevant household and agricultural survey data to examine exposure, vulnerability, coping responses, input use, management practices, access to information, and recovery outcomes across farming systems. It will assess which farm-level strategies, institutional conditions, and service access mechanisms are associated with better preparedness, adaptive capacity, and shock response. The analysis will explicitly compare countries and agroecological contexts to identify scalable and locally appropriate interventions that can inform agronomic testing, digital advisory systems, surveillance, and adaptive management frameworks.</v>
      </c>
      <c r="E10" s="4" t="str">
        <v>Number of knowledge products</v>
      </c>
      <c r="F10" s="4" t="str">
        <v>Malawi, Tanzania, United Republic, Ethiopia</v>
      </c>
      <c r="G10" s="5">
        <v>4</v>
      </c>
      <c r="H10" s="5">
        <v>119327</v>
      </c>
      <c r="I10" s="4" t="str">
        <v>no budget assumption</v>
      </c>
      <c r="J10" s="4">
        <v>7920</v>
      </c>
    </row>
    <row r="11" ht="50" customHeight="1">
      <c r="B11" s="4" t="str">
        <v>CIMMYT</v>
      </c>
      <c r="D11"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11" s="4" t="str">
        <v>Number of innovations (innovation development)</v>
      </c>
      <c r="F11" s="4" t="str">
        <v>Ghana, Nigeria, Kenya</v>
      </c>
      <c r="G11" s="5">
        <v>1</v>
      </c>
      <c r="H11" s="5">
        <v>42735</v>
      </c>
      <c r="I11" s="4" t="str">
        <v>additional budget</v>
      </c>
      <c r="J11" s="4">
        <v>7935</v>
      </c>
    </row>
    <row r="12" ht="50" customHeight="1">
      <c r="A12" s="4" t="str">
        <v>AOW02: Enabling Preparedness and Rapid Response to Emerging Shocks</v>
      </c>
      <c r="B12" s="4" t="str">
        <v>CIMMYT</v>
      </c>
      <c r="C12" s="4" t="str">
        <v xml:space="preserve">2.1: Enhanced resolution, accuracy and timeliness of early warning system </v>
      </c>
      <c r="D12" s="4" t="str">
        <v>Enhanced data sets to enhance detection, distribution, diversity and forecasting of current and emerging pests or diseases for different cropping systems (yam, bean, cassava, banana, sorghum, potato, and sweet potato)</v>
      </c>
      <c r="E12" s="4" t="str">
        <v>Number of innovations (innovation development)</v>
      </c>
      <c r="F12" s="4" t="str">
        <v>India, Colombia, Tanzania, United Republic, Kenya, Niger, Burkina Faso, Cameroon, Uganda, Nigeria, Zimbabwe, Togo, Mali, Zambia, Ghana, Mozambique, Ethiopia, Chad, South Sudan, Senegal</v>
      </c>
      <c r="G12" s="5">
        <v>10</v>
      </c>
      <c r="H12" s="5">
        <v>21006</v>
      </c>
      <c r="I12" s="4" t="str">
        <v>no budget assumption</v>
      </c>
      <c r="J12" s="4">
        <v>4931</v>
      </c>
    </row>
    <row r="13" ht="50" customHeight="1">
      <c r="B13" s="4" t="str">
        <v>CIMMYT</v>
      </c>
      <c r="D13" s="4" t="str">
        <v>Training material and training activities to enhance early detection of water related shocks, pests and disease occurrence using AI and digital tools</v>
      </c>
      <c r="E13" s="4" t="str">
        <v>Number of people trained (capacity sharing for development)</v>
      </c>
      <c r="F13" s="4" t="str">
        <v>Zimbabwe, Malawi, Mozambique, Zambia, Uganda, Rwanda, Kenya, Ethiopia, Philippines, Netherlands (Kingdom of the), Cameroon, Tanzania, United Republic, The Democratic Republic of the Congo, Nigeria</v>
      </c>
      <c r="G13" s="5">
        <v>20</v>
      </c>
      <c r="H13" s="5">
        <v>31820</v>
      </c>
      <c r="I13" s="4" t="str">
        <v>no budget assumption</v>
      </c>
      <c r="J13" s="4">
        <v>4951</v>
      </c>
    </row>
    <row r="14" ht="50" customHeight="1">
      <c r="A14" s="4" t="str">
        <v>AOW02: Enabling Preparedness and Rapid Response to Emerging Shocks</v>
      </c>
      <c r="B14" s="4" t="str">
        <v>CIMMYT</v>
      </c>
      <c r="C14" s="4" t="str">
        <v xml:space="preserve">2.3: Responses effectiveness and trade-offs to climate, pests and diseases shocks </v>
      </c>
      <c r="D14"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14" s="4" t="str">
        <v>Number of knowledge products</v>
      </c>
      <c r="F14" s="4" t="str">
        <v>Ghana, Bangladesh, Kenya, Nigeria</v>
      </c>
      <c r="G14" s="5">
        <v>1</v>
      </c>
      <c r="H14" s="5">
        <v>40000</v>
      </c>
      <c r="I14" s="4" t="str">
        <v>additional budget</v>
      </c>
      <c r="J14" s="4">
        <v>8320</v>
      </c>
    </row>
    <row r="15" ht="25" customHeight="1">
      <c r="C15" s="9" t="str">
        <v>HLO budget subtotal</v>
      </c>
      <c r="H15" s="9">
        <v>592927</v>
      </c>
      <c r="J15" s="9" t="str">
        <v/>
      </c>
    </row>
    <row r="16" ht="50" customHeight="1">
      <c r="A16" s="8" t="str">
        <v>AOW03: Delivering Integrated Solutions to Systemic Farm-Level Binding Constraints</v>
      </c>
      <c r="B16" s="4" t="str">
        <v>CIMMYT</v>
      </c>
      <c r="C16" s="4" t="str">
        <v xml:space="preserve">3.2. Validated, farm-level management solutions </v>
      </c>
      <c r="D16" s="4" t="str">
        <v>KPI 3.5.1: (Critical capabilities) Co-design and validate integrated farm-level solution packages that simultaneously address multiple interacting constraints (soil, water, crops, labor, livestock) to optimize system productivity and resilience.</v>
      </c>
      <c r="E16" s="4" t="str">
        <v>Number of innovations (innovation development)</v>
      </c>
      <c r="F16" s="4" t="str">
        <v>Colombia, Lao People's Democratic Republic, Bangladesh, Mexico, Cambodia, Côte d'Ivoire, Philippines, Nigeria, The Socialist Republic of Viet Nam, Cameroon, Ghana, Malawi, Tanzania, United Republic, Kenya, India, Ethiopia, Madagascar</v>
      </c>
      <c r="G16" s="5">
        <v>4</v>
      </c>
      <c r="H16" s="5">
        <v>184215</v>
      </c>
      <c r="I16" s="4" t="str">
        <v>with the additional budget</v>
      </c>
      <c r="J16" s="4">
        <v>5052</v>
      </c>
    </row>
    <row r="17" ht="50" customHeight="1">
      <c r="B17" s="4" t="str">
        <v>CIMMYT</v>
      </c>
      <c r="D17" s="4" t="str">
        <v>KPI 3.4.1: Develop and validate integrated plant health solutions that reduce biotic constraints through combined agronomic, biological, and ecological approaches adapted to smallholder systems.</v>
      </c>
      <c r="E17" s="4" t="str">
        <v>Number of knowledge products</v>
      </c>
      <c r="F17" s="4" t="str">
        <v>Zambia, Uganda</v>
      </c>
      <c r="G17" s="5">
        <v>3</v>
      </c>
      <c r="H17" s="5">
        <v>54781</v>
      </c>
      <c r="I17" s="4" t="str">
        <v>with additional budget</v>
      </c>
      <c r="J17" s="4">
        <v>7785</v>
      </c>
    </row>
    <row r="18" ht="50" customHeight="1">
      <c r="B18" s="4" t="str">
        <v>CIMMYT</v>
      </c>
      <c r="D18" s="4" t="str">
        <v>KPI 3.5.1: Co-design and validate integrated farm-level solution packages that simultaneously address multiple interacting constraints (soil, water, crops, labor, livestock) to optimize system productivity and resilience.</v>
      </c>
      <c r="E18" s="4" t="str">
        <v>Number of knowledge products</v>
      </c>
      <c r="F18" s="4" t="str">
        <v>Mexico, Kenya</v>
      </c>
      <c r="G18" s="5">
        <v>3</v>
      </c>
      <c r="H18" s="5">
        <v>178108</v>
      </c>
      <c r="I18" s="4" t="str">
        <v>with additional budget</v>
      </c>
      <c r="J18" s="4">
        <v>7804</v>
      </c>
    </row>
    <row r="19" ht="50" customHeight="1">
      <c r="A19" s="4" t="str">
        <v>AOW03: Delivering Integrated Solutions to Systemic Farm-Level Binding Constraints</v>
      </c>
      <c r="B19" s="4" t="str">
        <v>CIMMYT</v>
      </c>
      <c r="C19" s="4" t="str">
        <v xml:space="preserve">3.3: Scaled and adopted farm management solutions </v>
      </c>
      <c r="D19" s="4" t="str">
        <v>KPI 3.6.2: Strengthen capacities of farmers, extension agents, and partners through training, advisory services, and digital platforms to enable widespread uptake of solutions addressing farm-level binding constraints.</v>
      </c>
      <c r="E19" s="4" t="str">
        <v>Number of people trained (capacity sharing for development)</v>
      </c>
      <c r="F19" s="4" t="str">
        <v>Zambia, Mexico, Ethiopia, Malawi, Nepal, Kenya, India, The Democratic Republic of the Congo, The Socialist Republic of Viet Nam, Uganda</v>
      </c>
      <c r="G19" s="5">
        <v>1320</v>
      </c>
      <c r="H19" s="5">
        <v>412446</v>
      </c>
      <c r="I19" s="4" t="str">
        <v>with partner budget</v>
      </c>
      <c r="J19" s="4">
        <v>5056</v>
      </c>
    </row>
    <row r="20" ht="50" customHeight="1">
      <c r="A20" s="4" t="str">
        <v>AOW03: Delivering Integrated Solutions to Systemic Farm-Level Binding Constraints</v>
      </c>
      <c r="B20" s="4" t="str">
        <v>CIMMYT</v>
      </c>
      <c r="C20" s="4" t="str">
        <v xml:space="preserve">3.1: Farm-level diagnostic evidence on soil, plant, water, and socio-economic constraints </v>
      </c>
      <c r="D20" s="4" t="str">
        <v>KPI 3.1.2: Generate, standardize, and disseminate diagnostic frameworks, spatial analyses, and evidence products that characterize farm-level binding constraints and guide context-specific intervention targeting.</v>
      </c>
      <c r="E20" s="4" t="str">
        <v>Number of knowledge products</v>
      </c>
      <c r="F20" s="4" t="str">
        <v>Rwanda, India, Malawi, Kenya, Ethiopia, Nepal, Peru, Ghana</v>
      </c>
      <c r="G20" s="5">
        <v>8</v>
      </c>
      <c r="H20" s="5">
        <v>159215</v>
      </c>
      <c r="I20" s="4" t="str">
        <v>with additional budget</v>
      </c>
      <c r="J20" s="4">
        <v>5065</v>
      </c>
    </row>
    <row r="21" ht="25" customHeight="1">
      <c r="C21" s="9" t="str">
        <v>HLO budget subtotal</v>
      </c>
      <c r="H21" s="9">
        <v>988765</v>
      </c>
      <c r="J21" s="9" t="str">
        <v/>
      </c>
    </row>
    <row r="22" ht="50" customHeight="1">
      <c r="A22" s="8" t="str">
        <v>AOW05: Accelerating Impact</v>
      </c>
      <c r="B22" s="4" t="str">
        <v>CIMMYT</v>
      </c>
      <c r="C22" s="4" t="str">
        <v xml:space="preserve">5.5. Well-documented, widely applicable and replicable partnership platforms </v>
      </c>
      <c r="D22" s="4" t="str">
        <v>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v>
      </c>
      <c r="E22" s="4" t="str">
        <v>Number of innovations (innovation development)</v>
      </c>
      <c r="F22" s="4" t="str">
        <v>United States of America, Zimbabwe, Kenya</v>
      </c>
      <c r="G22" s="5">
        <v>3</v>
      </c>
      <c r="H22" s="5">
        <v>249210</v>
      </c>
      <c r="I22" s="4" t="str">
        <v>merged KPIs</v>
      </c>
      <c r="J22" s="4">
        <v>4886</v>
      </c>
    </row>
    <row r="23" ht="50" customHeight="1">
      <c r="B23" s="4" t="str">
        <v>CIMMYT</v>
      </c>
      <c r="D23" s="4" t="str">
        <v>Critical Capability: Deliver locally relevant and locally adapted, science-based evidence on feasible cropping system improvements to increase farmers' sustainability and welfare</v>
      </c>
      <c r="E23" s="4" t="str">
        <v>Number of innovations (innovation development)</v>
      </c>
      <c r="F23" s="4" t="str">
        <v>Malawi, Ethiopia, India, Kenya</v>
      </c>
      <c r="G23" s="5">
        <v>5</v>
      </c>
      <c r="H23" s="5">
        <v>238854</v>
      </c>
      <c r="I23" s="4" t="str">
        <v>as per initial budget</v>
      </c>
      <c r="J23" s="4">
        <v>4887</v>
      </c>
    </row>
    <row r="24" ht="50" customHeight="1">
      <c r="B24" s="4" t="str">
        <v>CIMMYT</v>
      </c>
      <c r="D24" s="4" t="str">
        <v>Critical Capability: Integrated platform-based innovations quantified in terms of risks, benefits, trade-offs and opportunities for local farming households, and policymakers. Quantification of opportunities to manage emerging and problems</v>
      </c>
      <c r="E24" s="4" t="str">
        <v>Number of innovations (innovation development)</v>
      </c>
      <c r="F24" s="4" t="str">
        <v>Zimbabwe, India, Mexico, Kenya</v>
      </c>
      <c r="G24" s="5">
        <v>10</v>
      </c>
      <c r="H24" s="5">
        <v>119605</v>
      </c>
      <c r="I24" s="4" t="str">
        <v>with the additional budget</v>
      </c>
      <c r="J24" s="4">
        <v>4888</v>
      </c>
    </row>
    <row r="25" ht="50" customHeight="1">
      <c r="B25" s="4" t="str">
        <v>CIMMYT</v>
      </c>
      <c r="D25"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25" s="4" t="str">
        <v>Number of innovations (innovation development)</v>
      </c>
      <c r="F25" s="4" t="str">
        <v>Côte d'Ivoire, Uganda, Zambia, Nepal, Bangladesh, The Democratic Republic of the Congo, Ghana, Kenya, Nigeria, Tanzania, United Republic, Malawi, Mexico, Ethiopia, Egypt, Morocco, The Socialist Republic of Viet Nam, India, Philippines, Cambodia</v>
      </c>
      <c r="G25" s="5">
        <v>5</v>
      </c>
      <c r="H25" s="5">
        <v>358287</v>
      </c>
      <c r="I25" s="4" t="str">
        <v>additional budget added</v>
      </c>
      <c r="J25" s="4">
        <v>4893</v>
      </c>
    </row>
    <row r="26" ht="50" customHeight="1">
      <c r="A26" s="4" t="str">
        <v>AOW05: Accelerating Impact</v>
      </c>
      <c r="B26" s="4" t="str">
        <v>CIMMYT</v>
      </c>
      <c r="C26" s="4" t="str">
        <v>5.3 FAIR, AI-ready data corpus, data and metadata standards</v>
      </c>
      <c r="D26" s="4" t="str">
        <v>Number of knowledge products on FAIR data and modeling tools</v>
      </c>
      <c r="E26" s="4" t="str">
        <v>Number of knowledge products</v>
      </c>
      <c r="F26" s="4" t="str">
        <v>India, Rwanda, Zimbabwe, Ethiopia, Kenya</v>
      </c>
      <c r="G26" s="5">
        <v>6</v>
      </c>
      <c r="H26" s="5">
        <v>20000</v>
      </c>
      <c r="I26" s="4" t="str">
        <v>additional budget</v>
      </c>
      <c r="J26" s="4">
        <v>4959</v>
      </c>
    </row>
    <row r="27" ht="50" customHeight="1" xml:space="preserve">
      <c r="B27" s="4" t="str">
        <v>CIMMYT</v>
      </c>
      <c r="D27" s="4" t="str" xml:space="preserve">
        <v xml:space="preserve">Database of standards-compliant data ("Carob") including workflows to quality-control, clean and render data standards-compliant using R scripts and R packages, enabled by minimum required agronomy data and standards-compliant data collection protocols and tools 
</v>
      </c>
      <c r="E27" s="4" t="str">
        <v>Number of innovations (innovation development)</v>
      </c>
      <c r="F27" s="4" t="str">
        <v>France, Nigeria, Zimbabwe, Kenya, United States of America</v>
      </c>
      <c r="G27" s="5">
        <v>2</v>
      </c>
      <c r="H27" s="5">
        <v>80616</v>
      </c>
      <c r="I27" s="4" t="str">
        <v>as per initial budget</v>
      </c>
      <c r="J27" s="4">
        <v>4976</v>
      </c>
    </row>
    <row r="28" ht="50" customHeight="1">
      <c r="B28" s="4" t="str">
        <v>CIMMYT</v>
      </c>
      <c r="D28" s="4" t="str">
        <v>New standardized, quality-controlled datasets that serve AoWs 1, 2, and 3 (250 datasets, 0.5M new standardized observations) added to an existing corpus of about 2M records ("Carob") for analytics and decision support and assessment of Carob as training dataset for AI.</v>
      </c>
      <c r="E28" s="4" t="str">
        <v>Number of knowledge products</v>
      </c>
      <c r="F28" s="4" t="str">
        <v>Kenya, Zimbabwe, Rwanda</v>
      </c>
      <c r="G28" s="5">
        <v>1</v>
      </c>
      <c r="H28" s="5">
        <v>0</v>
      </c>
      <c r="I28" s="4" t="str">
        <v/>
      </c>
      <c r="J28" s="4">
        <v>7818</v>
      </c>
    </row>
    <row r="29" ht="50" customHeight="1">
      <c r="B29" s="4" t="str">
        <v>CIMMYT</v>
      </c>
      <c r="D29" s="4" t="str">
        <v>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v>
      </c>
      <c r="E29" s="4" t="str">
        <v>Number of innovations (innovation development)</v>
      </c>
      <c r="F29" s="4" t="str">
        <v>United States of America, Zimbabwe, Kenya</v>
      </c>
      <c r="G29" s="5">
        <v>3</v>
      </c>
      <c r="H29" s="5">
        <v>0</v>
      </c>
      <c r="I29" s="4" t="str">
        <v/>
      </c>
      <c r="J29" s="4">
        <v>8215</v>
      </c>
    </row>
    <row r="30" ht="50" customHeight="1">
      <c r="A30" s="4" t="str">
        <v>AOW05: Accelerating Impact</v>
      </c>
      <c r="B30" s="4" t="str">
        <v>CIMMYT</v>
      </c>
      <c r="C30" s="4" t="str">
        <v xml:space="preserve">5.2: Well- documented and communicated SFP impact assessments </v>
      </c>
      <c r="D30"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30" s="4" t="str">
        <v>Number of knowledge products</v>
      </c>
      <c r="F30" s="4" t="str">
        <v>Zimbabwe, India, Benin, Ethiopia, Kenya</v>
      </c>
      <c r="G30" s="5">
        <v>4</v>
      </c>
      <c r="H30" s="5">
        <v>20000</v>
      </c>
      <c r="I30" s="4" t="str">
        <v>additional budget</v>
      </c>
      <c r="J30" s="4">
        <v>7770</v>
      </c>
    </row>
    <row r="31" ht="50" customHeight="1">
      <c r="A31" s="4" t="str">
        <v>AOW05: Accelerating Impact</v>
      </c>
      <c r="B31" s="4" t="str">
        <v>CIMMYT</v>
      </c>
      <c r="C31" s="4" t="str">
        <v xml:space="preserve">5.1. Prioritization logic for deployment via partnership platforms available </v>
      </c>
      <c r="D31" s="4" t="str">
        <v>Standardized data collection tool (LCAS-APT; Landscape Crop Assessment Survey-Agronomy Prioritization Tool) supported by rapid analytics pipeline for AI-ready insights through a repository of R scripts.</v>
      </c>
      <c r="E31" s="4" t="str">
        <v>Number of innovations (innovation development)</v>
      </c>
      <c r="F31" s="4" t="str">
        <v>Morocco, Philippines</v>
      </c>
      <c r="G31" s="5">
        <v>1</v>
      </c>
      <c r="H31" s="5">
        <v>40000</v>
      </c>
      <c r="I31" s="4" t="str">
        <v>additional budget</v>
      </c>
      <c r="J31" s="4">
        <v>8101</v>
      </c>
    </row>
    <row r="32" ht="25" customHeight="1">
      <c r="C32" s="9" t="str">
        <v>HLO budget subtotal</v>
      </c>
      <c r="H32" s="9">
        <v>1126572</v>
      </c>
      <c r="J32" s="9" t="str">
        <v/>
      </c>
    </row>
  </sheetData>
  <mergeCells count="20">
    <mergeCell ref="A1:A2"/>
    <mergeCell ref="B1:B2"/>
    <mergeCell ref="C1:C2"/>
    <mergeCell ref="D1:H1"/>
    <mergeCell ref="I1:I2"/>
    <mergeCell ref="J1:J2"/>
    <mergeCell ref="C3:C5"/>
    <mergeCell ref="C8:G8"/>
    <mergeCell ref="A3:A8"/>
    <mergeCell ref="C9:C11"/>
    <mergeCell ref="C12:C13"/>
    <mergeCell ref="C15:G15"/>
    <mergeCell ref="A9:A15"/>
    <mergeCell ref="C16:C18"/>
    <mergeCell ref="C21:G21"/>
    <mergeCell ref="A16:A21"/>
    <mergeCell ref="C22:C25"/>
    <mergeCell ref="C26:C29"/>
    <mergeCell ref="C32:G32"/>
    <mergeCell ref="A22:A32"/>
  </mergeCells>
  <ignoredErrors>
    <ignoredError numberStoredAsText="1" sqref="A1:J32"/>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Enabling Preparedness and Rapid Response to Emerging Shocks</v>
      </c>
      <c r="B2" s="4" t="str">
        <v>Unknown Partner 1</v>
      </c>
      <c r="C2" s="4" t="str">
        <v>CIMMYT</v>
      </c>
      <c r="D2" s="4" t="str">
        <v>Zambia, Uganda, India, Bangladesh</v>
      </c>
      <c r="E2" s="5">
        <v>21000</v>
      </c>
      <c r="F2" s="4" t="str">
        <v>no partner name specified yet</v>
      </c>
      <c r="G2" s="4">
        <v>257</v>
      </c>
    </row>
    <row r="3" ht="25" customHeight="1">
      <c r="B3" s="9" t="str">
        <v>Contracted partners subtotal</v>
      </c>
      <c r="E3" s="9">
        <v>21000</v>
      </c>
      <c r="F3" s="9" t="str">
        <v/>
      </c>
      <c r="G3" s="9" t="str">
        <v/>
      </c>
    </row>
    <row r="4" ht="50" customHeight="1">
      <c r="A4" s="8" t="str">
        <v>AOW03: Delivering Integrated Solutions to Systemic Farm-Level Binding Constraints</v>
      </c>
      <c r="B4" s="4" t="str">
        <v>Unknown Partner 1</v>
      </c>
      <c r="C4" s="4" t="str">
        <v>CIMMYT</v>
      </c>
      <c r="D4" s="4" t="str">
        <v>India, Nepal, Kenya, Ethiopia</v>
      </c>
      <c r="E4" s="5">
        <v>30000</v>
      </c>
      <c r="F4" s="4" t="str">
        <v>no partner name specified yet</v>
      </c>
      <c r="G4" s="4">
        <v>295</v>
      </c>
    </row>
    <row r="5" ht="25" customHeight="1">
      <c r="B5" s="9" t="str">
        <v>Contracted partners subtotal</v>
      </c>
      <c r="E5" s="9">
        <v>30000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C0042 USAID-CSISA-MEA</v>
      </c>
      <c r="C2" s="4" t="str">
        <v xml:space="preserve">5.5. Well-documented, widely applicable and replicable partnership platforms </v>
      </c>
      <c r="D2" s="5">
        <v>418072</v>
      </c>
      <c r="E2" s="4" t="str">
        <v>Budget figure from the mapping dashboard, no assumption made.</v>
      </c>
      <c r="F2" s="4">
        <v>951</v>
      </c>
    </row>
    <row r="3" ht="60" customHeight="1">
      <c r="A3" s="4" t="str">
        <v>CIMMYT</v>
      </c>
      <c r="B3" s="4" t="str">
        <v>C0172 Sustainable Intensification of Smallholder Farming Systems (SIFAZ) in Zambia</v>
      </c>
      <c r="C3" s="4" t="str">
        <v xml:space="preserve">5.5. Well-documented, widely applicable and replicable partnership platforms </v>
      </c>
      <c r="D3" s="5">
        <v>1578061</v>
      </c>
      <c r="E3" s="4" t="str">
        <v>Budget figure from the mapping dashboard, no assumption made.</v>
      </c>
      <c r="F3" s="4">
        <v>952</v>
      </c>
    </row>
    <row r="4" ht="60" customHeight="1">
      <c r="A4" s="4" t="str">
        <v>CIMMYT</v>
      </c>
      <c r="B4" s="4" t="str">
        <v>V0156-Wheat Disease Early Warning Advisory System (Wheat D</v>
      </c>
      <c r="C4" s="4" t="str">
        <v xml:space="preserve">3.3: Scaled and adopted farm management solutions </v>
      </c>
      <c r="D4" s="5">
        <v>125818</v>
      </c>
      <c r="E4" s="4" t="str">
        <v>Budget figure from the mapping dashboard, no assumption made.</v>
      </c>
      <c r="F4" s="4">
        <v>982</v>
      </c>
    </row>
    <row r="5" ht="60" customHeight="1">
      <c r="A5" s="4" t="str">
        <v>CIMMYT</v>
      </c>
      <c r="B5" s="4" t="str">
        <v>W0500-Verify global potential of biologic. Nitrific. inhib</v>
      </c>
      <c r="C5" s="4" t="str">
        <v xml:space="preserve">3.2. Validated, farm-level management solutions </v>
      </c>
      <c r="D5" s="5">
        <v>450295</v>
      </c>
      <c r="E5" s="4" t="str">
        <v>Budget figure from the mapping dashboard, no assumption made.</v>
      </c>
      <c r="F5" s="4">
        <v>965</v>
      </c>
    </row>
    <row r="6" ht="25" customHeight="1">
      <c r="B6" s="9" t="str">
        <v>W3/Bilateral budget subtotal</v>
      </c>
      <c r="D6" s="9">
        <v>2572246</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CIMMYT</v>
      </c>
      <c r="C2" s="4" t="str">
        <v>Area of Work Leads</v>
      </c>
      <c r="D2" s="5">
        <v>37141</v>
      </c>
      <c r="E2" s="4" t="str">
        <v>AoW lead Q1-Q4 2026</v>
      </c>
      <c r="F2" s="4">
        <v>156</v>
      </c>
      <c r="G2" s="4">
        <v>3</v>
      </c>
    </row>
    <row r="3" ht="45" customHeight="1">
      <c r="A3" s="4" t="str">
        <v>AOW00: Cross Cutting</v>
      </c>
      <c r="B3" s="4" t="str">
        <v>CIMMYT</v>
      </c>
      <c r="C3" s="4" t="str">
        <v>Operations</v>
      </c>
      <c r="D3" s="5">
        <v>5000</v>
      </c>
      <c r="E3" s="4" t="str">
        <v>AoW lead travels to program leadership meetings</v>
      </c>
      <c r="F3" s="4">
        <v>157</v>
      </c>
      <c r="G3" s="4">
        <v>4</v>
      </c>
    </row>
    <row r="4" ht="45" customHeight="1">
      <c r="A4" s="4" t="str">
        <v>AOW00: Cross Cutting</v>
      </c>
      <c r="B4" s="4" t="str">
        <v>CIMMYT</v>
      </c>
      <c r="C4" s="4" t="str">
        <v>Discretionary funds</v>
      </c>
      <c r="D4" s="5">
        <v>5000</v>
      </c>
      <c r="E4" s="4" t="str">
        <v>Support Systems course in Malawi</v>
      </c>
      <c r="F4" s="4">
        <v>184</v>
      </c>
      <c r="G4" s="4">
        <v>7</v>
      </c>
    </row>
    <row r="5" ht="25" customHeight="1">
      <c r="C5" s="9" t="str">
        <v>Cross-cutting budget subtotal</v>
      </c>
      <c r="D5" s="9">
        <v>47141</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37141</v>
      </c>
      <c r="C2" s="5">
        <v>245091</v>
      </c>
      <c r="D2" s="5">
        <v>521418</v>
      </c>
      <c r="E2" s="5">
        <v>671136</v>
      </c>
      <c r="F2" s="5">
        <v>0</v>
      </c>
      <c r="G2" s="5">
        <v>788599</v>
      </c>
      <c r="H2" s="5">
        <f>=SUM(B2:G2)</f>
        <v>0</v>
      </c>
    </row>
    <row r="3" ht="20" customHeight="1">
      <c r="A3" s="4" t="str">
        <v>Operations (supplies, consultants, travels, workshops, other)</v>
      </c>
      <c r="B3" s="5">
        <v>10000</v>
      </c>
      <c r="C3" s="5">
        <v>139862</v>
      </c>
      <c r="D3" s="5">
        <v>50509</v>
      </c>
      <c r="E3" s="5">
        <v>287629</v>
      </c>
      <c r="F3" s="5">
        <v>0</v>
      </c>
      <c r="G3" s="5">
        <v>337973</v>
      </c>
      <c r="H3" s="5">
        <f>=SUM(B3:G3)</f>
        <v>0</v>
      </c>
    </row>
    <row r="4" ht="20" customHeight="1">
      <c r="A4" s="4" t="str">
        <v>Collaborators non-CGIAR centers</v>
      </c>
      <c r="B4" s="5">
        <v>0</v>
      </c>
      <c r="C4" s="5">
        <v>0</v>
      </c>
      <c r="D4" s="5">
        <v>21000</v>
      </c>
      <c r="E4" s="5">
        <v>30000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Mexico</v>
      </c>
      <c r="D2" s="5">
        <v>100</v>
      </c>
      <c r="E2" s="4">
        <v>1878</v>
      </c>
    </row>
    <row r="3" ht="45" customHeight="1">
      <c r="A3" s="8" t="str">
        <v>AOW01: Accelerating AI-Enabled Farm Advisory at Scale.</v>
      </c>
      <c r="B3" s="4" t="str">
        <v>CIMMYT</v>
      </c>
      <c r="C3" s="4" t="str">
        <v>Ethiopia</v>
      </c>
      <c r="D3" s="5">
        <v>20</v>
      </c>
      <c r="E3" s="4">
        <v>1635</v>
      </c>
    </row>
    <row r="4" ht="45" customHeight="1">
      <c r="A4" s="4" t="str">
        <v>AOW01: Accelerating AI-Enabled Farm Advisory at Scale.</v>
      </c>
      <c r="B4" s="4" t="str">
        <v>CIMMYT</v>
      </c>
      <c r="C4" s="4" t="str">
        <v>India</v>
      </c>
      <c r="D4" s="5">
        <v>20</v>
      </c>
      <c r="E4" s="4">
        <v>1636</v>
      </c>
    </row>
    <row r="5" ht="45" customHeight="1">
      <c r="A5" s="4" t="str">
        <v>AOW01: Accelerating AI-Enabled Farm Advisory at Scale.</v>
      </c>
      <c r="B5" s="4" t="str">
        <v>CIMMYT</v>
      </c>
      <c r="C5" s="4" t="str">
        <v>Kenya</v>
      </c>
      <c r="D5" s="5">
        <v>20</v>
      </c>
      <c r="E5" s="4">
        <v>1637</v>
      </c>
    </row>
    <row r="6" ht="45" customHeight="1">
      <c r="A6" s="4" t="str">
        <v>AOW01: Accelerating AI-Enabled Farm Advisory at Scale.</v>
      </c>
      <c r="B6" s="4" t="str">
        <v>CIMMYT</v>
      </c>
      <c r="C6" s="4" t="str">
        <v>Mexico</v>
      </c>
      <c r="D6" s="5">
        <v>20</v>
      </c>
      <c r="E6" s="4">
        <v>1638</v>
      </c>
    </row>
    <row r="7" ht="45" customHeight="1">
      <c r="A7" s="4" t="str">
        <v>AOW01: Accelerating AI-Enabled Farm Advisory at Scale.</v>
      </c>
      <c r="B7" s="4" t="str">
        <v>CIMMYT</v>
      </c>
      <c r="C7" s="4" t="str">
        <v>Nigeria</v>
      </c>
      <c r="D7" s="5">
        <v>20</v>
      </c>
      <c r="E7" s="4">
        <v>1639</v>
      </c>
    </row>
    <row r="8" ht="45" customHeight="1">
      <c r="A8" s="8" t="str">
        <v>AOW02: Enabling Preparedness and Rapid Response to Emerging Shocks</v>
      </c>
      <c r="B8" s="4" t="str">
        <v>CIMMYT</v>
      </c>
      <c r="C8" s="4" t="str">
        <v>Bangladesh</v>
      </c>
      <c r="D8" s="5">
        <v>4</v>
      </c>
      <c r="E8" s="4">
        <v>1670</v>
      </c>
    </row>
    <row r="9" ht="45" customHeight="1">
      <c r="A9" s="4" t="str">
        <v>AOW02: Enabling Preparedness and Rapid Response to Emerging Shocks</v>
      </c>
      <c r="B9" s="4" t="str">
        <v>CIMMYT</v>
      </c>
      <c r="C9" s="4" t="str">
        <v>Burkina Faso</v>
      </c>
      <c r="D9" s="5">
        <v>4</v>
      </c>
      <c r="E9" s="4">
        <v>1671</v>
      </c>
    </row>
    <row r="10" ht="45" customHeight="1">
      <c r="A10" s="4" t="str">
        <v>AOW02: Enabling Preparedness and Rapid Response to Emerging Shocks</v>
      </c>
      <c r="B10" s="4" t="str">
        <v>CIMMYT</v>
      </c>
      <c r="C10" s="4" t="str">
        <v>Cameroon</v>
      </c>
      <c r="D10" s="5">
        <v>4</v>
      </c>
      <c r="E10" s="4">
        <v>1672</v>
      </c>
    </row>
    <row r="11" ht="45" customHeight="1">
      <c r="A11" s="4" t="str">
        <v>AOW02: Enabling Preparedness and Rapid Response to Emerging Shocks</v>
      </c>
      <c r="B11" s="4" t="str">
        <v>CIMMYT</v>
      </c>
      <c r="C11" s="4" t="str">
        <v>Chad</v>
      </c>
      <c r="D11" s="5">
        <v>4</v>
      </c>
      <c r="E11" s="4">
        <v>1673</v>
      </c>
    </row>
    <row r="12" ht="45" customHeight="1">
      <c r="A12" s="4" t="str">
        <v>AOW02: Enabling Preparedness and Rapid Response to Emerging Shocks</v>
      </c>
      <c r="B12" s="4" t="str">
        <v>CIMMYT</v>
      </c>
      <c r="C12" s="4" t="str">
        <v>Colombia</v>
      </c>
      <c r="D12" s="5">
        <v>4</v>
      </c>
      <c r="E12" s="4">
        <v>1674</v>
      </c>
    </row>
    <row r="13" ht="45" customHeight="1">
      <c r="A13" s="4" t="str">
        <v>AOW02: Enabling Preparedness and Rapid Response to Emerging Shocks</v>
      </c>
      <c r="B13" s="4" t="str">
        <v>CIMMYT</v>
      </c>
      <c r="C13" s="4" t="str">
        <v>Ethiopia</v>
      </c>
      <c r="D13" s="5">
        <v>4</v>
      </c>
      <c r="E13" s="4">
        <v>1675</v>
      </c>
    </row>
    <row r="14" ht="45" customHeight="1">
      <c r="A14" s="4" t="str">
        <v>AOW02: Enabling Preparedness and Rapid Response to Emerging Shocks</v>
      </c>
      <c r="B14" s="4" t="str">
        <v>CIMMYT</v>
      </c>
      <c r="C14" s="4" t="str">
        <v>Ghana</v>
      </c>
      <c r="D14" s="5">
        <v>4</v>
      </c>
      <c r="E14" s="4">
        <v>1676</v>
      </c>
    </row>
    <row r="15" ht="45" customHeight="1">
      <c r="A15" s="4" t="str">
        <v>AOW02: Enabling Preparedness and Rapid Response to Emerging Shocks</v>
      </c>
      <c r="B15" s="4" t="str">
        <v>CIMMYT</v>
      </c>
      <c r="C15" s="4" t="str">
        <v>India</v>
      </c>
      <c r="D15" s="5">
        <v>4</v>
      </c>
      <c r="E15" s="4">
        <v>1677</v>
      </c>
    </row>
    <row r="16" ht="45" customHeight="1">
      <c r="A16" s="4" t="str">
        <v>AOW02: Enabling Preparedness and Rapid Response to Emerging Shocks</v>
      </c>
      <c r="B16" s="4" t="str">
        <v>CIMMYT</v>
      </c>
      <c r="C16" s="4" t="str">
        <v>Kenya</v>
      </c>
      <c r="D16" s="5">
        <v>4</v>
      </c>
      <c r="E16" s="4">
        <v>1678</v>
      </c>
    </row>
    <row r="17" ht="45" customHeight="1">
      <c r="A17" s="4" t="str">
        <v>AOW02: Enabling Preparedness and Rapid Response to Emerging Shocks</v>
      </c>
      <c r="B17" s="4" t="str">
        <v>CIMMYT</v>
      </c>
      <c r="C17" s="4" t="str">
        <v>Malawi</v>
      </c>
      <c r="D17" s="5">
        <v>4</v>
      </c>
      <c r="E17" s="4">
        <v>1679</v>
      </c>
    </row>
    <row r="18" ht="45" customHeight="1">
      <c r="A18" s="4" t="str">
        <v>AOW02: Enabling Preparedness and Rapid Response to Emerging Shocks</v>
      </c>
      <c r="B18" s="4" t="str">
        <v>CIMMYT</v>
      </c>
      <c r="C18" s="4" t="str">
        <v>Mali</v>
      </c>
      <c r="D18" s="5">
        <v>4</v>
      </c>
      <c r="E18" s="4">
        <v>1680</v>
      </c>
    </row>
    <row r="19" ht="45" customHeight="1">
      <c r="A19" s="4" t="str">
        <v>AOW02: Enabling Preparedness and Rapid Response to Emerging Shocks</v>
      </c>
      <c r="B19" s="4" t="str">
        <v>CIMMYT</v>
      </c>
      <c r="C19" s="4" t="str">
        <v>Mozambique</v>
      </c>
      <c r="D19" s="5">
        <v>4</v>
      </c>
      <c r="E19" s="4">
        <v>1681</v>
      </c>
    </row>
    <row r="20" ht="45" customHeight="1">
      <c r="A20" s="4" t="str">
        <v>AOW02: Enabling Preparedness and Rapid Response to Emerging Shocks</v>
      </c>
      <c r="B20" s="4" t="str">
        <v>CIMMYT</v>
      </c>
      <c r="C20" s="4" t="str">
        <v>Netherlands (Kingdom of the)</v>
      </c>
      <c r="D20" s="5">
        <v>4</v>
      </c>
      <c r="E20" s="4">
        <v>1682</v>
      </c>
    </row>
    <row r="21" ht="45" customHeight="1">
      <c r="A21" s="4" t="str">
        <v>AOW02: Enabling Preparedness and Rapid Response to Emerging Shocks</v>
      </c>
      <c r="B21" s="4" t="str">
        <v>CIMMYT</v>
      </c>
      <c r="C21" s="4" t="str">
        <v>Niger</v>
      </c>
      <c r="D21" s="5">
        <v>4</v>
      </c>
      <c r="E21" s="4">
        <v>1683</v>
      </c>
    </row>
    <row r="22" ht="45" customHeight="1">
      <c r="A22" s="4" t="str">
        <v>AOW02: Enabling Preparedness and Rapid Response to Emerging Shocks</v>
      </c>
      <c r="B22" s="4" t="str">
        <v>CIMMYT</v>
      </c>
      <c r="C22" s="4" t="str">
        <v>Nigeria</v>
      </c>
      <c r="D22" s="5">
        <v>4</v>
      </c>
      <c r="E22" s="4">
        <v>1684</v>
      </c>
    </row>
    <row r="23" ht="45" customHeight="1">
      <c r="A23" s="4" t="str">
        <v>AOW02: Enabling Preparedness and Rapid Response to Emerging Shocks</v>
      </c>
      <c r="B23" s="4" t="str">
        <v>CIMMYT</v>
      </c>
      <c r="C23" s="4" t="str">
        <v>Philippines</v>
      </c>
      <c r="D23" s="5">
        <v>4</v>
      </c>
      <c r="E23" s="4">
        <v>1685</v>
      </c>
    </row>
    <row r="24" ht="45" customHeight="1">
      <c r="A24" s="4" t="str">
        <v>AOW02: Enabling Preparedness and Rapid Response to Emerging Shocks</v>
      </c>
      <c r="B24" s="4" t="str">
        <v>CIMMYT</v>
      </c>
      <c r="C24" s="4" t="str">
        <v>Senegal</v>
      </c>
      <c r="D24" s="5">
        <v>4</v>
      </c>
      <c r="E24" s="4">
        <v>1686</v>
      </c>
    </row>
    <row r="25" ht="45" customHeight="1">
      <c r="A25" s="4" t="str">
        <v>AOW02: Enabling Preparedness and Rapid Response to Emerging Shocks</v>
      </c>
      <c r="B25" s="4" t="str">
        <v>CIMMYT</v>
      </c>
      <c r="C25" s="4" t="str">
        <v>South Sudan</v>
      </c>
      <c r="D25" s="5">
        <v>4</v>
      </c>
      <c r="E25" s="4">
        <v>1687</v>
      </c>
    </row>
    <row r="26" ht="45" customHeight="1">
      <c r="A26" s="4" t="str">
        <v>AOW02: Enabling Preparedness and Rapid Response to Emerging Shocks</v>
      </c>
      <c r="B26" s="4" t="str">
        <v>CIMMYT</v>
      </c>
      <c r="C26" s="4" t="str">
        <v>Tanzania</v>
      </c>
      <c r="D26" s="5">
        <v>4</v>
      </c>
      <c r="E26" s="4">
        <v>1688</v>
      </c>
    </row>
    <row r="27" ht="45" customHeight="1">
      <c r="A27" s="4" t="str">
        <v>AOW02: Enabling Preparedness and Rapid Response to Emerging Shocks</v>
      </c>
      <c r="B27" s="4" t="str">
        <v>CIMMYT</v>
      </c>
      <c r="C27" s="4" t="str">
        <v>The Democratic Republic of the Congo</v>
      </c>
      <c r="D27" s="5">
        <v>4</v>
      </c>
      <c r="E27" s="4">
        <v>1689</v>
      </c>
    </row>
    <row r="28" ht="45" customHeight="1">
      <c r="A28" s="4" t="str">
        <v>AOW02: Enabling Preparedness and Rapid Response to Emerging Shocks</v>
      </c>
      <c r="B28" s="4" t="str">
        <v>CIMMYT</v>
      </c>
      <c r="C28" s="4" t="str">
        <v>Togo</v>
      </c>
      <c r="D28" s="5">
        <v>4</v>
      </c>
      <c r="E28" s="4">
        <v>1690</v>
      </c>
    </row>
    <row r="29" ht="45" customHeight="1">
      <c r="A29" s="4" t="str">
        <v>AOW02: Enabling Preparedness and Rapid Response to Emerging Shocks</v>
      </c>
      <c r="B29" s="4" t="str">
        <v>CIMMYT</v>
      </c>
      <c r="C29" s="4" t="str">
        <v>Uganda</v>
      </c>
      <c r="D29" s="5">
        <v>4</v>
      </c>
      <c r="E29" s="4">
        <v>1691</v>
      </c>
    </row>
    <row r="30" ht="45" customHeight="1">
      <c r="A30" s="4" t="str">
        <v>AOW02: Enabling Preparedness and Rapid Response to Emerging Shocks</v>
      </c>
      <c r="B30" s="4" t="str">
        <v>CIMMYT</v>
      </c>
      <c r="C30" s="4" t="str">
        <v>United Republic</v>
      </c>
      <c r="D30" s="5">
        <v>4</v>
      </c>
      <c r="E30" s="4">
        <v>1692</v>
      </c>
    </row>
    <row r="31" ht="45" customHeight="1">
      <c r="A31" s="4" t="str">
        <v>AOW02: Enabling Preparedness and Rapid Response to Emerging Shocks</v>
      </c>
      <c r="B31" s="4" t="str">
        <v>CIMMYT</v>
      </c>
      <c r="C31" s="4" t="str">
        <v>Zambia</v>
      </c>
      <c r="D31" s="5">
        <v>4</v>
      </c>
      <c r="E31" s="4">
        <v>1693</v>
      </c>
    </row>
    <row r="32" ht="45" customHeight="1">
      <c r="A32" s="4" t="str">
        <v>AOW02: Enabling Preparedness and Rapid Response to Emerging Shocks</v>
      </c>
      <c r="B32" s="4" t="str">
        <v>CIMMYT</v>
      </c>
      <c r="C32" s="4" t="str">
        <v>Zimbabwe</v>
      </c>
      <c r="D32" s="5">
        <v>4</v>
      </c>
      <c r="E32" s="4">
        <v>1694</v>
      </c>
    </row>
    <row r="33" ht="45" customHeight="1">
      <c r="A33" s="8" t="str">
        <v>AOW03: Delivering Integrated Solutions to Systemic Farm-Level Binding Constraints</v>
      </c>
      <c r="B33" s="4" t="str">
        <v>CIMMYT</v>
      </c>
      <c r="C33" s="4" t="str">
        <v>Ethiopia</v>
      </c>
      <c r="D33" s="5">
        <v>14</v>
      </c>
      <c r="E33" s="4">
        <v>1918</v>
      </c>
    </row>
    <row r="34" ht="45" customHeight="1">
      <c r="A34" s="4" t="str">
        <v>AOW03: Delivering Integrated Solutions to Systemic Farm-Level Binding Constraints</v>
      </c>
      <c r="B34" s="4" t="str">
        <v>CIMMYT</v>
      </c>
      <c r="C34" s="4" t="str">
        <v>India</v>
      </c>
      <c r="D34" s="5">
        <v>14</v>
      </c>
      <c r="E34" s="4">
        <v>1915</v>
      </c>
    </row>
    <row r="35" ht="45" customHeight="1">
      <c r="A35" s="4" t="str">
        <v>AOW03: Delivering Integrated Solutions to Systemic Farm-Level Binding Constraints</v>
      </c>
      <c r="B35" s="4" t="str">
        <v>CIMMYT</v>
      </c>
      <c r="C35" s="4" t="str">
        <v>Kenya</v>
      </c>
      <c r="D35" s="5">
        <v>14</v>
      </c>
      <c r="E35" s="4">
        <v>1917</v>
      </c>
    </row>
    <row r="36" ht="45" customHeight="1">
      <c r="A36" s="4" t="str">
        <v>AOW03: Delivering Integrated Solutions to Systemic Farm-Level Binding Constraints</v>
      </c>
      <c r="B36" s="4" t="str">
        <v>CIMMYT</v>
      </c>
      <c r="C36" s="4" t="str">
        <v>Mexico</v>
      </c>
      <c r="D36" s="5">
        <v>15</v>
      </c>
      <c r="E36" s="4">
        <v>1921</v>
      </c>
    </row>
    <row r="37" ht="45" customHeight="1">
      <c r="A37" s="4" t="str">
        <v>AOW03: Delivering Integrated Solutions to Systemic Farm-Level Binding Constraints</v>
      </c>
      <c r="B37" s="4" t="str">
        <v>CIMMYT</v>
      </c>
      <c r="C37" s="4" t="str">
        <v>Nepal</v>
      </c>
      <c r="D37" s="5">
        <v>15</v>
      </c>
      <c r="E37" s="4">
        <v>1916</v>
      </c>
    </row>
    <row r="38" ht="45" customHeight="1">
      <c r="A38" s="4" t="str">
        <v>AOW03: Delivering Integrated Solutions to Systemic Farm-Level Binding Constraints</v>
      </c>
      <c r="B38" s="4" t="str">
        <v>CIMMYT</v>
      </c>
      <c r="C38" s="4" t="str">
        <v>The Socialist Republic of Viet Nam</v>
      </c>
      <c r="D38" s="5">
        <v>14</v>
      </c>
      <c r="E38" s="4">
        <v>1919</v>
      </c>
    </row>
    <row r="39" ht="45" customHeight="1">
      <c r="A39" s="4" t="str">
        <v>AOW03: Delivering Integrated Solutions to Systemic Farm-Level Binding Constraints</v>
      </c>
      <c r="B39" s="4" t="str">
        <v>CIMMYT</v>
      </c>
      <c r="C39" s="4" t="str">
        <v>Zambia</v>
      </c>
      <c r="D39" s="5">
        <v>14</v>
      </c>
      <c r="E39" s="4">
        <v>1920</v>
      </c>
    </row>
    <row r="40" ht="45" customHeight="1">
      <c r="A40" s="8" t="str">
        <v>AOW05: Accelerating Impact</v>
      </c>
      <c r="B40" s="4" t="str">
        <v>CIMMYT</v>
      </c>
      <c r="C40" s="4" t="str">
        <v>Ethiopia</v>
      </c>
      <c r="D40" s="5">
        <v>25</v>
      </c>
      <c r="E40" s="4">
        <v>3142</v>
      </c>
    </row>
    <row r="41" ht="45" customHeight="1">
      <c r="A41" s="4" t="str">
        <v>AOW05: Accelerating Impact</v>
      </c>
      <c r="B41" s="4" t="str">
        <v>CIMMYT</v>
      </c>
      <c r="C41" s="4" t="str">
        <v>India</v>
      </c>
      <c r="D41" s="5">
        <v>25</v>
      </c>
      <c r="E41" s="4">
        <v>3140</v>
      </c>
    </row>
    <row r="42" ht="45" customHeight="1">
      <c r="A42" s="4" t="str">
        <v>AOW05: Accelerating Impact</v>
      </c>
      <c r="B42" s="4" t="str">
        <v>CIMMYT</v>
      </c>
      <c r="C42" s="4" t="str">
        <v>Mexico</v>
      </c>
      <c r="D42" s="5">
        <v>25</v>
      </c>
      <c r="E42" s="4">
        <v>3143</v>
      </c>
    </row>
    <row r="43" ht="45" customHeight="1">
      <c r="A43" s="4" t="str">
        <v>AOW05: Accelerating Impact</v>
      </c>
      <c r="B43" s="4" t="str">
        <v>CIMMYT</v>
      </c>
      <c r="C43" s="4" t="str">
        <v>Zimbabwe</v>
      </c>
      <c r="D43" s="5">
        <v>25</v>
      </c>
      <c r="E43" s="4">
        <v>3141</v>
      </c>
    </row>
  </sheetData>
  <mergeCells count="5">
    <mergeCell ref="A2"/>
    <mergeCell ref="A3:A7"/>
    <mergeCell ref="A8:A32"/>
    <mergeCell ref="A33:A39"/>
    <mergeCell ref="A40:A43"/>
  </mergeCells>
  <ignoredErrors>
    <ignoredError numberStoredAsText="1" sqref="A1:E43"/>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647</v>
      </c>
    </row>
    <row r="3" ht="45" customHeight="1">
      <c r="A3" s="8" t="str">
        <v>AOW01: Accelerating AI-Enabled Farm Advisory at Scale.</v>
      </c>
      <c r="B3" s="4" t="str">
        <v>CIMMYT</v>
      </c>
      <c r="C3" s="4" t="str">
        <v>Global</v>
      </c>
      <c r="D3" s="4" t="str">
        <v>global</v>
      </c>
      <c r="E3" s="5">
        <v>69</v>
      </c>
      <c r="F3" s="4">
        <v>575</v>
      </c>
    </row>
    <row r="4" ht="45" customHeight="1">
      <c r="A4" s="4" t="str">
        <v>AOW01: Accelerating AI-Enabled Farm Advisory at Scale.</v>
      </c>
      <c r="B4" s="4" t="str">
        <v>CIMMYT</v>
      </c>
      <c r="C4" s="4" t="str">
        <v>Eastern Africa</v>
      </c>
      <c r="D4" s="4" t="str">
        <v>region</v>
      </c>
      <c r="E4" s="5">
        <v>31</v>
      </c>
      <c r="F4" s="4">
        <v>574</v>
      </c>
    </row>
    <row r="5" ht="45" customHeight="1">
      <c r="A5" s="8" t="str">
        <v>AOW02: Enabling Preparedness and Rapid Response to Emerging Shocks</v>
      </c>
      <c r="B5" s="4" t="str">
        <v>CIMMYT</v>
      </c>
      <c r="C5" s="4" t="str">
        <v>Global</v>
      </c>
      <c r="D5" s="4" t="str">
        <v>global</v>
      </c>
      <c r="E5" s="5">
        <v>100</v>
      </c>
      <c r="F5" s="4">
        <v>581</v>
      </c>
    </row>
    <row r="6" ht="45" customHeight="1">
      <c r="A6" s="8" t="str">
        <v>AOW03: Delivering Integrated Solutions to Systemic Farm-Level Binding Constraints</v>
      </c>
      <c r="B6" s="4" t="str">
        <v>CIMMYT</v>
      </c>
      <c r="C6" s="4" t="str">
        <v>Global</v>
      </c>
      <c r="D6" s="4" t="str">
        <v>global</v>
      </c>
      <c r="E6" s="5">
        <v>100</v>
      </c>
      <c r="F6" s="4">
        <v>662</v>
      </c>
    </row>
    <row r="7" ht="45" customHeight="1">
      <c r="A7" s="8" t="str">
        <v>AOW05: Accelerating Impact</v>
      </c>
      <c r="B7" s="4" t="str">
        <v>CIMMYT</v>
      </c>
      <c r="C7" s="4" t="str">
        <v>Global</v>
      </c>
      <c r="D7" s="4" t="str">
        <v>global</v>
      </c>
      <c r="E7" s="5">
        <v>50</v>
      </c>
      <c r="F7" s="4">
        <v>1268</v>
      </c>
    </row>
    <row r="8" ht="45" customHeight="1">
      <c r="A8" s="4" t="str">
        <v>AOW05: Accelerating Impact</v>
      </c>
      <c r="B8" s="4" t="str">
        <v>CIMMYT</v>
      </c>
      <c r="C8" s="4" t="str">
        <v>Bangladesh</v>
      </c>
      <c r="D8" s="4" t="str">
        <v>country</v>
      </c>
      <c r="E8" s="5">
        <v>5</v>
      </c>
      <c r="F8" s="4">
        <v>1266</v>
      </c>
    </row>
    <row r="9" ht="45" customHeight="1">
      <c r="A9" s="4" t="str">
        <v>AOW05: Accelerating Impact</v>
      </c>
      <c r="B9" s="4" t="str">
        <v>CIMMYT</v>
      </c>
      <c r="C9" s="4" t="str">
        <v>Colombia</v>
      </c>
      <c r="D9" s="4" t="str">
        <v>country</v>
      </c>
      <c r="E9" s="5">
        <v>5</v>
      </c>
      <c r="F9" s="4">
        <v>1265</v>
      </c>
    </row>
    <row r="10" ht="45" customHeight="1">
      <c r="A10" s="4" t="str">
        <v>AOW05: Accelerating Impact</v>
      </c>
      <c r="B10" s="4" t="str">
        <v>CIMMYT</v>
      </c>
      <c r="C10" s="4" t="str">
        <v>Ethiopia</v>
      </c>
      <c r="D10" s="4" t="str">
        <v>country</v>
      </c>
      <c r="E10" s="5">
        <v>10</v>
      </c>
      <c r="F10" s="4">
        <v>1261</v>
      </c>
    </row>
    <row r="11" ht="45" customHeight="1">
      <c r="A11" s="4" t="str">
        <v>AOW05: Accelerating Impact</v>
      </c>
      <c r="B11" s="4" t="str">
        <v>CIMMYT</v>
      </c>
      <c r="C11" s="4" t="str">
        <v>India</v>
      </c>
      <c r="D11" s="4" t="str">
        <v>country</v>
      </c>
      <c r="E11" s="5">
        <v>10</v>
      </c>
      <c r="F11" s="4">
        <v>1267</v>
      </c>
    </row>
    <row r="12" ht="45" customHeight="1">
      <c r="A12" s="4" t="str">
        <v>AOW05: Accelerating Impact</v>
      </c>
      <c r="B12" s="4" t="str">
        <v>CIMMYT</v>
      </c>
      <c r="C12" s="4" t="str">
        <v>Malawi</v>
      </c>
      <c r="D12" s="4" t="str">
        <v>country</v>
      </c>
      <c r="E12" s="5">
        <v>10</v>
      </c>
      <c r="F12" s="4">
        <v>1262</v>
      </c>
    </row>
    <row r="13" ht="45" customHeight="1">
      <c r="A13" s="4" t="str">
        <v>AOW05: Accelerating Impact</v>
      </c>
      <c r="B13" s="4" t="str">
        <v>CIMMYT</v>
      </c>
      <c r="C13" s="4" t="str">
        <v>Mexico</v>
      </c>
      <c r="D13" s="4" t="str">
        <v>country</v>
      </c>
      <c r="E13" s="5">
        <v>5</v>
      </c>
      <c r="F13" s="4">
        <v>1263</v>
      </c>
    </row>
    <row r="14" ht="45" customHeight="1">
      <c r="A14" s="4" t="str">
        <v>AOW05: Accelerating Impact</v>
      </c>
      <c r="B14" s="4" t="str">
        <v>CIMMYT</v>
      </c>
      <c r="C14" s="4" t="str">
        <v>Peru</v>
      </c>
      <c r="D14" s="4" t="str">
        <v>country</v>
      </c>
      <c r="E14" s="5">
        <v>5</v>
      </c>
      <c r="F14" s="4">
        <v>1264</v>
      </c>
    </row>
  </sheetData>
  <mergeCells count="5">
    <mergeCell ref="A2"/>
    <mergeCell ref="A3:A4"/>
    <mergeCell ref="A5"/>
    <mergeCell ref="A6"/>
    <mergeCell ref="A7: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