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0</v>
      </c>
      <c r="K4" s="5">
        <v>0</v>
      </c>
      <c r="L4" s="5">
        <v>0</v>
      </c>
      <c r="M4" s="5">
        <v>0</v>
      </c>
      <c r="N4" s="4">
        <v>169</v>
      </c>
    </row>
    <row r="5" ht="20" customHeight="1">
      <c r="A5" s="4" t="str">
        <v>AOW01: Accelerating AI-Enabled Farm Advisory at Scale.</v>
      </c>
      <c r="B5" s="5">
        <v>1</v>
      </c>
      <c r="C5" s="5">
        <v>11513</v>
      </c>
      <c r="D5" s="5">
        <v>2</v>
      </c>
      <c r="E5" s="5">
        <v>71596</v>
      </c>
      <c r="F5" s="5">
        <v>0</v>
      </c>
      <c r="G5" s="5">
        <v>0</v>
      </c>
      <c r="H5" s="5">
        <v>0</v>
      </c>
      <c r="I5" s="5">
        <v>0</v>
      </c>
      <c r="J5" s="5">
        <v>83109</v>
      </c>
      <c r="K5" s="5">
        <v>83109</v>
      </c>
      <c r="L5" s="5">
        <v>5000</v>
      </c>
      <c r="M5" s="5">
        <v>0</v>
      </c>
      <c r="N5" s="4">
        <v>168</v>
      </c>
    </row>
    <row r="6" ht="20" customHeight="1">
      <c r="A6" s="4" t="str">
        <v>AOW02: Enabling Preparedness and Rapid Response to Emerging Shocks</v>
      </c>
      <c r="B6" s="5">
        <v>0</v>
      </c>
      <c r="C6" s="5">
        <v>0</v>
      </c>
      <c r="D6" s="5">
        <v>1</v>
      </c>
      <c r="E6" s="5">
        <v>161399</v>
      </c>
      <c r="F6" s="5">
        <v>0</v>
      </c>
      <c r="G6" s="5">
        <v>0</v>
      </c>
      <c r="H6" s="5">
        <v>0</v>
      </c>
      <c r="I6" s="5">
        <v>0</v>
      </c>
      <c r="J6" s="5">
        <v>161399</v>
      </c>
      <c r="K6" s="5">
        <v>161399</v>
      </c>
      <c r="L6" s="5">
        <v>10000</v>
      </c>
      <c r="M6" s="5">
        <v>0</v>
      </c>
      <c r="N6" s="4">
        <v>166</v>
      </c>
    </row>
    <row r="7" ht="20" customHeight="1">
      <c r="A7" s="4" t="str">
        <v>AOW03: Delivering Integrated Solutions to Systemic Farm-Level Binding Constraints</v>
      </c>
      <c r="B7" s="5">
        <v>3</v>
      </c>
      <c r="C7" s="5">
        <v>116525</v>
      </c>
      <c r="D7" s="5">
        <v>5</v>
      </c>
      <c r="E7" s="5">
        <v>50760</v>
      </c>
      <c r="F7" s="5">
        <v>10000</v>
      </c>
      <c r="G7" s="5">
        <v>27293</v>
      </c>
      <c r="H7" s="5">
        <v>0</v>
      </c>
      <c r="I7" s="5">
        <v>0</v>
      </c>
      <c r="J7" s="5">
        <v>194578</v>
      </c>
      <c r="K7" s="5">
        <v>194578</v>
      </c>
      <c r="L7" s="5">
        <v>0</v>
      </c>
      <c r="M7" s="5">
        <v>0</v>
      </c>
      <c r="N7" s="4">
        <v>164</v>
      </c>
    </row>
    <row r="8" ht="20" customHeight="1">
      <c r="A8" s="4" t="str">
        <v>AOW04: Incubating Innovation in Sustainable Farming</v>
      </c>
      <c r="B8" s="5">
        <v>0</v>
      </c>
      <c r="C8" s="5">
        <v>0</v>
      </c>
      <c r="D8" s="5">
        <v>0</v>
      </c>
      <c r="E8" s="5">
        <v>0</v>
      </c>
      <c r="F8" s="5">
        <v>0</v>
      </c>
      <c r="G8" s="5">
        <v>0</v>
      </c>
      <c r="H8" s="5">
        <v>0</v>
      </c>
      <c r="I8" s="5">
        <v>0</v>
      </c>
      <c r="J8" s="5">
        <v>0</v>
      </c>
      <c r="K8" s="5">
        <v>0</v>
      </c>
      <c r="L8" s="5">
        <v>0</v>
      </c>
      <c r="M8" s="5">
        <v>0</v>
      </c>
      <c r="N8" s="4">
        <v>165</v>
      </c>
    </row>
    <row r="9" ht="20" customHeight="1">
      <c r="A9" s="4" t="str">
        <v>AOW05: Accelerating Impact</v>
      </c>
      <c r="B9" s="5">
        <v>2</v>
      </c>
      <c r="C9" s="5">
        <v>42304</v>
      </c>
      <c r="D9" s="5">
        <v>3</v>
      </c>
      <c r="E9" s="5">
        <v>31820</v>
      </c>
      <c r="F9" s="5">
        <v>0</v>
      </c>
      <c r="G9" s="5">
        <v>0</v>
      </c>
      <c r="H9" s="5">
        <v>0</v>
      </c>
      <c r="I9" s="5">
        <v>0</v>
      </c>
      <c r="J9" s="5">
        <v>74124</v>
      </c>
      <c r="K9" s="5">
        <v>74124</v>
      </c>
      <c r="L9" s="5">
        <v>0</v>
      </c>
      <c r="M9" s="5">
        <v>0</v>
      </c>
      <c r="N9" s="4">
        <v>167</v>
      </c>
    </row>
    <row r="10" ht="25" customHeight="1">
      <c r="A10" s="6" t="str">
        <v>Total</v>
      </c>
      <c r="B10" s="7" t="str">
        <v/>
      </c>
      <c r="C10" s="7">
        <v>170342</v>
      </c>
      <c r="D10" s="7" t="str">
        <v/>
      </c>
      <c r="E10" s="7">
        <v>315575</v>
      </c>
      <c r="F10" s="7" t="str">
        <v/>
      </c>
      <c r="G10" s="7">
        <v>27293</v>
      </c>
      <c r="H10" s="7" t="str">
        <v/>
      </c>
      <c r="I10" s="7">
        <v>0</v>
      </c>
      <c r="J10" s="7">
        <v>513210</v>
      </c>
      <c r="K10" s="7">
        <v>513210</v>
      </c>
      <c r="L10" s="7">
        <v>15000</v>
      </c>
      <c r="M10" s="7">
        <v>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16"/>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AOW01: Accelerating AI-Enabled Farm Advisory at Scale.</v>
      </c>
      <c r="B3" s="4" t="str">
        <v>Bioversity (Alliance)</v>
      </c>
      <c r="C3" s="4" t="str">
        <v xml:space="preserve">1.2: Benchmarking and performance validation systems </v>
      </c>
      <c r="D3" s="4" t="str">
        <v>Science-based benchmarking protocols for independent in-field and external performance evaluation of AI/digital advisory systems, coupled with a Responsible AI and Ethical Guardrails workshop on human-centred AI — including context, gender, and risk considerations — for East Africa use cases.</v>
      </c>
      <c r="E3" s="4" t="str">
        <v>Number of knowledge products</v>
      </c>
      <c r="F3" s="4" t="str">
        <v>Kenya, Ethiopia, India</v>
      </c>
      <c r="G3" s="5">
        <v>2</v>
      </c>
      <c r="H3" s="5">
        <v>71596</v>
      </c>
      <c r="I3" s="4" t="str">
        <v>No budget assumption</v>
      </c>
      <c r="J3" s="4">
        <v>7943</v>
      </c>
    </row>
    <row r="4" ht="50" customHeight="1">
      <c r="A4" s="4" t="str">
        <v>AOW01: Accelerating AI-Enabled Farm Advisory at Scale.</v>
      </c>
      <c r="B4" s="4" t="str">
        <v>Bioversity (Alliance)</v>
      </c>
      <c r="C4" s="4" t="str">
        <v xml:space="preserve"> 1.1: Agronomic and farm management scientific data and analytics  </v>
      </c>
      <c r="D4" s="4" t="str">
        <v>Integrate cultivar recommendation into the AgWise decision support tool, beginning with harmonized datasets from Ethiopia, Kenya, Ghana, and Malawi for 2026</v>
      </c>
      <c r="E4" s="4" t="str">
        <v>Number of innovations (innovation development)</v>
      </c>
      <c r="F4" s="4" t="str">
        <v>Ethiopia, Ghana, Malawi, Kenya</v>
      </c>
      <c r="G4" s="5">
        <v>1</v>
      </c>
      <c r="H4" s="5">
        <v>11513</v>
      </c>
      <c r="I4" s="4" t="str">
        <v>no budget assumption</v>
      </c>
      <c r="J4" s="4">
        <v>7944</v>
      </c>
    </row>
    <row r="5" ht="25" customHeight="1">
      <c r="C5" s="9" t="str">
        <v>HLO budget subtotal</v>
      </c>
      <c r="H5" s="9">
        <v>83109</v>
      </c>
      <c r="J5" s="9" t="str">
        <v/>
      </c>
    </row>
    <row r="6" ht="50" customHeight="1">
      <c r="A6" s="8" t="str">
        <v>AOW02: Enabling Preparedness and Rapid Response to Emerging Shocks</v>
      </c>
      <c r="B6" s="4" t="str">
        <v>Bioversity (Alliance)</v>
      </c>
      <c r="C6" s="4" t="str">
        <v xml:space="preserve">2.1: Enhanced resolution, accuracy and timeliness of early warning system </v>
      </c>
      <c r="D6" s="4" t="str">
        <v>Enhanced operational early warning systems for pests and disease forecasting in different cropping systems (banana, bean)</v>
      </c>
      <c r="E6" s="4" t="str">
        <v>Number of knowledge products</v>
      </c>
      <c r="F6" s="4" t="str">
        <v>Colombia, Rwanda, Uganda, The Socialist Republic of Viet Nam, The Democratic Republic of the Congo</v>
      </c>
      <c r="G6" s="5">
        <v>1</v>
      </c>
      <c r="H6" s="5">
        <v>161399</v>
      </c>
      <c r="I6" s="4" t="str">
        <v>Additional funding added</v>
      </c>
      <c r="J6" s="4">
        <v>4935</v>
      </c>
    </row>
    <row r="7" ht="25" customHeight="1">
      <c r="C7" s="9" t="str">
        <v>HLO budget subtotal</v>
      </c>
      <c r="H7" s="9">
        <v>161399</v>
      </c>
      <c r="J7" s="9" t="str">
        <v/>
      </c>
    </row>
    <row r="8" ht="50" customHeight="1">
      <c r="A8" s="8" t="str">
        <v>AOW03: Delivering Integrated Solutions to Systemic Farm-Level Binding Constraints</v>
      </c>
      <c r="B8" s="4" t="str">
        <v>Bioversity (Alliance)</v>
      </c>
      <c r="C8" s="4" t="str">
        <v xml:space="preserve">3.2. Validated, farm-level management solutions </v>
      </c>
      <c r="D8" s="4" t="str">
        <v>KPI 3.4.1: Develop and validate integrated plant health solutions that reduce biotic constraints through combined agronomic, biological, and ecological approaches adapted to smallholder systems.</v>
      </c>
      <c r="E8" s="4" t="str">
        <v>Number of innovations (innovation development)</v>
      </c>
      <c r="F8" s="4" t="str">
        <v>Ethiopia, Morocco, Malawi, The Socialist Republic of Viet Nam, Uganda, Kenya, Madagascar, Tanzania, United Republic, Nigeria</v>
      </c>
      <c r="G8" s="5">
        <v>3</v>
      </c>
      <c r="H8" s="5">
        <v>116525</v>
      </c>
      <c r="I8" s="4" t="str">
        <v>no budget assumption</v>
      </c>
      <c r="J8" s="4">
        <v>5040</v>
      </c>
    </row>
    <row r="9" ht="50" customHeight="1">
      <c r="A9" s="4" t="str">
        <v>AOW03: Delivering Integrated Solutions to Systemic Farm-Level Binding Constraints</v>
      </c>
      <c r="B9" s="4" t="str">
        <v>Bioversity (Alliance)</v>
      </c>
      <c r="C9" s="4" t="str">
        <v xml:space="preserve">3.3: Scaled and adopted farm management solutions </v>
      </c>
      <c r="D9" s="4" t="str">
        <v>KPI 3.6.2: Strengthen capacities of farmers, extension agents, and partners through training, advisory services, and digital platforms to enable widespread uptake of solutions addressing farm-level binding constraints.</v>
      </c>
      <c r="E9" s="4" t="str">
        <v>Number of people trained (capacity sharing for development)</v>
      </c>
      <c r="F9" s="4" t="str">
        <v>Zambia, Mexico, Ethiopia, Malawi, Nepal, Kenya, India, The Democratic Republic of the Congo, The Socialist Republic of Viet Nam, Uganda</v>
      </c>
      <c r="G9" s="5">
        <v>10000</v>
      </c>
      <c r="H9" s="5">
        <v>27293</v>
      </c>
      <c r="I9" s="4" t="str">
        <v>no budget assumption</v>
      </c>
      <c r="J9" s="4">
        <v>5057</v>
      </c>
    </row>
    <row r="10" ht="50" customHeight="1">
      <c r="B10" s="4" t="str">
        <v>Bioversity (Alliance)</v>
      </c>
      <c r="D10" s="4" t="str">
        <v>KPI 3.6.1: Assess, document, and communicate adoption, scaling, and impact of validated solutions, generating evidence on how addressing binding constraints improves productivity, and income.</v>
      </c>
      <c r="E10" s="4" t="str">
        <v>Number of knowledge products</v>
      </c>
      <c r="F10" s="4" t="str">
        <v>The Democratic Republic of the Congo, Ethiopia, Ghana, Rwanda, The Socialist Republic of Viet Nam, Malawi, Kenya</v>
      </c>
      <c r="G10" s="5">
        <v>4</v>
      </c>
      <c r="H10" s="5">
        <v>6000</v>
      </c>
      <c r="I10" s="4" t="str">
        <v>no budget assumption</v>
      </c>
      <c r="J10" s="4">
        <v>7820</v>
      </c>
    </row>
    <row r="11" ht="50" customHeight="1">
      <c r="A11" s="4" t="str">
        <v>AOW03: Delivering Integrated Solutions to Systemic Farm-Level Binding Constraints</v>
      </c>
      <c r="B11" s="4" t="str">
        <v>Bioversity (Alliance)</v>
      </c>
      <c r="C11" s="4" t="str">
        <v xml:space="preserve">3.1: Farm-level diagnostic evidence on soil, plant, water, and socio-economic constraints </v>
      </c>
      <c r="D11" s="4" t="str">
        <v>KPI 3.1.2: Generate, standardize, and disseminate diagnostic frameworks, spatial analyses, and evidence products that characterize farm-level binding constraints and guide context-specific intervention targeting.</v>
      </c>
      <c r="E11" s="4" t="str">
        <v>Number of knowledge products</v>
      </c>
      <c r="F11" s="4" t="str">
        <v>Rwanda, India, Malawi, Kenya, Ethiopia, Nepal, Peru, Ghana</v>
      </c>
      <c r="G11" s="5">
        <v>1</v>
      </c>
      <c r="H11" s="5">
        <v>44760</v>
      </c>
      <c r="I11" s="4" t="str">
        <v>with the additional budget</v>
      </c>
      <c r="J11" s="4">
        <v>7774</v>
      </c>
    </row>
    <row r="12" ht="25" customHeight="1">
      <c r="C12" s="9" t="str">
        <v>HLO budget subtotal</v>
      </c>
      <c r="H12" s="9">
        <v>194578</v>
      </c>
      <c r="J12" s="9" t="str">
        <v/>
      </c>
    </row>
    <row r="13" ht="50" customHeight="1">
      <c r="A13" s="8" t="str">
        <v>AOW05: Accelerating Impact</v>
      </c>
      <c r="B13" s="4" t="str">
        <v>Bioversity (Alliance)</v>
      </c>
      <c r="C13" s="4" t="str">
        <v>5.3 FAIR, AI-ready data corpus, data and metadata standards</v>
      </c>
      <c r="D13" s="4" t="str">
        <v>Number of knowledge products on FAIR data and modeling tools</v>
      </c>
      <c r="E13" s="4" t="str">
        <v>Number of knowledge products</v>
      </c>
      <c r="F13" s="4" t="str">
        <v>India, Rwanda, Zimbabwe, Ethiopia, Kenya</v>
      </c>
      <c r="G13" s="5">
        <v>3</v>
      </c>
      <c r="H13" s="5">
        <v>31820</v>
      </c>
      <c r="I13" s="4" t="str">
        <v>new KPI description</v>
      </c>
      <c r="J13" s="4">
        <v>7823</v>
      </c>
    </row>
    <row r="14" ht="50" customHeight="1">
      <c r="B14" s="4" t="str">
        <v>Bioversity (Alliance)</v>
      </c>
      <c r="D14" s="4" t="str">
        <v>Integrated portals and dashboards across AoWs, for stakeholders to interactively explore assets, outputs and impact, analytical tools and download aggregated data to accelerate research and innovation by humans and machines</v>
      </c>
      <c r="E14" s="4" t="str">
        <v>Number of innovations (innovation development)</v>
      </c>
      <c r="F14" s="4" t="str">
        <v>France, Ethiopia, Morocco, Greece, Kenya</v>
      </c>
      <c r="G14" s="5">
        <v>1</v>
      </c>
      <c r="H14" s="5">
        <v>31820</v>
      </c>
      <c r="I14" s="4" t="str">
        <v>as per initial budget</v>
      </c>
      <c r="J14" s="4">
        <v>7825</v>
      </c>
    </row>
    <row r="15" ht="50" customHeight="1">
      <c r="A15" s="4" t="str">
        <v>AOW05: Accelerating Impact</v>
      </c>
      <c r="B15" s="4" t="str">
        <v>Bioversity (Alliance)</v>
      </c>
      <c r="C15" s="4" t="str">
        <v xml:space="preserve">5.5. Well-documented, widely applicable and replicable partnership platforms </v>
      </c>
      <c r="D15" s="4" t="str">
        <v>Multi-stakeholder partnership platforms (PAASSs) framework engaging diverse partners to support the scaling of bundled solutions for multiple crops (cassava, maize, sorghum, soybean, teff, rice, cocoa, coffee, etc) and livestock emerging from AoWs 1–3 in different locations and countries.</v>
      </c>
      <c r="E15" s="4" t="str">
        <v>Number of innovations (innovation development)</v>
      </c>
      <c r="F15" s="4" t="str">
        <v>Côte d'Ivoire, Uganda, Zambia, Nepal, Bangladesh, The Democratic Republic of the Congo, Ghana, Kenya, Nigeria, Tanzania, United Republic, Malawi, Mexico, Ethiopia, Egypt, Morocco, The Socialist Republic of Viet Nam, India, Philippines, Cambodia</v>
      </c>
      <c r="G15" s="5">
        <v>1</v>
      </c>
      <c r="H15" s="5">
        <v>10484</v>
      </c>
      <c r="I15" s="4" t="str">
        <v>additional budget</v>
      </c>
      <c r="J15" s="4">
        <v>7904</v>
      </c>
    </row>
    <row r="16" ht="25" customHeight="1">
      <c r="C16" s="9" t="str">
        <v>HLO budget subtotal</v>
      </c>
      <c r="H16" s="9">
        <v>74124</v>
      </c>
      <c r="J16" s="9" t="str">
        <v/>
      </c>
    </row>
  </sheetData>
  <mergeCells count="16">
    <mergeCell ref="A1:A2"/>
    <mergeCell ref="B1:B2"/>
    <mergeCell ref="C1:C2"/>
    <mergeCell ref="D1:H1"/>
    <mergeCell ref="I1:I2"/>
    <mergeCell ref="J1:J2"/>
    <mergeCell ref="C5:G5"/>
    <mergeCell ref="A3:A5"/>
    <mergeCell ref="C7:G7"/>
    <mergeCell ref="A6:A7"/>
    <mergeCell ref="C9:C10"/>
    <mergeCell ref="C12:G12"/>
    <mergeCell ref="A8:A12"/>
    <mergeCell ref="C13:C14"/>
    <mergeCell ref="C16:G16"/>
    <mergeCell ref="A13:A16"/>
  </mergeCells>
  <ignoredErrors>
    <ignoredError numberStoredAsText="1" sqref="A1:J16"/>
  </ignoredErrors>
</worksheet>
</file>

<file path=xl/worksheets/sheet3.xml><?xml version="1.0" encoding="utf-8"?>
<worksheet xmlns="http://schemas.openxmlformats.org/spreadsheetml/2006/main" xmlns:r="http://schemas.openxmlformats.org/officeDocument/2006/relationships">
  <dimension ref="A1:G5"/>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AOW01: Accelerating AI-Enabled Farm Advisory at Scale.</v>
      </c>
      <c r="B2" s="4" t="str">
        <v>Kenya Agricultural and Livestock Research Organization</v>
      </c>
      <c r="C2" s="4" t="str">
        <v>Bioversity (Alliance)</v>
      </c>
      <c r="D2" s="4" t="str">
        <v>Kenya</v>
      </c>
      <c r="E2" s="5">
        <v>5000</v>
      </c>
      <c r="F2" s="4" t="str">
        <v>No assumption</v>
      </c>
      <c r="G2" s="4">
        <v>206</v>
      </c>
    </row>
    <row r="3" ht="25" customHeight="1">
      <c r="B3" s="9" t="str">
        <v>Contracted partners subtotal</v>
      </c>
      <c r="E3" s="9">
        <v>5000</v>
      </c>
      <c r="F3" s="9" t="str">
        <v/>
      </c>
      <c r="G3" s="9" t="str">
        <v/>
      </c>
    </row>
    <row r="4" ht="50" customHeight="1">
      <c r="A4" s="8" t="str">
        <v>AOW02: Enabling Preparedness and Rapid Response to Emerging Shocks</v>
      </c>
      <c r="B4" s="4" t="str">
        <v>Rwanda Agriculture and Animal Resources Development Board</v>
      </c>
      <c r="C4" s="4" t="str">
        <v>Bioversity (Alliance)</v>
      </c>
      <c r="D4" s="4" t="str">
        <v>Rwanda</v>
      </c>
      <c r="E4" s="5">
        <v>10000</v>
      </c>
      <c r="F4" s="4" t="str">
        <v>as per initial budget</v>
      </c>
      <c r="G4" s="4">
        <v>256</v>
      </c>
    </row>
    <row r="5" ht="25" customHeight="1">
      <c r="B5" s="9" t="str">
        <v>Contracted partners subtotal</v>
      </c>
      <c r="E5" s="9">
        <v>10000</v>
      </c>
      <c r="F5" s="9" t="str">
        <v/>
      </c>
      <c r="G5" s="9" t="str">
        <v/>
      </c>
    </row>
  </sheetData>
  <mergeCells count="4">
    <mergeCell ref="B3:D3"/>
    <mergeCell ref="A2:A3"/>
    <mergeCell ref="B5:D5"/>
    <mergeCell ref="A4:A5"/>
  </mergeCells>
  <ignoredErrors>
    <ignoredError numberStoredAsText="1" sqref="A1:G5"/>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1"/>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sheetData>
  <ignoredErrors>
    <ignoredError numberStoredAsText="1" sqref="A1:G1"/>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0</v>
      </c>
      <c r="C2" s="5">
        <v>54676</v>
      </c>
      <c r="D2" s="5">
        <v>105979</v>
      </c>
      <c r="E2" s="5">
        <v>136205</v>
      </c>
      <c r="F2" s="5">
        <v>0</v>
      </c>
      <c r="G2" s="5">
        <v>51886</v>
      </c>
      <c r="H2" s="5">
        <f>=SUM(B2:G2)</f>
        <v>0</v>
      </c>
    </row>
    <row r="3" ht="20" customHeight="1">
      <c r="A3" s="4" t="str">
        <v>Operations (supplies, consultants, travels, workshops, other)</v>
      </c>
      <c r="B3" s="5">
        <v>0</v>
      </c>
      <c r="C3" s="5">
        <v>23433</v>
      </c>
      <c r="D3" s="5">
        <v>45420</v>
      </c>
      <c r="E3" s="5">
        <v>58373</v>
      </c>
      <c r="F3" s="5">
        <v>0</v>
      </c>
      <c r="G3" s="5">
        <v>22238</v>
      </c>
      <c r="H3" s="5">
        <f>=SUM(B3:G3)</f>
        <v>0</v>
      </c>
    </row>
    <row r="4" ht="20" customHeight="1">
      <c r="A4" s="4" t="str">
        <v>Collaborators non-CGIAR centers</v>
      </c>
      <c r="B4" s="5">
        <v>0</v>
      </c>
      <c r="C4" s="5">
        <v>5000</v>
      </c>
      <c r="D4" s="5">
        <v>10000</v>
      </c>
      <c r="E4" s="5">
        <v>0</v>
      </c>
      <c r="F4" s="5">
        <v>0</v>
      </c>
      <c r="G4" s="5">
        <v>0</v>
      </c>
      <c r="H4" s="5">
        <f>=SUM(B4:G4)</f>
        <v>0</v>
      </c>
    </row>
    <row r="5" ht="20" customHeight="1">
      <c r="A5" s="6" t="str">
        <v>Subtotal</v>
      </c>
      <c r="B5" s="7">
        <f>=SUM(B2:B4)</f>
        <v>0</v>
      </c>
      <c r="C5" s="7">
        <f>=SUM(C2:C4)</f>
        <v>0</v>
      </c>
      <c r="D5" s="7">
        <f>=SUM(D2:D4)</f>
        <v>0</v>
      </c>
      <c r="E5" s="7">
        <f>=SUM(E2:E4)</f>
        <v>0</v>
      </c>
      <c r="F5" s="7">
        <f>=SUM(F2:F4)</f>
        <v>0</v>
      </c>
      <c r="G5" s="7">
        <f>=SUM(G2:G4)</f>
        <v>0</v>
      </c>
      <c r="H5" s="7">
        <f>=SUM(H2:H4)</f>
        <v>0</v>
      </c>
    </row>
  </sheetData>
  <ignoredErrors>
    <ignoredError numberStoredAsText="1" sqref="A1:H5"/>
  </ignoredErrors>
</worksheet>
</file>

<file path=xl/worksheets/sheet8.xml><?xml version="1.0" encoding="utf-8"?>
<worksheet xmlns="http://schemas.openxmlformats.org/spreadsheetml/2006/main" xmlns:r="http://schemas.openxmlformats.org/officeDocument/2006/relationships">
  <dimension ref="A1:E20"/>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AOW01: Accelerating AI-Enabled Farm Advisory at Scale.</v>
      </c>
      <c r="B2" s="4" t="str">
        <v>Bioversity (Alliance)</v>
      </c>
      <c r="C2" s="4" t="str">
        <v>Ethiopia</v>
      </c>
      <c r="D2" s="5">
        <v>41</v>
      </c>
      <c r="E2" s="4">
        <v>1249</v>
      </c>
    </row>
    <row r="3" ht="45" customHeight="1">
      <c r="A3" s="4" t="str">
        <v>AOW01: Accelerating AI-Enabled Farm Advisory at Scale.</v>
      </c>
      <c r="B3" s="4" t="str">
        <v>Bioversity (Alliance)</v>
      </c>
      <c r="C3" s="4" t="str">
        <v>Ghana</v>
      </c>
      <c r="D3" s="5">
        <v>0</v>
      </c>
      <c r="E3" s="4">
        <v>1251</v>
      </c>
    </row>
    <row r="4" ht="45" customHeight="1">
      <c r="A4" s="4" t="str">
        <v>AOW01: Accelerating AI-Enabled Farm Advisory at Scale.</v>
      </c>
      <c r="B4" s="4" t="str">
        <v>Bioversity (Alliance)</v>
      </c>
      <c r="C4" s="4" t="str">
        <v>India</v>
      </c>
      <c r="D4" s="5">
        <v>35</v>
      </c>
      <c r="E4" s="4">
        <v>1248</v>
      </c>
    </row>
    <row r="5" ht="45" customHeight="1">
      <c r="A5" s="4" t="str">
        <v>AOW01: Accelerating AI-Enabled Farm Advisory at Scale.</v>
      </c>
      <c r="B5" s="4" t="str">
        <v>Bioversity (Alliance)</v>
      </c>
      <c r="C5" s="4" t="str">
        <v>Kenya</v>
      </c>
      <c r="D5" s="5">
        <v>18</v>
      </c>
      <c r="E5" s="4">
        <v>1250</v>
      </c>
    </row>
    <row r="6" ht="45" customHeight="1">
      <c r="A6" s="4" t="str">
        <v>AOW01: Accelerating AI-Enabled Farm Advisory at Scale.</v>
      </c>
      <c r="B6" s="4" t="str">
        <v>Bioversity (Alliance)</v>
      </c>
      <c r="C6" s="4" t="str">
        <v>Malawi</v>
      </c>
      <c r="D6" s="5">
        <v>6</v>
      </c>
      <c r="E6" s="4">
        <v>1252</v>
      </c>
    </row>
    <row r="7" ht="45" customHeight="1">
      <c r="A7" s="8" t="str">
        <v>AOW02: Enabling Preparedness and Rapid Response to Emerging Shocks</v>
      </c>
      <c r="B7" s="4" t="str">
        <v>Bioversity (Alliance)</v>
      </c>
      <c r="C7" s="4" t="str">
        <v>Colombia</v>
      </c>
      <c r="D7" s="5">
        <v>20</v>
      </c>
      <c r="E7" s="4">
        <v>1643</v>
      </c>
    </row>
    <row r="8" ht="45" customHeight="1">
      <c r="A8" s="4" t="str">
        <v>AOW02: Enabling Preparedness and Rapid Response to Emerging Shocks</v>
      </c>
      <c r="B8" s="4" t="str">
        <v>Bioversity (Alliance)</v>
      </c>
      <c r="C8" s="4" t="str">
        <v>Rwanda</v>
      </c>
      <c r="D8" s="5">
        <v>20</v>
      </c>
      <c r="E8" s="4">
        <v>1644</v>
      </c>
    </row>
    <row r="9" ht="45" customHeight="1">
      <c r="A9" s="4" t="str">
        <v>AOW02: Enabling Preparedness and Rapid Response to Emerging Shocks</v>
      </c>
      <c r="B9" s="4" t="str">
        <v>Bioversity (Alliance)</v>
      </c>
      <c r="C9" s="4" t="str">
        <v>The Democratic Republic of the Congo</v>
      </c>
      <c r="D9" s="5">
        <v>20</v>
      </c>
      <c r="E9" s="4">
        <v>1645</v>
      </c>
    </row>
    <row r="10" ht="45" customHeight="1">
      <c r="A10" s="4" t="str">
        <v>AOW02: Enabling Preparedness and Rapid Response to Emerging Shocks</v>
      </c>
      <c r="B10" s="4" t="str">
        <v>Bioversity (Alliance)</v>
      </c>
      <c r="C10" s="4" t="str">
        <v>The Socialist Republic of Viet Nam</v>
      </c>
      <c r="D10" s="5">
        <v>20</v>
      </c>
      <c r="E10" s="4">
        <v>1646</v>
      </c>
    </row>
    <row r="11" ht="45" customHeight="1">
      <c r="A11" s="4" t="str">
        <v>AOW02: Enabling Preparedness and Rapid Response to Emerging Shocks</v>
      </c>
      <c r="B11" s="4" t="str">
        <v>Bioversity (Alliance)</v>
      </c>
      <c r="C11" s="4" t="str">
        <v>Uganda</v>
      </c>
      <c r="D11" s="5">
        <v>20</v>
      </c>
      <c r="E11" s="4">
        <v>1647</v>
      </c>
    </row>
    <row r="12" ht="45" customHeight="1">
      <c r="A12" s="8" t="str">
        <v>AOW03: Delivering Integrated Solutions to Systemic Farm-Level Binding Constraints</v>
      </c>
      <c r="B12" s="4" t="str">
        <v>Bioversity (Alliance)</v>
      </c>
      <c r="C12" s="4" t="str">
        <v>Ethiopia</v>
      </c>
      <c r="D12" s="5">
        <v>12</v>
      </c>
      <c r="E12" s="4">
        <v>1894</v>
      </c>
    </row>
    <row r="13" ht="45" customHeight="1">
      <c r="A13" s="4" t="str">
        <v>AOW03: Delivering Integrated Solutions to Systemic Farm-Level Binding Constraints</v>
      </c>
      <c r="B13" s="4" t="str">
        <v>Bioversity (Alliance)</v>
      </c>
      <c r="C13" s="4" t="str">
        <v>Malawi</v>
      </c>
      <c r="D13" s="5">
        <v>12</v>
      </c>
      <c r="E13" s="4">
        <v>1895</v>
      </c>
    </row>
    <row r="14" ht="45" customHeight="1">
      <c r="A14" s="4" t="str">
        <v>AOW03: Delivering Integrated Solutions to Systemic Farm-Level Binding Constraints</v>
      </c>
      <c r="B14" s="4" t="str">
        <v>Bioversity (Alliance)</v>
      </c>
      <c r="C14" s="4" t="str">
        <v>Rwanda</v>
      </c>
      <c r="D14" s="5">
        <v>19</v>
      </c>
      <c r="E14" s="4">
        <v>1896</v>
      </c>
    </row>
    <row r="15" ht="45" customHeight="1">
      <c r="A15" s="4" t="str">
        <v>AOW03: Delivering Integrated Solutions to Systemic Farm-Level Binding Constraints</v>
      </c>
      <c r="B15" s="4" t="str">
        <v>Bioversity (Alliance)</v>
      </c>
      <c r="C15" s="4" t="str">
        <v>The Democratic Republic of the Congo</v>
      </c>
      <c r="D15" s="5">
        <v>19</v>
      </c>
      <c r="E15" s="4">
        <v>1898</v>
      </c>
    </row>
    <row r="16" ht="45" customHeight="1">
      <c r="A16" s="4" t="str">
        <v>AOW03: Delivering Integrated Solutions to Systemic Farm-Level Binding Constraints</v>
      </c>
      <c r="B16" s="4" t="str">
        <v>Bioversity (Alliance)</v>
      </c>
      <c r="C16" s="4" t="str">
        <v>The Socialist Republic of Viet Nam</v>
      </c>
      <c r="D16" s="5">
        <v>19</v>
      </c>
      <c r="E16" s="4">
        <v>1899</v>
      </c>
    </row>
    <row r="17" ht="45" customHeight="1">
      <c r="A17" s="4" t="str">
        <v>AOW03: Delivering Integrated Solutions to Systemic Farm-Level Binding Constraints</v>
      </c>
      <c r="B17" s="4" t="str">
        <v>Bioversity (Alliance)</v>
      </c>
      <c r="C17" s="4" t="str">
        <v>Uganda</v>
      </c>
      <c r="D17" s="5">
        <v>19</v>
      </c>
      <c r="E17" s="4">
        <v>1897</v>
      </c>
    </row>
    <row r="18" ht="45" customHeight="1">
      <c r="A18" s="8" t="str">
        <v>AOW05: Accelerating Impact</v>
      </c>
      <c r="B18" s="4" t="str">
        <v>Bioversity (Alliance)</v>
      </c>
      <c r="C18" s="4" t="str">
        <v>Côte d'Ivoire</v>
      </c>
      <c r="D18" s="5">
        <v>0</v>
      </c>
      <c r="E18" s="4">
        <v>3132</v>
      </c>
    </row>
    <row r="19" ht="45" customHeight="1">
      <c r="A19" s="4" t="str">
        <v>AOW05: Accelerating Impact</v>
      </c>
      <c r="B19" s="4" t="str">
        <v>Bioversity (Alliance)</v>
      </c>
      <c r="C19" s="4" t="str">
        <v>Ethiopia</v>
      </c>
      <c r="D19" s="5">
        <v>16</v>
      </c>
      <c r="E19" s="4">
        <v>3135</v>
      </c>
    </row>
    <row r="20" ht="45" customHeight="1">
      <c r="A20" s="4" t="str">
        <v>AOW05: Accelerating Impact</v>
      </c>
      <c r="B20" s="4" t="str">
        <v>Bioversity (Alliance)</v>
      </c>
      <c r="C20" s="4" t="str">
        <v>Kenya</v>
      </c>
      <c r="D20" s="5">
        <v>84</v>
      </c>
      <c r="E20" s="4">
        <v>3136</v>
      </c>
    </row>
  </sheetData>
  <mergeCells count="4">
    <mergeCell ref="A2:A6"/>
    <mergeCell ref="A7:A11"/>
    <mergeCell ref="A12:A17"/>
    <mergeCell ref="A18:A20"/>
  </mergeCells>
  <ignoredErrors>
    <ignoredError numberStoredAsText="1" sqref="A1:E20"/>
  </ignoredErrors>
</worksheet>
</file>

<file path=xl/worksheets/sheet9.xml><?xml version="1.0" encoding="utf-8"?>
<worksheet xmlns="http://schemas.openxmlformats.org/spreadsheetml/2006/main" xmlns:r="http://schemas.openxmlformats.org/officeDocument/2006/relationships">
  <dimension ref="A1:F11"/>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AOW01: Accelerating AI-Enabled Farm Advisory at Scale.</v>
      </c>
      <c r="B2" s="4" t="str">
        <v>Bioversity (Alliance)</v>
      </c>
      <c r="C2" s="4" t="str">
        <v>Global</v>
      </c>
      <c r="D2" s="4" t="str">
        <v>global</v>
      </c>
      <c r="E2" s="5">
        <v>100</v>
      </c>
      <c r="F2" s="4">
        <v>435</v>
      </c>
    </row>
    <row r="3" ht="45" customHeight="1">
      <c r="A3" s="8" t="str">
        <v>AOW02: Enabling Preparedness and Rapid Response to Emerging Shocks</v>
      </c>
      <c r="B3" s="4" t="str">
        <v>Bioversity (Alliance)</v>
      </c>
      <c r="C3" s="4" t="str">
        <v>Global</v>
      </c>
      <c r="D3" s="4" t="str">
        <v>global</v>
      </c>
      <c r="E3" s="5">
        <v>100</v>
      </c>
      <c r="F3" s="4">
        <v>578</v>
      </c>
    </row>
    <row r="4" ht="45" customHeight="1">
      <c r="A4" s="8" t="str">
        <v>AOW03: Delivering Integrated Solutions to Systemic Farm-Level Binding Constraints</v>
      </c>
      <c r="B4" s="4" t="str">
        <v>Bioversity (Alliance)</v>
      </c>
      <c r="C4" s="4" t="str">
        <v>Ethiopia</v>
      </c>
      <c r="D4" s="4" t="str">
        <v>country</v>
      </c>
      <c r="E4" s="5">
        <v>12</v>
      </c>
      <c r="F4" s="4">
        <v>1251</v>
      </c>
    </row>
    <row r="5" ht="45" customHeight="1">
      <c r="A5" s="4" t="str">
        <v>AOW03: Delivering Integrated Solutions to Systemic Farm-Level Binding Constraints</v>
      </c>
      <c r="B5" s="4" t="str">
        <v>Bioversity (Alliance)</v>
      </c>
      <c r="C5" s="4" t="str">
        <v>Malawi</v>
      </c>
      <c r="D5" s="4" t="str">
        <v>country</v>
      </c>
      <c r="E5" s="5">
        <v>12</v>
      </c>
      <c r="F5" s="4">
        <v>1252</v>
      </c>
    </row>
    <row r="6" ht="45" customHeight="1">
      <c r="A6" s="4" t="str">
        <v>AOW03: Delivering Integrated Solutions to Systemic Farm-Level Binding Constraints</v>
      </c>
      <c r="B6" s="4" t="str">
        <v>Bioversity (Alliance)</v>
      </c>
      <c r="C6" s="4" t="str">
        <v>Rwanda</v>
      </c>
      <c r="D6" s="4" t="str">
        <v>country</v>
      </c>
      <c r="E6" s="5">
        <v>19</v>
      </c>
      <c r="F6" s="4">
        <v>1253</v>
      </c>
    </row>
    <row r="7" ht="45" customHeight="1">
      <c r="A7" s="4" t="str">
        <v>AOW03: Delivering Integrated Solutions to Systemic Farm-Level Binding Constraints</v>
      </c>
      <c r="B7" s="4" t="str">
        <v>Bioversity (Alliance)</v>
      </c>
      <c r="C7" s="4" t="str">
        <v>The Democratic Republic of the Congo</v>
      </c>
      <c r="D7" s="4" t="str">
        <v>country</v>
      </c>
      <c r="E7" s="5">
        <v>19</v>
      </c>
      <c r="F7" s="4">
        <v>1254</v>
      </c>
    </row>
    <row r="8" ht="45" customHeight="1">
      <c r="A8" s="4" t="str">
        <v>AOW03: Delivering Integrated Solutions to Systemic Farm-Level Binding Constraints</v>
      </c>
      <c r="B8" s="4" t="str">
        <v>Bioversity (Alliance)</v>
      </c>
      <c r="C8" s="4" t="str">
        <v>The Socialist Republic of Viet Nam</v>
      </c>
      <c r="D8" s="4" t="str">
        <v>country</v>
      </c>
      <c r="E8" s="5">
        <v>19</v>
      </c>
      <c r="F8" s="4">
        <v>1255</v>
      </c>
    </row>
    <row r="9" ht="45" customHeight="1">
      <c r="A9" s="4" t="str">
        <v>AOW03: Delivering Integrated Solutions to Systemic Farm-Level Binding Constraints</v>
      </c>
      <c r="B9" s="4" t="str">
        <v>Bioversity (Alliance)</v>
      </c>
      <c r="C9" s="4" t="str">
        <v>Uganda</v>
      </c>
      <c r="D9" s="4" t="str">
        <v>country</v>
      </c>
      <c r="E9" s="5">
        <v>19</v>
      </c>
      <c r="F9" s="4">
        <v>1256</v>
      </c>
    </row>
    <row r="10" ht="45" customHeight="1">
      <c r="A10" s="8" t="str">
        <v>AOW05: Accelerating Impact</v>
      </c>
      <c r="B10" s="4" t="str">
        <v>Bioversity (Alliance)</v>
      </c>
      <c r="C10" s="4" t="str">
        <v>Global</v>
      </c>
      <c r="D10" s="4" t="str">
        <v>global</v>
      </c>
      <c r="E10" s="5">
        <v>86</v>
      </c>
      <c r="F10" s="4">
        <v>1249</v>
      </c>
    </row>
    <row r="11" ht="45" customHeight="1">
      <c r="A11" s="4" t="str">
        <v>AOW05: Accelerating Impact</v>
      </c>
      <c r="B11" s="4" t="str">
        <v>Bioversity (Alliance)</v>
      </c>
      <c r="C11" s="4" t="str">
        <v>Ethiopia</v>
      </c>
      <c r="D11" s="4" t="str">
        <v>country</v>
      </c>
      <c r="E11" s="5">
        <v>14</v>
      </c>
      <c r="F11" s="4">
        <v>1250</v>
      </c>
    </row>
  </sheetData>
  <mergeCells count="4">
    <mergeCell ref="A2"/>
    <mergeCell ref="A3"/>
    <mergeCell ref="A4:A9"/>
    <mergeCell ref="A10:A11"/>
  </mergeCells>
  <ignoredErrors>
    <ignoredError numberStoredAsText="1" sqref="A1:F11"/>
  </ignoredErrors>
</worksheet>
</file>

<file path=xl/worksheets/sheet10.xml><?xml version="1.0" encoding="utf-8"?>
<worksheet xmlns="http://schemas.openxmlformats.org/spreadsheetml/2006/main" xmlns:r="http://schemas.openxmlformats.org/officeDocument/2006/relationships">
  <dimension ref="A1:E60"/>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Accelerating AI-Enabled Farm Advisory at Scale.</v>
      </c>
      <c r="B2" s="4" t="str">
        <v xml:space="preserve">Sustainable Animal and Aquatic Foods </v>
      </c>
      <c r="C2" s="4" t="str">
        <v xml:space="preserve">1.3: Farmer utilization and adoption of AI-enabled advisory services </v>
      </c>
      <c r="D2" s="4" t="str">
        <v/>
      </c>
      <c r="E2" s="4">
        <v>882</v>
      </c>
    </row>
    <row r="3" ht="60" customHeight="1">
      <c r="A3" s="4" t="str">
        <v>AOW01: Accelerating AI-Enabled Farm Advisory at Scale.</v>
      </c>
      <c r="B3" s="4" t="str">
        <v xml:space="preserve">Digital Transformation </v>
      </c>
      <c r="C3" s="4" t="str">
        <v xml:space="preserve">1.3: Farmer utilization and adoption of AI-enabled advisory services </v>
      </c>
      <c r="D3"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3" s="4">
        <v>883</v>
      </c>
    </row>
    <row r="4" ht="60" customHeight="1">
      <c r="A4" s="4" t="str">
        <v>AOW01: Accelerating AI-Enabled Farm Advisory at Scale.</v>
      </c>
      <c r="B4" s="4" t="str">
        <v>Breeding for Tomorrow</v>
      </c>
      <c r="C4" s="4" t="str">
        <v xml:space="preserve">1.3: Farmer utilization and adoption of AI-enabled advisory services </v>
      </c>
      <c r="D4"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4" s="4">
        <v>884</v>
      </c>
    </row>
    <row r="5" ht="60" customHeight="1">
      <c r="A5" s="4" t="str">
        <v>AOW01: Accelerating AI-Enabled Farm Advisory at Scale.</v>
      </c>
      <c r="B5" s="4" t="str">
        <v>Breeding for Tomorrow</v>
      </c>
      <c r="C5" s="4" t="str">
        <v xml:space="preserve"> 1.1: Agronomic and farm management scientific data and analytics  </v>
      </c>
      <c r="D5" s="4" t="str">
        <v>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v>
      </c>
      <c r="E5" s="4">
        <v>912</v>
      </c>
    </row>
    <row r="6" ht="60" customHeight="1">
      <c r="A6" s="4" t="str">
        <v>AOW01: Accelerating AI-Enabled Farm Advisory at Scale.</v>
      </c>
      <c r="B6" s="4" t="str">
        <v xml:space="preserve">Digital Transformation </v>
      </c>
      <c r="C6" s="4" t="str">
        <v xml:space="preserve"> 1.1: Agronomic and farm management scientific data and analytics  </v>
      </c>
      <c r="D6"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6" s="4">
        <v>913</v>
      </c>
    </row>
    <row r="7" ht="60" customHeight="1">
      <c r="A7" s="4" t="str">
        <v>AOW01: Accelerating AI-Enabled Farm Advisory at Scale.</v>
      </c>
      <c r="B7" s="4" t="str">
        <v xml:space="preserve">Sustainable Animal and Aquatic Foods </v>
      </c>
      <c r="C7" s="4" t="str">
        <v xml:space="preserve"> 1.1: Agronomic and farm management scientific data and analytics  </v>
      </c>
      <c r="D7" s="4" t="str">
        <v/>
      </c>
      <c r="E7" s="4">
        <v>914</v>
      </c>
    </row>
    <row r="8" ht="60" customHeight="1">
      <c r="A8" s="4" t="str">
        <v>AOW01: Accelerating AI-Enabled Farm Advisory at Scale.</v>
      </c>
      <c r="B8" s="4" t="str">
        <v xml:space="preserve">Sustainable Animal and Aquatic Foods </v>
      </c>
      <c r="C8" s="4" t="str">
        <v xml:space="preserve">1.2: Benchmarking and performance validation systems </v>
      </c>
      <c r="D8" s="4" t="str">
        <v/>
      </c>
      <c r="E8" s="4">
        <v>915</v>
      </c>
    </row>
    <row r="9" ht="60" customHeight="1">
      <c r="A9" s="4" t="str">
        <v>AOW01: Accelerating AI-Enabled Farm Advisory at Scale.</v>
      </c>
      <c r="B9" s="4" t="str">
        <v xml:space="preserve">Digital Transformation </v>
      </c>
      <c r="C9" s="4" t="str">
        <v xml:space="preserve">1.2: Benchmarking and performance validation systems </v>
      </c>
      <c r="D9"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9" s="4">
        <v>916</v>
      </c>
    </row>
    <row r="10" ht="60" customHeight="1">
      <c r="A10" s="4" t="str">
        <v>AOW01: Accelerating AI-Enabled Farm Advisory at Scale.</v>
      </c>
      <c r="B10" s="4" t="str">
        <v>Breeding for Tomorrow</v>
      </c>
      <c r="C10" s="4" t="str">
        <v xml:space="preserve">1.2: Benchmarking and performance validation systems </v>
      </c>
      <c r="D10"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10" s="4">
        <v>917</v>
      </c>
    </row>
    <row r="11" ht="60" customHeight="1">
      <c r="A11" s="8" t="str">
        <v>AOW02: Enabling Preparedness and Rapid Response to Emerging Shocks</v>
      </c>
      <c r="B11" s="4" t="str">
        <v xml:space="preserve">Sustainable Animal and Aquatic Foods </v>
      </c>
      <c r="C11" s="4" t="str">
        <v xml:space="preserve">2.3: Responses effectiveness and trade-offs to climate, pests and diseases shocks </v>
      </c>
      <c r="D11" s="4" t="str">
        <v/>
      </c>
      <c r="E11" s="4">
        <v>885</v>
      </c>
    </row>
    <row r="12" ht="60" customHeight="1">
      <c r="A12" s="4" t="str">
        <v>AOW02: Enabling Preparedness and Rapid Response to Emerging Shocks</v>
      </c>
      <c r="B12" s="4" t="str">
        <v>Genebank</v>
      </c>
      <c r="C12" s="4" t="str">
        <v xml:space="preserve">2.3: Responses effectiveness and trade-offs to climate, pests and diseases shocks </v>
      </c>
      <c r="D12" s="4" t="str">
        <v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v>
      </c>
      <c r="E12" s="4">
        <v>886</v>
      </c>
    </row>
    <row r="13" ht="60" customHeight="1">
      <c r="A13" s="4" t="str">
        <v>AOW02: Enabling Preparedness and Rapid Response to Emerging Shocks</v>
      </c>
      <c r="B13" s="4" t="str">
        <v>Climate Action</v>
      </c>
      <c r="C13" s="4" t="str">
        <v xml:space="preserve">2.3: Responses effectiveness and trade-offs to climate, pests and diseases shocks </v>
      </c>
      <c r="D13"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13" s="4">
        <v>887</v>
      </c>
    </row>
    <row r="14" ht="60" customHeight="1">
      <c r="A14" s="4" t="str">
        <v>AOW02: Enabling Preparedness and Rapid Response to Emerging Shocks</v>
      </c>
      <c r="B14" s="4" t="str">
        <v xml:space="preserve">Multifunctional Landscapes </v>
      </c>
      <c r="C14" s="4" t="str">
        <v xml:space="preserve">2.3: Responses effectiveness and trade-offs to climate, pests and diseases shocks </v>
      </c>
      <c r="D14"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14" s="4">
        <v>888</v>
      </c>
    </row>
    <row r="15" ht="60" customHeight="1">
      <c r="A15" s="4" t="str">
        <v>AOW02: Enabling Preparedness and Rapid Response to Emerging Shocks</v>
      </c>
      <c r="B15" s="4" t="str">
        <v>Breeding for Tomorrow</v>
      </c>
      <c r="C15" s="4" t="str">
        <v xml:space="preserve">2.3: Responses effectiveness and trade-offs to climate, pests and diseases shocks </v>
      </c>
      <c r="D15"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15" s="4">
        <v>889</v>
      </c>
    </row>
    <row r="16" ht="60" customHeight="1">
      <c r="A16" s="4" t="str">
        <v>AOW02: Enabling Preparedness and Rapid Response to Emerging Shocks</v>
      </c>
      <c r="B16" s="4" t="str">
        <v>Breeding for Tomorrow</v>
      </c>
      <c r="C16" s="4" t="str">
        <v>2.2: Strategies for response to water related shocks</v>
      </c>
      <c r="D16"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16" s="4">
        <v>890</v>
      </c>
    </row>
    <row r="17" ht="60" customHeight="1">
      <c r="A17" s="4" t="str">
        <v>AOW02: Enabling Preparedness and Rapid Response to Emerging Shocks</v>
      </c>
      <c r="B17" s="4" t="str">
        <v xml:space="preserve">Multifunctional Landscapes </v>
      </c>
      <c r="C17" s="4" t="str">
        <v>2.2: Strategies for response to water related shocks</v>
      </c>
      <c r="D17"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17" s="4">
        <v>891</v>
      </c>
    </row>
    <row r="18" ht="60" customHeight="1">
      <c r="A18" s="4" t="str">
        <v>AOW02: Enabling Preparedness and Rapid Response to Emerging Shocks</v>
      </c>
      <c r="B18" s="4" t="str">
        <v>Climate Action</v>
      </c>
      <c r="C18" s="4" t="str">
        <v>2.2: Strategies for response to water related shocks</v>
      </c>
      <c r="D18"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18" s="4">
        <v>892</v>
      </c>
    </row>
    <row r="19" ht="60" customHeight="1">
      <c r="A19" s="4" t="str">
        <v>AOW02: Enabling Preparedness and Rapid Response to Emerging Shocks</v>
      </c>
      <c r="B19" s="4" t="str">
        <v>Genebank</v>
      </c>
      <c r="C19" s="4" t="str">
        <v>2.2: Strategies for response to water related shocks</v>
      </c>
      <c r="D19" s="4" t="str">
        <v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v>
      </c>
      <c r="E19" s="4">
        <v>893</v>
      </c>
    </row>
    <row r="20" ht="60" customHeight="1">
      <c r="A20" s="4" t="str">
        <v>AOW02: Enabling Preparedness and Rapid Response to Emerging Shocks</v>
      </c>
      <c r="B20" s="4" t="str">
        <v xml:space="preserve">Sustainable Animal and Aquatic Foods </v>
      </c>
      <c r="C20" s="4" t="str">
        <v>2.2: Strategies for response to water related shocks</v>
      </c>
      <c r="D20" s="4" t="str">
        <v/>
      </c>
      <c r="E20" s="4">
        <v>894</v>
      </c>
    </row>
    <row r="21" ht="60" customHeight="1">
      <c r="A21" s="4" t="str">
        <v>AOW02: Enabling Preparedness and Rapid Response to Emerging Shocks</v>
      </c>
      <c r="B21" s="4" t="str">
        <v>Breeding for Tomorrow</v>
      </c>
      <c r="C21" s="4" t="str">
        <v xml:space="preserve">2.1: Enhanced resolution, accuracy and timeliness of early warning system </v>
      </c>
      <c r="D21"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21" s="4">
        <v>895</v>
      </c>
    </row>
    <row r="22" ht="60" customHeight="1">
      <c r="A22" s="4" t="str">
        <v>AOW02: Enabling Preparedness and Rapid Response to Emerging Shocks</v>
      </c>
      <c r="B22" s="4" t="str">
        <v xml:space="preserve">Multifunctional Landscapes </v>
      </c>
      <c r="C22" s="4" t="str">
        <v xml:space="preserve">2.1: Enhanced resolution, accuracy and timeliness of early warning system </v>
      </c>
      <c r="D22"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22" s="4">
        <v>896</v>
      </c>
    </row>
    <row r="23" ht="60" customHeight="1">
      <c r="A23" s="4" t="str">
        <v>AOW02: Enabling Preparedness and Rapid Response to Emerging Shocks</v>
      </c>
      <c r="B23" s="4" t="str">
        <v>Climate Action</v>
      </c>
      <c r="C23" s="4" t="str">
        <v xml:space="preserve">2.1: Enhanced resolution, accuracy and timeliness of early warning system </v>
      </c>
      <c r="D23"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23" s="4">
        <v>897</v>
      </c>
    </row>
    <row r="24" ht="60" customHeight="1">
      <c r="A24" s="4" t="str">
        <v>AOW02: Enabling Preparedness and Rapid Response to Emerging Shocks</v>
      </c>
      <c r="B24" s="4" t="str">
        <v>Genebank</v>
      </c>
      <c r="C24" s="4" t="str">
        <v xml:space="preserve">2.1: Enhanced resolution, accuracy and timeliness of early warning system </v>
      </c>
      <c r="D24" s="4" t="str">
        <v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surveillance to complement AoW2; (iii) strengthen phytosanitary capacity to prevent the transboundary spread of pests and diseases; and (iv) long-term maintenance of reference isolates for diagnostics and phenotyping. The teams of SFP AoW 2 will enage in these collaborations. </v>
      </c>
      <c r="E24" s="4">
        <v>898</v>
      </c>
    </row>
    <row r="25" ht="60" customHeight="1">
      <c r="A25" s="4" t="str">
        <v>AOW02: Enabling Preparedness and Rapid Response to Emerging Shocks</v>
      </c>
      <c r="B25" s="4" t="str">
        <v xml:space="preserve">Sustainable Animal and Aquatic Foods </v>
      </c>
      <c r="C25" s="4" t="str">
        <v xml:space="preserve">2.1: Enhanced resolution, accuracy and timeliness of early warning system </v>
      </c>
      <c r="D25" s="4" t="str">
        <v/>
      </c>
      <c r="E25" s="4">
        <v>899</v>
      </c>
    </row>
    <row r="26" ht="60" customHeight="1">
      <c r="A26" s="8" t="str">
        <v>AOW03: Delivering Integrated Solutions to Systemic Farm-Level Binding Constraints</v>
      </c>
      <c r="B26" s="4" t="str">
        <v>Breeding for Tomorrow</v>
      </c>
      <c r="C26" s="4" t="str">
        <v xml:space="preserve">3.2. Validated, farm-level management solutions </v>
      </c>
      <c r="D26"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26" s="4">
        <v>918</v>
      </c>
    </row>
    <row r="27" ht="60" customHeight="1">
      <c r="A27" s="4" t="str">
        <v>AOW03: Delivering Integrated Solutions to Systemic Farm-Level Binding Constraints</v>
      </c>
      <c r="B27" s="4" t="str">
        <v xml:space="preserve">Multifunctional Landscapes </v>
      </c>
      <c r="C27" s="4" t="str">
        <v xml:space="preserve">3.2. Validated, farm-level management solutions </v>
      </c>
      <c r="D27"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27" s="4">
        <v>919</v>
      </c>
    </row>
    <row r="28" ht="60" customHeight="1">
      <c r="A28" s="4" t="str">
        <v>AOW03: Delivering Integrated Solutions to Systemic Farm-Level Binding Constraints</v>
      </c>
      <c r="B28" s="4" t="str">
        <v>Policy Innovations</v>
      </c>
      <c r="C28" s="4" t="str">
        <v xml:space="preserve">3.2. Validated, farm-level management solutions </v>
      </c>
      <c r="D28"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28" s="4">
        <v>920</v>
      </c>
    </row>
    <row r="29" ht="60" customHeight="1">
      <c r="A29" s="4" t="str">
        <v>AOW03: Delivering Integrated Solutions to Systemic Farm-Level Binding Constraints</v>
      </c>
      <c r="B29" s="4" t="str">
        <v xml:space="preserve">Digital Transformation </v>
      </c>
      <c r="C29" s="4" t="str">
        <v xml:space="preserve">3.2. Validated, farm-level management solutions </v>
      </c>
      <c r="D29"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29" s="4">
        <v>921</v>
      </c>
    </row>
    <row r="30" ht="60" customHeight="1">
      <c r="A30" s="4" t="str">
        <v>AOW03: Delivering Integrated Solutions to Systemic Farm-Level Binding Constraints</v>
      </c>
      <c r="B30" s="4" t="str">
        <v xml:space="preserve">Gender Equality and Inclusion </v>
      </c>
      <c r="C30" s="4" t="str">
        <v xml:space="preserve">3.2. Validated, farm-level management solutions </v>
      </c>
      <c r="D30" s="4" t="str">
        <v>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v>
      </c>
      <c r="E30" s="4">
        <v>922</v>
      </c>
    </row>
    <row r="31" ht="60" customHeight="1">
      <c r="A31" s="4" t="str">
        <v>AOW03: Delivering Integrated Solutions to Systemic Farm-Level Binding Constraints</v>
      </c>
      <c r="B31" s="4" t="str">
        <v xml:space="preserve">Sustainable Animal and Aquatic Foods </v>
      </c>
      <c r="C31" s="4" t="str">
        <v xml:space="preserve">3.2. Validated, farm-level management solutions </v>
      </c>
      <c r="D31" s="4" t="str">
        <v/>
      </c>
      <c r="E31" s="4">
        <v>923</v>
      </c>
    </row>
    <row r="32" ht="60" customHeight="1">
      <c r="A32" s="4" t="str">
        <v>AOW03: Delivering Integrated Solutions to Systemic Farm-Level Binding Constraints</v>
      </c>
      <c r="B32" s="4" t="str">
        <v>Breeding for Tomorrow</v>
      </c>
      <c r="C32" s="4" t="str">
        <v xml:space="preserve">3.3: Scaled and adopted farm management solutions </v>
      </c>
      <c r="D32"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32" s="4">
        <v>924</v>
      </c>
    </row>
    <row r="33" ht="60" customHeight="1">
      <c r="A33" s="4" t="str">
        <v>AOW03: Delivering Integrated Solutions to Systemic Farm-Level Binding Constraints</v>
      </c>
      <c r="B33" s="4" t="str">
        <v xml:space="preserve">Multifunctional Landscapes </v>
      </c>
      <c r="C33" s="4" t="str">
        <v xml:space="preserve">3.3: Scaled and adopted farm management solutions </v>
      </c>
      <c r="D33"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33" s="4">
        <v>925</v>
      </c>
    </row>
    <row r="34" ht="60" customHeight="1">
      <c r="A34" s="4" t="str">
        <v>AOW03: Delivering Integrated Solutions to Systemic Farm-Level Binding Constraints</v>
      </c>
      <c r="B34" s="4" t="str">
        <v>Policy Innovations</v>
      </c>
      <c r="C34" s="4" t="str">
        <v xml:space="preserve">3.3: Scaled and adopted farm management solutions </v>
      </c>
      <c r="D34"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34" s="4">
        <v>926</v>
      </c>
    </row>
    <row r="35" ht="60" customHeight="1">
      <c r="A35" s="4" t="str">
        <v>AOW03: Delivering Integrated Solutions to Systemic Farm-Level Binding Constraints</v>
      </c>
      <c r="B35" s="4" t="str">
        <v xml:space="preserve">Digital Transformation </v>
      </c>
      <c r="C35" s="4" t="str">
        <v xml:space="preserve">3.3: Scaled and adopted farm management solutions </v>
      </c>
      <c r="D35"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35" s="4">
        <v>927</v>
      </c>
    </row>
    <row r="36" ht="60" customHeight="1">
      <c r="A36" s="4" t="str">
        <v>AOW03: Delivering Integrated Solutions to Systemic Farm-Level Binding Constraints</v>
      </c>
      <c r="B36" s="4" t="str">
        <v xml:space="preserve">Gender Equality and Inclusion </v>
      </c>
      <c r="C36" s="4" t="str">
        <v xml:space="preserve">3.3: Scaled and adopted farm management solutions </v>
      </c>
      <c r="D36" s="4" t="str">
        <v>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v>
      </c>
      <c r="E36" s="4">
        <v>928</v>
      </c>
    </row>
    <row r="37" ht="60" customHeight="1">
      <c r="A37" s="4" t="str">
        <v>AOW03: Delivering Integrated Solutions to Systemic Farm-Level Binding Constraints</v>
      </c>
      <c r="B37" s="4" t="str">
        <v xml:space="preserve">Sustainable Animal and Aquatic Foods </v>
      </c>
      <c r="C37" s="4" t="str">
        <v xml:space="preserve">3.3: Scaled and adopted farm management solutions </v>
      </c>
      <c r="D37" s="4" t="str">
        <v/>
      </c>
      <c r="E37" s="4">
        <v>929</v>
      </c>
    </row>
    <row r="38" ht="60" customHeight="1">
      <c r="A38" s="4" t="str">
        <v>AOW03: Delivering Integrated Solutions to Systemic Farm-Level Binding Constraints</v>
      </c>
      <c r="B38" s="4" t="str">
        <v>Breeding for Tomorrow</v>
      </c>
      <c r="C38" s="4" t="str">
        <v xml:space="preserve">3.1: Farm-level diagnostic evidence on soil, plant, water, and socio-economic constraints </v>
      </c>
      <c r="D38"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38" s="4">
        <v>930</v>
      </c>
    </row>
    <row r="39" ht="60" customHeight="1">
      <c r="A39" s="4" t="str">
        <v>AOW03: Delivering Integrated Solutions to Systemic Farm-Level Binding Constraints</v>
      </c>
      <c r="B39" s="4" t="str">
        <v xml:space="preserve">Multifunctional Landscapes </v>
      </c>
      <c r="C39" s="4" t="str">
        <v xml:space="preserve">3.1: Farm-level diagnostic evidence on soil, plant, water, and socio-economic constraints </v>
      </c>
      <c r="D39"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39" s="4">
        <v>931</v>
      </c>
    </row>
    <row r="40" ht="60" customHeight="1">
      <c r="A40" s="4" t="str">
        <v>AOW03: Delivering Integrated Solutions to Systemic Farm-Level Binding Constraints</v>
      </c>
      <c r="B40" s="4" t="str">
        <v>Climate Action</v>
      </c>
      <c r="C40" s="4" t="str">
        <v xml:space="preserve">3.1: Farm-level diagnostic evidence on soil, plant, water, and socio-economic constraints </v>
      </c>
      <c r="D40"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40" s="4">
        <v>932</v>
      </c>
    </row>
    <row r="41" ht="60" customHeight="1">
      <c r="A41" s="4" t="str">
        <v>AOW03: Delivering Integrated Solutions to Systemic Farm-Level Binding Constraints</v>
      </c>
      <c r="B41" s="4" t="str">
        <v>Policy Innovations</v>
      </c>
      <c r="C41" s="4" t="str">
        <v xml:space="preserve">3.1: Farm-level diagnostic evidence on soil, plant, water, and socio-economic constraints </v>
      </c>
      <c r="D41"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41" s="4">
        <v>933</v>
      </c>
    </row>
    <row r="42" ht="60" customHeight="1">
      <c r="A42" s="4" t="str">
        <v>AOW03: Delivering Integrated Solutions to Systemic Farm-Level Binding Constraints</v>
      </c>
      <c r="B42" s="4" t="str">
        <v xml:space="preserve">Digital Transformation </v>
      </c>
      <c r="C42" s="4" t="str">
        <v xml:space="preserve">3.1: Farm-level diagnostic evidence on soil, plant, water, and socio-economic constraints </v>
      </c>
      <c r="D42"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42" s="4">
        <v>934</v>
      </c>
    </row>
    <row r="43" ht="60" customHeight="1">
      <c r="A43" s="4" t="str">
        <v>AOW03: Delivering Integrated Solutions to Systemic Farm-Level Binding Constraints</v>
      </c>
      <c r="B43" s="4" t="str">
        <v xml:space="preserve">Gender Equality and Inclusion </v>
      </c>
      <c r="C43" s="4" t="str">
        <v xml:space="preserve">3.1: Farm-level diagnostic evidence on soil, plant, water, and socio-economic constraints </v>
      </c>
      <c r="D43" s="4" t="str">
        <v>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v>
      </c>
      <c r="E43" s="4">
        <v>935</v>
      </c>
    </row>
    <row r="44" ht="60" customHeight="1">
      <c r="A44" s="4" t="str">
        <v>AOW03: Delivering Integrated Solutions to Systemic Farm-Level Binding Constraints</v>
      </c>
      <c r="B44" s="4" t="str">
        <v xml:space="preserve">Sustainable Animal and Aquatic Foods </v>
      </c>
      <c r="C44" s="4" t="str">
        <v xml:space="preserve">3.1: Farm-level diagnostic evidence on soil, plant, water, and socio-economic constraints </v>
      </c>
      <c r="D44" s="4" t="str">
        <v/>
      </c>
      <c r="E44" s="4">
        <v>936</v>
      </c>
    </row>
    <row r="45" ht="60" customHeight="1">
      <c r="A45" s="4" t="str">
        <v>AOW04: Incubating Innovation in Sustainable Farming</v>
      </c>
      <c r="B45" s="4" t="str">
        <v xml:space="preserve">Digital Transformation </v>
      </c>
      <c r="C45" s="4" t="str">
        <v xml:space="preserve">4.1. A pipeline of at least eight high-risk, high-reward, early-stage research ideas </v>
      </c>
      <c r="D45" s="4" t="str">
        <v>AI is area of common interest between SFP and DTA. SFP will explore potential avenues for future collaboration in the coming months.</v>
      </c>
      <c r="E45" s="4">
        <v>1282</v>
      </c>
    </row>
    <row r="46" ht="60" customHeight="1">
      <c r="A46" s="8" t="str">
        <v>AOW05: Accelerating Impact</v>
      </c>
      <c r="B46" s="4" t="str">
        <v>Policy Innovations</v>
      </c>
      <c r="C46" s="4" t="str">
        <v xml:space="preserve">5.5. Well-documented, widely applicable and replicable partnership platforms </v>
      </c>
      <c r="D46"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46" s="4">
        <v>879</v>
      </c>
    </row>
    <row r="47" ht="60" customHeight="1">
      <c r="A47" s="4" t="str">
        <v>AOW05: Accelerating Impact</v>
      </c>
      <c r="B47" s="4" t="str">
        <v>Scaling for Impact</v>
      </c>
      <c r="C47" s="4" t="str">
        <v xml:space="preserve">5.5. Well-documented, widely applicable and replicable partnership platforms </v>
      </c>
      <c r="D47"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47" s="4">
        <v>880</v>
      </c>
    </row>
    <row r="48" ht="60" customHeight="1">
      <c r="A48" s="4" t="str">
        <v>AOW05: Accelerating Impact</v>
      </c>
      <c r="B48" s="4" t="str">
        <v xml:space="preserve">Digital Transformation </v>
      </c>
      <c r="C48" s="4" t="str">
        <v xml:space="preserve">5.5. Well-documented, widely applicable and replicable partnership platforms </v>
      </c>
      <c r="D48"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48" s="4">
        <v>881</v>
      </c>
    </row>
    <row r="49" ht="60" customHeight="1">
      <c r="A49" s="4" t="str">
        <v>AOW05: Accelerating Impact</v>
      </c>
      <c r="B49" s="4" t="str">
        <v xml:space="preserve">Digital Transformation </v>
      </c>
      <c r="C49" s="4" t="str">
        <v xml:space="preserve">5.4: Tools and approaches to enable rapid insights, learnings and impact </v>
      </c>
      <c r="D49"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49" s="4">
        <v>900</v>
      </c>
    </row>
    <row r="50" ht="60" customHeight="1">
      <c r="A50" s="4" t="str">
        <v>AOW05: Accelerating Impact</v>
      </c>
      <c r="B50" s="4" t="str">
        <v>Scaling for Impact</v>
      </c>
      <c r="C50" s="4" t="str">
        <v xml:space="preserve">5.4: Tools and approaches to enable rapid insights, learnings and impact </v>
      </c>
      <c r="D50"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0" s="4">
        <v>901</v>
      </c>
    </row>
    <row r="51" ht="60" customHeight="1">
      <c r="A51" s="4" t="str">
        <v>AOW05: Accelerating Impact</v>
      </c>
      <c r="B51" s="4" t="str">
        <v>Policy Innovations</v>
      </c>
      <c r="C51" s="4" t="str">
        <v xml:space="preserve">5.4: Tools and approaches to enable rapid insights, learnings and impact </v>
      </c>
      <c r="D51"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51" s="4">
        <v>902</v>
      </c>
    </row>
    <row r="52" ht="60" customHeight="1">
      <c r="A52" s="4" t="str">
        <v>AOW05: Accelerating Impact</v>
      </c>
      <c r="B52" s="4" t="str">
        <v xml:space="preserve">Digital Transformation </v>
      </c>
      <c r="C52" s="4" t="str">
        <v>5.3 FAIR, AI-ready data corpus, data and metadata standards</v>
      </c>
      <c r="D52"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52" s="4">
        <v>903</v>
      </c>
    </row>
    <row r="53" ht="60" customHeight="1">
      <c r="A53" s="4" t="str">
        <v>AOW05: Accelerating Impact</v>
      </c>
      <c r="B53" s="4" t="str">
        <v>Scaling for Impact</v>
      </c>
      <c r="C53" s="4" t="str">
        <v>5.3 FAIR, AI-ready data corpus, data and metadata standards</v>
      </c>
      <c r="D53"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3" s="4">
        <v>904</v>
      </c>
    </row>
    <row r="54" ht="60" customHeight="1">
      <c r="A54" s="4" t="str">
        <v>AOW05: Accelerating Impact</v>
      </c>
      <c r="B54" s="4" t="str">
        <v>Policy Innovations</v>
      </c>
      <c r="C54" s="4" t="str">
        <v>5.3 FAIR, AI-ready data corpus, data and metadata standards</v>
      </c>
      <c r="D54"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54" s="4">
        <v>905</v>
      </c>
    </row>
    <row r="55" ht="60" customHeight="1">
      <c r="A55" s="4" t="str">
        <v>AOW05: Accelerating Impact</v>
      </c>
      <c r="B55" s="4" t="str">
        <v xml:space="preserve">Digital Transformation </v>
      </c>
      <c r="C55" s="4" t="str">
        <v xml:space="preserve">5.2: Well- documented and communicated SFP impact assessments </v>
      </c>
      <c r="D55"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55" s="4">
        <v>906</v>
      </c>
    </row>
    <row r="56" ht="60" customHeight="1">
      <c r="A56" s="4" t="str">
        <v>AOW05: Accelerating Impact</v>
      </c>
      <c r="B56" s="4" t="str">
        <v>Scaling for Impact</v>
      </c>
      <c r="C56" s="4" t="str">
        <v xml:space="preserve">5.2: Well- documented and communicated SFP impact assessments </v>
      </c>
      <c r="D56"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6" s="4">
        <v>907</v>
      </c>
    </row>
    <row r="57" ht="60" customHeight="1">
      <c r="A57" s="4" t="str">
        <v>AOW05: Accelerating Impact</v>
      </c>
      <c r="B57" s="4" t="str">
        <v>Policy Innovations</v>
      </c>
      <c r="C57" s="4" t="str">
        <v xml:space="preserve">5.2: Well- documented and communicated SFP impact assessments </v>
      </c>
      <c r="D57"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57" s="4">
        <v>908</v>
      </c>
    </row>
    <row r="58" ht="60" customHeight="1">
      <c r="A58" s="4" t="str">
        <v>AOW05: Accelerating Impact</v>
      </c>
      <c r="B58" s="4" t="str">
        <v xml:space="preserve">Digital Transformation </v>
      </c>
      <c r="C58" s="4" t="str">
        <v xml:space="preserve">5.1. Prioritization logic for deployment via partnership platforms available </v>
      </c>
      <c r="D58"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58" s="4">
        <v>909</v>
      </c>
    </row>
    <row r="59" ht="60" customHeight="1">
      <c r="A59" s="4" t="str">
        <v>AOW05: Accelerating Impact</v>
      </c>
      <c r="B59" s="4" t="str">
        <v>Scaling for Impact</v>
      </c>
      <c r="C59" s="4" t="str">
        <v xml:space="preserve">5.1. Prioritization logic for deployment via partnership platforms available </v>
      </c>
      <c r="D59"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9" s="4">
        <v>910</v>
      </c>
    </row>
    <row r="60" ht="60" customHeight="1">
      <c r="A60" s="4" t="str">
        <v>AOW05: Accelerating Impact</v>
      </c>
      <c r="B60" s="4" t="str">
        <v>Policy Innovations</v>
      </c>
      <c r="C60" s="4" t="str">
        <v xml:space="preserve">5.1. Prioritization logic for deployment via partnership platforms available </v>
      </c>
      <c r="D60"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60" s="4">
        <v>911</v>
      </c>
    </row>
  </sheetData>
  <mergeCells count="4">
    <mergeCell ref="A2:A10"/>
    <mergeCell ref="A11:A25"/>
    <mergeCell ref="A26:A44"/>
    <mergeCell ref="A46:A60"/>
  </mergeCells>
  <ignoredErrors>
    <ignoredError numberStoredAsText="1" sqref="A1:E60"/>
  </ignoredErrors>
</worksheet>
</file>

<file path=xl/worksheets/sheet11.xml><?xml version="1.0" encoding="utf-8"?>
<worksheet xmlns="http://schemas.openxmlformats.org/spreadsheetml/2006/main" xmlns:r="http://schemas.openxmlformats.org/officeDocument/2006/relationships">
  <dimension ref="A1:G22"/>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4: Integrated solutions embedded in investment, policy, and scaling systems</v>
      </c>
      <c r="C2" s="4" t="str">
        <v/>
      </c>
      <c r="D2" s="4" t="str">
        <v>Innovation Use</v>
      </c>
      <c r="E2" s="4" t="str">
        <v>Global</v>
      </c>
      <c r="F2" s="5">
        <v>100</v>
      </c>
      <c r="G2" s="4">
        <v>481</v>
      </c>
    </row>
    <row r="3" ht="60" customHeight="1">
      <c r="A3" s="4" t="str">
        <v>AOW00: Cross Cutting</v>
      </c>
      <c r="B3" s="4" t="str">
        <v>4: Integrated solutions embedded in investment, policy, and scaling systems</v>
      </c>
      <c r="C3" s="4" t="str">
        <v/>
      </c>
      <c r="D3" s="4" t="str">
        <v>Number of Policy (Policy Change)</v>
      </c>
      <c r="E3" s="4" t="str">
        <v>Global</v>
      </c>
      <c r="F3" s="5">
        <v>1</v>
      </c>
      <c r="G3" s="4">
        <v>481</v>
      </c>
    </row>
    <row r="4" ht="60" customHeight="1">
      <c r="A4" s="4" t="str">
        <v>AOW00: Cross Cutting</v>
      </c>
      <c r="B4" s="4" t="str">
        <v>1: Strengthened and widely used knowledge and advisory systems for decision-making</v>
      </c>
      <c r="C4" s="4" t="str">
        <v/>
      </c>
      <c r="D4" s="4" t="str">
        <v>Innovation Use</v>
      </c>
      <c r="E4" s="4" t="str">
        <v>Global</v>
      </c>
      <c r="F4" s="5">
        <v>25</v>
      </c>
      <c r="G4" s="4">
        <v>482</v>
      </c>
    </row>
    <row r="5" ht="60" customHeight="1">
      <c r="A5" s="4" t="str">
        <v>AOW00: Cross Cutting</v>
      </c>
      <c r="B5" s="4" t="str">
        <v xml:space="preserve">5: Enhanced skills of service providers and R&amp;D partners </v>
      </c>
      <c r="C5" s="4" t="str">
        <v/>
      </c>
      <c r="D5" s="4" t="str">
        <v>Innovation Use</v>
      </c>
      <c r="E5" s="4" t="str">
        <v>Global</v>
      </c>
      <c r="F5" s="5">
        <v>30</v>
      </c>
      <c r="G5" s="4">
        <v>485</v>
      </c>
    </row>
    <row r="6" ht="60" customHeight="1">
      <c r="A6" s="4" t="str">
        <v>AOW00: Cross Cutting</v>
      </c>
      <c r="B6" s="4" t="str">
        <v>2: National partners leading and sustaining innovation and research systems</v>
      </c>
      <c r="C6" s="4" t="str">
        <v/>
      </c>
      <c r="D6" s="4" t="str">
        <v>Innovation Use</v>
      </c>
      <c r="E6" s="4" t="str">
        <v>Global</v>
      </c>
      <c r="F6" s="5">
        <v>50</v>
      </c>
      <c r="G6" s="4">
        <v>495</v>
      </c>
    </row>
    <row r="7" ht="60" customHeight="1">
      <c r="A7" s="4" t="str">
        <v>AOW00: Cross Cutting</v>
      </c>
      <c r="B7" s="4" t="str">
        <v>2: National partners leading and sustaining innovation and research systems</v>
      </c>
      <c r="C7" s="4" t="str">
        <v/>
      </c>
      <c r="D7" s="4" t="str">
        <v>Innovation Use</v>
      </c>
      <c r="E7" s="4" t="str">
        <v>Global</v>
      </c>
      <c r="F7" s="5">
        <v>2</v>
      </c>
      <c r="G7" s="4">
        <v>495</v>
      </c>
    </row>
    <row r="8" ht="60" customHeight="1">
      <c r="A8" s="4" t="str">
        <v>AOW00: Cross Cutting</v>
      </c>
      <c r="B8" s="4" t="str">
        <v>7: Investment in Enabling Environment &amp; Advisory Services</v>
      </c>
      <c r="C8" s="4" t="str">
        <v/>
      </c>
      <c r="D8" s="4" t="str">
        <v>Innovation Use</v>
      </c>
      <c r="E8" s="4" t="str">
        <v>Global</v>
      </c>
      <c r="F8" s="5">
        <v>1</v>
      </c>
      <c r="G8" s="4">
        <v>502</v>
      </c>
    </row>
    <row r="9" ht="60" customHeight="1">
      <c r="A9" s="4" t="str">
        <v>AOW00: Cross Cutting</v>
      </c>
      <c r="B9" s="4" t="str">
        <v>7: Investment in Enabling Environment &amp; Advisory Services</v>
      </c>
      <c r="C9" s="4" t="str">
        <v/>
      </c>
      <c r="D9" s="4" t="str">
        <v>Innovation Use</v>
      </c>
      <c r="E9" s="4" t="str">
        <v>Global</v>
      </c>
      <c r="F9" s="5">
        <v>2</v>
      </c>
      <c r="G9" s="4">
        <v>502</v>
      </c>
    </row>
    <row r="10" ht="60" customHeight="1">
      <c r="A10" s="4" t="str">
        <v>AOW00: Cross Cutting</v>
      </c>
      <c r="B10" s="4" t="str">
        <v>6: Farm advisory services and institutions enable agronomic gain at scale</v>
      </c>
      <c r="C10" s="4" t="str">
        <v/>
      </c>
      <c r="D10" s="4" t="str">
        <v>Innovation Use</v>
      </c>
      <c r="E10" s="4" t="str">
        <v>Global</v>
      </c>
      <c r="F10" s="5">
        <v>3</v>
      </c>
      <c r="G10" s="4">
        <v>503</v>
      </c>
    </row>
    <row r="11" ht="60" customHeight="1">
      <c r="A11" s="4" t="str">
        <v>AOW00: Cross Cutting</v>
      </c>
      <c r="B11" s="4" t="str">
        <v>1: Data Sharing &amp; Analytics for Advisory Services</v>
      </c>
      <c r="C11" s="4" t="str">
        <v/>
      </c>
      <c r="D11" s="4" t="str">
        <v>Innovation Use</v>
      </c>
      <c r="E11" s="4" t="str">
        <v>Global</v>
      </c>
      <c r="F11" s="5">
        <v>25</v>
      </c>
      <c r="G11" s="4">
        <v>504</v>
      </c>
    </row>
    <row r="12" ht="60" customHeight="1">
      <c r="A12" s="4" t="str">
        <v>AOW00: Cross Cutting</v>
      </c>
      <c r="B12" s="4" t="str">
        <v>2: Contextualized innovation bundles tested by partners</v>
      </c>
      <c r="C12" s="4" t="str">
        <v/>
      </c>
      <c r="D12" s="4" t="str">
        <v xml:space="preserve"> Number of innovation bundles contextualized</v>
      </c>
      <c r="E12" s="4" t="str">
        <v>Global</v>
      </c>
      <c r="F12" s="5">
        <v>5</v>
      </c>
      <c r="G12" s="4">
        <v>505</v>
      </c>
    </row>
    <row r="13" ht="60" customHeight="1">
      <c r="A13" s="4" t="str">
        <v>AOW00: Cross Cutting</v>
      </c>
      <c r="B13" s="4" t="str">
        <v>2: Contextualized innovation bundles tested by partners</v>
      </c>
      <c r="C13" s="4" t="str">
        <v/>
      </c>
      <c r="D13" s="4" t="str">
        <v>Innovation Use</v>
      </c>
      <c r="E13" s="4" t="str">
        <v>Global</v>
      </c>
      <c r="F13" s="5">
        <v>100</v>
      </c>
      <c r="G13" s="4">
        <v>505</v>
      </c>
    </row>
    <row r="14" ht="60" customHeight="1">
      <c r="A14" s="4" t="str">
        <v>AOW00: Cross Cutting</v>
      </c>
      <c r="B14" s="4" t="str">
        <v>3: Partners adopt methods to co-create integrated farm management solutions including inclusivity</v>
      </c>
      <c r="C14" s="4" t="str">
        <v/>
      </c>
      <c r="D14" s="4" t="str">
        <v>Innovation Use</v>
      </c>
      <c r="E14" s="4" t="str">
        <v>Global</v>
      </c>
      <c r="F14" s="5">
        <v>3</v>
      </c>
      <c r="G14" s="4">
        <v>509</v>
      </c>
    </row>
    <row r="15" ht="60" customHeight="1">
      <c r="A15" s="4" t="str">
        <v>AOW00: Cross Cutting</v>
      </c>
      <c r="B15" s="4" t="str">
        <v>4: Farming communities adapt and adopt solutions</v>
      </c>
      <c r="C15" s="4" t="str">
        <v/>
      </c>
      <c r="D15" s="4" t="str">
        <v>Innovation Use</v>
      </c>
      <c r="E15" s="4" t="str">
        <v>Global</v>
      </c>
      <c r="F15" s="5">
        <v>500000</v>
      </c>
      <c r="G15" s="4">
        <v>510</v>
      </c>
    </row>
    <row r="16" ht="60" customHeight="1">
      <c r="A16" s="4" t="str">
        <v>AOW00: Cross Cutting</v>
      </c>
      <c r="B16" s="4" t="str">
        <v>4: Farming communities adapt and adopt solutions</v>
      </c>
      <c r="C16" s="4" t="str">
        <v/>
      </c>
      <c r="D16" s="4" t="str">
        <v>Innovation Use</v>
      </c>
      <c r="E16" s="4" t="str">
        <v>Global</v>
      </c>
      <c r="F16" s="5">
        <v>10</v>
      </c>
      <c r="G16" s="4">
        <v>510</v>
      </c>
    </row>
    <row r="17" ht="60" customHeight="1">
      <c r="A17" s="4" t="str">
        <v>AOW00: Cross Cutting</v>
      </c>
      <c r="B17" s="4" t="str">
        <v>8: Partnership-Driven Agronomic Gains at Scale</v>
      </c>
      <c r="C17" s="4" t="str">
        <v/>
      </c>
      <c r="D17" s="4" t="str">
        <v>Innovation Use</v>
      </c>
      <c r="E17" s="4" t="str">
        <v>Global</v>
      </c>
      <c r="F17" s="5">
        <v>5</v>
      </c>
      <c r="G17" s="4">
        <v>511</v>
      </c>
    </row>
    <row r="18" ht="60" customHeight="1">
      <c r="A18" s="4" t="str">
        <v>AOW00: Cross Cutting</v>
      </c>
      <c r="B18" s="4" t="str">
        <v>8: Partnership-Driven Agronomic Gains at Scale</v>
      </c>
      <c r="C18" s="4" t="str">
        <v/>
      </c>
      <c r="D18" s="4" t="str">
        <v>Innovation Use</v>
      </c>
      <c r="E18" s="4" t="str">
        <v>Global</v>
      </c>
      <c r="F18" s="5">
        <v>2</v>
      </c>
      <c r="G18" s="4">
        <v>511</v>
      </c>
    </row>
    <row r="19" ht="60" customHeight="1">
      <c r="A19" s="4" t="str">
        <v>AOW00: Cross Cutting</v>
      </c>
      <c r="B19" s="4" t="str">
        <v>3: Large scale adoption of integrated farm management solutions by farmers</v>
      </c>
      <c r="C19" s="4" t="str">
        <v/>
      </c>
      <c r="D19" s="4" t="str">
        <v>Innovation Use</v>
      </c>
      <c r="E19" s="4" t="str">
        <v>Global</v>
      </c>
      <c r="F19" s="5">
        <v>5</v>
      </c>
      <c r="G19" s="4">
        <v>512</v>
      </c>
    </row>
    <row r="20" ht="60" customHeight="1">
      <c r="A20" s="4" t="str">
        <v>AOW00: Cross Cutting</v>
      </c>
      <c r="B20" s="4" t="str">
        <v>3: Large scale adoption of integrated farm management solutions by farmers</v>
      </c>
      <c r="C20" s="4" t="str">
        <v/>
      </c>
      <c r="D20" s="4" t="str">
        <v>Innovation Use</v>
      </c>
      <c r="E20" s="4" t="str">
        <v>Global</v>
      </c>
      <c r="F20" s="5">
        <v>5</v>
      </c>
      <c r="G20" s="4">
        <v>512</v>
      </c>
    </row>
    <row r="21" ht="60" customHeight="1">
      <c r="A21" s="4" t="str">
        <v>AOW00: Cross Cutting</v>
      </c>
      <c r="B21" s="4" t="str">
        <v>3: Large scale adoption of integrated farm management solutions by farmers</v>
      </c>
      <c r="C21" s="4" t="str">
        <v/>
      </c>
      <c r="D21" s="4" t="str">
        <v>Innovation Use</v>
      </c>
      <c r="E21" s="4" t="str">
        <v>Global</v>
      </c>
      <c r="F21" s="5">
        <v>500000</v>
      </c>
      <c r="G21" s="4">
        <v>512</v>
      </c>
    </row>
    <row r="22" ht="60" customHeight="1">
      <c r="A22" s="4" t="str">
        <v>AOW00: Cross Cutting</v>
      </c>
      <c r="B22" s="4" t="str">
        <v>3: Large scale adoption of integrated farm management solutions by farmers</v>
      </c>
      <c r="C22" s="4" t="str">
        <v/>
      </c>
      <c r="D22" s="4" t="str">
        <v>Number of food producers using CGIAR innovations.</v>
      </c>
      <c r="E22" s="4" t="str">
        <v>Global</v>
      </c>
      <c r="F22" s="5">
        <v>500000</v>
      </c>
      <c r="G22" s="4">
        <v>512</v>
      </c>
    </row>
  </sheetData>
  <mergeCells count="15">
    <mergeCell ref="B2:B3"/>
    <mergeCell ref="C2:C3"/>
    <mergeCell ref="B6:B7"/>
    <mergeCell ref="C6:C7"/>
    <mergeCell ref="B8:B9"/>
    <mergeCell ref="C8:C9"/>
    <mergeCell ref="B12:B13"/>
    <mergeCell ref="C12:C13"/>
    <mergeCell ref="B15:B16"/>
    <mergeCell ref="C15:C16"/>
    <mergeCell ref="B17:B18"/>
    <mergeCell ref="C17:C18"/>
    <mergeCell ref="B19:B22"/>
    <mergeCell ref="C19:C22"/>
    <mergeCell ref="A2:A22"/>
  </mergeCells>
  <ignoredErrors>
    <ignoredError numberStoredAsText="1" sqref="A1:G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