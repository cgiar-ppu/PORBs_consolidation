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182</v>
      </c>
    </row>
    <row r="5" ht="20" customHeight="1">
      <c r="A5" s="4" t="str">
        <v>AOW01: Agroecology+ Solutions &amp; Innovations</v>
      </c>
      <c r="B5" s="5">
        <v>0</v>
      </c>
      <c r="C5" s="5">
        <v>0</v>
      </c>
      <c r="D5" s="5">
        <v>0</v>
      </c>
      <c r="E5" s="5">
        <v>0</v>
      </c>
      <c r="F5" s="5">
        <v>60</v>
      </c>
      <c r="G5" s="5">
        <v>81000</v>
      </c>
      <c r="H5" s="5">
        <v>50</v>
      </c>
      <c r="I5" s="5">
        <v>50000</v>
      </c>
      <c r="J5" s="5">
        <v>131000</v>
      </c>
      <c r="K5" s="5">
        <v>131000</v>
      </c>
      <c r="L5" s="5">
        <v>10000</v>
      </c>
      <c r="M5" s="5">
        <v>0</v>
      </c>
      <c r="N5" s="4">
        <v>177</v>
      </c>
    </row>
    <row r="6" ht="20" customHeight="1">
      <c r="A6" s="4" t="str">
        <v>AOW02: Landscape Optimization and Inclusive Planning</v>
      </c>
      <c r="B6" s="5">
        <v>4</v>
      </c>
      <c r="C6" s="5">
        <v>120000</v>
      </c>
      <c r="D6" s="5">
        <v>4</v>
      </c>
      <c r="E6" s="5">
        <v>166825</v>
      </c>
      <c r="F6" s="5">
        <v>0</v>
      </c>
      <c r="G6" s="5">
        <v>0</v>
      </c>
      <c r="H6" s="5">
        <v>0</v>
      </c>
      <c r="I6" s="5">
        <v>0</v>
      </c>
      <c r="J6" s="5">
        <v>286825</v>
      </c>
      <c r="K6" s="5">
        <v>286825</v>
      </c>
      <c r="L6" s="5">
        <v>19000</v>
      </c>
      <c r="M6" s="5">
        <v>0</v>
      </c>
      <c r="N6" s="4">
        <v>179</v>
      </c>
    </row>
    <row r="7" ht="20" customHeight="1">
      <c r="A7" s="4" t="str">
        <v>AOW03: Business Models, Markets, and Sustainable Finance</v>
      </c>
      <c r="B7" s="5">
        <v>0</v>
      </c>
      <c r="C7" s="5">
        <v>0</v>
      </c>
      <c r="D7" s="5">
        <v>0</v>
      </c>
      <c r="E7" s="5">
        <v>0</v>
      </c>
      <c r="F7" s="5">
        <v>0</v>
      </c>
      <c r="G7" s="5">
        <v>0</v>
      </c>
      <c r="H7" s="5">
        <v>0</v>
      </c>
      <c r="I7" s="5">
        <v>0</v>
      </c>
      <c r="J7" s="5">
        <v>0</v>
      </c>
      <c r="K7" s="5">
        <v>0</v>
      </c>
      <c r="L7" s="5">
        <v>0</v>
      </c>
      <c r="M7" s="5">
        <v>0</v>
      </c>
      <c r="N7" s="4">
        <v>180</v>
      </c>
    </row>
    <row r="8" ht="20" customHeight="1">
      <c r="A8" s="4" t="str">
        <v>AOW04: Governance, Institutions, Policy, and Inclusion</v>
      </c>
      <c r="B8" s="5">
        <v>0</v>
      </c>
      <c r="C8" s="5">
        <v>0</v>
      </c>
      <c r="D8" s="5">
        <v>4</v>
      </c>
      <c r="E8" s="5">
        <v>127466</v>
      </c>
      <c r="F8" s="5">
        <v>0</v>
      </c>
      <c r="G8" s="5">
        <v>0</v>
      </c>
      <c r="H8" s="5">
        <v>0</v>
      </c>
      <c r="I8" s="5">
        <v>0</v>
      </c>
      <c r="J8" s="5">
        <v>127466</v>
      </c>
      <c r="K8" s="5">
        <v>127466</v>
      </c>
      <c r="L8" s="5">
        <v>0</v>
      </c>
      <c r="M8" s="5">
        <v>0</v>
      </c>
      <c r="N8" s="4">
        <v>181</v>
      </c>
    </row>
    <row r="9" ht="20" customHeight="1">
      <c r="A9" s="4" t="str">
        <v>AOW05: Performance Assessments &amp; Evidence Generation</v>
      </c>
      <c r="B9" s="5">
        <v>0</v>
      </c>
      <c r="C9" s="5">
        <v>0</v>
      </c>
      <c r="D9" s="5">
        <v>0</v>
      </c>
      <c r="E9" s="5">
        <v>0</v>
      </c>
      <c r="F9" s="5">
        <v>0</v>
      </c>
      <c r="G9" s="5">
        <v>0</v>
      </c>
      <c r="H9" s="5">
        <v>0</v>
      </c>
      <c r="I9" s="5">
        <v>0</v>
      </c>
      <c r="J9" s="5">
        <v>0</v>
      </c>
      <c r="K9" s="5">
        <v>0</v>
      </c>
      <c r="L9" s="5">
        <v>0</v>
      </c>
      <c r="M9" s="5">
        <v>0</v>
      </c>
      <c r="N9" s="4">
        <v>178</v>
      </c>
    </row>
    <row r="10" ht="25" customHeight="1">
      <c r="A10" s="6" t="str">
        <v>Total</v>
      </c>
      <c r="B10" s="7" t="str">
        <v/>
      </c>
      <c r="C10" s="7">
        <v>120000</v>
      </c>
      <c r="D10" s="7" t="str">
        <v/>
      </c>
      <c r="E10" s="7">
        <v>294291</v>
      </c>
      <c r="F10" s="7" t="str">
        <v/>
      </c>
      <c r="G10" s="7">
        <v>81000</v>
      </c>
      <c r="H10" s="7" t="str">
        <v/>
      </c>
      <c r="I10" s="7">
        <v>50000</v>
      </c>
      <c r="J10" s="7">
        <v>545291</v>
      </c>
      <c r="K10" s="7">
        <v>545291</v>
      </c>
      <c r="L10" s="7">
        <v>29000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Agroecology+ Solutions &amp; Innovations</v>
      </c>
      <c r="B3" s="4" t="str">
        <v>IITA</v>
      </c>
      <c r="C3" s="4" t="str">
        <v>OP 1.1.1. – Bundles of farm-level solutions</v>
      </c>
      <c r="D3" s="4" t="str" xml:space="preserve">
        <v xml:space="preserve">Deliverables-Evidence-Based Guidelines for Enhancing Biological Regulation:
Develop, validate, and disseminate practical guidelines for integrating biocontrol agents and refuge habitat patches to strengthen biological pest regulation within agroecological production systems 
Indicator: Number of households  where guidelines for enhancing bio-control agents are validated and tested</v>
      </c>
      <c r="E3" s="4" t="str">
        <v>Number of people trained (capacity sharing for development)</v>
      </c>
      <c r="F3" s="4" t="str">
        <v>Kenya</v>
      </c>
      <c r="G3" s="5">
        <v>60</v>
      </c>
      <c r="H3" s="5">
        <v>81000</v>
      </c>
      <c r="I3" s="4" t="str">
        <v>.</v>
      </c>
      <c r="J3" s="4">
        <v>5458</v>
      </c>
    </row>
    <row r="4" ht="50" customHeight="1" xml:space="preserve">
      <c r="B4" s="4" t="str">
        <v>IITA</v>
      </c>
      <c r="D4" s="4" t="str" xml:space="preserve">
        <v xml:space="preserve">Deliverable: Context-specific agroecological packages developed, tested, and validated for use. 
Indicator: Number of farmers participating in testing and validation of agroecological and Nature+ soil health management packages across 10 villages</v>
      </c>
      <c r="E4" s="4" t="str">
        <v>custom</v>
      </c>
      <c r="F4" s="4" t="str">
        <v>Kenya</v>
      </c>
      <c r="G4" s="5">
        <v>50</v>
      </c>
      <c r="H4" s="5">
        <v>50000</v>
      </c>
      <c r="I4" s="4" t="str">
        <v>.</v>
      </c>
      <c r="J4" s="4">
        <v>7485</v>
      </c>
    </row>
    <row r="5" ht="25" customHeight="1">
      <c r="C5" s="9" t="str">
        <v>HLO budget subtotal</v>
      </c>
      <c r="H5" s="9">
        <v>131000</v>
      </c>
      <c r="J5" s="9" t="str">
        <v/>
      </c>
    </row>
    <row r="6" ht="50" customHeight="1" xml:space="preserve">
      <c r="A6" s="8" t="str">
        <v>AOW02: Landscape Optimization and Inclusive Planning</v>
      </c>
      <c r="B6" s="4" t="str">
        <v>IITA</v>
      </c>
      <c r="C6" s="4" t="str">
        <v>OP 2.2.3. – Integrated planning &amp; scenarios</v>
      </c>
      <c r="D6" s="4" t="str" xml:space="preserve">
        <v xml:space="preserve">Deliverable - Actionable Landscape Models for Decision Support in Two Landscapes: Develop and apply decision-oriented landscape models in two selected landscapes to evaluate trade-offs and synergies among land-use options (e.g., production, restoration, conservation, water use, carbon, and biodiversity outcomes), producing scenario outputs that directly inform stakeholder planning and priority-setting.
Indicator: Number of Decision-support modeling frameworks deployed</v>
      </c>
      <c r="E6" s="4" t="str">
        <v>Number of knowledge products</v>
      </c>
      <c r="F6" s="4" t="str">
        <v>Kenya</v>
      </c>
      <c r="G6" s="5">
        <v>1</v>
      </c>
      <c r="H6" s="5">
        <v>120000</v>
      </c>
      <c r="I6" s="4" t="str">
        <v>.</v>
      </c>
      <c r="J6" s="4">
        <v>5239</v>
      </c>
    </row>
    <row r="7" ht="50" customHeight="1" xml:space="preserve">
      <c r="B7" s="4" t="str">
        <v>IITA</v>
      </c>
      <c r="D7" s="4" t="str" xml:space="preserve">
        <v xml:space="preserve">Deliverable: Reconciling land-sparing and land-sharing objectives through coupling plot/farm and landsape level solutions. Develop an integrated, evidence-based analytical framework and tools for assessing land-sparing, land-sharing, and hybrid landscape strategies across different agroecological and socio-economic contexts and scales and optimizing win-win solutions considering competing needs and conflicting priorities.
Indicator: LS-LS objective optimization tool</v>
      </c>
      <c r="E7" s="4" t="str">
        <v>Number of innovations (innovation development)</v>
      </c>
      <c r="F7" s="4" t="str">
        <v>Colombia, Peru, Tunisia</v>
      </c>
      <c r="G7" s="5">
        <v>1</v>
      </c>
      <c r="H7" s="5">
        <v>50000</v>
      </c>
      <c r="I7" s="4" t="str">
        <v>.</v>
      </c>
      <c r="J7" s="4">
        <v>7742</v>
      </c>
    </row>
    <row r="8" ht="50" customHeight="1" xml:space="preserve">
      <c r="A8" s="4" t="str">
        <v>AOW02: Landscape Optimization and Inclusive Planning</v>
      </c>
      <c r="B8" s="4" t="str">
        <v>IITA</v>
      </c>
      <c r="C8" s="4" t="str">
        <v>OP 2.1.1. – Hotspot mapping &amp; characterization</v>
      </c>
      <c r="D8" s="4" t="str" xml:space="preserve">
        <v xml:space="preserve">Deliverable - Geospatial maps indicating levels of land degradation hotspots
Indicator: Number of validated hotspot maps
</v>
      </c>
      <c r="E8" s="4" t="str">
        <v>Number of innovations (innovation development)</v>
      </c>
      <c r="F8" s="4" t="str">
        <v>Ethiopia, Kenya</v>
      </c>
      <c r="G8" s="5">
        <v>2</v>
      </c>
      <c r="H8" s="5">
        <v>60000</v>
      </c>
      <c r="I8" s="4" t="str">
        <v>.</v>
      </c>
      <c r="J8" s="4">
        <v>5363</v>
      </c>
    </row>
    <row r="9" ht="50" customHeight="1" xml:space="preserve">
      <c r="B9" s="4" t="str">
        <v>IITA</v>
      </c>
      <c r="D9" s="4" t="str" xml:space="preserve">
        <v xml:space="preserve">Deliverable - Maps quantifying trends in ecosystem services value (ESV) due to land use changes
Indicator: Number of validated maps on value of ecosystem services</v>
      </c>
      <c r="E9" s="4" t="str">
        <v>Number of knowledge products</v>
      </c>
      <c r="F9" s="4" t="str">
        <v>Ethiopia, Kenya</v>
      </c>
      <c r="G9" s="5">
        <v>2</v>
      </c>
      <c r="H9" s="5">
        <v>10000</v>
      </c>
      <c r="I9" s="4" t="str">
        <v>.</v>
      </c>
      <c r="J9" s="4">
        <v>7664</v>
      </c>
    </row>
    <row r="10" ht="50" customHeight="1" xml:space="preserve">
      <c r="A10" s="4" t="str">
        <v>AOW02: Landscape Optimization and Inclusive Planning</v>
      </c>
      <c r="B10" s="4" t="str">
        <v>IITA</v>
      </c>
      <c r="C10" s="4" t="str">
        <v>OP 2.2.2. – Landscape visions &amp; co-developed plans</v>
      </c>
      <c r="D10" s="4" t="str" xml:space="preserve">
        <v xml:space="preserve">Deliverable - Landscape Vision to Action (LV2A) Innovation Development - Co-development of innovations supporting the Landscape V2A process. 
Indicator: Number of supporting innovations for multifunctional landscape Vision To Action developed</v>
      </c>
      <c r="E10" s="4" t="str">
        <v>Number of innovations (innovation development)</v>
      </c>
      <c r="F10" s="4" t="str">
        <v>Peru, Kenya, Colombia, India, Tanzania, United Republic, Zimbabwe, Tunisia</v>
      </c>
      <c r="G10" s="5">
        <v>1</v>
      </c>
      <c r="H10" s="5">
        <v>0</v>
      </c>
      <c r="I10" s="4" t="str">
        <v/>
      </c>
      <c r="J10" s="4">
        <v>5375</v>
      </c>
    </row>
    <row r="11" ht="50" customHeight="1" xml:space="preserve">
      <c r="B11" s="4" t="str">
        <v>IITA</v>
      </c>
      <c r="D11" s="4" t="str" xml:space="preserve">
        <v xml:space="preserve">Deliverable - Landscape Vision to Action (LV2A) implementation in LVB Kenya LL: Co-design agroecological interventions for soil health management. 
Indicator: Number of agroecological-based soil health innovations co-developed and tested by farmers.</v>
      </c>
      <c r="E11" s="4" t="str">
        <v>Number of knowledge products</v>
      </c>
      <c r="F11" s="4" t="str">
        <v>Kenya</v>
      </c>
      <c r="G11" s="5">
        <v>1</v>
      </c>
      <c r="H11" s="5">
        <v>36825</v>
      </c>
      <c r="I11" s="4" t="str">
        <v>.</v>
      </c>
      <c r="J11" s="4">
        <v>7898</v>
      </c>
    </row>
    <row r="12" ht="50" customHeight="1" xml:space="preserve">
      <c r="A12" s="4" t="str">
        <v>AOW02: Landscape Optimization and Inclusive Planning</v>
      </c>
      <c r="B12" s="4" t="str">
        <v>IITA</v>
      </c>
      <c r="C12" s="4" t="str">
        <v>OP 2.2.4. – Digital Twins for foresight</v>
      </c>
      <c r="D12" s="4" t="str" xml:space="preserve">
        <v xml:space="preserve">Deliverable: Developing and deploying an open source MFL Geospatial Datahub for Kenya that supports standardized yet flexible geospatial data management, analysis, visualization, and sharing for Living Labs, while interoperating with the National DataHub System through shared metadata, APIs, and common identifiers. 
Indicator: Number of open source MFL Geospatial Datahubs</v>
      </c>
      <c r="E12" s="4" t="str">
        <v>Number of innovations (innovation development)</v>
      </c>
      <c r="F12" s="4" t="str">
        <v>Ethiopia, Kenya</v>
      </c>
      <c r="G12" s="5">
        <v>1</v>
      </c>
      <c r="H12" s="5">
        <v>10000</v>
      </c>
      <c r="I12" s="4" t="str">
        <v>.</v>
      </c>
      <c r="J12" s="4">
        <v>7665</v>
      </c>
    </row>
    <row r="13" ht="25" customHeight="1">
      <c r="C13" s="9" t="str">
        <v>HLO budget subtotal</v>
      </c>
      <c r="H13" s="9">
        <v>286825</v>
      </c>
      <c r="J13" s="9" t="str">
        <v/>
      </c>
    </row>
    <row r="14" ht="50" customHeight="1" xml:space="preserve">
      <c r="A14" s="8" t="str">
        <v>AOW04: Governance, Institutions, Policy, and Inclusion</v>
      </c>
      <c r="B14" s="4" t="str">
        <v>IITA</v>
      </c>
      <c r="C14" s="4" t="str">
        <v>OP 4.3.2. Engagement frameworks and pilots</v>
      </c>
      <c r="D14" s="4" t="str" xml:space="preserve">
        <v xml:space="preserve">Deliverable: Policy and Institutional Coherence Roadmap: A preliminary framework/map showing policy alignment with biodiversity objectives under the NBSAPs and policy contradictions, governance gaps, overlapping mandates, and misaligned incentives affecting implementation. 
Indicator: Number of roadmaps on policy and institutional coherence designed</v>
      </c>
      <c r="E14" s="4" t="str">
        <v>Number of knowledge products</v>
      </c>
      <c r="F14" s="4" t="str">
        <v>Kenya</v>
      </c>
      <c r="G14" s="5">
        <v>1</v>
      </c>
      <c r="H14" s="5">
        <v>45940</v>
      </c>
      <c r="I14" s="4" t="str">
        <v>.</v>
      </c>
      <c r="J14" s="4">
        <v>5387</v>
      </c>
    </row>
    <row r="15" ht="50" customHeight="1" xml:space="preserve">
      <c r="B15" s="4" t="str">
        <v>IITA</v>
      </c>
      <c r="D15" s="4" t="str" xml:space="preserve">
        <v xml:space="preserve">Deliverable: A social network analysis of Biodiversity Governance. A study will map institutional actors, examine coordination mechanisms and sectoral clusters, and assess representation and inclusion within biodiversity governance structures.
Indicator: Number of reports on social networks in biodiversity governance 
</v>
      </c>
      <c r="E15" s="4" t="str">
        <v>Number of knowledge products</v>
      </c>
      <c r="F15" s="4" t="str">
        <v>Ethiopia, Kenya</v>
      </c>
      <c r="G15" s="5">
        <v>2</v>
      </c>
      <c r="H15" s="5">
        <v>51526</v>
      </c>
      <c r="I15" s="4" t="str">
        <v>.</v>
      </c>
      <c r="J15" s="4">
        <v>5388</v>
      </c>
    </row>
    <row r="16" ht="50" customHeight="1" xml:space="preserve">
      <c r="A16" s="4" t="str">
        <v>AOW04: Governance, Institutions, Policy, and Inclusion</v>
      </c>
      <c r="B16" s="4" t="str">
        <v>IITA</v>
      </c>
      <c r="C16" s="4" t="str">
        <v>OP 4.3.1. Multifunctional landscapes policy design and implementation</v>
      </c>
      <c r="D16" s="4" t="str" xml:space="preserve">
        <v xml:space="preserve">Deliverable: Policy and institutional framework for sustainable financing of Agroecological and Nature-Based Enterprises in Kenya and Ethiopia. 
Indicator: Number of validated frameworks developed with financing mechanisms mapped and stakeholder consultation and validation completed.</v>
      </c>
      <c r="E16" s="4" t="str">
        <v>Number of knowledge products</v>
      </c>
      <c r="F16" s="4" t="str">
        <v>Kenya, Ethiopia</v>
      </c>
      <c r="G16" s="5">
        <v>1</v>
      </c>
      <c r="H16" s="5">
        <v>30000</v>
      </c>
      <c r="I16" s="4" t="str">
        <v>.</v>
      </c>
      <c r="J16" s="4">
        <v>7475</v>
      </c>
    </row>
    <row r="17" ht="25" customHeight="1">
      <c r="C17" s="9" t="str">
        <v>HLO budget subtotal</v>
      </c>
      <c r="H17" s="9">
        <v>127466</v>
      </c>
      <c r="J17" s="9" t="str">
        <v/>
      </c>
    </row>
  </sheetData>
  <mergeCells count="17">
    <mergeCell ref="A1:A2"/>
    <mergeCell ref="B1:B2"/>
    <mergeCell ref="C1:C2"/>
    <mergeCell ref="D1:H1"/>
    <mergeCell ref="I1:I2"/>
    <mergeCell ref="J1:J2"/>
    <mergeCell ref="C3:C4"/>
    <mergeCell ref="C5:G5"/>
    <mergeCell ref="A3:A5"/>
    <mergeCell ref="C6:C7"/>
    <mergeCell ref="C8:C9"/>
    <mergeCell ref="C10:C11"/>
    <mergeCell ref="C13:G13"/>
    <mergeCell ref="A6:A13"/>
    <mergeCell ref="C14:C15"/>
    <mergeCell ref="C17:G17"/>
    <mergeCell ref="A14:A17"/>
  </mergeCells>
  <ignoredErrors>
    <ignoredError numberStoredAsText="1" sqref="A1:J17"/>
  </ignoredErrors>
</worksheet>
</file>

<file path=xl/worksheets/sheet3.xml><?xml version="1.0" encoding="utf-8"?>
<worksheet xmlns="http://schemas.openxmlformats.org/spreadsheetml/2006/main" xmlns:r="http://schemas.openxmlformats.org/officeDocument/2006/relationships">
  <dimension ref="A1:G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Agroecology+ Solutions &amp; Innovations</v>
      </c>
      <c r="B2" s="4" t="str">
        <v>Kenya Agricultural and Livestock Research Organization</v>
      </c>
      <c r="C2" s="4" t="str">
        <v>IITA</v>
      </c>
      <c r="D2" s="4" t="str">
        <v>Kenya</v>
      </c>
      <c r="E2" s="5">
        <v>10000</v>
      </c>
      <c r="F2" s="4" t="str">
        <v>.</v>
      </c>
      <c r="G2" s="4">
        <v>514</v>
      </c>
    </row>
    <row r="3" ht="25" customHeight="1">
      <c r="B3" s="9" t="str">
        <v>Contracted partners subtotal</v>
      </c>
      <c r="E3" s="9">
        <v>10000</v>
      </c>
      <c r="F3" s="9" t="str">
        <v/>
      </c>
      <c r="G3" s="9" t="str">
        <v/>
      </c>
    </row>
    <row r="4" ht="50" customHeight="1">
      <c r="A4" s="8" t="str">
        <v>AOW02: Landscape Optimization and Inclusive Planning</v>
      </c>
      <c r="B4" s="4" t="str">
        <v>Kenya Agricultural and Livestock Research Organization</v>
      </c>
      <c r="C4" s="4" t="str">
        <v>IITA</v>
      </c>
      <c r="D4" s="4" t="str">
        <v>Kenya</v>
      </c>
      <c r="E4" s="5">
        <v>10000</v>
      </c>
      <c r="F4" s="4" t="str">
        <v>.</v>
      </c>
      <c r="G4" s="4">
        <v>515</v>
      </c>
    </row>
    <row r="5" ht="50" customHeight="1">
      <c r="A5" s="4" t="str">
        <v>AOW02: Landscape Optimization and Inclusive Planning</v>
      </c>
      <c r="B5" s="4" t="str">
        <v>Jomo Kenyatta University of Agriculture and Technology</v>
      </c>
      <c r="C5" s="4" t="str">
        <v>IITA</v>
      </c>
      <c r="D5" s="4" t="str">
        <v>Kenya</v>
      </c>
      <c r="E5" s="5">
        <v>9000</v>
      </c>
      <c r="F5" s="4" t="str">
        <v>.</v>
      </c>
      <c r="G5" s="4">
        <v>516</v>
      </c>
    </row>
    <row r="6" ht="25" customHeight="1">
      <c r="B6" s="9" t="str">
        <v>Contracted partners subtotal</v>
      </c>
      <c r="E6" s="9">
        <v>19000</v>
      </c>
      <c r="F6" s="9" t="str">
        <v/>
      </c>
      <c r="G6" s="9" t="str">
        <v/>
      </c>
    </row>
  </sheetData>
  <mergeCells count="4">
    <mergeCell ref="B3:D3"/>
    <mergeCell ref="A2:A3"/>
    <mergeCell ref="B6:D6"/>
    <mergeCell ref="A4:A6"/>
  </mergeCells>
  <ignoredErrors>
    <ignoredError numberStoredAsText="1" sqref="A1:G6"/>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59565</v>
      </c>
      <c r="D2" s="5">
        <v>161292</v>
      </c>
      <c r="E2" s="5">
        <v>0</v>
      </c>
      <c r="F2" s="5">
        <v>82440</v>
      </c>
      <c r="G2" s="5">
        <v>0</v>
      </c>
      <c r="H2" s="5">
        <f>=SUM(B2:G2)</f>
        <v>0</v>
      </c>
    </row>
    <row r="3" ht="20" customHeight="1">
      <c r="A3" s="4" t="str">
        <v>Operations (supplies, consultants, travels, workshops, other)</v>
      </c>
      <c r="B3" s="5">
        <v>0</v>
      </c>
      <c r="C3" s="5">
        <v>61435</v>
      </c>
      <c r="D3" s="5">
        <v>106533</v>
      </c>
      <c r="E3" s="5">
        <v>0</v>
      </c>
      <c r="F3" s="5">
        <v>45026</v>
      </c>
      <c r="G3" s="5">
        <v>0</v>
      </c>
      <c r="H3" s="5">
        <f>=SUM(B3:G3)</f>
        <v>0</v>
      </c>
    </row>
    <row r="4" ht="20" customHeight="1">
      <c r="A4" s="4" t="str">
        <v>Collaborators non-CGIAR centers</v>
      </c>
      <c r="B4" s="5">
        <v>0</v>
      </c>
      <c r="C4" s="5">
        <v>10000</v>
      </c>
      <c r="D4" s="5">
        <v>19000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Agroecology+ Solutions &amp; Innovations</v>
      </c>
      <c r="B2" s="4" t="str">
        <v>IITA</v>
      </c>
      <c r="C2" s="4" t="str">
        <v>Kenya</v>
      </c>
      <c r="D2" s="5">
        <v>100</v>
      </c>
      <c r="E2" s="4">
        <v>2272</v>
      </c>
    </row>
    <row r="3" ht="45" customHeight="1">
      <c r="A3" s="8" t="str">
        <v>AOW02: Landscape Optimization and Inclusive Planning</v>
      </c>
      <c r="B3" s="4" t="str">
        <v>IITA</v>
      </c>
      <c r="C3" s="4" t="str">
        <v>Colombia</v>
      </c>
      <c r="D3" s="5">
        <v>10</v>
      </c>
      <c r="E3" s="4">
        <v>2277</v>
      </c>
    </row>
    <row r="4" ht="45" customHeight="1">
      <c r="A4" s="4" t="str">
        <v>AOW02: Landscape Optimization and Inclusive Planning</v>
      </c>
      <c r="B4" s="4" t="str">
        <v>IITA</v>
      </c>
      <c r="C4" s="4" t="str">
        <v>Ethiopia</v>
      </c>
      <c r="D4" s="5">
        <v>35</v>
      </c>
      <c r="E4" s="4">
        <v>2273</v>
      </c>
    </row>
    <row r="5" ht="45" customHeight="1">
      <c r="A5" s="4" t="str">
        <v>AOW02: Landscape Optimization and Inclusive Planning</v>
      </c>
      <c r="B5" s="4" t="str">
        <v>IITA</v>
      </c>
      <c r="C5" s="4" t="str">
        <v>India</v>
      </c>
      <c r="D5" s="5">
        <v>0</v>
      </c>
      <c r="E5" s="4">
        <v>2278</v>
      </c>
    </row>
    <row r="6" ht="45" customHeight="1">
      <c r="A6" s="4" t="str">
        <v>AOW02: Landscape Optimization and Inclusive Planning</v>
      </c>
      <c r="B6" s="4" t="str">
        <v>IITA</v>
      </c>
      <c r="C6" s="4" t="str">
        <v>Kenya</v>
      </c>
      <c r="D6" s="5">
        <v>35</v>
      </c>
      <c r="E6" s="4">
        <v>2274</v>
      </c>
    </row>
    <row r="7" ht="45" customHeight="1">
      <c r="A7" s="4" t="str">
        <v>AOW02: Landscape Optimization and Inclusive Planning</v>
      </c>
      <c r="B7" s="4" t="str">
        <v>IITA</v>
      </c>
      <c r="C7" s="4" t="str">
        <v>Peru</v>
      </c>
      <c r="D7" s="5">
        <v>10</v>
      </c>
      <c r="E7" s="4">
        <v>2276</v>
      </c>
    </row>
    <row r="8" ht="45" customHeight="1">
      <c r="A8" s="4" t="str">
        <v>AOW02: Landscape Optimization and Inclusive Planning</v>
      </c>
      <c r="B8" s="4" t="str">
        <v>IITA</v>
      </c>
      <c r="C8" s="4" t="str">
        <v>Tunisia</v>
      </c>
      <c r="D8" s="5">
        <v>10</v>
      </c>
      <c r="E8" s="4">
        <v>2275</v>
      </c>
    </row>
    <row r="9" ht="45" customHeight="1">
      <c r="A9" s="8" t="str">
        <v>AOW04: Governance, Institutions, Policy, and Inclusion</v>
      </c>
      <c r="B9" s="4" t="str">
        <v>IITA</v>
      </c>
      <c r="C9" s="4" t="str">
        <v>Ethiopia</v>
      </c>
      <c r="D9" s="5">
        <v>50</v>
      </c>
      <c r="E9" s="4">
        <v>2279</v>
      </c>
    </row>
    <row r="10" ht="45" customHeight="1">
      <c r="A10" s="4" t="str">
        <v>AOW04: Governance, Institutions, Policy, and Inclusion</v>
      </c>
      <c r="B10" s="4" t="str">
        <v>IITA</v>
      </c>
      <c r="C10" s="4" t="str">
        <v>Kenya</v>
      </c>
      <c r="D10" s="5">
        <v>50</v>
      </c>
      <c r="E10" s="4">
        <v>2280</v>
      </c>
    </row>
  </sheetData>
  <mergeCells count="3">
    <mergeCell ref="A2"/>
    <mergeCell ref="A3:A8"/>
    <mergeCell ref="A9:A10"/>
  </mergeCells>
  <ignoredErrors>
    <ignoredError numberStoredAsText="1" sqref="A1:E10"/>
  </ignoredErrors>
</worksheet>
</file>

<file path=xl/worksheets/sheet9.xml><?xml version="1.0" encoding="utf-8"?>
<worksheet xmlns="http://schemas.openxmlformats.org/spreadsheetml/2006/main" xmlns:r="http://schemas.openxmlformats.org/officeDocument/2006/relationships">
  <dimension ref="A1:F1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Agroecology+ Solutions &amp; Innovations</v>
      </c>
      <c r="B2" s="4" t="str">
        <v>IITA</v>
      </c>
      <c r="C2" s="4" t="str">
        <v>Ethiopia</v>
      </c>
      <c r="D2" s="4" t="str">
        <v>country</v>
      </c>
      <c r="E2" s="5">
        <v>0</v>
      </c>
      <c r="F2" s="4">
        <v>764</v>
      </c>
    </row>
    <row r="3" ht="45" customHeight="1">
      <c r="A3" s="4" t="str">
        <v>AOW01: Agroecology+ Solutions &amp; Innovations</v>
      </c>
      <c r="B3" s="4" t="str">
        <v>IITA</v>
      </c>
      <c r="C3" s="4" t="str">
        <v>Kenya</v>
      </c>
      <c r="D3" s="4" t="str">
        <v>country</v>
      </c>
      <c r="E3" s="5">
        <v>100</v>
      </c>
      <c r="F3" s="4">
        <v>765</v>
      </c>
    </row>
    <row r="4" ht="45" customHeight="1">
      <c r="A4" s="4" t="str">
        <v>AOW01: Agroecology+ Solutions &amp; Innovations</v>
      </c>
      <c r="B4" s="4" t="str">
        <v>IITA</v>
      </c>
      <c r="C4" s="4" t="str">
        <v>Lao People's Democratic Republic</v>
      </c>
      <c r="D4" s="4" t="str">
        <v>country</v>
      </c>
      <c r="E4" s="5">
        <v>0</v>
      </c>
      <c r="F4" s="4">
        <v>1376</v>
      </c>
    </row>
    <row r="5" ht="45" customHeight="1">
      <c r="A5" s="8" t="str">
        <v>AOW02: Landscape Optimization and Inclusive Planning</v>
      </c>
      <c r="B5" s="4" t="str">
        <v>IITA</v>
      </c>
      <c r="C5" s="4" t="str">
        <v>Ethiopia</v>
      </c>
      <c r="D5" s="4" t="str">
        <v>country</v>
      </c>
      <c r="E5" s="5">
        <v>33</v>
      </c>
      <c r="F5" s="4">
        <v>768</v>
      </c>
    </row>
    <row r="6" ht="45" customHeight="1">
      <c r="A6" s="4" t="str">
        <v>AOW02: Landscape Optimization and Inclusive Planning</v>
      </c>
      <c r="B6" s="4" t="str">
        <v>IITA</v>
      </c>
      <c r="C6" s="4" t="str">
        <v>Tanzania</v>
      </c>
      <c r="D6" s="4" t="str">
        <v>country</v>
      </c>
      <c r="E6" s="5">
        <v>34</v>
      </c>
      <c r="F6" s="4">
        <v>766</v>
      </c>
    </row>
    <row r="7" ht="45" customHeight="1">
      <c r="A7" s="4" t="str">
        <v>AOW02: Landscape Optimization and Inclusive Planning</v>
      </c>
      <c r="B7" s="4" t="str">
        <v>IITA</v>
      </c>
      <c r="C7" s="4" t="str">
        <v>Zimbabwe</v>
      </c>
      <c r="D7" s="4" t="str">
        <v>country</v>
      </c>
      <c r="E7" s="5">
        <v>33</v>
      </c>
      <c r="F7" s="4">
        <v>767</v>
      </c>
    </row>
    <row r="8" ht="45" customHeight="1">
      <c r="A8" s="8" t="str">
        <v>AOW03: Business Models, Markets, and Sustainable Finance</v>
      </c>
      <c r="B8" s="4" t="str">
        <v>IITA</v>
      </c>
      <c r="C8" s="4" t="str">
        <v>Global</v>
      </c>
      <c r="D8" s="4" t="str">
        <v>global</v>
      </c>
      <c r="E8" s="5">
        <v>0</v>
      </c>
      <c r="F8" s="4">
        <v>1377</v>
      </c>
    </row>
    <row r="9" ht="45" customHeight="1">
      <c r="A9" s="4" t="str">
        <v>AOW03: Business Models, Markets, and Sustainable Finance</v>
      </c>
      <c r="B9" s="4" t="str">
        <v>IITA</v>
      </c>
      <c r="C9" s="4" t="str">
        <v>Kenya</v>
      </c>
      <c r="D9" s="4" t="str">
        <v>country</v>
      </c>
      <c r="E9" s="5">
        <v>100</v>
      </c>
      <c r="F9" s="4">
        <v>1378</v>
      </c>
    </row>
    <row r="10" ht="45" customHeight="1">
      <c r="A10" s="4" t="str">
        <v>AOW03: Business Models, Markets, and Sustainable Finance</v>
      </c>
      <c r="B10" s="4" t="str">
        <v>IITA</v>
      </c>
      <c r="C10" s="4" t="str">
        <v>Senegal</v>
      </c>
      <c r="D10" s="4" t="str">
        <v>country</v>
      </c>
      <c r="E10" s="5">
        <v>0</v>
      </c>
      <c r="F10" s="4">
        <v>1379</v>
      </c>
    </row>
    <row r="11" ht="45" customHeight="1">
      <c r="A11" s="8" t="str">
        <v>AOW04: Governance, Institutions, Policy, and Inclusion</v>
      </c>
      <c r="B11" s="4" t="str">
        <v>IITA</v>
      </c>
      <c r="C11" s="4" t="str">
        <v>Kenya</v>
      </c>
      <c r="D11" s="4" t="str">
        <v>country</v>
      </c>
      <c r="E11" s="5">
        <v>100</v>
      </c>
      <c r="F11" s="4">
        <v>1380</v>
      </c>
    </row>
    <row r="12" ht="45" customHeight="1">
      <c r="A12" s="8" t="str">
        <v>AOW05: Performance Assessments &amp; Evidence Generation</v>
      </c>
      <c r="B12" s="4" t="str">
        <v>IITA</v>
      </c>
      <c r="C12" s="4" t="str">
        <v>Kenya</v>
      </c>
      <c r="D12" s="4" t="str">
        <v>country</v>
      </c>
      <c r="E12" s="5">
        <v>100</v>
      </c>
      <c r="F12" s="4">
        <v>1381</v>
      </c>
    </row>
  </sheetData>
  <mergeCells count="5">
    <mergeCell ref="A2:A4"/>
    <mergeCell ref="A5:A7"/>
    <mergeCell ref="A8:A10"/>
    <mergeCell ref="A11"/>
    <mergeCell ref="A12"/>
  </mergeCells>
  <ignoredErrors>
    <ignoredError numberStoredAsText="1" sqref="A1:F12"/>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