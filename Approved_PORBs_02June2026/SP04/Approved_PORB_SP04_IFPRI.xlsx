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191535</v>
      </c>
      <c r="K4" s="5">
        <v>191535</v>
      </c>
      <c r="L4" s="5">
        <v>0</v>
      </c>
      <c r="M4" s="5">
        <v>0</v>
      </c>
      <c r="N4" s="4">
        <v>182</v>
      </c>
    </row>
    <row r="5" ht="20" customHeight="1">
      <c r="A5" s="4" t="str">
        <v>AOW01: Agroecology+ Solutions &amp; Innovations</v>
      </c>
      <c r="B5" s="5">
        <v>2</v>
      </c>
      <c r="C5" s="5">
        <v>106500</v>
      </c>
      <c r="D5" s="5">
        <v>3</v>
      </c>
      <c r="E5" s="5">
        <v>130055</v>
      </c>
      <c r="F5" s="5">
        <v>0</v>
      </c>
      <c r="G5" s="5">
        <v>0</v>
      </c>
      <c r="H5" s="5">
        <v>0</v>
      </c>
      <c r="I5" s="5">
        <v>0</v>
      </c>
      <c r="J5" s="5">
        <v>236555</v>
      </c>
      <c r="K5" s="5">
        <v>236555</v>
      </c>
      <c r="L5" s="5">
        <v>75000</v>
      </c>
      <c r="M5" s="5">
        <v>0</v>
      </c>
      <c r="N5" s="4">
        <v>177</v>
      </c>
    </row>
    <row r="6" ht="20" customHeight="1">
      <c r="A6" s="4" t="str">
        <v>AOW02: Landscape Optimization and Inclusive Planning</v>
      </c>
      <c r="B6" s="5">
        <v>0</v>
      </c>
      <c r="C6" s="5">
        <v>0</v>
      </c>
      <c r="D6" s="5">
        <v>5</v>
      </c>
      <c r="E6" s="5">
        <v>54099</v>
      </c>
      <c r="F6" s="5">
        <v>0</v>
      </c>
      <c r="G6" s="5">
        <v>0</v>
      </c>
      <c r="H6" s="5">
        <v>12</v>
      </c>
      <c r="I6" s="5">
        <v>99187</v>
      </c>
      <c r="J6" s="5">
        <v>153286</v>
      </c>
      <c r="K6" s="5">
        <v>153286</v>
      </c>
      <c r="L6" s="5">
        <v>30000</v>
      </c>
      <c r="M6" s="5">
        <v>0</v>
      </c>
      <c r="N6" s="4">
        <v>179</v>
      </c>
    </row>
    <row r="7" ht="20" customHeight="1">
      <c r="A7" s="4" t="str">
        <v>AOW03: Business Models, Markets, and Sustainable Finance</v>
      </c>
      <c r="B7" s="5">
        <v>0</v>
      </c>
      <c r="C7" s="5">
        <v>0</v>
      </c>
      <c r="D7" s="5">
        <v>6</v>
      </c>
      <c r="E7" s="5">
        <v>128106</v>
      </c>
      <c r="F7" s="5">
        <v>0</v>
      </c>
      <c r="G7" s="5">
        <v>0</v>
      </c>
      <c r="H7" s="5">
        <v>0</v>
      </c>
      <c r="I7" s="5">
        <v>0</v>
      </c>
      <c r="J7" s="5">
        <v>128106</v>
      </c>
      <c r="K7" s="5">
        <v>128106</v>
      </c>
      <c r="L7" s="5">
        <v>30000</v>
      </c>
      <c r="M7" s="5">
        <v>0</v>
      </c>
      <c r="N7" s="4">
        <v>180</v>
      </c>
    </row>
    <row r="8" ht="20" customHeight="1">
      <c r="A8" s="4" t="str">
        <v>AOW04: Governance, Institutions, Policy, and Inclusion</v>
      </c>
      <c r="B8" s="5">
        <v>0</v>
      </c>
      <c r="C8" s="5">
        <v>0</v>
      </c>
      <c r="D8" s="5">
        <v>39</v>
      </c>
      <c r="E8" s="5">
        <v>548826</v>
      </c>
      <c r="F8" s="5">
        <v>0</v>
      </c>
      <c r="G8" s="5">
        <v>0</v>
      </c>
      <c r="H8" s="5">
        <v>6</v>
      </c>
      <c r="I8" s="5">
        <v>66876</v>
      </c>
      <c r="J8" s="5">
        <v>615702</v>
      </c>
      <c r="K8" s="5">
        <v>615702</v>
      </c>
      <c r="L8" s="5">
        <v>20000</v>
      </c>
      <c r="M8" s="5">
        <v>0</v>
      </c>
      <c r="N8" s="4">
        <v>181</v>
      </c>
    </row>
    <row r="9" ht="20" customHeight="1">
      <c r="A9" s="4" t="str">
        <v>AOW05: Performance Assessments &amp; Evidence Generation</v>
      </c>
      <c r="B9" s="5">
        <v>0</v>
      </c>
      <c r="C9" s="5">
        <v>0</v>
      </c>
      <c r="D9" s="5">
        <v>7</v>
      </c>
      <c r="E9" s="5">
        <v>350062</v>
      </c>
      <c r="F9" s="5">
        <v>1</v>
      </c>
      <c r="G9" s="5">
        <v>12292</v>
      </c>
      <c r="H9" s="5">
        <v>0</v>
      </c>
      <c r="I9" s="5">
        <v>0</v>
      </c>
      <c r="J9" s="5">
        <v>362354</v>
      </c>
      <c r="K9" s="5">
        <v>362354</v>
      </c>
      <c r="L9" s="5">
        <v>0</v>
      </c>
      <c r="M9" s="5">
        <v>291832</v>
      </c>
      <c r="N9" s="4">
        <v>178</v>
      </c>
    </row>
    <row r="10" ht="25" customHeight="1">
      <c r="A10" s="6" t="str">
        <v>Total</v>
      </c>
      <c r="B10" s="7" t="str">
        <v/>
      </c>
      <c r="C10" s="7">
        <v>106500</v>
      </c>
      <c r="D10" s="7" t="str">
        <v/>
      </c>
      <c r="E10" s="7">
        <v>1211148</v>
      </c>
      <c r="F10" s="7" t="str">
        <v/>
      </c>
      <c r="G10" s="7">
        <v>12292</v>
      </c>
      <c r="H10" s="7" t="str">
        <v/>
      </c>
      <c r="I10" s="7">
        <v>166063</v>
      </c>
      <c r="J10" s="7">
        <v>1687538</v>
      </c>
      <c r="K10" s="7">
        <v>1687538</v>
      </c>
      <c r="L10" s="7">
        <v>155000</v>
      </c>
      <c r="M10" s="7">
        <v>291832</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4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IFPRI</v>
      </c>
      <c r="C3" s="4" t="str">
        <v>OP 1.1.3. – Common pool resource bundles</v>
      </c>
      <c r="D3" s="4" t="str" xml:space="preserve">
        <v xml:space="preserve">Deliverable - Stakeholders Co-Design and Pilot Experiential Learning Games: Conduct stakeholder engagement processes and co-develop games to support experiential learning on collective action, self-governance institutions, and collaborative planning in India. 
Indicator: Number of experiential learning games developed, advanced or piloted</v>
      </c>
      <c r="E3" s="4" t="str">
        <v>Number of innovations (innovation development)</v>
      </c>
      <c r="F3" s="4" t="str">
        <v>India</v>
      </c>
      <c r="G3" s="5">
        <v>2</v>
      </c>
      <c r="H3" s="5">
        <v>106500</v>
      </c>
      <c r="I3" s="4" t="str">
        <v>.</v>
      </c>
      <c r="J3" s="4">
        <v>5486</v>
      </c>
    </row>
    <row r="4" ht="50" customHeight="1" xml:space="preserve">
      <c r="A4" s="4" t="str">
        <v>AOW01: Agroecology+ Solutions &amp; Innovations</v>
      </c>
      <c r="B4" s="4" t="str">
        <v>IFPRI</v>
      </c>
      <c r="C4" s="4" t="str">
        <v>OP 1.1.2. – Climate-smart adaptation &amp; mitigation bundles</v>
      </c>
      <c r="D4" s="4" t="str" xml:space="preserve">
        <v xml:space="preserve">Deliverable: Policy-ready evidence on monetary value of social and environmental externalities of small-scale cacao systems for improved incomes and nutrition for women and men, reduced emissions, and increased agrobiodiversity and social equity.  
Indicator: Number of publications on evidence for externalities</v>
      </c>
      <c r="E4" s="4" t="str">
        <v>Number of knowledge products</v>
      </c>
      <c r="F4" s="4" t="str">
        <v>Colombia</v>
      </c>
      <c r="G4" s="5">
        <v>2</v>
      </c>
      <c r="H4" s="5">
        <v>50055</v>
      </c>
      <c r="I4" s="4" t="str">
        <v>.</v>
      </c>
      <c r="J4" s="4">
        <v>7523</v>
      </c>
    </row>
    <row r="5" ht="50" customHeight="1" xml:space="preserve">
      <c r="A5" s="4" t="str">
        <v>AOW01: Agroecology+ Solutions &amp; Innovations</v>
      </c>
      <c r="B5" s="4" t="str">
        <v>IFPRI</v>
      </c>
      <c r="C5" s="4" t="str">
        <v>OP 1.1.1. – Bundles of farm-level solutions</v>
      </c>
      <c r="D5" s="4" t="str" xml:space="preserve">
        <v xml:space="preserve">Deliverable: Performance of Coffee Regenerative Practices. The proposed work aims to rigorously assess the economic and environmental impacts of regenerative practices using mature, evaluation-ready farmer cohorts in the Omo-Gibe Landscape as a case study. Key outputs include evidence on productivity, income, and sustainability outcomes, as well as policy simulations illustrating potential national-level production and foreign exchange gains from scaling regenerative practices.
Indicator: Number of databases on economic and environmental impacts of regenerative practices</v>
      </c>
      <c r="E5" s="4" t="str">
        <v>Number of knowledge products</v>
      </c>
      <c r="F5" s="4" t="str">
        <v>Ethiopia</v>
      </c>
      <c r="G5" s="5">
        <v>1</v>
      </c>
      <c r="H5" s="5">
        <v>80000</v>
      </c>
      <c r="I5" s="4" t="str">
        <v>.</v>
      </c>
      <c r="J5" s="4">
        <v>7527</v>
      </c>
    </row>
    <row r="6" ht="25" customHeight="1">
      <c r="C6" s="9" t="str">
        <v>HLO budget subtotal</v>
      </c>
      <c r="H6" s="9">
        <v>236555</v>
      </c>
      <c r="J6" s="9" t="str">
        <v/>
      </c>
    </row>
    <row r="7" ht="50" customHeight="1" xml:space="preserve">
      <c r="A7" s="8" t="str">
        <v>AOW02: Landscape Optimization and Inclusive Planning</v>
      </c>
      <c r="B7" s="4" t="str">
        <v>IFPRI</v>
      </c>
      <c r="C7" s="4" t="str">
        <v>OP 2.2.3. – Integrated planning &amp; scenarios</v>
      </c>
      <c r="D7" s="4" t="str" xml:space="preserve">
        <v xml:space="preserve">Deliverable - Landscape Optimization and Land-Use Planning, India: Develop  integrated land-use optimization and planning process for the Mandla India Living Landscape with landscape stakeholders. 
Indicator: Number of stakeholder groups participated in multifunctional integrated landscape planning in Mandla, India</v>
      </c>
      <c r="E7" s="4" t="str">
        <v>custom</v>
      </c>
      <c r="F7" s="4" t="str">
        <v>India</v>
      </c>
      <c r="G7" s="5">
        <v>10</v>
      </c>
      <c r="H7" s="5">
        <v>27362</v>
      </c>
      <c r="I7" s="4" t="str">
        <v>.</v>
      </c>
      <c r="J7" s="4">
        <v>5248</v>
      </c>
    </row>
    <row r="8" ht="50" customHeight="1" xml:space="preserve">
      <c r="A8" s="4" t="str">
        <v>AOW02: Landscape Optimization and Inclusive Planning</v>
      </c>
      <c r="B8" s="4" t="str">
        <v>IFPRI</v>
      </c>
      <c r="C8" s="4" t="str">
        <v>OP 2.2.4. – Digital Twins for foresight</v>
      </c>
      <c r="D8" s="4" t="str" xml:space="preserve">
        <v xml:space="preserve">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baseline reports and data integration blueprints for digital twins</v>
      </c>
      <c r="E8" s="4" t="str">
        <v>Number of knowledge products</v>
      </c>
      <c r="F8" s="4" t="str">
        <v>Kenya</v>
      </c>
      <c r="G8" s="5">
        <v>2</v>
      </c>
      <c r="H8" s="5">
        <v>35687</v>
      </c>
      <c r="I8" s="4" t="str">
        <v>.</v>
      </c>
      <c r="J8" s="4">
        <v>5304</v>
      </c>
    </row>
    <row r="9" ht="50" customHeight="1">
      <c r="B9" s="4" t="str">
        <v>IFPRI</v>
      </c>
      <c r="D9" s="4" t="str">
        <v>Number of data blocks and digital twins models to inform landscape planning and intervention design</v>
      </c>
      <c r="E9" s="4" t="str">
        <v>Number of knowledge products</v>
      </c>
      <c r="F9" s="4" t="str">
        <v>Senegal, The Socialist Republic of Viet Nam, Tunisia, India, Côte d'Ivoire, Tanzania, United Republic, Ethiopia, Zimbabwe, Kenya, Lao People's Democratic Republic, Peru, Colombia, Cambodia</v>
      </c>
      <c r="G9" s="5">
        <v>2</v>
      </c>
      <c r="H9" s="5">
        <v>0</v>
      </c>
      <c r="I9" s="4" t="str">
        <v/>
      </c>
      <c r="J9" s="4">
        <v>5309</v>
      </c>
    </row>
    <row r="10" ht="50" customHeight="1" xml:space="preserve">
      <c r="A10" s="4" t="str">
        <v>AOW02: Landscape Optimization and Inclusive Planning</v>
      </c>
      <c r="B10" s="4" t="str">
        <v>IFPRI</v>
      </c>
      <c r="C10" s="4" t="str">
        <v>OP 2.2.2. – Landscape visions &amp; co-developed plans</v>
      </c>
      <c r="D10" s="4" t="str" xml:space="preserve">
        <v xml:space="preserve">Deliverable - Landscape Vision to Action (LV2A) Development and Policy Engagement: Develop the LV2A engagement guidelines for application in MFL Living Landscapes. Produce a cross-country LV2A synthesis paper and policy brief, and convene a V2A-related policy dialogue. 
Indicator: Number of publications, reports or briefs on Landscape Vision to Action</v>
      </c>
      <c r="E10" s="4" t="str">
        <v>Number of knowledge products</v>
      </c>
      <c r="F10" s="4" t="str">
        <v>India</v>
      </c>
      <c r="G10" s="5">
        <v>3</v>
      </c>
      <c r="H10" s="5">
        <v>18412</v>
      </c>
      <c r="I10" s="4" t="str">
        <v>.</v>
      </c>
      <c r="J10" s="4">
        <v>5382</v>
      </c>
    </row>
    <row r="11" ht="50" customHeight="1" xml:space="preserve">
      <c r="B11" s="4" t="str">
        <v>IFPRI</v>
      </c>
      <c r="D11" s="4" t="str" xml:space="preserve">
        <v xml:space="preserve">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Vision to Action multistakeholder processes undertaken</v>
      </c>
      <c r="E11" s="4" t="str">
        <v>custom</v>
      </c>
      <c r="F11" s="4" t="str">
        <v>India</v>
      </c>
      <c r="G11" s="5">
        <v>1</v>
      </c>
      <c r="H11" s="5">
        <v>36825</v>
      </c>
      <c r="I11" s="4" t="str">
        <v>.</v>
      </c>
      <c r="J11" s="4">
        <v>5383</v>
      </c>
    </row>
    <row r="12" ht="50" customHeight="1" xml:space="preserve">
      <c r="B12" s="4" t="str">
        <v>IFPRI</v>
      </c>
      <c r="D12" s="4" t="str" xml:space="preserve">
        <v xml:space="preserve">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MoUs signed with Sustainable Development Initiative Approach in Madhya Pradesh (SDIAMP) as framework for SDIAMP taking ownership of V2A in Mandla</v>
      </c>
      <c r="E12" s="4" t="str">
        <v>custom</v>
      </c>
      <c r="F12" s="4" t="str">
        <v>India</v>
      </c>
      <c r="G12" s="5">
        <v>1</v>
      </c>
      <c r="H12" s="5">
        <v>35000</v>
      </c>
      <c r="I12" s="4" t="str">
        <v>.</v>
      </c>
      <c r="J12" s="4">
        <v>7703</v>
      </c>
    </row>
    <row r="13" ht="25" customHeight="1">
      <c r="C13" s="9" t="str">
        <v>HLO budget subtotal</v>
      </c>
      <c r="H13" s="9">
        <v>153286</v>
      </c>
      <c r="J13" s="9" t="str">
        <v/>
      </c>
    </row>
    <row r="14" ht="50" customHeight="1" xml:space="preserve">
      <c r="A14" s="8" t="str">
        <v>AOW03: Business Models, Markets, and Sustainable Finance</v>
      </c>
      <c r="B14" s="4" t="str">
        <v>IFPRI</v>
      </c>
      <c r="C14" s="4" t="str">
        <v>OP 3.3.3. Co-designed inclusive market and non-market mechanisms for optimizing ecosystem services</v>
      </c>
      <c r="D14" s="4" t="str" xml:space="preserve">
        <v xml:space="preserve">Deliverable - 1) Market and Value Chain Analysis for Sustainable Non-Timber Forest Products (NTFPs), with Digital Tools for Ecosystem Service Valuation: Conduct market assessments and value chain analyses for two priority non-timber forest products (NTFPs) to identify opportunities for fair and sustainable commercialization. Document existing and emerging digital tools for ecosystem service valuation, including traceability, MRV, benefit-sharing, and biodiversity accounting platforms, to evaluate how these can strengthen transparency, enhance value capture, and improve sustainability incentives along NTFP value chains. 
 Indicator: Number of assessments of markets for non-timber forest produce</v>
      </c>
      <c r="E14" s="4" t="str">
        <v>Number of knowledge products</v>
      </c>
      <c r="F14" s="4" t="str">
        <v>India</v>
      </c>
      <c r="G14" s="5">
        <v>2</v>
      </c>
      <c r="H14" s="5">
        <v>29106</v>
      </c>
      <c r="I14" s="4" t="str">
        <v>.</v>
      </c>
      <c r="J14" s="4">
        <v>5423</v>
      </c>
    </row>
    <row r="15" ht="50" customHeight="1" xml:space="preserve">
      <c r="B15" s="4" t="str">
        <v>IFPRI</v>
      </c>
      <c r="D15" s="4" t="str" xml:space="preserve">
        <v xml:space="preserve">Deliverable - Valuation of ecosystem services enhanced by landscape restoration in Tunisia using choice experiment and A conceptual piece on the scope and caveats of devising PES for multifunctionality
Indicator: Number of reports or briefs developed on value chain analysis, PES potential, and ecosystem service valuation</v>
      </c>
      <c r="E15" s="4" t="str">
        <v>Number of knowledge products</v>
      </c>
      <c r="F15" s="4" t="str">
        <v>Tunisia</v>
      </c>
      <c r="G15" s="5">
        <v>4</v>
      </c>
      <c r="H15" s="5">
        <v>99000</v>
      </c>
      <c r="I15" s="4" t="str">
        <v>.</v>
      </c>
      <c r="J15" s="4">
        <v>7399</v>
      </c>
    </row>
    <row r="16" ht="25" customHeight="1">
      <c r="C16" s="9" t="str">
        <v>HLO budget subtotal</v>
      </c>
      <c r="H16" s="9">
        <v>128106</v>
      </c>
      <c r="J16" s="9" t="str">
        <v/>
      </c>
    </row>
    <row r="17" ht="50" customHeight="1" xml:space="preserve">
      <c r="A17" s="8" t="str">
        <v>AOW04: Governance, Institutions, Policy, and Inclusion</v>
      </c>
      <c r="B17" s="4" t="str">
        <v>IFPRI</v>
      </c>
      <c r="C17" s="4" t="str">
        <v>OP 4.1.2 GEYSI for co-creation and inclusive governance</v>
      </c>
      <c r="D17" s="4" t="str" xml:space="preserve">
        <v xml:space="preserve">Deliverable: Methodological toolbox for developing gender, youth and inclusion responsive approach: an empirically informed mixed methods paper and a systematic literature review
Indicator: Number of publications on GEYSI approaches in MFL
</v>
      </c>
      <c r="E17" s="4" t="str">
        <v>Number of knowledge products</v>
      </c>
      <c r="F17" s="4" t="str">
        <v>India</v>
      </c>
      <c r="G17" s="5">
        <v>2</v>
      </c>
      <c r="H17" s="5">
        <v>43752</v>
      </c>
      <c r="I17" s="4" t="str">
        <v>.</v>
      </c>
      <c r="J17" s="4">
        <v>5277</v>
      </c>
    </row>
    <row r="18" ht="50" customHeight="1" xml:space="preserve">
      <c r="A18" s="4" t="str">
        <v>AOW04: Governance, Institutions, Policy, and Inclusion</v>
      </c>
      <c r="B18" s="4" t="str">
        <v>IFPRI</v>
      </c>
      <c r="C18" s="4" t="str">
        <v>OP 4.3.2. Engagement frameworks and pilots</v>
      </c>
      <c r="D18" s="4" t="str" xml:space="preserve">
        <v xml:space="preserve">Deliverable: Policy briefs and guidance documents on co-created solutions for transboundary natural resource governance
Indicator: Number of policy briefs and guidelines on transboundary natural resource governance
</v>
      </c>
      <c r="E18" s="4" t="str">
        <v>Number of knowledge products</v>
      </c>
      <c r="F18" s="4" t="str">
        <v>Lao People's Democratic Republic, Cambodia, The Socialist Republic of Viet Nam</v>
      </c>
      <c r="G18" s="5">
        <v>3</v>
      </c>
      <c r="H18" s="5">
        <v>65628</v>
      </c>
      <c r="I18" s="4" t="str">
        <v>.</v>
      </c>
      <c r="J18" s="4">
        <v>5329</v>
      </c>
    </row>
    <row r="19" ht="50" customHeight="1" xml:space="preserve">
      <c r="B19" s="4" t="str">
        <v>IFPRI</v>
      </c>
      <c r="D19" s="4" t="str" xml:space="preserve">
        <v xml:space="preserve">Deliverable: Engagement workshops or science-policy dialogues on agroecology and MFL
Indicator: Number of engagement events completed
</v>
      </c>
      <c r="E19" s="4" t="str">
        <v>custom</v>
      </c>
      <c r="F19" s="4" t="str">
        <v>Tanzania, United Republic, Côte d'Ivoire, The Socialist Republic of Viet Nam, Cambodia, Zimbabwe, Lao People's Democratic Republic, Senegal, Kenya, Peru, Ethiopia, Colombia, Tunisia, India</v>
      </c>
      <c r="G19" s="5">
        <v>2</v>
      </c>
      <c r="H19" s="5">
        <v>21876</v>
      </c>
      <c r="I19" s="4" t="str">
        <v>.</v>
      </c>
      <c r="J19" s="4">
        <v>5330</v>
      </c>
    </row>
    <row r="20" ht="50" customHeight="1" xml:space="preserve">
      <c r="B20" s="4" t="str">
        <v>IFPRI</v>
      </c>
      <c r="D20" s="4" t="str" xml:space="preserve">
        <v xml:space="preserve">Deliverable - Position paper, presentation, or brief contributing to global event or engagement 
Indicator: Number of position papers, briefs, or presentations prepared for global event or engagement on landscape governance or enabling institutions</v>
      </c>
      <c r="E20" s="4" t="str">
        <v>Number of knowledge products</v>
      </c>
      <c r="F20" s="4" t="str">
        <v>Tanzania, United Republic, Côte d'Ivoire, The Socialist Republic of Viet Nam, Cambodia, Senegal, Lao People's Democratic Republic, Zimbabwe, Colombia, Tunisia, Ethiopia, Kenya, India, Peru</v>
      </c>
      <c r="G20" s="5">
        <v>3</v>
      </c>
      <c r="H20" s="5">
        <v>18132</v>
      </c>
      <c r="I20" s="4" t="str">
        <v>.</v>
      </c>
      <c r="J20" s="4">
        <v>5333</v>
      </c>
    </row>
    <row r="21" ht="50" customHeight="1" xml:space="preserve">
      <c r="B21" s="4" t="str">
        <v>IFPRI</v>
      </c>
      <c r="D21" s="4" t="str" xml:space="preserve">
        <v xml:space="preserve">Deliverable: Report, policy brief and stakeholder consultation based on mapping and instituting Water User Groups and Self Help Groups for integrated land and water use in Jhansi, Bundelkhand
Indicator: Number of assessments on collective action through village level groups for integrated land and water use planning</v>
      </c>
      <c r="E21" s="4" t="str">
        <v>Number of knowledge products</v>
      </c>
      <c r="F21" s="4" t="str">
        <v>India</v>
      </c>
      <c r="G21" s="5">
        <v>3</v>
      </c>
      <c r="H21" s="5">
        <v>40000</v>
      </c>
      <c r="I21" s="4" t="str">
        <v>.</v>
      </c>
      <c r="J21" s="4">
        <v>7731</v>
      </c>
    </row>
    <row r="22" ht="50" customHeight="1" xml:space="preserve">
      <c r="A22" s="4" t="str">
        <v>AOW04: Governance, Institutions, Policy, and Inclusion</v>
      </c>
      <c r="B22" s="4" t="str">
        <v>IFPRI</v>
      </c>
      <c r="C22" s="4" t="str">
        <v>OP 4.2.1. Institutional, social and behavioral mechanisms</v>
      </c>
      <c r="D22" s="4" t="str" xml:space="preserve">
        <v xml:space="preserve">Deliverable: Analysis of the governance of farm-based soil health measurements
Indicator: Number of publications, reports or briefs on governance of farm-based soil health measurements
</v>
      </c>
      <c r="E22" s="4" t="str">
        <v>Number of knowledge products</v>
      </c>
      <c r="F22" s="4" t="str">
        <v>India, Ethiopia</v>
      </c>
      <c r="G22" s="5">
        <v>3</v>
      </c>
      <c r="H22" s="5">
        <v>42814</v>
      </c>
      <c r="I22" s="4" t="str">
        <v>.</v>
      </c>
      <c r="J22" s="4">
        <v>5342</v>
      </c>
    </row>
    <row r="23" ht="50" customHeight="1" xml:space="preserve">
      <c r="B23" s="4" t="str">
        <v>IFPRI</v>
      </c>
      <c r="D23" s="4" t="str" xml:space="preserve">
        <v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v>
      </c>
      <c r="E23" s="4" t="str">
        <v>Number of knowledge products</v>
      </c>
      <c r="F23" s="4" t="str">
        <v>Ethiopia, India, The Socialist Republic of Viet Nam, Peru, Tunisia</v>
      </c>
      <c r="G23" s="5">
        <v>4</v>
      </c>
      <c r="H23" s="5">
        <v>55784</v>
      </c>
      <c r="I23" s="4" t="str">
        <v>.</v>
      </c>
      <c r="J23" s="4">
        <v>5345</v>
      </c>
    </row>
    <row r="24" ht="50" customHeight="1">
      <c r="B24" s="4" t="str">
        <v>IFPRI</v>
      </c>
      <c r="D24" s="4" t="str">
        <v>Number of institutional empowerment pathways, social incentives, and behavioral change mechanisms designed and documented for multifunctional landscapes contexts</v>
      </c>
      <c r="E24" s="4" t="str">
        <v>Number of knowledge products</v>
      </c>
      <c r="F24" s="4" t="str">
        <v>Tanzania, United Republic, Peru, Zimbabwe, Colombia, Kenya, Tunisia, The Socialist Republic of Viet Nam, Cambodia, India, Senegal, Lao People's Democratic Republic</v>
      </c>
      <c r="G24" s="5">
        <v>4</v>
      </c>
      <c r="H24" s="5">
        <v>0</v>
      </c>
      <c r="I24" s="4" t="str">
        <v/>
      </c>
      <c r="J24" s="4">
        <v>5346</v>
      </c>
    </row>
    <row r="25" ht="50" customHeight="1" xml:space="preserve">
      <c r="A25" s="4" t="str">
        <v>AOW04: Governance, Institutions, Policy, and Inclusion</v>
      </c>
      <c r="B25" s="4" t="str">
        <v>IFPRI</v>
      </c>
      <c r="C25" s="4" t="str">
        <v>OP 4.2.2. Demand driven capacity sharing for policy makers and landscape stakeholders</v>
      </c>
      <c r="D25" s="4" t="str" xml:space="preserve">
        <v xml:space="preserve">Deliverable: Assessment of capacity sharing needs of MFL living landscape actors 
Indicator: Number of landscape stakeholders targeted by the assessment of capacity sharing needs of policy makers</v>
      </c>
      <c r="E25" s="4" t="str">
        <v>Number of knowledge products</v>
      </c>
      <c r="F25" s="4" t="str">
        <v>Tunisia, India, Ethiopia</v>
      </c>
      <c r="G25" s="5">
        <v>8</v>
      </c>
      <c r="H25" s="5">
        <v>41876</v>
      </c>
      <c r="I25" s="4" t="str">
        <v>.</v>
      </c>
      <c r="J25" s="4">
        <v>5348</v>
      </c>
    </row>
    <row r="26" ht="50" customHeight="1">
      <c r="B26" s="4" t="str">
        <v>IFPRI</v>
      </c>
      <c r="D26" s="4" t="str">
        <v xml:space="preserve">Number of demand-driven capacity sharing activities on multifunctional landscapes governance, policies and institutional arrangements delivered </v>
      </c>
      <c r="E26" s="4" t="str">
        <v>custom</v>
      </c>
      <c r="F26" s="4" t="str">
        <v>Colombia, The Socialist Republic of Viet Nam, Lao People's Democratic Republic, India, Zimbabwe, Cambodia, Peru, Senegal, Kenya, Tanzania, United Republic, Tunisia</v>
      </c>
      <c r="G26" s="5">
        <v>4</v>
      </c>
      <c r="H26" s="5">
        <v>0</v>
      </c>
      <c r="I26" s="4" t="str">
        <v/>
      </c>
      <c r="J26" s="4">
        <v>5355</v>
      </c>
    </row>
    <row r="27" ht="50" customHeight="1" xml:space="preserve">
      <c r="A27" s="4" t="str">
        <v>AOW04: Governance, Institutions, Policy, and Inclusion</v>
      </c>
      <c r="B27" s="4" t="str">
        <v>IFPRI</v>
      </c>
      <c r="C27" s="4" t="str">
        <v>OP 4.3.1. Multifunctional landscapes policy design and implementation</v>
      </c>
      <c r="D27" s="4" t="str" xml:space="preserve">
        <v xml:space="preserve">Deliverable: Edited volume proposal on the political economy of agroecology and multifunctional landscapes, including draft introduction and chapter drafts
Indicator: Number of publications, reports or briefs on the political economy of agroecology and MFL
</v>
      </c>
      <c r="E27" s="4" t="str">
        <v>Number of knowledge products</v>
      </c>
      <c r="F27" s="4" t="str">
        <v>Tunisia, Kenya, Zimbabwe, Burkina Faso, Colombia, Senegal, India, Peru</v>
      </c>
      <c r="G27" s="5">
        <v>3</v>
      </c>
      <c r="H27" s="5">
        <v>42814</v>
      </c>
      <c r="I27" s="4" t="str">
        <v>.</v>
      </c>
      <c r="J27" s="4">
        <v>5357</v>
      </c>
    </row>
    <row r="28" ht="50" customHeight="1">
      <c r="B28" s="4" t="str">
        <v>IFPRI</v>
      </c>
      <c r="D28" s="4" t="str">
        <v>Number of frameworks, methodologies, and toolkits for multifunctional landscapes policy design, prioritization, and implementation developed</v>
      </c>
      <c r="E28" s="4" t="str">
        <v>Number of knowledge products</v>
      </c>
      <c r="F28" s="4" t="str">
        <v>The Socialist Republic of Viet Nam, Tanzania, United Republic, Kenya, Zimbabwe, Cambodia, Lao People's Democratic Republic, India, Peru, Senegal, Tunisia, Colombia</v>
      </c>
      <c r="G28" s="5">
        <v>10</v>
      </c>
      <c r="H28" s="5">
        <v>0</v>
      </c>
      <c r="I28" s="4" t="str">
        <v/>
      </c>
      <c r="J28" s="4">
        <v>5358</v>
      </c>
    </row>
    <row r="29" ht="50" customHeight="1" xml:space="preserve">
      <c r="B29" s="4" t="str">
        <v>IFPRI</v>
      </c>
      <c r="D29" s="4" t="str" xml:space="preserve">
        <v xml:space="preserve">Deliverable: Cross-country synthesis of national agroecology strategy and synthesis of recommendations for policy engagement 
Indicator:  Number of cross-country syntheses on national agroecology strategies/ regional biotrade/NBSAP  </v>
      </c>
      <c r="E29" s="4" t="str">
        <v>Number of knowledge products</v>
      </c>
      <c r="F29" s="4" t="str">
        <v>Kenya, Ethiopia, Peru</v>
      </c>
      <c r="G29" s="5">
        <v>1</v>
      </c>
      <c r="H29" s="5">
        <v>40000</v>
      </c>
      <c r="I29" s="4" t="str">
        <v>.</v>
      </c>
      <c r="J29" s="4">
        <v>7730</v>
      </c>
    </row>
    <row r="30" ht="50" customHeight="1" xml:space="preserve">
      <c r="B30" s="4" t="str">
        <v>IFPRI</v>
      </c>
      <c r="D30" s="4" t="str" xml:space="preserve">
        <v xml:space="preserve">Deliverable:  Policy briefs, webinars, and events for engagement on true cost accounting at national and global level 
Indicator: Number of engagement events on true cost accounting</v>
      </c>
      <c r="E30" s="4" t="str">
        <v>custom</v>
      </c>
      <c r="F30" s="4" t="str">
        <v>India, The Socialist Republic of Viet Nam, Kenya, Colombia, Peru</v>
      </c>
      <c r="G30" s="5">
        <v>4</v>
      </c>
      <c r="H30" s="5">
        <v>45000</v>
      </c>
      <c r="I30" s="4" t="str">
        <v>.</v>
      </c>
      <c r="J30" s="4">
        <v>7753</v>
      </c>
    </row>
    <row r="31" ht="50" customHeight="1" xml:space="preserve">
      <c r="A31" s="4" t="str">
        <v>AOW04: Governance, Institutions, Policy, and Inclusion</v>
      </c>
      <c r="B31" s="4" t="str">
        <v>IFPRI</v>
      </c>
      <c r="C31" s="4" t="str">
        <v>OP 4.1.1. Inclusive governance architectures</v>
      </c>
      <c r="D31" s="4" t="str" xml:space="preserve">
        <v xml:space="preserve">Deliverable: Report on assessment of impact of CSR and carbon market investments on the restoration of common land and community commons governance in Madhya Pradesh/India; synthesis paper across all package cases; synthesis blog.
Indicator: Number of synthesis publications on responsible private sector investments in commons restoration (one working paper and one blog)
</v>
      </c>
      <c r="E31" s="4" t="str">
        <v>Number of knowledge products</v>
      </c>
      <c r="F31" s="4" t="str">
        <v>India</v>
      </c>
      <c r="G31" s="5">
        <v>2</v>
      </c>
      <c r="H31" s="5">
        <v>29168</v>
      </c>
      <c r="I31" s="4" t="str">
        <v>.</v>
      </c>
      <c r="J31" s="4">
        <v>5389</v>
      </c>
    </row>
    <row r="32" ht="50" customHeight="1" xml:space="preserve">
      <c r="B32" s="4" t="str">
        <v>IFPRI</v>
      </c>
      <c r="D32" s="4" t="str" xml:space="preserve">
        <v xml:space="preserve">Deliverable: Responsible Investment and Carbon Stewardship Framework for Community-Managed Common Lands (India) Co-designed guidelines for responsible CSR and carbon market investments in the restoration of common land and community commons governance in Madhya Pradesh/India
Indicator: Number of cases for co-designed guidelines for responsible CSR and carbon market investments for restoration of commons
</v>
      </c>
      <c r="E32" s="4" t="str">
        <v>Number of knowledge products</v>
      </c>
      <c r="F32" s="4" t="str">
        <v>India</v>
      </c>
      <c r="G32" s="5">
        <v>1</v>
      </c>
      <c r="H32" s="5">
        <v>44168</v>
      </c>
      <c r="I32" s="4" t="str">
        <v>.</v>
      </c>
      <c r="J32" s="4">
        <v>5390</v>
      </c>
    </row>
    <row r="33" ht="50" customHeight="1" xml:space="preserve">
      <c r="B33" s="4" t="str">
        <v>IFPRI</v>
      </c>
      <c r="D33" s="4" t="str" xml:space="preserve">
        <v xml:space="preserve">Deliverable: Global framework on landscape governance and methodological paper on multistakeholder process (MSP). 
Indicator: Number of publications, reports or briefs on global frameworks on landscape governance</v>
      </c>
      <c r="E33" s="4" t="str">
        <v>Number of knowledge products</v>
      </c>
      <c r="F33" s="4" t="str">
        <v>Côte d'Ivoire, The Socialist Republic of Viet Nam, Senegal, Lao People's Democratic Republic, Zimbabwe, Cambodia, Ethiopia, Tunisia, India, Colombia, Peru, Kenya</v>
      </c>
      <c r="G33" s="5">
        <v>6</v>
      </c>
      <c r="H33" s="5">
        <v>84690</v>
      </c>
      <c r="I33" s="4" t="str">
        <v>.</v>
      </c>
      <c r="J33" s="4">
        <v>5396</v>
      </c>
    </row>
    <row r="34" ht="25" customHeight="1">
      <c r="C34" s="9" t="str">
        <v>HLO budget subtotal</v>
      </c>
      <c r="H34" s="9">
        <v>615702</v>
      </c>
      <c r="J34" s="9" t="str">
        <v/>
      </c>
    </row>
    <row r="35" ht="50" customHeight="1" xml:space="preserve">
      <c r="A35" s="8" t="str">
        <v>AOW05: Performance Assessments &amp; Evidence Generation</v>
      </c>
      <c r="B35" s="4" t="str">
        <v>IFPRI</v>
      </c>
      <c r="C35" s="4" t="str">
        <v>OP 5.1.3. Cross-CGIAR assessment frameworks of impact indicators</v>
      </c>
      <c r="D35" s="4" t="str" xml:space="preserve">
        <v xml:space="preserve">Deliverable - Soil health assessment for Kenya. Deliverables: Maps of fertilizer and manure use by crop; Nutrient budget maps of cropland 
Indicator: Number of trainings attended by at least 20 stakeholders, for conducting and using data from soil health assessments completed, supported by published assessment protocols
</v>
      </c>
      <c r="E35" s="4" t="str">
        <v>Number of people trained (capacity sharing for development)</v>
      </c>
      <c r="F35" s="4" t="str">
        <v>Kenya</v>
      </c>
      <c r="G35" s="5">
        <v>1</v>
      </c>
      <c r="H35" s="5">
        <v>12292</v>
      </c>
      <c r="I35" s="4" t="str">
        <v>.</v>
      </c>
      <c r="J35" s="4">
        <v>5288</v>
      </c>
    </row>
    <row r="36" ht="50" customHeight="1" xml:space="preserve">
      <c r="B36" s="4" t="str">
        <v>IFPRI</v>
      </c>
      <c r="D36" s="4" t="str" xml:space="preserve">
        <v xml:space="preserve">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protocols co-developed and published, for monitoring water to assess impact of field, farm and landscape management</v>
      </c>
      <c r="E36" s="4" t="str">
        <v>Number of knowledge products</v>
      </c>
      <c r="F36" s="4" t="str">
        <v>Kenya, Zimbabwe, Nepal, Zambia, Malawi</v>
      </c>
      <c r="G36" s="5">
        <v>3</v>
      </c>
      <c r="H36" s="5">
        <v>18230</v>
      </c>
      <c r="I36" s="4" t="str">
        <v>.</v>
      </c>
      <c r="J36" s="4">
        <v>5291</v>
      </c>
    </row>
    <row r="37" ht="50" customHeight="1" xml:space="preserve">
      <c r="A37" s="4" t="str">
        <v>AOW05: Performance Assessments &amp; Evidence Generation</v>
      </c>
      <c r="B37" s="4" t="str">
        <v>IFPRI</v>
      </c>
      <c r="C37" s="4" t="str">
        <v>OP 5.1.2 Landscape-specific assessment frameworks</v>
      </c>
      <c r="D37" s="4" t="str" xml:space="preserve">
        <v xml:space="preserve">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 Number of midline datasets collected using validated sampling strategies and made available for future impact assessment</v>
      </c>
      <c r="E37" s="4" t="str">
        <v>Number of knowledge products</v>
      </c>
      <c r="F37" s="4" t="str">
        <v>India</v>
      </c>
      <c r="G37" s="5">
        <v>1</v>
      </c>
      <c r="H37" s="5">
        <v>88416</v>
      </c>
      <c r="I37" s="4" t="str">
        <v>.</v>
      </c>
      <c r="J37" s="4">
        <v>5319</v>
      </c>
    </row>
    <row r="38" ht="50" customHeight="1" xml:space="preserve">
      <c r="B38" s="4" t="str">
        <v>IFPRI</v>
      </c>
      <c r="D38" s="4" t="str" xml:space="preserve">
        <v xml:space="preserve">Deliverable: MELIA study. Baseline household survey for impact assessment in Jhansi, India. 
Indicator: Number of baseline/midline datasets to capture landscape interventions impacts published </v>
      </c>
      <c r="E38" s="4" t="str">
        <v>Number of knowledge products</v>
      </c>
      <c r="F38" s="4" t="str">
        <v>India</v>
      </c>
      <c r="G38" s="5">
        <v>1</v>
      </c>
      <c r="H38" s="5">
        <v>60000</v>
      </c>
      <c r="I38" s="4" t="str">
        <v>.</v>
      </c>
      <c r="J38" s="4">
        <v>8175</v>
      </c>
    </row>
    <row r="39" ht="50" customHeight="1" xml:space="preserve">
      <c r="B39" s="4" t="str">
        <v>IFPRI</v>
      </c>
      <c r="D39" s="4" t="str" xml:space="preserve">
        <v xml:space="preserve">Deliverable - MELIA STUDY Landscape appropriate impact assessment data collection for Kenya: farming households + system actors 
Indicator: Number of baseline/midline datasets collected using validated sampling strategies and made available for future impact assessment </v>
      </c>
      <c r="E39" s="4" t="str">
        <v>Number of knowledge products</v>
      </c>
      <c r="F39" s="4" t="str">
        <v>Kenya</v>
      </c>
      <c r="G39" s="5">
        <v>1</v>
      </c>
      <c r="H39" s="5">
        <v>143416</v>
      </c>
      <c r="I39" s="4" t="str">
        <v>.</v>
      </c>
      <c r="J39" s="4">
        <v>8176</v>
      </c>
    </row>
    <row r="40" ht="50" customHeight="1" xml:space="preserve">
      <c r="A40" s="4" t="str">
        <v>AOW05: Performance Assessments &amp; Evidence Generation</v>
      </c>
      <c r="B40" s="4" t="str">
        <v>IFPRI</v>
      </c>
      <c r="C40" s="4" t="str">
        <v>OP 5.2.1. Knowledge and information hubs</v>
      </c>
      <c r="D40" s="4" t="str" xml:space="preserve">
        <v xml:space="preserve">Deliverable - Assessment of the true price of banana (and/or plantain) in northern Colombia (in Magdalena and Urabá areas) by identifying and unpacking the indirect costs involved, with particular focus to those related to social and environmental externalities.  It is designed as a comparative study between the more intensive, large-scale, and commercialized production in the northern coast with the more agroecological production in Putumayo for which data were collected at the beginning of the year as 2025 deliverable.
Indicator: Number of publications documenting the true costs of banana/plantain across an agroecological gradient</v>
      </c>
      <c r="E40" s="4" t="str">
        <v>Number of knowledge products</v>
      </c>
      <c r="F40" s="4" t="str">
        <v>Colombia</v>
      </c>
      <c r="G40" s="5">
        <v>1</v>
      </c>
      <c r="H40" s="5">
        <v>40000</v>
      </c>
      <c r="I40" s="4" t="str">
        <v>.</v>
      </c>
      <c r="J40" s="4">
        <v>8154</v>
      </c>
    </row>
    <row r="41" ht="25" customHeight="1">
      <c r="C41" s="9" t="str">
        <v>HLO budget subtotal</v>
      </c>
      <c r="H41" s="9">
        <v>362354</v>
      </c>
      <c r="J41" s="9" t="str">
        <v/>
      </c>
    </row>
  </sheetData>
  <mergeCells count="26">
    <mergeCell ref="A1:A2"/>
    <mergeCell ref="B1:B2"/>
    <mergeCell ref="C1:C2"/>
    <mergeCell ref="D1:H1"/>
    <mergeCell ref="I1:I2"/>
    <mergeCell ref="J1:J2"/>
    <mergeCell ref="C6:G6"/>
    <mergeCell ref="A3:A6"/>
    <mergeCell ref="C8:C9"/>
    <mergeCell ref="C10:C12"/>
    <mergeCell ref="C13:G13"/>
    <mergeCell ref="A7:A13"/>
    <mergeCell ref="C14:C15"/>
    <mergeCell ref="C16:G16"/>
    <mergeCell ref="A14:A16"/>
    <mergeCell ref="C18:C21"/>
    <mergeCell ref="C22:C24"/>
    <mergeCell ref="C25:C26"/>
    <mergeCell ref="C27:C30"/>
    <mergeCell ref="C31:C33"/>
    <mergeCell ref="C34:G34"/>
    <mergeCell ref="A17:A34"/>
    <mergeCell ref="C35:C36"/>
    <mergeCell ref="C37:C39"/>
    <mergeCell ref="C41:G41"/>
    <mergeCell ref="A35:A41"/>
  </mergeCells>
  <ignoredErrors>
    <ignoredError numberStoredAsText="1" sqref="A1:J41"/>
  </ignoredErrors>
</worksheet>
</file>

<file path=xl/worksheets/sheet3.xml><?xml version="1.0" encoding="utf-8"?>
<worksheet xmlns="http://schemas.openxmlformats.org/spreadsheetml/2006/main" xmlns:r="http://schemas.openxmlformats.org/officeDocument/2006/relationships">
  <dimension ref="A1:G1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Agroecology+ Solutions &amp; Innovations</v>
      </c>
      <c r="B2" s="4" t="str">
        <v>Ethiopian Institute of Agricultural Research</v>
      </c>
      <c r="C2" s="4" t="str">
        <v>IFPRI</v>
      </c>
      <c r="D2" s="4" t="str">
        <v>Ethiopia</v>
      </c>
      <c r="E2" s="5">
        <v>25000</v>
      </c>
      <c r="F2" s="4" t="str">
        <v>.</v>
      </c>
      <c r="G2" s="4">
        <v>517</v>
      </c>
    </row>
    <row r="3" ht="50" customHeight="1">
      <c r="A3" s="4" t="str">
        <v>AOW01: Agroecology+ Solutions &amp; Innovations</v>
      </c>
      <c r="B3" s="4" t="str">
        <v>Foundation for Ecological Security</v>
      </c>
      <c r="C3" s="4" t="str">
        <v>IFPRI</v>
      </c>
      <c r="D3" s="4" t="str">
        <v>India</v>
      </c>
      <c r="E3" s="5">
        <v>25000</v>
      </c>
      <c r="F3" s="4" t="str">
        <v>.</v>
      </c>
      <c r="G3" s="4">
        <v>518</v>
      </c>
    </row>
    <row r="4" ht="50" customHeight="1">
      <c r="A4" s="4" t="str">
        <v>AOW01: Agroecology+ Solutions &amp; Innovations</v>
      </c>
      <c r="B4" s="4" t="str">
        <v>Indian School of Business</v>
      </c>
      <c r="C4" s="4" t="str">
        <v>IFPRI</v>
      </c>
      <c r="D4" s="4" t="str">
        <v>India</v>
      </c>
      <c r="E4" s="5">
        <v>25000</v>
      </c>
      <c r="F4" s="4" t="str">
        <v>.</v>
      </c>
      <c r="G4" s="4">
        <v>519</v>
      </c>
    </row>
    <row r="5" ht="25" customHeight="1">
      <c r="B5" s="9" t="str">
        <v>Contracted partners subtotal</v>
      </c>
      <c r="E5" s="9">
        <v>75000</v>
      </c>
      <c r="F5" s="9" t="str">
        <v/>
      </c>
      <c r="G5" s="9" t="str">
        <v/>
      </c>
    </row>
    <row r="6" ht="50" customHeight="1">
      <c r="A6" s="8" t="str">
        <v>AOW02: Landscape Optimization and Inclusive Planning</v>
      </c>
      <c r="B6" s="4" t="str">
        <v>Sustainable Development Initiative Approach in Madhya Pradesh (SDAIMP)</v>
      </c>
      <c r="C6" s="4" t="str">
        <v>IFPRI</v>
      </c>
      <c r="D6" s="4" t="str">
        <v>India</v>
      </c>
      <c r="E6" s="5">
        <v>30000</v>
      </c>
      <c r="F6" s="4" t="str">
        <v>.</v>
      </c>
      <c r="G6" s="4">
        <v>520</v>
      </c>
    </row>
    <row r="7" ht="25" customHeight="1">
      <c r="B7" s="9" t="str">
        <v>Contracted partners subtotal</v>
      </c>
      <c r="E7" s="9">
        <v>30000</v>
      </c>
      <c r="F7" s="9" t="str">
        <v/>
      </c>
      <c r="G7" s="9" t="str">
        <v/>
      </c>
    </row>
    <row r="8" ht="50" customHeight="1">
      <c r="A8" s="8" t="str">
        <v>AOW03: Business Models, Markets, and Sustainable Finance</v>
      </c>
      <c r="B8" s="4" t="str">
        <v>Ecole Supérieure d'Agriculture de Mograne - ESAM</v>
      </c>
      <c r="C8" s="4" t="str">
        <v>IFPRI</v>
      </c>
      <c r="D8" s="4" t="str">
        <v>Tunisia</v>
      </c>
      <c r="E8" s="5">
        <v>15000</v>
      </c>
      <c r="F8" s="4" t="str">
        <v>.</v>
      </c>
      <c r="G8" s="4">
        <v>521</v>
      </c>
    </row>
    <row r="9" ht="50" customHeight="1">
      <c r="A9" s="4" t="str">
        <v>AOW03: Business Models, Markets, and Sustainable Finance</v>
      </c>
      <c r="B9" s="4" t="str">
        <v xml:space="preserve">Association Tunisienne d’Agriculture Environnementale </v>
      </c>
      <c r="C9" s="4" t="str">
        <v>IFPRI</v>
      </c>
      <c r="D9" s="4" t="str">
        <v>Tunisia</v>
      </c>
      <c r="E9" s="5">
        <v>15000</v>
      </c>
      <c r="F9" s="4" t="str">
        <v>.</v>
      </c>
      <c r="G9" s="4">
        <v>522</v>
      </c>
    </row>
    <row r="10" ht="25" customHeight="1">
      <c r="B10" s="9" t="str">
        <v>Contracted partners subtotal</v>
      </c>
      <c r="E10" s="9">
        <v>30000</v>
      </c>
      <c r="F10" s="9" t="str">
        <v/>
      </c>
      <c r="G10" s="9" t="str">
        <v/>
      </c>
    </row>
    <row r="11" ht="50" customHeight="1">
      <c r="A11" s="8" t="str">
        <v>AOW04: Governance, Institutions, Policy, and Inclusion</v>
      </c>
      <c r="B11" s="4" t="str">
        <v>Professional Assistance For Development Action</v>
      </c>
      <c r="C11" s="4" t="str">
        <v>IFPRI</v>
      </c>
      <c r="D11" s="4" t="str">
        <v>India</v>
      </c>
      <c r="E11" s="5">
        <v>20000</v>
      </c>
      <c r="F11" s="4" t="str">
        <v>.</v>
      </c>
      <c r="G11" s="4">
        <v>523</v>
      </c>
    </row>
    <row r="12" ht="25" customHeight="1">
      <c r="B12" s="9" t="str">
        <v>Contracted partners subtotal</v>
      </c>
      <c r="E12" s="9">
        <v>20000</v>
      </c>
      <c r="F12" s="9" t="str">
        <v/>
      </c>
      <c r="G12" s="9" t="str">
        <v/>
      </c>
    </row>
  </sheetData>
  <mergeCells count="8">
    <mergeCell ref="B5:D5"/>
    <mergeCell ref="A2:A5"/>
    <mergeCell ref="B7:D7"/>
    <mergeCell ref="A6:A7"/>
    <mergeCell ref="B10:D10"/>
    <mergeCell ref="A8:A10"/>
    <mergeCell ref="B12:D12"/>
    <mergeCell ref="A11:A12"/>
  </mergeCells>
  <ignoredErrors>
    <ignoredError numberStoredAsText="1" sqref="A1:G12"/>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IFPRI</v>
      </c>
      <c r="B2" s="4" t="str">
        <v>N-643015-CoIMPACT INDIA</v>
      </c>
      <c r="C2" s="4" t="str">
        <v>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2030 OC-2. National and sub-national public actors, farmers, herders, fishers, local communities, private sector, NGOs, and CSOs actively implement and sustain functional, coordinated governance mechanisms and inclusive land and resource use plans</v>
      </c>
      <c r="D2" s="5">
        <v>250229</v>
      </c>
      <c r="E2" s="4" t="str">
        <v>.</v>
      </c>
      <c r="F2" s="4">
        <v>1026</v>
      </c>
    </row>
    <row r="3" ht="25" customHeight="1">
      <c r="B3" s="9" t="str">
        <v>W3/Bilateral budget subtotal</v>
      </c>
      <c r="D3" s="9">
        <v>250229</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2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IFPRI</v>
      </c>
      <c r="C2" s="4" t="str">
        <v>Actor engagement and outcome tracking</v>
      </c>
      <c r="D2"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2" s="4" t="str">
        <v>N/A</v>
      </c>
      <c r="F2" s="5">
        <v>0</v>
      </c>
      <c r="G2" s="4" t="str">
        <v/>
      </c>
      <c r="H2" s="4">
        <v>609</v>
      </c>
    </row>
    <row r="3" ht="60" customHeight="1">
      <c r="A3" s="4" t="str">
        <v>AOW00: Cross Cutting</v>
      </c>
      <c r="B3" s="4" t="str">
        <v>IFPRI</v>
      </c>
      <c r="C3" s="4" t="str">
        <v>Household Level Adoption Studies</v>
      </c>
      <c r="D3" s="4" t="str">
        <v>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E3" s="4" t="str">
        <v>N/A</v>
      </c>
      <c r="F3" s="5">
        <v>0</v>
      </c>
      <c r="G3" s="4" t="str">
        <v/>
      </c>
      <c r="H3" s="4">
        <v>622</v>
      </c>
    </row>
    <row r="4" ht="60" customHeight="1">
      <c r="A4" s="4" t="str">
        <v>AOW00: Cross Cutting</v>
      </c>
      <c r="B4" s="4" t="str">
        <v>IFPRI</v>
      </c>
      <c r="C4" s="4" t="str">
        <v>Partnership quality evaluation tool</v>
      </c>
      <c r="D4" s="4" t="str">
        <v>I-OC 5.1 Partners in MFL Living Landscapes sites demonstrate strengthened capacity to articulate, communicate, and actively influence the uptake of MFL knowledge in policy arenas, scientific communities, and practitioner networks.</v>
      </c>
      <c r="E4" s="4" t="str">
        <v>N/A</v>
      </c>
      <c r="F4" s="5">
        <v>0</v>
      </c>
      <c r="G4" s="4" t="str">
        <v/>
      </c>
      <c r="H4" s="4">
        <v>639</v>
      </c>
    </row>
    <row r="5" ht="60" customHeight="1">
      <c r="A5" s="4" t="str">
        <v>AOW00: Cross Cutting</v>
      </c>
      <c r="B5" s="4" t="str">
        <v>IFPRI</v>
      </c>
      <c r="C5" s="4" t="str">
        <v>Impact assessment of selected agroecological and nature positive solutions on productivity, income and food security.</v>
      </c>
      <c r="D5" s="4" t="str">
        <v>Nutrition, Health and Food Security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E5" s="4" t="str">
        <v>N/A</v>
      </c>
      <c r="F5" s="5">
        <v>0</v>
      </c>
      <c r="G5" s="4" t="str">
        <v/>
      </c>
      <c r="H5" s="4">
        <v>649</v>
      </c>
    </row>
    <row r="6" ht="25" customHeight="1">
      <c r="C6" s="9" t="str">
        <v>MELIA budget subtotal</v>
      </c>
      <c r="F6" s="9">
        <v>0</v>
      </c>
      <c r="G6" s="9" t="str">
        <v/>
      </c>
      <c r="H6" s="9" t="str">
        <v/>
      </c>
    </row>
    <row r="7" ht="60" customHeight="1">
      <c r="A7" s="8" t="str">
        <v>AOW01: Agroecology+ Solutions &amp; Innovations</v>
      </c>
      <c r="B7" s="4" t="str">
        <v>IFPRI</v>
      </c>
      <c r="C7" s="4" t="str">
        <v>Actor engagement and outcome tracking</v>
      </c>
      <c r="D7"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7" s="4" t="str">
        <v>N/A</v>
      </c>
      <c r="F7" s="5">
        <v>0</v>
      </c>
      <c r="G7" s="4" t="str">
        <v/>
      </c>
      <c r="H7" s="4">
        <v>603</v>
      </c>
    </row>
    <row r="8" ht="60" customHeight="1">
      <c r="A8" s="4" t="str">
        <v>AOW01: Agroecology+ Solutions &amp; Innovations</v>
      </c>
      <c r="B8" s="4" t="str">
        <v>IFPRI</v>
      </c>
      <c r="C8" s="4" t="str">
        <v>Partnership quality evaluation tool</v>
      </c>
      <c r="D8" s="4" t="str">
        <v>I-OC 5.1 Partners in MFL Living Landscapes sites demonstrate strengthened capacity to articulate, communicate, and actively influence the uptake of MFL knowledge in policy arenas, scientific communities, and practitioner networks.</v>
      </c>
      <c r="E8" s="4" t="str">
        <v>N/A</v>
      </c>
      <c r="F8" s="5">
        <v>0</v>
      </c>
      <c r="G8" s="4" t="str">
        <v/>
      </c>
      <c r="H8" s="4">
        <v>634</v>
      </c>
    </row>
    <row r="9" ht="25" customHeight="1">
      <c r="C9" s="9" t="str">
        <v>MELIA budget subtotal</v>
      </c>
      <c r="F9" s="9">
        <v>0</v>
      </c>
      <c r="G9" s="9" t="str">
        <v/>
      </c>
      <c r="H9" s="9" t="str">
        <v/>
      </c>
    </row>
    <row r="10" ht="60" customHeight="1">
      <c r="A10" s="8" t="str">
        <v>AOW02: Landscape Optimization and Inclusive Planning</v>
      </c>
      <c r="B10" s="4" t="str">
        <v>IFPRI</v>
      </c>
      <c r="C10" s="4" t="str">
        <v>Actor engagement and outcome tracking</v>
      </c>
      <c r="D10"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0" s="4" t="str">
        <v>N/A</v>
      </c>
      <c r="F10" s="5">
        <v>0</v>
      </c>
      <c r="G10" s="4" t="str">
        <v/>
      </c>
      <c r="H10" s="4">
        <v>597</v>
      </c>
    </row>
    <row r="11" ht="25" customHeight="1">
      <c r="C11" s="9" t="str">
        <v>MELIA budget subtotal</v>
      </c>
      <c r="F11" s="9">
        <v>0</v>
      </c>
      <c r="G11" s="9" t="str">
        <v/>
      </c>
      <c r="H11" s="9" t="str">
        <v/>
      </c>
    </row>
    <row r="12" ht="60" customHeight="1">
      <c r="A12" s="8" t="str">
        <v>AOW03: Business Models, Markets, and Sustainable Finance</v>
      </c>
      <c r="B12" s="4" t="str">
        <v>IFPRI</v>
      </c>
      <c r="C12" s="4" t="str">
        <v>Actor engagement and outcome tracking</v>
      </c>
      <c r="D12"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2" s="4" t="str">
        <v>N/A</v>
      </c>
      <c r="F12" s="5">
        <v>0</v>
      </c>
      <c r="G12" s="4" t="str">
        <v/>
      </c>
      <c r="H12" s="4">
        <v>579</v>
      </c>
    </row>
    <row r="13" ht="25" customHeight="1">
      <c r="C13" s="9" t="str">
        <v>MELIA budget subtotal</v>
      </c>
      <c r="F13" s="9">
        <v>0</v>
      </c>
      <c r="G13" s="9" t="str">
        <v/>
      </c>
      <c r="H13" s="9" t="str">
        <v/>
      </c>
    </row>
    <row r="14" ht="60" customHeight="1">
      <c r="A14" s="8" t="str">
        <v>AOW04: Governance, Institutions, Policy, and Inclusion</v>
      </c>
      <c r="B14" s="4" t="str">
        <v>IFPRI</v>
      </c>
      <c r="C14" s="4" t="str">
        <v>Actor engagement and outcome tracking</v>
      </c>
      <c r="D14"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4" s="4" t="str">
        <v>N/A</v>
      </c>
      <c r="F14" s="5">
        <v>0</v>
      </c>
      <c r="G14" s="4" t="str">
        <v/>
      </c>
      <c r="H14" s="4">
        <v>585</v>
      </c>
    </row>
    <row r="15" ht="25" customHeight="1">
      <c r="C15" s="9" t="str">
        <v>MELIA budget subtotal</v>
      </c>
      <c r="F15" s="9">
        <v>0</v>
      </c>
      <c r="G15" s="9" t="str">
        <v/>
      </c>
      <c r="H15" s="9" t="str">
        <v/>
      </c>
    </row>
    <row r="16" ht="60" customHeight="1">
      <c r="A16" s="8" t="str">
        <v>AOW05: Performance Assessments &amp; Evidence Generation</v>
      </c>
      <c r="B16" s="4" t="str">
        <v>IFPRI</v>
      </c>
      <c r="C16" s="4" t="str">
        <v xml:space="preserve"> Deliverable - MELIA STUDY Landscape appropriate impact assessment data collection for Kenya: farming households + system actors Indicator: Number of baseline/midline datasets collected using validated sampling strategies and made available for future impact assessment</v>
      </c>
      <c r="D16" s="4" t="str">
        <v>I-OC 5.1 Partners in MFL Living Landscapes sites demonstrate strengthened capacity to articulate, communicate, and actively influence the uptake of MFL knowledge in policy arenas, scientific communities, and practitioner networks.</v>
      </c>
      <c r="E16" s="4" t="str">
        <v>N/A</v>
      </c>
      <c r="F16" s="5">
        <v>143416</v>
      </c>
      <c r="G16" s="4" t="str">
        <v>.</v>
      </c>
      <c r="H16" s="4">
        <v>552</v>
      </c>
    </row>
    <row r="17" ht="60" customHeight="1" xml:space="preserve">
      <c r="A17" s="4" t="str">
        <v>AOW05: Performance Assessments &amp; Evidence Generation</v>
      </c>
      <c r="B17" s="4" t="str">
        <v>IFPRI</v>
      </c>
      <c r="C17" s="4" t="str" xml:space="preserve">
        <v xml:space="preserve">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 Number of midline datasets collected using validated sampling strategies and made available for future impact assessment</v>
      </c>
      <c r="D17" s="4" t="str">
        <v>I-OC 5.1 Partners in MFL Living Landscapes sites demonstrate strengthened capacity to articulate, communicate, and actively influence the uptake of MFL knowledge in policy arenas, scientific communities, and practitioner networks.</v>
      </c>
      <c r="E17" s="4" t="str">
        <v>N/A</v>
      </c>
      <c r="F17" s="5">
        <v>88416</v>
      </c>
      <c r="G17" s="4" t="str">
        <v>.</v>
      </c>
      <c r="H17" s="4">
        <v>553</v>
      </c>
    </row>
    <row r="18" ht="60" customHeight="1">
      <c r="A18" s="4" t="str">
        <v>AOW05: Performance Assessments &amp; Evidence Generation</v>
      </c>
      <c r="B18" s="4" t="str">
        <v>IFPRI</v>
      </c>
      <c r="C18" s="4" t="str">
        <v>Deliverable - MELIA study. Baseline household survey for impact assessment in Jhansi, India. Indicator: Number of baseline/midline datasets to capture landscape interventions impacts published</v>
      </c>
      <c r="D18" s="4" t="str">
        <v>AOW-IOC 5.1 National and sub-national public actors, farmers, herders, foresters, fishers, private sector, NGOs, CSOs, development actors, and researchers actively co-design and implement assessment frameworks</v>
      </c>
      <c r="E18" s="4" t="str">
        <v>N/A</v>
      </c>
      <c r="F18" s="5">
        <v>60000</v>
      </c>
      <c r="G18" s="4" t="str">
        <v>.</v>
      </c>
      <c r="H18" s="4">
        <v>558</v>
      </c>
    </row>
    <row r="19" ht="60" customHeight="1">
      <c r="A19" s="4" t="str">
        <v>AOW05: Performance Assessments &amp; Evidence Generation</v>
      </c>
      <c r="B19" s="4" t="str">
        <v>IFPRI</v>
      </c>
      <c r="C19" s="4" t="str">
        <v>Actor engagement and outcome tracking</v>
      </c>
      <c r="D19"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9" s="4" t="str">
        <v>N/A</v>
      </c>
      <c r="F19" s="5">
        <v>0</v>
      </c>
      <c r="G19" s="4" t="str">
        <v/>
      </c>
      <c r="H19" s="4">
        <v>591</v>
      </c>
    </row>
    <row r="20" ht="60" customHeight="1">
      <c r="A20" s="4" t="str">
        <v>AOW05: Performance Assessments &amp; Evidence Generation</v>
      </c>
      <c r="B20" s="4" t="str">
        <v>IFPRI</v>
      </c>
      <c r="C20" s="4" t="str">
        <v>Partnership quality evaluation tool</v>
      </c>
      <c r="D20" s="4" t="str">
        <v>I-OC 5.1 Partners in MFL Living Landscapes sites demonstrate strengthened capacity to articulate, communicate, and actively influence the uptake of MFL knowledge in policy arenas, scientific communities, and practitioner networks.</v>
      </c>
      <c r="E20" s="4" t="str">
        <v>N/A</v>
      </c>
      <c r="F20" s="5">
        <v>0</v>
      </c>
      <c r="G20" s="4" t="str">
        <v/>
      </c>
      <c r="H20" s="4">
        <v>629</v>
      </c>
    </row>
    <row r="21" ht="60" customHeight="1">
      <c r="A21" s="4" t="str">
        <v>AOW05: Performance Assessments &amp; Evidence Generation</v>
      </c>
      <c r="B21" s="4" t="str">
        <v>IFPRI</v>
      </c>
      <c r="C21" s="4" t="str">
        <v xml:space="preserve"> Deliverable - Critical Capabilities - MELIA STUDY Landscape appropriate Impact Assessment implementation: System Level Theory of Change Indicator: Number of impact assessments carried out and documented</v>
      </c>
      <c r="D21" s="4" t="str">
        <v>I-OC 5.1 Partners in MFL Living Landscapes sites demonstrate strengthened capacity to articulate, communicate, and actively influence the uptake of MFL knowledge in policy arenas, scientific communities, and practitioner networks.</v>
      </c>
      <c r="E21" s="4" t="str">
        <v>N/A</v>
      </c>
      <c r="F21" s="5">
        <v>0</v>
      </c>
      <c r="G21" s="4" t="str">
        <v/>
      </c>
      <c r="H21" s="4">
        <v>642</v>
      </c>
    </row>
    <row r="22" ht="60" customHeight="1">
      <c r="A22" s="4" t="str">
        <v>AOW05: Performance Assessments &amp; Evidence Generation</v>
      </c>
      <c r="B22" s="4" t="str">
        <v>IFPRI</v>
      </c>
      <c r="C22" s="4" t="str">
        <v>Deliverable - MELIA STUDY Landscape appropriate Impact Assessment system implementation: cross country coordination and learning briefs Indicator: Number of landscape-specific frameworks to assess multifunctional landscape performance</v>
      </c>
      <c r="D22" s="4" t="str">
        <v>I-OC 5.1 Partners in MFL Living Landscapes sites demonstrate strengthened capacity to articulate, communicate, and actively influence the uptake of MFL knowledge in policy arenas, scientific communities, and practitioner networks.</v>
      </c>
      <c r="E22" s="4" t="str">
        <v>N/A</v>
      </c>
      <c r="F22" s="5">
        <v>0</v>
      </c>
      <c r="G22" s="4" t="str">
        <v/>
      </c>
      <c r="H22" s="4">
        <v>644</v>
      </c>
    </row>
    <row r="23" ht="60" customHeight="1" xml:space="preserve">
      <c r="A23" s="4" t="str">
        <v>AOW05: Performance Assessments &amp; Evidence Generation</v>
      </c>
      <c r="B23" s="4" t="str">
        <v>IFPRI</v>
      </c>
      <c r="C23" s="4" t="str" xml:space="preserve">
        <v xml:space="preserve">Deliverable - MELIA STUDY Landscape appropriate Impact Assessment data collection in Peru and Colombia: farming households + system actors 
Indicator: Number of baseline/midline datasets collected using validated sampling strategies and made available for future impact assessment </v>
      </c>
      <c r="D23" s="4" t="str">
        <v>I-OC 5.1 Partners in MFL Living Landscapes sites demonstrate strengthened capacity to articulate, communicate, and actively influence the uptake of MFL knowledge in policy arenas, scientific communities, and practitioner networks.</v>
      </c>
      <c r="E23" s="4" t="str">
        <v>N/A</v>
      </c>
      <c r="F23" s="5">
        <v>0</v>
      </c>
      <c r="G23" s="4" t="str">
        <v/>
      </c>
      <c r="H23" s="4">
        <v>646</v>
      </c>
    </row>
    <row r="24" ht="25" customHeight="1">
      <c r="C24" s="9" t="str">
        <v>MELIA budget subtotal</v>
      </c>
      <c r="F24" s="9">
        <v>291832</v>
      </c>
      <c r="G24" s="9" t="str">
        <v/>
      </c>
      <c r="H24" s="9" t="str">
        <v/>
      </c>
    </row>
  </sheetData>
  <mergeCells count="12">
    <mergeCell ref="C6:E6"/>
    <mergeCell ref="A2:A6"/>
    <mergeCell ref="C9:E9"/>
    <mergeCell ref="A7:A9"/>
    <mergeCell ref="C11:E11"/>
    <mergeCell ref="A10:A11"/>
    <mergeCell ref="C13:E13"/>
    <mergeCell ref="A12:A13"/>
    <mergeCell ref="C15:E15"/>
    <mergeCell ref="A14:A15"/>
    <mergeCell ref="C24:E24"/>
    <mergeCell ref="A16:A24"/>
  </mergeCells>
  <ignoredErrors>
    <ignoredError numberStoredAsText="1" sqref="A1:H24"/>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IFPRI</v>
      </c>
      <c r="C2" s="4" t="str">
        <v>Area of Work Leads</v>
      </c>
      <c r="D2" s="5">
        <v>191535</v>
      </c>
      <c r="E2" s="4" t="str">
        <v xml:space="preserve">USD 176,535 for AoW 4 Wei Zhang's 45% FTE and USD 15,000 travel budget for her to attend MFL SP management meetings.  </v>
      </c>
      <c r="F2" s="4">
        <v>218</v>
      </c>
      <c r="G2" s="4">
        <v>3</v>
      </c>
    </row>
    <row r="3" ht="25" customHeight="1">
      <c r="C3" s="9" t="str">
        <v>Cross-cutting budget subtotal</v>
      </c>
      <c r="D3" s="9">
        <v>191535</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178785</v>
      </c>
      <c r="C2" s="5">
        <v>128088</v>
      </c>
      <c r="D2" s="5">
        <v>92300</v>
      </c>
      <c r="E2" s="5">
        <v>69674</v>
      </c>
      <c r="F2" s="5">
        <v>430991</v>
      </c>
      <c r="G2" s="5">
        <v>253648</v>
      </c>
      <c r="H2" s="5">
        <f>=SUM(B2:G2)</f>
        <v>0</v>
      </c>
    </row>
    <row r="3" ht="20" customHeight="1">
      <c r="A3" s="4" t="str">
        <v>Operations (supplies, consultants, travels, workshops, other)</v>
      </c>
      <c r="B3" s="5">
        <v>12750</v>
      </c>
      <c r="C3" s="5">
        <v>33467</v>
      </c>
      <c r="D3" s="5">
        <v>30986</v>
      </c>
      <c r="E3" s="5">
        <v>28432</v>
      </c>
      <c r="F3" s="5">
        <v>164711</v>
      </c>
      <c r="G3" s="5">
        <v>108706</v>
      </c>
      <c r="H3" s="5">
        <f>=SUM(B3:G3)</f>
        <v>0</v>
      </c>
    </row>
    <row r="4" ht="20" customHeight="1">
      <c r="A4" s="4" t="str">
        <v>Collaborators non-CGIAR centers</v>
      </c>
      <c r="B4" s="5">
        <v>0</v>
      </c>
      <c r="C4" s="5">
        <v>75000</v>
      </c>
      <c r="D4" s="5">
        <v>30000</v>
      </c>
      <c r="E4" s="5">
        <v>30000</v>
      </c>
      <c r="F4" s="5">
        <v>20000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IFPRI</v>
      </c>
      <c r="C2" s="4" t="str">
        <v>United States of America</v>
      </c>
      <c r="D2" s="5">
        <v>100</v>
      </c>
      <c r="E2" s="4">
        <v>3386</v>
      </c>
    </row>
    <row r="3" ht="45" customHeight="1">
      <c r="A3" s="8" t="str">
        <v>AOW01: Agroecology+ Solutions &amp; Innovations</v>
      </c>
      <c r="B3" s="4" t="str">
        <v>IFPRI</v>
      </c>
      <c r="C3" s="4" t="str">
        <v>Colombia</v>
      </c>
      <c r="D3" s="5">
        <v>30</v>
      </c>
      <c r="E3" s="4">
        <v>2416</v>
      </c>
    </row>
    <row r="4" ht="45" customHeight="1">
      <c r="A4" s="4" t="str">
        <v>AOW01: Agroecology+ Solutions &amp; Innovations</v>
      </c>
      <c r="B4" s="4" t="str">
        <v>IFPRI</v>
      </c>
      <c r="C4" s="4" t="str">
        <v>Ethiopia</v>
      </c>
      <c r="D4" s="5">
        <v>20</v>
      </c>
      <c r="E4" s="4">
        <v>3151</v>
      </c>
    </row>
    <row r="5" ht="45" customHeight="1">
      <c r="A5" s="4" t="str">
        <v>AOW01: Agroecology+ Solutions &amp; Innovations</v>
      </c>
      <c r="B5" s="4" t="str">
        <v>IFPRI</v>
      </c>
      <c r="C5" s="4" t="str">
        <v>India</v>
      </c>
      <c r="D5" s="5">
        <v>50</v>
      </c>
      <c r="E5" s="4">
        <v>2418</v>
      </c>
    </row>
    <row r="6" ht="45" customHeight="1">
      <c r="A6" s="8" t="str">
        <v>AOW02: Landscape Optimization and Inclusive Planning</v>
      </c>
      <c r="B6" s="4" t="str">
        <v>IFPRI</v>
      </c>
      <c r="C6" s="4" t="str">
        <v>India</v>
      </c>
      <c r="D6" s="5">
        <v>80</v>
      </c>
      <c r="E6" s="4">
        <v>2419</v>
      </c>
    </row>
    <row r="7" ht="45" customHeight="1">
      <c r="A7" s="4" t="str">
        <v>AOW02: Landscape Optimization and Inclusive Planning</v>
      </c>
      <c r="B7" s="4" t="str">
        <v>IFPRI</v>
      </c>
      <c r="C7" s="4" t="str">
        <v>Kenya</v>
      </c>
      <c r="D7" s="5">
        <v>20</v>
      </c>
      <c r="E7" s="4">
        <v>2420</v>
      </c>
    </row>
    <row r="8" ht="45" customHeight="1">
      <c r="A8" s="8" t="str">
        <v>AOW03: Business Models, Markets, and Sustainable Finance</v>
      </c>
      <c r="B8" s="4" t="str">
        <v>IFPRI</v>
      </c>
      <c r="C8" s="4" t="str">
        <v>India</v>
      </c>
      <c r="D8" s="5">
        <v>90</v>
      </c>
      <c r="E8" s="4">
        <v>2349</v>
      </c>
    </row>
    <row r="9" ht="45" customHeight="1">
      <c r="A9" s="4" t="str">
        <v>AOW03: Business Models, Markets, and Sustainable Finance</v>
      </c>
      <c r="B9" s="4" t="str">
        <v>IFPRI</v>
      </c>
      <c r="C9" s="4" t="str">
        <v>Tunisia</v>
      </c>
      <c r="D9" s="5">
        <v>10</v>
      </c>
      <c r="E9" s="4">
        <v>2350</v>
      </c>
    </row>
    <row r="10" ht="45" customHeight="1">
      <c r="A10" s="8" t="str">
        <v>AOW04: Governance, Institutions, Policy, and Inclusion</v>
      </c>
      <c r="B10" s="4" t="str">
        <v>IFPRI</v>
      </c>
      <c r="C10" s="4" t="str">
        <v>Burkina Faso</v>
      </c>
      <c r="D10" s="5">
        <v>0</v>
      </c>
      <c r="E10" s="4">
        <v>2351</v>
      </c>
    </row>
    <row r="11" ht="45" customHeight="1">
      <c r="A11" s="4" t="str">
        <v>AOW04: Governance, Institutions, Policy, and Inclusion</v>
      </c>
      <c r="B11" s="4" t="str">
        <v>IFPRI</v>
      </c>
      <c r="C11" s="4" t="str">
        <v>Colombia</v>
      </c>
      <c r="D11" s="5">
        <v>10</v>
      </c>
      <c r="E11" s="4">
        <v>3146</v>
      </c>
    </row>
    <row r="12" ht="45" customHeight="1">
      <c r="A12" s="4" t="str">
        <v>AOW04: Governance, Institutions, Policy, and Inclusion</v>
      </c>
      <c r="B12" s="4" t="str">
        <v>IFPRI</v>
      </c>
      <c r="C12" s="4" t="str">
        <v>Ethiopia</v>
      </c>
      <c r="D12" s="5">
        <v>10</v>
      </c>
      <c r="E12" s="4">
        <v>3147</v>
      </c>
    </row>
    <row r="13" ht="45" customHeight="1">
      <c r="A13" s="4" t="str">
        <v>AOW04: Governance, Institutions, Policy, and Inclusion</v>
      </c>
      <c r="B13" s="4" t="str">
        <v>IFPRI</v>
      </c>
      <c r="C13" s="4" t="str">
        <v>India</v>
      </c>
      <c r="D13" s="5">
        <v>50</v>
      </c>
      <c r="E13" s="4">
        <v>3144</v>
      </c>
    </row>
    <row r="14" ht="45" customHeight="1">
      <c r="A14" s="4" t="str">
        <v>AOW04: Governance, Institutions, Policy, and Inclusion</v>
      </c>
      <c r="B14" s="4" t="str">
        <v>IFPRI</v>
      </c>
      <c r="C14" s="4" t="str">
        <v>Kenya</v>
      </c>
      <c r="D14" s="5">
        <v>0</v>
      </c>
      <c r="E14" s="4">
        <v>3145</v>
      </c>
    </row>
    <row r="15" ht="45" customHeight="1">
      <c r="A15" s="4" t="str">
        <v>AOW04: Governance, Institutions, Policy, and Inclusion</v>
      </c>
      <c r="B15" s="4" t="str">
        <v>IFPRI</v>
      </c>
      <c r="C15" s="4" t="str">
        <v>Lao People's Democratic Republic</v>
      </c>
      <c r="D15" s="5">
        <v>10</v>
      </c>
      <c r="E15" s="4">
        <v>3148</v>
      </c>
    </row>
    <row r="16" ht="45" customHeight="1">
      <c r="A16" s="4" t="str">
        <v>AOW04: Governance, Institutions, Policy, and Inclusion</v>
      </c>
      <c r="B16" s="4" t="str">
        <v>IFPRI</v>
      </c>
      <c r="C16" s="4" t="str">
        <v>Peru</v>
      </c>
      <c r="D16" s="5">
        <v>10</v>
      </c>
      <c r="E16" s="4">
        <v>3149</v>
      </c>
    </row>
    <row r="17" ht="45" customHeight="1">
      <c r="A17" s="4" t="str">
        <v>AOW04: Governance, Institutions, Policy, and Inclusion</v>
      </c>
      <c r="B17" s="4" t="str">
        <v>IFPRI</v>
      </c>
      <c r="C17" s="4" t="str">
        <v>The Socialist Republic of Viet Nam</v>
      </c>
      <c r="D17" s="5">
        <v>10</v>
      </c>
      <c r="E17" s="4">
        <v>3150</v>
      </c>
    </row>
    <row r="18" ht="45" customHeight="1">
      <c r="A18" s="8" t="str">
        <v>AOW05: Performance Assessments &amp; Evidence Generation</v>
      </c>
      <c r="B18" s="4" t="str">
        <v>IFPRI</v>
      </c>
      <c r="C18" s="4" t="str">
        <v>India</v>
      </c>
      <c r="D18" s="5">
        <v>50</v>
      </c>
      <c r="E18" s="4">
        <v>2421</v>
      </c>
    </row>
    <row r="19" ht="45" customHeight="1">
      <c r="A19" s="4" t="str">
        <v>AOW05: Performance Assessments &amp; Evidence Generation</v>
      </c>
      <c r="B19" s="4" t="str">
        <v>IFPRI</v>
      </c>
      <c r="C19" s="4" t="str">
        <v>Kenya</v>
      </c>
      <c r="D19" s="5">
        <v>50</v>
      </c>
      <c r="E19" s="4">
        <v>2422</v>
      </c>
    </row>
  </sheetData>
  <mergeCells count="6">
    <mergeCell ref="A2"/>
    <mergeCell ref="A3:A5"/>
    <mergeCell ref="A6:A7"/>
    <mergeCell ref="A8:A9"/>
    <mergeCell ref="A10:A17"/>
    <mergeCell ref="A18:A19"/>
  </mergeCells>
  <ignoredErrors>
    <ignoredError numberStoredAsText="1" sqref="A1:E19"/>
  </ignoredErrors>
</worksheet>
</file>

<file path=xl/worksheets/sheet9.xml><?xml version="1.0" encoding="utf-8"?>
<worksheet xmlns="http://schemas.openxmlformats.org/spreadsheetml/2006/main" xmlns:r="http://schemas.openxmlformats.org/officeDocument/2006/relationships">
  <dimension ref="A1:F30"/>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IFPRI</v>
      </c>
      <c r="C2" s="4" t="str">
        <v>Cambodia</v>
      </c>
      <c r="D2" s="4" t="str">
        <v>country</v>
      </c>
      <c r="E2" s="5">
        <v>4</v>
      </c>
      <c r="F2" s="4">
        <v>1609</v>
      </c>
    </row>
    <row r="3" ht="45" customHeight="1">
      <c r="A3" s="4" t="str">
        <v>AOW00: Cross Cutting</v>
      </c>
      <c r="B3" s="4" t="str">
        <v>IFPRI</v>
      </c>
      <c r="C3" s="4" t="str">
        <v>Colombia</v>
      </c>
      <c r="D3" s="4" t="str">
        <v>country</v>
      </c>
      <c r="E3" s="5">
        <v>10</v>
      </c>
      <c r="F3" s="4">
        <v>1610</v>
      </c>
    </row>
    <row r="4" ht="45" customHeight="1">
      <c r="A4" s="4" t="str">
        <v>AOW00: Cross Cutting</v>
      </c>
      <c r="B4" s="4" t="str">
        <v>IFPRI</v>
      </c>
      <c r="C4" s="4" t="str">
        <v>Côte d'Ivoire</v>
      </c>
      <c r="D4" s="4" t="str">
        <v>country</v>
      </c>
      <c r="E4" s="5">
        <v>7</v>
      </c>
      <c r="F4" s="4">
        <v>1611</v>
      </c>
    </row>
    <row r="5" ht="45" customHeight="1">
      <c r="A5" s="4" t="str">
        <v>AOW00: Cross Cutting</v>
      </c>
      <c r="B5" s="4" t="str">
        <v>IFPRI</v>
      </c>
      <c r="C5" s="4" t="str">
        <v>Ethiopia</v>
      </c>
      <c r="D5" s="4" t="str">
        <v>country</v>
      </c>
      <c r="E5" s="5">
        <v>7</v>
      </c>
      <c r="F5" s="4">
        <v>1612</v>
      </c>
    </row>
    <row r="6" ht="45" customHeight="1">
      <c r="A6" s="4" t="str">
        <v>AOW00: Cross Cutting</v>
      </c>
      <c r="B6" s="4" t="str">
        <v>IFPRI</v>
      </c>
      <c r="C6" s="4" t="str">
        <v>India</v>
      </c>
      <c r="D6" s="4" t="str">
        <v>country</v>
      </c>
      <c r="E6" s="5">
        <v>10</v>
      </c>
      <c r="F6" s="4">
        <v>1613</v>
      </c>
    </row>
    <row r="7" ht="45" customHeight="1">
      <c r="A7" s="4" t="str">
        <v>AOW00: Cross Cutting</v>
      </c>
      <c r="B7" s="4" t="str">
        <v>IFPRI</v>
      </c>
      <c r="C7" s="4" t="str">
        <v>Kenya</v>
      </c>
      <c r="D7" s="4" t="str">
        <v>country</v>
      </c>
      <c r="E7" s="5">
        <v>10</v>
      </c>
      <c r="F7" s="4">
        <v>1614</v>
      </c>
    </row>
    <row r="8" ht="45" customHeight="1">
      <c r="A8" s="4" t="str">
        <v>AOW00: Cross Cutting</v>
      </c>
      <c r="B8" s="4" t="str">
        <v>IFPRI</v>
      </c>
      <c r="C8" s="4" t="str">
        <v>Lao People's Democratic Republic</v>
      </c>
      <c r="D8" s="4" t="str">
        <v>country</v>
      </c>
      <c r="E8" s="5">
        <v>4</v>
      </c>
      <c r="F8" s="4">
        <v>1615</v>
      </c>
    </row>
    <row r="9" ht="45" customHeight="1">
      <c r="A9" s="4" t="str">
        <v>AOW00: Cross Cutting</v>
      </c>
      <c r="B9" s="4" t="str">
        <v>IFPRI</v>
      </c>
      <c r="C9" s="4" t="str">
        <v>Peru</v>
      </c>
      <c r="D9" s="4" t="str">
        <v>country</v>
      </c>
      <c r="E9" s="5">
        <v>10</v>
      </c>
      <c r="F9" s="4">
        <v>1616</v>
      </c>
    </row>
    <row r="10" ht="45" customHeight="1">
      <c r="A10" s="4" t="str">
        <v>AOW00: Cross Cutting</v>
      </c>
      <c r="B10" s="4" t="str">
        <v>IFPRI</v>
      </c>
      <c r="C10" s="4" t="str">
        <v>Senegal</v>
      </c>
      <c r="D10" s="4" t="str">
        <v>country</v>
      </c>
      <c r="E10" s="5">
        <v>7</v>
      </c>
      <c r="F10" s="4">
        <v>1617</v>
      </c>
    </row>
    <row r="11" ht="45" customHeight="1">
      <c r="A11" s="4" t="str">
        <v>AOW00: Cross Cutting</v>
      </c>
      <c r="B11" s="4" t="str">
        <v>IFPRI</v>
      </c>
      <c r="C11" s="4" t="str">
        <v>Tanzania</v>
      </c>
      <c r="D11" s="4" t="str">
        <v>country</v>
      </c>
      <c r="E11" s="5">
        <v>7</v>
      </c>
      <c r="F11" s="4">
        <v>1618</v>
      </c>
    </row>
    <row r="12" ht="45" customHeight="1">
      <c r="A12" s="4" t="str">
        <v>AOW00: Cross Cutting</v>
      </c>
      <c r="B12" s="4" t="str">
        <v>IFPRI</v>
      </c>
      <c r="C12" s="4" t="str">
        <v>The Socialist Republic of Viet Nam</v>
      </c>
      <c r="D12" s="4" t="str">
        <v>country</v>
      </c>
      <c r="E12" s="5">
        <v>4</v>
      </c>
      <c r="F12" s="4">
        <v>1619</v>
      </c>
    </row>
    <row r="13" ht="45" customHeight="1">
      <c r="A13" s="4" t="str">
        <v>AOW00: Cross Cutting</v>
      </c>
      <c r="B13" s="4" t="str">
        <v>IFPRI</v>
      </c>
      <c r="C13" s="4" t="str">
        <v>Tunisia</v>
      </c>
      <c r="D13" s="4" t="str">
        <v>country</v>
      </c>
      <c r="E13" s="5">
        <v>10</v>
      </c>
      <c r="F13" s="4">
        <v>1620</v>
      </c>
    </row>
    <row r="14" ht="45" customHeight="1">
      <c r="A14" s="4" t="str">
        <v>AOW00: Cross Cutting</v>
      </c>
      <c r="B14" s="4" t="str">
        <v>IFPRI</v>
      </c>
      <c r="C14" s="4" t="str">
        <v>United Republic</v>
      </c>
      <c r="D14" s="4" t="str">
        <v>country</v>
      </c>
      <c r="E14" s="5">
        <v>0</v>
      </c>
      <c r="F14" s="4">
        <v>1621</v>
      </c>
    </row>
    <row r="15" ht="45" customHeight="1">
      <c r="A15" s="4" t="str">
        <v>AOW00: Cross Cutting</v>
      </c>
      <c r="B15" s="4" t="str">
        <v>IFPRI</v>
      </c>
      <c r="C15" s="4" t="str">
        <v>Zimbabwe</v>
      </c>
      <c r="D15" s="4" t="str">
        <v>country</v>
      </c>
      <c r="E15" s="5">
        <v>10</v>
      </c>
      <c r="F15" s="4">
        <v>1622</v>
      </c>
    </row>
    <row r="16" ht="45" customHeight="1">
      <c r="A16" s="8" t="str">
        <v>AOW01: Agroecology+ Solutions &amp; Innovations</v>
      </c>
      <c r="B16" s="4" t="str">
        <v>IFPRI</v>
      </c>
      <c r="C16" s="4" t="str">
        <v>Colombia</v>
      </c>
      <c r="D16" s="4" t="str">
        <v>country</v>
      </c>
      <c r="E16" s="5">
        <v>30</v>
      </c>
      <c r="F16" s="4">
        <v>1372</v>
      </c>
    </row>
    <row r="17" ht="45" customHeight="1">
      <c r="A17" s="4" t="str">
        <v>AOW01: Agroecology+ Solutions &amp; Innovations</v>
      </c>
      <c r="B17" s="4" t="str">
        <v>IFPRI</v>
      </c>
      <c r="C17" s="4" t="str">
        <v>Ethiopia</v>
      </c>
      <c r="D17" s="4" t="str">
        <v>country</v>
      </c>
      <c r="E17" s="5">
        <v>20</v>
      </c>
      <c r="F17" s="4">
        <v>1375</v>
      </c>
    </row>
    <row r="18" ht="45" customHeight="1">
      <c r="A18" s="4" t="str">
        <v>AOW01: Agroecology+ Solutions &amp; Innovations</v>
      </c>
      <c r="B18" s="4" t="str">
        <v>IFPRI</v>
      </c>
      <c r="C18" s="4" t="str">
        <v>India</v>
      </c>
      <c r="D18" s="4" t="str">
        <v>country</v>
      </c>
      <c r="E18" s="5">
        <v>50</v>
      </c>
      <c r="F18" s="4">
        <v>1373</v>
      </c>
    </row>
    <row r="19" ht="45" customHeight="1">
      <c r="A19" s="4" t="str">
        <v>AOW01: Agroecology+ Solutions &amp; Innovations</v>
      </c>
      <c r="B19" s="4" t="str">
        <v>IFPRI</v>
      </c>
      <c r="C19" s="4" t="str">
        <v>Lao People's Democratic Republic</v>
      </c>
      <c r="D19" s="4" t="str">
        <v>country</v>
      </c>
      <c r="E19" s="5">
        <v>0</v>
      </c>
      <c r="F19" s="4">
        <v>1374</v>
      </c>
    </row>
    <row r="20" ht="45" customHeight="1">
      <c r="A20" s="8" t="str">
        <v>AOW02: Landscape Optimization and Inclusive Planning</v>
      </c>
      <c r="B20" s="4" t="str">
        <v>IFPRI</v>
      </c>
      <c r="C20" s="4" t="str">
        <v>India</v>
      </c>
      <c r="D20" s="4" t="str">
        <v>country</v>
      </c>
      <c r="E20" s="5">
        <v>80</v>
      </c>
      <c r="F20" s="4">
        <v>1370</v>
      </c>
    </row>
    <row r="21" ht="45" customHeight="1">
      <c r="A21" s="4" t="str">
        <v>AOW02: Landscape Optimization and Inclusive Planning</v>
      </c>
      <c r="B21" s="4" t="str">
        <v>IFPRI</v>
      </c>
      <c r="C21" s="4" t="str">
        <v>Kenya</v>
      </c>
      <c r="D21" s="4" t="str">
        <v>country</v>
      </c>
      <c r="E21" s="5">
        <v>20</v>
      </c>
      <c r="F21" s="4">
        <v>1371</v>
      </c>
    </row>
    <row r="22" ht="45" customHeight="1">
      <c r="A22" s="8" t="str">
        <v>AOW03: Business Models, Markets, and Sustainable Finance</v>
      </c>
      <c r="B22" s="4" t="str">
        <v>IFPRI</v>
      </c>
      <c r="C22" s="4" t="str">
        <v>Global</v>
      </c>
      <c r="D22" s="4" t="str">
        <v>global</v>
      </c>
      <c r="E22" s="5">
        <v>100</v>
      </c>
      <c r="F22" s="4">
        <v>818</v>
      </c>
    </row>
    <row r="23" ht="45" customHeight="1">
      <c r="A23" s="8" t="str">
        <v>AOW04: Governance, Institutions, Policy, and Inclusion</v>
      </c>
      <c r="B23" s="4" t="str">
        <v>IFPRI</v>
      </c>
      <c r="C23" s="4" t="str">
        <v>Colombia</v>
      </c>
      <c r="D23" s="4" t="str">
        <v>country</v>
      </c>
      <c r="E23" s="5">
        <v>10</v>
      </c>
      <c r="F23" s="4">
        <v>1364</v>
      </c>
    </row>
    <row r="24" ht="45" customHeight="1">
      <c r="A24" s="4" t="str">
        <v>AOW04: Governance, Institutions, Policy, and Inclusion</v>
      </c>
      <c r="B24" s="4" t="str">
        <v>IFPRI</v>
      </c>
      <c r="C24" s="4" t="str">
        <v>Ethiopia</v>
      </c>
      <c r="D24" s="4" t="str">
        <v>country</v>
      </c>
      <c r="E24" s="5">
        <v>0</v>
      </c>
      <c r="F24" s="4">
        <v>1365</v>
      </c>
    </row>
    <row r="25" ht="45" customHeight="1">
      <c r="A25" s="4" t="str">
        <v>AOW04: Governance, Institutions, Policy, and Inclusion</v>
      </c>
      <c r="B25" s="4" t="str">
        <v>IFPRI</v>
      </c>
      <c r="C25" s="4" t="str">
        <v>India</v>
      </c>
      <c r="D25" s="4" t="str">
        <v>country</v>
      </c>
      <c r="E25" s="5">
        <v>50</v>
      </c>
      <c r="F25" s="4">
        <v>1363</v>
      </c>
    </row>
    <row r="26" ht="45" customHeight="1">
      <c r="A26" s="4" t="str">
        <v>AOW04: Governance, Institutions, Policy, and Inclusion</v>
      </c>
      <c r="B26" s="4" t="str">
        <v>IFPRI</v>
      </c>
      <c r="C26" s="4" t="str">
        <v>Kenya</v>
      </c>
      <c r="D26" s="4" t="str">
        <v>country</v>
      </c>
      <c r="E26" s="5">
        <v>10</v>
      </c>
      <c r="F26" s="4">
        <v>1367</v>
      </c>
    </row>
    <row r="27" ht="45" customHeight="1">
      <c r="A27" s="4" t="str">
        <v>AOW04: Governance, Institutions, Policy, and Inclusion</v>
      </c>
      <c r="B27" s="4" t="str">
        <v>IFPRI</v>
      </c>
      <c r="C27" s="4" t="str">
        <v>Lao People's Democratic Republic</v>
      </c>
      <c r="D27" s="4" t="str">
        <v>country</v>
      </c>
      <c r="E27" s="5">
        <v>10</v>
      </c>
      <c r="F27" s="4">
        <v>1368</v>
      </c>
    </row>
    <row r="28" ht="45" customHeight="1">
      <c r="A28" s="4" t="str">
        <v>AOW04: Governance, Institutions, Policy, and Inclusion</v>
      </c>
      <c r="B28" s="4" t="str">
        <v>IFPRI</v>
      </c>
      <c r="C28" s="4" t="str">
        <v>Peru</v>
      </c>
      <c r="D28" s="4" t="str">
        <v>country</v>
      </c>
      <c r="E28" s="5">
        <v>10</v>
      </c>
      <c r="F28" s="4">
        <v>1366</v>
      </c>
    </row>
    <row r="29" ht="45" customHeight="1">
      <c r="A29" s="4" t="str">
        <v>AOW04: Governance, Institutions, Policy, and Inclusion</v>
      </c>
      <c r="B29" s="4" t="str">
        <v>IFPRI</v>
      </c>
      <c r="C29" s="4" t="str">
        <v>The Socialist Republic of Viet Nam</v>
      </c>
      <c r="D29" s="4" t="str">
        <v>country</v>
      </c>
      <c r="E29" s="5">
        <v>10</v>
      </c>
      <c r="F29" s="4">
        <v>1369</v>
      </c>
    </row>
    <row r="30" ht="45" customHeight="1">
      <c r="A30" s="8" t="str">
        <v>AOW05: Performance Assessments &amp; Evidence Generation</v>
      </c>
      <c r="B30" s="4" t="str">
        <v>IFPRI</v>
      </c>
      <c r="C30" s="4" t="str">
        <v>Global</v>
      </c>
      <c r="D30" s="4" t="str">
        <v>global</v>
      </c>
      <c r="E30" s="5">
        <v>100</v>
      </c>
      <c r="F30" s="4">
        <v>848</v>
      </c>
    </row>
  </sheetData>
  <mergeCells count="6">
    <mergeCell ref="A2:A15"/>
    <mergeCell ref="A16:A19"/>
    <mergeCell ref="A20:A21"/>
    <mergeCell ref="A22"/>
    <mergeCell ref="A23:A29"/>
    <mergeCell ref="A30"/>
  </mergeCells>
  <ignoredErrors>
    <ignoredError numberStoredAsText="1" sqref="A1:F30"/>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