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67965</v>
      </c>
      <c r="K4" s="5">
        <v>67965</v>
      </c>
      <c r="L4" s="5">
        <v>0</v>
      </c>
      <c r="M4" s="5">
        <v>0</v>
      </c>
      <c r="N4" s="4">
        <v>182</v>
      </c>
    </row>
    <row r="5" ht="20" customHeight="1">
      <c r="A5" s="4" t="str">
        <v>AOW01: Agroecology+ Solutions &amp; Innovations</v>
      </c>
      <c r="B5" s="5">
        <v>9</v>
      </c>
      <c r="C5" s="5">
        <v>235348</v>
      </c>
      <c r="D5" s="5">
        <v>6</v>
      </c>
      <c r="E5" s="5">
        <v>75150</v>
      </c>
      <c r="F5" s="5">
        <v>330</v>
      </c>
      <c r="G5" s="5">
        <v>195668</v>
      </c>
      <c r="H5" s="5">
        <v>1179</v>
      </c>
      <c r="I5" s="5">
        <v>354363</v>
      </c>
      <c r="J5" s="5">
        <v>860529</v>
      </c>
      <c r="K5" s="5">
        <v>860529</v>
      </c>
      <c r="L5" s="5">
        <v>78000</v>
      </c>
      <c r="M5" s="5">
        <v>0</v>
      </c>
      <c r="N5" s="4">
        <v>177</v>
      </c>
    </row>
    <row r="6" ht="20" customHeight="1">
      <c r="A6" s="4" t="str">
        <v>AOW02: Landscape Optimization and Inclusive Planning</v>
      </c>
      <c r="B6" s="5">
        <v>7</v>
      </c>
      <c r="C6" s="5">
        <v>115312</v>
      </c>
      <c r="D6" s="5">
        <v>11</v>
      </c>
      <c r="E6" s="5">
        <v>174621</v>
      </c>
      <c r="F6" s="5">
        <v>100</v>
      </c>
      <c r="G6" s="5">
        <v>25522</v>
      </c>
      <c r="H6" s="5">
        <v>322</v>
      </c>
      <c r="I6" s="5">
        <v>192387</v>
      </c>
      <c r="J6" s="5">
        <v>507842</v>
      </c>
      <c r="K6" s="5">
        <v>507842</v>
      </c>
      <c r="L6" s="5">
        <v>7500</v>
      </c>
      <c r="M6" s="5">
        <v>0</v>
      </c>
      <c r="N6" s="4">
        <v>179</v>
      </c>
    </row>
    <row r="7" ht="20" customHeight="1">
      <c r="A7" s="4" t="str">
        <v>AOW03: Business Models, Markets, and Sustainable Finance</v>
      </c>
      <c r="B7" s="5">
        <v>22</v>
      </c>
      <c r="C7" s="5">
        <v>578240</v>
      </c>
      <c r="D7" s="5">
        <v>9</v>
      </c>
      <c r="E7" s="5">
        <v>160840</v>
      </c>
      <c r="F7" s="5">
        <v>0</v>
      </c>
      <c r="G7" s="5">
        <v>0</v>
      </c>
      <c r="H7" s="5">
        <v>100</v>
      </c>
      <c r="I7" s="5">
        <v>95100</v>
      </c>
      <c r="J7" s="5">
        <v>834180</v>
      </c>
      <c r="K7" s="5">
        <v>834180</v>
      </c>
      <c r="L7" s="5">
        <v>85000</v>
      </c>
      <c r="M7" s="5">
        <v>0</v>
      </c>
      <c r="N7" s="4">
        <v>180</v>
      </c>
    </row>
    <row r="8" ht="20" customHeight="1">
      <c r="A8" s="4" t="str">
        <v>AOW04: Governance, Institutions, Policy, and Inclusion</v>
      </c>
      <c r="B8" s="5">
        <v>2</v>
      </c>
      <c r="C8" s="5">
        <v>32085</v>
      </c>
      <c r="D8" s="5">
        <v>4</v>
      </c>
      <c r="E8" s="5">
        <v>54690</v>
      </c>
      <c r="F8" s="5">
        <v>0</v>
      </c>
      <c r="G8" s="5">
        <v>0</v>
      </c>
      <c r="H8" s="5">
        <v>48</v>
      </c>
      <c r="I8" s="5">
        <v>126000</v>
      </c>
      <c r="J8" s="5">
        <v>212775</v>
      </c>
      <c r="K8" s="5">
        <v>212775</v>
      </c>
      <c r="L8" s="5">
        <v>5000</v>
      </c>
      <c r="M8" s="5">
        <v>0</v>
      </c>
      <c r="N8" s="4">
        <v>181</v>
      </c>
    </row>
    <row r="9" ht="20" customHeight="1">
      <c r="A9" s="4" t="str">
        <v>AOW05: Performance Assessments &amp; Evidence Generation</v>
      </c>
      <c r="B9" s="5">
        <v>0</v>
      </c>
      <c r="C9" s="5">
        <v>0</v>
      </c>
      <c r="D9" s="5">
        <v>2</v>
      </c>
      <c r="E9" s="5">
        <v>60000</v>
      </c>
      <c r="F9" s="5">
        <v>0</v>
      </c>
      <c r="G9" s="5">
        <v>0</v>
      </c>
      <c r="H9" s="5">
        <v>0</v>
      </c>
      <c r="I9" s="5">
        <v>0</v>
      </c>
      <c r="J9" s="5">
        <v>60000</v>
      </c>
      <c r="K9" s="5">
        <v>60000</v>
      </c>
      <c r="L9" s="5">
        <v>0</v>
      </c>
      <c r="M9" s="5">
        <v>0</v>
      </c>
      <c r="N9" s="4">
        <v>178</v>
      </c>
    </row>
    <row r="10" ht="25" customHeight="1">
      <c r="A10" s="6" t="str">
        <v>Total</v>
      </c>
      <c r="B10" s="7" t="str">
        <v/>
      </c>
      <c r="C10" s="7">
        <v>960985</v>
      </c>
      <c r="D10" s="7" t="str">
        <v/>
      </c>
      <c r="E10" s="7">
        <v>525301</v>
      </c>
      <c r="F10" s="7" t="str">
        <v/>
      </c>
      <c r="G10" s="7">
        <v>221190</v>
      </c>
      <c r="H10" s="7" t="str">
        <v/>
      </c>
      <c r="I10" s="7">
        <v>767850</v>
      </c>
      <c r="J10" s="7">
        <v>2543291</v>
      </c>
      <c r="K10" s="7">
        <v>2543291</v>
      </c>
      <c r="L10" s="7">
        <v>175500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5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IWMI</v>
      </c>
      <c r="C3" s="4" t="str">
        <v>OP 1.1.1. – Bundles of farm-level solutions</v>
      </c>
      <c r="D3" s="4" t="str" xml:space="preserve">
        <v xml:space="preserve">Deliverable - Agroecological Homestead Design Tool: An interactive planning tool for designing farm and homestead-scale agroecological systems that integrate crops, livestock, fisheries, water management, and household nutrition, incorporating Agrobiodiversity Index (ABI)–based diversity scoring to support climate-smart and nutrition-smart decision-making. 
Indicator: Number of HHs participating in co-design sessions of the Agroecological homestead Design Tool</v>
      </c>
      <c r="E3" s="4" t="str">
        <v>Number of people trained (capacity sharing for development)</v>
      </c>
      <c r="F3" s="4" t="str">
        <v>Lao People's Democratic Republic, Kenya, India</v>
      </c>
      <c r="G3" s="5">
        <v>150</v>
      </c>
      <c r="H3" s="5">
        <v>105668</v>
      </c>
      <c r="I3" s="4" t="str">
        <v>.</v>
      </c>
      <c r="J3" s="4">
        <v>5448</v>
      </c>
    </row>
    <row r="4" ht="50" customHeight="1" xml:space="preserve">
      <c r="B4" s="4" t="str">
        <v>IWMI</v>
      </c>
      <c r="D4" s="4" t="str" xml:space="preserve">
        <v xml:space="preserve">Deliverable - Integrated Farming System Models for Resilient Livelihoods: Co-design and promote integrated farm models that combine short-duration and climate-resilient crops with improved small livestock, backyard poultry, and fishery components to enhance food security, diversify incomes, and strengthen household resilience. 
Indicator: Number of households engaged in testing integrated farming system models</v>
      </c>
      <c r="E4" s="4" t="str">
        <v>custom</v>
      </c>
      <c r="F4" s="4" t="str">
        <v>Lao People's Democratic Republic, Kenya, India</v>
      </c>
      <c r="G4" s="5">
        <v>100</v>
      </c>
      <c r="H4" s="5">
        <v>37068</v>
      </c>
      <c r="I4" s="4" t="str">
        <v>.</v>
      </c>
      <c r="J4" s="4">
        <v>5449</v>
      </c>
    </row>
    <row r="5" ht="50" customHeight="1" xml:space="preserve">
      <c r="B5" s="4" t="str">
        <v>IWMI</v>
      </c>
      <c r="D5" s="4" t="str" xml:space="preserve">
        <v xml:space="preserve">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households testing protocols for bioformulations</v>
      </c>
      <c r="E5" s="4" t="str">
        <v>custom</v>
      </c>
      <c r="F5" s="4" t="str">
        <v>India, Lao People's Democratic Republic</v>
      </c>
      <c r="G5" s="5">
        <v>500</v>
      </c>
      <c r="H5" s="5">
        <v>10650</v>
      </c>
      <c r="I5" s="4" t="str">
        <v>.</v>
      </c>
      <c r="J5" s="4">
        <v>5450</v>
      </c>
    </row>
    <row r="6" ht="50" customHeight="1" xml:space="preserve">
      <c r="B6" s="4" t="str">
        <v>IWMI</v>
      </c>
      <c r="D6" s="4" t="str" xml:space="preserve">
        <v xml:space="preserve">Deliverable - Closing the Loop for Resource-Efficient Agroecology: Promote circular resource-use practices in Agroecology+ farms by recycling nutrients, organic matter, water, and energy within the farm system to reduce external inputs and enhance soil, crop, and livestock productivity.
Indicator: Number of farmers testing circular resource-use practices</v>
      </c>
      <c r="E6" s="4" t="str">
        <v>custom</v>
      </c>
      <c r="F6" s="4" t="str">
        <v>Kenya</v>
      </c>
      <c r="G6" s="5">
        <v>100</v>
      </c>
      <c r="H6" s="5">
        <v>101738</v>
      </c>
      <c r="I6" s="4" t="str">
        <v>.</v>
      </c>
      <c r="J6" s="4">
        <v>5451</v>
      </c>
    </row>
    <row r="7" ht="50" customHeight="1" xml:space="preserve">
      <c r="B7" s="4" t="str">
        <v>IWMI</v>
      </c>
      <c r="D7" s="4" t="str" xml:space="preserve">
        <v xml:space="preserve">Deliverable - Beta version of a digital decision-support prototype capable of recommending synergistic crop combinations tailored to the region with scaling potential.
Indicator: Number of stakeholders trained on participatory agroecosystem planning</v>
      </c>
      <c r="E7" s="4" t="str">
        <v>Number of people trained (capacity sharing for development)</v>
      </c>
      <c r="F7" s="4" t="str">
        <v>India</v>
      </c>
      <c r="G7" s="5">
        <v>100</v>
      </c>
      <c r="H7" s="5">
        <v>55000</v>
      </c>
      <c r="I7" s="4" t="str">
        <v>.</v>
      </c>
      <c r="J7" s="4">
        <v>5454</v>
      </c>
    </row>
    <row r="8" ht="50" customHeight="1" xml:space="preserve">
      <c r="B8" s="4" t="str">
        <v>IWMI</v>
      </c>
      <c r="D8" s="4" t="str" xml:space="preserve">
        <v xml:space="preserve">Deliverable - Circular Bioeconomy Knowledge and Training: Adoption of farmer field manuals, training modules, and a practical knowledge compendium and catalog on circular bioeconomy practices (e.g., composting, digestate use, biochar, insect frass), to support farmer learning, extension services, and local innovation
Indicator: Number of farmers and extension agents trained on circular bioeconomy</v>
      </c>
      <c r="E8" s="4" t="str">
        <v>custom</v>
      </c>
      <c r="F8" s="4" t="str">
        <v>India, Kenya</v>
      </c>
      <c r="G8" s="5">
        <v>300</v>
      </c>
      <c r="H8" s="5">
        <v>53250</v>
      </c>
      <c r="I8" s="4" t="str">
        <v>.</v>
      </c>
      <c r="J8" s="4">
        <v>5457</v>
      </c>
    </row>
    <row r="9" ht="50" customHeight="1" xml:space="preserve">
      <c r="B9" s="4" t="str">
        <v>IWMI</v>
      </c>
      <c r="D9" s="4" t="str" xml:space="preserve">
        <v xml:space="preserve">Deliverable -Climate-Smart Irrigation Bundles: Co-develop and demonstrate climate-smart irrigation bundles combining drip and improved flood irrigation systems with sub-surface soil-water retention technologies to increase water-use efficiency, stabilize yields, and reduce production risk in rain-scarce farming systems 
Indicator: Number of climate smart water management bundles installed</v>
      </c>
      <c r="E9" s="4" t="str">
        <v>Number of innovations (innovation development)</v>
      </c>
      <c r="F9" s="4" t="str">
        <v>Zimbabwe</v>
      </c>
      <c r="G9" s="5">
        <v>3</v>
      </c>
      <c r="H9" s="5">
        <v>67308</v>
      </c>
      <c r="I9" s="4" t="str">
        <v>.</v>
      </c>
      <c r="J9" s="4">
        <v>5460</v>
      </c>
    </row>
    <row r="10" ht="50" customHeight="1" xml:space="preserve">
      <c r="B10" s="4" t="str">
        <v>IWMI</v>
      </c>
      <c r="D10" s="4" t="str" xml:space="preserve">
        <v xml:space="preserve">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Living Landscape systems with validated integrated water-landscape-anthropogenic system understanding</v>
      </c>
      <c r="E10" s="4" t="str">
        <v>Number of knowledge products</v>
      </c>
      <c r="F10" s="4" t="str">
        <v>Kenya, Ethiopia</v>
      </c>
      <c r="G10" s="5">
        <v>2</v>
      </c>
      <c r="H10" s="5">
        <v>31650</v>
      </c>
      <c r="I10" s="4" t="str">
        <v>.</v>
      </c>
      <c r="J10" s="4">
        <v>7484</v>
      </c>
    </row>
    <row r="11" ht="50" customHeight="1" xml:space="preserve">
      <c r="B11" s="4" t="str">
        <v>IWMI</v>
      </c>
      <c r="D11" s="4" t="str" xml:space="preserve">
        <v xml:space="preserve">Deliverable-Soil and Water Conservation Effectiveness assessment package for the Omo–Gibe Basin that evaluates the biophysical, economic, and social performance of interventions such as terracing, contour bunds, agroforestry, and watershed restoration. This work is done in partnership with the Ministry of Agriculture, Jimma University, and Wolaita Sodo University.
Indicator: Number of validation and knowledge-sharing workshops conducted with stakeholders in Ethiopia</v>
      </c>
      <c r="E11" s="4" t="str">
        <v>custom</v>
      </c>
      <c r="F11" s="4" t="str">
        <v>Ethiopia</v>
      </c>
      <c r="G11" s="5">
        <v>2</v>
      </c>
      <c r="H11" s="5">
        <v>30300</v>
      </c>
      <c r="I11" s="4" t="str">
        <v>.</v>
      </c>
      <c r="J11" s="4">
        <v>7490</v>
      </c>
    </row>
    <row r="12" ht="50" customHeight="1" xml:space="preserve">
      <c r="A12" s="4" t="str">
        <v>AOW01: Agroecology+ Solutions &amp; Innovations</v>
      </c>
      <c r="B12" s="4" t="str">
        <v>IWMI</v>
      </c>
      <c r="C12" s="4" t="str">
        <v>OP 1.1.2. – Climate-smart adaptation &amp; mitigation bundles</v>
      </c>
      <c r="D12" s="4" t="str" xml:space="preserve">
        <v xml:space="preserve">Deliverable - Integrated nutrient, carbon, and water-loop innovations and management plans at pilot MFL sites 
Indicator: Number of nutrient, carbon, and water-loop innovations</v>
      </c>
      <c r="E12" s="4" t="str">
        <v>Number of innovations (innovation development)</v>
      </c>
      <c r="F12" s="4" t="str">
        <v>Kenya, India</v>
      </c>
      <c r="G12" s="5">
        <v>3</v>
      </c>
      <c r="H12" s="5">
        <v>84400</v>
      </c>
      <c r="I12" s="4" t="str">
        <v>.</v>
      </c>
      <c r="J12" s="4">
        <v>5491</v>
      </c>
    </row>
    <row r="13" ht="50" customHeight="1" xml:space="preserve">
      <c r="B13" s="4" t="str">
        <v>IWMI</v>
      </c>
      <c r="D13" s="4" t="str" xml:space="preserve">
        <v xml:space="preserve">Deliverable - Decentralized resource recovery and recycling hubs and maker-spaces for prototyping, incubation, and training
Indicator: Number of decentralized resource recovery units and maker-spaces for prototyping, incubation, and training</v>
      </c>
      <c r="E13" s="4" t="str">
        <v>Number of innovations (innovation development)</v>
      </c>
      <c r="F13" s="4" t="str">
        <v>India, Kenya</v>
      </c>
      <c r="G13" s="5">
        <v>3</v>
      </c>
      <c r="H13" s="5">
        <v>83640</v>
      </c>
      <c r="I13" s="4" t="str">
        <v>.</v>
      </c>
      <c r="J13" s="4">
        <v>5492</v>
      </c>
    </row>
    <row r="14" ht="50" customHeight="1" xml:space="preserve">
      <c r="B14" s="4" t="str">
        <v>IWMI</v>
      </c>
      <c r="D14" s="4" t="str" xml:space="preserve">
        <v xml:space="preserve">Deliverable - Integrated Climate-Smart Resource-Efficient Solution Bundles: Demonstrate and evaluate farm-level bundles of climate-smart practices, including weather-informed agro-advisories, composting and bio-inputs, green-energy irrigation, and soil–water–biodiversity conservation measures to enhance productivity, resilience, and resource-use efficiency.
Indicator: Number of households engaged in testing climate smart resource efficient solution bundles</v>
      </c>
      <c r="E14" s="4" t="str">
        <v>custom</v>
      </c>
      <c r="F14" s="4" t="str">
        <v>India, Lao People's Democratic Republic, Kenya</v>
      </c>
      <c r="G14" s="5">
        <v>150</v>
      </c>
      <c r="H14" s="5">
        <v>41350</v>
      </c>
      <c r="I14" s="4" t="str">
        <v>.</v>
      </c>
      <c r="J14" s="4">
        <v>5493</v>
      </c>
    </row>
    <row r="15" ht="50" customHeight="1" xml:space="preserve">
      <c r="B15" s="4" t="str">
        <v>IWMI</v>
      </c>
      <c r="D15" s="4" t="str" xml:space="preserve">
        <v xml:space="preserve">Deliverable: Soil and water management practices co-designed and implmented with communities
Indicator: Number of farmers testing water management practices</v>
      </c>
      <c r="E15" s="4" t="str">
        <v>Number of people trained (capacity sharing for development)</v>
      </c>
      <c r="F15" s="4" t="str">
        <v>Kenya</v>
      </c>
      <c r="G15" s="5">
        <v>80</v>
      </c>
      <c r="H15" s="5">
        <v>35000</v>
      </c>
      <c r="I15" s="4" t="str">
        <v>.</v>
      </c>
      <c r="J15" s="4">
        <v>7483</v>
      </c>
    </row>
    <row r="16" ht="50" customHeight="1">
      <c r="B16" s="4" t="str">
        <v>IWMI</v>
      </c>
      <c r="D16" s="4" t="str">
        <v>Deliverable - Blue and green water accounts in the Omo-Gibe Basin with evidence to understand trade-offs and documented recommendations to enhance blue and green water productivity. Basin-wide blue and green water accounts developed and validated for key sub-basins and seasons. After applying in Omo-Ghibe basin in 2026, we would upscale the methodology to Lake Victoria and Lower Mekong basins. This work is done in partnership with the Ministry of Irrigation and Lowlands, Jimma University, and Mekele University. Indicator: Number of stakeholders engaged in validation and uptake workshops on Blue and Green Water services</v>
      </c>
      <c r="E16" s="4" t="str">
        <v>custom</v>
      </c>
      <c r="F16" s="4" t="str">
        <v>Ethiopia</v>
      </c>
      <c r="G16" s="5">
        <v>20</v>
      </c>
      <c r="H16" s="5">
        <v>38757</v>
      </c>
      <c r="I16" s="4" t="str">
        <v>.</v>
      </c>
      <c r="J16" s="4">
        <v>7488</v>
      </c>
    </row>
    <row r="17" ht="50" customHeight="1" xml:space="preserve">
      <c r="B17" s="4" t="str">
        <v>IWMI</v>
      </c>
      <c r="D17" s="4" t="str" xml:space="preserve">
        <v xml:space="preserve">Deliverable- A decision-support package on Blue and Green Water Services for the Omo–Gibe Basin that quantifies the economic, livelihood, and socio-ecological benefits derived from blue and green water resources. Comparative trade-off scenarios completed for hydropower, irrigation, grazing, fisheries, and ecosystem conservation pathways. After applying in Omo-Ghibe basin in 2026, we would upscale the methodology to Lake Victoria and Lower Mekong basins. This work is done in partnership with the Ministry of Irrigation and Lowlands, Jimma University, and Mekele University. 
Indicator: Number of Blue and Green Water services valuation products generated (technical report, policy brief, geospatial datasets, dashboards).</v>
      </c>
      <c r="E17" s="4" t="str">
        <v>Number of knowledge products</v>
      </c>
      <c r="F17" s="4" t="str">
        <v>Ethiopia</v>
      </c>
      <c r="G17" s="5">
        <v>2</v>
      </c>
      <c r="H17" s="5">
        <v>20150</v>
      </c>
      <c r="I17" s="4" t="str">
        <v>.</v>
      </c>
      <c r="J17" s="4">
        <v>7489</v>
      </c>
    </row>
    <row r="18" ht="50" customHeight="1" xml:space="preserve">
      <c r="A18" s="4" t="str">
        <v>AOW01: Agroecology+ Solutions &amp; Innovations</v>
      </c>
      <c r="B18" s="4" t="str">
        <v>IWMI</v>
      </c>
      <c r="C18" s="4" t="str">
        <v>OP 1.2.5. – Nutrition-sensitive innovations</v>
      </c>
      <c r="D18" s="4" t="str" xml:space="preserve">
        <v xml:space="preserve">Deliverable - Nutrition-Smart Villages and Capacity Building: Establish nutrition-smart villages that link diversified farming systems with state nutrition and health programs, while building the capacities of farmers, women, and youth to improve household food diversity, dietary practices, and community-level nutrition outcomes  
Indicator: Number of nutrition-smart villages established</v>
      </c>
      <c r="E18" s="4" t="str">
        <v>custom</v>
      </c>
      <c r="F18" s="4" t="str">
        <v>India, Lao People's Democratic Republic, Kenya</v>
      </c>
      <c r="G18" s="5">
        <v>7</v>
      </c>
      <c r="H18" s="5">
        <v>41250</v>
      </c>
      <c r="I18" s="4" t="str">
        <v>.</v>
      </c>
      <c r="J18" s="4">
        <v>5501</v>
      </c>
    </row>
    <row r="19" ht="50" customHeight="1">
      <c r="A19" s="4" t="str">
        <v>AOW01: Agroecology+ Solutions &amp; Innovations</v>
      </c>
      <c r="B19" s="4" t="str">
        <v>IWMI</v>
      </c>
      <c r="C19" s="4" t="str">
        <v>OP 1.2.6. – Advisory &amp; training innovations</v>
      </c>
      <c r="D19" s="4" t="str">
        <v>Number of adapted advisory and training innovations to widely disseminate validated solutions</v>
      </c>
      <c r="E19" s="4" t="str">
        <v>Number of innovations (innovation development)</v>
      </c>
      <c r="F19" s="4" t="str">
        <v>Kenya, Senegal, The Socialist Republic of Viet Nam, Cambodia, Peru, Tunisia, Colombia, Lao People's Democratic Republic, Zimbabwe, Tanzania, United Republic, India</v>
      </c>
      <c r="G19" s="5">
        <v>4</v>
      </c>
      <c r="H19" s="5">
        <v>0</v>
      </c>
      <c r="I19" s="4" t="str">
        <v/>
      </c>
      <c r="J19" s="4">
        <v>5512</v>
      </c>
    </row>
    <row r="20" ht="50" customHeight="1" xml:space="preserve">
      <c r="A20" s="4" t="str">
        <v>AOW01: Agroecology+ Solutions &amp; Innovations</v>
      </c>
      <c r="B20" s="4" t="str">
        <v>IWMI</v>
      </c>
      <c r="C20" s="4" t="str">
        <v>OP 1.1.3. – Common pool resource bundles</v>
      </c>
      <c r="D20" s="4" t="str" xml:space="preserve">
        <v xml:space="preserve">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Living Landscapes with developed, calibrated, and applied geohydrological models supporting scenario analysis and decision-making</v>
      </c>
      <c r="E20" s="4" t="str">
        <v>Number of knowledge products</v>
      </c>
      <c r="F20" s="4" t="str">
        <v>Kenya, Ethiopia</v>
      </c>
      <c r="G20" s="5">
        <v>2</v>
      </c>
      <c r="H20" s="5">
        <v>23350</v>
      </c>
      <c r="I20" s="4" t="str">
        <v>.</v>
      </c>
      <c r="J20" s="4">
        <v>7487</v>
      </c>
    </row>
    <row r="21" ht="25" customHeight="1">
      <c r="C21" s="9" t="str">
        <v>HLO budget subtotal</v>
      </c>
      <c r="H21" s="9">
        <v>860529</v>
      </c>
      <c r="J21" s="9" t="str">
        <v/>
      </c>
    </row>
    <row r="22" ht="50" customHeight="1" xml:space="preserve">
      <c r="A22" s="8" t="str">
        <v>AOW02: Landscape Optimization and Inclusive Planning</v>
      </c>
      <c r="B22" s="4" t="str">
        <v>IWMI</v>
      </c>
      <c r="C22" s="4" t="str">
        <v>OP 2.2.3. – Integrated planning &amp; scenarios</v>
      </c>
      <c r="D22" s="4" t="str" xml:space="preserve">
        <v xml:space="preserve">Deliverable - Landscape Optimization and Land-Use Planning for the Lake Victoria Basin (Kenya): Develop integrated land-use optimization and planning process for the Lake Victoria Basin MFL Living Landscape with landscape stakeholders. 
Indicator: Number of stakeholder groups involved in multifunctional integrated landscape planning in Kenya (Lake Victoria Basin)</v>
      </c>
      <c r="E22" s="4" t="str">
        <v>custom</v>
      </c>
      <c r="F22" s="4" t="str">
        <v>Kenya</v>
      </c>
      <c r="G22" s="5">
        <v>10</v>
      </c>
      <c r="H22" s="5">
        <v>43387</v>
      </c>
      <c r="I22" s="4" t="str">
        <v>.</v>
      </c>
      <c r="J22" s="4">
        <v>5241</v>
      </c>
    </row>
    <row r="23" ht="50" customHeight="1" xml:space="preserve">
      <c r="B23" s="4" t="str">
        <v>IWMI</v>
      </c>
      <c r="D23" s="4" t="str" xml:space="preserve">
        <v xml:space="preserve">Deliverable - Decision-Support Tool for Landscape Investment Planning: Develop a digital tool for identifying context specific interventions (Land, Soil, Livestock and agricultural practices) by  integrating spatial, ecological, and socioeconomic data layers to support sustainable management of landscapes.
Indicator: Number of decision-support tools for landscape regeneration investment planning</v>
      </c>
      <c r="E23" s="4" t="str">
        <v>Number of knowledge products</v>
      </c>
      <c r="F23" s="4" t="str">
        <v>India</v>
      </c>
      <c r="G23" s="5">
        <v>1</v>
      </c>
      <c r="H23" s="5">
        <v>20000</v>
      </c>
      <c r="I23" s="4" t="str">
        <v>.</v>
      </c>
      <c r="J23" s="4">
        <v>5255</v>
      </c>
    </row>
    <row r="24" ht="50" customHeight="1" xml:space="preserve">
      <c r="B24" s="4" t="str">
        <v>IWMI</v>
      </c>
      <c r="D24" s="4" t="str" xml:space="preserve">
        <v xml:space="preserve">Deliverable - Context-Specific Land and Water Management Option Packages: Identify, co-design, and document locally adapted land and water management option packages (e.g., soil-water conservation, agroforestry arrangements, riparian restoration, water harvesting, grazing and cropping management) tailored to biophysical conditions, livelihood systems, and community priorities in selected MFL Living Landscapes.
Indicator: Number of publications, maps, protocols or datasets on land and water management options</v>
      </c>
      <c r="E24" s="4" t="str">
        <v>Number of knowledge products</v>
      </c>
      <c r="F24" s="4" t="str">
        <v>Ethiopia</v>
      </c>
      <c r="G24" s="5">
        <v>1</v>
      </c>
      <c r="H24" s="5">
        <v>18230</v>
      </c>
      <c r="I24" s="4" t="str">
        <v>.</v>
      </c>
      <c r="J24" s="4">
        <v>5258</v>
      </c>
    </row>
    <row r="25" ht="50" customHeight="1" xml:space="preserve">
      <c r="B25" s="4" t="str">
        <v>IWMI</v>
      </c>
      <c r="D25" s="4" t="str" xml:space="preserve">
        <v xml:space="preserve">Deliverable: Public–Private Partnership Platform for Landscape Water Stewardship: Establish a Public–Private Partnership (PPP) platform to strengthen coordination and collaboration among key actors for informed dialogue and joint action on governance, institutional structures, management options, carbon financing, and Payment for Ecosystem Services (PES) to sustain water infrastructures and freshwater ecosystems.
Indicator: Number of established and functioning PPP platforms</v>
      </c>
      <c r="E25" s="4" t="str">
        <v>Number of knowledge products</v>
      </c>
      <c r="F25" s="4" t="str">
        <v>Ethiopia</v>
      </c>
      <c r="G25" s="5">
        <v>1</v>
      </c>
      <c r="H25" s="5">
        <v>20000</v>
      </c>
      <c r="I25" s="4" t="str">
        <v>.</v>
      </c>
      <c r="J25" s="4">
        <v>5259</v>
      </c>
    </row>
    <row r="26" ht="50" customHeight="1" xml:space="preserve">
      <c r="B26" s="4" t="str">
        <v>IWMI</v>
      </c>
      <c r="D26" s="4" t="str" xml:space="preserve">
        <v xml:space="preserve">Deliverable - Evidence on barriers, opportunities, and enabling conditions for carbon financing in restoration contexts:  Comparative assessment across priority landscapes identifying barriers, opportunities, and enabling conditions plus an actionable toolkit and investment cases for piloting
Indicator: Number of publications, maps, protocols or datasets on carbon financing for restoration</v>
      </c>
      <c r="E26" s="4" t="str">
        <v>Number of knowledge products</v>
      </c>
      <c r="F26" s="4" t="str">
        <v>Ethiopia</v>
      </c>
      <c r="G26" s="5">
        <v>1</v>
      </c>
      <c r="H26" s="5">
        <v>21876</v>
      </c>
      <c r="I26" s="4" t="str">
        <v>.</v>
      </c>
      <c r="J26" s="4">
        <v>5260</v>
      </c>
    </row>
    <row r="27" ht="50" customHeight="1" xml:space="preserve">
      <c r="B27" s="4" t="str">
        <v>IWMI</v>
      </c>
      <c r="D27" s="4" t="str" xml:space="preserve">
        <v xml:space="preserve">Deliverable - Capacity Building on Integrated Water Resource Management: Capacity building (training and knowledge sharing) on integrated water resource management best practices
Indicator: Number of training participants on integrated water resource management</v>
      </c>
      <c r="E27" s="4" t="str">
        <v>Number of people trained (capacity sharing for development)</v>
      </c>
      <c r="F27" s="4" t="str">
        <v>Ethiopia</v>
      </c>
      <c r="G27" s="5">
        <v>100</v>
      </c>
      <c r="H27" s="5">
        <v>25522</v>
      </c>
      <c r="I27" s="4" t="str">
        <v>.</v>
      </c>
      <c r="J27" s="4">
        <v>5261</v>
      </c>
    </row>
    <row r="28" ht="50" customHeight="1" xml:space="preserve">
      <c r="B28" s="4" t="str">
        <v>IWMI</v>
      </c>
      <c r="D28" s="4" t="str" xml:space="preserve">
        <v xml:space="preserve">Deliverable: Critical Capabilities - Environmental flows (e-flows) modelling framework: this deliverable develops and applies an environmental flows (e-flows) modelling framework for a transboundary river basin to sustain ecosystems and livelihoods. Integrating hydrological, ecological, and socio-economic data, it generates flow estimates, conducts stakeholder co-design workshops, and embeds results within a digital twin to inform adaptive, cross-border water governance and planning.
Indicator:  Number of Validated environmental flow models and datasets produced for one transboundary river basin.</v>
      </c>
      <c r="E28" s="4" t="str">
        <v>Number of innovations (innovation development)</v>
      </c>
      <c r="F28" s="4" t="str">
        <v>Ethiopia</v>
      </c>
      <c r="G28" s="5">
        <v>2</v>
      </c>
      <c r="H28" s="5">
        <v>105312</v>
      </c>
      <c r="I28" s="4" t="str">
        <v>.</v>
      </c>
      <c r="J28" s="4">
        <v>5263</v>
      </c>
    </row>
    <row r="29" ht="50" customHeight="1" xml:space="preserve">
      <c r="B29" s="4" t="str">
        <v>IWMI</v>
      </c>
      <c r="D29" s="4" t="str" xml:space="preserve">
        <v xml:space="preserve">Deliverable-Soil and Water Conservation Effectiveness assessment package for the Mbire and Murehwa landscapes that evaluates the biophysical, economic, and social performance of interventions such as agroforestry, infiltration pits, check dams, sand dams at the land and water bodies (wetlands and springs) degradation hotspots mapped in 2025. This work will be done in collaboration with Forestry Commission, AGRITEX,  and Environmental Management Agency.
Indicator: Number of interventions co-implemented at degradation hotspots and at water bodies on the landscape.</v>
      </c>
      <c r="E29" s="4" t="str">
        <v>Number of innovations (innovation development)</v>
      </c>
      <c r="F29" s="4" t="str">
        <v>Kenya, Ethiopia, Zimbabwe</v>
      </c>
      <c r="G29" s="5">
        <v>5</v>
      </c>
      <c r="H29" s="5">
        <v>10000</v>
      </c>
      <c r="I29" s="4" t="str">
        <v>.</v>
      </c>
      <c r="J29" s="4">
        <v>7660</v>
      </c>
    </row>
    <row r="30" ht="50" customHeight="1" xml:space="preserve">
      <c r="B30" s="4" t="str">
        <v>IWMI</v>
      </c>
      <c r="D30" s="4" t="str" xml:space="preserve">
        <v xml:space="preserve">Deliverable - A data-driven multifunctional landscape assessment and planning exercise will be conducted, followed by preparation of watershed development plans with delineated intervention zones, design of site-specific measures, estimation of treatment areas (in hectares), development of a carbon and ecosystem services framework, and generation of GIS-based decision-support outputs for implementation and scaling.
Indicator: Number of ha assessed and planned for vegetation and carbon-enhancing interventions.</v>
      </c>
      <c r="E30" s="4" t="str">
        <v>custom</v>
      </c>
      <c r="F30" s="4" t="str">
        <v>India</v>
      </c>
      <c r="G30" s="5">
        <v>200</v>
      </c>
      <c r="H30" s="5">
        <v>10000</v>
      </c>
      <c r="I30" s="4" t="str">
        <v>.</v>
      </c>
      <c r="J30" s="4">
        <v>7662</v>
      </c>
    </row>
    <row r="31" ht="50" customHeight="1" xml:space="preserve">
      <c r="B31" s="4" t="str">
        <v>IWMI</v>
      </c>
      <c r="D31" s="4" t="str" xml:space="preserve">
        <v xml:space="preserve">Deliverable - Landscape-scale suitability mapping and investment planning package for the Omo–Gibe–Lake Victoria Basin that identifies and prioritizes suitable locations for various water storage options (such as ponds, check dams, reservoirs, groundwater recharge structures, and communal storage systems) and potential irrigation development sites using GIS-based multi-criteria analysis, participatory planning processes, and cost–benefit assessment. This work will be upscaled in Kenya, India and Lao in coming years. This work is done in partnership with Ministry of Lowlands, Ministry of Agriculture, and Mekelle University.
Indicator: Number of stakeholder consultations and participatory validation workshops on Landscape-scale suitability mapping and investment planning conducted.</v>
      </c>
      <c r="E31" s="4" t="str">
        <v>custom</v>
      </c>
      <c r="F31" s="4" t="str">
        <v>Ethiopia, Kenya</v>
      </c>
      <c r="G31" s="5">
        <v>2</v>
      </c>
      <c r="H31" s="5">
        <v>20000</v>
      </c>
      <c r="I31" s="4" t="str">
        <v>.</v>
      </c>
      <c r="J31" s="4">
        <v>7674</v>
      </c>
    </row>
    <row r="32" ht="50" customHeight="1" xml:space="preserve">
      <c r="B32" s="4" t="str">
        <v>IWMI</v>
      </c>
      <c r="D32" s="4" t="str" xml:space="preserve">
        <v xml:space="preserve">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farmers, households, and landscape actors engaged/reached in co-designing AE+ solution</v>
      </c>
      <c r="E32" s="4" t="str">
        <v>custom</v>
      </c>
      <c r="F32" s="4" t="str">
        <v>Ethiopia, Kenya</v>
      </c>
      <c r="G32" s="5">
        <v>100</v>
      </c>
      <c r="H32" s="5">
        <v>35000</v>
      </c>
      <c r="I32" s="4" t="str">
        <v>.</v>
      </c>
      <c r="J32" s="4">
        <v>7702</v>
      </c>
    </row>
    <row r="33" ht="50" customHeight="1" xml:space="preserve">
      <c r="A33" s="4" t="str">
        <v>AOW02: Landscape Optimization and Inclusive Planning</v>
      </c>
      <c r="B33" s="4" t="str">
        <v>IWMI</v>
      </c>
      <c r="C33" s="4" t="str">
        <v>OP 2.2.4. – Digital Twins for foresight</v>
      </c>
      <c r="D33" s="4" t="str" xml:space="preserve">
        <v xml:space="preserve">Deliverable - Stakeholder Co-Design for Landscape Digital Twins: Conduct multi-sector stakeholder consultations in target countries to co-define priority decision use-cases, data and model requirements, access and governance arrangements, and user interaction workflows needed to guide the co-design and deployment of Landscape Digital Twins.
Indicator: Number of stakeholder groups involved in developing Digital Twins</v>
      </c>
      <c r="E33" s="4" t="str">
        <v>custom</v>
      </c>
      <c r="F33" s="4" t="str">
        <v>Lao People's Democratic Republic, Cambodia</v>
      </c>
      <c r="G33" s="5">
        <v>10</v>
      </c>
      <c r="H33" s="5">
        <v>84000</v>
      </c>
      <c r="I33" s="4" t="str">
        <v>.</v>
      </c>
      <c r="J33" s="4">
        <v>5303</v>
      </c>
    </row>
    <row r="34" ht="50" customHeight="1" xml:space="preserve">
      <c r="A34" s="4" t="str">
        <v>AOW02: Landscape Optimization and Inclusive Planning</v>
      </c>
      <c r="B34" s="4" t="str">
        <v>IWMI</v>
      </c>
      <c r="C34" s="4" t="str">
        <v>OP 2.1.1. – Hotspot mapping &amp; characterization</v>
      </c>
      <c r="D34" s="4" t="str" xml:space="preserve">
        <v xml:space="preserve">Deliverable - Prioritization Framework for Regenerative Investments: Develop criteria for prioritizing landscape restoration and conservation investments using indicators of degradation magnitude, soil loss tolerance, diet nutrient deficiency and biodiversity loss, and socioeconomic vulnerability.
Indicator: Number of prioritization frameworks for regenerative investments</v>
      </c>
      <c r="E34" s="4" t="str">
        <v>Number of knowledge products</v>
      </c>
      <c r="F34" s="4" t="str">
        <v>Ethiopia, Kenya, India</v>
      </c>
      <c r="G34" s="5">
        <v>1</v>
      </c>
      <c r="H34" s="5">
        <v>9479</v>
      </c>
      <c r="I34" s="4" t="str">
        <v>.</v>
      </c>
      <c r="J34" s="4">
        <v>5360</v>
      </c>
    </row>
    <row r="35" ht="50" customHeight="1" xml:space="preserve">
      <c r="B35" s="4" t="str">
        <v>IWMI</v>
      </c>
      <c r="D35" s="4" t="str" xml:space="preserve">
        <v xml:space="preserve">Deliverable - Landscape Degradation Mapping: Map potential water erosion and land degradation using geospatial data and field validation to identify major degraded and erosion-prone areas in India.
Indicator: Number of publications, maps or datasets on landscape degradation in India</v>
      </c>
      <c r="E35" s="4" t="str">
        <v>Number of knowledge products</v>
      </c>
      <c r="F35" s="4" t="str">
        <v>India</v>
      </c>
      <c r="G35" s="5">
        <v>1</v>
      </c>
      <c r="H35" s="5">
        <v>14098</v>
      </c>
      <c r="I35" s="4" t="str">
        <v>.</v>
      </c>
      <c r="J35" s="4">
        <v>5362</v>
      </c>
    </row>
    <row r="36" ht="50" customHeight="1" xml:space="preserve">
      <c r="B36" s="4" t="str">
        <v>IWMI</v>
      </c>
      <c r="D36" s="4" t="str" xml:space="preserve">
        <v xml:space="preserve">Deliverable - Hotspot Identification and Mapping: Identify and map hotspots of erosion, biodiversity, deforestation, and water scarcity across two focus states to guide conservation investments.
Indicator: Number of publications, maps or datasets on hotspots of erosion, biodiversity, deforestation and water scarcity</v>
      </c>
      <c r="E36" s="4" t="str">
        <v>Number of knowledge products</v>
      </c>
      <c r="F36" s="4" t="str">
        <v>India</v>
      </c>
      <c r="G36" s="5">
        <v>2</v>
      </c>
      <c r="H36" s="5">
        <v>10938</v>
      </c>
      <c r="I36" s="4" t="str">
        <v>.</v>
      </c>
      <c r="J36" s="4">
        <v>5365</v>
      </c>
    </row>
    <row r="37" ht="50" customHeight="1" xml:space="preserve">
      <c r="B37" s="4" t="str">
        <v>IWMI</v>
      </c>
      <c r="D37" s="4" t="str" xml:space="preserve">
        <v xml:space="preserve">Deliverable- Land degradation and soil erosion assessment package for the Omo–Gibe Basin that identifies the key drivers, spatial hotspots, and temporal trends of erosion and sedimentation, and evaluates their impacts on reservoirs, irrigation infrastructure, water storage capacity, and ecosystem health. This work will be upscaled in Kenya, India and Lao in coming years. This work is done in partnership with Ministry of Lowlands and Ministry of Agriculture.
Indicator: Number of validation and dissemination workshops on Land degradation and soil erosion conducted with institutions and communities in Ethiopia</v>
      </c>
      <c r="E37" s="4" t="str">
        <v>Number of knowledge products</v>
      </c>
      <c r="F37" s="4" t="str">
        <v>Ethiopia</v>
      </c>
      <c r="G37" s="5">
        <v>2</v>
      </c>
      <c r="H37" s="5">
        <v>40000</v>
      </c>
      <c r="I37" s="4" t="str">
        <v>.</v>
      </c>
      <c r="J37" s="4">
        <v>7707</v>
      </c>
    </row>
    <row r="38" ht="50" customHeight="1" xml:space="preserve">
      <c r="A38" s="4" t="str">
        <v>AOW02: Landscape Optimization and Inclusive Planning</v>
      </c>
      <c r="B38" s="4" t="str">
        <v>IWMI</v>
      </c>
      <c r="C38" s="4" t="str">
        <v>OP 2.2.2. – Landscape visions &amp; co-developed plans</v>
      </c>
      <c r="D38" s="4" t="str" xml:space="preserve">
        <v xml:space="preserve">Deliverable: Landscape work alignment and coherence. 
Indicator: Number of country reports on landscape alignment and coherence</v>
      </c>
      <c r="E38" s="4" t="str">
        <v>Number of knowledge products</v>
      </c>
      <c r="F38" s="4" t="str">
        <v>Ethiopia, Colombia, Peru, Kenya</v>
      </c>
      <c r="G38" s="5">
        <v>1</v>
      </c>
      <c r="H38" s="5">
        <v>20000</v>
      </c>
      <c r="I38" s="4" t="str">
        <v>.</v>
      </c>
      <c r="J38" s="4">
        <v>7745</v>
      </c>
    </row>
    <row r="39" ht="25" customHeight="1">
      <c r="C39" s="9" t="str">
        <v>HLO budget subtotal</v>
      </c>
      <c r="H39" s="9">
        <v>507842</v>
      </c>
      <c r="J39" s="9" t="str">
        <v/>
      </c>
    </row>
    <row r="40" ht="50" customHeight="1" xml:space="preserve">
      <c r="A40" s="8" t="str">
        <v>AOW03: Business Models, Markets, and Sustainable Finance</v>
      </c>
      <c r="B40" s="4" t="str">
        <v>IWMI</v>
      </c>
      <c r="C40" s="4" t="str">
        <v>OP 3.4.5. Integrated policy–market–finance pathways</v>
      </c>
      <c r="D40" s="4" t="str" xml:space="preserve">
        <v xml:space="preserve">Deliverable - Partnerships with financial institutions to co-design and implement Green Financing Models
Indicator: Number of partnerships for green financing models established with financial institutions and piloted</v>
      </c>
      <c r="E40" s="4" t="str">
        <v>Number of innovations (innovation development)</v>
      </c>
      <c r="F40" s="4" t="str">
        <v>The Socialist Republic of Viet Nam, India, Kenya</v>
      </c>
      <c r="G40" s="5">
        <v>3</v>
      </c>
      <c r="H40" s="5">
        <v>102000</v>
      </c>
      <c r="I40" s="4" t="str">
        <v>.</v>
      </c>
      <c r="J40" s="4">
        <v>5270</v>
      </c>
    </row>
    <row r="41" ht="50" customHeight="1" xml:space="preserve">
      <c r="A41" s="4" t="str">
        <v>AOW03: Business Models, Markets, and Sustainable Finance</v>
      </c>
      <c r="B41" s="4" t="str">
        <v>IWMI</v>
      </c>
      <c r="C41" s="4" t="str">
        <v>OP 3.2.2. Inclusive business models</v>
      </c>
      <c r="D41" s="4" t="str" xml:space="preserve">
        <v xml:space="preserve">Deliverable - Piloting and scaling of inclusive circular bioeconomy business models 
Indicator: Number of inclusive circular bioeconomy business models receiving technical and financial support and/or receiving acceleration support for  scaling</v>
      </c>
      <c r="E41" s="4" t="str">
        <v>Number of innovations (innovation development)</v>
      </c>
      <c r="F41" s="4" t="str">
        <v>Ethiopia, Kenya, India</v>
      </c>
      <c r="G41" s="5">
        <v>3</v>
      </c>
      <c r="H41" s="5">
        <v>119500</v>
      </c>
      <c r="I41" s="4" t="str">
        <v>.</v>
      </c>
      <c r="J41" s="4">
        <v>5420</v>
      </c>
    </row>
    <row r="42" ht="50" customHeight="1" xml:space="preserve">
      <c r="B42" s="4" t="str">
        <v>IWMI</v>
      </c>
      <c r="D42" s="4" t="str" xml:space="preserve">
        <v xml:space="preserve">Deliverable - Catalogue of Inclusive circular models for sustainable MFLs: Identify, document, and analyze inclusive circular production and resource-use models (e.g., nutrient recycling, bio-inputs, livestock–crop integration, residue valorization, community composting, water reuse) that improve livelihoods and environmental outcomes in MFLs. The catalogue will classify models by landscape context, resource conditions, gender and youth inclusion considerations, and implementation requirements, to support bundling and scaling.
Indicator: Number of inclusive circular models catalogued</v>
      </c>
      <c r="E42" s="4" t="str">
        <v>Number of knowledge products</v>
      </c>
      <c r="F42" s="4" t="str">
        <v>The Socialist Republic of Viet Nam, India, Kenya</v>
      </c>
      <c r="G42" s="5">
        <v>7</v>
      </c>
      <c r="H42" s="5">
        <v>109380</v>
      </c>
      <c r="I42" s="4" t="str">
        <v>.</v>
      </c>
      <c r="J42" s="4">
        <v>5421</v>
      </c>
    </row>
    <row r="43" ht="50" customHeight="1">
      <c r="B43" s="4" t="str">
        <v>IWMI</v>
      </c>
      <c r="D43" s="4" t="str">
        <v>Number of inclusive enterprises and business models co-designed</v>
      </c>
      <c r="E43" s="4" t="str">
        <v>Number of innovations (innovation development)</v>
      </c>
      <c r="F43" s="4" t="str">
        <v>Peru, Senegal, India, The Socialist Republic of Viet Nam, Kenya, Cambodia, Lao People's Democratic Republic, Tunisia, Zimbabwe, Colombia, Tanzania, United Republic</v>
      </c>
      <c r="G43" s="5">
        <v>2</v>
      </c>
      <c r="H43" s="5">
        <v>0</v>
      </c>
      <c r="I43" s="4" t="str">
        <v/>
      </c>
      <c r="J43" s="4">
        <v>5422</v>
      </c>
    </row>
    <row r="44" ht="50" customHeight="1" xml:space="preserve">
      <c r="B44" s="4" t="str">
        <v>IWMI</v>
      </c>
      <c r="D44" s="4" t="str" xml:space="preserve">
        <v xml:space="preserve">Deliverable - Targeted community based organizations (CBO) recruitment and support for CBE and bio-input enterprises The initiative will adopt a landscape approach, embedding CBE and bio-input enterprise development within broader socio-ecological systems and value chains across the Lake Victoria Basin and the Central India site. Activities will organize targeted calls for CBOs, startups, and cooperatives engaged in, or interested in, organic waste recycling, circular and bio-input solutions. Selected applicants will be screened and provided with initial technical backstopping, business development services, and access to pilot facilities. By aligning interventions with local resource flows, stakeholder networks, and landscape-level priorities, the initiative will foster locally grounded innovation pipelines, enabling CBOs to prototype, validate, and scale circular solutions while strengthening inclusive enterprise ecosystems and market linkages.
Indicator: Number of CBOs/startups supported and operational within landscape-based circular and bio-input value chains.</v>
      </c>
      <c r="E44" s="4" t="str">
        <v>Number of innovations (innovation development)</v>
      </c>
      <c r="F44" s="4" t="str">
        <v>Kenya, India</v>
      </c>
      <c r="G44" s="5">
        <v>10</v>
      </c>
      <c r="H44" s="5">
        <v>104000</v>
      </c>
      <c r="I44" s="4" t="str">
        <v>.</v>
      </c>
      <c r="J44" s="4">
        <v>7756</v>
      </c>
    </row>
    <row r="45" ht="50" customHeight="1" xml:space="preserve">
      <c r="A45" s="4" t="str">
        <v>AOW03: Business Models, Markets, and Sustainable Finance</v>
      </c>
      <c r="B45" s="4" t="str">
        <v>IWMI</v>
      </c>
      <c r="C45" s="4" t="str">
        <v>OP 3.1.1. Capacity strengthening for producer organizations &amp; value chains</v>
      </c>
      <c r="D45" s="4" t="str" xml:space="preserve">
        <v xml:space="preserve">Deliverable - Peer-to-peer learning and knowledge exchange for Business Engagement across multifunctional landscapes (MFLs): Facilitate peer-to-peer learning and knowledge exchange among producer organizations and enterprises across Multifunctional Landscapes (MFLs), enabling them to share experiences, showcase products, and participate in business and market engagement events, including fairs, buyer roundtables, territorial markets, and innovation showcases.
Indicator: Number of people engaged in peer-to-peer learning for business engagement</v>
      </c>
      <c r="E45" s="4" t="str">
        <v>custom</v>
      </c>
      <c r="F45" s="4" t="str">
        <v>Kenya, India</v>
      </c>
      <c r="G45" s="5">
        <v>100</v>
      </c>
      <c r="H45" s="5">
        <v>95100</v>
      </c>
      <c r="I45" s="4" t="str">
        <v>.</v>
      </c>
      <c r="J45" s="4">
        <v>5432</v>
      </c>
    </row>
    <row r="46" ht="50" customHeight="1" xml:space="preserve">
      <c r="A46" s="4" t="str">
        <v>AOW03: Business Models, Markets, and Sustainable Finance</v>
      </c>
      <c r="B46" s="4" t="str">
        <v>IWMI</v>
      </c>
      <c r="C46" s="4" t="str">
        <v>OP 3.3.4. Innovative sustainable finance instruments</v>
      </c>
      <c r="D46" s="4" t="str" xml:space="preserve">
        <v xml:space="preserve">Deliverable - Inclusive green finance models for circular and green enterprises
Indicator: Number of financing models for circular and green enterprises designed</v>
      </c>
      <c r="E46" s="4" t="str">
        <v>Number of innovations (innovation development)</v>
      </c>
      <c r="F46" s="4" t="str">
        <v>Kenya</v>
      </c>
      <c r="G46" s="5">
        <v>4</v>
      </c>
      <c r="H46" s="5">
        <v>106900</v>
      </c>
      <c r="I46" s="4" t="str">
        <v>.</v>
      </c>
      <c r="J46" s="4">
        <v>5440</v>
      </c>
    </row>
    <row r="47" ht="50" customHeight="1" xml:space="preserve">
      <c r="B47" s="4" t="str">
        <v>IWMI</v>
      </c>
      <c r="D47" s="4" t="str" xml:space="preserve">
        <v xml:space="preserve">Deliverable - Financial ecosystem assessment and toolbox
Indicator: Number of financial ecosystem assessments conducted</v>
      </c>
      <c r="E47" s="4" t="str">
        <v>Number of knowledge products</v>
      </c>
      <c r="F47" s="4" t="str">
        <v>Kenya, India</v>
      </c>
      <c r="G47" s="5">
        <v>2</v>
      </c>
      <c r="H47" s="5">
        <v>51460</v>
      </c>
      <c r="I47" s="4" t="str">
        <v>.</v>
      </c>
      <c r="J47" s="4">
        <v>5441</v>
      </c>
    </row>
    <row r="48" ht="50" customHeight="1" xml:space="preserve">
      <c r="B48" s="4" t="str">
        <v>IWMI</v>
      </c>
      <c r="D48" s="4" t="str" xml:space="preserve">
        <v xml:space="preserve">Deliverable - Innovation ecosystem for circular and green enterprise incubation
Indicator: Number of decision makers using circular bioeconomy decision support tool (WasteWise) to assess potential for circular bioeconomy</v>
      </c>
      <c r="E48" s="4" t="str">
        <v>Number of innovations (innovation development)</v>
      </c>
      <c r="F48" s="4" t="str">
        <v>The Socialist Republic of Viet Nam, India</v>
      </c>
      <c r="G48" s="5">
        <v>2</v>
      </c>
      <c r="H48" s="5">
        <v>145840</v>
      </c>
      <c r="I48" s="4" t="str">
        <v>.</v>
      </c>
      <c r="J48" s="4">
        <v>5442</v>
      </c>
    </row>
    <row r="49" ht="50" customHeight="1">
      <c r="B49" s="4" t="str">
        <v>IWMI</v>
      </c>
      <c r="D49" s="4" t="str">
        <v>Number of co-developed financial mechanisms for landscape transformations</v>
      </c>
      <c r="E49" s="4" t="str">
        <v>Number of innovations (innovation development)</v>
      </c>
      <c r="F49" s="4" t="str">
        <v>Peru, Kenya, Cambodia, The Socialist Republic of Viet Nam, India, Senegal, Colombia, Zimbabwe, Tunisia, Lao People's Democratic Republic, Tanzania, United Republic</v>
      </c>
      <c r="G49" s="5">
        <v>2</v>
      </c>
      <c r="H49" s="5">
        <v>0</v>
      </c>
      <c r="I49" s="4" t="str">
        <v/>
      </c>
      <c r="J49" s="4">
        <v>5443</v>
      </c>
    </row>
    <row r="50" ht="25" customHeight="1">
      <c r="C50" s="9" t="str">
        <v>HLO budget subtotal</v>
      </c>
      <c r="H50" s="9">
        <v>834180</v>
      </c>
      <c r="J50" s="9" t="str">
        <v/>
      </c>
    </row>
    <row r="51" ht="50" customHeight="1" xml:space="preserve">
      <c r="A51" s="8" t="str">
        <v>AOW04: Governance, Institutions, Policy, and Inclusion</v>
      </c>
      <c r="B51" s="4" t="str">
        <v>IWMI</v>
      </c>
      <c r="C51" s="4" t="str">
        <v>OP 4.1.2 GEYSI for co-creation and inclusive governance</v>
      </c>
      <c r="D51" s="4" t="str" xml:space="preserve">
        <v xml:space="preserve">Deliverable: Inclusive Business Models and Institutional Capacity for Youth Inclusion in MFLs — Co-design and strengthen business models, policies, and institutional mechanisms that address youth aspirations in education, employment, and migration, ensuring GEYSI-responsive approaches within multifunctional landscapes.
Indicator: Number of capacity sharing modules on GEYSI resposive business models for youth inclusion
</v>
      </c>
      <c r="E51" s="4" t="str">
        <v>Number of knowledge products</v>
      </c>
      <c r="F51" s="4" t="str">
        <v>Zimbabwe</v>
      </c>
      <c r="G51" s="5">
        <v>2</v>
      </c>
      <c r="H51" s="5">
        <v>19688</v>
      </c>
      <c r="I51" s="4" t="str">
        <v>.</v>
      </c>
      <c r="J51" s="4">
        <v>5281</v>
      </c>
    </row>
    <row r="52" ht="50" customHeight="1" xml:space="preserve">
      <c r="B52" s="4" t="str">
        <v>IWMI</v>
      </c>
      <c r="D52" s="4" t="str" xml:space="preserve">
        <v xml:space="preserve">Deliverable: Capacity sharing- From the GEYSI-responsive plans, data, and tools deliverable - Disseminate data, research findings, guidance, recommendations, methods and tools to research team, partners, living lab participants and other MFL stakeholders across scales 
Indicator: Number of capacity sharing modules on GEYSI responsive plans, data and tools implemented
</v>
      </c>
      <c r="E52" s="4" t="str">
        <v>Number of innovations (innovation development)</v>
      </c>
      <c r="F52" s="4" t="str">
        <v>Zimbabwe</v>
      </c>
      <c r="G52" s="5">
        <v>2</v>
      </c>
      <c r="H52" s="5">
        <v>32085</v>
      </c>
      <c r="I52" s="4" t="str">
        <v>.</v>
      </c>
      <c r="J52" s="4">
        <v>5282</v>
      </c>
    </row>
    <row r="53" ht="50" customHeight="1" xml:space="preserve">
      <c r="B53" s="4" t="str">
        <v>IWMI</v>
      </c>
      <c r="D53" s="4" t="str" xml:space="preserve">
        <v xml:space="preserve">Deliverable: Recommendations and guidance for MFL governance, GEYSI methods and tools, landscape level gender transformative research 
Indicator: Number of GEYSI recommendation packages
</v>
      </c>
      <c r="E53" s="4" t="str">
        <v>Number of knowledge products</v>
      </c>
      <c r="F53" s="4" t="str">
        <v>Zimbabwe</v>
      </c>
      <c r="G53" s="5">
        <v>2</v>
      </c>
      <c r="H53" s="5">
        <v>35002</v>
      </c>
      <c r="I53" s="4" t="str">
        <v>.</v>
      </c>
      <c r="J53" s="4">
        <v>5283</v>
      </c>
    </row>
    <row r="54" ht="50" customHeight="1" xml:space="preserve">
      <c r="B54" s="4" t="str">
        <v>IWMI</v>
      </c>
      <c r="D54" s="4" t="str" xml:space="preserve">
        <v xml:space="preserve">Deliverable: A package on communities and youth engagement document for the Omo–Gibe Basin that strengthens inclusive and participatory water governance by actively engaging local communities, women, and youth in water management, ecosystem restoration, and climate-resilient livelihood initiatives. This work is done in partnership with the Ministry of Irrigation and Lowlands, and Arba Minch University.
Indicator: Number of communities, youth groups, and local institutions engaged in project activities.</v>
      </c>
      <c r="E54" s="4" t="str">
        <v>custom</v>
      </c>
      <c r="F54" s="4" t="str">
        <v>Ethiopia</v>
      </c>
      <c r="G54" s="5">
        <v>40</v>
      </c>
      <c r="H54" s="5">
        <v>35000</v>
      </c>
      <c r="I54" s="4" t="str">
        <v>.</v>
      </c>
      <c r="J54" s="4">
        <v>7755</v>
      </c>
    </row>
    <row r="55" ht="50" customHeight="1" xml:space="preserve">
      <c r="A55" s="4" t="str">
        <v>AOW04: Governance, Institutions, Policy, and Inclusion</v>
      </c>
      <c r="B55" s="4" t="str">
        <v>IWMI</v>
      </c>
      <c r="C55" s="4" t="str">
        <v>OP 4.3.2. Engagement frameworks and pilots</v>
      </c>
      <c r="D55" s="4" t="str" xml:space="preserve">
        <v xml:space="preserve">Deliverable: Knowledge hub, evidence and policy platform - decentralised community led multiscale governance platform
Indicator: Number of stakeholder groups engaging in decentralised governance platforms
</v>
      </c>
      <c r="E55" s="4" t="str">
        <v>custom</v>
      </c>
      <c r="F55" s="4" t="str">
        <v>Cambodia, Lao People's Democratic Republic</v>
      </c>
      <c r="G55" s="5">
        <v>8</v>
      </c>
      <c r="H55" s="5">
        <v>91000</v>
      </c>
      <c r="I55" s="4" t="str">
        <v>.</v>
      </c>
      <c r="J55" s="4">
        <v>5328</v>
      </c>
    </row>
    <row r="56" ht="25" customHeight="1">
      <c r="C56" s="9" t="str">
        <v>HLO budget subtotal</v>
      </c>
      <c r="H56" s="9">
        <v>212775</v>
      </c>
      <c r="J56" s="9" t="str">
        <v/>
      </c>
    </row>
    <row r="57" ht="50" customHeight="1" xml:space="preserve">
      <c r="A57" s="8" t="str">
        <v>AOW05: Performance Assessments &amp; Evidence Generation</v>
      </c>
      <c r="B57" s="4" t="str">
        <v>IWMI</v>
      </c>
      <c r="C57" s="4" t="str">
        <v>OP 5.1.2 Landscape-specific assessment frameworks</v>
      </c>
      <c r="D57" s="4" t="str" xml:space="preserve">
        <v xml:space="preserve">Deliverable-A hydropower–irrigation–ecosystem trade-off assessment package for the Omo–Gibe–Lake Turkana Basin that evaluates the cumulative impacts of existing and planned dams and irrigation schemes on flow regimes, sediment transport, water availability, and downstream ecosystems, including Lake Turkana. This work is done in collaboration with the Ministry of Irrigation and Lowlands, Ministry of Water and Energy, and Univestities of Jimma and Arba Minch.
Indicator: Number of validation and dialogue workshops conducted with stakeholders to support shared understanding and transboundary engagement.</v>
      </c>
      <c r="E57" s="4" t="str">
        <v>Number of knowledge products</v>
      </c>
      <c r="F57" s="4" t="str">
        <v>Ethiopia</v>
      </c>
      <c r="G57" s="5">
        <v>2</v>
      </c>
      <c r="H57" s="5">
        <v>60000</v>
      </c>
      <c r="I57" s="4" t="str">
        <v>.</v>
      </c>
      <c r="J57" s="4">
        <v>8150</v>
      </c>
    </row>
    <row r="58" ht="25" customHeight="1">
      <c r="C58" s="9" t="str">
        <v>HLO budget subtotal</v>
      </c>
      <c r="H58" s="9">
        <v>60000</v>
      </c>
      <c r="J58" s="9" t="str">
        <v/>
      </c>
    </row>
  </sheetData>
  <mergeCells count="23">
    <mergeCell ref="A1:A2"/>
    <mergeCell ref="B1:B2"/>
    <mergeCell ref="C1:C2"/>
    <mergeCell ref="D1:H1"/>
    <mergeCell ref="I1:I2"/>
    <mergeCell ref="J1:J2"/>
    <mergeCell ref="C3:C11"/>
    <mergeCell ref="C12:C17"/>
    <mergeCell ref="C21:G21"/>
    <mergeCell ref="A3:A21"/>
    <mergeCell ref="C22:C32"/>
    <mergeCell ref="C34:C37"/>
    <mergeCell ref="C39:G39"/>
    <mergeCell ref="A22:A39"/>
    <mergeCell ref="C41:C44"/>
    <mergeCell ref="C46:C49"/>
    <mergeCell ref="C50:G50"/>
    <mergeCell ref="A40:A50"/>
    <mergeCell ref="C51:C54"/>
    <mergeCell ref="C56:G56"/>
    <mergeCell ref="A51:A56"/>
    <mergeCell ref="C58:G58"/>
    <mergeCell ref="A57:A58"/>
  </mergeCells>
  <ignoredErrors>
    <ignoredError numberStoredAsText="1" sqref="A1:J58"/>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Agroecology+ Solutions &amp; Innovations</v>
      </c>
      <c r="B2" s="4" t="str">
        <v>Unknown Partner 1</v>
      </c>
      <c r="C2" s="4" t="str">
        <v>IWMI</v>
      </c>
      <c r="D2" s="4" t="str">
        <v>The Socialist Republic of Viet Nam, Kenya, India</v>
      </c>
      <c r="E2" s="5">
        <v>78000</v>
      </c>
      <c r="F2" s="4" t="str">
        <v>Partners to be selected in the future for several countries.</v>
      </c>
      <c r="G2" s="4">
        <v>552</v>
      </c>
    </row>
    <row r="3" ht="25" customHeight="1">
      <c r="B3" s="9" t="str">
        <v>Contracted partners subtotal</v>
      </c>
      <c r="E3" s="9">
        <v>78000</v>
      </c>
      <c r="F3" s="9" t="str">
        <v/>
      </c>
      <c r="G3" s="9" t="str">
        <v/>
      </c>
    </row>
    <row r="4" ht="50" customHeight="1">
      <c r="A4" s="8" t="str">
        <v>AOW02: Landscape Optimization and Inclusive Planning</v>
      </c>
      <c r="B4" s="4" t="str">
        <v>Unknown Partner 1</v>
      </c>
      <c r="C4" s="4" t="str">
        <v>IWMI</v>
      </c>
      <c r="D4" s="4" t="str">
        <v>The Socialist Republic of Viet Nam</v>
      </c>
      <c r="E4" s="5">
        <v>7500</v>
      </c>
      <c r="F4" s="4" t="str">
        <v>Partners to be selected in the future for several countries</v>
      </c>
      <c r="G4" s="4">
        <v>553</v>
      </c>
    </row>
    <row r="5" ht="25" customHeight="1">
      <c r="B5" s="9" t="str">
        <v>Contracted partners subtotal</v>
      </c>
      <c r="E5" s="9">
        <v>7500</v>
      </c>
      <c r="F5" s="9" t="str">
        <v/>
      </c>
      <c r="G5" s="9" t="str">
        <v/>
      </c>
    </row>
    <row r="6" ht="50" customHeight="1">
      <c r="A6" s="8" t="str">
        <v>AOW03: Business Models, Markets, and Sustainable Finance</v>
      </c>
      <c r="B6" s="4" t="str">
        <v>Unknown Partner 1</v>
      </c>
      <c r="C6" s="4" t="str">
        <v>IWMI</v>
      </c>
      <c r="D6" s="4" t="str">
        <v>Kenya, India, The Socialist Republic of Viet Nam</v>
      </c>
      <c r="E6" s="5">
        <v>85000</v>
      </c>
      <c r="F6" s="4" t="str">
        <v>Partners to be selected in the future for several countries</v>
      </c>
      <c r="G6" s="4">
        <v>554</v>
      </c>
    </row>
    <row r="7" ht="25" customHeight="1">
      <c r="B7" s="9" t="str">
        <v>Contracted partners subtotal</v>
      </c>
      <c r="E7" s="9">
        <v>85000</v>
      </c>
      <c r="F7" s="9" t="str">
        <v/>
      </c>
      <c r="G7" s="9" t="str">
        <v/>
      </c>
    </row>
    <row r="8" ht="50" customHeight="1">
      <c r="A8" s="8" t="str">
        <v>AOW04: Governance, Institutions, Policy, and Inclusion</v>
      </c>
      <c r="B8" s="4" t="str">
        <v>Unknown Partner 1</v>
      </c>
      <c r="C8" s="4" t="str">
        <v>IWMI</v>
      </c>
      <c r="D8" s="4" t="str">
        <v>The Socialist Republic of Viet Nam</v>
      </c>
      <c r="E8" s="5">
        <v>5000</v>
      </c>
      <c r="F8" s="4" t="str">
        <v>Partners to be selected in the future for several countries</v>
      </c>
      <c r="G8" s="4">
        <v>555</v>
      </c>
    </row>
    <row r="9" ht="25" customHeight="1">
      <c r="B9" s="9" t="str">
        <v>Contracted partners subtotal</v>
      </c>
      <c r="E9" s="9">
        <v>5000</v>
      </c>
      <c r="F9" s="9" t="str">
        <v/>
      </c>
      <c r="G9" s="9" t="str">
        <v/>
      </c>
    </row>
  </sheetData>
  <mergeCells count="8">
    <mergeCell ref="B3:D3"/>
    <mergeCell ref="A2:A3"/>
    <mergeCell ref="B5:D5"/>
    <mergeCell ref="A4:A5"/>
    <mergeCell ref="B7:D7"/>
    <mergeCell ref="A6:A7"/>
    <mergeCell ref="B9:D9"/>
    <mergeCell ref="A8:A9"/>
  </mergeCells>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xml:space="preserve">
      <c r="A2" s="8" t="str">
        <v>IWMI</v>
      </c>
      <c r="B2" s="4" t="str">
        <v>W-D-0440-AL MURANA</v>
      </c>
      <c r="C2"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2" s="5">
        <v>492407</v>
      </c>
      <c r="E2" s="4" t="str">
        <v>.</v>
      </c>
      <c r="F2" s="4">
        <v>1043</v>
      </c>
    </row>
    <row r="3" ht="60" customHeight="1">
      <c r="A3" s="4" t="str">
        <v>IWMI</v>
      </c>
      <c r="B3" s="4" t="str">
        <v>W-D-0526-GEF: G4DR in Africa</v>
      </c>
      <c r="C3" s="4" t="str">
        <v>2030 OC-5 National, regional, and global actors proactively apply scientifically-sound MFL evidence and strengthened capacities to shape policy discourse, investment decisions, and agenda-setting</v>
      </c>
      <c r="D3" s="5">
        <v>767367</v>
      </c>
      <c r="E3" s="4" t="str">
        <v>.</v>
      </c>
      <c r="F3" s="4">
        <v>1032</v>
      </c>
    </row>
    <row r="4" ht="60" customHeight="1">
      <c r="A4" s="4" t="str">
        <v>IWMI</v>
      </c>
      <c r="B4" s="4" t="str">
        <v>W-P-1641-IKI Indo-German Cooperation on Agrivoltaics (IGCA)</v>
      </c>
      <c r="C4" s="4" t="str">
        <v>2030 OC-3 National and sub-national public actors, market and finance sector actors implement and sustain coordinated, inclusive policy, organizational, market, and non-market innovations</v>
      </c>
      <c r="D4" s="5">
        <v>706594</v>
      </c>
      <c r="E4" s="4" t="str">
        <v>.</v>
      </c>
      <c r="F4" s="4">
        <v>1035</v>
      </c>
    </row>
    <row r="5" ht="25" customHeight="1">
      <c r="B5" s="9" t="str">
        <v>W3/Bilateral budget subtotal</v>
      </c>
      <c r="D5" s="9">
        <v>1966368</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2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IWMI</v>
      </c>
      <c r="C2" s="4" t="str">
        <v>Actor engagement and outcome tracking</v>
      </c>
      <c r="D2"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2" s="4" t="str">
        <v>N/A</v>
      </c>
      <c r="F2" s="5">
        <v>0</v>
      </c>
      <c r="G2" s="4" t="str">
        <v/>
      </c>
      <c r="H2" s="4">
        <v>605</v>
      </c>
    </row>
    <row r="3" ht="60" customHeight="1">
      <c r="A3" s="4" t="str">
        <v>AOW00: Cross Cutting</v>
      </c>
      <c r="B3" s="4" t="str">
        <v>IWMI</v>
      </c>
      <c r="C3" s="4" t="str">
        <v>Policy Change Analyses</v>
      </c>
      <c r="D3" s="4" t="str">
        <v>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v>
      </c>
      <c r="E3" s="4" t="str">
        <v>N/A</v>
      </c>
      <c r="F3" s="5">
        <v>0</v>
      </c>
      <c r="G3" s="4" t="str">
        <v/>
      </c>
      <c r="H3" s="4">
        <v>614</v>
      </c>
    </row>
    <row r="4" ht="60" customHeight="1">
      <c r="A4" s="4" t="str">
        <v>AOW00: Cross Cutting</v>
      </c>
      <c r="B4" s="4" t="str">
        <v>IWMI</v>
      </c>
      <c r="C4" s="4" t="str">
        <v>Outcome Evidencing/Outcome Trajectory Studies</v>
      </c>
      <c r="D4" s="4" t="str">
        <v>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v>
      </c>
      <c r="E4" s="4" t="str">
        <v>N/A</v>
      </c>
      <c r="F4" s="5">
        <v>0</v>
      </c>
      <c r="G4" s="4" t="str">
        <v/>
      </c>
      <c r="H4" s="4">
        <v>617</v>
      </c>
    </row>
    <row r="5" ht="60" customHeight="1">
      <c r="A5" s="4" t="str">
        <v>AOW00: Cross Cutting</v>
      </c>
      <c r="B5" s="4" t="str">
        <v>IWMI</v>
      </c>
      <c r="C5" s="4" t="str">
        <v>Partnership quality evaluation tool</v>
      </c>
      <c r="D5" s="4" t="str">
        <v>I-OC 5.1 Partners in MFL Living Landscapes sites demonstrate strengthened capacity to articulate, communicate, and actively influence the uptake of MFL knowledge in policy arenas, scientific communities, and practitioner networks.</v>
      </c>
      <c r="E5" s="4" t="str">
        <v>N/A</v>
      </c>
      <c r="F5" s="5">
        <v>0</v>
      </c>
      <c r="G5" s="4" t="str">
        <v/>
      </c>
      <c r="H5" s="4">
        <v>637</v>
      </c>
    </row>
    <row r="6" ht="25" customHeight="1">
      <c r="C6" s="9" t="str">
        <v>MELIA budget subtotal</v>
      </c>
      <c r="F6" s="9">
        <v>0</v>
      </c>
      <c r="G6" s="9" t="str">
        <v/>
      </c>
      <c r="H6" s="9" t="str">
        <v/>
      </c>
    </row>
    <row r="7" ht="60" customHeight="1">
      <c r="A7" s="8" t="str">
        <v>AOW01: Agroecology+ Solutions &amp; Innovations</v>
      </c>
      <c r="B7" s="4" t="str">
        <v>IWMI</v>
      </c>
      <c r="C7" s="4" t="str">
        <v>Actor engagement and outcome tracking</v>
      </c>
      <c r="D7"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7" s="4" t="str">
        <v>N/A</v>
      </c>
      <c r="F7" s="5">
        <v>0</v>
      </c>
      <c r="G7" s="4" t="str">
        <v/>
      </c>
      <c r="H7" s="4">
        <v>599</v>
      </c>
    </row>
    <row r="8" ht="60" customHeight="1">
      <c r="A8" s="4" t="str">
        <v>AOW01: Agroecology+ Solutions &amp; Innovations</v>
      </c>
      <c r="B8" s="4" t="str">
        <v>IWMI</v>
      </c>
      <c r="C8" s="4" t="str">
        <v>Partnership quality evaluation tool</v>
      </c>
      <c r="D8" s="4" t="str">
        <v>I-OC 5.1 Partners in MFL Living Landscapes sites demonstrate strengthened capacity to articulate, communicate, and actively influence the uptake of MFL knowledge in policy arenas, scientific communities, and practitioner networks.</v>
      </c>
      <c r="E8" s="4" t="str">
        <v>N/A</v>
      </c>
      <c r="F8" s="5">
        <v>0</v>
      </c>
      <c r="G8" s="4" t="str">
        <v/>
      </c>
      <c r="H8" s="4">
        <v>632</v>
      </c>
    </row>
    <row r="9" ht="25" customHeight="1">
      <c r="C9" s="9" t="str">
        <v>MELIA budget subtotal</v>
      </c>
      <c r="F9" s="9">
        <v>0</v>
      </c>
      <c r="G9" s="9" t="str">
        <v/>
      </c>
      <c r="H9" s="9" t="str">
        <v/>
      </c>
    </row>
    <row r="10" ht="60" customHeight="1">
      <c r="A10" s="8" t="str">
        <v>AOW02: Landscape Optimization and Inclusive Planning</v>
      </c>
      <c r="B10" s="4" t="str">
        <v>IWMI</v>
      </c>
      <c r="C10" s="4" t="str">
        <v>Actor engagement and outcome tracking</v>
      </c>
      <c r="D10"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0" s="4" t="str">
        <v>N/A</v>
      </c>
      <c r="F10" s="5">
        <v>0</v>
      </c>
      <c r="G10" s="4" t="str">
        <v/>
      </c>
      <c r="H10" s="4">
        <v>593</v>
      </c>
    </row>
    <row r="11" ht="60" customHeight="1">
      <c r="A11" s="4" t="str">
        <v>AOW02: Landscape Optimization and Inclusive Planning</v>
      </c>
      <c r="B11" s="4" t="str">
        <v>IWMI</v>
      </c>
      <c r="C11" s="4" t="str">
        <v>Policy Change Analyses</v>
      </c>
      <c r="D11" s="4" t="str">
        <v>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v>
      </c>
      <c r="E11" s="4" t="str">
        <v>N/A</v>
      </c>
      <c r="F11" s="5">
        <v>0</v>
      </c>
      <c r="G11" s="4" t="str">
        <v/>
      </c>
      <c r="H11" s="4">
        <v>612</v>
      </c>
    </row>
    <row r="12" ht="25" customHeight="1">
      <c r="C12" s="9" t="str">
        <v>MELIA budget subtotal</v>
      </c>
      <c r="F12" s="9">
        <v>0</v>
      </c>
      <c r="G12" s="9" t="str">
        <v/>
      </c>
      <c r="H12" s="9" t="str">
        <v/>
      </c>
    </row>
    <row r="13" ht="60" customHeight="1">
      <c r="A13" s="8" t="str">
        <v>AOW03: Business Models, Markets, and Sustainable Finance</v>
      </c>
      <c r="B13" s="4" t="str">
        <v>IWMI</v>
      </c>
      <c r="C13" s="4" t="str">
        <v>Actor engagement and outcome tracking</v>
      </c>
      <c r="D13"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3" s="4" t="str">
        <v>N/A</v>
      </c>
      <c r="F13" s="5">
        <v>0</v>
      </c>
      <c r="G13" s="4" t="str">
        <v/>
      </c>
      <c r="H13" s="4">
        <v>575</v>
      </c>
    </row>
    <row r="14" ht="25" customHeight="1">
      <c r="C14" s="9" t="str">
        <v>MELIA budget subtotal</v>
      </c>
      <c r="F14" s="9">
        <v>0</v>
      </c>
      <c r="G14" s="9" t="str">
        <v/>
      </c>
      <c r="H14" s="9" t="str">
        <v/>
      </c>
    </row>
    <row r="15" ht="60" customHeight="1">
      <c r="A15" s="8" t="str">
        <v>AOW04: Governance, Institutions, Policy, and Inclusion</v>
      </c>
      <c r="B15" s="4" t="str">
        <v>IWMI</v>
      </c>
      <c r="C15" s="4" t="str">
        <v>Actor engagement and outcome tracking</v>
      </c>
      <c r="D15"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5" s="4" t="str">
        <v>N/A</v>
      </c>
      <c r="F15" s="5">
        <v>0</v>
      </c>
      <c r="G15" s="4" t="str">
        <v/>
      </c>
      <c r="H15" s="4">
        <v>581</v>
      </c>
    </row>
    <row r="16" ht="60" customHeight="1">
      <c r="A16" s="4" t="str">
        <v>AOW04: Governance, Institutions, Policy, and Inclusion</v>
      </c>
      <c r="B16" s="4" t="str">
        <v>IWMI</v>
      </c>
      <c r="C16" s="4" t="str">
        <v>Policy Change Analyses</v>
      </c>
      <c r="D16" s="4" t="str">
        <v>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v>
      </c>
      <c r="E16" s="4" t="str">
        <v>N/A</v>
      </c>
      <c r="F16" s="5">
        <v>0</v>
      </c>
      <c r="G16" s="4" t="str">
        <v/>
      </c>
      <c r="H16" s="4">
        <v>610</v>
      </c>
    </row>
    <row r="17" ht="25" customHeight="1">
      <c r="C17" s="9" t="str">
        <v>MELIA budget subtotal</v>
      </c>
      <c r="F17" s="9">
        <v>0</v>
      </c>
      <c r="G17" s="9" t="str">
        <v/>
      </c>
      <c r="H17" s="9" t="str">
        <v/>
      </c>
    </row>
    <row r="18" ht="60" customHeight="1">
      <c r="A18" s="8" t="str">
        <v>AOW05: Performance Assessments &amp; Evidence Generation</v>
      </c>
      <c r="B18" s="4" t="str">
        <v>IWMI</v>
      </c>
      <c r="C18" s="4" t="str">
        <v>Actor engagement and outcome tracking</v>
      </c>
      <c r="D18"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8" s="4" t="str">
        <v>N/A</v>
      </c>
      <c r="F18" s="5">
        <v>0</v>
      </c>
      <c r="G18" s="4" t="str">
        <v/>
      </c>
      <c r="H18" s="4">
        <v>587</v>
      </c>
    </row>
    <row r="19" ht="60" customHeight="1">
      <c r="A19" s="4" t="str">
        <v>AOW05: Performance Assessments &amp; Evidence Generation</v>
      </c>
      <c r="B19" s="4" t="str">
        <v>IWMI</v>
      </c>
      <c r="C19" s="4" t="str">
        <v>Partnership quality evaluation tool</v>
      </c>
      <c r="D19" s="4" t="str">
        <v>I-OC 5.1 Partners in MFL Living Landscapes sites demonstrate strengthened capacity to articulate, communicate, and actively influence the uptake of MFL knowledge in policy arenas, scientific communities, and practitioner networks.</v>
      </c>
      <c r="E19" s="4" t="str">
        <v>N/A</v>
      </c>
      <c r="F19" s="5">
        <v>0</v>
      </c>
      <c r="G19" s="4" t="str">
        <v/>
      </c>
      <c r="H19" s="4">
        <v>627</v>
      </c>
    </row>
    <row r="20" ht="25" customHeight="1">
      <c r="C20" s="9" t="str">
        <v>MELIA budget subtotal</v>
      </c>
      <c r="F20" s="9">
        <v>0</v>
      </c>
      <c r="G20" s="9" t="str">
        <v/>
      </c>
      <c r="H20" s="9" t="str">
        <v/>
      </c>
    </row>
  </sheetData>
  <mergeCells count="12">
    <mergeCell ref="C6:E6"/>
    <mergeCell ref="A2:A6"/>
    <mergeCell ref="C9:E9"/>
    <mergeCell ref="A7:A9"/>
    <mergeCell ref="C12:E12"/>
    <mergeCell ref="A10:A12"/>
    <mergeCell ref="C14:E14"/>
    <mergeCell ref="A13:A14"/>
    <mergeCell ref="C17:E17"/>
    <mergeCell ref="A15:A17"/>
    <mergeCell ref="C20:E20"/>
    <mergeCell ref="A18:A20"/>
  </mergeCells>
  <ignoredErrors>
    <ignoredError numberStoredAsText="1" sqref="A1:H20"/>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IWMI</v>
      </c>
      <c r="C2" s="4" t="str">
        <v>PMU, CGIAR Program Finance Support and associated Allocation</v>
      </c>
      <c r="D2" s="5">
        <v>67965</v>
      </c>
      <c r="E2" s="4" t="str">
        <v>USD 67,965 for Karen Nortje's position as Gender Focal Point</v>
      </c>
      <c r="F2" s="4">
        <v>231</v>
      </c>
      <c r="G2" s="4">
        <v>2</v>
      </c>
    </row>
    <row r="3" ht="25" customHeight="1">
      <c r="C3" s="9" t="str">
        <v>Cross-cutting budget subtotal</v>
      </c>
      <c r="D3" s="9">
        <v>67965</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67965</v>
      </c>
      <c r="C2" s="5">
        <v>410504</v>
      </c>
      <c r="D2" s="5">
        <v>350239</v>
      </c>
      <c r="E2" s="5">
        <v>524426</v>
      </c>
      <c r="F2" s="5">
        <v>145442</v>
      </c>
      <c r="G2" s="5">
        <v>42000</v>
      </c>
      <c r="H2" s="5">
        <f>=SUM(B2:G2)</f>
        <v>0</v>
      </c>
    </row>
    <row r="3" ht="20" customHeight="1">
      <c r="A3" s="4" t="str">
        <v>Operations (supplies, consultants, travels, workshops, other)</v>
      </c>
      <c r="B3" s="5">
        <v>0</v>
      </c>
      <c r="C3" s="5">
        <v>372025</v>
      </c>
      <c r="D3" s="5">
        <v>150103</v>
      </c>
      <c r="E3" s="5">
        <v>224754</v>
      </c>
      <c r="F3" s="5">
        <v>62333</v>
      </c>
      <c r="G3" s="5">
        <v>18000</v>
      </c>
      <c r="H3" s="5">
        <f>=SUM(B3:G3)</f>
        <v>0</v>
      </c>
    </row>
    <row r="4" ht="20" customHeight="1">
      <c r="A4" s="4" t="str">
        <v>Collaborators non-CGIAR centers</v>
      </c>
      <c r="B4" s="5">
        <v>0</v>
      </c>
      <c r="C4" s="5">
        <v>78000</v>
      </c>
      <c r="D4" s="5">
        <v>7500</v>
      </c>
      <c r="E4" s="5">
        <v>85000</v>
      </c>
      <c r="F4" s="5">
        <v>5000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IWMI</v>
      </c>
      <c r="C2" s="4" t="str">
        <v>South Africa</v>
      </c>
      <c r="D2" s="5">
        <v>100</v>
      </c>
      <c r="E2" s="4">
        <v>3388</v>
      </c>
    </row>
    <row r="3" ht="45" customHeight="1">
      <c r="A3" s="8" t="str">
        <v>AOW01: Agroecology+ Solutions &amp; Innovations</v>
      </c>
      <c r="B3" s="4" t="str">
        <v>IWMI</v>
      </c>
      <c r="C3" s="4" t="str">
        <v>Ethiopia</v>
      </c>
      <c r="D3" s="5">
        <v>25</v>
      </c>
      <c r="E3" s="4">
        <v>2288</v>
      </c>
    </row>
    <row r="4" ht="45" customHeight="1">
      <c r="A4" s="4" t="str">
        <v>AOW01: Agroecology+ Solutions &amp; Innovations</v>
      </c>
      <c r="B4" s="4" t="str">
        <v>IWMI</v>
      </c>
      <c r="C4" s="4" t="str">
        <v>India</v>
      </c>
      <c r="D4" s="5">
        <v>25</v>
      </c>
      <c r="E4" s="4">
        <v>2286</v>
      </c>
    </row>
    <row r="5" ht="45" customHeight="1">
      <c r="A5" s="4" t="str">
        <v>AOW01: Agroecology+ Solutions &amp; Innovations</v>
      </c>
      <c r="B5" s="4" t="str">
        <v>IWMI</v>
      </c>
      <c r="C5" s="4" t="str">
        <v>Kenya</v>
      </c>
      <c r="D5" s="5">
        <v>25</v>
      </c>
      <c r="E5" s="4">
        <v>2285</v>
      </c>
    </row>
    <row r="6" ht="45" customHeight="1">
      <c r="A6" s="4" t="str">
        <v>AOW01: Agroecology+ Solutions &amp; Innovations</v>
      </c>
      <c r="B6" s="4" t="str">
        <v>IWMI</v>
      </c>
      <c r="C6" s="4" t="str">
        <v>Lao People's Democratic Republic</v>
      </c>
      <c r="D6" s="5">
        <v>25</v>
      </c>
      <c r="E6" s="4">
        <v>2287</v>
      </c>
    </row>
    <row r="7" ht="45" customHeight="1">
      <c r="A7" s="8" t="str">
        <v>AOW02: Landscape Optimization and Inclusive Planning</v>
      </c>
      <c r="B7" s="4" t="str">
        <v>IWMI</v>
      </c>
      <c r="C7" s="4" t="str">
        <v>Ethiopia</v>
      </c>
      <c r="D7" s="5">
        <v>25</v>
      </c>
      <c r="E7" s="4">
        <v>2291</v>
      </c>
    </row>
    <row r="8" ht="45" customHeight="1">
      <c r="A8" s="4" t="str">
        <v>AOW02: Landscape Optimization and Inclusive Planning</v>
      </c>
      <c r="B8" s="4" t="str">
        <v>IWMI</v>
      </c>
      <c r="C8" s="4" t="str">
        <v>India</v>
      </c>
      <c r="D8" s="5">
        <v>25</v>
      </c>
      <c r="E8" s="4">
        <v>2290</v>
      </c>
    </row>
    <row r="9" ht="45" customHeight="1">
      <c r="A9" s="4" t="str">
        <v>AOW02: Landscape Optimization and Inclusive Planning</v>
      </c>
      <c r="B9" s="4" t="str">
        <v>IWMI</v>
      </c>
      <c r="C9" s="4" t="str">
        <v>Kenya</v>
      </c>
      <c r="D9" s="5">
        <v>25</v>
      </c>
      <c r="E9" s="4">
        <v>2289</v>
      </c>
    </row>
    <row r="10" ht="45" customHeight="1">
      <c r="A10" s="4" t="str">
        <v>AOW02: Landscape Optimization and Inclusive Planning</v>
      </c>
      <c r="B10" s="4" t="str">
        <v>IWMI</v>
      </c>
      <c r="C10" s="4" t="str">
        <v>Zimbabwe</v>
      </c>
      <c r="D10" s="5">
        <v>25</v>
      </c>
      <c r="E10" s="4">
        <v>2292</v>
      </c>
    </row>
    <row r="11" ht="45" customHeight="1">
      <c r="A11" s="8" t="str">
        <v>AOW03: Business Models, Markets, and Sustainable Finance</v>
      </c>
      <c r="B11" s="4" t="str">
        <v>IWMI</v>
      </c>
      <c r="C11" s="4" t="str">
        <v>Ethiopia</v>
      </c>
      <c r="D11" s="5">
        <v>25</v>
      </c>
      <c r="E11" s="4">
        <v>2293</v>
      </c>
    </row>
    <row r="12" ht="45" customHeight="1">
      <c r="A12" s="4" t="str">
        <v>AOW03: Business Models, Markets, and Sustainable Finance</v>
      </c>
      <c r="B12" s="4" t="str">
        <v>IWMI</v>
      </c>
      <c r="C12" s="4" t="str">
        <v>India</v>
      </c>
      <c r="D12" s="5">
        <v>25</v>
      </c>
      <c r="E12" s="4">
        <v>2294</v>
      </c>
    </row>
    <row r="13" ht="45" customHeight="1">
      <c r="A13" s="4" t="str">
        <v>AOW03: Business Models, Markets, and Sustainable Finance</v>
      </c>
      <c r="B13" s="4" t="str">
        <v>IWMI</v>
      </c>
      <c r="C13" s="4" t="str">
        <v>Kenya</v>
      </c>
      <c r="D13" s="5">
        <v>25</v>
      </c>
      <c r="E13" s="4">
        <v>2295</v>
      </c>
    </row>
    <row r="14" ht="45" customHeight="1">
      <c r="A14" s="4" t="str">
        <v>AOW03: Business Models, Markets, and Sustainable Finance</v>
      </c>
      <c r="B14" s="4" t="str">
        <v>IWMI</v>
      </c>
      <c r="C14" s="4" t="str">
        <v>The Socialist Republic of Viet Nam</v>
      </c>
      <c r="D14" s="5">
        <v>25</v>
      </c>
      <c r="E14" s="4">
        <v>2296</v>
      </c>
    </row>
    <row r="15" ht="45" customHeight="1">
      <c r="A15" s="8" t="str">
        <v>AOW04: Governance, Institutions, Policy, and Inclusion</v>
      </c>
      <c r="B15" s="4" t="str">
        <v>IWMI</v>
      </c>
      <c r="C15" s="4" t="str">
        <v>Cambodia</v>
      </c>
      <c r="D15" s="5">
        <v>30</v>
      </c>
      <c r="E15" s="4">
        <v>2281</v>
      </c>
    </row>
    <row r="16" ht="45" customHeight="1">
      <c r="A16" s="4" t="str">
        <v>AOW04: Governance, Institutions, Policy, and Inclusion</v>
      </c>
      <c r="B16" s="4" t="str">
        <v>IWMI</v>
      </c>
      <c r="C16" s="4" t="str">
        <v>Ethiopia</v>
      </c>
      <c r="D16" s="5">
        <v>10</v>
      </c>
      <c r="E16" s="4">
        <v>2283</v>
      </c>
    </row>
    <row r="17" ht="45" customHeight="1">
      <c r="A17" s="4" t="str">
        <v>AOW04: Governance, Institutions, Policy, and Inclusion</v>
      </c>
      <c r="B17" s="4" t="str">
        <v>IWMI</v>
      </c>
      <c r="C17" s="4" t="str">
        <v>Lao People's Democratic Republic</v>
      </c>
      <c r="D17" s="5">
        <v>50</v>
      </c>
      <c r="E17" s="4">
        <v>2282</v>
      </c>
    </row>
    <row r="18" ht="45" customHeight="1">
      <c r="A18" s="4" t="str">
        <v>AOW04: Governance, Institutions, Policy, and Inclusion</v>
      </c>
      <c r="B18" s="4" t="str">
        <v>IWMI</v>
      </c>
      <c r="C18" s="4" t="str">
        <v>Zimbabwe</v>
      </c>
      <c r="D18" s="5">
        <v>10</v>
      </c>
      <c r="E18" s="4">
        <v>2284</v>
      </c>
    </row>
    <row r="19" ht="45" customHeight="1">
      <c r="A19" s="8" t="str">
        <v>AOW05: Performance Assessments &amp; Evidence Generation</v>
      </c>
      <c r="B19" s="4" t="str">
        <v>IWMI</v>
      </c>
      <c r="C19" s="4" t="str">
        <v>Ethiopia</v>
      </c>
      <c r="D19" s="5">
        <v>100</v>
      </c>
      <c r="E19" s="4">
        <v>2322</v>
      </c>
    </row>
  </sheetData>
  <mergeCells count="6">
    <mergeCell ref="A2"/>
    <mergeCell ref="A3:A6"/>
    <mergeCell ref="A7:A10"/>
    <mergeCell ref="A11:A14"/>
    <mergeCell ref="A15:A18"/>
    <mergeCell ref="A19"/>
  </mergeCells>
  <ignoredErrors>
    <ignoredError numberStoredAsText="1" sqref="A1:E19"/>
  </ignoredErrors>
</worksheet>
</file>

<file path=xl/worksheets/sheet9.xml><?xml version="1.0" encoding="utf-8"?>
<worksheet xmlns="http://schemas.openxmlformats.org/spreadsheetml/2006/main" xmlns:r="http://schemas.openxmlformats.org/officeDocument/2006/relationships">
  <dimension ref="A1:F4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IWMI</v>
      </c>
      <c r="C2" s="4" t="str">
        <v>Cambodia</v>
      </c>
      <c r="D2" s="4" t="str">
        <v>country</v>
      </c>
      <c r="E2" s="5">
        <v>4</v>
      </c>
      <c r="F2" s="4">
        <v>1636</v>
      </c>
    </row>
    <row r="3" ht="45" customHeight="1">
      <c r="A3" s="4" t="str">
        <v>AOW00: Cross Cutting</v>
      </c>
      <c r="B3" s="4" t="str">
        <v>IWMI</v>
      </c>
      <c r="C3" s="4" t="str">
        <v>Colombia</v>
      </c>
      <c r="D3" s="4" t="str">
        <v>country</v>
      </c>
      <c r="E3" s="5">
        <v>10</v>
      </c>
      <c r="F3" s="4">
        <v>1637</v>
      </c>
    </row>
    <row r="4" ht="45" customHeight="1">
      <c r="A4" s="4" t="str">
        <v>AOW00: Cross Cutting</v>
      </c>
      <c r="B4" s="4" t="str">
        <v>IWMI</v>
      </c>
      <c r="C4" s="4" t="str">
        <v>Côte d'Ivoire</v>
      </c>
      <c r="D4" s="4" t="str">
        <v>country</v>
      </c>
      <c r="E4" s="5">
        <v>7</v>
      </c>
      <c r="F4" s="4">
        <v>1638</v>
      </c>
    </row>
    <row r="5" ht="45" customHeight="1">
      <c r="A5" s="4" t="str">
        <v>AOW00: Cross Cutting</v>
      </c>
      <c r="B5" s="4" t="str">
        <v>IWMI</v>
      </c>
      <c r="C5" s="4" t="str">
        <v>Ethiopia</v>
      </c>
      <c r="D5" s="4" t="str">
        <v>country</v>
      </c>
      <c r="E5" s="5">
        <v>7</v>
      </c>
      <c r="F5" s="4">
        <v>1639</v>
      </c>
    </row>
    <row r="6" ht="45" customHeight="1">
      <c r="A6" s="4" t="str">
        <v>AOW00: Cross Cutting</v>
      </c>
      <c r="B6" s="4" t="str">
        <v>IWMI</v>
      </c>
      <c r="C6" s="4" t="str">
        <v>India</v>
      </c>
      <c r="D6" s="4" t="str">
        <v>country</v>
      </c>
      <c r="E6" s="5">
        <v>10</v>
      </c>
      <c r="F6" s="4">
        <v>1640</v>
      </c>
    </row>
    <row r="7" ht="45" customHeight="1">
      <c r="A7" s="4" t="str">
        <v>AOW00: Cross Cutting</v>
      </c>
      <c r="B7" s="4" t="str">
        <v>IWMI</v>
      </c>
      <c r="C7" s="4" t="str">
        <v>Kenya</v>
      </c>
      <c r="D7" s="4" t="str">
        <v>country</v>
      </c>
      <c r="E7" s="5">
        <v>10</v>
      </c>
      <c r="F7" s="4">
        <v>1641</v>
      </c>
    </row>
    <row r="8" ht="45" customHeight="1">
      <c r="A8" s="4" t="str">
        <v>AOW00: Cross Cutting</v>
      </c>
      <c r="B8" s="4" t="str">
        <v>IWMI</v>
      </c>
      <c r="C8" s="4" t="str">
        <v>Lao People's Democratic Republic</v>
      </c>
      <c r="D8" s="4" t="str">
        <v>country</v>
      </c>
      <c r="E8" s="5">
        <v>4</v>
      </c>
      <c r="F8" s="4">
        <v>1642</v>
      </c>
    </row>
    <row r="9" ht="45" customHeight="1">
      <c r="A9" s="4" t="str">
        <v>AOW00: Cross Cutting</v>
      </c>
      <c r="B9" s="4" t="str">
        <v>IWMI</v>
      </c>
      <c r="C9" s="4" t="str">
        <v>Peru</v>
      </c>
      <c r="D9" s="4" t="str">
        <v>country</v>
      </c>
      <c r="E9" s="5">
        <v>10</v>
      </c>
      <c r="F9" s="4">
        <v>1643</v>
      </c>
    </row>
    <row r="10" ht="45" customHeight="1">
      <c r="A10" s="4" t="str">
        <v>AOW00: Cross Cutting</v>
      </c>
      <c r="B10" s="4" t="str">
        <v>IWMI</v>
      </c>
      <c r="C10" s="4" t="str">
        <v>Senegal</v>
      </c>
      <c r="D10" s="4" t="str">
        <v>country</v>
      </c>
      <c r="E10" s="5">
        <v>7</v>
      </c>
      <c r="F10" s="4">
        <v>1644</v>
      </c>
    </row>
    <row r="11" ht="45" customHeight="1">
      <c r="A11" s="4" t="str">
        <v>AOW00: Cross Cutting</v>
      </c>
      <c r="B11" s="4" t="str">
        <v>IWMI</v>
      </c>
      <c r="C11" s="4" t="str">
        <v>Tanzania</v>
      </c>
      <c r="D11" s="4" t="str">
        <v>country</v>
      </c>
      <c r="E11" s="5">
        <v>7</v>
      </c>
      <c r="F11" s="4">
        <v>1645</v>
      </c>
    </row>
    <row r="12" ht="45" customHeight="1">
      <c r="A12" s="4" t="str">
        <v>AOW00: Cross Cutting</v>
      </c>
      <c r="B12" s="4" t="str">
        <v>IWMI</v>
      </c>
      <c r="C12" s="4" t="str">
        <v>The Socialist Republic of Viet Nam</v>
      </c>
      <c r="D12" s="4" t="str">
        <v>country</v>
      </c>
      <c r="E12" s="5">
        <v>4</v>
      </c>
      <c r="F12" s="4">
        <v>1646</v>
      </c>
    </row>
    <row r="13" ht="45" customHeight="1">
      <c r="A13" s="4" t="str">
        <v>AOW00: Cross Cutting</v>
      </c>
      <c r="B13" s="4" t="str">
        <v>IWMI</v>
      </c>
      <c r="C13" s="4" t="str">
        <v>Tunisia</v>
      </c>
      <c r="D13" s="4" t="str">
        <v>country</v>
      </c>
      <c r="E13" s="5">
        <v>10</v>
      </c>
      <c r="F13" s="4">
        <v>1647</v>
      </c>
    </row>
    <row r="14" ht="45" customHeight="1">
      <c r="A14" s="4" t="str">
        <v>AOW00: Cross Cutting</v>
      </c>
      <c r="B14" s="4" t="str">
        <v>IWMI</v>
      </c>
      <c r="C14" s="4" t="str">
        <v>United Republic</v>
      </c>
      <c r="D14" s="4" t="str">
        <v>country</v>
      </c>
      <c r="E14" s="5">
        <v>0</v>
      </c>
      <c r="F14" s="4">
        <v>1648</v>
      </c>
    </row>
    <row r="15" ht="45" customHeight="1">
      <c r="A15" s="4" t="str">
        <v>AOW00: Cross Cutting</v>
      </c>
      <c r="B15" s="4" t="str">
        <v>IWMI</v>
      </c>
      <c r="C15" s="4" t="str">
        <v>Zimbabwe</v>
      </c>
      <c r="D15" s="4" t="str">
        <v>country</v>
      </c>
      <c r="E15" s="5">
        <v>10</v>
      </c>
      <c r="F15" s="4">
        <v>1649</v>
      </c>
    </row>
    <row r="16" ht="45" customHeight="1">
      <c r="A16" s="8" t="str">
        <v>AOW01: Agroecology+ Solutions &amp; Innovations</v>
      </c>
      <c r="B16" s="4" t="str">
        <v>IWMI</v>
      </c>
      <c r="C16" s="4" t="str">
        <v>Ethiopia</v>
      </c>
      <c r="D16" s="4" t="str">
        <v>country</v>
      </c>
      <c r="E16" s="5">
        <v>25</v>
      </c>
      <c r="F16" s="4">
        <v>784</v>
      </c>
    </row>
    <row r="17" ht="45" customHeight="1">
      <c r="A17" s="4" t="str">
        <v>AOW01: Agroecology+ Solutions &amp; Innovations</v>
      </c>
      <c r="B17" s="4" t="str">
        <v>IWMI</v>
      </c>
      <c r="C17" s="4" t="str">
        <v>India</v>
      </c>
      <c r="D17" s="4" t="str">
        <v>country</v>
      </c>
      <c r="E17" s="5">
        <v>25</v>
      </c>
      <c r="F17" s="4">
        <v>781</v>
      </c>
    </row>
    <row r="18" ht="45" customHeight="1">
      <c r="A18" s="4" t="str">
        <v>AOW01: Agroecology+ Solutions &amp; Innovations</v>
      </c>
      <c r="B18" s="4" t="str">
        <v>IWMI</v>
      </c>
      <c r="C18" s="4" t="str">
        <v>Kenya</v>
      </c>
      <c r="D18" s="4" t="str">
        <v>country</v>
      </c>
      <c r="E18" s="5">
        <v>25</v>
      </c>
      <c r="F18" s="4">
        <v>782</v>
      </c>
    </row>
    <row r="19" ht="45" customHeight="1">
      <c r="A19" s="4" t="str">
        <v>AOW01: Agroecology+ Solutions &amp; Innovations</v>
      </c>
      <c r="B19" s="4" t="str">
        <v>IWMI</v>
      </c>
      <c r="C19" s="4" t="str">
        <v>The Socialist Republic of Viet Nam</v>
      </c>
      <c r="D19" s="4" t="str">
        <v>country</v>
      </c>
      <c r="E19" s="5">
        <v>25</v>
      </c>
      <c r="F19" s="4">
        <v>785</v>
      </c>
    </row>
    <row r="20" ht="45" customHeight="1">
      <c r="A20" s="4" t="str">
        <v>AOW01: Agroecology+ Solutions &amp; Innovations</v>
      </c>
      <c r="B20" s="4" t="str">
        <v>IWMI</v>
      </c>
      <c r="C20" s="4" t="str">
        <v>Tunisia</v>
      </c>
      <c r="D20" s="4" t="str">
        <v>country</v>
      </c>
      <c r="E20" s="5">
        <v>0</v>
      </c>
      <c r="F20" s="4">
        <v>783</v>
      </c>
    </row>
    <row r="21" ht="45" customHeight="1">
      <c r="A21" s="8" t="str">
        <v>AOW02: Landscape Optimization and Inclusive Planning</v>
      </c>
      <c r="B21" s="4" t="str">
        <v>IWMI</v>
      </c>
      <c r="C21" s="4" t="str">
        <v>Ethiopia</v>
      </c>
      <c r="D21" s="4" t="str">
        <v>country</v>
      </c>
      <c r="E21" s="5">
        <v>25</v>
      </c>
      <c r="F21" s="4">
        <v>788</v>
      </c>
    </row>
    <row r="22" ht="45" customHeight="1">
      <c r="A22" s="4" t="str">
        <v>AOW02: Landscape Optimization and Inclusive Planning</v>
      </c>
      <c r="B22" s="4" t="str">
        <v>IWMI</v>
      </c>
      <c r="C22" s="4" t="str">
        <v>India</v>
      </c>
      <c r="D22" s="4" t="str">
        <v>country</v>
      </c>
      <c r="E22" s="5">
        <v>25</v>
      </c>
      <c r="F22" s="4">
        <v>787</v>
      </c>
    </row>
    <row r="23" ht="45" customHeight="1">
      <c r="A23" s="4" t="str">
        <v>AOW02: Landscape Optimization and Inclusive Planning</v>
      </c>
      <c r="B23" s="4" t="str">
        <v>IWMI</v>
      </c>
      <c r="C23" s="4" t="str">
        <v>Kenya</v>
      </c>
      <c r="D23" s="4" t="str">
        <v>country</v>
      </c>
      <c r="E23" s="5">
        <v>25</v>
      </c>
      <c r="F23" s="4">
        <v>786</v>
      </c>
    </row>
    <row r="24" ht="45" customHeight="1">
      <c r="A24" s="4" t="str">
        <v>AOW02: Landscape Optimization and Inclusive Planning</v>
      </c>
      <c r="B24" s="4" t="str">
        <v>IWMI</v>
      </c>
      <c r="C24" s="4" t="str">
        <v>Zimbabwe</v>
      </c>
      <c r="D24" s="4" t="str">
        <v>country</v>
      </c>
      <c r="E24" s="5">
        <v>25</v>
      </c>
      <c r="F24" s="4">
        <v>789</v>
      </c>
    </row>
    <row r="25" ht="45" customHeight="1">
      <c r="A25" s="8" t="str">
        <v>AOW03: Business Models, Markets, and Sustainable Finance</v>
      </c>
      <c r="B25" s="4" t="str">
        <v>IWMI</v>
      </c>
      <c r="C25" s="4" t="str">
        <v>Ethiopia</v>
      </c>
      <c r="D25" s="4" t="str">
        <v>country</v>
      </c>
      <c r="E25" s="5">
        <v>25</v>
      </c>
      <c r="F25" s="4">
        <v>792</v>
      </c>
    </row>
    <row r="26" ht="45" customHeight="1">
      <c r="A26" s="4" t="str">
        <v>AOW03: Business Models, Markets, and Sustainable Finance</v>
      </c>
      <c r="B26" s="4" t="str">
        <v>IWMI</v>
      </c>
      <c r="C26" s="4" t="str">
        <v>India</v>
      </c>
      <c r="D26" s="4" t="str">
        <v>country</v>
      </c>
      <c r="E26" s="5">
        <v>25</v>
      </c>
      <c r="F26" s="4">
        <v>791</v>
      </c>
    </row>
    <row r="27" ht="45" customHeight="1">
      <c r="A27" s="4" t="str">
        <v>AOW03: Business Models, Markets, and Sustainable Finance</v>
      </c>
      <c r="B27" s="4" t="str">
        <v>IWMI</v>
      </c>
      <c r="C27" s="4" t="str">
        <v>Kenya</v>
      </c>
      <c r="D27" s="4" t="str">
        <v>country</v>
      </c>
      <c r="E27" s="5">
        <v>25</v>
      </c>
      <c r="F27" s="4">
        <v>790</v>
      </c>
    </row>
    <row r="28" ht="45" customHeight="1">
      <c r="A28" s="4" t="str">
        <v>AOW03: Business Models, Markets, and Sustainable Finance</v>
      </c>
      <c r="B28" s="4" t="str">
        <v>IWMI</v>
      </c>
      <c r="C28" s="4" t="str">
        <v>The Socialist Republic of Viet Nam</v>
      </c>
      <c r="D28" s="4" t="str">
        <v>country</v>
      </c>
      <c r="E28" s="5">
        <v>25</v>
      </c>
      <c r="F28" s="4">
        <v>793</v>
      </c>
    </row>
    <row r="29" ht="45" customHeight="1">
      <c r="A29" s="8" t="str">
        <v>AOW04: Governance, Institutions, Policy, and Inclusion</v>
      </c>
      <c r="B29" s="4" t="str">
        <v>IWMI</v>
      </c>
      <c r="C29" s="4" t="str">
        <v>Cambodia</v>
      </c>
      <c r="D29" s="4" t="str">
        <v>country</v>
      </c>
      <c r="E29" s="5">
        <v>0</v>
      </c>
      <c r="F29" s="4">
        <v>769</v>
      </c>
    </row>
    <row r="30" ht="45" customHeight="1">
      <c r="A30" s="4" t="str">
        <v>AOW04: Governance, Institutions, Policy, and Inclusion</v>
      </c>
      <c r="B30" s="4" t="str">
        <v>IWMI</v>
      </c>
      <c r="C30" s="4" t="str">
        <v>Colombia</v>
      </c>
      <c r="D30" s="4" t="str">
        <v>country</v>
      </c>
      <c r="E30" s="5">
        <v>10</v>
      </c>
      <c r="F30" s="4">
        <v>770</v>
      </c>
    </row>
    <row r="31" ht="45" customHeight="1">
      <c r="A31" s="4" t="str">
        <v>AOW04: Governance, Institutions, Policy, and Inclusion</v>
      </c>
      <c r="B31" s="4" t="str">
        <v>IWMI</v>
      </c>
      <c r="C31" s="4" t="str">
        <v>Ethiopia</v>
      </c>
      <c r="D31" s="4" t="str">
        <v>country</v>
      </c>
      <c r="E31" s="5">
        <v>10</v>
      </c>
      <c r="F31" s="4">
        <v>774</v>
      </c>
    </row>
    <row r="32" ht="45" customHeight="1">
      <c r="A32" s="4" t="str">
        <v>AOW04: Governance, Institutions, Policy, and Inclusion</v>
      </c>
      <c r="B32" s="4" t="str">
        <v>IWMI</v>
      </c>
      <c r="C32" s="4" t="str">
        <v>India</v>
      </c>
      <c r="D32" s="4" t="str">
        <v>country</v>
      </c>
      <c r="E32" s="5">
        <v>10</v>
      </c>
      <c r="F32" s="4">
        <v>771</v>
      </c>
    </row>
    <row r="33" ht="45" customHeight="1">
      <c r="A33" s="4" t="str">
        <v>AOW04: Governance, Institutions, Policy, and Inclusion</v>
      </c>
      <c r="B33" s="4" t="str">
        <v>IWMI</v>
      </c>
      <c r="C33" s="4" t="str">
        <v>Kenya</v>
      </c>
      <c r="D33" s="4" t="str">
        <v>country</v>
      </c>
      <c r="E33" s="5">
        <v>10</v>
      </c>
      <c r="F33" s="4">
        <v>772</v>
      </c>
    </row>
    <row r="34" ht="45" customHeight="1">
      <c r="A34" s="4" t="str">
        <v>AOW04: Governance, Institutions, Policy, and Inclusion</v>
      </c>
      <c r="B34" s="4" t="str">
        <v>IWMI</v>
      </c>
      <c r="C34" s="4" t="str">
        <v>Lao People's Democratic Republic</v>
      </c>
      <c r="D34" s="4" t="str">
        <v>country</v>
      </c>
      <c r="E34" s="5">
        <v>0</v>
      </c>
      <c r="F34" s="4">
        <v>773</v>
      </c>
    </row>
    <row r="35" ht="45" customHeight="1">
      <c r="A35" s="4" t="str">
        <v>AOW04: Governance, Institutions, Policy, and Inclusion</v>
      </c>
      <c r="B35" s="4" t="str">
        <v>IWMI</v>
      </c>
      <c r="C35" s="4" t="str">
        <v>Peru</v>
      </c>
      <c r="D35" s="4" t="str">
        <v>country</v>
      </c>
      <c r="E35" s="5">
        <v>10</v>
      </c>
      <c r="F35" s="4">
        <v>780</v>
      </c>
    </row>
    <row r="36" ht="45" customHeight="1">
      <c r="A36" s="4" t="str">
        <v>AOW04: Governance, Institutions, Policy, and Inclusion</v>
      </c>
      <c r="B36" s="4" t="str">
        <v>IWMI</v>
      </c>
      <c r="C36" s="4" t="str">
        <v>Senegal</v>
      </c>
      <c r="D36" s="4" t="str">
        <v>country</v>
      </c>
      <c r="E36" s="5">
        <v>10</v>
      </c>
      <c r="F36" s="4">
        <v>779</v>
      </c>
    </row>
    <row r="37" ht="45" customHeight="1">
      <c r="A37" s="4" t="str">
        <v>AOW04: Governance, Institutions, Policy, and Inclusion</v>
      </c>
      <c r="B37" s="4" t="str">
        <v>IWMI</v>
      </c>
      <c r="C37" s="4" t="str">
        <v>Tanzania</v>
      </c>
      <c r="D37" s="4" t="str">
        <v>country</v>
      </c>
      <c r="E37" s="5">
        <v>10</v>
      </c>
      <c r="F37" s="4">
        <v>778</v>
      </c>
    </row>
    <row r="38" ht="45" customHeight="1">
      <c r="A38" s="4" t="str">
        <v>AOW04: Governance, Institutions, Policy, and Inclusion</v>
      </c>
      <c r="B38" s="4" t="str">
        <v>IWMI</v>
      </c>
      <c r="C38" s="4" t="str">
        <v>The Socialist Republic of Viet Nam</v>
      </c>
      <c r="D38" s="4" t="str">
        <v>country</v>
      </c>
      <c r="E38" s="5">
        <v>10</v>
      </c>
      <c r="F38" s="4">
        <v>777</v>
      </c>
    </row>
    <row r="39" ht="45" customHeight="1">
      <c r="A39" s="4" t="str">
        <v>AOW04: Governance, Institutions, Policy, and Inclusion</v>
      </c>
      <c r="B39" s="4" t="str">
        <v>IWMI</v>
      </c>
      <c r="C39" s="4" t="str">
        <v>Tunisia</v>
      </c>
      <c r="D39" s="4" t="str">
        <v>country</v>
      </c>
      <c r="E39" s="5">
        <v>10</v>
      </c>
      <c r="F39" s="4">
        <v>776</v>
      </c>
    </row>
    <row r="40" ht="45" customHeight="1">
      <c r="A40" s="4" t="str">
        <v>AOW04: Governance, Institutions, Policy, and Inclusion</v>
      </c>
      <c r="B40" s="4" t="str">
        <v>IWMI</v>
      </c>
      <c r="C40" s="4" t="str">
        <v>Zimbabwe</v>
      </c>
      <c r="D40" s="4" t="str">
        <v>country</v>
      </c>
      <c r="E40" s="5">
        <v>10</v>
      </c>
      <c r="F40" s="4">
        <v>775</v>
      </c>
    </row>
    <row r="41" ht="45" customHeight="1">
      <c r="A41" s="8" t="str">
        <v>AOW05: Performance Assessments &amp; Evidence Generation</v>
      </c>
      <c r="B41" s="4" t="str">
        <v>IWMI</v>
      </c>
      <c r="C41" s="4" t="str">
        <v>Global</v>
      </c>
      <c r="D41" s="4" t="str">
        <v>global</v>
      </c>
      <c r="E41" s="5">
        <v>100</v>
      </c>
      <c r="F41" s="4">
        <v>815</v>
      </c>
    </row>
  </sheetData>
  <mergeCells count="6">
    <mergeCell ref="A2:A15"/>
    <mergeCell ref="A16:A20"/>
    <mergeCell ref="A21:A24"/>
    <mergeCell ref="A25:A28"/>
    <mergeCell ref="A29:A40"/>
    <mergeCell ref="A41"/>
  </mergeCells>
  <ignoredErrors>
    <ignoredError numberStoredAsText="1" sqref="A1:F41"/>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