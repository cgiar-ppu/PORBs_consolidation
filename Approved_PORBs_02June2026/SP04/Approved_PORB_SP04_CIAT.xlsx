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474122</v>
      </c>
      <c r="K4" s="5">
        <v>474122</v>
      </c>
      <c r="L4" s="5">
        <v>0</v>
      </c>
      <c r="M4" s="5">
        <v>0</v>
      </c>
      <c r="N4" s="4">
        <v>182</v>
      </c>
    </row>
    <row r="5" ht="20" customHeight="1">
      <c r="A5" s="4" t="str">
        <v>AOW01: Agroecology+ Solutions &amp; Innovations</v>
      </c>
      <c r="B5" s="5">
        <v>35</v>
      </c>
      <c r="C5" s="5">
        <v>690922</v>
      </c>
      <c r="D5" s="5">
        <v>30</v>
      </c>
      <c r="E5" s="5">
        <v>364776</v>
      </c>
      <c r="F5" s="5">
        <v>1304</v>
      </c>
      <c r="G5" s="5">
        <v>174500</v>
      </c>
      <c r="H5" s="5">
        <v>1580</v>
      </c>
      <c r="I5" s="5">
        <v>394881</v>
      </c>
      <c r="J5" s="5">
        <v>1625079</v>
      </c>
      <c r="K5" s="5">
        <v>1625079</v>
      </c>
      <c r="L5" s="5">
        <v>221486</v>
      </c>
      <c r="M5" s="5">
        <v>0</v>
      </c>
      <c r="N5" s="4">
        <v>177</v>
      </c>
    </row>
    <row r="6" ht="20" customHeight="1">
      <c r="A6" s="4" t="str">
        <v>AOW02: Landscape Optimization and Inclusive Planning</v>
      </c>
      <c r="B6" s="5">
        <v>9</v>
      </c>
      <c r="C6" s="5">
        <v>588488</v>
      </c>
      <c r="D6" s="5">
        <v>17</v>
      </c>
      <c r="E6" s="5">
        <v>313407</v>
      </c>
      <c r="F6" s="5">
        <v>0</v>
      </c>
      <c r="G6" s="5">
        <v>0</v>
      </c>
      <c r="H6" s="5">
        <v>20</v>
      </c>
      <c r="I6" s="5">
        <v>220767</v>
      </c>
      <c r="J6" s="5">
        <v>1122662</v>
      </c>
      <c r="K6" s="5">
        <v>1122662</v>
      </c>
      <c r="L6" s="5">
        <v>118710</v>
      </c>
      <c r="M6" s="5">
        <v>0</v>
      </c>
      <c r="N6" s="4">
        <v>179</v>
      </c>
    </row>
    <row r="7" ht="20" customHeight="1">
      <c r="A7" s="4" t="str">
        <v>AOW03: Business Models, Markets, and Sustainable Finance</v>
      </c>
      <c r="B7" s="5">
        <v>21</v>
      </c>
      <c r="C7" s="5">
        <v>578147</v>
      </c>
      <c r="D7" s="5">
        <v>11</v>
      </c>
      <c r="E7" s="5">
        <v>205800</v>
      </c>
      <c r="F7" s="5">
        <v>170</v>
      </c>
      <c r="G7" s="5">
        <v>84250</v>
      </c>
      <c r="H7" s="5">
        <v>302</v>
      </c>
      <c r="I7" s="5">
        <v>276336</v>
      </c>
      <c r="J7" s="5">
        <v>1144533</v>
      </c>
      <c r="K7" s="5">
        <v>1144533</v>
      </c>
      <c r="L7" s="5">
        <v>107332</v>
      </c>
      <c r="M7" s="5">
        <v>0</v>
      </c>
      <c r="N7" s="4">
        <v>180</v>
      </c>
    </row>
    <row r="8" ht="20" customHeight="1">
      <c r="A8" s="4" t="str">
        <v>AOW04: Governance, Institutions, Policy, and Inclusion</v>
      </c>
      <c r="B8" s="5">
        <v>3</v>
      </c>
      <c r="C8" s="5">
        <v>72814</v>
      </c>
      <c r="D8" s="5">
        <v>25</v>
      </c>
      <c r="E8" s="5">
        <v>491616</v>
      </c>
      <c r="F8" s="5">
        <v>70</v>
      </c>
      <c r="G8" s="5">
        <v>42352</v>
      </c>
      <c r="H8" s="5">
        <v>11</v>
      </c>
      <c r="I8" s="5">
        <v>60000</v>
      </c>
      <c r="J8" s="5">
        <v>666782</v>
      </c>
      <c r="K8" s="5">
        <v>666782</v>
      </c>
      <c r="L8" s="5">
        <v>25852</v>
      </c>
      <c r="M8" s="5">
        <v>0</v>
      </c>
      <c r="N8" s="4">
        <v>181</v>
      </c>
    </row>
    <row r="9" ht="20" customHeight="1">
      <c r="A9" s="4" t="str">
        <v>AOW05: Performance Assessments &amp; Evidence Generation</v>
      </c>
      <c r="B9" s="5">
        <v>5</v>
      </c>
      <c r="C9" s="5">
        <v>446300</v>
      </c>
      <c r="D9" s="5">
        <v>13</v>
      </c>
      <c r="E9" s="5">
        <v>554388</v>
      </c>
      <c r="F9" s="5">
        <v>0</v>
      </c>
      <c r="G9" s="5">
        <v>0</v>
      </c>
      <c r="H9" s="5">
        <v>0</v>
      </c>
      <c r="I9" s="5">
        <v>0</v>
      </c>
      <c r="J9" s="5">
        <v>1000688</v>
      </c>
      <c r="K9" s="5">
        <v>1000688</v>
      </c>
      <c r="L9" s="5">
        <v>471388</v>
      </c>
      <c r="M9" s="5">
        <v>167964</v>
      </c>
      <c r="N9" s="4">
        <v>178</v>
      </c>
    </row>
    <row r="10" ht="25" customHeight="1">
      <c r="A10" s="6" t="str">
        <v>Total</v>
      </c>
      <c r="B10" s="7" t="str">
        <v/>
      </c>
      <c r="C10" s="7">
        <v>2376671</v>
      </c>
      <c r="D10" s="7" t="str">
        <v/>
      </c>
      <c r="E10" s="7">
        <v>1929987</v>
      </c>
      <c r="F10" s="7" t="str">
        <v/>
      </c>
      <c r="G10" s="7">
        <v>301102</v>
      </c>
      <c r="H10" s="7" t="str">
        <v/>
      </c>
      <c r="I10" s="7">
        <v>951984</v>
      </c>
      <c r="J10" s="7">
        <v>6033866</v>
      </c>
      <c r="K10" s="7">
        <v>6033866</v>
      </c>
      <c r="L10" s="7">
        <v>944768</v>
      </c>
      <c r="M10" s="7">
        <v>167964</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10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CIAT (Alliance)</v>
      </c>
      <c r="C3" s="4" t="str">
        <v>OP 1.1.1. – Bundles of farm-level solutions</v>
      </c>
      <c r="D3" s="4" t="str" xml:space="preserve">
        <v xml:space="preserve">Deliverable - AI-powered precision advisory for pest and disease detection, input optimization, soil conservation, yield improvement and stability, and accurate forecasting of offtake volumes and market prices. 
Indicator: Number of sites where Ai-enabled DST have been tested/piloted</v>
      </c>
      <c r="E3" s="4" t="str">
        <v>Number of innovations (innovation development)</v>
      </c>
      <c r="F3" s="4" t="str">
        <v>Ethiopia, Kenya</v>
      </c>
      <c r="G3" s="5">
        <v>2</v>
      </c>
      <c r="H3" s="5">
        <v>96000</v>
      </c>
      <c r="I3" s="4" t="str">
        <v>.</v>
      </c>
      <c r="J3" s="4">
        <v>5445</v>
      </c>
    </row>
    <row r="4" ht="50" customHeight="1" xml:space="preserve">
      <c r="B4" s="4" t="str">
        <v>CIAT (Alliance)</v>
      </c>
      <c r="D4" s="4" t="str" xml:space="preserve">
        <v xml:space="preserve">Deliverable - Harmonized digital agronomic data collection system that enables consistent, comparable field data across sites and partners. 
Indicator: Number of living landscapes where standardized digital agronomic data collection systems are deployed and operational</v>
      </c>
      <c r="E4" s="4" t="str">
        <v>custom</v>
      </c>
      <c r="F4" s="4" t="str">
        <v>Zimbabwe, Senegal</v>
      </c>
      <c r="G4" s="5">
        <v>6</v>
      </c>
      <c r="H4" s="5">
        <v>25000</v>
      </c>
      <c r="I4" s="4" t="str">
        <v>.</v>
      </c>
      <c r="J4" s="4">
        <v>5446</v>
      </c>
    </row>
    <row r="5" ht="50" customHeight="1" xml:space="preserve">
      <c r="B5" s="4" t="str">
        <v>CIAT (Alliance)</v>
      </c>
      <c r="D5" s="4" t="str" xml:space="preserve">
        <v xml:space="preserve">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v>
      </c>
      <c r="E5" s="4" t="str">
        <v>Number of knowledge products</v>
      </c>
      <c r="F5" s="4" t="str">
        <v>Zimbabwe, Senegal</v>
      </c>
      <c r="G5" s="5">
        <v>6</v>
      </c>
      <c r="H5" s="5">
        <v>25000</v>
      </c>
      <c r="I5" s="4" t="str">
        <v>.</v>
      </c>
      <c r="J5" s="4">
        <v>5447</v>
      </c>
    </row>
    <row r="6" ht="50" customHeight="1" xml:space="preserve">
      <c r="B6" s="4" t="str">
        <v>CIAT (Alliance)</v>
      </c>
      <c r="D6" s="4" t="str" xml:space="preserve">
        <v xml:space="preserve">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v>
      </c>
      <c r="E6" s="4" t="str">
        <v>Number of knowledge products</v>
      </c>
      <c r="F6" s="4" t="str">
        <v>Colombia</v>
      </c>
      <c r="G6" s="5">
        <v>6</v>
      </c>
      <c r="H6" s="5">
        <v>53250</v>
      </c>
      <c r="I6" s="4" t="str">
        <v>.</v>
      </c>
      <c r="J6" s="4">
        <v>5456</v>
      </c>
    </row>
    <row r="7" ht="50" customHeight="1" xml:space="preserve">
      <c r="B7" s="4" t="str">
        <v>CIAT (Alliance)</v>
      </c>
      <c r="D7" s="4" t="str" xml:space="preserve">
        <v xml:space="preserve">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v>
      </c>
      <c r="E7" s="4" t="str">
        <v>Number of knowledge products</v>
      </c>
      <c r="F7" s="4" t="str">
        <v>Peru</v>
      </c>
      <c r="G7" s="5">
        <v>1</v>
      </c>
      <c r="H7" s="5">
        <v>28400</v>
      </c>
      <c r="I7" s="4" t="str">
        <v>.</v>
      </c>
      <c r="J7" s="4">
        <v>5471</v>
      </c>
    </row>
    <row r="8" ht="50" customHeight="1" xml:space="preserve">
      <c r="B8" s="4" t="str">
        <v>CIAT (Alliance)</v>
      </c>
      <c r="D8" s="4" t="str" xml:space="preserve">
        <v xml:space="preserve">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v>
      </c>
      <c r="E8" s="4" t="str">
        <v>Number of knowledge products</v>
      </c>
      <c r="F8" s="4" t="str">
        <v>Peru</v>
      </c>
      <c r="G8" s="5">
        <v>3</v>
      </c>
      <c r="H8" s="5">
        <v>42600</v>
      </c>
      <c r="I8" s="4" t="str">
        <v>.</v>
      </c>
      <c r="J8" s="4">
        <v>5472</v>
      </c>
    </row>
    <row r="9" ht="50" customHeight="1" xml:space="preserve">
      <c r="B9" s="4" t="str">
        <v>CIAT (Alliance)</v>
      </c>
      <c r="D9" s="4" t="str" xml:space="preserve">
        <v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v>
      </c>
      <c r="E9" s="4" t="str">
        <v>Number of innovations (innovation development)</v>
      </c>
      <c r="F9" s="4" t="str">
        <v>Peru, Colombia</v>
      </c>
      <c r="G9" s="5">
        <v>2</v>
      </c>
      <c r="H9" s="5">
        <v>121000</v>
      </c>
      <c r="I9" s="4" t="str">
        <v>.</v>
      </c>
      <c r="J9" s="4">
        <v>5473</v>
      </c>
    </row>
    <row r="10" ht="50" customHeight="1" xml:space="preserve">
      <c r="B10" s="4" t="str">
        <v>CIAT (Alliance)</v>
      </c>
      <c r="D10" s="4" t="str" xml:space="preserve">
        <v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v>
      </c>
      <c r="E10" s="4" t="str">
        <v>Number of innovations (innovation development)</v>
      </c>
      <c r="F10" s="4" t="str">
        <v>The Socialist Republic of Viet Nam, Peru, Colombia</v>
      </c>
      <c r="G10" s="5">
        <v>5</v>
      </c>
      <c r="H10" s="5">
        <v>40000</v>
      </c>
      <c r="I10" s="4" t="str">
        <v>.</v>
      </c>
      <c r="J10" s="4">
        <v>5475</v>
      </c>
    </row>
    <row r="11" ht="50" customHeight="1" xml:space="preserve">
      <c r="B11" s="4" t="str">
        <v>CIAT (Alliance)</v>
      </c>
      <c r="D11" s="4" t="str" xml:space="preserve">
        <v xml:space="preserve">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v>
      </c>
      <c r="E11" s="4" t="str">
        <v>custom</v>
      </c>
      <c r="F11" s="4" t="str">
        <v>Ethiopia</v>
      </c>
      <c r="G11" s="5">
        <v>1</v>
      </c>
      <c r="H11" s="5">
        <v>96000</v>
      </c>
      <c r="I11" s="4" t="str">
        <v>.</v>
      </c>
      <c r="J11" s="4">
        <v>5476</v>
      </c>
    </row>
    <row r="12" ht="50" customHeight="1" xml:space="preserve">
      <c r="B12" s="4" t="str">
        <v>CIAT (Alliance)</v>
      </c>
      <c r="D12" s="4" t="str" xml:space="preserve">
        <v xml:space="preserve">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v>
      </c>
      <c r="E12" s="4" t="str">
        <v>Number of knowledge products</v>
      </c>
      <c r="F12" s="4" t="str">
        <v>Zimbabwe</v>
      </c>
      <c r="G12" s="5">
        <v>5</v>
      </c>
      <c r="H12" s="5">
        <v>25000</v>
      </c>
      <c r="I12" s="4" t="str">
        <v>.</v>
      </c>
      <c r="J12" s="4">
        <v>7498</v>
      </c>
    </row>
    <row r="13" ht="50" customHeight="1" xml:space="preserve">
      <c r="B13" s="4" t="str">
        <v>CIAT (Alliance)</v>
      </c>
      <c r="D13" s="4" t="str" xml:space="preserve">
        <v xml:space="preserve">Agroecology+ Farms: Co-designed and validated forage options integrated in bundles of innovations in LLs and aggregated farms
Indicator: Number of stakeholder groups (farmer organizations, extension services etc) identifying, testing and validating forage options</v>
      </c>
      <c r="E13" s="4" t="str">
        <v>custom</v>
      </c>
      <c r="F13" s="4" t="str">
        <v>Kenya</v>
      </c>
      <c r="G13" s="5">
        <v>5</v>
      </c>
      <c r="H13" s="5">
        <v>35000</v>
      </c>
      <c r="I13" s="4" t="str">
        <v>.</v>
      </c>
      <c r="J13" s="4">
        <v>7513</v>
      </c>
    </row>
    <row r="14" ht="50" customHeight="1" xml:space="preserve">
      <c r="B14" s="4" t="str">
        <v>CIAT (Alliance)</v>
      </c>
      <c r="D14" s="4" t="str" xml:space="preserve">
        <v xml:space="preserve">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v>
      </c>
      <c r="E14" s="4" t="str">
        <v>Number of knowledge products</v>
      </c>
      <c r="F14" s="4" t="str">
        <v>Zimbabwe, Ethiopia</v>
      </c>
      <c r="G14" s="5">
        <v>1</v>
      </c>
      <c r="H14" s="5">
        <v>17026</v>
      </c>
      <c r="I14" s="4" t="str">
        <v>.</v>
      </c>
      <c r="J14" s="4">
        <v>7516</v>
      </c>
    </row>
    <row r="15" ht="50" customHeight="1" xml:space="preserve">
      <c r="B15" s="4" t="str">
        <v>CIAT (Alliance)</v>
      </c>
      <c r="D15" s="4" t="str" xml:space="preserve">
        <v xml:space="preserve">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v>
      </c>
      <c r="E15" s="4" t="str">
        <v>custom</v>
      </c>
      <c r="F15" s="4" t="str">
        <v>Kenya</v>
      </c>
      <c r="G15" s="5">
        <v>50</v>
      </c>
      <c r="H15" s="5">
        <v>38000</v>
      </c>
      <c r="I15" s="4" t="str">
        <v>.</v>
      </c>
      <c r="J15" s="4">
        <v>7521</v>
      </c>
    </row>
    <row r="16" ht="50" customHeight="1" xml:space="preserve">
      <c r="A16" s="4" t="str">
        <v>AOW01: Agroecology+ Solutions &amp; Innovations</v>
      </c>
      <c r="B16" s="4" t="str">
        <v>CIAT (Alliance)</v>
      </c>
      <c r="C16" s="4" t="str">
        <v>OP 1.2.6. – Advisory &amp; training innovations</v>
      </c>
      <c r="D16" s="4" t="str" xml:space="preserve">
        <v xml:space="preserve">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v>
      </c>
      <c r="E16" s="4" t="str">
        <v>Number of innovations (innovation development)</v>
      </c>
      <c r="F16" s="4" t="str">
        <v>Tunisia, Peru, Colombia, Kenya, India</v>
      </c>
      <c r="G16" s="5">
        <v>20</v>
      </c>
      <c r="H16" s="5">
        <v>236088</v>
      </c>
      <c r="I16" s="4" t="str">
        <v>.</v>
      </c>
      <c r="J16" s="4">
        <v>5502</v>
      </c>
    </row>
    <row r="17" ht="50" customHeight="1" xml:space="preserve">
      <c r="B17" s="4" t="str">
        <v>CIAT (Alliance)</v>
      </c>
      <c r="D17" s="4" t="str" xml:space="preserve">
        <v xml:space="preserve">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v>
      </c>
      <c r="E17" s="4" t="str">
        <v>custom</v>
      </c>
      <c r="F17" s="4" t="str">
        <v>Kenya</v>
      </c>
      <c r="G17" s="5">
        <v>1500</v>
      </c>
      <c r="H17" s="5">
        <v>106500</v>
      </c>
      <c r="I17" s="4" t="str">
        <v>.</v>
      </c>
      <c r="J17" s="4">
        <v>5504</v>
      </c>
    </row>
    <row r="18" ht="50" customHeight="1" xml:space="preserve">
      <c r="B18" s="4" t="str">
        <v>CIAT (Alliance)</v>
      </c>
      <c r="D18" s="4" t="str" xml:space="preserve">
        <v xml:space="preserve">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v>
      </c>
      <c r="E18" s="4" t="str">
        <v>Number of people trained (capacity sharing for development)</v>
      </c>
      <c r="F18" s="4" t="str">
        <v>Kenya</v>
      </c>
      <c r="G18" s="5">
        <v>1000</v>
      </c>
      <c r="H18" s="5">
        <v>106500</v>
      </c>
      <c r="I18" s="4" t="str">
        <v>.</v>
      </c>
      <c r="J18" s="4">
        <v>5506</v>
      </c>
    </row>
    <row r="19" ht="50" customHeight="1" xml:space="preserve">
      <c r="B19" s="4" t="str">
        <v>CIAT (Alliance)</v>
      </c>
      <c r="D19" s="4" t="str" xml:space="preserve">
        <v xml:space="preserve">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v>
      </c>
      <c r="E19" s="4" t="str">
        <v>Number of people trained (capacity sharing for development)</v>
      </c>
      <c r="F19" s="4" t="str">
        <v>Colombia, Peru, The Socialist Republic of Viet Nam, India, Kenya</v>
      </c>
      <c r="G19" s="5">
        <v>4</v>
      </c>
      <c r="H19" s="5">
        <v>30000</v>
      </c>
      <c r="I19" s="4" t="str">
        <v>.</v>
      </c>
      <c r="J19" s="4">
        <v>5507</v>
      </c>
    </row>
    <row r="20" ht="50" customHeight="1" xml:space="preserve">
      <c r="B20" s="4" t="str">
        <v>CIAT (Alliance)</v>
      </c>
      <c r="D20" s="4" t="str" xml:space="preserve">
        <v xml:space="preserve">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v>
      </c>
      <c r="E20" s="4" t="str">
        <v>custom</v>
      </c>
      <c r="F20" s="4" t="str">
        <v>Colombia</v>
      </c>
      <c r="G20" s="5">
        <v>8</v>
      </c>
      <c r="H20" s="5">
        <v>31950</v>
      </c>
      <c r="I20" s="4" t="str">
        <v>.</v>
      </c>
      <c r="J20" s="4">
        <v>5508</v>
      </c>
    </row>
    <row r="21" ht="50" customHeight="1" xml:space="preserve">
      <c r="B21" s="4" t="str">
        <v>CIAT (Alliance)</v>
      </c>
      <c r="D21" s="4" t="str" xml:space="preserve">
        <v xml:space="preserve">Deliverable - Rural Advisory modules for tree-based systems for Agroecological and Nature+ transition with institutionalization pathway identfied 
Indicator: Number of advisory modules piloted on tree-based systems</v>
      </c>
      <c r="E21" s="4" t="str">
        <v>Number of innovations (innovation development)</v>
      </c>
      <c r="F21" s="4" t="str">
        <v>Peru</v>
      </c>
      <c r="G21" s="5">
        <v>3</v>
      </c>
      <c r="H21" s="5">
        <v>132834</v>
      </c>
      <c r="I21" s="4" t="str">
        <v>.</v>
      </c>
      <c r="J21" s="4">
        <v>5511</v>
      </c>
    </row>
    <row r="22" ht="50" customHeight="1" xml:space="preserve">
      <c r="B22" s="4" t="str">
        <v>CIAT (Alliance)</v>
      </c>
      <c r="D22" s="4" t="str" xml:space="preserve">
        <v xml:space="preserve">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v>
      </c>
      <c r="E22" s="4" t="str">
        <v>custom</v>
      </c>
      <c r="F22" s="4" t="str">
        <v>Peru</v>
      </c>
      <c r="G22" s="5">
        <v>10</v>
      </c>
      <c r="H22" s="5">
        <v>62431</v>
      </c>
      <c r="I22" s="4" t="str">
        <v>.</v>
      </c>
      <c r="J22" s="4">
        <v>7495</v>
      </c>
    </row>
    <row r="23" ht="50" customHeight="1" xml:space="preserve">
      <c r="B23" s="4" t="str">
        <v>CIAT (Alliance)</v>
      </c>
      <c r="D23" s="4" t="str" xml:space="preserve">
        <v xml:space="preserve">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v>
      </c>
      <c r="E23" s="4" t="str">
        <v>Number of people trained (capacity sharing for development)</v>
      </c>
      <c r="F23" s="4" t="str">
        <v>Ethiopia</v>
      </c>
      <c r="G23" s="5">
        <v>300</v>
      </c>
      <c r="H23" s="5">
        <v>38000</v>
      </c>
      <c r="I23" s="4" t="str">
        <v>.</v>
      </c>
      <c r="J23" s="4">
        <v>7496</v>
      </c>
    </row>
    <row r="24" ht="50" customHeight="1" xml:space="preserve">
      <c r="A24" s="4" t="str">
        <v>AOW01: Agroecology+ Solutions &amp; Innovations</v>
      </c>
      <c r="B24" s="4" t="str">
        <v>CIAT (Alliance)</v>
      </c>
      <c r="C24" s="4" t="str">
        <v>OP 1.1.2. – Climate-smart adaptation &amp; mitigation bundles</v>
      </c>
      <c r="D24" s="4" t="str" xml:space="preserve">
        <v xml:space="preserve">Deliverable: Enhanced Rock Weathering (ERW) for Soil Health, Climate Mitigation, and Food Security: ERW field trials co-designed, co-piloted and monitored across three Living Landscapes in Ethiopia
Indicators: No of field trials piloted in MFL living landscapes</v>
      </c>
      <c r="E24" s="4" t="str">
        <v>Number of knowledge products</v>
      </c>
      <c r="F24" s="4" t="str">
        <v>Colombia, Ethiopia</v>
      </c>
      <c r="G24" s="5">
        <v>8</v>
      </c>
      <c r="H24" s="5">
        <v>173500</v>
      </c>
      <c r="I24" s="4" t="str">
        <v>.</v>
      </c>
      <c r="J24" s="4">
        <v>7507</v>
      </c>
    </row>
    <row r="25" ht="50" customHeight="1" xml:space="preserve">
      <c r="B25" s="4" t="str">
        <v>CIAT (Alliance)</v>
      </c>
      <c r="D25" s="4" t="str" xml:space="preserve">
        <v xml:space="preserve">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v>
      </c>
      <c r="E25" s="4" t="str">
        <v>Number of innovations (innovation development)</v>
      </c>
      <c r="F25" s="4" t="str">
        <v>Colombia, Ethiopia</v>
      </c>
      <c r="G25" s="5">
        <v>3</v>
      </c>
      <c r="H25" s="5">
        <v>65000</v>
      </c>
      <c r="I25" s="4" t="str">
        <v>.</v>
      </c>
      <c r="J25" s="4">
        <v>7522</v>
      </c>
    </row>
    <row r="26" ht="25" customHeight="1">
      <c r="C26" s="9" t="str">
        <v>HLO budget subtotal</v>
      </c>
      <c r="H26" s="9">
        <v>1625079</v>
      </c>
      <c r="J26" s="9" t="str">
        <v/>
      </c>
    </row>
    <row r="27" ht="50" customHeight="1" xml:space="preserve">
      <c r="A27" s="8" t="str">
        <v>AOW02: Landscape Optimization and Inclusive Planning</v>
      </c>
      <c r="B27" s="4" t="str">
        <v>CIAT (Alliance)</v>
      </c>
      <c r="C27" s="4" t="str">
        <v>OP 2.2.3. – Integrated planning &amp; scenarios</v>
      </c>
      <c r="D27" s="4" t="str" xml:space="preserve">
        <v xml:space="preserve">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v>
      </c>
      <c r="E27" s="4" t="str">
        <v>custom</v>
      </c>
      <c r="F27" s="4" t="str">
        <v>Senegal</v>
      </c>
      <c r="G27" s="5">
        <v>5</v>
      </c>
      <c r="H27" s="5">
        <v>102814</v>
      </c>
      <c r="I27" s="4" t="str">
        <v>.</v>
      </c>
      <c r="J27" s="4">
        <v>5242</v>
      </c>
    </row>
    <row r="28" ht="50" customHeight="1" xml:space="preserve">
      <c r="B28" s="4" t="str">
        <v>CIAT (Alliance)</v>
      </c>
      <c r="D28" s="4" t="str" xml:space="preserve">
        <v xml:space="preserve">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v>
      </c>
      <c r="E28" s="4" t="str">
        <v>custom</v>
      </c>
      <c r="F28" s="4" t="str">
        <v>Peru</v>
      </c>
      <c r="G28" s="5">
        <v>10</v>
      </c>
      <c r="H28" s="5">
        <v>27953</v>
      </c>
      <c r="I28" s="4" t="str">
        <v>.</v>
      </c>
      <c r="J28" s="4">
        <v>5244</v>
      </c>
    </row>
    <row r="29" ht="50" customHeight="1" xml:space="preserve">
      <c r="B29" s="4" t="str">
        <v>CIAT (Alliance)</v>
      </c>
      <c r="D29" s="4" t="str" xml:space="preserve">
        <v xml:space="preserve">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v>
      </c>
      <c r="E29" s="4" t="str">
        <v>Number of innovations (innovation development)</v>
      </c>
      <c r="F29" s="4" t="str">
        <v>Ethiopia, The Socialist Republic of Viet Nam, Kenya</v>
      </c>
      <c r="G29" s="5">
        <v>1</v>
      </c>
      <c r="H29" s="5">
        <v>43752</v>
      </c>
      <c r="I29" s="4" t="str">
        <v>.</v>
      </c>
      <c r="J29" s="4">
        <v>5256</v>
      </c>
    </row>
    <row r="30" ht="50" customHeight="1" xml:space="preserve">
      <c r="B30" s="4" t="str">
        <v>CIAT (Alliance)</v>
      </c>
      <c r="D30" s="4" t="str" xml:space="preserve">
        <v xml:space="preserve">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v>
      </c>
      <c r="E30" s="4" t="str">
        <v>Number of innovations (innovation development)</v>
      </c>
      <c r="F30" s="4" t="str">
        <v>Senegal, The Socialist Republic of Viet Nam, Zimbabwe, Tanzania, United Republic, Lao People's Democratic Republic, Ethiopia, Côte d'Ivoire, Cambodia, Kenya, Colombia, Tunisia, Peru, India</v>
      </c>
      <c r="G30" s="5">
        <v>1</v>
      </c>
      <c r="H30" s="5">
        <v>137784</v>
      </c>
      <c r="I30" s="4" t="str">
        <v>.</v>
      </c>
      <c r="J30" s="4">
        <v>5262</v>
      </c>
    </row>
    <row r="31" ht="50" customHeight="1" xml:space="preserve">
      <c r="B31" s="4" t="str">
        <v>CIAT (Alliance)</v>
      </c>
      <c r="D31" s="4" t="str" xml:space="preserve">
        <v xml:space="preserve">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v>
      </c>
      <c r="E31" s="4" t="str">
        <v>Number of knowledge products</v>
      </c>
      <c r="F31" s="4" t="str">
        <v>Ethiopia</v>
      </c>
      <c r="G31" s="5">
        <v>1</v>
      </c>
      <c r="H31" s="5">
        <v>15000</v>
      </c>
      <c r="I31" s="4" t="str">
        <v>.</v>
      </c>
      <c r="J31" s="4">
        <v>7671</v>
      </c>
    </row>
    <row r="32" ht="50" customHeight="1" xml:space="preserve">
      <c r="B32" s="4" t="str">
        <v>CIAT (Alliance)</v>
      </c>
      <c r="D32" s="4" t="str" xml:space="preserve">
        <v xml:space="preserve">Deliverable - A Sentinel Landscape Replication for Evidence-Based Landscape Planning (2026-2027)
Indicator: Field Protocol Updated for MFL</v>
      </c>
      <c r="E32" s="4" t="str">
        <v>Number of knowledge products</v>
      </c>
      <c r="F32" s="4" t="str">
        <v>Peru</v>
      </c>
      <c r="G32" s="5">
        <v>1</v>
      </c>
      <c r="H32" s="5">
        <v>25000</v>
      </c>
      <c r="I32" s="4" t="str">
        <v>.</v>
      </c>
      <c r="J32" s="4">
        <v>7676</v>
      </c>
    </row>
    <row r="33" ht="50" customHeight="1" xml:space="preserve">
      <c r="B33" s="4" t="str">
        <v>CIAT (Alliance)</v>
      </c>
      <c r="D33" s="4" t="str" xml:space="preserve">
        <v xml:space="preserve">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v>
      </c>
      <c r="E33" s="4" t="str">
        <v>Number of innovations (innovation development)</v>
      </c>
      <c r="F33" s="4" t="str">
        <v>Zimbabwe, Lao People's Democratic Republic, Senegal, Tanzania, United Republic, Kenya, India, Ethiopia, Cambodia, Côte d'Ivoire, Peru, The Socialist Republic of Viet Nam, Tunisia, Colombia</v>
      </c>
      <c r="G33" s="5">
        <v>1</v>
      </c>
      <c r="H33" s="5">
        <v>150000</v>
      </c>
      <c r="I33" s="4" t="str">
        <v>.</v>
      </c>
      <c r="J33" s="4">
        <v>7736</v>
      </c>
    </row>
    <row r="34" ht="50" customHeight="1" xml:space="preserve">
      <c r="B34" s="4" t="str">
        <v>CIAT (Alliance)</v>
      </c>
      <c r="D34" s="4" t="str" xml:space="preserve">
        <v xml:space="preserve">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v>
      </c>
      <c r="E34" s="4" t="str">
        <v>Number of innovations (innovation development)</v>
      </c>
      <c r="F34" s="4" t="str">
        <v>Tunisia, Peru, Colombia</v>
      </c>
      <c r="G34" s="5">
        <v>1</v>
      </c>
      <c r="H34" s="5">
        <v>80000</v>
      </c>
      <c r="I34" s="4" t="str">
        <v>.</v>
      </c>
      <c r="J34" s="4">
        <v>7741</v>
      </c>
    </row>
    <row r="35" ht="50" customHeight="1" xml:space="preserve">
      <c r="A35" s="4" t="str">
        <v>AOW02: Landscape Optimization and Inclusive Planning</v>
      </c>
      <c r="B35" s="4" t="str">
        <v>CIAT (Alliance)</v>
      </c>
      <c r="C35" s="4" t="str">
        <v>OP 2.2.4. – Digital Twins for foresight</v>
      </c>
      <c r="D35" s="4" t="str" xml:space="preserve">
        <v xml:space="preserve">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v>
      </c>
      <c r="E35" s="4" t="str">
        <v>Number of innovations (innovation development)</v>
      </c>
      <c r="F35" s="4" t="str">
        <v>Peru, Cambodia, Colombia, The Socialist Republic of Viet Nam, Lao People's Democratic Republic, Ethiopia, India</v>
      </c>
      <c r="G35" s="5">
        <v>3</v>
      </c>
      <c r="H35" s="5">
        <v>137784</v>
      </c>
      <c r="I35" s="4" t="str">
        <v>.</v>
      </c>
      <c r="J35" s="4">
        <v>5302</v>
      </c>
    </row>
    <row r="36" ht="50" customHeight="1" xml:space="preserve">
      <c r="B36" s="4" t="str">
        <v>CIAT (Alliance)</v>
      </c>
      <c r="D36" s="4" t="str" xml:space="preserve">
        <v xml:space="preserve">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v>
      </c>
      <c r="E36" s="4" t="str">
        <v>Number of innovations (innovation development)</v>
      </c>
      <c r="F36" s="4" t="str">
        <v>Kenya, Ethiopia</v>
      </c>
      <c r="G36" s="5">
        <v>1</v>
      </c>
      <c r="H36" s="5">
        <v>10000</v>
      </c>
      <c r="I36" s="4" t="str">
        <v>.</v>
      </c>
      <c r="J36" s="4">
        <v>7668</v>
      </c>
    </row>
    <row r="37" ht="50" customHeight="1" xml:space="preserve">
      <c r="A37" s="4" t="str">
        <v>AOW02: Landscape Optimization and Inclusive Planning</v>
      </c>
      <c r="B37" s="4" t="str">
        <v>CIAT (Alliance)</v>
      </c>
      <c r="C37" s="4" t="str">
        <v>OP 2.1.1. – Hotspot mapping &amp; characterization</v>
      </c>
      <c r="D37" s="4" t="str" xml:space="preserve">
        <v xml:space="preserve">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v>
      </c>
      <c r="E37" s="4" t="str">
        <v>Number of knowledge products</v>
      </c>
      <c r="F37" s="4" t="str">
        <v>Tanzania, United Republic, Kenya</v>
      </c>
      <c r="G37" s="5">
        <v>2</v>
      </c>
      <c r="H37" s="5">
        <v>32222</v>
      </c>
      <c r="I37" s="4" t="str">
        <v>.</v>
      </c>
      <c r="J37" s="4">
        <v>5359</v>
      </c>
    </row>
    <row r="38" ht="50" customHeight="1" xml:space="preserve">
      <c r="B38" s="4" t="str">
        <v>CIAT (Alliance)</v>
      </c>
      <c r="D38" s="4" t="str" xml:space="preserve">
        <v xml:space="preserve">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v>
      </c>
      <c r="E38" s="4" t="str">
        <v>Number of knowledge products</v>
      </c>
      <c r="F38" s="4" t="str">
        <v>Ethiopia, Kenya</v>
      </c>
      <c r="G38" s="5">
        <v>2</v>
      </c>
      <c r="H38" s="5">
        <v>24307</v>
      </c>
      <c r="I38" s="4" t="str">
        <v>.</v>
      </c>
      <c r="J38" s="4">
        <v>5367</v>
      </c>
    </row>
    <row r="39" ht="50" customHeight="1" xml:space="preserve">
      <c r="B39" s="4" t="str">
        <v>CIAT (Alliance)</v>
      </c>
      <c r="D39" s="4" t="str" xml:space="preserve">
        <v xml:space="preserve">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v>
      </c>
      <c r="E39" s="4" t="str">
        <v>Number of innovations (innovation development)</v>
      </c>
      <c r="F39" s="4" t="str">
        <v>Ethiopia, Kenya</v>
      </c>
      <c r="G39" s="5">
        <v>1</v>
      </c>
      <c r="H39" s="5">
        <v>29168</v>
      </c>
      <c r="I39" s="4" t="str">
        <v>.</v>
      </c>
      <c r="J39" s="4">
        <v>5368</v>
      </c>
    </row>
    <row r="40" ht="50" customHeight="1" xml:space="preserve">
      <c r="B40" s="4" t="str">
        <v>CIAT (Alliance)</v>
      </c>
      <c r="D40" s="4" t="str" xml:space="preserve">
        <v xml:space="preserve">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v>
      </c>
      <c r="E40" s="4" t="str">
        <v>Number of knowledge products</v>
      </c>
      <c r="F40" s="4" t="str">
        <v>Kenya, Ethiopia</v>
      </c>
      <c r="G40" s="5">
        <v>2</v>
      </c>
      <c r="H40" s="5">
        <v>49168</v>
      </c>
      <c r="I40" s="4" t="str">
        <v>.</v>
      </c>
      <c r="J40" s="4">
        <v>5369</v>
      </c>
    </row>
    <row r="41" ht="50" customHeight="1" xml:space="preserve">
      <c r="B41" s="4" t="str">
        <v>CIAT (Alliance)</v>
      </c>
      <c r="D41" s="4" t="str" xml:space="preserve">
        <v xml:space="preserve">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v>
      </c>
      <c r="E41" s="4" t="str">
        <v>Number of knowledge products</v>
      </c>
      <c r="F41" s="4" t="str">
        <v>Ethiopia, Tanzania, United Republic, India</v>
      </c>
      <c r="G41" s="5">
        <v>2</v>
      </c>
      <c r="H41" s="5">
        <v>27710</v>
      </c>
      <c r="I41" s="4" t="str">
        <v>.</v>
      </c>
      <c r="J41" s="4">
        <v>5372</v>
      </c>
    </row>
    <row r="42" ht="50" customHeight="1" xml:space="preserve">
      <c r="B42" s="4" t="str">
        <v>CIAT (Alliance)</v>
      </c>
      <c r="D42" s="4" t="str" xml:space="preserve">
        <v xml:space="preserve">Deliverable - Maps quantifying trends in ecosystem services value (ESV) due to land use changes
Indicator: Number of validated maps on value of ecosystem services</v>
      </c>
      <c r="E42" s="4" t="str">
        <v>Number of knowledge products</v>
      </c>
      <c r="F42" s="4" t="str">
        <v>Kenya, Ethiopia</v>
      </c>
      <c r="G42" s="5">
        <v>2</v>
      </c>
      <c r="H42" s="5">
        <v>20000</v>
      </c>
      <c r="I42" s="4" t="str">
        <v>.</v>
      </c>
      <c r="J42" s="4">
        <v>7681</v>
      </c>
    </row>
    <row r="43" ht="50" customHeight="1" xml:space="preserve">
      <c r="A43" s="4" t="str">
        <v>AOW02: Landscape Optimization and Inclusive Planning</v>
      </c>
      <c r="B43" s="4" t="str">
        <v>CIAT (Alliance)</v>
      </c>
      <c r="C43" s="4" t="str">
        <v>OP 2.2.2. – Landscape visions &amp; co-developed plans</v>
      </c>
      <c r="D43" s="4" t="str" xml:space="preserve">
        <v xml:space="preserve">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v>
      </c>
      <c r="E43" s="4" t="str">
        <v>custom</v>
      </c>
      <c r="F43" s="4" t="str">
        <v>Ethiopia, Colombia, Kenya, Peru, Senegal</v>
      </c>
      <c r="G43" s="5">
        <v>5</v>
      </c>
      <c r="H43" s="5">
        <v>90000</v>
      </c>
      <c r="I43" s="4" t="str">
        <v>.</v>
      </c>
      <c r="J43" s="4">
        <v>5379</v>
      </c>
    </row>
    <row r="44" ht="50" customHeight="1" xml:space="preserve">
      <c r="B44" s="4" t="str">
        <v>CIAT (Alliance)</v>
      </c>
      <c r="D44" s="4" t="str" xml:space="preserve">
        <v xml:space="preserve">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v>
      </c>
      <c r="E44" s="4" t="str">
        <v>Number of knowledge products</v>
      </c>
      <c r="F44" s="4" t="str">
        <v>Ethiopia, Tunisia, Peru, Colombia, Kenya, Zimbabwe, India</v>
      </c>
      <c r="G44" s="5">
        <v>1</v>
      </c>
      <c r="H44" s="5">
        <v>40000</v>
      </c>
      <c r="I44" s="4" t="str">
        <v>.</v>
      </c>
      <c r="J44" s="4">
        <v>5380</v>
      </c>
    </row>
    <row r="45" ht="50" customHeight="1" xml:space="preserve">
      <c r="B45" s="4" t="str">
        <v>CIAT (Alliance)</v>
      </c>
      <c r="D45" s="4" t="str" xml:space="preserve">
        <v xml:space="preserve">Deliverable: Landscape work alignment and coherence. 
Indicator: Number of country reports on landscape alignment and coherence</v>
      </c>
      <c r="E45" s="4" t="str">
        <v>Number of knowledge products</v>
      </c>
      <c r="F45" s="4" t="str">
        <v>Ethiopia, Colombia, Peru, Kenya</v>
      </c>
      <c r="G45" s="5">
        <v>4</v>
      </c>
      <c r="H45" s="5">
        <v>80000</v>
      </c>
      <c r="I45" s="4" t="str">
        <v>.</v>
      </c>
      <c r="J45" s="4">
        <v>7743</v>
      </c>
    </row>
    <row r="46" ht="25" customHeight="1">
      <c r="C46" s="9" t="str">
        <v>HLO budget subtotal</v>
      </c>
      <c r="H46" s="9">
        <v>1122662</v>
      </c>
      <c r="J46" s="9" t="str">
        <v/>
      </c>
    </row>
    <row r="47" ht="50" customHeight="1" xml:space="preserve">
      <c r="A47" s="8" t="str">
        <v>AOW03: Business Models, Markets, and Sustainable Finance</v>
      </c>
      <c r="B47" s="4" t="str">
        <v>CIAT (Alliance)</v>
      </c>
      <c r="C47" s="4" t="str">
        <v>OP 3.4.5. Integrated policy–market–finance pathways</v>
      </c>
      <c r="D47" s="4" t="str" xml:space="preserve">
        <v xml:space="preserve">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v>
      </c>
      <c r="E47" s="4" t="str">
        <v>custom</v>
      </c>
      <c r="F47" s="4" t="str">
        <v>Colombia, Peru</v>
      </c>
      <c r="G47" s="5">
        <v>50</v>
      </c>
      <c r="H47" s="5">
        <v>79000</v>
      </c>
      <c r="I47" s="4" t="str">
        <v>.</v>
      </c>
      <c r="J47" s="4">
        <v>5269</v>
      </c>
    </row>
    <row r="48" ht="50" customHeight="1">
      <c r="B48" s="4" t="str">
        <v>CIAT (Alliance)</v>
      </c>
      <c r="D48" s="4" t="str">
        <v>Number of evidence-based frameworks and decision support tools developed for policy-market-finance alignment</v>
      </c>
      <c r="E48" s="4" t="str">
        <v>Number of innovations (innovation development)</v>
      </c>
      <c r="F48" s="4" t="str">
        <v>Cambodia, Zimbabwe, Senegal, India, Côte d'Ivoire, Tanzania, United Republic, The Socialist Republic of Viet Nam, Colombia, Peru, Tunisia, Kenya, Lao People's Democratic Republic, Ethiopia</v>
      </c>
      <c r="G48" s="5">
        <v>0</v>
      </c>
      <c r="H48" s="5">
        <v>0</v>
      </c>
      <c r="I48" s="4" t="str">
        <v/>
      </c>
      <c r="J48" s="4">
        <v>5271</v>
      </c>
    </row>
    <row r="49" ht="50" customHeight="1" xml:space="preserve">
      <c r="A49" s="4" t="str">
        <v>AOW03: Business Models, Markets, and Sustainable Finance</v>
      </c>
      <c r="B49" s="4" t="str">
        <v>CIAT (Alliance)</v>
      </c>
      <c r="C49" s="4" t="str">
        <v>OP 3.2.2. Inclusive business models</v>
      </c>
      <c r="D49" s="4" t="str" xml:space="preserve">
        <v xml:space="preserve">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v>
      </c>
      <c r="E49" s="4" t="str">
        <v>Number of knowledge products</v>
      </c>
      <c r="F49" s="4" t="str">
        <v>Peru</v>
      </c>
      <c r="G49" s="5">
        <v>4</v>
      </c>
      <c r="H49" s="5">
        <v>79500</v>
      </c>
      <c r="I49" s="4" t="str">
        <v>.</v>
      </c>
      <c r="J49" s="4">
        <v>5407</v>
      </c>
    </row>
    <row r="50" ht="50" customHeight="1" xml:space="preserve">
      <c r="B50" s="4" t="str">
        <v>CIAT (Alliance)</v>
      </c>
      <c r="D50" s="4" t="str" xml:space="preserve">
        <v xml:space="preserve">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v>
      </c>
      <c r="E50" s="4" t="str">
        <v>Number of innovations (innovation development)</v>
      </c>
      <c r="F50" s="4" t="str">
        <v>Senegal</v>
      </c>
      <c r="G50" s="5">
        <v>2</v>
      </c>
      <c r="H50" s="5">
        <v>23000</v>
      </c>
      <c r="I50" s="4" t="str">
        <v>.</v>
      </c>
      <c r="J50" s="4">
        <v>5408</v>
      </c>
    </row>
    <row r="51" ht="50" customHeight="1" xml:space="preserve">
      <c r="B51" s="4" t="str">
        <v>CIAT (Alliance)</v>
      </c>
      <c r="D51" s="4" t="str" xml:space="preserve">
        <v xml:space="preserve">Deliverable - Agroecological Business Models in Two Priority Value Chains characterized: Characterization of the currents and agroecological business models of the actors of the two value chains
Indicator:  Number of current and agroecological business models assessed</v>
      </c>
      <c r="E51" s="4" t="str">
        <v>Number of knowledge products</v>
      </c>
      <c r="F51" s="4" t="str">
        <v>Senegal</v>
      </c>
      <c r="G51" s="5">
        <v>2</v>
      </c>
      <c r="H51" s="5">
        <v>28300</v>
      </c>
      <c r="I51" s="4" t="str">
        <v>.</v>
      </c>
      <c r="J51" s="4">
        <v>5409</v>
      </c>
    </row>
    <row r="52" ht="50" customHeight="1" xml:space="preserve">
      <c r="B52" s="4" t="str">
        <v>CIAT (Alliance)</v>
      </c>
      <c r="D52" s="4" t="str" xml:space="preserve">
        <v xml:space="preserve">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v>
      </c>
      <c r="E52" s="4" t="str">
        <v>Number of knowledge products</v>
      </c>
      <c r="F52" s="4" t="str">
        <v>Senegal</v>
      </c>
      <c r="G52" s="5">
        <v>2</v>
      </c>
      <c r="H52" s="5">
        <v>20000</v>
      </c>
      <c r="I52" s="4" t="str">
        <v>.</v>
      </c>
      <c r="J52" s="4">
        <v>5410</v>
      </c>
    </row>
    <row r="53" ht="50" customHeight="1" xml:space="preserve">
      <c r="B53" s="4" t="str">
        <v>CIAT (Alliance)</v>
      </c>
      <c r="D53" s="4" t="str" xml:space="preserve">
        <v xml:space="preserve">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v>
      </c>
      <c r="E53" s="4" t="str">
        <v>Number of knowledge products</v>
      </c>
      <c r="F53" s="4" t="str">
        <v>Senegal</v>
      </c>
      <c r="G53" s="5">
        <v>2</v>
      </c>
      <c r="H53" s="5">
        <v>20000</v>
      </c>
      <c r="I53" s="4" t="str">
        <v>.</v>
      </c>
      <c r="J53" s="4">
        <v>5411</v>
      </c>
    </row>
    <row r="54" ht="50" customHeight="1" xml:space="preserve">
      <c r="B54" s="4" t="str">
        <v>CIAT (Alliance)</v>
      </c>
      <c r="D54" s="4" t="str" xml:space="preserve">
        <v xml:space="preserve">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v>
      </c>
      <c r="E54" s="4" t="str">
        <v>Number of innovations (innovation development)</v>
      </c>
      <c r="F54" s="4" t="str">
        <v>Colombia</v>
      </c>
      <c r="G54" s="5">
        <v>3</v>
      </c>
      <c r="H54" s="5">
        <v>59500</v>
      </c>
      <c r="I54" s="4" t="str">
        <v>.</v>
      </c>
      <c r="J54" s="4">
        <v>5415</v>
      </c>
    </row>
    <row r="55" ht="50" customHeight="1" xml:space="preserve">
      <c r="B55" s="4" t="str">
        <v>CIAT (Alliance)</v>
      </c>
      <c r="D55" s="4" t="str" xml:space="preserve">
        <v xml:space="preserve">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v>
      </c>
      <c r="E55" s="4" t="str">
        <v>custom</v>
      </c>
      <c r="F55" s="4" t="str">
        <v>Kenya</v>
      </c>
      <c r="G55" s="5">
        <v>135</v>
      </c>
      <c r="H55" s="5">
        <v>64500</v>
      </c>
      <c r="I55" s="4" t="str">
        <v>.</v>
      </c>
      <c r="J55" s="4">
        <v>5416</v>
      </c>
    </row>
    <row r="56" ht="50" customHeight="1" xml:space="preserve">
      <c r="B56" s="4" t="str">
        <v>CIAT (Alliance)</v>
      </c>
      <c r="D56" s="4" t="str" xml:space="preserve">
        <v xml:space="preserve">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v>
      </c>
      <c r="E56" s="4" t="str">
        <v>Number of innovations (innovation development)</v>
      </c>
      <c r="F56" s="4" t="str">
        <v>Kenya</v>
      </c>
      <c r="G56" s="5">
        <v>2</v>
      </c>
      <c r="H56" s="5">
        <v>51845</v>
      </c>
      <c r="I56" s="4" t="str">
        <v>.</v>
      </c>
      <c r="J56" s="4">
        <v>5417</v>
      </c>
    </row>
    <row r="57" ht="50" customHeight="1" xml:space="preserve">
      <c r="B57" s="4" t="str">
        <v>CIAT (Alliance)</v>
      </c>
      <c r="D57" s="4" t="str" xml:space="preserve">
        <v xml:space="preserve">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v>
      </c>
      <c r="E57" s="4" t="str">
        <v>custom</v>
      </c>
      <c r="F57" s="4" t="str">
        <v>Kenya</v>
      </c>
      <c r="G57" s="5">
        <v>100</v>
      </c>
      <c r="H57" s="5">
        <v>36500</v>
      </c>
      <c r="I57" s="4" t="str">
        <v>.</v>
      </c>
      <c r="J57" s="4">
        <v>5418</v>
      </c>
    </row>
    <row r="58" ht="50" customHeight="1" xml:space="preserve">
      <c r="B58" s="4" t="str">
        <v>CIAT (Alliance)</v>
      </c>
      <c r="D58" s="4" t="str" xml:space="preserve">
        <v xml:space="preserve">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v>
      </c>
      <c r="E58" s="4" t="str">
        <v>Number of knowledge products</v>
      </c>
      <c r="F58" s="4" t="str">
        <v>Colombia</v>
      </c>
      <c r="G58" s="5">
        <v>1</v>
      </c>
      <c r="H58" s="5">
        <v>58000</v>
      </c>
      <c r="I58" s="4" t="str">
        <v>.</v>
      </c>
      <c r="J58" s="4">
        <v>7409</v>
      </c>
    </row>
    <row r="59" ht="50" customHeight="1" xml:space="preserve">
      <c r="B59" s="4" t="str">
        <v>CIAT (Alliance)</v>
      </c>
      <c r="D59" s="4" t="str" xml:space="preserve">
        <v xml:space="preserve">Deliverable - AE business models for Ethiopia and Peru targeting wheat and cocoa value chains. 
Indicator: Number of agroecological business models targeting wheat and cocoa value chains. </v>
      </c>
      <c r="E59" s="4" t="str">
        <v>Number of innovations (innovation development)</v>
      </c>
      <c r="F59" s="4" t="str">
        <v>Peru, Ethiopia</v>
      </c>
      <c r="G59" s="5">
        <v>2</v>
      </c>
      <c r="H59" s="5">
        <v>30000</v>
      </c>
      <c r="I59" s="4" t="str">
        <v>.</v>
      </c>
      <c r="J59" s="4">
        <v>7412</v>
      </c>
    </row>
    <row r="60" ht="50" customHeight="1" xml:space="preserve">
      <c r="A60" s="4" t="str">
        <v>AOW03: Business Models, Markets, and Sustainable Finance</v>
      </c>
      <c r="B60" s="4" t="str">
        <v>CIAT (Alliance)</v>
      </c>
      <c r="C60" s="4" t="str">
        <v>OP 3.3.3. Co-designed inclusive market and non-market mechanisms for optimizing ecosystem services</v>
      </c>
      <c r="D60" s="4" t="str" xml:space="preserve">
        <v xml:space="preserve">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v>
      </c>
      <c r="E60" s="4" t="str">
        <v>Number of innovations (innovation development)</v>
      </c>
      <c r="F60" s="4" t="str">
        <v>Colombia</v>
      </c>
      <c r="G60" s="5">
        <v>2</v>
      </c>
      <c r="H60" s="5">
        <v>72082</v>
      </c>
      <c r="I60" s="4" t="str">
        <v>.</v>
      </c>
      <c r="J60" s="4">
        <v>5424</v>
      </c>
    </row>
    <row r="61" ht="50" customHeight="1" xml:space="preserve">
      <c r="B61" s="4" t="str">
        <v>CIAT (Alliance)</v>
      </c>
      <c r="D61" s="4" t="str" xml:space="preserve">
        <v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v>
      </c>
      <c r="E61" s="4" t="str">
        <v>Number of innovations (innovation development)</v>
      </c>
      <c r="F61" s="4" t="str">
        <v>Colombia</v>
      </c>
      <c r="G61" s="5">
        <v>2</v>
      </c>
      <c r="H61" s="5">
        <v>98000</v>
      </c>
      <c r="I61" s="4" t="str">
        <v>.</v>
      </c>
      <c r="J61" s="4">
        <v>5427</v>
      </c>
    </row>
    <row r="62" ht="50" customHeight="1" xml:space="preserve">
      <c r="B62" s="4" t="str">
        <v>CIAT (Alliance)</v>
      </c>
      <c r="D62" s="4" t="str" xml:space="preserve">
        <v xml:space="preserve">Deliverable - Territorial Market Model Linking Schools and Farmer Research Networks: Co-design and implement a Territorial market model bringing together MFL schools and Farmer research networks
Indicator: Number of territorial market models co-designed</v>
      </c>
      <c r="E62" s="4" t="str">
        <v>Number of innovations (innovation development)</v>
      </c>
      <c r="F62" s="4" t="str">
        <v>Kenya</v>
      </c>
      <c r="G62" s="5">
        <v>2</v>
      </c>
      <c r="H62" s="5">
        <v>34500</v>
      </c>
      <c r="I62" s="4" t="str">
        <v>.</v>
      </c>
      <c r="J62" s="4">
        <v>5431</v>
      </c>
    </row>
    <row r="63" ht="50" customHeight="1" xml:space="preserve">
      <c r="A63" s="4" t="str">
        <v>AOW03: Business Models, Markets, and Sustainable Finance</v>
      </c>
      <c r="B63" s="4" t="str">
        <v>CIAT (Alliance)</v>
      </c>
      <c r="C63" s="4" t="str">
        <v>OP 3.1.1. Capacity strengthening for producer organizations &amp; value chains</v>
      </c>
      <c r="D63" s="4" t="str" xml:space="preserve">
        <v xml:space="preserve">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v>
      </c>
      <c r="E63" s="4" t="str">
        <v>custom</v>
      </c>
      <c r="F63" s="4" t="str">
        <v>Peru</v>
      </c>
      <c r="G63" s="5">
        <v>7</v>
      </c>
      <c r="H63" s="5">
        <v>58336</v>
      </c>
      <c r="I63" s="4" t="str">
        <v>.</v>
      </c>
      <c r="J63" s="4">
        <v>5433</v>
      </c>
    </row>
    <row r="64" ht="50" customHeight="1" xml:space="preserve">
      <c r="B64" s="4" t="str">
        <v>CIAT (Alliance)</v>
      </c>
      <c r="D64" s="4" t="str" xml:space="preserve">
        <v xml:space="preserve">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v>
      </c>
      <c r="E64" s="4" t="str">
        <v>Number of people trained (capacity sharing for development)</v>
      </c>
      <c r="F64" s="4" t="str">
        <v>Peru</v>
      </c>
      <c r="G64" s="5">
        <v>120</v>
      </c>
      <c r="H64" s="5">
        <v>34750</v>
      </c>
      <c r="I64" s="4" t="str">
        <v>.</v>
      </c>
      <c r="J64" s="4">
        <v>5434</v>
      </c>
    </row>
    <row r="65" ht="50" customHeight="1" xml:space="preserve">
      <c r="B65" s="4" t="str">
        <v>CIAT (Alliance)</v>
      </c>
      <c r="D65" s="4" t="str" xml:space="preserve">
        <v xml:space="preserve">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v>
      </c>
      <c r="E65" s="4" t="str">
        <v>Number of people trained (capacity sharing for development)</v>
      </c>
      <c r="F65" s="4" t="str">
        <v>Colombia</v>
      </c>
      <c r="G65" s="5">
        <v>50</v>
      </c>
      <c r="H65" s="5">
        <v>49500</v>
      </c>
      <c r="I65" s="4" t="str">
        <v>.</v>
      </c>
      <c r="J65" s="4">
        <v>5435</v>
      </c>
    </row>
    <row r="66" ht="50" customHeight="1" xml:space="preserve">
      <c r="A66" s="4" t="str">
        <v>AOW03: Business Models, Markets, and Sustainable Finance</v>
      </c>
      <c r="B66" s="4" t="str">
        <v>CIAT (Alliance)</v>
      </c>
      <c r="C66" s="4" t="str">
        <v>OP 3.3.4. Innovative sustainable finance instruments</v>
      </c>
      <c r="D66" s="4" t="str" xml:space="preserve">
        <v xml:space="preserve">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v>
      </c>
      <c r="E66" s="4" t="str">
        <v>Number of innovations (innovation development)</v>
      </c>
      <c r="F66" s="4" t="str">
        <v>Ethiopia, Kenya</v>
      </c>
      <c r="G66" s="5">
        <v>2</v>
      </c>
      <c r="H66" s="5">
        <v>99000</v>
      </c>
      <c r="I66" s="4" t="str">
        <v>.</v>
      </c>
      <c r="J66" s="4">
        <v>5437</v>
      </c>
    </row>
    <row r="67" ht="50" customHeight="1" xml:space="preserve">
      <c r="B67" s="4" t="str">
        <v>CIAT (Alliance)</v>
      </c>
      <c r="D67" s="4" t="str" xml:space="preserve">
        <v xml:space="preserve">Deliverable - MFL accelerator/incubator program 
Indicator: Number of MFL accelerator/incubator programs established</v>
      </c>
      <c r="E67" s="4" t="str">
        <v>Number of innovations (innovation development)</v>
      </c>
      <c r="F67" s="4" t="str">
        <v>Ethiopia, Peru, Zimbabwe, Colombia</v>
      </c>
      <c r="G67" s="5">
        <v>4</v>
      </c>
      <c r="H67" s="5">
        <v>110220</v>
      </c>
      <c r="I67" s="4" t="str">
        <v>.</v>
      </c>
      <c r="J67" s="4">
        <v>5438</v>
      </c>
    </row>
    <row r="68" ht="50" customHeight="1" xml:space="preserve">
      <c r="B68" s="4" t="str">
        <v>CIAT (Alliance)</v>
      </c>
      <c r="D68" s="4" t="str" xml:space="preserve">
        <v xml:space="preserve">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v>
      </c>
      <c r="E68" s="4" t="str">
        <v>custom</v>
      </c>
      <c r="F68" s="4" t="str">
        <v>Ethiopia, Tunisia, Colombia, Peru, India</v>
      </c>
      <c r="G68" s="5">
        <v>10</v>
      </c>
      <c r="H68" s="5">
        <v>38000</v>
      </c>
      <c r="I68" s="4" t="str">
        <v>.</v>
      </c>
      <c r="J68" s="4">
        <v>7414</v>
      </c>
    </row>
    <row r="69" ht="25" customHeight="1">
      <c r="C69" s="9" t="str">
        <v>HLO budget subtotal</v>
      </c>
      <c r="H69" s="9">
        <v>1144533</v>
      </c>
      <c r="J69" s="9" t="str">
        <v/>
      </c>
    </row>
    <row r="70" ht="50" customHeight="1" xml:space="preserve">
      <c r="A70" s="8" t="str">
        <v>AOW04: Governance, Institutions, Policy, and Inclusion</v>
      </c>
      <c r="B70" s="4" t="str">
        <v>CIAT (Alliance)</v>
      </c>
      <c r="C70" s="4" t="str">
        <v>OP 4.1.2 GEYSI for co-creation and inclusive governance</v>
      </c>
      <c r="D70" s="4" t="str" xml:space="preserve">
        <v xml:space="preserve">Deliverable: Capacity strengthening on inclusive governance
Indicator: Number of stakeholders trained on inclusive governance
</v>
      </c>
      <c r="E70" s="4" t="str">
        <v>Number of people trained (capacity sharing for development)</v>
      </c>
      <c r="F70" s="4" t="str">
        <v>Senegal</v>
      </c>
      <c r="G70" s="5">
        <v>50</v>
      </c>
      <c r="H70" s="5">
        <v>7292</v>
      </c>
      <c r="I70" s="4" t="str">
        <v>.</v>
      </c>
      <c r="J70" s="4">
        <v>5278</v>
      </c>
    </row>
    <row r="71" ht="50" customHeight="1" xml:space="preserve">
      <c r="B71" s="4" t="str">
        <v>CIAT (Alliance)</v>
      </c>
      <c r="D71" s="4" t="str" xml:space="preserve">
        <v xml:space="preserve">Deliverable: GEYSI capacity in MFL policies and institutions
Indicator: Number of assessments on GEYSI inclusion in MFL institutions, business models and/or policies implemented</v>
      </c>
      <c r="E71" s="4" t="str">
        <v>Number of knowledge products</v>
      </c>
      <c r="F71" s="4" t="str">
        <v>India, Peru, Colombia</v>
      </c>
      <c r="G71" s="5">
        <v>3</v>
      </c>
      <c r="H71" s="5">
        <v>69301</v>
      </c>
      <c r="I71" s="4" t="str">
        <v>.</v>
      </c>
      <c r="J71" s="4">
        <v>5279</v>
      </c>
    </row>
    <row r="72" ht="50" customHeight="1" xml:space="preserve">
      <c r="B72" s="4" t="str">
        <v>CIAT (Alliance)</v>
      </c>
      <c r="D72" s="4" t="str" xml:space="preserve">
        <v xml:space="preserve">Deliverable: Recommendations and guidance for MFL governance, GEYSI methods and tools, landscape level gender transformative research 
Indicator: Number of GEYSI recommendations packages developed</v>
      </c>
      <c r="E72" s="4" t="str">
        <v>Number of knowledge products</v>
      </c>
      <c r="F72" s="4" t="str">
        <v>India, Peru, Colombia, Senegal</v>
      </c>
      <c r="G72" s="5">
        <v>5</v>
      </c>
      <c r="H72" s="5">
        <v>68661</v>
      </c>
      <c r="I72" s="4" t="str">
        <v>.</v>
      </c>
      <c r="J72" s="4">
        <v>5280</v>
      </c>
    </row>
    <row r="73" ht="50" customHeight="1" xml:space="preserve">
      <c r="B73" s="4" t="str">
        <v>CIAT (Alliance)</v>
      </c>
      <c r="D73" s="4" t="str" xml:space="preserve">
        <v xml:space="preserve">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v>
      </c>
      <c r="E73" s="4" t="str">
        <v>Number of knowledge products</v>
      </c>
      <c r="F73" s="4" t="str">
        <v>Colombia, Lao People's Democratic Republic, India</v>
      </c>
      <c r="G73" s="5">
        <v>1</v>
      </c>
      <c r="H73" s="5">
        <v>29168</v>
      </c>
      <c r="I73" s="4" t="str">
        <v>.</v>
      </c>
      <c r="J73" s="4">
        <v>5285</v>
      </c>
    </row>
    <row r="74" ht="50" customHeight="1" xml:space="preserve">
      <c r="B74" s="4" t="str">
        <v>CIAT (Alliance)</v>
      </c>
      <c r="D74" s="4" t="str" xml:space="preserve">
        <v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v>
      </c>
      <c r="E74" s="4" t="str">
        <v>Number of knowledge products</v>
      </c>
      <c r="F74" s="4" t="str">
        <v>Côte d'Ivoire, Senegal, Cambodia, Zimbabwe, Lao People's Democratic Republic, The Socialist Republic of Viet Nam, Tunisia, Ethiopia, Colombia, Kenya, India, Peru</v>
      </c>
      <c r="G74" s="5">
        <v>1</v>
      </c>
      <c r="H74" s="5">
        <v>55628</v>
      </c>
      <c r="I74" s="4" t="str">
        <v>.</v>
      </c>
      <c r="J74" s="4">
        <v>5286</v>
      </c>
    </row>
    <row r="75" ht="50" customHeight="1" xml:space="preserve">
      <c r="A75" s="4" t="str">
        <v>AOW04: Governance, Institutions, Policy, and Inclusion</v>
      </c>
      <c r="B75" s="4" t="str">
        <v>CIAT (Alliance)</v>
      </c>
      <c r="C75" s="4" t="str">
        <v>OP 4.3.2. Engagement frameworks and pilots</v>
      </c>
      <c r="D75" s="4" t="str" xml:space="preserve">
        <v xml:space="preserve">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v>
      </c>
      <c r="E75" s="4" t="str">
        <v>Number of knowledge products</v>
      </c>
      <c r="F75" s="4" t="str">
        <v>Kenya, Ethiopia</v>
      </c>
      <c r="G75" s="5">
        <v>2</v>
      </c>
      <c r="H75" s="5">
        <v>20000</v>
      </c>
      <c r="I75" s="4" t="str">
        <v>.</v>
      </c>
      <c r="J75" s="4">
        <v>5331</v>
      </c>
    </row>
    <row r="76" ht="50" customHeight="1" xml:space="preserve">
      <c r="B76" s="4" t="str">
        <v>CIAT (Alliance)</v>
      </c>
      <c r="D76" s="4" t="str" xml:space="preserve">
        <v xml:space="preserve">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v>
      </c>
      <c r="E76" s="4" t="str">
        <v>Number of knowledge products</v>
      </c>
      <c r="F76" s="4" t="str">
        <v>Peru, Ethiopia</v>
      </c>
      <c r="G76" s="5">
        <v>2</v>
      </c>
      <c r="H76" s="5">
        <v>54690</v>
      </c>
      <c r="I76" s="4" t="str">
        <v>.</v>
      </c>
      <c r="J76" s="4">
        <v>5332</v>
      </c>
    </row>
    <row r="77" ht="50" customHeight="1" xml:space="preserve">
      <c r="B77" s="4" t="str">
        <v>CIAT (Alliance)</v>
      </c>
      <c r="D77" s="4" t="str" xml:space="preserve">
        <v xml:space="preserve">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v>
      </c>
      <c r="E77" s="4" t="str">
        <v>Number of knowledge products</v>
      </c>
      <c r="F77" s="4" t="str">
        <v>Tunisia, Zimbabwe, Ethiopia, Kenya, The Socialist Republic of Viet Nam, Peru, Cambodia, India, Côte d'Ivoire, Senegal, Lao People's Democratic Republic, Tanzania, United Republic, Colombia</v>
      </c>
      <c r="G77" s="5">
        <v>1</v>
      </c>
      <c r="H77" s="5">
        <v>50000</v>
      </c>
      <c r="I77" s="4" t="str">
        <v>.</v>
      </c>
      <c r="J77" s="4">
        <v>7739</v>
      </c>
    </row>
    <row r="78" ht="50" customHeight="1" xml:space="preserve">
      <c r="A78" s="4" t="str">
        <v>AOW04: Governance, Institutions, Policy, and Inclusion</v>
      </c>
      <c r="B78" s="4" t="str">
        <v>CIAT (Alliance)</v>
      </c>
      <c r="C78" s="4" t="str">
        <v>OP 4.2.1. Institutional, social and behavioral mechanisms</v>
      </c>
      <c r="D78" s="4" t="str" xml:space="preserve">
        <v xml:space="preserve">Deliverable: Strategies in concept phase to support behavior change, structural leverage points, collective action and inclusive social movements in context of biodiversity loss, climate change, water stress/scarcity,
Indicator: Number of strategies to support behavior changes tested</v>
      </c>
      <c r="E78" s="4" t="str">
        <v>Number of innovations (innovation development)</v>
      </c>
      <c r="F78" s="4" t="str">
        <v>India, Peru, Colombia</v>
      </c>
      <c r="G78" s="5">
        <v>1</v>
      </c>
      <c r="H78" s="5">
        <v>32814</v>
      </c>
      <c r="I78" s="4" t="str">
        <v>.</v>
      </c>
      <c r="J78" s="4">
        <v>5339</v>
      </c>
    </row>
    <row r="79" ht="50" customHeight="1" xml:space="preserve">
      <c r="B79" s="4" t="str">
        <v>CIAT (Alliance)</v>
      </c>
      <c r="D79" s="4" t="str" xml:space="preserve">
        <v xml:space="preserve">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v>
      </c>
      <c r="E79" s="4" t="str">
        <v>Number of knowledge products</v>
      </c>
      <c r="F79" s="4" t="str">
        <v>India, Tunisia, Colombia, Ethiopia, Peru</v>
      </c>
      <c r="G79" s="5">
        <v>1</v>
      </c>
      <c r="H79" s="5">
        <v>10000</v>
      </c>
      <c r="I79" s="4" t="str">
        <v>.</v>
      </c>
      <c r="J79" s="4">
        <v>7469</v>
      </c>
    </row>
    <row r="80" ht="50" customHeight="1" xml:space="preserve">
      <c r="B80" s="4" t="str">
        <v>CIAT (Alliance)</v>
      </c>
      <c r="D80" s="4" t="str" xml:space="preserve">
        <v xml:space="preserve">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v>
      </c>
      <c r="E80" s="4" t="str">
        <v>Number of knowledge products</v>
      </c>
      <c r="F80" s="4" t="str">
        <v>Peru, Zimbabwe, India, Colombia</v>
      </c>
      <c r="G80" s="5">
        <v>2</v>
      </c>
      <c r="H80" s="5">
        <v>30000</v>
      </c>
      <c r="I80" s="4" t="str">
        <v>.</v>
      </c>
      <c r="J80" s="4">
        <v>7472</v>
      </c>
    </row>
    <row r="81" ht="50" customHeight="1" xml:space="preserve">
      <c r="A81" s="4" t="str">
        <v>AOW04: Governance, Institutions, Policy, and Inclusion</v>
      </c>
      <c r="B81" s="4" t="str">
        <v>CIAT (Alliance)</v>
      </c>
      <c r="C81" s="4" t="str">
        <v>OP 4.1.1. Inclusive governance architectures</v>
      </c>
      <c r="D81" s="4" t="str" xml:space="preserve">
        <v xml:space="preserve">Deliverable: Co-development of capacity sharing module for forest-related conflict management and resolution to be used by Kenya´s Community Forest Associations (CFA)
Indicator: Number of members of Community Forest Associations trained on conflict-sensitive forest governance</v>
      </c>
      <c r="E81" s="4" t="str">
        <v>Number of people trained (capacity sharing for development)</v>
      </c>
      <c r="F81" s="4" t="str">
        <v>Kenya</v>
      </c>
      <c r="G81" s="5">
        <v>20</v>
      </c>
      <c r="H81" s="5">
        <v>35060</v>
      </c>
      <c r="I81" s="4" t="str">
        <v>.</v>
      </c>
      <c r="J81" s="4">
        <v>5394</v>
      </c>
    </row>
    <row r="82" ht="50" customHeight="1" xml:space="preserve">
      <c r="B82" s="4" t="str">
        <v>CIAT (Alliance)</v>
      </c>
      <c r="D82" s="4" t="str" xml:space="preserve">
        <v xml:space="preserve">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v>
      </c>
      <c r="E82" s="4" t="str">
        <v>Number of knowledge products</v>
      </c>
      <c r="F82" s="4" t="str">
        <v>Kenya</v>
      </c>
      <c r="G82" s="5">
        <v>3</v>
      </c>
      <c r="H82" s="5">
        <v>35000</v>
      </c>
      <c r="I82" s="4" t="str">
        <v>.</v>
      </c>
      <c r="J82" s="4">
        <v>5395</v>
      </c>
    </row>
    <row r="83" ht="50" customHeight="1" xml:space="preserve">
      <c r="B83" s="4" t="str">
        <v>CIAT (Alliance)</v>
      </c>
      <c r="D83" s="4" t="str" xml:space="preserve">
        <v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v>
      </c>
      <c r="E83" s="4" t="str">
        <v>Number of knowledge products</v>
      </c>
      <c r="F83" s="4" t="str">
        <v>Colombia</v>
      </c>
      <c r="G83" s="5">
        <v>1</v>
      </c>
      <c r="H83" s="5">
        <v>29168</v>
      </c>
      <c r="I83" s="4" t="str">
        <v>.</v>
      </c>
      <c r="J83" s="4">
        <v>5400</v>
      </c>
    </row>
    <row r="84" ht="50" customHeight="1" xml:space="preserve">
      <c r="B84" s="4" t="str">
        <v>CIAT (Alliance)</v>
      </c>
      <c r="D84" s="4" t="str" xml:space="preserve">
        <v xml:space="preserve">Deliverable: Operationalization of landscape governance tool in Omo-Gibe landscape to establish a functional, inclusive, and coordinated governance architecture
Indicator: Number of landscape governance tools operationalized </v>
      </c>
      <c r="E84" s="4" t="str">
        <v>Number of knowledge products</v>
      </c>
      <c r="F84" s="4" t="str">
        <v>Ethiopia</v>
      </c>
      <c r="G84" s="5">
        <v>1</v>
      </c>
      <c r="H84" s="5">
        <v>20000</v>
      </c>
      <c r="I84" s="4" t="str">
        <v>.</v>
      </c>
      <c r="J84" s="4">
        <v>7447</v>
      </c>
    </row>
    <row r="85" ht="50" customHeight="1" xml:space="preserve">
      <c r="B85" s="4" t="str">
        <v>CIAT (Alliance)</v>
      </c>
      <c r="D85" s="4" t="str" xml:space="preserve">
        <v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v>
      </c>
      <c r="E85" s="4" t="str">
        <v>Number of knowledge products</v>
      </c>
      <c r="F85" s="4" t="str">
        <v>Ethiopia, Kenya, Peru</v>
      </c>
      <c r="G85" s="5">
        <v>2</v>
      </c>
      <c r="H85" s="5">
        <v>20000</v>
      </c>
      <c r="I85" s="4" t="str">
        <v>.</v>
      </c>
      <c r="J85" s="4">
        <v>7577</v>
      </c>
    </row>
    <row r="86" ht="50" customHeight="1" xml:space="preserve">
      <c r="A86" s="4" t="str">
        <v>AOW04: Governance, Institutions, Policy, and Inclusion</v>
      </c>
      <c r="B86" s="4" t="str">
        <v>CIAT (Alliance)</v>
      </c>
      <c r="C86" s="4" t="str">
        <v>OP 4.2.2. Demand driven capacity sharing for policy makers and landscape stakeholders</v>
      </c>
      <c r="D86" s="4" t="str" xml:space="preserve">
        <v xml:space="preserve">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v>
      </c>
      <c r="E86" s="4" t="str">
        <v>custom</v>
      </c>
      <c r="F86" s="4" t="str">
        <v>Senegal, Lao People's Democratic Republic, The Socialist Republic of Viet Nam, Côte d'Ivoire, Colombia, Peru, Tunisia, India, Zimbabwe, Cambodia, Tanzania, United Republic, Ethiopia, Kenya</v>
      </c>
      <c r="G86" s="5">
        <v>10</v>
      </c>
      <c r="H86" s="5">
        <v>50000</v>
      </c>
      <c r="I86" s="4" t="str">
        <v>.</v>
      </c>
      <c r="J86" s="4">
        <v>7467</v>
      </c>
    </row>
    <row r="87" ht="50" customHeight="1" xml:space="preserve">
      <c r="B87" s="4" t="str">
        <v>CIAT (Alliance)</v>
      </c>
      <c r="D87" s="4" t="str" xml:space="preserve">
        <v xml:space="preserve">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v>
      </c>
      <c r="E87" s="4" t="str">
        <v>Number of innovations (innovation development)</v>
      </c>
      <c r="F87" s="4" t="str">
        <v>Colombia</v>
      </c>
      <c r="G87" s="5">
        <v>1</v>
      </c>
      <c r="H87" s="5">
        <v>20000</v>
      </c>
      <c r="I87" s="4" t="str">
        <v>.</v>
      </c>
      <c r="J87" s="4">
        <v>7734</v>
      </c>
    </row>
    <row r="88" ht="50" customHeight="1" xml:space="preserve">
      <c r="A88" s="4" t="str">
        <v>AOW04: Governance, Institutions, Policy, and Inclusion</v>
      </c>
      <c r="B88" s="4" t="str">
        <v>CIAT (Alliance)</v>
      </c>
      <c r="C88" s="4" t="str">
        <v>OP 4.3.1. Multifunctional landscapes policy design and implementation</v>
      </c>
      <c r="D88" s="4" t="str" xml:space="preserve">
        <v xml:space="preserve">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v>
      </c>
      <c r="E88" s="4" t="str">
        <v>Number of innovations (innovation development)</v>
      </c>
      <c r="F88" s="4" t="str">
        <v>Kenya, Ethiopia, Peru</v>
      </c>
      <c r="G88" s="5">
        <v>1</v>
      </c>
      <c r="H88" s="5">
        <v>20000</v>
      </c>
      <c r="I88" s="4" t="str">
        <v>.</v>
      </c>
      <c r="J88" s="4">
        <v>7471</v>
      </c>
    </row>
    <row r="89" ht="50" customHeight="1" xml:space="preserve">
      <c r="B89" s="4" t="str">
        <v>CIAT (Alliance)</v>
      </c>
      <c r="D89" s="4" t="str" xml:space="preserve">
        <v xml:space="preserve">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v>
      </c>
      <c r="E89" s="4" t="str">
        <v>custom</v>
      </c>
      <c r="F89" s="4" t="str">
        <v>Ethiopia</v>
      </c>
      <c r="G89" s="5">
        <v>1</v>
      </c>
      <c r="H89" s="5">
        <v>10000</v>
      </c>
      <c r="I89" s="4" t="str">
        <v>.</v>
      </c>
      <c r="J89" s="4">
        <v>7906</v>
      </c>
    </row>
    <row r="90" ht="25" customHeight="1">
      <c r="C90" s="9" t="str">
        <v>HLO budget subtotal</v>
      </c>
      <c r="H90" s="9">
        <v>666782</v>
      </c>
      <c r="J90" s="9" t="str">
        <v/>
      </c>
    </row>
    <row r="91" ht="50" customHeight="1" xml:space="preserve">
      <c r="A91" s="8" t="str">
        <v>AOW05: Performance Assessments &amp; Evidence Generation</v>
      </c>
      <c r="B91" s="4" t="str">
        <v>CIAT (Alliance)</v>
      </c>
      <c r="C91" s="4" t="str">
        <v>OP 5.2.2. AI-assisted monitoring system</v>
      </c>
      <c r="D91" s="4" t="str" xml:space="preserve">
        <v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v>
      </c>
      <c r="E91" s="4" t="str">
        <v>Number of knowledge products</v>
      </c>
      <c r="F91" s="4" t="str">
        <v>Peru, Kenya, India</v>
      </c>
      <c r="G91" s="5">
        <v>2</v>
      </c>
      <c r="H91" s="5">
        <v>131256</v>
      </c>
      <c r="I91" s="4" t="str">
        <v>.</v>
      </c>
      <c r="J91" s="4">
        <v>5268</v>
      </c>
    </row>
    <row r="92" ht="50" customHeight="1" xml:space="preserve">
      <c r="B92" s="4" t="str">
        <v>CIAT (Alliance)</v>
      </c>
      <c r="D92"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92" s="4" t="str">
        <v>Number of knowledge products</v>
      </c>
      <c r="F92" s="4" t="str">
        <v>Colombia</v>
      </c>
      <c r="G92" s="5">
        <v>2</v>
      </c>
      <c r="H92" s="5">
        <v>30000</v>
      </c>
      <c r="I92" s="4" t="str">
        <v>.</v>
      </c>
      <c r="J92" s="4">
        <v>7428</v>
      </c>
    </row>
    <row r="93" ht="50" customHeight="1" xml:space="preserve">
      <c r="B93" s="4" t="str">
        <v>CIAT (Alliance)</v>
      </c>
      <c r="D93"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v>
      </c>
      <c r="E93" s="4" t="str">
        <v>Number of knowledge products</v>
      </c>
      <c r="F93" s="4" t="str">
        <v>Kenya</v>
      </c>
      <c r="G93" s="5">
        <v>2</v>
      </c>
      <c r="H93" s="5">
        <v>30000</v>
      </c>
      <c r="I93" s="4" t="str">
        <v>.</v>
      </c>
      <c r="J93" s="4">
        <v>7433</v>
      </c>
    </row>
    <row r="94" ht="50" customHeight="1" xml:space="preserve">
      <c r="B94" s="4" t="str">
        <v>CIAT (Alliance)</v>
      </c>
      <c r="D94" s="4" t="str" xml:space="preserve">
        <v xml:space="preserve">Number of monitoring systems designed or strengthened with new data and tools in the targeted Living Landscapes
</v>
      </c>
      <c r="E94" s="4" t="str">
        <v>Number of innovations (innovation development)</v>
      </c>
      <c r="F94" s="4" t="str">
        <v>Ethiopia, Peru, Kenya, Colombia, India, Tunisia</v>
      </c>
      <c r="G94" s="5">
        <v>3</v>
      </c>
      <c r="H94" s="5">
        <v>0</v>
      </c>
      <c r="I94" s="4" t="str">
        <v/>
      </c>
      <c r="J94" s="4">
        <v>8162</v>
      </c>
    </row>
    <row r="95" ht="50" customHeight="1" xml:space="preserve">
      <c r="A95" s="4" t="str">
        <v>AOW05: Performance Assessments &amp; Evidence Generation</v>
      </c>
      <c r="B95" s="4" t="str">
        <v>CIAT (Alliance)</v>
      </c>
      <c r="C95" s="4" t="str">
        <v>OP 5.1.2 Landscape-specific assessment frameworks</v>
      </c>
      <c r="D95" s="4" t="str" xml:space="preserve">
        <v xml:space="preserve">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v>
      </c>
      <c r="E95" s="4" t="str">
        <v>Number of innovations (innovation development)</v>
      </c>
      <c r="F95" s="4" t="str">
        <v>Peru</v>
      </c>
      <c r="G95" s="5">
        <v>1</v>
      </c>
      <c r="H95" s="5">
        <v>110000</v>
      </c>
      <c r="I95" s="4" t="str">
        <v>.</v>
      </c>
      <c r="J95" s="4">
        <v>5315</v>
      </c>
    </row>
    <row r="96" ht="50" customHeight="1" xml:space="preserve">
      <c r="B96" s="4" t="str">
        <v>CIAT (Alliance)</v>
      </c>
      <c r="D96" s="4" t="str" xml:space="preserve">
        <v xml:space="preserve">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v>
      </c>
      <c r="E96" s="4" t="str">
        <v>Number of innovations (innovation development)</v>
      </c>
      <c r="F96" s="4" t="str">
        <v>Kenya</v>
      </c>
      <c r="G96" s="5">
        <v>2</v>
      </c>
      <c r="H96" s="5">
        <v>110000</v>
      </c>
      <c r="I96" s="4" t="str">
        <v>.</v>
      </c>
      <c r="J96" s="4">
        <v>5316</v>
      </c>
    </row>
    <row r="97" ht="50" customHeight="1" xml:space="preserve">
      <c r="B97" s="4" t="str">
        <v>CIAT (Alliance)</v>
      </c>
      <c r="D97" s="4" t="str" xml:space="preserve">
        <v xml:space="preserve">Deliverable: MELIA STUDY Landscape appropriate Impact Assessment data collection in Peru and Colombia: farming households + system actors 
Indicator: Number of baseline/midline datasets collected using validated sampling strategies and made available for future impact assessment</v>
      </c>
      <c r="E97" s="4" t="str">
        <v>Number of knowledge products</v>
      </c>
      <c r="F97" s="4" t="str">
        <v>Peru, Colombia</v>
      </c>
      <c r="G97" s="5">
        <v>1</v>
      </c>
      <c r="H97" s="5">
        <v>145840</v>
      </c>
      <c r="I97" s="4" t="str">
        <v>.</v>
      </c>
      <c r="J97" s="4">
        <v>8179</v>
      </c>
    </row>
    <row r="98" ht="50" customHeight="1" xml:space="preserve">
      <c r="B98" s="4" t="str">
        <v>CIAT (Alliance)</v>
      </c>
      <c r="D98" s="4" t="str" xml:space="preserve">
        <v xml:space="preserve">Deliverable - MELIA STUDY Landscape appropriate Impact Assessment system implementation: cross country coordination and learning briefs 
Indicator: Number of landscape-specific frameworks to assess multifunctional landscape performance </v>
      </c>
      <c r="E98" s="4" t="str">
        <v>Number of innovations (innovation development)</v>
      </c>
      <c r="F98" s="4" t="str">
        <v>Peru, India, Kenya, Colombia</v>
      </c>
      <c r="G98" s="5">
        <v>1</v>
      </c>
      <c r="H98" s="5">
        <v>22124</v>
      </c>
      <c r="I98" s="4" t="str">
        <v>.</v>
      </c>
      <c r="J98" s="4">
        <v>8180</v>
      </c>
    </row>
    <row r="99" ht="50" customHeight="1" xml:space="preserve">
      <c r="A99" s="4" t="str">
        <v>AOW05: Performance Assessments &amp; Evidence Generation</v>
      </c>
      <c r="B99" s="4" t="str">
        <v>CIAT (Alliance)</v>
      </c>
      <c r="C99" s="4" t="str">
        <v>OP 5.1.1 – Standardised protocols, tools and methods</v>
      </c>
      <c r="D99" s="4" t="str" xml:space="preserve">
        <v xml:space="preserve">Deliverable - Metrics Database providing a one-stop shop for methods to co-select indicators, and protocols for tested and scientifically robust data-collection and indicator calculation processes 
Indicator: Number of cross-scale metrics databases</v>
      </c>
      <c r="E99" s="4" t="str">
        <v>Number of innovations (innovation development)</v>
      </c>
      <c r="F99" s="4" t="str">
        <v>India, Kenya, Peru</v>
      </c>
      <c r="G99" s="5">
        <v>1</v>
      </c>
      <c r="H99" s="5">
        <v>204176</v>
      </c>
      <c r="I99" s="4" t="str">
        <v>.</v>
      </c>
      <c r="J99" s="4">
        <v>5325</v>
      </c>
    </row>
    <row r="100" ht="50" customHeight="1" xml:space="preserve">
      <c r="B100" s="4" t="str">
        <v>CIAT (Alliance)</v>
      </c>
      <c r="D100" s="4" t="str" xml:space="preserve">
        <v xml:space="preserve">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v>
      </c>
      <c r="E100" s="4" t="str">
        <v>Number of knowledge products</v>
      </c>
      <c r="F100" s="4" t="str">
        <v>Colombia, Kenya, The Socialist Republic of Viet Nam</v>
      </c>
      <c r="G100" s="5">
        <v>2</v>
      </c>
      <c r="H100" s="5">
        <v>90000</v>
      </c>
      <c r="I100" s="4" t="str">
        <v>.</v>
      </c>
      <c r="J100" s="4">
        <v>5326</v>
      </c>
    </row>
    <row r="101" ht="50" customHeight="1" xml:space="preserve">
      <c r="B101" s="4" t="str">
        <v>CIAT (Alliance)</v>
      </c>
      <c r="D101" s="4" t="str" xml:space="preserve">
        <v xml:space="preserve">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v>
      </c>
      <c r="E101" s="4" t="str">
        <v>Number of knowledge products</v>
      </c>
      <c r="F101" s="4" t="str">
        <v>Colombia</v>
      </c>
      <c r="G101" s="5">
        <v>1</v>
      </c>
      <c r="H101" s="5">
        <v>7292</v>
      </c>
      <c r="I101" s="4" t="str">
        <v>.</v>
      </c>
      <c r="J101" s="4">
        <v>5327</v>
      </c>
    </row>
    <row r="102" ht="50" customHeight="1" xml:space="preserve">
      <c r="B102" s="4" t="str">
        <v>CIAT (Alliance)</v>
      </c>
      <c r="D102" s="4" t="str" xml:space="preserve">
        <v xml:space="preserve">Deliverable - Operationalize a standardized workflow for computing landscape composition and configuration metrics (e.g. fragmentation, connectivity, land-use structure)
Indicator: Number of reproducible workflows and maps published in an open-source repository</v>
      </c>
      <c r="E102" s="4" t="str">
        <v>Number of knowledge products</v>
      </c>
      <c r="F102" s="4" t="str">
        <v>Ethiopia, Kenya, Zimbabwe</v>
      </c>
      <c r="G102" s="5">
        <v>1</v>
      </c>
      <c r="H102" s="5">
        <v>30000</v>
      </c>
      <c r="I102" s="4" t="str">
        <v>.</v>
      </c>
      <c r="J102" s="4">
        <v>7434</v>
      </c>
    </row>
    <row r="103" ht="50" customHeight="1" xml:space="preserve">
      <c r="A103" s="4" t="str">
        <v>AOW05: Performance Assessments &amp; Evidence Generation</v>
      </c>
      <c r="B103" s="4" t="str">
        <v>CIAT (Alliance)</v>
      </c>
      <c r="C103" s="4" t="str">
        <v>OP 5.1.3. Cross-CGIAR assessment frameworks of impact indicators</v>
      </c>
      <c r="D103" s="4" t="str" xml:space="preserve">
        <v xml:space="preserve">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v>
      </c>
      <c r="E103" s="4" t="str">
        <v>Number of knowledge products</v>
      </c>
      <c r="F103" s="4" t="str">
        <v>India, Colombia, Tanzania, United Republic, Lao People's Democratic Republic, Zimbabwe, Senegal, Tunisia, Ethiopia, The Socialist Republic of Viet Nam, Peru, Cambodia, Kenya</v>
      </c>
      <c r="G103" s="5">
        <v>1</v>
      </c>
      <c r="H103" s="5">
        <v>30000</v>
      </c>
      <c r="I103" s="4" t="str">
        <v>.</v>
      </c>
      <c r="J103" s="4">
        <v>7451</v>
      </c>
    </row>
    <row r="104" ht="50" customHeight="1" xml:space="preserve">
      <c r="A104" s="4" t="str">
        <v>AOW05: Performance Assessments &amp; Evidence Generation</v>
      </c>
      <c r="B104" s="4" t="str">
        <v>CIAT (Alliance)</v>
      </c>
      <c r="C104" s="4" t="str">
        <v>OP 5.2.1. Knowledge and information hubs</v>
      </c>
      <c r="D104" s="4" t="str" xml:space="preserve">
        <v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v>
      </c>
      <c r="E104" s="4" t="str">
        <v>Number of knowledge products</v>
      </c>
      <c r="F104" s="4" t="str">
        <v>Tunisia, Peru, Lao People's Democratic Republic, Zimbabwe, Senegal, Ethiopia, India, Cambodia, The Socialist Republic of Viet Nam, Tanzania, United Republic, Kenya, Colombia</v>
      </c>
      <c r="G104" s="5">
        <v>1</v>
      </c>
      <c r="H104" s="5">
        <v>60000</v>
      </c>
      <c r="I104" s="4" t="str">
        <v>.</v>
      </c>
      <c r="J104" s="4">
        <v>7640</v>
      </c>
    </row>
    <row r="105" ht="25" customHeight="1">
      <c r="C105" s="9" t="str">
        <v>HLO budget subtotal</v>
      </c>
      <c r="H105" s="9">
        <v>1000688</v>
      </c>
      <c r="J105" s="9" t="str">
        <v/>
      </c>
    </row>
  </sheetData>
  <mergeCells count="37">
    <mergeCell ref="A1:A2"/>
    <mergeCell ref="B1:B2"/>
    <mergeCell ref="C1:C2"/>
    <mergeCell ref="D1:H1"/>
    <mergeCell ref="I1:I2"/>
    <mergeCell ref="J1:J2"/>
    <mergeCell ref="C3:C15"/>
    <mergeCell ref="C16:C23"/>
    <mergeCell ref="C24:C25"/>
    <mergeCell ref="C26:G26"/>
    <mergeCell ref="A3:A26"/>
    <mergeCell ref="C27:C34"/>
    <mergeCell ref="C35:C36"/>
    <mergeCell ref="C37:C42"/>
    <mergeCell ref="C43:C45"/>
    <mergeCell ref="C46:G46"/>
    <mergeCell ref="A27:A46"/>
    <mergeCell ref="C47:C48"/>
    <mergeCell ref="C49:C59"/>
    <mergeCell ref="C60:C62"/>
    <mergeCell ref="C63:C65"/>
    <mergeCell ref="C66:C68"/>
    <mergeCell ref="C69:G69"/>
    <mergeCell ref="A47:A69"/>
    <mergeCell ref="C70:C74"/>
    <mergeCell ref="C75:C77"/>
    <mergeCell ref="C78:C80"/>
    <mergeCell ref="C81:C85"/>
    <mergeCell ref="C86:C87"/>
    <mergeCell ref="C88:C89"/>
    <mergeCell ref="C90:G90"/>
    <mergeCell ref="A70:A90"/>
    <mergeCell ref="C91:C94"/>
    <mergeCell ref="C95:C98"/>
    <mergeCell ref="C99:C102"/>
    <mergeCell ref="C105:G105"/>
    <mergeCell ref="A91:A105"/>
  </mergeCells>
  <ignoredErrors>
    <ignoredError numberStoredAsText="1" sqref="A1:J105"/>
  </ignoredErrors>
</worksheet>
</file>

<file path=xl/worksheets/sheet3.xml><?xml version="1.0" encoding="utf-8"?>
<worksheet xmlns="http://schemas.openxmlformats.org/spreadsheetml/2006/main" xmlns:r="http://schemas.openxmlformats.org/officeDocument/2006/relationships">
  <dimension ref="A1:G2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Agroecology+ Solutions &amp; Innovations</v>
      </c>
      <c r="B2" s="4" t="str">
        <v>Center for International Forestry Research (CIFOR) and World Agroforestry (ICRAF)</v>
      </c>
      <c r="C2" s="4" t="str">
        <v>CIAT (Alliance)</v>
      </c>
      <c r="D2" s="4" t="str">
        <v>Kenya, Peru</v>
      </c>
      <c r="E2" s="5">
        <v>115508</v>
      </c>
      <c r="F2" s="4" t="str">
        <v>.</v>
      </c>
      <c r="G2" s="4">
        <v>530</v>
      </c>
    </row>
    <row r="3" ht="50" customHeight="1">
      <c r="A3" s="4" t="str">
        <v>AOW01: Agroecology+ Solutions &amp; Innovations</v>
      </c>
      <c r="B3" s="4" t="str">
        <v>Centre de coopération internationale en recherche agronomique pour le développement</v>
      </c>
      <c r="C3" s="4" t="str">
        <v>CIAT (Alliance)</v>
      </c>
      <c r="D3" s="4" t="str">
        <v>Senegal</v>
      </c>
      <c r="E3" s="5">
        <v>43478</v>
      </c>
      <c r="F3" s="4" t="str">
        <v>.</v>
      </c>
      <c r="G3" s="4">
        <v>531</v>
      </c>
    </row>
    <row r="4" ht="50" customHeight="1">
      <c r="A4" s="4" t="str">
        <v>AOW01: Agroecology+ Solutions &amp; Innovations</v>
      </c>
      <c r="B4" s="4" t="str">
        <v>Community Sustainable Agriculture Healthy Environmental Program</v>
      </c>
      <c r="C4" s="4" t="str">
        <v>CIAT (Alliance)</v>
      </c>
      <c r="D4" s="4" t="str">
        <v>Kenya</v>
      </c>
      <c r="E4" s="5">
        <v>18000</v>
      </c>
      <c r="F4" s="4" t="str">
        <v>.</v>
      </c>
      <c r="G4" s="4">
        <v>532</v>
      </c>
    </row>
    <row r="5" ht="50" customHeight="1">
      <c r="A5" s="4" t="str">
        <v>AOW01: Agroecology+ Solutions &amp; Innovations</v>
      </c>
      <c r="B5" s="4" t="str">
        <v xml:space="preserve">Local NGO - Enhancing Pastoralist Research and Development Alternatives (EPaRDA); Tool development - ACATECH technologies </v>
      </c>
      <c r="C5" s="4" t="str">
        <v>CIAT (Alliance)</v>
      </c>
      <c r="D5" s="4" t="str">
        <v>Ethiopia</v>
      </c>
      <c r="E5" s="5">
        <v>14000</v>
      </c>
      <c r="F5" s="4" t="str">
        <v>.</v>
      </c>
      <c r="G5" s="4">
        <v>533</v>
      </c>
    </row>
    <row r="6" ht="50" customHeight="1">
      <c r="A6" s="4" t="str">
        <v>AOW01: Agroecology+ Solutions &amp; Innovations</v>
      </c>
      <c r="B6" s="4" t="str">
        <v>Unknown Partner 1</v>
      </c>
      <c r="C6" s="4" t="str">
        <v>CIAT (Alliance)</v>
      </c>
      <c r="D6" s="4" t="str">
        <v>Ethiopia</v>
      </c>
      <c r="E6" s="5">
        <v>10000</v>
      </c>
      <c r="F6" s="4" t="str">
        <v>Budget for partner to be selected in Ethiopia</v>
      </c>
      <c r="G6" s="4">
        <v>534</v>
      </c>
    </row>
    <row r="7" ht="50" customHeight="1">
      <c r="A7" s="4" t="str">
        <v>AOW01: Agroecology+ Solutions &amp; Innovations</v>
      </c>
      <c r="B7" s="4" t="str">
        <v>Agrosalud de Ucayali</v>
      </c>
      <c r="C7" s="4" t="str">
        <v>CIAT (Alliance)</v>
      </c>
      <c r="D7" s="4" t="str">
        <v>Peru</v>
      </c>
      <c r="E7" s="5">
        <v>10000</v>
      </c>
      <c r="F7" s="4" t="str">
        <v>.</v>
      </c>
      <c r="G7" s="4">
        <v>535</v>
      </c>
    </row>
    <row r="8" ht="50" customHeight="1">
      <c r="A8" s="4" t="str">
        <v>AOW01: Agroecology+ Solutions &amp; Innovations</v>
      </c>
      <c r="B8" s="4" t="str">
        <v>AIDER</v>
      </c>
      <c r="C8" s="4" t="str">
        <v>CIAT (Alliance)</v>
      </c>
      <c r="D8" s="4" t="str">
        <v>Peru</v>
      </c>
      <c r="E8" s="5">
        <v>6500</v>
      </c>
      <c r="F8" s="4" t="str">
        <v>.</v>
      </c>
      <c r="G8" s="4">
        <v>536</v>
      </c>
    </row>
    <row r="9" ht="50" customHeight="1">
      <c r="A9" s="4" t="str">
        <v>AOW01: Agroecology+ Solutions &amp; Innovations</v>
      </c>
      <c r="B9" s="4" t="str">
        <v>CUMBE-Institución Educativa Técnica Agropecuaria Indígena Cumbe, Cumbal</v>
      </c>
      <c r="C9" s="4" t="str">
        <v>CIAT (Alliance)</v>
      </c>
      <c r="D9" s="4" t="str">
        <v>Colombia</v>
      </c>
      <c r="E9" s="5">
        <v>4000</v>
      </c>
      <c r="F9" s="4" t="str">
        <v>.</v>
      </c>
      <c r="G9" s="4">
        <v>537</v>
      </c>
    </row>
    <row r="10" ht="25" customHeight="1">
      <c r="B10" s="9" t="str">
        <v>Contracted partners subtotal</v>
      </c>
      <c r="E10" s="9">
        <v>221486</v>
      </c>
      <c r="F10" s="9" t="str">
        <v/>
      </c>
      <c r="G10" s="9" t="str">
        <v/>
      </c>
    </row>
    <row r="11" ht="50" customHeight="1">
      <c r="A11" s="8" t="str">
        <v>AOW02: Landscape Optimization and Inclusive Planning</v>
      </c>
      <c r="B11" s="4" t="str">
        <v>Center for International Forestry Research (CIFOR) and World Agroforestry (ICRAF)</v>
      </c>
      <c r="C11" s="4" t="str">
        <v>CIAT (Alliance)</v>
      </c>
      <c r="D11" s="4" t="str">
        <v>Kenya, Peru</v>
      </c>
      <c r="E11" s="5">
        <v>24307</v>
      </c>
      <c r="F11" s="4" t="str">
        <v>.</v>
      </c>
      <c r="G11" s="4">
        <v>538</v>
      </c>
    </row>
    <row r="12" ht="50" customHeight="1">
      <c r="A12" s="4" t="str">
        <v>AOW02: Landscape Optimization and Inclusive Planning</v>
      </c>
      <c r="B12" s="4" t="str">
        <v>Centre de coopération internationale en recherche agronomique pour le développement</v>
      </c>
      <c r="C12" s="4" t="str">
        <v>CIAT (Alliance)</v>
      </c>
      <c r="D12" s="4" t="str">
        <v>Senegal</v>
      </c>
      <c r="E12" s="5">
        <v>94403</v>
      </c>
      <c r="F12" s="4" t="str">
        <v>.</v>
      </c>
      <c r="G12" s="4">
        <v>539</v>
      </c>
    </row>
    <row r="13" ht="25" customHeight="1">
      <c r="B13" s="9" t="str">
        <v>Contracted partners subtotal</v>
      </c>
      <c r="E13" s="9">
        <v>118710</v>
      </c>
      <c r="F13" s="9" t="str">
        <v/>
      </c>
      <c r="G13" s="9" t="str">
        <v/>
      </c>
    </row>
    <row r="14" ht="50" customHeight="1">
      <c r="A14" s="8" t="str">
        <v>AOW03: Business Models, Markets, and Sustainable Finance</v>
      </c>
      <c r="B14" s="4" t="str">
        <v>Centre de coopération internationale en recherche agronomique pour le développement</v>
      </c>
      <c r="C14" s="4" t="str">
        <v>CIAT (Alliance)</v>
      </c>
      <c r="D14" s="4" t="str">
        <v>Senegal</v>
      </c>
      <c r="E14" s="5">
        <v>62332</v>
      </c>
      <c r="F14" s="4" t="str">
        <v>.</v>
      </c>
      <c r="G14" s="4">
        <v>540</v>
      </c>
    </row>
    <row r="15" ht="50" customHeight="1">
      <c r="A15" s="4" t="str">
        <v>AOW03: Business Models, Markets, and Sustainable Finance</v>
      </c>
      <c r="B15" s="4" t="str">
        <v>Tay Nguyen University</v>
      </c>
      <c r="C15" s="4" t="str">
        <v>CIAT (Alliance)</v>
      </c>
      <c r="D15" s="4" t="str">
        <v>The Socialist Republic of Viet Nam</v>
      </c>
      <c r="E15" s="5">
        <v>5000</v>
      </c>
      <c r="F15" s="4" t="str">
        <v>.</v>
      </c>
      <c r="G15" s="4">
        <v>541</v>
      </c>
    </row>
    <row r="16" ht="50" customHeight="1">
      <c r="A16" s="4" t="str">
        <v>AOW03: Business Models, Markets, and Sustainable Finance</v>
      </c>
      <c r="B16" s="4" t="str">
        <v>Plant Resources Center Vietman</v>
      </c>
      <c r="C16" s="4" t="str">
        <v>CIAT (Alliance)</v>
      </c>
      <c r="D16" s="4" t="str">
        <v>The Socialist Republic of Viet Nam</v>
      </c>
      <c r="E16" s="5">
        <v>5000</v>
      </c>
      <c r="F16" s="4" t="str">
        <v>.</v>
      </c>
      <c r="G16" s="4">
        <v>542</v>
      </c>
    </row>
    <row r="17" ht="50" customHeight="1">
      <c r="A17" s="4" t="str">
        <v>AOW03: Business Models, Markets, and Sustainable Finance</v>
      </c>
      <c r="B17" s="4" t="str">
        <v>Unknown Partner 1</v>
      </c>
      <c r="C17" s="4" t="str">
        <v>CIAT (Alliance)</v>
      </c>
      <c r="D17" s="4" t="str">
        <v>Kenya, Peru, Tunisia, India, The Socialist Republic of Viet Nam, Lao People's Democratic Republic, Cambodia, Senegal</v>
      </c>
      <c r="E17" s="5">
        <v>35000</v>
      </c>
      <c r="F17" s="4" t="str">
        <v>Budget for business incubation partners in different countries. Partners willbe selected later in the year.</v>
      </c>
      <c r="G17" s="4">
        <v>543</v>
      </c>
    </row>
    <row r="18" ht="25" customHeight="1">
      <c r="B18" s="9" t="str">
        <v>Contracted partners subtotal</v>
      </c>
      <c r="E18" s="9">
        <v>107332</v>
      </c>
      <c r="F18" s="9" t="str">
        <v/>
      </c>
      <c r="G18" s="9" t="str">
        <v/>
      </c>
    </row>
    <row r="19" ht="50" customHeight="1">
      <c r="A19" s="8" t="str">
        <v>AOW04: Governance, Institutions, Policy, and Inclusion</v>
      </c>
      <c r="B19" s="4" t="str">
        <v>Center for International Forestry Research (CIFOR) and World Agroforestry (ICRAF)</v>
      </c>
      <c r="C19" s="4" t="str">
        <v>CIAT (Alliance)</v>
      </c>
      <c r="D19" s="4" t="str">
        <v>Kenya, Peru</v>
      </c>
      <c r="E19" s="5">
        <v>9511</v>
      </c>
      <c r="F19" s="4" t="str">
        <v>.</v>
      </c>
      <c r="G19" s="4">
        <v>544</v>
      </c>
    </row>
    <row r="20" ht="50" customHeight="1">
      <c r="A20" s="4" t="str">
        <v>AOW04: Governance, Institutions, Policy, and Inclusion</v>
      </c>
      <c r="B20" s="4" t="str">
        <v>Centre de coopération internationale en recherche agronomique pour le développement</v>
      </c>
      <c r="C20" s="4" t="str">
        <v>CIAT (Alliance)</v>
      </c>
      <c r="D20" s="4" t="str">
        <v>Senegal</v>
      </c>
      <c r="E20" s="5">
        <v>6341</v>
      </c>
      <c r="F20" s="4" t="str">
        <v>.</v>
      </c>
      <c r="G20" s="4">
        <v>545</v>
      </c>
    </row>
    <row r="21" ht="50" customHeight="1">
      <c r="A21" s="4" t="str">
        <v>AOW04: Governance, Institutions, Policy, and Inclusion</v>
      </c>
      <c r="B21" s="4" t="str">
        <v>Yiaku Laikipia Trust</v>
      </c>
      <c r="C21" s="4" t="str">
        <v>CIAT (Alliance)</v>
      </c>
      <c r="D21" s="4" t="str">
        <v>Kenya</v>
      </c>
      <c r="E21" s="5">
        <v>10000</v>
      </c>
      <c r="F21" s="4" t="str">
        <v>.</v>
      </c>
      <c r="G21" s="4">
        <v>546</v>
      </c>
    </row>
    <row r="22" ht="25" customHeight="1">
      <c r="B22" s="9" t="str">
        <v>Contracted partners subtotal</v>
      </c>
      <c r="E22" s="9">
        <v>25852</v>
      </c>
      <c r="F22" s="9" t="str">
        <v/>
      </c>
      <c r="G22" s="9" t="str">
        <v/>
      </c>
    </row>
    <row r="23" ht="50" customHeight="1">
      <c r="A23" s="8" t="str">
        <v>AOW05: Performance Assessments &amp; Evidence Generation</v>
      </c>
      <c r="B23" s="4" t="str">
        <v>Center for International Forestry Research (CIFOR) and World Agroforestry (ICRAF)</v>
      </c>
      <c r="C23" s="4" t="str">
        <v>CIAT (Alliance)</v>
      </c>
      <c r="D23" s="4" t="str">
        <v>Kenya, Peru</v>
      </c>
      <c r="E23" s="5">
        <v>451388</v>
      </c>
      <c r="F23" s="4" t="str">
        <v>.</v>
      </c>
      <c r="G23" s="4">
        <v>547</v>
      </c>
    </row>
    <row r="24" ht="50" customHeight="1">
      <c r="A24" s="4" t="str">
        <v>AOW05: Performance Assessments &amp; Evidence Generation</v>
      </c>
      <c r="B24" s="4" t="str">
        <v>Centre de coopération internationale en recherche agronomique pour le développement</v>
      </c>
      <c r="C24" s="4" t="str">
        <v>CIAT (Alliance)</v>
      </c>
      <c r="D24" s="4" t="str">
        <v>Senegal</v>
      </c>
      <c r="E24" s="5">
        <v>10000</v>
      </c>
      <c r="F24" s="4" t="str">
        <v>.</v>
      </c>
      <c r="G24" s="4">
        <v>548</v>
      </c>
    </row>
    <row r="25" ht="50" customHeight="1">
      <c r="A25" s="4" t="str">
        <v>AOW05: Performance Assessments &amp; Evidence Generation</v>
      </c>
      <c r="B25" s="4" t="str">
        <v>Statistics for Sustainable Development</v>
      </c>
      <c r="C25" s="4" t="str">
        <v>CIAT (Alliance)</v>
      </c>
      <c r="D25" s="4" t="str">
        <v>United Kingdom of Great Britain and Northern Ireland</v>
      </c>
      <c r="E25" s="5">
        <v>10000</v>
      </c>
      <c r="F25" s="4" t="str">
        <v>.</v>
      </c>
      <c r="G25" s="4">
        <v>549</v>
      </c>
    </row>
    <row r="26" ht="25" customHeight="1">
      <c r="B26" s="9" t="str">
        <v>Contracted partners subtotal</v>
      </c>
      <c r="E26" s="9">
        <v>471388</v>
      </c>
      <c r="F26" s="9" t="str">
        <v/>
      </c>
      <c r="G26" s="9" t="str">
        <v/>
      </c>
    </row>
  </sheetData>
  <mergeCells count="10">
    <mergeCell ref="B10:D10"/>
    <mergeCell ref="A2:A10"/>
    <mergeCell ref="B13:D13"/>
    <mergeCell ref="A11:A13"/>
    <mergeCell ref="B18:D18"/>
    <mergeCell ref="A14:A18"/>
    <mergeCell ref="B22:D22"/>
    <mergeCell ref="A19:A22"/>
    <mergeCell ref="B26:D26"/>
    <mergeCell ref="A23:A26"/>
  </mergeCells>
  <ignoredErrors>
    <ignoredError numberStoredAsText="1" sqref="A1:G26"/>
  </ignoredErrors>
</worksheet>
</file>

<file path=xl/worksheets/sheet4.xml><?xml version="1.0" encoding="utf-8"?>
<worksheet xmlns="http://schemas.openxmlformats.org/spreadsheetml/2006/main" xmlns:r="http://schemas.openxmlformats.org/officeDocument/2006/relationships">
  <dimension ref="A1:F16"/>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xml:space="preserve">
      <c r="A2" s="8" t="str">
        <v>CIAT (Alliance)</v>
      </c>
      <c r="B2" s="4" t="str">
        <v>ANONYMOUS DONOR - Fruitful Lands India Phase II: Harnessing Fruit Tree Biodiversity as a Nature-Based Solution for Food Security, Nutrition, Human and Planetary Health</v>
      </c>
      <c r="C2" s="4" t="str" xml:space="preserve">
        <v xml:space="preserve">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2" s="5">
        <v>254571</v>
      </c>
      <c r="E2" s="4" t="str">
        <v>.</v>
      </c>
      <c r="F2" s="4">
        <v>1028</v>
      </c>
    </row>
    <row r="3" ht="60" customHeight="1" xml:space="preserve">
      <c r="A3" s="4" t="str">
        <v>CIAT (Alliance)</v>
      </c>
      <c r="B3" s="4" t="str">
        <v>BIUSA (Bezos Earth Fund)-Using genetic diversity to capture carbon through deep root systems in tropical soils  (Research and Capacity development)</v>
      </c>
      <c r="C3"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3" s="5">
        <v>0</v>
      </c>
      <c r="E3" s="4" t="str">
        <v/>
      </c>
      <c r="F3" s="4">
        <v>1041</v>
      </c>
    </row>
    <row r="4" ht="60" customHeight="1" xml:space="preserve">
      <c r="A4" s="4" t="str">
        <v>CIAT (Alliance)</v>
      </c>
      <c r="B4" s="4" t="str">
        <v>Fertilize Right Colombia</v>
      </c>
      <c r="C4"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4" s="5">
        <v>352641</v>
      </c>
      <c r="E4" s="4" t="str">
        <v>.</v>
      </c>
      <c r="F4" s="4">
        <v>1044</v>
      </c>
    </row>
    <row r="5" ht="60" customHeight="1">
      <c r="A5" s="4" t="str">
        <v>CIAT (Alliance)</v>
      </c>
      <c r="B5" s="4" t="str">
        <v>FRANCE – FFEM Promover Oportunidades Sostenibles en la Cadena de Valor del Cacao de Excelencia (IA Lead of A1537)</v>
      </c>
      <c r="C5" s="4" t="str">
        <v>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v>
      </c>
      <c r="D5" s="5">
        <v>763584</v>
      </c>
      <c r="E5" s="4" t="str">
        <v>.</v>
      </c>
      <c r="F5" s="4">
        <v>1020</v>
      </c>
    </row>
    <row r="6" ht="60" customHeight="1">
      <c r="A6" s="4" t="str">
        <v>CIAT (Alliance)</v>
      </c>
      <c r="B6" s="4" t="str">
        <v>IFAD (EC) Agroecological Transitions for Building Resilient, Inclusive, Agricultural and Food Systems (TRANSITIONS): Private sector incentives and investments</v>
      </c>
      <c r="C6" s="4" t="str">
        <v>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v>
      </c>
      <c r="D6" s="5">
        <v>345770</v>
      </c>
      <c r="E6" s="4" t="str">
        <v>.</v>
      </c>
      <c r="F6" s="4">
        <v>1024</v>
      </c>
    </row>
    <row r="7" ht="60" customHeight="1">
      <c r="A7" s="4" t="str">
        <v>CIAT (Alliance)</v>
      </c>
      <c r="B7" s="4" t="str">
        <v>ITALY-Italy Voluntary contribution 2024 - Sustainable cocoa value chains in West Africa (A1701)</v>
      </c>
      <c r="C7" s="4" t="str">
        <v>2030 OC-3 National and sub-national public actors, market and finance sector actors implement and sustain coordinated, inclusive policy, organizational, market, and non-market innovations</v>
      </c>
      <c r="D7" s="5">
        <v>0</v>
      </c>
      <c r="E7" s="4" t="str">
        <v/>
      </c>
      <c r="F7" s="4">
        <v>1033</v>
      </c>
    </row>
    <row r="8" ht="60" customHeight="1" xml:space="preserve">
      <c r="A8" s="4" t="str">
        <v>CIAT (Alliance)</v>
      </c>
      <c r="B8" s="4" t="str">
        <v>IUCN (GEF)-Restoration Challenge Grant Platform for Smallholders and Communities, with Blockchain-Enabled Crowdfunding</v>
      </c>
      <c r="C8" s="4" t="str" xml:space="preserve">
        <v xml:space="preserve">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8" s="5">
        <v>0</v>
      </c>
      <c r="E8" s="4" t="str">
        <v/>
      </c>
      <c r="F8" s="4">
        <v>1023</v>
      </c>
    </row>
    <row r="9" ht="60" customHeight="1" xml:space="preserve">
      <c r="A9" s="4" t="str">
        <v>CIAT (Alliance)</v>
      </c>
      <c r="B9" s="4" t="str">
        <v>PREPARATION PHASE - "Supporting Colombia’s Just Energy Transition, climate resilience, and food security through the introduction of inclusive agri-photovoltaic systems" (JET-AgriSOL)</v>
      </c>
      <c r="C9"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9" s="5">
        <v>1603966</v>
      </c>
      <c r="E9" s="4" t="str">
        <v>.</v>
      </c>
      <c r="F9" s="4">
        <v>1021</v>
      </c>
    </row>
    <row r="10" ht="60" customHeight="1">
      <c r="A10" s="4" t="str">
        <v>CIAT (Alliance)</v>
      </c>
      <c r="B10" s="4" t="str">
        <v>Rural and sustainable innovation for regional development in conditions of climate variability in the Central RAP-E Region</v>
      </c>
      <c r="C10" s="4" t="str">
        <v>OP 4.1.2 GEYSI for co-creation and inclusive governance</v>
      </c>
      <c r="D10" s="5">
        <v>0</v>
      </c>
      <c r="E10" s="4" t="str">
        <v/>
      </c>
      <c r="F10" s="4">
        <v>1030</v>
      </c>
    </row>
    <row r="11" ht="60" customHeight="1">
      <c r="A11" s="4" t="str">
        <v>CIAT (Alliance)</v>
      </c>
      <c r="B11" s="4" t="str">
        <v>SCIENTIFIC AND TECHNICAL SUPPORT TO ASEAN COUNTRIES' SUSTAINABLE AGRICULTURE - 3S</v>
      </c>
      <c r="C11" s="4" t="str">
        <v>OP 1.1.1. – Bundles of farm-level solutions</v>
      </c>
      <c r="D11" s="5">
        <v>0</v>
      </c>
      <c r="E11" s="4" t="str">
        <v/>
      </c>
      <c r="F11" s="4">
        <v>1045</v>
      </c>
    </row>
    <row r="12" ht="60" customHeight="1">
      <c r="A12" s="4" t="str">
        <v>CIAT (Alliance)</v>
      </c>
      <c r="B12" s="4" t="str">
        <v>THE FOOD PLANET PRIZE &amp; THE CURT BERGFORS FOUNDATION Agrobiodiversity Index</v>
      </c>
      <c r="C12" s="4" t="str">
        <v>2030 OC-5 National, regional, and global actors proactively apply scientifically-sound MFL evidence and strengthened capacities to shape policy discourse, investment decisions, and agenda-setting</v>
      </c>
      <c r="D12" s="5">
        <v>261261</v>
      </c>
      <c r="E12" s="4" t="str">
        <v>.</v>
      </c>
      <c r="F12" s="4">
        <v>1031</v>
      </c>
    </row>
    <row r="13" ht="60" customHeight="1">
      <c r="A13" s="4" t="str">
        <v>CIAT (Alliance)</v>
      </c>
      <c r="B13" s="4" t="str">
        <v>UK FCDO - Seed to tree: value  chains and partnerships for resilient restored forests in Malaysia</v>
      </c>
      <c r="C13" s="4" t="str">
        <v>2030 OC-3 National and sub-national public actors, market and finance sector actors implement and sustain coordinated, inclusive policy, organizational, market, and non-market innovations</v>
      </c>
      <c r="D13" s="5">
        <v>759995</v>
      </c>
      <c r="E13" s="4" t="str">
        <v>.</v>
      </c>
      <c r="F13" s="4">
        <v>1038</v>
      </c>
    </row>
    <row r="14" ht="60" customHeight="1" xml:space="preserve">
      <c r="A14" s="4" t="str">
        <v>CIAT (Alliance)</v>
      </c>
      <c r="B14" s="4" t="str">
        <v>UK – GCBC (UK-Defra) , Deploying Diversity as a Strategic Asset for Scaling of  Ethiopia’s Green Legacy Initiative for Climate Change  Resilience and Livelihoods</v>
      </c>
      <c r="C14"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D14" s="5">
        <v>344280</v>
      </c>
      <c r="E14" s="4" t="str">
        <v>.</v>
      </c>
      <c r="F14" s="4">
        <v>1027</v>
      </c>
    </row>
    <row r="15" ht="60" customHeight="1">
      <c r="A15" s="4" t="str">
        <v>CIAT (Alliance)</v>
      </c>
      <c r="B15" s="4" t="str">
        <v>USA-USAID-Amazon Biodiversity Fund Brazil Fundo de Investimento em Participações Multiestratégia</v>
      </c>
      <c r="C15" s="4" t="str">
        <v>2030 OC-3 National and sub-national public actors, market and finance sector actors implement and sustain coordinated, inclusive policy, organizational, market, and non-market innovations</v>
      </c>
      <c r="D15" s="5">
        <v>518003</v>
      </c>
      <c r="E15" s="4" t="str">
        <v>.</v>
      </c>
      <c r="F15" s="4">
        <v>1036</v>
      </c>
    </row>
    <row r="16" ht="25" customHeight="1">
      <c r="B16" s="9" t="str">
        <v>W3/Bilateral budget subtotal</v>
      </c>
      <c r="D16" s="9">
        <v>5204071</v>
      </c>
      <c r="E16" s="9" t="str">
        <v/>
      </c>
      <c r="F16" s="9" t="str">
        <v/>
      </c>
    </row>
  </sheetData>
  <mergeCells count="2">
    <mergeCell ref="B16:C16"/>
    <mergeCell ref="A2:A16"/>
  </mergeCells>
  <ignoredErrors>
    <ignoredError numberStoredAsText="1" sqref="A1:F16"/>
  </ignoredErrors>
</worksheet>
</file>

<file path=xl/worksheets/sheet5.xml><?xml version="1.0" encoding="utf-8"?>
<worksheet xmlns="http://schemas.openxmlformats.org/spreadsheetml/2006/main" xmlns:r="http://schemas.openxmlformats.org/officeDocument/2006/relationships">
  <dimension ref="A1:H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AOW05: Performance Assessments &amp; Evidence Generation</v>
      </c>
      <c r="B2" s="4" t="str">
        <v>CIAT (Alliance)</v>
      </c>
      <c r="C2" s="4" t="str">
        <v>Deliverable - MELIA STUDY Landscape appropriate Impact Assessment system implementation: cross country coordination and learning briefs Indicator: Number of landscape-specific frameworks to assess multifunctional landscape performance</v>
      </c>
      <c r="D2" s="4" t="str">
        <v>I-OC 5.1 Partners in MFL Living Landscapes sites demonstrate strengthened capacity to articulate, communicate, and actively influence the uptake of MFL knowledge in policy arenas, scientific communities, and practitioner networks.</v>
      </c>
      <c r="E2" s="4" t="str">
        <v>N/A</v>
      </c>
      <c r="F2" s="5">
        <v>22124</v>
      </c>
      <c r="G2" s="4" t="str">
        <v>.</v>
      </c>
      <c r="H2" s="4">
        <v>551</v>
      </c>
    </row>
    <row r="3" ht="60" customHeight="1" xml:space="preserve">
      <c r="A3" s="4" t="str">
        <v>AOW05: Performance Assessments &amp; Evidence Generation</v>
      </c>
      <c r="B3" s="4" t="str">
        <v>CIAT (Alliance)</v>
      </c>
      <c r="C3" s="4" t="str" xml:space="preserve">
        <v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v>
      </c>
      <c r="D3" s="4" t="str">
        <v>I-OC 5.1 Partners in MFL Living Landscapes sites demonstrate strengthened capacity to articulate, communicate, and actively influence the uptake of MFL knowledge in policy arenas, scientific communities, and practitioner networks.</v>
      </c>
      <c r="E3" s="4" t="str">
        <v>N/A</v>
      </c>
      <c r="F3" s="5">
        <v>145840</v>
      </c>
      <c r="G3" s="4" t="str">
        <v>.</v>
      </c>
      <c r="H3" s="4">
        <v>554</v>
      </c>
    </row>
    <row r="4" ht="60" customHeight="1">
      <c r="A4" s="4" t="str">
        <v>AOW05: Performance Assessments &amp; Evidence Generation</v>
      </c>
      <c r="B4" s="4" t="str">
        <v>CIAT (Alliance)</v>
      </c>
      <c r="C4" s="4" t="str">
        <v xml:space="preserve"> Deliverable - Critical Capabilities - MELIA STUDY Landscape appropriate Impact Assessment implementation: System Level Theory of Change Indicator: Number of impact assessments carried out and documented</v>
      </c>
      <c r="D4" s="4" t="str">
        <v>I-OC 5.1 Partners in MFL Living Landscapes sites demonstrate strengthened capacity to articulate, communicate, and actively influence the uptake of MFL knowledge in policy arenas, scientific communities, and practitioner networks.</v>
      </c>
      <c r="E4" s="4" t="str">
        <v>N/A</v>
      </c>
      <c r="F4" s="5">
        <v>0</v>
      </c>
      <c r="G4" s="4" t="str">
        <v/>
      </c>
      <c r="H4" s="4">
        <v>640</v>
      </c>
    </row>
    <row r="5" ht="60" customHeight="1">
      <c r="A5" s="4" t="str">
        <v>AOW05: Performance Assessments &amp; Evidence Generation</v>
      </c>
      <c r="B5" s="4" t="str">
        <v>CIAT (Alliance)</v>
      </c>
      <c r="C5" s="4" t="str">
        <v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v>
      </c>
      <c r="D5" s="4" t="str">
        <v>I-OC 5.1 Partners in MFL Living Landscapes sites demonstrate strengthened capacity to articulate, communicate, and actively influence the uptake of MFL knowledge in policy arenas, scientific communities, and practitioner networks.</v>
      </c>
      <c r="E5" s="4" t="str">
        <v>N/A</v>
      </c>
      <c r="F5" s="5">
        <v>0</v>
      </c>
      <c r="G5" s="4" t="str">
        <v/>
      </c>
      <c r="H5" s="4">
        <v>647</v>
      </c>
    </row>
    <row r="6" ht="25" customHeight="1">
      <c r="C6" s="9" t="str">
        <v>MELIA budget subtotal</v>
      </c>
      <c r="F6" s="9">
        <v>167964</v>
      </c>
      <c r="G6" s="9" t="str">
        <v/>
      </c>
      <c r="H6" s="9" t="str">
        <v/>
      </c>
    </row>
  </sheetData>
  <mergeCells count="2">
    <mergeCell ref="C6:E6"/>
    <mergeCell ref="A2:A6"/>
  </mergeCells>
  <ignoredErrors>
    <ignoredError numberStoredAsText="1" sqref="A1:H6"/>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CIAT (Alliance)</v>
      </c>
      <c r="C2" s="4" t="str">
        <v>MELIA</v>
      </c>
      <c r="D2" s="5">
        <v>100000</v>
      </c>
      <c r="E2" s="4" t="str" xml:space="preserve">
        <v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v>
      </c>
      <c r="F2" s="4">
        <v>78</v>
      </c>
      <c r="G2" s="4">
        <v>6</v>
      </c>
    </row>
    <row r="3" ht="45" customHeight="1">
      <c r="A3" s="4" t="str">
        <v>AOW00: Cross Cutting</v>
      </c>
      <c r="B3" s="4" t="str">
        <v>CIAT (Alliance)</v>
      </c>
      <c r="C3" s="4" t="str">
        <v>PMU, CGIAR Program Finance Support and associated Allocation</v>
      </c>
      <c r="D3" s="5">
        <v>245634</v>
      </c>
      <c r="E3" s="4" t="str">
        <v xml:space="preserve">USD 169,096 for Simone Staiger's position. USD 31,538 for Genowefa Blundo's position. USD 45,000 travel budget for Simone Staiger, Alejandra Vargas and Genowefa Blundo's attendance to MFL SP management meetings (USD 15,000 travel budget for each of them).  </v>
      </c>
      <c r="F3" s="4">
        <v>213</v>
      </c>
      <c r="G3" s="4">
        <v>2</v>
      </c>
    </row>
    <row r="4" ht="45" customHeight="1">
      <c r="A4" s="4" t="str">
        <v>AOW00: Cross Cutting</v>
      </c>
      <c r="B4" s="4" t="str">
        <v>CIAT (Alliance)</v>
      </c>
      <c r="C4" s="4" t="str">
        <v>Area of Work Leads</v>
      </c>
      <c r="D4" s="5">
        <v>128488</v>
      </c>
      <c r="E4" s="4" t="str">
        <v>USD 113,488 for AoW 3 Carolina Gonzalez's position. USD 15,000 travel budget for Carolina's attendance to MFL SP management meetings.</v>
      </c>
      <c r="F4" s="4">
        <v>215</v>
      </c>
      <c r="G4" s="4">
        <v>3</v>
      </c>
    </row>
    <row r="5" ht="25" customHeight="1">
      <c r="C5" s="9" t="str">
        <v>Cross-cutting budget subtotal</v>
      </c>
      <c r="D5" s="9">
        <v>474122</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336672</v>
      </c>
      <c r="C2" s="5">
        <v>916069</v>
      </c>
      <c r="D2" s="5">
        <v>673153</v>
      </c>
      <c r="E2" s="5">
        <v>693841</v>
      </c>
      <c r="F2" s="5">
        <v>440895</v>
      </c>
      <c r="G2" s="5">
        <v>317580</v>
      </c>
      <c r="H2" s="5">
        <f>=SUM(B2:G2)</f>
        <v>0</v>
      </c>
    </row>
    <row r="3" ht="20" customHeight="1">
      <c r="A3" s="4" t="str">
        <v>Operations (supplies, consultants, travels, workshops, other)</v>
      </c>
      <c r="B3" s="5">
        <v>137450</v>
      </c>
      <c r="C3" s="5">
        <v>487524</v>
      </c>
      <c r="D3" s="5">
        <v>330799</v>
      </c>
      <c r="E3" s="5">
        <v>343360</v>
      </c>
      <c r="F3" s="5">
        <v>200035</v>
      </c>
      <c r="G3" s="5">
        <v>211720</v>
      </c>
      <c r="H3" s="5">
        <f>=SUM(B3:G3)</f>
        <v>0</v>
      </c>
    </row>
    <row r="4" ht="20" customHeight="1">
      <c r="A4" s="4" t="str">
        <v>Collaborators non-CGIAR centers</v>
      </c>
      <c r="B4" s="5">
        <v>0</v>
      </c>
      <c r="C4" s="5">
        <v>221486</v>
      </c>
      <c r="D4" s="5">
        <v>118710</v>
      </c>
      <c r="E4" s="5">
        <v>107332</v>
      </c>
      <c r="F4" s="5">
        <v>25852</v>
      </c>
      <c r="G4" s="5">
        <v>471388</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100</v>
      </c>
      <c r="E2" s="4">
        <v>3385</v>
      </c>
    </row>
    <row r="3" ht="45" customHeight="1">
      <c r="A3" s="8" t="str">
        <v>AOW01: Agroecology+ Solutions &amp; Innovations</v>
      </c>
      <c r="B3" s="4" t="str">
        <v>CIAT (Alliance)</v>
      </c>
      <c r="C3" s="4" t="str">
        <v>Colombia</v>
      </c>
      <c r="D3" s="5">
        <v>30</v>
      </c>
      <c r="E3" s="4">
        <v>2382</v>
      </c>
    </row>
    <row r="4" ht="45" customHeight="1">
      <c r="A4" s="4" t="str">
        <v>AOW01: Agroecology+ Solutions &amp; Innovations</v>
      </c>
      <c r="B4" s="4" t="str">
        <v>CIAT (Alliance)</v>
      </c>
      <c r="C4" s="4" t="str">
        <v>Ethiopia</v>
      </c>
      <c r="D4" s="5">
        <v>10</v>
      </c>
      <c r="E4" s="4">
        <v>2383</v>
      </c>
    </row>
    <row r="5" ht="45" customHeight="1">
      <c r="A5" s="4" t="str">
        <v>AOW01: Agroecology+ Solutions &amp; Innovations</v>
      </c>
      <c r="B5" s="4" t="str">
        <v>CIAT (Alliance)</v>
      </c>
      <c r="C5" s="4" t="str">
        <v>India</v>
      </c>
      <c r="D5" s="5">
        <v>0</v>
      </c>
      <c r="E5" s="4">
        <v>2384</v>
      </c>
    </row>
    <row r="6" ht="45" customHeight="1">
      <c r="A6" s="4" t="str">
        <v>AOW01: Agroecology+ Solutions &amp; Innovations</v>
      </c>
      <c r="B6" s="4" t="str">
        <v>CIAT (Alliance)</v>
      </c>
      <c r="C6" s="4" t="str">
        <v>Kenya</v>
      </c>
      <c r="D6" s="5">
        <v>40</v>
      </c>
      <c r="E6" s="4">
        <v>2385</v>
      </c>
    </row>
    <row r="7" ht="45" customHeight="1">
      <c r="A7" s="4" t="str">
        <v>AOW01: Agroecology+ Solutions &amp; Innovations</v>
      </c>
      <c r="B7" s="4" t="str">
        <v>CIAT (Alliance)</v>
      </c>
      <c r="C7" s="4" t="str">
        <v>Peru</v>
      </c>
      <c r="D7" s="5">
        <v>15</v>
      </c>
      <c r="E7" s="4">
        <v>2386</v>
      </c>
    </row>
    <row r="8" ht="45" customHeight="1">
      <c r="A8" s="4" t="str">
        <v>AOW01: Agroecology+ Solutions &amp; Innovations</v>
      </c>
      <c r="B8" s="4" t="str">
        <v>CIAT (Alliance)</v>
      </c>
      <c r="C8" s="4" t="str">
        <v>Senegal</v>
      </c>
      <c r="D8" s="5">
        <v>5</v>
      </c>
      <c r="E8" s="4">
        <v>2394</v>
      </c>
    </row>
    <row r="9" ht="45" customHeight="1">
      <c r="A9" s="4" t="str">
        <v>AOW01: Agroecology+ Solutions &amp; Innovations</v>
      </c>
      <c r="B9" s="4" t="str">
        <v>CIAT (Alliance)</v>
      </c>
      <c r="C9" s="4" t="str">
        <v>The Socialist Republic of Viet Nam</v>
      </c>
      <c r="D9" s="5">
        <v>0</v>
      </c>
      <c r="E9" s="4">
        <v>2393</v>
      </c>
    </row>
    <row r="10" ht="45" customHeight="1">
      <c r="A10" s="8" t="str">
        <v>AOW02: Landscape Optimization and Inclusive Planning</v>
      </c>
      <c r="B10" s="4" t="str">
        <v>CIAT (Alliance)</v>
      </c>
      <c r="C10" s="4" t="str">
        <v>Colombia</v>
      </c>
      <c r="D10" s="5">
        <v>30</v>
      </c>
      <c r="E10" s="4">
        <v>2387</v>
      </c>
    </row>
    <row r="11" ht="45" customHeight="1">
      <c r="A11" s="4" t="str">
        <v>AOW02: Landscape Optimization and Inclusive Planning</v>
      </c>
      <c r="B11" s="4" t="str">
        <v>CIAT (Alliance)</v>
      </c>
      <c r="C11" s="4" t="str">
        <v>Ethiopia</v>
      </c>
      <c r="D11" s="5">
        <v>10</v>
      </c>
      <c r="E11" s="4">
        <v>2389</v>
      </c>
    </row>
    <row r="12" ht="45" customHeight="1">
      <c r="A12" s="4" t="str">
        <v>AOW02: Landscape Optimization and Inclusive Planning</v>
      </c>
      <c r="B12" s="4" t="str">
        <v>CIAT (Alliance)</v>
      </c>
      <c r="C12" s="4" t="str">
        <v>India</v>
      </c>
      <c r="D12" s="5">
        <v>0</v>
      </c>
      <c r="E12" s="4">
        <v>2388</v>
      </c>
    </row>
    <row r="13" ht="45" customHeight="1">
      <c r="A13" s="4" t="str">
        <v>AOW02: Landscape Optimization and Inclusive Planning</v>
      </c>
      <c r="B13" s="4" t="str">
        <v>CIAT (Alliance)</v>
      </c>
      <c r="C13" s="4" t="str">
        <v>Kenya</v>
      </c>
      <c r="D13" s="5">
        <v>40</v>
      </c>
      <c r="E13" s="4">
        <v>2391</v>
      </c>
    </row>
    <row r="14" ht="45" customHeight="1">
      <c r="A14" s="4" t="str">
        <v>AOW02: Landscape Optimization and Inclusive Planning</v>
      </c>
      <c r="B14" s="4" t="str">
        <v>CIAT (Alliance)</v>
      </c>
      <c r="C14" s="4" t="str">
        <v>Lao People's Democratic Republic</v>
      </c>
      <c r="D14" s="5">
        <v>0</v>
      </c>
      <c r="E14" s="4">
        <v>2390</v>
      </c>
    </row>
    <row r="15" ht="45" customHeight="1">
      <c r="A15" s="4" t="str">
        <v>AOW02: Landscape Optimization and Inclusive Planning</v>
      </c>
      <c r="B15" s="4" t="str">
        <v>CIAT (Alliance)</v>
      </c>
      <c r="C15" s="4" t="str">
        <v>Peru</v>
      </c>
      <c r="D15" s="5">
        <v>15</v>
      </c>
      <c r="E15" s="4">
        <v>2392</v>
      </c>
    </row>
    <row r="16" ht="45" customHeight="1">
      <c r="A16" s="4" t="str">
        <v>AOW02: Landscape Optimization and Inclusive Planning</v>
      </c>
      <c r="B16" s="4" t="str">
        <v>CIAT (Alliance)</v>
      </c>
      <c r="C16" s="4" t="str">
        <v>Senegal</v>
      </c>
      <c r="D16" s="5">
        <v>5</v>
      </c>
      <c r="E16" s="4">
        <v>2395</v>
      </c>
    </row>
    <row r="17" ht="45" customHeight="1">
      <c r="A17" s="8" t="str">
        <v>AOW03: Business Models, Markets, and Sustainable Finance</v>
      </c>
      <c r="B17" s="4" t="str">
        <v>CIAT (Alliance)</v>
      </c>
      <c r="C17" s="4" t="str">
        <v>Colombia</v>
      </c>
      <c r="D17" s="5">
        <v>30</v>
      </c>
      <c r="E17" s="4">
        <v>2396</v>
      </c>
    </row>
    <row r="18" ht="45" customHeight="1">
      <c r="A18" s="4" t="str">
        <v>AOW03: Business Models, Markets, and Sustainable Finance</v>
      </c>
      <c r="B18" s="4" t="str">
        <v>CIAT (Alliance)</v>
      </c>
      <c r="C18" s="4" t="str">
        <v>Ethiopia</v>
      </c>
      <c r="D18" s="5">
        <v>0</v>
      </c>
      <c r="E18" s="4">
        <v>2397</v>
      </c>
    </row>
    <row r="19" ht="45" customHeight="1">
      <c r="A19" s="4" t="str">
        <v>AOW03: Business Models, Markets, and Sustainable Finance</v>
      </c>
      <c r="B19" s="4" t="str">
        <v>CIAT (Alliance)</v>
      </c>
      <c r="C19" s="4" t="str">
        <v>India</v>
      </c>
      <c r="D19" s="5">
        <v>0</v>
      </c>
      <c r="E19" s="4">
        <v>2398</v>
      </c>
    </row>
    <row r="20" ht="45" customHeight="1">
      <c r="A20" s="4" t="str">
        <v>AOW03: Business Models, Markets, and Sustainable Finance</v>
      </c>
      <c r="B20" s="4" t="str">
        <v>CIAT (Alliance)</v>
      </c>
      <c r="C20" s="4" t="str">
        <v>Kenya</v>
      </c>
      <c r="D20" s="5">
        <v>30</v>
      </c>
      <c r="E20" s="4">
        <v>2403</v>
      </c>
    </row>
    <row r="21" ht="45" customHeight="1">
      <c r="A21" s="4" t="str">
        <v>AOW03: Business Models, Markets, and Sustainable Finance</v>
      </c>
      <c r="B21" s="4" t="str">
        <v>CIAT (Alliance)</v>
      </c>
      <c r="C21" s="4" t="str">
        <v>Peru</v>
      </c>
      <c r="D21" s="5">
        <v>30</v>
      </c>
      <c r="E21" s="4">
        <v>2399</v>
      </c>
    </row>
    <row r="22" ht="45" customHeight="1">
      <c r="A22" s="4" t="str">
        <v>AOW03: Business Models, Markets, and Sustainable Finance</v>
      </c>
      <c r="B22" s="4" t="str">
        <v>CIAT (Alliance)</v>
      </c>
      <c r="C22" s="4" t="str">
        <v>Senegal</v>
      </c>
      <c r="D22" s="5">
        <v>10</v>
      </c>
      <c r="E22" s="4">
        <v>2401</v>
      </c>
    </row>
    <row r="23" ht="45" customHeight="1">
      <c r="A23" s="4" t="str">
        <v>AOW03: Business Models, Markets, and Sustainable Finance</v>
      </c>
      <c r="B23" s="4" t="str">
        <v>CIAT (Alliance)</v>
      </c>
      <c r="C23" s="4" t="str">
        <v>Tunisia</v>
      </c>
      <c r="D23" s="5">
        <v>0</v>
      </c>
      <c r="E23" s="4">
        <v>2400</v>
      </c>
    </row>
    <row r="24" ht="45" customHeight="1">
      <c r="A24" s="4" t="str">
        <v>AOW03: Business Models, Markets, and Sustainable Finance</v>
      </c>
      <c r="B24" s="4" t="str">
        <v>CIAT (Alliance)</v>
      </c>
      <c r="C24" s="4" t="str">
        <v>Zimbabwe</v>
      </c>
      <c r="D24" s="5">
        <v>0</v>
      </c>
      <c r="E24" s="4">
        <v>2402</v>
      </c>
    </row>
    <row r="25" ht="45" customHeight="1">
      <c r="A25" s="8" t="str">
        <v>AOW04: Governance, Institutions, Policy, and Inclusion</v>
      </c>
      <c r="B25" s="4" t="str">
        <v>CIAT (Alliance)</v>
      </c>
      <c r="C25" s="4" t="str">
        <v>Colombia</v>
      </c>
      <c r="D25" s="5">
        <v>20</v>
      </c>
      <c r="E25" s="4">
        <v>2406</v>
      </c>
    </row>
    <row r="26" ht="45" customHeight="1">
      <c r="A26" s="4" t="str">
        <v>AOW04: Governance, Institutions, Policy, and Inclusion</v>
      </c>
      <c r="B26" s="4" t="str">
        <v>CIAT (Alliance)</v>
      </c>
      <c r="C26" s="4" t="str">
        <v>Ethiopia</v>
      </c>
      <c r="D26" s="5">
        <v>5</v>
      </c>
      <c r="E26" s="4">
        <v>2408</v>
      </c>
    </row>
    <row r="27" ht="45" customHeight="1">
      <c r="A27" s="4" t="str">
        <v>AOW04: Governance, Institutions, Policy, and Inclusion</v>
      </c>
      <c r="B27" s="4" t="str">
        <v>CIAT (Alliance)</v>
      </c>
      <c r="C27" s="4" t="str">
        <v>Kenya</v>
      </c>
      <c r="D27" s="5">
        <v>50</v>
      </c>
      <c r="E27" s="4">
        <v>2404</v>
      </c>
    </row>
    <row r="28" ht="45" customHeight="1">
      <c r="A28" s="4" t="str">
        <v>AOW04: Governance, Institutions, Policy, and Inclusion</v>
      </c>
      <c r="B28" s="4" t="str">
        <v>CIAT (Alliance)</v>
      </c>
      <c r="C28" s="4" t="str">
        <v>Peru</v>
      </c>
      <c r="D28" s="5">
        <v>20</v>
      </c>
      <c r="E28" s="4">
        <v>2405</v>
      </c>
    </row>
    <row r="29" ht="45" customHeight="1">
      <c r="A29" s="4" t="str">
        <v>AOW04: Governance, Institutions, Policy, and Inclusion</v>
      </c>
      <c r="B29" s="4" t="str">
        <v>CIAT (Alliance)</v>
      </c>
      <c r="C29" s="4" t="str">
        <v>Senegal</v>
      </c>
      <c r="D29" s="5">
        <v>5</v>
      </c>
      <c r="E29" s="4">
        <v>2407</v>
      </c>
    </row>
    <row r="30" ht="45" customHeight="1">
      <c r="A30" s="8" t="str">
        <v>AOW05: Performance Assessments &amp; Evidence Generation</v>
      </c>
      <c r="B30" s="4" t="str">
        <v>CIAT (Alliance)</v>
      </c>
      <c r="C30" s="4" t="str">
        <v>Colombia</v>
      </c>
      <c r="D30" s="5">
        <v>25</v>
      </c>
      <c r="E30" s="4">
        <v>2409</v>
      </c>
    </row>
    <row r="31" ht="45" customHeight="1">
      <c r="A31" s="4" t="str">
        <v>AOW05: Performance Assessments &amp; Evidence Generation</v>
      </c>
      <c r="B31" s="4" t="str">
        <v>CIAT (Alliance)</v>
      </c>
      <c r="C31" s="4" t="str">
        <v>Ethiopia</v>
      </c>
      <c r="D31" s="5">
        <v>10</v>
      </c>
      <c r="E31" s="4">
        <v>2413</v>
      </c>
    </row>
    <row r="32" ht="45" customHeight="1">
      <c r="A32" s="4" t="str">
        <v>AOW05: Performance Assessments &amp; Evidence Generation</v>
      </c>
      <c r="B32" s="4" t="str">
        <v>CIAT (Alliance)</v>
      </c>
      <c r="C32" s="4" t="str">
        <v>Kenya</v>
      </c>
      <c r="D32" s="5">
        <v>25</v>
      </c>
      <c r="E32" s="4">
        <v>2410</v>
      </c>
    </row>
    <row r="33" ht="45" customHeight="1">
      <c r="A33" s="4" t="str">
        <v>AOW05: Performance Assessments &amp; Evidence Generation</v>
      </c>
      <c r="B33" s="4" t="str">
        <v>CIAT (Alliance)</v>
      </c>
      <c r="C33" s="4" t="str">
        <v>Lao People's Democratic Republic</v>
      </c>
      <c r="D33" s="5">
        <v>5</v>
      </c>
      <c r="E33" s="4">
        <v>2414</v>
      </c>
    </row>
    <row r="34" ht="45" customHeight="1">
      <c r="A34" s="4" t="str">
        <v>AOW05: Performance Assessments &amp; Evidence Generation</v>
      </c>
      <c r="B34" s="4" t="str">
        <v>CIAT (Alliance)</v>
      </c>
      <c r="C34" s="4" t="str">
        <v>Peru</v>
      </c>
      <c r="D34" s="5">
        <v>25</v>
      </c>
      <c r="E34" s="4">
        <v>2411</v>
      </c>
    </row>
    <row r="35" ht="45" customHeight="1">
      <c r="A35" s="4" t="str">
        <v>AOW05: Performance Assessments &amp; Evidence Generation</v>
      </c>
      <c r="B35" s="4" t="str">
        <v>CIAT (Alliance)</v>
      </c>
      <c r="C35" s="4" t="str">
        <v>Senegal</v>
      </c>
      <c r="D35" s="5">
        <v>10</v>
      </c>
      <c r="E35" s="4">
        <v>2412</v>
      </c>
    </row>
  </sheetData>
  <mergeCells count="6">
    <mergeCell ref="A2"/>
    <mergeCell ref="A3:A9"/>
    <mergeCell ref="A10:A16"/>
    <mergeCell ref="A17:A24"/>
    <mergeCell ref="A25:A29"/>
    <mergeCell ref="A30:A35"/>
  </mergeCells>
  <ignoredErrors>
    <ignoredError numberStoredAsText="1" sqref="A1:E35"/>
  </ignoredErrors>
</worksheet>
</file>

<file path=xl/worksheets/sheet9.xml><?xml version="1.0" encoding="utf-8"?>
<worksheet xmlns="http://schemas.openxmlformats.org/spreadsheetml/2006/main" xmlns:r="http://schemas.openxmlformats.org/officeDocument/2006/relationships">
  <dimension ref="A1:F3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Cambodia</v>
      </c>
      <c r="D2" s="4" t="str">
        <v>country</v>
      </c>
      <c r="E2" s="5">
        <v>4</v>
      </c>
      <c r="F2" s="4">
        <v>1582</v>
      </c>
    </row>
    <row r="3" ht="45" customHeight="1">
      <c r="A3" s="4" t="str">
        <v>AOW00: Cross Cutting</v>
      </c>
      <c r="B3" s="4" t="str">
        <v>CIAT (Alliance)</v>
      </c>
      <c r="C3" s="4" t="str">
        <v>Colombia</v>
      </c>
      <c r="D3" s="4" t="str">
        <v>country</v>
      </c>
      <c r="E3" s="5">
        <v>10</v>
      </c>
      <c r="F3" s="4">
        <v>1583</v>
      </c>
    </row>
    <row r="4" ht="45" customHeight="1">
      <c r="A4" s="4" t="str">
        <v>AOW00: Cross Cutting</v>
      </c>
      <c r="B4" s="4" t="str">
        <v>CIAT (Alliance)</v>
      </c>
      <c r="C4" s="4" t="str">
        <v>Côte d'Ivoire</v>
      </c>
      <c r="D4" s="4" t="str">
        <v>country</v>
      </c>
      <c r="E4" s="5">
        <v>7</v>
      </c>
      <c r="F4" s="4">
        <v>1584</v>
      </c>
    </row>
    <row r="5" ht="45" customHeight="1">
      <c r="A5" s="4" t="str">
        <v>AOW00: Cross Cutting</v>
      </c>
      <c r="B5" s="4" t="str">
        <v>CIAT (Alliance)</v>
      </c>
      <c r="C5" s="4" t="str">
        <v>Ethiopia</v>
      </c>
      <c r="D5" s="4" t="str">
        <v>country</v>
      </c>
      <c r="E5" s="5">
        <v>7</v>
      </c>
      <c r="F5" s="4">
        <v>1585</v>
      </c>
    </row>
    <row r="6" ht="45" customHeight="1">
      <c r="A6" s="4" t="str">
        <v>AOW00: Cross Cutting</v>
      </c>
      <c r="B6" s="4" t="str">
        <v>CIAT (Alliance)</v>
      </c>
      <c r="C6" s="4" t="str">
        <v>India</v>
      </c>
      <c r="D6" s="4" t="str">
        <v>country</v>
      </c>
      <c r="E6" s="5">
        <v>10</v>
      </c>
      <c r="F6" s="4">
        <v>1586</v>
      </c>
    </row>
    <row r="7" ht="45" customHeight="1">
      <c r="A7" s="4" t="str">
        <v>AOW00: Cross Cutting</v>
      </c>
      <c r="B7" s="4" t="str">
        <v>CIAT (Alliance)</v>
      </c>
      <c r="C7" s="4" t="str">
        <v>Kenya</v>
      </c>
      <c r="D7" s="4" t="str">
        <v>country</v>
      </c>
      <c r="E7" s="5">
        <v>10</v>
      </c>
      <c r="F7" s="4">
        <v>1587</v>
      </c>
    </row>
    <row r="8" ht="45" customHeight="1">
      <c r="A8" s="4" t="str">
        <v>AOW00: Cross Cutting</v>
      </c>
      <c r="B8" s="4" t="str">
        <v>CIAT (Alliance)</v>
      </c>
      <c r="C8" s="4" t="str">
        <v>Lao People's Democratic Republic</v>
      </c>
      <c r="D8" s="4" t="str">
        <v>country</v>
      </c>
      <c r="E8" s="5">
        <v>4</v>
      </c>
      <c r="F8" s="4">
        <v>1588</v>
      </c>
    </row>
    <row r="9" ht="45" customHeight="1">
      <c r="A9" s="4" t="str">
        <v>AOW00: Cross Cutting</v>
      </c>
      <c r="B9" s="4" t="str">
        <v>CIAT (Alliance)</v>
      </c>
      <c r="C9" s="4" t="str">
        <v>Peru</v>
      </c>
      <c r="D9" s="4" t="str">
        <v>country</v>
      </c>
      <c r="E9" s="5">
        <v>10</v>
      </c>
      <c r="F9" s="4">
        <v>1589</v>
      </c>
    </row>
    <row r="10" ht="45" customHeight="1">
      <c r="A10" s="4" t="str">
        <v>AOW00: Cross Cutting</v>
      </c>
      <c r="B10" s="4" t="str">
        <v>CIAT (Alliance)</v>
      </c>
      <c r="C10" s="4" t="str">
        <v>Senegal</v>
      </c>
      <c r="D10" s="4" t="str">
        <v>country</v>
      </c>
      <c r="E10" s="5">
        <v>7</v>
      </c>
      <c r="F10" s="4">
        <v>1590</v>
      </c>
    </row>
    <row r="11" ht="45" customHeight="1">
      <c r="A11" s="4" t="str">
        <v>AOW00: Cross Cutting</v>
      </c>
      <c r="B11" s="4" t="str">
        <v>CIAT (Alliance)</v>
      </c>
      <c r="C11" s="4" t="str">
        <v>Tanzania</v>
      </c>
      <c r="D11" s="4" t="str">
        <v>country</v>
      </c>
      <c r="E11" s="5">
        <v>7</v>
      </c>
      <c r="F11" s="4">
        <v>1591</v>
      </c>
    </row>
    <row r="12" ht="45" customHeight="1">
      <c r="A12" s="4" t="str">
        <v>AOW00: Cross Cutting</v>
      </c>
      <c r="B12" s="4" t="str">
        <v>CIAT (Alliance)</v>
      </c>
      <c r="C12" s="4" t="str">
        <v>The Socialist Republic of Viet Nam</v>
      </c>
      <c r="D12" s="4" t="str">
        <v>country</v>
      </c>
      <c r="E12" s="5">
        <v>4</v>
      </c>
      <c r="F12" s="4">
        <v>1592</v>
      </c>
    </row>
    <row r="13" ht="45" customHeight="1">
      <c r="A13" s="4" t="str">
        <v>AOW00: Cross Cutting</v>
      </c>
      <c r="B13" s="4" t="str">
        <v>CIAT (Alliance)</v>
      </c>
      <c r="C13" s="4" t="str">
        <v>Tunisia</v>
      </c>
      <c r="D13" s="4" t="str">
        <v>country</v>
      </c>
      <c r="E13" s="5">
        <v>10</v>
      </c>
      <c r="F13" s="4">
        <v>1593</v>
      </c>
    </row>
    <row r="14" ht="45" customHeight="1">
      <c r="A14" s="4" t="str">
        <v>AOW00: Cross Cutting</v>
      </c>
      <c r="B14" s="4" t="str">
        <v>CIAT (Alliance)</v>
      </c>
      <c r="C14" s="4" t="str">
        <v>Zimbabwe</v>
      </c>
      <c r="D14" s="4" t="str">
        <v>country</v>
      </c>
      <c r="E14" s="5">
        <v>10</v>
      </c>
      <c r="F14" s="4">
        <v>1594</v>
      </c>
    </row>
    <row r="15" ht="45" customHeight="1">
      <c r="A15" s="8" t="str">
        <v>AOW01: Agroecology+ Solutions &amp; Innovations</v>
      </c>
      <c r="B15" s="4" t="str">
        <v>CIAT (Alliance)</v>
      </c>
      <c r="C15" s="4" t="str">
        <v>Cambodia</v>
      </c>
      <c r="D15" s="4" t="str">
        <v>country</v>
      </c>
      <c r="E15" s="5">
        <v>0</v>
      </c>
      <c r="F15" s="4">
        <v>1282</v>
      </c>
    </row>
    <row r="16" ht="45" customHeight="1">
      <c r="A16" s="4" t="str">
        <v>AOW01: Agroecology+ Solutions &amp; Innovations</v>
      </c>
      <c r="B16" s="4" t="str">
        <v>CIAT (Alliance)</v>
      </c>
      <c r="C16" s="4" t="str">
        <v>Colombia</v>
      </c>
      <c r="D16" s="4" t="str">
        <v>country</v>
      </c>
      <c r="E16" s="5">
        <v>30</v>
      </c>
      <c r="F16" s="4">
        <v>1283</v>
      </c>
    </row>
    <row r="17" ht="45" customHeight="1">
      <c r="A17" s="4" t="str">
        <v>AOW01: Agroecology+ Solutions &amp; Innovations</v>
      </c>
      <c r="B17" s="4" t="str">
        <v>CIAT (Alliance)</v>
      </c>
      <c r="C17" s="4" t="str">
        <v>Ethiopia</v>
      </c>
      <c r="D17" s="4" t="str">
        <v>country</v>
      </c>
      <c r="E17" s="5">
        <v>10</v>
      </c>
      <c r="F17" s="4">
        <v>1289</v>
      </c>
    </row>
    <row r="18" ht="45" customHeight="1">
      <c r="A18" s="4" t="str">
        <v>AOW01: Agroecology+ Solutions &amp; Innovations</v>
      </c>
      <c r="B18" s="4" t="str">
        <v>CIAT (Alliance)</v>
      </c>
      <c r="C18" s="4" t="str">
        <v>India</v>
      </c>
      <c r="D18" s="4" t="str">
        <v>country</v>
      </c>
      <c r="E18" s="5">
        <v>0</v>
      </c>
      <c r="F18" s="4">
        <v>1284</v>
      </c>
    </row>
    <row r="19" ht="45" customHeight="1">
      <c r="A19" s="4" t="str">
        <v>AOW01: Agroecology+ Solutions &amp; Innovations</v>
      </c>
      <c r="B19" s="4" t="str">
        <v>CIAT (Alliance)</v>
      </c>
      <c r="C19" s="4" t="str">
        <v>Kenya</v>
      </c>
      <c r="D19" s="4" t="str">
        <v>country</v>
      </c>
      <c r="E19" s="5">
        <v>40</v>
      </c>
      <c r="F19" s="4">
        <v>1285</v>
      </c>
    </row>
    <row r="20" ht="45" customHeight="1">
      <c r="A20" s="4" t="str">
        <v>AOW01: Agroecology+ Solutions &amp; Innovations</v>
      </c>
      <c r="B20" s="4" t="str">
        <v>CIAT (Alliance)</v>
      </c>
      <c r="C20" s="4" t="str">
        <v>Lao People's Democratic Republic</v>
      </c>
      <c r="D20" s="4" t="str">
        <v>country</v>
      </c>
      <c r="E20" s="5">
        <v>0</v>
      </c>
      <c r="F20" s="4">
        <v>1286</v>
      </c>
    </row>
    <row r="21" ht="45" customHeight="1">
      <c r="A21" s="4" t="str">
        <v>AOW01: Agroecology+ Solutions &amp; Innovations</v>
      </c>
      <c r="B21" s="4" t="str">
        <v>CIAT (Alliance)</v>
      </c>
      <c r="C21" s="4" t="str">
        <v>Peru</v>
      </c>
      <c r="D21" s="4" t="str">
        <v>country</v>
      </c>
      <c r="E21" s="5">
        <v>15</v>
      </c>
      <c r="F21" s="4">
        <v>1287</v>
      </c>
    </row>
    <row r="22" ht="45" customHeight="1">
      <c r="A22" s="4" t="str">
        <v>AOW01: Agroecology+ Solutions &amp; Innovations</v>
      </c>
      <c r="B22" s="4" t="str">
        <v>CIAT (Alliance)</v>
      </c>
      <c r="C22" s="4" t="str">
        <v>Senegal</v>
      </c>
      <c r="D22" s="4" t="str">
        <v>country</v>
      </c>
      <c r="E22" s="5">
        <v>5</v>
      </c>
      <c r="F22" s="4">
        <v>1290</v>
      </c>
    </row>
    <row r="23" ht="45" customHeight="1">
      <c r="A23" s="4" t="str">
        <v>AOW01: Agroecology+ Solutions &amp; Innovations</v>
      </c>
      <c r="B23" s="4" t="str">
        <v>CIAT (Alliance)</v>
      </c>
      <c r="C23" s="4" t="str">
        <v>Tanzania</v>
      </c>
      <c r="D23" s="4" t="str">
        <v>country</v>
      </c>
      <c r="E23" s="5">
        <v>0</v>
      </c>
      <c r="F23" s="4">
        <v>1288</v>
      </c>
    </row>
    <row r="24" ht="45" customHeight="1">
      <c r="A24" s="8" t="str">
        <v>AOW02: Landscape Optimization and Inclusive Planning</v>
      </c>
      <c r="B24" s="4" t="str">
        <v>CIAT (Alliance)</v>
      </c>
      <c r="C24" s="4" t="str">
        <v>Colombia</v>
      </c>
      <c r="D24" s="4" t="str">
        <v>country</v>
      </c>
      <c r="E24" s="5">
        <v>30</v>
      </c>
      <c r="F24" s="4">
        <v>1291</v>
      </c>
    </row>
    <row r="25" ht="45" customHeight="1">
      <c r="A25" s="4" t="str">
        <v>AOW02: Landscape Optimization and Inclusive Planning</v>
      </c>
      <c r="B25" s="4" t="str">
        <v>CIAT (Alliance)</v>
      </c>
      <c r="C25" s="4" t="str">
        <v>Ethiopia</v>
      </c>
      <c r="D25" s="4" t="str">
        <v>country</v>
      </c>
      <c r="E25" s="5">
        <v>10</v>
      </c>
      <c r="F25" s="4">
        <v>1292</v>
      </c>
    </row>
    <row r="26" ht="45" customHeight="1">
      <c r="A26" s="4" t="str">
        <v>AOW02: Landscape Optimization and Inclusive Planning</v>
      </c>
      <c r="B26" s="4" t="str">
        <v>CIAT (Alliance)</v>
      </c>
      <c r="C26" s="4" t="str">
        <v>Kenya</v>
      </c>
      <c r="D26" s="4" t="str">
        <v>country</v>
      </c>
      <c r="E26" s="5">
        <v>40</v>
      </c>
      <c r="F26" s="4">
        <v>1293</v>
      </c>
    </row>
    <row r="27" ht="45" customHeight="1">
      <c r="A27" s="4" t="str">
        <v>AOW02: Landscape Optimization and Inclusive Planning</v>
      </c>
      <c r="B27" s="4" t="str">
        <v>CIAT (Alliance)</v>
      </c>
      <c r="C27" s="4" t="str">
        <v>Peru</v>
      </c>
      <c r="D27" s="4" t="str">
        <v>country</v>
      </c>
      <c r="E27" s="5">
        <v>15</v>
      </c>
      <c r="F27" s="4">
        <v>1294</v>
      </c>
    </row>
    <row r="28" ht="45" customHeight="1">
      <c r="A28" s="4" t="str">
        <v>AOW02: Landscape Optimization and Inclusive Planning</v>
      </c>
      <c r="B28" s="4" t="str">
        <v>CIAT (Alliance)</v>
      </c>
      <c r="C28" s="4" t="str">
        <v>Senegal</v>
      </c>
      <c r="D28" s="4" t="str">
        <v>country</v>
      </c>
      <c r="E28" s="5">
        <v>5</v>
      </c>
      <c r="F28" s="4">
        <v>1295</v>
      </c>
    </row>
    <row r="29" ht="45" customHeight="1">
      <c r="A29" s="8" t="str">
        <v>AOW03: Business Models, Markets, and Sustainable Finance</v>
      </c>
      <c r="B29" s="4" t="str">
        <v>CIAT (Alliance)</v>
      </c>
      <c r="C29" s="4" t="str">
        <v>Global</v>
      </c>
      <c r="D29" s="4" t="str">
        <v>global</v>
      </c>
      <c r="E29" s="5">
        <v>100</v>
      </c>
      <c r="F29" s="4">
        <v>1296</v>
      </c>
    </row>
    <row r="30" ht="45" customHeight="1">
      <c r="A30" s="4" t="str">
        <v>AOW03: Business Models, Markets, and Sustainable Finance</v>
      </c>
      <c r="B30" s="4" t="str">
        <v>CIAT (Alliance)</v>
      </c>
      <c r="C30" s="4" t="str">
        <v>Colombia</v>
      </c>
      <c r="D30" s="4" t="str">
        <v>country</v>
      </c>
      <c r="E30" s="5">
        <v>0</v>
      </c>
      <c r="F30" s="4">
        <v>1297</v>
      </c>
    </row>
    <row r="31" ht="45" customHeight="1">
      <c r="A31" s="8" t="str">
        <v>AOW04: Governance, Institutions, Policy, and Inclusion</v>
      </c>
      <c r="B31" s="4" t="str">
        <v>CIAT (Alliance)</v>
      </c>
      <c r="C31" s="4" t="str">
        <v>Colombia</v>
      </c>
      <c r="D31" s="4" t="str">
        <v>country</v>
      </c>
      <c r="E31" s="5">
        <v>20</v>
      </c>
      <c r="F31" s="4">
        <v>1298</v>
      </c>
    </row>
    <row r="32" ht="45" customHeight="1">
      <c r="A32" s="4" t="str">
        <v>AOW04: Governance, Institutions, Policy, and Inclusion</v>
      </c>
      <c r="B32" s="4" t="str">
        <v>CIAT (Alliance)</v>
      </c>
      <c r="C32" s="4" t="str">
        <v>Ethiopia</v>
      </c>
      <c r="D32" s="4" t="str">
        <v>country</v>
      </c>
      <c r="E32" s="5">
        <v>5</v>
      </c>
      <c r="F32" s="4">
        <v>1299</v>
      </c>
    </row>
    <row r="33" ht="45" customHeight="1">
      <c r="A33" s="4" t="str">
        <v>AOW04: Governance, Institutions, Policy, and Inclusion</v>
      </c>
      <c r="B33" s="4" t="str">
        <v>CIAT (Alliance)</v>
      </c>
      <c r="C33" s="4" t="str">
        <v>Kenya</v>
      </c>
      <c r="D33" s="4" t="str">
        <v>country</v>
      </c>
      <c r="E33" s="5">
        <v>50</v>
      </c>
      <c r="F33" s="4">
        <v>1300</v>
      </c>
    </row>
    <row r="34" ht="45" customHeight="1">
      <c r="A34" s="4" t="str">
        <v>AOW04: Governance, Institutions, Policy, and Inclusion</v>
      </c>
      <c r="B34" s="4" t="str">
        <v>CIAT (Alliance)</v>
      </c>
      <c r="C34" s="4" t="str">
        <v>Peru</v>
      </c>
      <c r="D34" s="4" t="str">
        <v>country</v>
      </c>
      <c r="E34" s="5">
        <v>20</v>
      </c>
      <c r="F34" s="4">
        <v>1301</v>
      </c>
    </row>
    <row r="35" ht="45" customHeight="1">
      <c r="A35" s="4" t="str">
        <v>AOW04: Governance, Institutions, Policy, and Inclusion</v>
      </c>
      <c r="B35" s="4" t="str">
        <v>CIAT (Alliance)</v>
      </c>
      <c r="C35" s="4" t="str">
        <v>Senegal</v>
      </c>
      <c r="D35" s="4" t="str">
        <v>country</v>
      </c>
      <c r="E35" s="5">
        <v>5</v>
      </c>
      <c r="F35" s="4">
        <v>1302</v>
      </c>
    </row>
    <row r="36" ht="45" customHeight="1">
      <c r="A36" s="4" t="str">
        <v>AOW04: Governance, Institutions, Policy, and Inclusion</v>
      </c>
      <c r="B36" s="4" t="str">
        <v>CIAT (Alliance)</v>
      </c>
      <c r="C36" s="4" t="str">
        <v>The Socialist Republic of Viet Nam</v>
      </c>
      <c r="D36" s="4" t="str">
        <v>country</v>
      </c>
      <c r="E36" s="5">
        <v>0</v>
      </c>
      <c r="F36" s="4">
        <v>1303</v>
      </c>
    </row>
    <row r="37" ht="45" customHeight="1">
      <c r="A37" s="8" t="str">
        <v>AOW05: Performance Assessments &amp; Evidence Generation</v>
      </c>
      <c r="B37" s="4" t="str">
        <v>CIAT (Alliance)</v>
      </c>
      <c r="C37" s="4" t="str">
        <v>Global</v>
      </c>
      <c r="D37" s="4" t="str">
        <v>global</v>
      </c>
      <c r="E37" s="5">
        <v>100</v>
      </c>
      <c r="F37" s="4">
        <v>1304</v>
      </c>
    </row>
  </sheetData>
  <mergeCells count="6">
    <mergeCell ref="A2:A14"/>
    <mergeCell ref="A15:A23"/>
    <mergeCell ref="A24:A28"/>
    <mergeCell ref="A29:A30"/>
    <mergeCell ref="A31:A36"/>
    <mergeCell ref="A37"/>
  </mergeCells>
  <ignoredErrors>
    <ignoredError numberStoredAsText="1" sqref="A1:F37"/>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