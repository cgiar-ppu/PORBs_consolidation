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18</v>
      </c>
      <c r="C5" s="5">
        <v>194140</v>
      </c>
      <c r="D5" s="5">
        <v>7</v>
      </c>
      <c r="E5" s="5">
        <v>66535</v>
      </c>
      <c r="F5" s="5">
        <v>14</v>
      </c>
      <c r="G5" s="5">
        <v>50500</v>
      </c>
      <c r="H5" s="5">
        <v>765</v>
      </c>
      <c r="I5" s="5">
        <v>117750</v>
      </c>
      <c r="J5" s="5">
        <v>428925</v>
      </c>
      <c r="K5" s="5">
        <v>428925</v>
      </c>
      <c r="L5" s="5">
        <v>0</v>
      </c>
      <c r="M5" s="5">
        <v>0</v>
      </c>
      <c r="N5" s="4">
        <v>177</v>
      </c>
    </row>
    <row r="6" ht="20" customHeight="1">
      <c r="A6" s="4" t="str">
        <v>AOW02: Landscape Optimization and Inclusive Planning</v>
      </c>
      <c r="B6" s="5">
        <v>4</v>
      </c>
      <c r="C6" s="5">
        <v>77366</v>
      </c>
      <c r="D6" s="5">
        <v>5</v>
      </c>
      <c r="E6" s="5">
        <v>59371</v>
      </c>
      <c r="F6" s="5">
        <v>0</v>
      </c>
      <c r="G6" s="5">
        <v>0</v>
      </c>
      <c r="H6" s="5">
        <v>11</v>
      </c>
      <c r="I6" s="5">
        <v>83412</v>
      </c>
      <c r="J6" s="5">
        <v>220149</v>
      </c>
      <c r="K6" s="5">
        <v>220149</v>
      </c>
      <c r="L6" s="5">
        <v>0</v>
      </c>
      <c r="M6" s="5">
        <v>0</v>
      </c>
      <c r="N6" s="4">
        <v>179</v>
      </c>
    </row>
    <row r="7" ht="20" customHeight="1">
      <c r="A7" s="4" t="str">
        <v>AOW03: Business Models, Markets, and Sustainable Finance</v>
      </c>
      <c r="B7" s="5">
        <v>6</v>
      </c>
      <c r="C7" s="5">
        <v>104250</v>
      </c>
      <c r="D7" s="5">
        <v>6</v>
      </c>
      <c r="E7" s="5">
        <v>71896</v>
      </c>
      <c r="F7" s="5">
        <v>50</v>
      </c>
      <c r="G7" s="5">
        <v>24000</v>
      </c>
      <c r="H7" s="5">
        <v>0</v>
      </c>
      <c r="I7" s="5">
        <v>0</v>
      </c>
      <c r="J7" s="5">
        <v>200146</v>
      </c>
      <c r="K7" s="5">
        <v>200146</v>
      </c>
      <c r="L7" s="5">
        <v>0</v>
      </c>
      <c r="M7" s="5">
        <v>0</v>
      </c>
      <c r="N7" s="4">
        <v>180</v>
      </c>
    </row>
    <row r="8" ht="20" customHeight="1">
      <c r="A8" s="4" t="str">
        <v>AOW04: Governance, Institutions, Policy, and Inclusion</v>
      </c>
      <c r="B8" s="5">
        <v>4</v>
      </c>
      <c r="C8" s="5">
        <v>85000</v>
      </c>
      <c r="D8" s="5">
        <v>11</v>
      </c>
      <c r="E8" s="5">
        <v>210100</v>
      </c>
      <c r="F8" s="5">
        <v>0</v>
      </c>
      <c r="G8" s="5">
        <v>0</v>
      </c>
      <c r="H8" s="5">
        <v>6</v>
      </c>
      <c r="I8" s="5">
        <v>82369</v>
      </c>
      <c r="J8" s="5">
        <v>377469</v>
      </c>
      <c r="K8" s="5">
        <v>377469</v>
      </c>
      <c r="L8" s="5">
        <v>0</v>
      </c>
      <c r="M8" s="5">
        <v>0</v>
      </c>
      <c r="N8" s="4">
        <v>181</v>
      </c>
    </row>
    <row r="9" ht="20" customHeight="1">
      <c r="A9" s="4" t="str">
        <v>AOW05: Performance Assessments &amp; Evidence Generation</v>
      </c>
      <c r="B9" s="5">
        <v>0</v>
      </c>
      <c r="C9" s="5">
        <v>0</v>
      </c>
      <c r="D9" s="5">
        <v>4</v>
      </c>
      <c r="E9" s="5">
        <v>79800</v>
      </c>
      <c r="F9" s="5">
        <v>0</v>
      </c>
      <c r="G9" s="5">
        <v>0</v>
      </c>
      <c r="H9" s="5">
        <v>0</v>
      </c>
      <c r="I9" s="5">
        <v>0</v>
      </c>
      <c r="J9" s="5">
        <v>79800</v>
      </c>
      <c r="K9" s="5">
        <v>79800</v>
      </c>
      <c r="L9" s="5">
        <v>0</v>
      </c>
      <c r="M9" s="5">
        <v>0</v>
      </c>
      <c r="N9" s="4">
        <v>178</v>
      </c>
    </row>
    <row r="10" ht="25" customHeight="1">
      <c r="A10" s="6" t="str">
        <v>Total</v>
      </c>
      <c r="B10" s="7" t="str">
        <v/>
      </c>
      <c r="C10" s="7">
        <v>460756</v>
      </c>
      <c r="D10" s="7" t="str">
        <v/>
      </c>
      <c r="E10" s="7">
        <v>487702</v>
      </c>
      <c r="F10" s="7" t="str">
        <v/>
      </c>
      <c r="G10" s="7">
        <v>74500</v>
      </c>
      <c r="H10" s="7" t="str">
        <v/>
      </c>
      <c r="I10" s="7">
        <v>283531</v>
      </c>
      <c r="J10" s="7">
        <v>1306489</v>
      </c>
      <c r="K10" s="7">
        <v>1306489</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ICARDA</v>
      </c>
      <c r="C3" s="4" t="str">
        <v>OP 1.1.1. – Bundles of farm-level solutions</v>
      </c>
      <c r="D3" s="4" t="str" xml:space="preserve">
        <v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v>
      </c>
      <c r="E3" s="4" t="str">
        <v>Number of innovations (innovation development)</v>
      </c>
      <c r="F3" s="4" t="str">
        <v>Tunisia, Ethiopia, India</v>
      </c>
      <c r="G3" s="5">
        <v>3</v>
      </c>
      <c r="H3" s="5">
        <v>40000</v>
      </c>
      <c r="I3" s="4" t="str">
        <v>.</v>
      </c>
      <c r="J3" s="4">
        <v>5444</v>
      </c>
    </row>
    <row r="4" ht="50" customHeight="1" xml:space="preserve">
      <c r="B4" s="4" t="str">
        <v>ICARDA</v>
      </c>
      <c r="D4" s="4" t="str" xml:space="preserve">
        <v xml:space="preserve">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v>
      </c>
      <c r="E4" s="4" t="str">
        <v>custom</v>
      </c>
      <c r="F4" s="4" t="str">
        <v>Tunisia</v>
      </c>
      <c r="G4" s="5">
        <v>13</v>
      </c>
      <c r="H4" s="5">
        <v>35000</v>
      </c>
      <c r="I4" s="4" t="str">
        <v>.</v>
      </c>
      <c r="J4" s="4">
        <v>5468</v>
      </c>
    </row>
    <row r="5" ht="50" customHeight="1" xml:space="preserve">
      <c r="B5" s="4" t="str">
        <v>ICARDA</v>
      </c>
      <c r="D5" s="4" t="str" xml:space="preserve">
        <v xml:space="preserve">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Indicator:Number of agronomic and nutrition assessments on forages and neglected crops</v>
      </c>
      <c r="E5" s="4" t="str">
        <v>Number of knowledge products</v>
      </c>
      <c r="F5" s="4" t="str">
        <v>Tunisia</v>
      </c>
      <c r="G5" s="5">
        <v>2</v>
      </c>
      <c r="H5" s="5">
        <v>15932</v>
      </c>
      <c r="I5" s="4" t="str">
        <v>.</v>
      </c>
      <c r="J5" s="4">
        <v>5477</v>
      </c>
    </row>
    <row r="6" ht="50" customHeight="1" xml:space="preserve">
      <c r="B6" s="4" t="str">
        <v>ICARDA</v>
      </c>
      <c r="D6" s="4" t="str" xml:space="preserve">
        <v xml:space="preserve">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v>
      </c>
      <c r="E6" s="4" t="str">
        <v>Number of innovations (innovation development)</v>
      </c>
      <c r="F6" s="4" t="str">
        <v>Tunisia</v>
      </c>
      <c r="G6" s="5">
        <v>1</v>
      </c>
      <c r="H6" s="5">
        <v>35000</v>
      </c>
      <c r="I6" s="4" t="str">
        <v>.</v>
      </c>
      <c r="J6" s="4">
        <v>5478</v>
      </c>
    </row>
    <row r="7" ht="50" customHeight="1" xml:space="preserve">
      <c r="B7" s="4" t="str">
        <v>ICARDA</v>
      </c>
      <c r="D7" s="4" t="str" xml:space="preserve">
        <v xml:space="preserve">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v>
      </c>
      <c r="E7" s="4" t="str">
        <v>Number of knowledge products</v>
      </c>
      <c r="F7" s="4" t="str">
        <v>Tunisia</v>
      </c>
      <c r="G7" s="5">
        <v>1</v>
      </c>
      <c r="H7" s="5">
        <v>10000</v>
      </c>
      <c r="I7" s="4" t="str">
        <v>.</v>
      </c>
      <c r="J7" s="4">
        <v>5479</v>
      </c>
    </row>
    <row r="8" ht="50" customHeight="1" xml:space="preserve">
      <c r="B8" s="4" t="str">
        <v>ICARDA</v>
      </c>
      <c r="D8" s="4" t="str" xml:space="preserve">
        <v xml:space="preserve">Deliverable: An innovative haylage wrapping machine has been developed and tested with different private and public stakeholders in North and Central Tunisia. The technology will help to improve forage quality and generate income
Indicator: Number of agroecological innovations for forage co-designed</v>
      </c>
      <c r="E8" s="4" t="str">
        <v>Number of innovations (innovation development)</v>
      </c>
      <c r="F8" s="4" t="str">
        <v>Tunisia</v>
      </c>
      <c r="G8" s="5">
        <v>1</v>
      </c>
      <c r="H8" s="5">
        <v>15000</v>
      </c>
      <c r="I8" s="4" t="str">
        <v>.</v>
      </c>
      <c r="J8" s="4">
        <v>7519</v>
      </c>
    </row>
    <row r="9" ht="50" customHeight="1" xml:space="preserve">
      <c r="A9" s="4" t="str">
        <v>AOW01: Agroecology+ Solutions &amp; Innovations</v>
      </c>
      <c r="B9" s="4" t="str">
        <v>ICARDA</v>
      </c>
      <c r="C9" s="4" t="str">
        <v>OP 1.1.3. – Common pool resource bundles</v>
      </c>
      <c r="D9" s="4" t="str" xml:space="preserve">
        <v xml:space="preserve">Deliverable - Sustainable Rangeland Manageemnt (SRM)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v>
      </c>
      <c r="E9" s="4" t="str">
        <v>Number of innovations (innovation development)</v>
      </c>
      <c r="F9" s="4" t="str">
        <v>Tunisia</v>
      </c>
      <c r="G9" s="5">
        <v>5</v>
      </c>
      <c r="H9" s="5">
        <v>30000</v>
      </c>
      <c r="I9" s="4" t="str">
        <v>.</v>
      </c>
      <c r="J9" s="4">
        <v>5481</v>
      </c>
    </row>
    <row r="10" ht="50" customHeight="1" xml:space="preserve">
      <c r="B10" s="4" t="str">
        <v>ICARDA</v>
      </c>
      <c r="D10" s="4" t="str" xml:space="preserve">
        <v xml:space="preserve">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v>
      </c>
      <c r="E10" s="4" t="str">
        <v>custom</v>
      </c>
      <c r="F10" s="4" t="str">
        <v>Tunisia</v>
      </c>
      <c r="G10" s="5">
        <v>2</v>
      </c>
      <c r="H10" s="5">
        <v>37000</v>
      </c>
      <c r="I10" s="4" t="str">
        <v>.</v>
      </c>
      <c r="J10" s="4">
        <v>5483</v>
      </c>
    </row>
    <row r="11" ht="50" customHeight="1" xml:space="preserve">
      <c r="B11" s="4" t="str">
        <v>ICARDA</v>
      </c>
      <c r="D11" s="4" t="str" xml:space="preserve">
        <v xml:space="preserve">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v>
      </c>
      <c r="E11" s="4" t="str">
        <v>custom</v>
      </c>
      <c r="F11" s="4" t="str">
        <v>Tunisia</v>
      </c>
      <c r="G11" s="5">
        <v>700</v>
      </c>
      <c r="H11" s="5">
        <v>25750</v>
      </c>
      <c r="I11" s="4" t="str">
        <v>.</v>
      </c>
      <c r="J11" s="4">
        <v>5484</v>
      </c>
    </row>
    <row r="12" ht="50" customHeight="1" xml:space="preserve">
      <c r="A12" s="4" t="str">
        <v>AOW01: Agroecology+ Solutions &amp; Innovations</v>
      </c>
      <c r="B12" s="4" t="str">
        <v>ICARDA</v>
      </c>
      <c r="C12" s="4" t="str">
        <v>OP 1.1.2. – Climate-smart adaptation &amp; mitigation bundles</v>
      </c>
      <c r="D12" s="4" t="str" xml:space="preserve">
        <v xml:space="preserve">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 implemented</v>
      </c>
      <c r="E12" s="4" t="str">
        <v>Number of innovations (innovation development)</v>
      </c>
      <c r="F12" s="4" t="str">
        <v>Tunisia</v>
      </c>
      <c r="G12" s="5">
        <v>5</v>
      </c>
      <c r="H12" s="5">
        <v>24140</v>
      </c>
      <c r="I12" s="4" t="str">
        <v>.</v>
      </c>
      <c r="J12" s="4">
        <v>5489</v>
      </c>
    </row>
    <row r="13" ht="50" customHeight="1" xml:space="preserve">
      <c r="B13" s="4" t="str">
        <v>ICARDA</v>
      </c>
      <c r="D13" s="4" t="str" xml:space="preserve">
        <v xml:space="preserve">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Ecosystem Services benefits quantified through Multifunctional Landscape value chains</v>
      </c>
      <c r="E13" s="4" t="str">
        <v>Number of knowledge products</v>
      </c>
      <c r="F13" s="4" t="str">
        <v>Tunisia</v>
      </c>
      <c r="G13" s="5">
        <v>2</v>
      </c>
      <c r="H13" s="5">
        <v>17750</v>
      </c>
      <c r="I13" s="4" t="str">
        <v>.</v>
      </c>
      <c r="J13" s="4">
        <v>5494</v>
      </c>
    </row>
    <row r="14" ht="50" customHeight="1" xml:space="preserve">
      <c r="A14" s="4" t="str">
        <v>AOW01: Agroecology+ Solutions &amp; Innovations</v>
      </c>
      <c r="B14" s="4" t="str">
        <v>ICARDA</v>
      </c>
      <c r="C14" s="4" t="str">
        <v>OP 1.2.5. – Nutrition-sensitive innovations</v>
      </c>
      <c r="D14" s="4" t="str" xml:space="preserve">
        <v xml:space="preserve">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Indicator:Number of farmer-managed community seed banks provided with post-harvest seed facilities and training for agrobiodiversity and NUS conservation and use."</v>
      </c>
      <c r="E14" s="4" t="str">
        <v>Number of innovations (innovation development)</v>
      </c>
      <c r="F14" s="4" t="str">
        <v>Kenya</v>
      </c>
      <c r="G14" s="5">
        <v>3</v>
      </c>
      <c r="H14" s="5">
        <v>50000</v>
      </c>
      <c r="I14" s="4" t="str">
        <v>.</v>
      </c>
      <c r="J14" s="4">
        <v>5500</v>
      </c>
    </row>
    <row r="15" ht="50" customHeight="1" xml:space="preserve">
      <c r="A15" s="4" t="str">
        <v>AOW01: Agroecology+ Solutions &amp; Innovations</v>
      </c>
      <c r="B15" s="4" t="str">
        <v>ICARDA</v>
      </c>
      <c r="C15" s="4" t="str">
        <v>OP 1.2.6. – Advisory &amp; training innovations</v>
      </c>
      <c r="D15" s="4" t="str" xml:space="preserve">
        <v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technicians, engineers, and CBO/NGO trainers trained in rangeland restoration techniques. </v>
      </c>
      <c r="E15" s="4" t="str">
        <v>Number of people trained (capacity sharing for development)</v>
      </c>
      <c r="F15" s="4" t="str">
        <v>Tunisia</v>
      </c>
      <c r="G15" s="5">
        <v>10</v>
      </c>
      <c r="H15" s="5">
        <v>35500</v>
      </c>
      <c r="I15" s="4" t="str">
        <v>.</v>
      </c>
      <c r="J15" s="4">
        <v>5503</v>
      </c>
    </row>
    <row r="16" ht="50" customHeight="1" xml:space="preserve">
      <c r="B16" s="4" t="str">
        <v>ICARDA</v>
      </c>
      <c r="D16" s="4" t="str" xml:space="preserve">
        <v xml:space="preserve">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v>
      </c>
      <c r="E16" s="4" t="str">
        <v>Number of knowledge products</v>
      </c>
      <c r="F16" s="4" t="str">
        <v>Tunisia</v>
      </c>
      <c r="G16" s="5">
        <v>1</v>
      </c>
      <c r="H16" s="5">
        <v>5834</v>
      </c>
      <c r="I16" s="4" t="str">
        <v>.</v>
      </c>
      <c r="J16" s="4">
        <v>5510</v>
      </c>
    </row>
    <row r="17" ht="50" customHeight="1" xml:space="preserve">
      <c r="B17" s="4" t="str">
        <v>ICARDA</v>
      </c>
      <c r="D17" s="4" t="str" xml:space="preserve">
        <v xml:space="preserve">Deliverable – Capacity Strengthening on Forage Production: Design and implement capacity strengthening and knowledge-sharing activities to enhance the technical and institutional capacities of key stakeholders, including extension service providers, local communities, farmers, cooperatives, research institutions, and relevant government agencies. These activities aim to improve their ability to support the production, conservation, and integration of diversified, climate-resilient forage-based systems within sustainable farming and agroforestry contexts.
Indicator: Number of stakeholders trained (including extension agents, farmers, and community representatives) on forage production and management.</v>
      </c>
      <c r="E17" s="4" t="str">
        <v>Number of people trained (capacity sharing for development)</v>
      </c>
      <c r="F17" s="4" t="str">
        <v>Tunisia</v>
      </c>
      <c r="G17" s="5">
        <v>4</v>
      </c>
      <c r="H17" s="5">
        <v>15000</v>
      </c>
      <c r="I17" s="4" t="str">
        <v>.</v>
      </c>
      <c r="J17" s="4">
        <v>7481</v>
      </c>
    </row>
    <row r="18" ht="50" customHeight="1" xml:space="preserve">
      <c r="B18" s="4" t="str">
        <v>ICARDA</v>
      </c>
      <c r="D18" s="4" t="str" xml:space="preserve">
        <v xml:space="preserve">Deliverable:Number of actors, their characteristics and their interactions (extension, value chain,decision makers, development cooperation, research) in the adoption and scaling of relevant agroecological practices in Tunisia
Indicator: Number of assessments on actors interactions in adoption and scaling of AE practices</v>
      </c>
      <c r="E18" s="4" t="str">
        <v>Number of knowledge products</v>
      </c>
      <c r="F18" s="4" t="str">
        <v>Tunisia</v>
      </c>
      <c r="G18" s="5">
        <v>1</v>
      </c>
      <c r="H18" s="5">
        <v>17019</v>
      </c>
      <c r="I18" s="4" t="str">
        <v>.</v>
      </c>
      <c r="J18" s="4">
        <v>7506</v>
      </c>
    </row>
    <row r="19" ht="50" customHeight="1" xml:space="preserve">
      <c r="B19" s="4" t="str">
        <v>ICARDA</v>
      </c>
      <c r="D19" s="4" t="str" xml:space="preserve">
        <v xml:space="preserve">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v>
      </c>
      <c r="E19" s="4" t="str">
        <v>custom</v>
      </c>
      <c r="F19" s="4" t="str">
        <v>Zimbabwe</v>
      </c>
      <c r="G19" s="5">
        <v>50</v>
      </c>
      <c r="H19" s="5">
        <v>20000</v>
      </c>
      <c r="I19" s="4" t="str">
        <v>.</v>
      </c>
      <c r="J19" s="4">
        <v>7515</v>
      </c>
    </row>
    <row r="20" ht="25" customHeight="1">
      <c r="C20" s="9" t="str">
        <v>HLO budget subtotal</v>
      </c>
      <c r="H20" s="9">
        <v>428925</v>
      </c>
      <c r="J20" s="9" t="str">
        <v/>
      </c>
    </row>
    <row r="21" ht="50" customHeight="1" xml:space="preserve">
      <c r="A21" s="8" t="str">
        <v>AOW02: Landscape Optimization and Inclusive Planning</v>
      </c>
      <c r="B21" s="4" t="str">
        <v>ICARDA</v>
      </c>
      <c r="C21" s="4" t="str">
        <v>OP 2.2.3. – Integrated planning &amp; scenarios</v>
      </c>
      <c r="D21" s="4" t="str" xml:space="preserve">
        <v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tools that enhance integrated land use planning for optimizing multifunctionality in LLs</v>
      </c>
      <c r="E21" s="4" t="str">
        <v>Number of innovations (innovation development)</v>
      </c>
      <c r="F21" s="4" t="str">
        <v>Tunisia</v>
      </c>
      <c r="G21" s="5">
        <v>1</v>
      </c>
      <c r="H21" s="5">
        <v>37815</v>
      </c>
      <c r="I21" s="4" t="str">
        <v>.</v>
      </c>
      <c r="J21" s="4">
        <v>5245</v>
      </c>
    </row>
    <row r="22" ht="50" customHeight="1" xml:space="preserve">
      <c r="B22" s="4" t="str">
        <v>ICARDA</v>
      </c>
      <c r="D22" s="4" t="str" xml:space="preserve">
        <v xml:space="preserve">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v>
      </c>
      <c r="E22" s="4" t="str">
        <v>custom</v>
      </c>
      <c r="F22" s="4" t="str">
        <v>Tunisia</v>
      </c>
      <c r="G22" s="5">
        <v>10</v>
      </c>
      <c r="H22" s="5">
        <v>45000</v>
      </c>
      <c r="I22" s="4" t="str">
        <v>.</v>
      </c>
      <c r="J22" s="4">
        <v>5246</v>
      </c>
    </row>
    <row r="23" ht="50" customHeight="1" xml:space="preserve">
      <c r="B23" s="4" t="str">
        <v>ICARDA</v>
      </c>
      <c r="D23" s="4" t="str" xml:space="preserve">
        <v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v>
      </c>
      <c r="E23" s="4" t="str">
        <v>Number of innovations (innovation development)</v>
      </c>
      <c r="F23" s="4" t="str">
        <v>India, Tunisia, Senegal, Ethiopia</v>
      </c>
      <c r="G23" s="5">
        <v>3</v>
      </c>
      <c r="H23" s="5">
        <v>39551</v>
      </c>
      <c r="I23" s="4" t="str">
        <v>.</v>
      </c>
      <c r="J23" s="4">
        <v>5265</v>
      </c>
    </row>
    <row r="24" ht="50" customHeight="1" xml:space="preserve">
      <c r="A24" s="4" t="str">
        <v>AOW02: Landscape Optimization and Inclusive Planning</v>
      </c>
      <c r="B24" s="4" t="str">
        <v>ICARDA</v>
      </c>
      <c r="C24" s="4" t="str">
        <v>OP 2.2.2. – Landscape visions &amp; co-developed plans</v>
      </c>
      <c r="D24" s="4" t="str" xml:space="preserve">
        <v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v>
      </c>
      <c r="E24" s="4" t="str">
        <v>Number of knowledge products</v>
      </c>
      <c r="F24" s="4" t="str">
        <v>Lao People's Democratic Republic, The Socialist Republic of Viet Nam, Ethiopia, Tanzania, United Republic, India, Senegal, Cambodia, Tunisia</v>
      </c>
      <c r="G24" s="5">
        <v>4</v>
      </c>
      <c r="H24" s="5">
        <v>39371</v>
      </c>
      <c r="I24" s="4" t="str">
        <v>.</v>
      </c>
      <c r="J24" s="4">
        <v>5373</v>
      </c>
    </row>
    <row r="25" ht="50" customHeight="1" xml:space="preserve">
      <c r="B25" s="4" t="str">
        <v>ICARDA</v>
      </c>
      <c r="D25" s="4" t="str" xml:space="preserve">
        <v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Landscape Vision to Action processes implemented</v>
      </c>
      <c r="E25" s="4" t="str">
        <v>custom</v>
      </c>
      <c r="F25" s="4" t="str">
        <v>Tunisia</v>
      </c>
      <c r="G25" s="5">
        <v>1</v>
      </c>
      <c r="H25" s="5">
        <v>38412</v>
      </c>
      <c r="I25" s="4" t="str">
        <v>.</v>
      </c>
      <c r="J25" s="4">
        <v>7738</v>
      </c>
    </row>
    <row r="26" ht="50" customHeight="1" xml:space="preserve">
      <c r="B26" s="4" t="str">
        <v>ICARDA</v>
      </c>
      <c r="D26" s="4" t="str" xml:space="preserve">
        <v xml:space="preserve">Deliverable: Landscape work alignment and coherence. 
Indicator: Number of country reports on landscape alignment and coherence</v>
      </c>
      <c r="E26" s="4" t="str">
        <v>Number of knowledge products</v>
      </c>
      <c r="F26" s="4" t="str">
        <v>Ethiopia, Colombia, Peru, Kenya</v>
      </c>
      <c r="G26" s="5">
        <v>1</v>
      </c>
      <c r="H26" s="5">
        <v>20000</v>
      </c>
      <c r="I26" s="4" t="str">
        <v>.</v>
      </c>
      <c r="J26" s="4">
        <v>7744</v>
      </c>
    </row>
    <row r="27" ht="25" customHeight="1">
      <c r="C27" s="9" t="str">
        <v>HLO budget subtotal</v>
      </c>
      <c r="H27" s="9">
        <v>220149</v>
      </c>
      <c r="J27" s="9" t="str">
        <v/>
      </c>
    </row>
    <row r="28" ht="50" customHeight="1" xml:space="preserve">
      <c r="A28" s="8" t="str">
        <v>AOW03: Business Models, Markets, and Sustainable Finance</v>
      </c>
      <c r="B28" s="4" t="str">
        <v>ICARDA</v>
      </c>
      <c r="C28" s="4" t="str">
        <v>OP 3.2.2. Inclusive business models</v>
      </c>
      <c r="D28" s="4" t="str" xml:space="preserve">
        <v xml:space="preserve">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v>
      </c>
      <c r="E28" s="4" t="str">
        <v>Number of innovations (innovation development)</v>
      </c>
      <c r="F28" s="4" t="str">
        <v>Tunisia</v>
      </c>
      <c r="G28" s="5">
        <v>3</v>
      </c>
      <c r="H28" s="5">
        <v>54750</v>
      </c>
      <c r="I28" s="4" t="str">
        <v>.</v>
      </c>
      <c r="J28" s="4">
        <v>5404</v>
      </c>
    </row>
    <row r="29" ht="50" customHeight="1" xml:space="preserve">
      <c r="B29" s="4" t="str">
        <v>ICARDA</v>
      </c>
      <c r="D29" s="4" t="str" xml:space="preserve">
        <v xml:space="preserve">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v>
      </c>
      <c r="E29" s="4" t="str">
        <v>Number of knowledge products</v>
      </c>
      <c r="F29" s="4" t="str">
        <v>Tunisia</v>
      </c>
      <c r="G29" s="5">
        <v>3</v>
      </c>
      <c r="H29" s="5">
        <v>17396</v>
      </c>
      <c r="I29" s="4" t="str">
        <v>.</v>
      </c>
      <c r="J29" s="4">
        <v>5405</v>
      </c>
    </row>
    <row r="30" ht="50" customHeight="1" xml:space="preserve">
      <c r="A30" s="4" t="str">
        <v>AOW03: Business Models, Markets, and Sustainable Finance</v>
      </c>
      <c r="B30" s="4" t="str">
        <v>ICARDA</v>
      </c>
      <c r="C30" s="4" t="str">
        <v>OP 3.3.4. Innovative sustainable finance instruments</v>
      </c>
      <c r="D30" s="4" t="str" xml:space="preserve">
        <v xml:space="preserve">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opportunities identified and private investors engaged in investing and support scaling of agroecological business models</v>
      </c>
      <c r="E30" s="4" t="str">
        <v>Number of innovations (innovation development)</v>
      </c>
      <c r="F30" s="4" t="str">
        <v>Tunisia</v>
      </c>
      <c r="G30" s="5">
        <v>3</v>
      </c>
      <c r="H30" s="5">
        <v>49500</v>
      </c>
      <c r="I30" s="4" t="str">
        <v>.</v>
      </c>
      <c r="J30" s="4">
        <v>5439</v>
      </c>
    </row>
    <row r="31" ht="50" customHeight="1" xml:space="preserve">
      <c r="A31" s="4" t="str">
        <v>AOW03: Business Models, Markets, and Sustainable Finance</v>
      </c>
      <c r="B31" s="4" t="str">
        <v>ICARDA</v>
      </c>
      <c r="C31" s="4" t="str">
        <v>OP 3.3.3. Co-designed inclusive market and non-market mechanisms for optimizing ecosystem services</v>
      </c>
      <c r="D31" s="4" t="str" xml:space="preserve">
        <v xml:space="preserve">Deliverable - Comparative life cycle assessment of olive production: Evaluates environmental impacts and trade-offs of eight Mediterranean olive production systems using life cycle assessment, providing insights on sustainability, resource efficiency, and agroecological practices to inform decision-making and support the transition to resilient, multifunctional, and sustainable farming systems.
Indicator: Number of comparative life cycle assessments of olive production</v>
      </c>
      <c r="E31" s="4" t="str">
        <v>Number of knowledge products</v>
      </c>
      <c r="F31" s="4" t="str">
        <v>Tunisia</v>
      </c>
      <c r="G31" s="5">
        <v>1</v>
      </c>
      <c r="H31" s="5">
        <v>19500</v>
      </c>
      <c r="I31" s="4" t="str">
        <v>.</v>
      </c>
      <c r="J31" s="4">
        <v>7404</v>
      </c>
    </row>
    <row r="32" ht="50" customHeight="1" xml:space="preserve">
      <c r="B32" s="4" t="str">
        <v>ICARDA</v>
      </c>
      <c r="D32" s="4" t="str" xml:space="preserve">
        <v xml:space="preserve">Deliverable - Analysis and profiling of consumers preferences and attitudes towards agroecological products (Preferences, willingness to pay, etc.)
Indicator: Number of consumer preferences profile assessments</v>
      </c>
      <c r="E32" s="4" t="str">
        <v>Number of knowledge products</v>
      </c>
      <c r="F32" s="4" t="str">
        <v>Tunisia</v>
      </c>
      <c r="G32" s="5">
        <v>1</v>
      </c>
      <c r="H32" s="5">
        <v>15000</v>
      </c>
      <c r="I32" s="4" t="str">
        <v>.</v>
      </c>
      <c r="J32" s="4">
        <v>7406</v>
      </c>
    </row>
    <row r="33" ht="50" customHeight="1" xml:space="preserve">
      <c r="A33" s="4" t="str">
        <v>AOW03: Business Models, Markets, and Sustainable Finance</v>
      </c>
      <c r="B33" s="4" t="str">
        <v>ICARDA</v>
      </c>
      <c r="C33" s="4" t="str">
        <v>OP 3.1.1. Capacity strengthening for producer organizations &amp; value chains</v>
      </c>
      <c r="D33" s="4" t="str" xml:space="preserve">
        <v xml:space="preserve">Deliverable - Capacity assessment and strengthening of farmers’ organizations: Assesses and enhances technical, organizational, and governance capacities of farmers’ organizations in Hammam Biadha and surrounding communities, focusing on tree diversification, aromatic and medicinal plants, and olive oil marketing, to support sustainable, multifunctional, and market-oriented agroecological farming systems.
Indicator: Number of cooperative farmers trained on technical, organizational, and governance </v>
      </c>
      <c r="E33" s="4" t="str">
        <v>Number of people trained (capacity sharing for development)</v>
      </c>
      <c r="F33" s="4" t="str">
        <v>Tunisia</v>
      </c>
      <c r="G33" s="5">
        <v>50</v>
      </c>
      <c r="H33" s="5">
        <v>24000</v>
      </c>
      <c r="I33" s="4" t="str">
        <v>.</v>
      </c>
      <c r="J33" s="4">
        <v>7405</v>
      </c>
    </row>
    <row r="34" ht="50" customHeight="1" xml:space="preserve">
      <c r="B34" s="4" t="str">
        <v>ICARDA</v>
      </c>
      <c r="D34" s="4" t="str" xml:space="preserve">
        <v xml:space="preserve">Deliverable - Market analysis and marketing of agroecological products using an approach to understand how markets are constructed for agroecological products, while at the same time supporting small-scale actors in their existing initiatives for producing and marketing their products from agroecology, in order to contribute to more sustainable food systems
Indicator: Number of market assessments for agroecological products</v>
      </c>
      <c r="E34" s="4" t="str">
        <v>Number of knowledge products</v>
      </c>
      <c r="F34" s="4" t="str">
        <v>Tunisia</v>
      </c>
      <c r="G34" s="5">
        <v>1</v>
      </c>
      <c r="H34" s="5">
        <v>20000</v>
      </c>
      <c r="I34" s="4" t="str">
        <v>.</v>
      </c>
      <c r="J34" s="4">
        <v>7408</v>
      </c>
    </row>
    <row r="35" ht="25" customHeight="1">
      <c r="C35" s="9" t="str">
        <v>HLO budget subtotal</v>
      </c>
      <c r="H35" s="9">
        <v>200146</v>
      </c>
      <c r="J35" s="9" t="str">
        <v/>
      </c>
    </row>
    <row r="36" ht="50" customHeight="1" xml:space="preserve">
      <c r="A36" s="8" t="str">
        <v>AOW04: Governance, Institutions, Policy, and Inclusion</v>
      </c>
      <c r="B36" s="4" t="str">
        <v>ICARDA</v>
      </c>
      <c r="C36" s="4" t="str">
        <v>OP 4.1.2 GEYSI for co-creation and inclusive governance</v>
      </c>
      <c r="D36" s="4" t="str" xml:space="preserve">
        <v xml:space="preserve">Deliverable: Theatre productions addressing harmful gender norms around leadership, technology adoption and innovation adoption in MFL context. 
Indicator: Number of theatre productions addressing harmful gender norms implemented
</v>
      </c>
      <c r="E36" s="4" t="str">
        <v>custom</v>
      </c>
      <c r="F36" s="4" t="str">
        <v>Tunisia</v>
      </c>
      <c r="G36" s="5">
        <v>2</v>
      </c>
      <c r="H36" s="5">
        <v>50000</v>
      </c>
      <c r="I36" s="4" t="str">
        <v>.</v>
      </c>
      <c r="J36" s="4">
        <v>5272</v>
      </c>
    </row>
    <row r="37" ht="50" customHeight="1" xml:space="preserve">
      <c r="A37" s="4" t="str">
        <v>AOW04: Governance, Institutions, Policy, and Inclusion</v>
      </c>
      <c r="B37" s="4" t="str">
        <v>ICARDA</v>
      </c>
      <c r="C37" s="4" t="str">
        <v>OP 4.3.2. Engagement frameworks and pilots</v>
      </c>
      <c r="D37" s="4"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v>
      </c>
      <c r="E37" s="4" t="str">
        <v>Number of knowledge products</v>
      </c>
      <c r="F37" s="4" t="str">
        <v>Côte d'Ivoire, Cambodia, Tunisia, Tanzania, United Republic, Colombia, The Socialist Republic of Viet Nam, Lao People's Democratic Republic, Peru, Zimbabwe, Senegal, Kenya, India, Ethiopia</v>
      </c>
      <c r="G37" s="5">
        <v>6</v>
      </c>
      <c r="H37" s="5">
        <v>30000</v>
      </c>
      <c r="I37" s="4" t="str">
        <v>.</v>
      </c>
      <c r="J37" s="4">
        <v>5335</v>
      </c>
    </row>
    <row r="38" ht="50" customHeight="1">
      <c r="B38" s="4" t="str">
        <v>ICARDA</v>
      </c>
      <c r="D38" s="4" t="str">
        <v>Number of engagement frameworks developed for policy change, alignment, and institutional coordination for multifunctional landscapes</v>
      </c>
      <c r="E38" s="4" t="str">
        <v>Number of knowledge products</v>
      </c>
      <c r="F38" s="4" t="str">
        <v>Tunisia, Peru, The Socialist Republic of Viet Nam, Cambodia, Tanzania, United Republic, Kenya, Zimbabwe, Senegal, Lao People's Democratic Republic, India, Colombia</v>
      </c>
      <c r="G38" s="5">
        <v>4</v>
      </c>
      <c r="H38" s="5">
        <v>0</v>
      </c>
      <c r="I38" s="4" t="str">
        <v/>
      </c>
      <c r="J38" s="4">
        <v>5338</v>
      </c>
    </row>
    <row r="39" ht="50" customHeight="1" xml:space="preserve">
      <c r="B39" s="4" t="str">
        <v>ICARDA</v>
      </c>
      <c r="D39" s="4" t="str" xml:space="preserve">
        <v xml:space="preserve">Deliverable: "National landscape observatory for agroecology development". 
Establishment of a national observatory for the development of multifunctional landscapes. This activity will support the Ministry of Agriculture in Tunisia's demand-oriented request to conceptualize and develop a local landscape 'observatory' based on the Open Data Toolkit. This observatory will collect relevant variables and proxies for multifunctional territorial (landscape) KPIs. KPIs have already been developed by EU-CIRAD in Tunisia. The MFL will complement these with economic and MFL development composite indicators and the ODK system for data collection and KPI observation. The CN will involve capacity assessment and training for local administrative staff to collect data, as well as early modelling of scripts for KPIs.
Indicator: National landscape observatory for agroecology development established</v>
      </c>
      <c r="E39" s="4" t="str">
        <v>Number of innovations (innovation development)</v>
      </c>
      <c r="F39" s="4" t="str">
        <v>Tunisia</v>
      </c>
      <c r="G39" s="5">
        <v>1</v>
      </c>
      <c r="H39" s="5">
        <v>45000</v>
      </c>
      <c r="I39" s="4" t="str">
        <v>.</v>
      </c>
      <c r="J39" s="4">
        <v>7473</v>
      </c>
    </row>
    <row r="40" ht="50" customHeight="1" xml:space="preserve">
      <c r="A40" s="4" t="str">
        <v>AOW04: Governance, Institutions, Policy, and Inclusion</v>
      </c>
      <c r="B40" s="4" t="str">
        <v>ICARDA</v>
      </c>
      <c r="C40" s="4" t="str">
        <v>OP 4.2.1. Institutional, social and behavioral mechanisms</v>
      </c>
      <c r="D40" s="4"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v>
      </c>
      <c r="E40" s="4" t="str">
        <v>Number of knowledge products</v>
      </c>
      <c r="F40" s="4" t="str">
        <v>Ethiopia, India, The Socialist Republic of Viet Nam, Peru, Tunisia</v>
      </c>
      <c r="G40" s="5">
        <v>1</v>
      </c>
      <c r="H40" s="5">
        <v>55460</v>
      </c>
      <c r="I40" s="4" t="str">
        <v>.</v>
      </c>
      <c r="J40" s="4">
        <v>5343</v>
      </c>
    </row>
    <row r="41" ht="50" customHeight="1" xml:space="preserve">
      <c r="A41" s="4" t="str">
        <v>AOW04: Governance, Institutions, Policy, and Inclusion</v>
      </c>
      <c r="B41" s="4" t="str">
        <v>ICARDA</v>
      </c>
      <c r="C41" s="4" t="str">
        <v>OP 4.2.2. Demand driven capacity sharing for policy makers and landscape stakeholders</v>
      </c>
      <c r="D41" s="4" t="str" xml:space="preserve">
        <v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v>
      </c>
      <c r="E41" s="4" t="str">
        <v>Number of innovations (innovation development)</v>
      </c>
      <c r="F41" s="4" t="str">
        <v>Ethiopia, Tunisia, Kenya</v>
      </c>
      <c r="G41" s="5">
        <v>3</v>
      </c>
      <c r="H41" s="5">
        <v>40000</v>
      </c>
      <c r="I41" s="4" t="str">
        <v>.</v>
      </c>
      <c r="J41" s="4">
        <v>5347</v>
      </c>
    </row>
    <row r="42" ht="50" customHeight="1" xml:space="preserve">
      <c r="B42" s="4" t="str">
        <v>ICARDA</v>
      </c>
      <c r="D42"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42" s="4" t="str">
        <v>custom</v>
      </c>
      <c r="F42" s="4" t="str">
        <v>Senegal, Lao People's Democratic Republic, The Socialist Republic of Viet Nam, Côte d'Ivoire, Colombia, Peru, Tunisia, India, Zimbabwe, Cambodia, Tanzania, United Republic, Ethiopia, Kenya</v>
      </c>
      <c r="G42" s="5">
        <v>4</v>
      </c>
      <c r="H42" s="5">
        <v>32369</v>
      </c>
      <c r="I42" s="4" t="str">
        <v>.</v>
      </c>
      <c r="J42" s="4">
        <v>5350</v>
      </c>
    </row>
    <row r="43" ht="50" customHeight="1" xml:space="preserve">
      <c r="A43" s="4" t="str">
        <v>AOW04: Governance, Institutions, Policy, and Inclusion</v>
      </c>
      <c r="B43" s="4" t="str">
        <v>ICARDA</v>
      </c>
      <c r="C43" s="4" t="str">
        <v>OP 4.1.1. Inclusive governance architectures</v>
      </c>
      <c r="D43" s="4" t="str" xml:space="preserve">
        <v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v>
      </c>
      <c r="E43" s="4" t="str">
        <v>Number of knowledge products</v>
      </c>
      <c r="F43" s="4" t="str">
        <v>Tunisia</v>
      </c>
      <c r="G43" s="5">
        <v>1</v>
      </c>
      <c r="H43" s="5">
        <v>50000</v>
      </c>
      <c r="I43" s="4" t="str">
        <v>.</v>
      </c>
      <c r="J43" s="4">
        <v>5392</v>
      </c>
    </row>
    <row r="44" ht="50" customHeight="1" xml:space="preserve">
      <c r="B44" s="4" t="str">
        <v>ICARDA</v>
      </c>
      <c r="D44" s="4" t="str" xml:space="preserve">
        <v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v>
      </c>
      <c r="E44" s="4" t="str">
        <v>Number of knowledge products</v>
      </c>
      <c r="F44" s="4" t="str">
        <v>Tunisia</v>
      </c>
      <c r="G44" s="5">
        <v>3</v>
      </c>
      <c r="H44" s="5">
        <v>74640</v>
      </c>
      <c r="I44" s="4" t="str">
        <v>.</v>
      </c>
      <c r="J44" s="4">
        <v>5397</v>
      </c>
    </row>
    <row r="45" ht="25" customHeight="1">
      <c r="C45" s="9" t="str">
        <v>HLO budget subtotal</v>
      </c>
      <c r="H45" s="9">
        <v>377469</v>
      </c>
      <c r="J45" s="9" t="str">
        <v/>
      </c>
    </row>
    <row r="46" ht="50" customHeight="1" xml:space="preserve">
      <c r="A46" s="8" t="str">
        <v>AOW05: Performance Assessments &amp; Evidence Generation</v>
      </c>
      <c r="B46" s="4" t="str">
        <v>ICARDA</v>
      </c>
      <c r="C46" s="4" t="str">
        <v>OP 5.1.3. Cross-CGIAR assessment frameworks of impact indicators</v>
      </c>
      <c r="D46" s="4" t="str" xml:space="preserve">
        <v xml:space="preserve">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v>
      </c>
      <c r="E46" s="4" t="str">
        <v>Number of knowledge products</v>
      </c>
      <c r="F46" s="4" t="str">
        <v>Ethiopia, The Socialist Republic of Viet Nam, Kenya, Colombia, Tanzania, United Republic</v>
      </c>
      <c r="G46" s="5">
        <v>1</v>
      </c>
      <c r="H46" s="5">
        <v>16900</v>
      </c>
      <c r="I46" s="4" t="str">
        <v>.</v>
      </c>
      <c r="J46" s="4">
        <v>5293</v>
      </c>
    </row>
    <row r="47" ht="50" customHeight="1" xml:space="preserve">
      <c r="A47" s="4" t="str">
        <v>AOW05: Performance Assessments &amp; Evidence Generation</v>
      </c>
      <c r="B47" s="4" t="str">
        <v>ICARDA</v>
      </c>
      <c r="C47" s="4" t="str">
        <v>OP 5.2.2. AI-assisted monitoring system</v>
      </c>
      <c r="D47"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47" s="4" t="str">
        <v>Number of knowledge products</v>
      </c>
      <c r="F47" s="4" t="str">
        <v>Tunisia</v>
      </c>
      <c r="G47" s="5">
        <v>2</v>
      </c>
      <c r="H47" s="5">
        <v>20000</v>
      </c>
      <c r="I47" s="4" t="str">
        <v>.</v>
      </c>
      <c r="J47" s="4">
        <v>7443</v>
      </c>
    </row>
    <row r="48" ht="50" customHeight="1" xml:space="preserve">
      <c r="A48" s="4" t="str">
        <v>AOW05: Performance Assessments &amp; Evidence Generation</v>
      </c>
      <c r="B48" s="4" t="str">
        <v>ICARDA</v>
      </c>
      <c r="C48" s="4" t="str">
        <v>OP 5.1.2 Landscape-specific assessment frameworks</v>
      </c>
      <c r="D48" s="4" t="str" xml:space="preserve">
        <v xml:space="preserve">Deliverable: A multifunctionality assessment framework aligned with stakeholder needs with 4-6 indicators co-built with landscape stakeholders.
Indicator: Number of operational guidelines co-developed with stakeholders for prioritizing, planning, implementation, and monitoring interventions aimed at increasing landscape multifunctionality in Tunisia</v>
      </c>
      <c r="E48" s="4" t="str">
        <v>Number of knowledge products</v>
      </c>
      <c r="F48" s="4" t="str">
        <v>Tunisia</v>
      </c>
      <c r="G48" s="5">
        <v>1</v>
      </c>
      <c r="H48" s="5">
        <v>42900</v>
      </c>
      <c r="I48" s="4" t="str">
        <v>.</v>
      </c>
      <c r="J48" s="4">
        <v>7446</v>
      </c>
    </row>
    <row r="49" ht="25" customHeight="1">
      <c r="C49" s="9" t="str">
        <v>HLO budget subtotal</v>
      </c>
      <c r="H49" s="9">
        <v>79800</v>
      </c>
      <c r="J49" s="9" t="str">
        <v/>
      </c>
    </row>
  </sheetData>
  <mergeCells count="28">
    <mergeCell ref="A1:A2"/>
    <mergeCell ref="B1:B2"/>
    <mergeCell ref="C1:C2"/>
    <mergeCell ref="D1:H1"/>
    <mergeCell ref="I1:I2"/>
    <mergeCell ref="J1:J2"/>
    <mergeCell ref="C3:C8"/>
    <mergeCell ref="C9:C11"/>
    <mergeCell ref="C12:C13"/>
    <mergeCell ref="C15:C19"/>
    <mergeCell ref="C20:G20"/>
    <mergeCell ref="A3:A20"/>
    <mergeCell ref="C21:C23"/>
    <mergeCell ref="C24:C26"/>
    <mergeCell ref="C27:G27"/>
    <mergeCell ref="A21:A27"/>
    <mergeCell ref="C28:C29"/>
    <mergeCell ref="C31:C32"/>
    <mergeCell ref="C33:C34"/>
    <mergeCell ref="C35:G35"/>
    <mergeCell ref="A28:A35"/>
    <mergeCell ref="C37:C39"/>
    <mergeCell ref="C41:C42"/>
    <mergeCell ref="C43:C44"/>
    <mergeCell ref="C45:G45"/>
    <mergeCell ref="A36:A45"/>
    <mergeCell ref="C49:G49"/>
    <mergeCell ref="A46:A49"/>
  </mergeCells>
  <ignoredErrors>
    <ignoredError numberStoredAsText="1" sqref="A1:J4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2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Policy Change Analyses</v>
      </c>
      <c r="D2"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2" s="4" t="str">
        <v>N/A</v>
      </c>
      <c r="F2" s="5">
        <v>0</v>
      </c>
      <c r="G2" s="4" t="str">
        <v/>
      </c>
      <c r="H2" s="4">
        <v>328</v>
      </c>
    </row>
    <row r="3" ht="60" customHeight="1">
      <c r="A3" s="4" t="str">
        <v>AOW00: Cross Cutting</v>
      </c>
      <c r="B3" s="4" t="str">
        <v>ICARDA</v>
      </c>
      <c r="C3" s="4" t="str">
        <v>Actor engagement and outcome tracking</v>
      </c>
      <c r="D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3" s="4" t="str">
        <v>N/A</v>
      </c>
      <c r="F3" s="5">
        <v>0</v>
      </c>
      <c r="G3" s="4" t="str">
        <v/>
      </c>
      <c r="H3" s="4">
        <v>608</v>
      </c>
    </row>
    <row r="4" ht="60" customHeight="1">
      <c r="A4" s="4" t="str">
        <v>AOW00: Cross Cutting</v>
      </c>
      <c r="B4" s="4" t="str">
        <v>ICARDA</v>
      </c>
      <c r="C4" s="4" t="str">
        <v>Outcome Evidencing/Outcome Trajectory Studies</v>
      </c>
      <c r="D4"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4" s="4" t="str">
        <v>N/A</v>
      </c>
      <c r="F4" s="5">
        <v>0</v>
      </c>
      <c r="G4" s="4" t="str">
        <v/>
      </c>
      <c r="H4" s="4">
        <v>618</v>
      </c>
    </row>
    <row r="5" ht="60" customHeight="1">
      <c r="A5" s="4" t="str">
        <v>AOW00: Cross Cutting</v>
      </c>
      <c r="B5" s="4" t="str">
        <v>ICARDA</v>
      </c>
      <c r="C5" s="4" t="str">
        <v>Household Level Adoption Studies</v>
      </c>
      <c r="D5" s="4" t="str">
        <v>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5" s="4" t="str">
        <v>N/A</v>
      </c>
      <c r="F5" s="5">
        <v>0</v>
      </c>
      <c r="G5" s="4" t="str">
        <v/>
      </c>
      <c r="H5" s="4">
        <v>623</v>
      </c>
    </row>
    <row r="6" ht="60" customHeight="1">
      <c r="A6" s="4" t="str">
        <v>AOW00: Cross Cutting</v>
      </c>
      <c r="B6" s="4" t="str">
        <v>ICARDA</v>
      </c>
      <c r="C6" s="4" t="str">
        <v>Partnership quality evaluation tool</v>
      </c>
      <c r="D6" s="4" t="str">
        <v>I-OC 5.1 Partners in MFL Living Landscapes sites demonstrate strengthened capacity to articulate, communicate, and actively influence the uptake of MFL knowledge in policy arenas, scientific communities, and practitioner networks.</v>
      </c>
      <c r="E6" s="4" t="str">
        <v>N/A</v>
      </c>
      <c r="F6" s="5">
        <v>0</v>
      </c>
      <c r="G6" s="4" t="str">
        <v/>
      </c>
      <c r="H6" s="4">
        <v>635</v>
      </c>
    </row>
    <row r="7" ht="60" customHeight="1">
      <c r="A7" s="4" t="str">
        <v>AOW00: Cross Cutting</v>
      </c>
      <c r="B7" s="4" t="str">
        <v>ICARDA</v>
      </c>
      <c r="C7" s="4" t="str">
        <v>Impact assessment of selected agroecological and nature positive solutions on productivity, income and food security.</v>
      </c>
      <c r="D7" s="4" t="str">
        <v>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7" s="4" t="str">
        <v>N/A</v>
      </c>
      <c r="F7" s="5">
        <v>0</v>
      </c>
      <c r="G7" s="4" t="str">
        <v/>
      </c>
      <c r="H7" s="4">
        <v>650</v>
      </c>
    </row>
    <row r="8" ht="25" customHeight="1">
      <c r="C8" s="9" t="str">
        <v>MELIA budget subtotal</v>
      </c>
      <c r="F8" s="9">
        <v>0</v>
      </c>
      <c r="G8" s="9" t="str">
        <v/>
      </c>
      <c r="H8" s="9" t="str">
        <v/>
      </c>
    </row>
    <row r="9" ht="60" customHeight="1">
      <c r="A9" s="8" t="str">
        <v>AOW01: Agroecology+ Solutions &amp; Innovations</v>
      </c>
      <c r="B9" s="4" t="str">
        <v>ICARDA</v>
      </c>
      <c r="C9" s="4" t="str">
        <v>Actor engagement and outcome tracking</v>
      </c>
      <c r="D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9" s="4" t="str">
        <v>N/A</v>
      </c>
      <c r="F9" s="5">
        <v>0</v>
      </c>
      <c r="G9" s="4" t="str">
        <v/>
      </c>
      <c r="H9" s="4">
        <v>602</v>
      </c>
    </row>
    <row r="10" ht="60" customHeight="1">
      <c r="A10" s="4" t="str">
        <v>AOW01: Agroecology+ Solutions &amp; Innovations</v>
      </c>
      <c r="B10" s="4" t="str">
        <v>ICARDA</v>
      </c>
      <c r="C10" s="4" t="str">
        <v>Partnership quality evaluation tool</v>
      </c>
      <c r="D10" s="4" t="str">
        <v>I-OC 5.1 Partners in MFL Living Landscapes sites demonstrate strengthened capacity to articulate, communicate, and actively influence the uptake of MFL knowledge in policy arenas, scientific communities, and practitioner networks.</v>
      </c>
      <c r="E10" s="4" t="str">
        <v>N/A</v>
      </c>
      <c r="F10" s="5">
        <v>0</v>
      </c>
      <c r="G10" s="4" t="str">
        <v/>
      </c>
      <c r="H10" s="4">
        <v>630</v>
      </c>
    </row>
    <row r="11" ht="25" customHeight="1">
      <c r="C11" s="9" t="str">
        <v>MELIA budget subtotal</v>
      </c>
      <c r="F11" s="9">
        <v>0</v>
      </c>
      <c r="G11" s="9" t="str">
        <v/>
      </c>
      <c r="H11" s="9" t="str">
        <v/>
      </c>
    </row>
    <row r="12" ht="60" customHeight="1">
      <c r="A12" s="8" t="str">
        <v>AOW02: Landscape Optimization and Inclusive Planning</v>
      </c>
      <c r="B12" s="4" t="str">
        <v>ICARDA</v>
      </c>
      <c r="C12" s="4" t="str">
        <v>Policy Change Analyses</v>
      </c>
      <c r="D12"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2" s="4" t="str">
        <v>N/A</v>
      </c>
      <c r="F12" s="5">
        <v>0</v>
      </c>
      <c r="G12" s="4" t="str">
        <v/>
      </c>
      <c r="H12" s="4">
        <v>327</v>
      </c>
    </row>
    <row r="13" ht="60" customHeight="1">
      <c r="A13" s="4" t="str">
        <v>AOW02: Landscape Optimization and Inclusive Planning</v>
      </c>
      <c r="B13" s="4" t="str">
        <v>ICARDA</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596</v>
      </c>
    </row>
    <row r="14" ht="25" customHeight="1">
      <c r="C14" s="9" t="str">
        <v>MELIA budget subtotal</v>
      </c>
      <c r="F14" s="9">
        <v>0</v>
      </c>
      <c r="G14" s="9" t="str">
        <v/>
      </c>
      <c r="H14" s="9" t="str">
        <v/>
      </c>
    </row>
    <row r="15" ht="60" customHeight="1">
      <c r="A15" s="8" t="str">
        <v>AOW03: Business Models, Markets, and Sustainable Finance</v>
      </c>
      <c r="B15" s="4" t="str">
        <v>ICARDA</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578</v>
      </c>
    </row>
    <row r="16" ht="25" customHeight="1">
      <c r="C16" s="9" t="str">
        <v>MELIA budget subtotal</v>
      </c>
      <c r="F16" s="9">
        <v>0</v>
      </c>
      <c r="G16" s="9" t="str">
        <v/>
      </c>
      <c r="H16" s="9" t="str">
        <v/>
      </c>
    </row>
    <row r="17" ht="60" customHeight="1">
      <c r="A17" s="8" t="str">
        <v>AOW04: Governance, Institutions, Policy, and Inclusion</v>
      </c>
      <c r="B17" s="4" t="str">
        <v>ICARDA</v>
      </c>
      <c r="C17" s="4" t="str">
        <v>Policy Change Analyses</v>
      </c>
      <c r="D17"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7" s="4" t="str">
        <v>N/A</v>
      </c>
      <c r="F17" s="5">
        <v>0</v>
      </c>
      <c r="G17" s="4" t="str">
        <v/>
      </c>
      <c r="H17" s="4">
        <v>326</v>
      </c>
    </row>
    <row r="18" ht="60" customHeight="1">
      <c r="A18" s="4" t="str">
        <v>AOW04: Governance, Institutions, Policy, and Inclusion</v>
      </c>
      <c r="B18" s="4" t="str">
        <v>ICARDA</v>
      </c>
      <c r="C18" s="4" t="str">
        <v>Actor engagement and outcome tracking</v>
      </c>
      <c r="D18"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8" s="4" t="str">
        <v>N/A</v>
      </c>
      <c r="F18" s="5">
        <v>0</v>
      </c>
      <c r="G18" s="4" t="str">
        <v/>
      </c>
      <c r="H18" s="4">
        <v>584</v>
      </c>
    </row>
    <row r="19" ht="25" customHeight="1">
      <c r="C19" s="9" t="str">
        <v>MELIA budget subtotal</v>
      </c>
      <c r="F19" s="9">
        <v>0</v>
      </c>
      <c r="G19" s="9" t="str">
        <v/>
      </c>
      <c r="H19" s="9" t="str">
        <v/>
      </c>
    </row>
    <row r="20" ht="60" customHeight="1">
      <c r="A20" s="8" t="str">
        <v>AOW05: Performance Assessments &amp; Evidence Generation</v>
      </c>
      <c r="B20" s="4" t="str">
        <v>ICARDA</v>
      </c>
      <c r="C20" s="4" t="str">
        <v>Actor engagement and outcome tracking</v>
      </c>
      <c r="D20"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0" s="4" t="str">
        <v>N/A</v>
      </c>
      <c r="F20" s="5">
        <v>0</v>
      </c>
      <c r="G20" s="4" t="str">
        <v/>
      </c>
      <c r="H20" s="4">
        <v>590</v>
      </c>
    </row>
    <row r="21" ht="60" customHeight="1">
      <c r="A21" s="4" t="str">
        <v>AOW05: Performance Assessments &amp; Evidence Generation</v>
      </c>
      <c r="B21" s="4" t="str">
        <v>ICARDA</v>
      </c>
      <c r="C21" s="4" t="str">
        <v>Partnership quality evaluation tool</v>
      </c>
      <c r="D21" s="4" t="str">
        <v>I-OC 5.1 Partners in MFL Living Landscapes sites demonstrate strengthened capacity to articulate, communicate, and actively influence the uptake of MFL knowledge in policy arenas, scientific communities, and practitioner networks.</v>
      </c>
      <c r="E21" s="4" t="str">
        <v>N/A</v>
      </c>
      <c r="F21" s="5">
        <v>0</v>
      </c>
      <c r="G21" s="4" t="str">
        <v/>
      </c>
      <c r="H21" s="4">
        <v>625</v>
      </c>
    </row>
    <row r="22" ht="25" customHeight="1">
      <c r="C22" s="9" t="str">
        <v>MELIA budget subtotal</v>
      </c>
      <c r="F22" s="9">
        <v>0</v>
      </c>
      <c r="G22" s="9" t="str">
        <v/>
      </c>
      <c r="H22" s="9" t="str">
        <v/>
      </c>
    </row>
  </sheetData>
  <mergeCells count="12">
    <mergeCell ref="C8:E8"/>
    <mergeCell ref="A2:A8"/>
    <mergeCell ref="C11:E11"/>
    <mergeCell ref="A9:A11"/>
    <mergeCell ref="C14:E14"/>
    <mergeCell ref="A12:A14"/>
    <mergeCell ref="C16:E16"/>
    <mergeCell ref="A15:A16"/>
    <mergeCell ref="C19:E19"/>
    <mergeCell ref="A17:A19"/>
    <mergeCell ref="C22:E22"/>
    <mergeCell ref="A20:A22"/>
  </mergeCells>
  <ignoredErrors>
    <ignoredError numberStoredAsText="1" sqref="A1:H22"/>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300247</v>
      </c>
      <c r="D2" s="5">
        <v>154104</v>
      </c>
      <c r="E2" s="5">
        <v>140102</v>
      </c>
      <c r="F2" s="5">
        <v>264228</v>
      </c>
      <c r="G2" s="5">
        <v>55860</v>
      </c>
      <c r="H2" s="5">
        <f>=SUM(B2:G2)</f>
        <v>0</v>
      </c>
    </row>
    <row r="3" ht="20" customHeight="1">
      <c r="A3" s="4" t="str">
        <v>Operations (supplies, consultants, travels, workshops, other)</v>
      </c>
      <c r="B3" s="5">
        <v>0</v>
      </c>
      <c r="C3" s="5">
        <v>128678</v>
      </c>
      <c r="D3" s="5">
        <v>66045</v>
      </c>
      <c r="E3" s="5">
        <v>60044</v>
      </c>
      <c r="F3" s="5">
        <v>113241</v>
      </c>
      <c r="G3" s="5">
        <v>23940</v>
      </c>
      <c r="H3" s="5">
        <f>=SUM(B3:G3)</f>
        <v>0</v>
      </c>
    </row>
    <row r="4" ht="20" customHeight="1">
      <c r="A4" s="4" t="str">
        <v>Collaborators non-CGIAR centers</v>
      </c>
      <c r="B4" s="5">
        <v>0</v>
      </c>
      <c r="C4" s="5">
        <v>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ICARDA</v>
      </c>
      <c r="C2" s="4" t="str">
        <v>Kenya</v>
      </c>
      <c r="D2" s="5">
        <v>10</v>
      </c>
      <c r="E2" s="4">
        <v>2440</v>
      </c>
    </row>
    <row r="3" ht="45" customHeight="1">
      <c r="A3" s="4" t="str">
        <v>AOW01: Agroecology+ Solutions &amp; Innovations</v>
      </c>
      <c r="B3" s="4" t="str">
        <v>ICARDA</v>
      </c>
      <c r="C3" s="4" t="str">
        <v>Tunisia</v>
      </c>
      <c r="D3" s="5">
        <v>90</v>
      </c>
      <c r="E3" s="4">
        <v>2439</v>
      </c>
    </row>
    <row r="4" ht="45" customHeight="1">
      <c r="A4" s="8" t="str">
        <v>AOW02: Landscape Optimization and Inclusive Planning</v>
      </c>
      <c r="B4" s="4" t="str">
        <v>ICARDA</v>
      </c>
      <c r="C4" s="4" t="str">
        <v>Tunisia</v>
      </c>
      <c r="D4" s="5">
        <v>100</v>
      </c>
      <c r="E4" s="4">
        <v>2446</v>
      </c>
    </row>
    <row r="5" ht="45" customHeight="1">
      <c r="A5" s="8" t="str">
        <v>AOW03: Business Models, Markets, and Sustainable Finance</v>
      </c>
      <c r="B5" s="4" t="str">
        <v>ICARDA</v>
      </c>
      <c r="C5" s="4" t="str">
        <v>Tunisia</v>
      </c>
      <c r="D5" s="5">
        <v>100</v>
      </c>
      <c r="E5" s="4">
        <v>2450</v>
      </c>
    </row>
    <row r="6" ht="45" customHeight="1">
      <c r="A6" s="8" t="str">
        <v>AOW04: Governance, Institutions, Policy, and Inclusion</v>
      </c>
      <c r="B6" s="4" t="str">
        <v>ICARDA</v>
      </c>
      <c r="C6" s="4" t="str">
        <v>Cambodia</v>
      </c>
      <c r="D6" s="5">
        <v>2</v>
      </c>
      <c r="E6" s="4">
        <v>2463</v>
      </c>
    </row>
    <row r="7" ht="45" customHeight="1">
      <c r="A7" s="4" t="str">
        <v>AOW04: Governance, Institutions, Policy, and Inclusion</v>
      </c>
      <c r="B7" s="4" t="str">
        <v>ICARDA</v>
      </c>
      <c r="C7" s="4" t="str">
        <v>Colombia</v>
      </c>
      <c r="D7" s="5">
        <v>5</v>
      </c>
      <c r="E7" s="4">
        <v>2462</v>
      </c>
    </row>
    <row r="8" ht="45" customHeight="1">
      <c r="A8" s="4" t="str">
        <v>AOW04: Governance, Institutions, Policy, and Inclusion</v>
      </c>
      <c r="B8" s="4" t="str">
        <v>ICARDA</v>
      </c>
      <c r="C8" s="4" t="str">
        <v>Côte d'Ivoire</v>
      </c>
      <c r="D8" s="5">
        <v>5</v>
      </c>
      <c r="E8" s="4">
        <v>2461</v>
      </c>
    </row>
    <row r="9" ht="45" customHeight="1">
      <c r="A9" s="4" t="str">
        <v>AOW04: Governance, Institutions, Policy, and Inclusion</v>
      </c>
      <c r="B9" s="4" t="str">
        <v>ICARDA</v>
      </c>
      <c r="C9" s="4" t="str">
        <v>Ethiopia</v>
      </c>
      <c r="D9" s="5">
        <v>5</v>
      </c>
      <c r="E9" s="4">
        <v>2460</v>
      </c>
    </row>
    <row r="10" ht="45" customHeight="1">
      <c r="A10" s="4" t="str">
        <v>AOW04: Governance, Institutions, Policy, and Inclusion</v>
      </c>
      <c r="B10" s="4" t="str">
        <v>ICARDA</v>
      </c>
      <c r="C10" s="4" t="str">
        <v>India</v>
      </c>
      <c r="D10" s="5">
        <v>5</v>
      </c>
      <c r="E10" s="4">
        <v>2459</v>
      </c>
    </row>
    <row r="11" ht="45" customHeight="1">
      <c r="A11" s="4" t="str">
        <v>AOW04: Governance, Institutions, Policy, and Inclusion</v>
      </c>
      <c r="B11" s="4" t="str">
        <v>ICARDA</v>
      </c>
      <c r="C11" s="4" t="str">
        <v>Kenya</v>
      </c>
      <c r="D11" s="5">
        <v>5</v>
      </c>
      <c r="E11" s="4">
        <v>2458</v>
      </c>
    </row>
    <row r="12" ht="45" customHeight="1">
      <c r="A12" s="4" t="str">
        <v>AOW04: Governance, Institutions, Policy, and Inclusion</v>
      </c>
      <c r="B12" s="4" t="str">
        <v>ICARDA</v>
      </c>
      <c r="C12" s="4" t="str">
        <v>Lao People's Democratic Republic</v>
      </c>
      <c r="D12" s="5">
        <v>2</v>
      </c>
      <c r="E12" s="4">
        <v>2457</v>
      </c>
    </row>
    <row r="13" ht="45" customHeight="1">
      <c r="A13" s="4" t="str">
        <v>AOW04: Governance, Institutions, Policy, and Inclusion</v>
      </c>
      <c r="B13" s="4" t="str">
        <v>ICARDA</v>
      </c>
      <c r="C13" s="4" t="str">
        <v>Peru</v>
      </c>
      <c r="D13" s="5">
        <v>5</v>
      </c>
      <c r="E13" s="4">
        <v>2456</v>
      </c>
    </row>
    <row r="14" ht="45" customHeight="1">
      <c r="A14" s="4" t="str">
        <v>AOW04: Governance, Institutions, Policy, and Inclusion</v>
      </c>
      <c r="B14" s="4" t="str">
        <v>ICARDA</v>
      </c>
      <c r="C14" s="4" t="str">
        <v>Senegal</v>
      </c>
      <c r="D14" s="5">
        <v>5</v>
      </c>
      <c r="E14" s="4">
        <v>2455</v>
      </c>
    </row>
    <row r="15" ht="45" customHeight="1">
      <c r="A15" s="4" t="str">
        <v>AOW04: Governance, Institutions, Policy, and Inclusion</v>
      </c>
      <c r="B15" s="4" t="str">
        <v>ICARDA</v>
      </c>
      <c r="C15" s="4" t="str">
        <v>Tanzania</v>
      </c>
      <c r="D15" s="5">
        <v>5</v>
      </c>
      <c r="E15" s="4">
        <v>2454</v>
      </c>
    </row>
    <row r="16" ht="45" customHeight="1">
      <c r="A16" s="4" t="str">
        <v>AOW04: Governance, Institutions, Policy, and Inclusion</v>
      </c>
      <c r="B16" s="4" t="str">
        <v>ICARDA</v>
      </c>
      <c r="C16" s="4" t="str">
        <v>The Socialist Republic of Viet Nam</v>
      </c>
      <c r="D16" s="5">
        <v>2</v>
      </c>
      <c r="E16" s="4">
        <v>2453</v>
      </c>
    </row>
    <row r="17" ht="45" customHeight="1">
      <c r="A17" s="4" t="str">
        <v>AOW04: Governance, Institutions, Policy, and Inclusion</v>
      </c>
      <c r="B17" s="4" t="str">
        <v>ICARDA</v>
      </c>
      <c r="C17" s="4" t="str">
        <v>Tunisia</v>
      </c>
      <c r="D17" s="5">
        <v>44</v>
      </c>
      <c r="E17" s="4">
        <v>2452</v>
      </c>
    </row>
    <row r="18" ht="45" customHeight="1">
      <c r="A18" s="4" t="str">
        <v>AOW04: Governance, Institutions, Policy, and Inclusion</v>
      </c>
      <c r="B18" s="4" t="str">
        <v>ICARDA</v>
      </c>
      <c r="C18" s="4" t="str">
        <v>United Republic</v>
      </c>
      <c r="D18" s="5">
        <v>5</v>
      </c>
      <c r="E18" s="4">
        <v>2464</v>
      </c>
    </row>
    <row r="19" ht="45" customHeight="1">
      <c r="A19" s="4" t="str">
        <v>AOW04: Governance, Institutions, Policy, and Inclusion</v>
      </c>
      <c r="B19" s="4" t="str">
        <v>ICARDA</v>
      </c>
      <c r="C19" s="4" t="str">
        <v>Zimbabwe</v>
      </c>
      <c r="D19" s="5">
        <v>5</v>
      </c>
      <c r="E19" s="4">
        <v>2451</v>
      </c>
    </row>
    <row r="20" ht="45" customHeight="1">
      <c r="A20" s="8" t="str">
        <v>AOW05: Performance Assessments &amp; Evidence Generation</v>
      </c>
      <c r="B20" s="4" t="str">
        <v>ICARDA</v>
      </c>
      <c r="C20" s="4" t="str">
        <v>Colombia</v>
      </c>
      <c r="D20" s="5">
        <v>5</v>
      </c>
      <c r="E20" s="4">
        <v>2465</v>
      </c>
    </row>
    <row r="21" ht="45" customHeight="1">
      <c r="A21" s="4" t="str">
        <v>AOW05: Performance Assessments &amp; Evidence Generation</v>
      </c>
      <c r="B21" s="4" t="str">
        <v>ICARDA</v>
      </c>
      <c r="C21" s="4" t="str">
        <v>Ethiopia</v>
      </c>
      <c r="D21" s="5">
        <v>5</v>
      </c>
      <c r="E21" s="4">
        <v>2466</v>
      </c>
    </row>
    <row r="22" ht="45" customHeight="1">
      <c r="A22" s="4" t="str">
        <v>AOW05: Performance Assessments &amp; Evidence Generation</v>
      </c>
      <c r="B22" s="4" t="str">
        <v>ICARDA</v>
      </c>
      <c r="C22" s="4" t="str">
        <v>Kenya</v>
      </c>
      <c r="D22" s="5">
        <v>5</v>
      </c>
      <c r="E22" s="4">
        <v>2467</v>
      </c>
    </row>
    <row r="23" ht="45" customHeight="1">
      <c r="A23" s="4" t="str">
        <v>AOW05: Performance Assessments &amp; Evidence Generation</v>
      </c>
      <c r="B23" s="4" t="str">
        <v>ICARDA</v>
      </c>
      <c r="C23" s="4" t="str">
        <v>Tanzania</v>
      </c>
      <c r="D23" s="5">
        <v>5</v>
      </c>
      <c r="E23" s="4">
        <v>2468</v>
      </c>
    </row>
    <row r="24" ht="45" customHeight="1">
      <c r="A24" s="4" t="str">
        <v>AOW05: Performance Assessments &amp; Evidence Generation</v>
      </c>
      <c r="B24" s="4" t="str">
        <v>ICARDA</v>
      </c>
      <c r="C24" s="4" t="str">
        <v>The Socialist Republic of Viet Nam</v>
      </c>
      <c r="D24" s="5">
        <v>5</v>
      </c>
      <c r="E24" s="4">
        <v>2470</v>
      </c>
    </row>
    <row r="25" ht="45" customHeight="1">
      <c r="A25" s="4" t="str">
        <v>AOW05: Performance Assessments &amp; Evidence Generation</v>
      </c>
      <c r="B25" s="4" t="str">
        <v>ICARDA</v>
      </c>
      <c r="C25" s="4" t="str">
        <v>Tunisia</v>
      </c>
      <c r="D25" s="5">
        <v>75</v>
      </c>
      <c r="E25" s="4">
        <v>2471</v>
      </c>
    </row>
  </sheetData>
  <mergeCells count="5">
    <mergeCell ref="A2:A3"/>
    <mergeCell ref="A4"/>
    <mergeCell ref="A5"/>
    <mergeCell ref="A6:A19"/>
    <mergeCell ref="A20:A25"/>
  </mergeCells>
  <ignoredErrors>
    <ignoredError numberStoredAsText="1" sqref="A1:E25"/>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ICARDA</v>
      </c>
      <c r="C2" s="4" t="str">
        <v>Kenya</v>
      </c>
      <c r="D2" s="4" t="str">
        <v>country</v>
      </c>
      <c r="E2" s="5">
        <v>10</v>
      </c>
      <c r="F2" s="4">
        <v>1357</v>
      </c>
    </row>
    <row r="3" ht="45" customHeight="1">
      <c r="A3" s="4" t="str">
        <v>AOW01: Agroecology+ Solutions &amp; Innovations</v>
      </c>
      <c r="B3" s="4" t="str">
        <v>ICARDA</v>
      </c>
      <c r="C3" s="4" t="str">
        <v>The Socialist Republic of Viet Nam</v>
      </c>
      <c r="D3" s="4" t="str">
        <v>country</v>
      </c>
      <c r="E3" s="5">
        <v>0</v>
      </c>
      <c r="F3" s="4">
        <v>1356</v>
      </c>
    </row>
    <row r="4" ht="45" customHeight="1">
      <c r="A4" s="4" t="str">
        <v>AOW01: Agroecology+ Solutions &amp; Innovations</v>
      </c>
      <c r="B4" s="4" t="str">
        <v>ICARDA</v>
      </c>
      <c r="C4" s="4" t="str">
        <v>Tunisia</v>
      </c>
      <c r="D4" s="4" t="str">
        <v>country</v>
      </c>
      <c r="E4" s="5">
        <v>90</v>
      </c>
      <c r="F4" s="4">
        <v>1355</v>
      </c>
    </row>
    <row r="5" ht="45" customHeight="1">
      <c r="A5" s="8" t="str">
        <v>AOW02: Landscape Optimization and Inclusive Planning</v>
      </c>
      <c r="B5" s="4" t="str">
        <v>ICARDA</v>
      </c>
      <c r="C5" s="4" t="str">
        <v>Tunisia</v>
      </c>
      <c r="D5" s="4" t="str">
        <v>country</v>
      </c>
      <c r="E5" s="5">
        <v>100</v>
      </c>
      <c r="F5" s="4">
        <v>1354</v>
      </c>
    </row>
    <row r="6" ht="45" customHeight="1">
      <c r="A6" s="8" t="str">
        <v>AOW03: Business Models, Markets, and Sustainable Finance</v>
      </c>
      <c r="B6" s="4" t="str">
        <v>ICARDA</v>
      </c>
      <c r="C6" s="4" t="str">
        <v>Global</v>
      </c>
      <c r="D6" s="4" t="str">
        <v>global</v>
      </c>
      <c r="E6" s="5">
        <v>100</v>
      </c>
      <c r="F6" s="4">
        <v>1352</v>
      </c>
    </row>
    <row r="7" ht="45" customHeight="1">
      <c r="A7" s="4" t="str">
        <v>AOW03: Business Models, Markets, and Sustainable Finance</v>
      </c>
      <c r="B7" s="4" t="str">
        <v>ICARDA</v>
      </c>
      <c r="C7" s="4" t="str">
        <v>Cambodia</v>
      </c>
      <c r="D7" s="4" t="str">
        <v>country</v>
      </c>
      <c r="E7" s="5">
        <v>0</v>
      </c>
      <c r="F7" s="4">
        <v>1350</v>
      </c>
    </row>
    <row r="8" ht="45" customHeight="1">
      <c r="A8" s="4" t="str">
        <v>AOW03: Business Models, Markets, and Sustainable Finance</v>
      </c>
      <c r="B8" s="4" t="str">
        <v>ICARDA</v>
      </c>
      <c r="C8" s="4" t="str">
        <v>Colombia</v>
      </c>
      <c r="D8" s="4" t="str">
        <v>country</v>
      </c>
      <c r="E8" s="5">
        <v>0</v>
      </c>
      <c r="F8" s="4">
        <v>1353</v>
      </c>
    </row>
    <row r="9" ht="45" customHeight="1">
      <c r="A9" s="4" t="str">
        <v>AOW03: Business Models, Markets, and Sustainable Finance</v>
      </c>
      <c r="B9" s="4" t="str">
        <v>ICARDA</v>
      </c>
      <c r="C9" s="4" t="str">
        <v>Tunisia</v>
      </c>
      <c r="D9" s="4" t="str">
        <v>country</v>
      </c>
      <c r="E9" s="5">
        <v>0</v>
      </c>
      <c r="F9" s="4">
        <v>1052</v>
      </c>
    </row>
    <row r="10" ht="45" customHeight="1">
      <c r="A10" s="4" t="str">
        <v>AOW03: Business Models, Markets, and Sustainable Finance</v>
      </c>
      <c r="B10" s="4" t="str">
        <v>ICARDA</v>
      </c>
      <c r="C10" s="4" t="str">
        <v>Zimbabwe</v>
      </c>
      <c r="D10" s="4" t="str">
        <v>country</v>
      </c>
      <c r="E10" s="5">
        <v>0</v>
      </c>
      <c r="F10" s="4">
        <v>1351</v>
      </c>
    </row>
    <row r="11" ht="45" customHeight="1">
      <c r="A11" s="8" t="str">
        <v>AOW04: Governance, Institutions, Policy, and Inclusion</v>
      </c>
      <c r="B11" s="4" t="str">
        <v>ICARDA</v>
      </c>
      <c r="C11" s="4" t="str">
        <v>The Socialist Republic of Viet Nam</v>
      </c>
      <c r="D11" s="4" t="str">
        <v>country</v>
      </c>
      <c r="E11" s="5">
        <v>100</v>
      </c>
      <c r="F11" s="4">
        <v>1349</v>
      </c>
    </row>
    <row r="12" ht="45" customHeight="1">
      <c r="A12" s="8" t="str">
        <v>AOW05: Performance Assessments &amp; Evidence Generation</v>
      </c>
      <c r="B12" s="4" t="str">
        <v>ICARDA</v>
      </c>
      <c r="C12" s="4" t="str">
        <v>Global</v>
      </c>
      <c r="D12" s="4" t="str">
        <v>global</v>
      </c>
      <c r="E12" s="5">
        <v>100</v>
      </c>
      <c r="F12" s="4">
        <v>858</v>
      </c>
    </row>
  </sheetData>
  <mergeCells count="5">
    <mergeCell ref="A2:A4"/>
    <mergeCell ref="A5"/>
    <mergeCell ref="A6: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