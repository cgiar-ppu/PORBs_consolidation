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530441</v>
      </c>
      <c r="K4" s="5">
        <v>530441</v>
      </c>
      <c r="L4" s="5">
        <v>0</v>
      </c>
      <c r="M4" s="5">
        <v>0</v>
      </c>
      <c r="N4" s="4">
        <v>182</v>
      </c>
    </row>
    <row r="5" ht="20" customHeight="1">
      <c r="A5" s="4" t="str">
        <v>AOW01: Agroecology+ Solutions &amp; Innovations</v>
      </c>
      <c r="B5" s="5">
        <v>0</v>
      </c>
      <c r="C5" s="5">
        <v>0</v>
      </c>
      <c r="D5" s="5">
        <v>0</v>
      </c>
      <c r="E5" s="5">
        <v>0</v>
      </c>
      <c r="F5" s="5">
        <v>0</v>
      </c>
      <c r="G5" s="5">
        <v>0</v>
      </c>
      <c r="H5" s="5">
        <v>0</v>
      </c>
      <c r="I5" s="5">
        <v>0</v>
      </c>
      <c r="J5" s="5">
        <v>0</v>
      </c>
      <c r="K5" s="5">
        <v>0</v>
      </c>
      <c r="L5" s="5">
        <v>0</v>
      </c>
      <c r="M5" s="5">
        <v>0</v>
      </c>
      <c r="N5" s="4">
        <v>177</v>
      </c>
    </row>
    <row r="6" ht="20" customHeight="1">
      <c r="A6" s="4" t="str">
        <v>AOW02: Landscape Optimization and Inclusive Planning</v>
      </c>
      <c r="B6" s="5">
        <v>0</v>
      </c>
      <c r="C6" s="5">
        <v>0</v>
      </c>
      <c r="D6" s="5">
        <v>0</v>
      </c>
      <c r="E6" s="5">
        <v>0</v>
      </c>
      <c r="F6" s="5">
        <v>0</v>
      </c>
      <c r="G6" s="5">
        <v>0</v>
      </c>
      <c r="H6" s="5">
        <v>0</v>
      </c>
      <c r="I6" s="5">
        <v>0</v>
      </c>
      <c r="J6" s="5">
        <v>0</v>
      </c>
      <c r="K6" s="5">
        <v>0</v>
      </c>
      <c r="L6" s="5">
        <v>0</v>
      </c>
      <c r="M6" s="5">
        <v>0</v>
      </c>
      <c r="N6" s="4">
        <v>179</v>
      </c>
    </row>
    <row r="7" ht="20" customHeight="1">
      <c r="A7" s="4" t="str">
        <v>AOW03: Business Models, Markets, and Sustainable Finance</v>
      </c>
      <c r="B7" s="5">
        <v>0</v>
      </c>
      <c r="C7" s="5">
        <v>0</v>
      </c>
      <c r="D7" s="5">
        <v>0</v>
      </c>
      <c r="E7" s="5">
        <v>0</v>
      </c>
      <c r="F7" s="5">
        <v>0</v>
      </c>
      <c r="G7" s="5">
        <v>0</v>
      </c>
      <c r="H7" s="5">
        <v>0</v>
      </c>
      <c r="I7" s="5">
        <v>0</v>
      </c>
      <c r="J7" s="5">
        <v>0</v>
      </c>
      <c r="K7" s="5">
        <v>0</v>
      </c>
      <c r="L7" s="5">
        <v>0</v>
      </c>
      <c r="M7" s="5">
        <v>0</v>
      </c>
      <c r="N7" s="4">
        <v>180</v>
      </c>
    </row>
    <row r="8" ht="20" customHeight="1">
      <c r="A8" s="4" t="str">
        <v>AOW04: Governance, Institutions, Policy, and Inclusion</v>
      </c>
      <c r="B8" s="5">
        <v>0</v>
      </c>
      <c r="C8" s="5">
        <v>0</v>
      </c>
      <c r="D8" s="5">
        <v>0</v>
      </c>
      <c r="E8" s="5">
        <v>0</v>
      </c>
      <c r="F8" s="5">
        <v>0</v>
      </c>
      <c r="G8" s="5">
        <v>0</v>
      </c>
      <c r="H8" s="5">
        <v>0</v>
      </c>
      <c r="I8" s="5">
        <v>0</v>
      </c>
      <c r="J8" s="5">
        <v>0</v>
      </c>
      <c r="K8" s="5">
        <v>0</v>
      </c>
      <c r="L8" s="5">
        <v>0</v>
      </c>
      <c r="M8" s="5">
        <v>0</v>
      </c>
      <c r="N8" s="4">
        <v>181</v>
      </c>
    </row>
    <row r="9" ht="20" customHeight="1">
      <c r="A9" s="4" t="str">
        <v>AOW05: Performance Assessments &amp; Evidence Generation</v>
      </c>
      <c r="B9" s="5">
        <v>0</v>
      </c>
      <c r="C9" s="5">
        <v>0</v>
      </c>
      <c r="D9" s="5">
        <v>0</v>
      </c>
      <c r="E9" s="5">
        <v>0</v>
      </c>
      <c r="F9" s="5">
        <v>0</v>
      </c>
      <c r="G9" s="5">
        <v>0</v>
      </c>
      <c r="H9" s="5">
        <v>0</v>
      </c>
      <c r="I9" s="5">
        <v>0</v>
      </c>
      <c r="J9" s="5">
        <v>0</v>
      </c>
      <c r="K9" s="5">
        <v>0</v>
      </c>
      <c r="L9" s="5">
        <v>0</v>
      </c>
      <c r="M9" s="5">
        <v>0</v>
      </c>
      <c r="N9" s="4">
        <v>178</v>
      </c>
    </row>
    <row r="10" ht="25" customHeight="1">
      <c r="A10" s="6" t="str">
        <v>Total</v>
      </c>
      <c r="B10" s="7" t="str">
        <v/>
      </c>
      <c r="C10" s="7">
        <v>0</v>
      </c>
      <c r="D10" s="7" t="str">
        <v/>
      </c>
      <c r="E10" s="7">
        <v>0</v>
      </c>
      <c r="F10" s="7" t="str">
        <v/>
      </c>
      <c r="G10" s="7">
        <v>0</v>
      </c>
      <c r="H10" s="7" t="str">
        <v/>
      </c>
      <c r="I10" s="7">
        <v>0</v>
      </c>
      <c r="J10" s="7">
        <v>530441</v>
      </c>
      <c r="K10" s="7">
        <v>530441</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SO</v>
      </c>
      <c r="C2" s="4" t="str">
        <v>PMU, CGIAR Program Finance Support and associated Allocation</v>
      </c>
      <c r="D2" s="5">
        <v>20441</v>
      </c>
      <c r="E2" s="4" t="str">
        <v>USD 20,441 allocation to Finance Focal Point (April 1st to December 31st)</v>
      </c>
      <c r="F2" s="4">
        <v>188</v>
      </c>
      <c r="G2" s="4">
        <v>2</v>
      </c>
    </row>
    <row r="3" ht="45" customHeight="1">
      <c r="A3" s="4" t="str">
        <v>AOW00: Cross Cutting</v>
      </c>
      <c r="B3" s="4" t="str">
        <v>SO</v>
      </c>
      <c r="C3" s="4" t="str">
        <v>Program Director and Associated Allocation</v>
      </c>
      <c r="D3" s="5">
        <v>510000</v>
      </c>
      <c r="E3" s="4" t="str">
        <v>USD 510,000 to MFL Director's office.</v>
      </c>
      <c r="F3" s="4">
        <v>192</v>
      </c>
      <c r="G3" s="4">
        <v>1</v>
      </c>
    </row>
    <row r="4" ht="25" customHeight="1">
      <c r="C4" s="9" t="str">
        <v>Cross-cutting budget subtotal</v>
      </c>
      <c r="D4" s="9">
        <v>530441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530441</v>
      </c>
      <c r="C2" s="5">
        <v>0</v>
      </c>
      <c r="D2" s="5">
        <v>0</v>
      </c>
      <c r="E2" s="5">
        <v>0</v>
      </c>
      <c r="F2" s="5">
        <v>0</v>
      </c>
      <c r="G2" s="5">
        <v>0</v>
      </c>
      <c r="H2" s="5">
        <f>=SUM(B2:G2)</f>
        <v>0</v>
      </c>
    </row>
    <row r="3" ht="20" customHeight="1">
      <c r="A3" s="6" t="str">
        <v>Subtotal</v>
      </c>
      <c r="B3" s="7">
        <f>=SUM(B2:B2)</f>
        <v>0</v>
      </c>
      <c r="C3" s="7">
        <f>=SUM(C2:C2)</f>
        <v>0</v>
      </c>
      <c r="D3" s="7">
        <f>=SUM(D2:D2)</f>
        <v>0</v>
      </c>
      <c r="E3" s="7">
        <f>=SUM(E2:E2)</f>
        <v>0</v>
      </c>
      <c r="F3" s="7">
        <f>=SUM(F2:F2)</f>
        <v>0</v>
      </c>
      <c r="G3" s="7">
        <f>=SUM(G2:G2)</f>
        <v>0</v>
      </c>
      <c r="H3" s="7">
        <f>=SUM(H2:H2)</f>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Colombia</v>
      </c>
      <c r="D2" s="5">
        <v>4</v>
      </c>
      <c r="E2" s="4">
        <v>3390</v>
      </c>
    </row>
    <row r="3" ht="45" customHeight="1">
      <c r="A3" s="4" t="str">
        <v>AOW00: Cross Cutting</v>
      </c>
      <c r="B3" s="4" t="str">
        <v>SO</v>
      </c>
      <c r="C3" s="4" t="str">
        <v>Kenya</v>
      </c>
      <c r="D3" s="5">
        <v>96</v>
      </c>
      <c r="E3" s="4">
        <v>3389</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Cambodia</v>
      </c>
      <c r="D2" s="4" t="str">
        <v>country</v>
      </c>
      <c r="E2" s="5">
        <v>4</v>
      </c>
      <c r="F2" s="4">
        <v>1650</v>
      </c>
    </row>
    <row r="3" ht="45" customHeight="1">
      <c r="A3" s="4" t="str">
        <v>AOW00: Cross Cutting</v>
      </c>
      <c r="B3" s="4" t="str">
        <v>SO</v>
      </c>
      <c r="C3" s="4" t="str">
        <v>Colombia</v>
      </c>
      <c r="D3" s="4" t="str">
        <v>country</v>
      </c>
      <c r="E3" s="5">
        <v>10</v>
      </c>
      <c r="F3" s="4">
        <v>1651</v>
      </c>
    </row>
    <row r="4" ht="45" customHeight="1">
      <c r="A4" s="4" t="str">
        <v>AOW00: Cross Cutting</v>
      </c>
      <c r="B4" s="4" t="str">
        <v>SO</v>
      </c>
      <c r="C4" s="4" t="str">
        <v>Côte d'Ivoire</v>
      </c>
      <c r="D4" s="4" t="str">
        <v>country</v>
      </c>
      <c r="E4" s="5">
        <v>7</v>
      </c>
      <c r="F4" s="4">
        <v>1652</v>
      </c>
    </row>
    <row r="5" ht="45" customHeight="1">
      <c r="A5" s="4" t="str">
        <v>AOW00: Cross Cutting</v>
      </c>
      <c r="B5" s="4" t="str">
        <v>SO</v>
      </c>
      <c r="C5" s="4" t="str">
        <v>Ethiopia</v>
      </c>
      <c r="D5" s="4" t="str">
        <v>country</v>
      </c>
      <c r="E5" s="5">
        <v>7</v>
      </c>
      <c r="F5" s="4">
        <v>1653</v>
      </c>
    </row>
    <row r="6" ht="45" customHeight="1">
      <c r="A6" s="4" t="str">
        <v>AOW00: Cross Cutting</v>
      </c>
      <c r="B6" s="4" t="str">
        <v>SO</v>
      </c>
      <c r="C6" s="4" t="str">
        <v>India</v>
      </c>
      <c r="D6" s="4" t="str">
        <v>country</v>
      </c>
      <c r="E6" s="5">
        <v>10</v>
      </c>
      <c r="F6" s="4">
        <v>1654</v>
      </c>
    </row>
    <row r="7" ht="45" customHeight="1">
      <c r="A7" s="4" t="str">
        <v>AOW00: Cross Cutting</v>
      </c>
      <c r="B7" s="4" t="str">
        <v>SO</v>
      </c>
      <c r="C7" s="4" t="str">
        <v>Kenya</v>
      </c>
      <c r="D7" s="4" t="str">
        <v>country</v>
      </c>
      <c r="E7" s="5">
        <v>10</v>
      </c>
      <c r="F7" s="4">
        <v>1655</v>
      </c>
    </row>
    <row r="8" ht="45" customHeight="1">
      <c r="A8" s="4" t="str">
        <v>AOW00: Cross Cutting</v>
      </c>
      <c r="B8" s="4" t="str">
        <v>SO</v>
      </c>
      <c r="C8" s="4" t="str">
        <v>Lao People's Democratic Republic</v>
      </c>
      <c r="D8" s="4" t="str">
        <v>country</v>
      </c>
      <c r="E8" s="5">
        <v>4</v>
      </c>
      <c r="F8" s="4">
        <v>1656</v>
      </c>
    </row>
    <row r="9" ht="45" customHeight="1">
      <c r="A9" s="4" t="str">
        <v>AOW00: Cross Cutting</v>
      </c>
      <c r="B9" s="4" t="str">
        <v>SO</v>
      </c>
      <c r="C9" s="4" t="str">
        <v>Peru</v>
      </c>
      <c r="D9" s="4" t="str">
        <v>country</v>
      </c>
      <c r="E9" s="5">
        <v>10</v>
      </c>
      <c r="F9" s="4">
        <v>1657</v>
      </c>
    </row>
    <row r="10" ht="45" customHeight="1">
      <c r="A10" s="4" t="str">
        <v>AOW00: Cross Cutting</v>
      </c>
      <c r="B10" s="4" t="str">
        <v>SO</v>
      </c>
      <c r="C10" s="4" t="str">
        <v>Senegal</v>
      </c>
      <c r="D10" s="4" t="str">
        <v>country</v>
      </c>
      <c r="E10" s="5">
        <v>7</v>
      </c>
      <c r="F10" s="4">
        <v>1658</v>
      </c>
    </row>
    <row r="11" ht="45" customHeight="1">
      <c r="A11" s="4" t="str">
        <v>AOW00: Cross Cutting</v>
      </c>
      <c r="B11" s="4" t="str">
        <v>SO</v>
      </c>
      <c r="C11" s="4" t="str">
        <v>Tanzania</v>
      </c>
      <c r="D11" s="4" t="str">
        <v>country</v>
      </c>
      <c r="E11" s="5">
        <v>7</v>
      </c>
      <c r="F11" s="4">
        <v>1659</v>
      </c>
    </row>
    <row r="12" ht="45" customHeight="1">
      <c r="A12" s="4" t="str">
        <v>AOW00: Cross Cutting</v>
      </c>
      <c r="B12" s="4" t="str">
        <v>SO</v>
      </c>
      <c r="C12" s="4" t="str">
        <v>The Socialist Republic of Viet Nam</v>
      </c>
      <c r="D12" s="4" t="str">
        <v>country</v>
      </c>
      <c r="E12" s="5">
        <v>4</v>
      </c>
      <c r="F12" s="4">
        <v>1660</v>
      </c>
    </row>
    <row r="13" ht="45" customHeight="1">
      <c r="A13" s="4" t="str">
        <v>AOW00: Cross Cutting</v>
      </c>
      <c r="B13" s="4" t="str">
        <v>SO</v>
      </c>
      <c r="C13" s="4" t="str">
        <v>Tunisia</v>
      </c>
      <c r="D13" s="4" t="str">
        <v>country</v>
      </c>
      <c r="E13" s="5">
        <v>10</v>
      </c>
      <c r="F13" s="4">
        <v>1661</v>
      </c>
    </row>
    <row r="14" ht="45" customHeight="1">
      <c r="A14" s="4" t="str">
        <v>AOW00: Cross Cutting</v>
      </c>
      <c r="B14" s="4" t="str">
        <v>SO</v>
      </c>
      <c r="C14" s="4" t="str">
        <v>Zimbabwe</v>
      </c>
      <c r="D14" s="4" t="str">
        <v>country</v>
      </c>
      <c r="E14" s="5">
        <v>10</v>
      </c>
      <c r="F14" s="4">
        <v>1662</v>
      </c>
    </row>
  </sheetData>
  <mergeCells count="1">
    <mergeCell ref="A2: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