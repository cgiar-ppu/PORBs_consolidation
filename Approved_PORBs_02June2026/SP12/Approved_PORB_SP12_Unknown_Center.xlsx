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464104</v>
      </c>
      <c r="K4" s="5">
        <v>464104</v>
      </c>
      <c r="L4" s="5">
        <v>0</v>
      </c>
      <c r="M4" s="5">
        <v>0</v>
      </c>
      <c r="N4" s="4">
        <v>219</v>
      </c>
    </row>
    <row r="5" ht="20" customHeight="1">
      <c r="A5" s="4" t="str">
        <v>AOW01: Data Ecosystem</v>
      </c>
      <c r="B5" s="5">
        <v>0</v>
      </c>
      <c r="C5" s="5">
        <v>0</v>
      </c>
      <c r="D5" s="5">
        <v>0</v>
      </c>
      <c r="E5" s="5">
        <v>0</v>
      </c>
      <c r="F5" s="5">
        <v>0</v>
      </c>
      <c r="G5" s="5">
        <v>0</v>
      </c>
      <c r="H5" s="5">
        <v>0</v>
      </c>
      <c r="I5" s="5">
        <v>0</v>
      </c>
      <c r="J5" s="5">
        <v>0</v>
      </c>
      <c r="K5" s="5">
        <v>0</v>
      </c>
      <c r="L5" s="5">
        <v>0</v>
      </c>
      <c r="M5" s="5">
        <v>0</v>
      </c>
      <c r="N5" s="4">
        <v>215</v>
      </c>
    </row>
    <row r="6" ht="20" customHeight="1">
      <c r="A6" s="4" t="str">
        <v>AOW02: Action Lab</v>
      </c>
      <c r="B6" s="5">
        <v>0</v>
      </c>
      <c r="C6" s="5">
        <v>0</v>
      </c>
      <c r="D6" s="5">
        <v>0</v>
      </c>
      <c r="E6" s="5">
        <v>0</v>
      </c>
      <c r="F6" s="5">
        <v>0</v>
      </c>
      <c r="G6" s="5">
        <v>0</v>
      </c>
      <c r="H6" s="5">
        <v>0</v>
      </c>
      <c r="I6" s="5">
        <v>0</v>
      </c>
      <c r="J6" s="5">
        <v>0</v>
      </c>
      <c r="K6" s="5">
        <v>0</v>
      </c>
      <c r="L6" s="5">
        <v>0</v>
      </c>
      <c r="M6" s="5">
        <v>0</v>
      </c>
      <c r="N6" s="4">
        <v>216</v>
      </c>
    </row>
    <row r="7" ht="20" customHeight="1">
      <c r="A7" s="4" t="str">
        <v>AOW03: Digital Futures</v>
      </c>
      <c r="B7" s="5">
        <v>0</v>
      </c>
      <c r="C7" s="5">
        <v>0</v>
      </c>
      <c r="D7" s="5">
        <v>0</v>
      </c>
      <c r="E7" s="5">
        <v>0</v>
      </c>
      <c r="F7" s="5">
        <v>0</v>
      </c>
      <c r="G7" s="5">
        <v>0</v>
      </c>
      <c r="H7" s="5">
        <v>0</v>
      </c>
      <c r="I7" s="5">
        <v>0</v>
      </c>
      <c r="J7" s="5">
        <v>0</v>
      </c>
      <c r="K7" s="5">
        <v>0</v>
      </c>
      <c r="L7" s="5">
        <v>0</v>
      </c>
      <c r="M7" s="5">
        <v>0</v>
      </c>
      <c r="N7" s="4">
        <v>218</v>
      </c>
    </row>
    <row r="8" ht="20" customHeight="1">
      <c r="A8" s="4" t="str">
        <v>AOW04: Enabling Environment</v>
      </c>
      <c r="B8" s="5">
        <v>0</v>
      </c>
      <c r="C8" s="5">
        <v>0</v>
      </c>
      <c r="D8" s="5">
        <v>0</v>
      </c>
      <c r="E8" s="5">
        <v>0</v>
      </c>
      <c r="F8" s="5">
        <v>0</v>
      </c>
      <c r="G8" s="5">
        <v>0</v>
      </c>
      <c r="H8" s="5">
        <v>1</v>
      </c>
      <c r="I8" s="5">
        <v>1219962</v>
      </c>
      <c r="J8" s="5">
        <v>1219962</v>
      </c>
      <c r="K8" s="5">
        <v>1219962</v>
      </c>
      <c r="L8" s="5">
        <v>0</v>
      </c>
      <c r="M8" s="5">
        <v>0</v>
      </c>
      <c r="N8" s="4">
        <v>217</v>
      </c>
    </row>
    <row r="9" ht="25" customHeight="1">
      <c r="A9" s="6" t="str">
        <v>Total</v>
      </c>
      <c r="B9" s="7" t="str">
        <v/>
      </c>
      <c r="C9" s="7">
        <v>0</v>
      </c>
      <c r="D9" s="7" t="str">
        <v/>
      </c>
      <c r="E9" s="7">
        <v>0</v>
      </c>
      <c r="F9" s="7" t="str">
        <v/>
      </c>
      <c r="G9" s="7">
        <v>0</v>
      </c>
      <c r="H9" s="7" t="str">
        <v/>
      </c>
      <c r="I9" s="7">
        <v>1219962</v>
      </c>
      <c r="J9" s="7">
        <v>1684066</v>
      </c>
      <c r="K9" s="7">
        <v>1684066</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Action Lab</v>
      </c>
      <c r="B3" s="4" t="str">
        <v>Unknown Center</v>
      </c>
      <c r="C3" s="4" t="str">
        <v>HLO 2.7: Digital innovations use human-centered design and citizen science to enhance gender responsiveness and social inclusiveness.</v>
      </c>
      <c r="D3" s="4" t="str">
        <v>GNDR: Generating evidence and practical models on how Gender Equality and Inclusion, digital transformation, and capacity Sharing accelerators can work jointly to translate research into more inclusive countries and regions.</v>
      </c>
      <c r="E3" s="4" t="str">
        <v>custom</v>
      </c>
      <c r="F3" s="4" t="str">
        <v>Kenya, United States of America</v>
      </c>
      <c r="G3" s="5">
        <v>1</v>
      </c>
      <c r="H3" s="5">
        <v>0</v>
      </c>
      <c r="I3" s="4" t="str">
        <v/>
      </c>
      <c r="J3" s="4">
        <v>8319</v>
      </c>
    </row>
    <row r="4" ht="25" customHeight="1">
      <c r="C4" s="9" t="str">
        <v>HLO budget subtotal</v>
      </c>
      <c r="H4" s="9">
        <v>0</v>
      </c>
      <c r="J4" s="9" t="str">
        <v/>
      </c>
    </row>
    <row r="5" ht="50" customHeight="1">
      <c r="A5" s="8" t="str">
        <v>AOW04: Enabling Environment</v>
      </c>
      <c r="B5" s="4" t="str">
        <v>Unknown Center</v>
      </c>
      <c r="C5" s="4" t="str">
        <v>HLO 4.5: Networks of digital innovation nodes &amp; hubs creating an ecosystem for inclusive and FAIR compliant digital and data innovations.</v>
      </c>
      <c r="D5" s="4" t="str">
        <v>Establish and operationalize the required resources (datasets, expertise, knowledge products, and workshops) to support CGIAR AI Hub.</v>
      </c>
      <c r="E5" s="4" t="str">
        <v>custom</v>
      </c>
      <c r="F5" s="4" t="str">
        <v>The United Arab Emirates</v>
      </c>
      <c r="G5" s="5">
        <v>1</v>
      </c>
      <c r="H5" s="5">
        <v>1219962</v>
      </c>
      <c r="I5" s="4" t="str">
        <v>These are W2 funds from UAE earmarked for CG AI Hub in Abu Dhabi, UAE.</v>
      </c>
      <c r="J5" s="4">
        <v>7757</v>
      </c>
    </row>
    <row r="6" ht="25" customHeight="1">
      <c r="C6" s="9" t="str">
        <v>HLO budget subtotal</v>
      </c>
      <c r="H6" s="9">
        <v>1219962</v>
      </c>
      <c r="J6" s="9" t="str">
        <v/>
      </c>
    </row>
  </sheetData>
  <mergeCells count="10">
    <mergeCell ref="A1:A2"/>
    <mergeCell ref="B1:B2"/>
    <mergeCell ref="C1:C2"/>
    <mergeCell ref="D1:H1"/>
    <mergeCell ref="I1:I2"/>
    <mergeCell ref="J1:J2"/>
    <mergeCell ref="C4:G4"/>
    <mergeCell ref="A3:A4"/>
    <mergeCell ref="C6:G6"/>
    <mergeCell ref="A5:A6"/>
  </mergeCells>
  <ignoredErrors>
    <ignoredError numberStoredAsText="1" sqref="A1:J6"/>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7"/>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Unknown Center</v>
      </c>
      <c r="C2" s="4" t="str">
        <v>Area of Work Leads</v>
      </c>
      <c r="D2" s="5">
        <v>250000</v>
      </c>
      <c r="E2" s="4" t="str" xml:space="preserve">
        <v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v>
      </c>
      <c r="F2" s="4">
        <v>100</v>
      </c>
      <c r="G2" s="4">
        <v>3</v>
      </c>
    </row>
    <row r="3" ht="45" customHeight="1">
      <c r="A3" s="4" t="str">
        <v>AOW00: Cross Cutting</v>
      </c>
      <c r="B3" s="4" t="str">
        <v>Unknown Center</v>
      </c>
      <c r="C3" s="4" t="str">
        <v>PMU, CGIAR Program Finance Support and associated Allocation</v>
      </c>
      <c r="D3" s="5">
        <v>55000</v>
      </c>
      <c r="E3" s="4" t="str">
        <v xml:space="preserve">The current MELIA focal point is budgeted until June 2026.The decision on MELIA focal point from July onwards will be decided soon, hence the funds are with unknown center for now.  </v>
      </c>
      <c r="F3" s="4">
        <v>101</v>
      </c>
      <c r="G3" s="4">
        <v>2</v>
      </c>
    </row>
    <row r="4" ht="45" customHeight="1">
      <c r="A4" s="4" t="str">
        <v>AOW00: Cross Cutting</v>
      </c>
      <c r="B4" s="4" t="str">
        <v>Unknown Center</v>
      </c>
      <c r="C4" s="4" t="str">
        <v>Discretionary funds</v>
      </c>
      <c r="D4" s="5">
        <v>108104</v>
      </c>
      <c r="E4" s="4" t="str">
        <v xml:space="preserve">Discretionary funds under Director management. </v>
      </c>
      <c r="F4" s="4">
        <v>228</v>
      </c>
      <c r="G4" s="4">
        <v>7</v>
      </c>
    </row>
    <row r="5" ht="45" customHeight="1">
      <c r="A5" s="4" t="str">
        <v>AOW00: Cross Cutting</v>
      </c>
      <c r="B5" s="4" t="str">
        <v>Unknown Center</v>
      </c>
      <c r="C5" s="4" t="str">
        <v>Operations</v>
      </c>
      <c r="D5" s="5">
        <v>0</v>
      </c>
      <c r="E5" s="4" t="str">
        <v/>
      </c>
      <c r="F5" s="4">
        <v>250</v>
      </c>
      <c r="G5" s="4">
        <v>4</v>
      </c>
    </row>
    <row r="6" ht="45" customHeight="1">
      <c r="A6" s="4" t="str">
        <v>AOW00: Cross Cutting</v>
      </c>
      <c r="B6" s="4" t="str">
        <v>Unknown Center</v>
      </c>
      <c r="C6" s="4" t="str">
        <v>Communication/Knowledge management</v>
      </c>
      <c r="D6" s="5">
        <v>51000</v>
      </c>
      <c r="E6" s="4" t="str">
        <v>The remaining $51k is mainly to hire contractors who will work under Julie’s supervision to produce comms material and content which is in line with our comms strategy .</v>
      </c>
      <c r="F6" s="4">
        <v>252</v>
      </c>
      <c r="G6" s="4">
        <v>5</v>
      </c>
    </row>
    <row r="7" ht="25" customHeight="1">
      <c r="C7" s="9" t="str">
        <v>Cross-cutting budget subtotal</v>
      </c>
      <c r="D7" s="9">
        <v>464104</v>
      </c>
      <c r="E7" s="9" t="str">
        <v/>
      </c>
      <c r="F7" s="9" t="str">
        <v/>
      </c>
      <c r="G7" s="9" t="str">
        <v/>
      </c>
    </row>
  </sheetData>
  <mergeCells count="1">
    <mergeCell ref="A2:A7"/>
  </mergeCells>
  <ignoredErrors>
    <ignoredError numberStoredAsText="1" sqref="A1:G7"/>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413104</v>
      </c>
      <c r="C2" s="5">
        <v>0</v>
      </c>
      <c r="D2" s="5">
        <v>0</v>
      </c>
      <c r="E2" s="5">
        <v>0</v>
      </c>
      <c r="F2" s="5">
        <v>1219962</v>
      </c>
      <c r="G2" s="5">
        <f>=SUM(B2:F2)</f>
        <v>0</v>
      </c>
    </row>
    <row r="3" ht="20" customHeight="1">
      <c r="A3" s="4" t="str">
        <v>Operations (supplies, consultants, travels, workshops, other)</v>
      </c>
      <c r="B3" s="5">
        <v>51000</v>
      </c>
      <c r="C3" s="5">
        <v>0</v>
      </c>
      <c r="D3" s="5">
        <v>0</v>
      </c>
      <c r="E3" s="5">
        <v>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AOW02: Action Lab</v>
      </c>
      <c r="B2" s="4" t="str">
        <v>Unknown Center</v>
      </c>
      <c r="C2" s="4" t="str">
        <v>Kenya</v>
      </c>
      <c r="D2" s="5">
        <v>50</v>
      </c>
      <c r="E2" s="4">
        <v>3123</v>
      </c>
    </row>
    <row r="3" ht="45" customHeight="1">
      <c r="A3" s="4" t="str">
        <v>AOW02: Action Lab</v>
      </c>
      <c r="B3" s="4" t="str">
        <v>Unknown Center</v>
      </c>
      <c r="C3" s="4" t="str">
        <v>United States of America</v>
      </c>
      <c r="D3" s="5">
        <v>50</v>
      </c>
      <c r="E3" s="4">
        <v>3124</v>
      </c>
    </row>
    <row r="4" ht="45" customHeight="1">
      <c r="A4" s="8" t="str">
        <v>AOW04: Enabling Environment</v>
      </c>
      <c r="B4" s="4" t="str">
        <v>Unknown Center</v>
      </c>
      <c r="C4" s="4" t="str">
        <v>The United Arab Emirates</v>
      </c>
      <c r="D4" s="5">
        <v>100</v>
      </c>
      <c r="E4" s="4">
        <v>1490</v>
      </c>
    </row>
  </sheetData>
  <mergeCells count="2">
    <mergeCell ref="A2:A3"/>
    <mergeCell ref="A4"/>
  </mergeCells>
  <ignoredErrors>
    <ignoredError numberStoredAsText="1" sqref="A1:E4"/>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Data Ecosystem</v>
      </c>
      <c r="B2" s="4" t="str">
        <v>Unknown Center</v>
      </c>
      <c r="C2" s="4" t="str">
        <v>Global</v>
      </c>
      <c r="D2" s="4" t="str">
        <v>global</v>
      </c>
      <c r="E2" s="5">
        <v>100</v>
      </c>
      <c r="F2" s="4">
        <v>455</v>
      </c>
    </row>
    <row r="3" ht="45" customHeight="1">
      <c r="A3" s="8" t="str">
        <v>AOW02: Action Lab</v>
      </c>
      <c r="B3" s="4" t="str">
        <v>Unknown Center</v>
      </c>
      <c r="C3" s="4" t="str">
        <v>Global</v>
      </c>
      <c r="D3" s="4" t="str">
        <v>global</v>
      </c>
      <c r="E3" s="5">
        <v>100</v>
      </c>
      <c r="F3" s="4">
        <v>1240</v>
      </c>
    </row>
    <row r="4" ht="45" customHeight="1">
      <c r="A4" s="8" t="str">
        <v>AOW03: Digital Futures</v>
      </c>
      <c r="B4" s="4" t="str">
        <v>Unknown Center</v>
      </c>
      <c r="C4" s="4" t="str">
        <v>Global</v>
      </c>
      <c r="D4" s="4" t="str">
        <v>global</v>
      </c>
      <c r="E4" s="5">
        <v>100</v>
      </c>
      <c r="F4" s="4">
        <v>521</v>
      </c>
    </row>
    <row r="5" ht="45" customHeight="1">
      <c r="A5" s="8" t="str">
        <v>AOW04: Enabling Environment</v>
      </c>
      <c r="B5" s="4" t="str">
        <v>Unknown Center</v>
      </c>
      <c r="C5" s="4" t="str">
        <v>Global</v>
      </c>
      <c r="D5" s="4" t="str">
        <v>global</v>
      </c>
      <c r="E5" s="5">
        <v>100</v>
      </c>
      <c r="F5" s="4">
        <v>522</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