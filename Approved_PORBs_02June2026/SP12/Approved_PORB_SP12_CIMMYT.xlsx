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120000</v>
      </c>
      <c r="K4" s="5">
        <v>120000</v>
      </c>
      <c r="L4" s="5">
        <v>0</v>
      </c>
      <c r="M4" s="5">
        <v>0</v>
      </c>
      <c r="N4" s="4">
        <v>219</v>
      </c>
    </row>
    <row r="5" ht="20" customHeight="1">
      <c r="A5" s="4" t="str">
        <v>AOW01: Data Ecosystem</v>
      </c>
      <c r="B5" s="5">
        <v>2</v>
      </c>
      <c r="C5" s="5">
        <v>50000</v>
      </c>
      <c r="D5" s="5">
        <v>24</v>
      </c>
      <c r="E5" s="5">
        <v>192986</v>
      </c>
      <c r="F5" s="5">
        <v>50</v>
      </c>
      <c r="G5" s="5">
        <v>50000</v>
      </c>
      <c r="H5" s="5">
        <v>0</v>
      </c>
      <c r="I5" s="5">
        <v>0</v>
      </c>
      <c r="J5" s="5">
        <v>292986</v>
      </c>
      <c r="K5" s="5">
        <v>292986</v>
      </c>
      <c r="L5" s="5">
        <v>0</v>
      </c>
      <c r="M5" s="5">
        <v>0</v>
      </c>
      <c r="N5" s="4">
        <v>215</v>
      </c>
    </row>
    <row r="6" ht="20" customHeight="1">
      <c r="A6" s="4" t="str">
        <v>AOW02: Action Lab</v>
      </c>
      <c r="B6" s="5">
        <v>0</v>
      </c>
      <c r="C6" s="5">
        <v>0</v>
      </c>
      <c r="D6" s="5">
        <v>5</v>
      </c>
      <c r="E6" s="5">
        <v>239489</v>
      </c>
      <c r="F6" s="5">
        <v>0</v>
      </c>
      <c r="G6" s="5">
        <v>0</v>
      </c>
      <c r="H6" s="5">
        <v>0</v>
      </c>
      <c r="I6" s="5">
        <v>0</v>
      </c>
      <c r="J6" s="5">
        <v>239489</v>
      </c>
      <c r="K6" s="5">
        <v>239489</v>
      </c>
      <c r="L6" s="5">
        <v>0</v>
      </c>
      <c r="M6" s="5">
        <v>0</v>
      </c>
      <c r="N6" s="4">
        <v>216</v>
      </c>
    </row>
    <row r="7" ht="20" customHeight="1">
      <c r="A7" s="4" t="str">
        <v>AOW03: Digital Futures</v>
      </c>
      <c r="B7" s="5">
        <v>0</v>
      </c>
      <c r="C7" s="5">
        <v>0</v>
      </c>
      <c r="D7" s="5">
        <v>0</v>
      </c>
      <c r="E7" s="5">
        <v>0</v>
      </c>
      <c r="F7" s="5">
        <v>0</v>
      </c>
      <c r="G7" s="5">
        <v>0</v>
      </c>
      <c r="H7" s="5">
        <v>0</v>
      </c>
      <c r="I7" s="5">
        <v>0</v>
      </c>
      <c r="J7" s="5">
        <v>0</v>
      </c>
      <c r="K7" s="5">
        <v>0</v>
      </c>
      <c r="L7" s="5">
        <v>0</v>
      </c>
      <c r="M7" s="5">
        <v>0</v>
      </c>
      <c r="N7" s="4">
        <v>218</v>
      </c>
    </row>
    <row r="8" ht="20" customHeight="1">
      <c r="A8" s="4" t="str">
        <v>AOW04: Enabling Environment</v>
      </c>
      <c r="B8" s="5">
        <v>0</v>
      </c>
      <c r="C8" s="5">
        <v>0</v>
      </c>
      <c r="D8" s="5">
        <v>0</v>
      </c>
      <c r="E8" s="5">
        <v>0</v>
      </c>
      <c r="F8" s="5">
        <v>8</v>
      </c>
      <c r="G8" s="5">
        <v>10000</v>
      </c>
      <c r="H8" s="5">
        <v>0</v>
      </c>
      <c r="I8" s="5">
        <v>0</v>
      </c>
      <c r="J8" s="5">
        <v>10000</v>
      </c>
      <c r="K8" s="5">
        <v>10000</v>
      </c>
      <c r="L8" s="5">
        <v>0</v>
      </c>
      <c r="M8" s="5">
        <v>0</v>
      </c>
      <c r="N8" s="4">
        <v>217</v>
      </c>
    </row>
    <row r="9" ht="25" customHeight="1">
      <c r="A9" s="6" t="str">
        <v>Total</v>
      </c>
      <c r="B9" s="7" t="str">
        <v/>
      </c>
      <c r="C9" s="7">
        <v>50000</v>
      </c>
      <c r="D9" s="7" t="str">
        <v/>
      </c>
      <c r="E9" s="7">
        <v>432475</v>
      </c>
      <c r="F9" s="7" t="str">
        <v/>
      </c>
      <c r="G9" s="7">
        <v>60000</v>
      </c>
      <c r="H9" s="7" t="str">
        <v/>
      </c>
      <c r="I9" s="7">
        <v>0</v>
      </c>
      <c r="J9" s="7">
        <v>662475</v>
      </c>
      <c r="K9" s="7">
        <v>662475</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CIMMYT</v>
      </c>
      <c r="C3" s="4" t="str">
        <v>HLO 1.1: Developed integrated data infrastructure, tools, and standards to enable creation, discovery, and analysis of FAIR, AI-ready data and AI solutions.</v>
      </c>
      <c r="D3" s="4" t="str">
        <v>Number of data infrastructure, tools, and standards developed to create, collect, search and analyze FAIR and AI-ready data and digital solutions.</v>
      </c>
      <c r="E3" s="4" t="str">
        <v>Number of innovations (innovation development)</v>
      </c>
      <c r="F3" s="4" t="str">
        <v>Zambia, Timor-Leste, Ethiopia, Mexico, Greece, Nigeria, Malaysia, Peru, Bangladesh, India, Kenya, Colombia</v>
      </c>
      <c r="G3" s="5">
        <v>2</v>
      </c>
      <c r="H3" s="5">
        <v>50000</v>
      </c>
      <c r="I3" s="4" t="str" xml:space="preserve">
        <v xml:space="preserve">"""Assumptions: 1. All centers have a budget allocated for collaboration. 2. Each center has an active representative to implement. 
Risk: There is a large gap between what the centers need and what the science programs need."""
</v>
      </c>
      <c r="J3" s="4">
        <v>7250</v>
      </c>
    </row>
    <row r="4" ht="50" customHeight="1" xml:space="preserve">
      <c r="B4" s="4" t="str">
        <v>CIMMYT</v>
      </c>
      <c r="D4" s="4" t="str">
        <v>Number of guidelines, training material and other support documents to foster and change culture around the creation, collection, analysis and ethical use of FAIR and AI-ready data and digital solutions.</v>
      </c>
      <c r="E4" s="4" t="str">
        <v>Number of knowledge products</v>
      </c>
      <c r="F4" s="4" t="str">
        <v>Sri Lanka, Mexico, India, Pakistan, Peru, South Africa, Philippines, Kenya, Rwanda, Tanzania, United Republic</v>
      </c>
      <c r="G4" s="5">
        <v>2</v>
      </c>
      <c r="H4" s="5">
        <v>30000</v>
      </c>
      <c r="I4" s="4" t="str" xml:space="preserve">
        <v xml:space="preserve">"""Assumptions: 1. All centers have a budget allocated for collaboration. 2. Each center has an active representative to implement. 
Risk: There is a large gap between what the centers need and what the science programs need."""</v>
      </c>
      <c r="J4" s="4">
        <v>7256</v>
      </c>
    </row>
    <row r="5" ht="50" customHeight="1" xml:space="preserve">
      <c r="A5" s="4" t="str">
        <v>AOW01: Data Ecosystem</v>
      </c>
      <c r="B5" s="4" t="str">
        <v>CIMMYT</v>
      </c>
      <c r="C5" s="4" t="str">
        <v xml:space="preserve">HLO 1.2: Established standards-compliant FAIR data corpus enabling an open, secure analytics ecosystem. </v>
      </c>
      <c r="D5" s="4" t="str">
        <v>Number of standardized, FAIR and AI-ready datasets.</v>
      </c>
      <c r="E5" s="4" t="str">
        <v>Number of knowledge products</v>
      </c>
      <c r="F5" s="4" t="str">
        <v>Timor-Leste, Zambia, Kenya, Nigeria, Colombia, Pakistan, Mexico, India, Sri Lanka, Philippines, Peru, United States of America, Malaysia, Ghana, South Africa, Côte d'Ivoire</v>
      </c>
      <c r="G5" s="5">
        <v>20</v>
      </c>
      <c r="H5" s="5">
        <v>70000</v>
      </c>
      <c r="I5" s="4" t="str" xml:space="preserve">
        <v xml:space="preserve">"""Assumptions: 1. All centers have a budget allocated for collaboration. 2. Each center has an active representative to implement. 
Risk: There is a large gap between what the centers need and what the science programs need."""</v>
      </c>
      <c r="J5" s="4">
        <v>7259</v>
      </c>
    </row>
    <row r="6" ht="50" customHeight="1" xml:space="preserve">
      <c r="A6" s="4" t="str">
        <v>AOW01: Data Ecosystem</v>
      </c>
      <c r="B6" s="4" t="str">
        <v>CIMMYT</v>
      </c>
      <c r="C6" s="4" t="str">
        <v>HLO 1.3: Established governance strategies and frameworks to strengthen data and digital management and drive culture change across CGIAR Centers.</v>
      </c>
      <c r="D6" s="4" t="str">
        <v>Number of individuals trained on ethical and inclusive data and digital practices.</v>
      </c>
      <c r="E6" s="4" t="str">
        <v>Number of people trained (capacity sharing for development)</v>
      </c>
      <c r="F6" s="4" t="str">
        <v>Philippines, Ethiopia, India, The Socialist Republic of Viet Nam, Malaysia, Thailand, Mexico, Kenya, Peru</v>
      </c>
      <c r="G6" s="5">
        <v>50</v>
      </c>
      <c r="H6" s="5">
        <v>50000</v>
      </c>
      <c r="I6" s="4" t="str" xml:space="preserve">
        <v xml:space="preserve">"""Assumptions: 1. All centers have a budget allocated for collaboration. 2. Each center has an active representative to implement. 
Risk: There is a large gap between what the centers need and what the science programs need."""
</v>
      </c>
      <c r="J6" s="4">
        <v>7267</v>
      </c>
    </row>
    <row r="7" ht="50" customHeight="1" xml:space="preserve">
      <c r="B7" s="4" t="str">
        <v>CIMMYT</v>
      </c>
      <c r="D7" s="4" t="str">
        <v>Number of governance and incentive strategies and frameworks on data &amp; digital management and culture change at CGIAR level</v>
      </c>
      <c r="E7" s="4" t="str">
        <v>Number of knowledge products</v>
      </c>
      <c r="F7" s="4" t="str">
        <v>Côte d'Ivoire, Sri Lanka, Pakistan, Philippines, United States of America, Peru, India, Egypt, Mexico, Malaysia, South Africa, Kenya, France</v>
      </c>
      <c r="G7" s="5">
        <v>2</v>
      </c>
      <c r="H7" s="5">
        <v>92986</v>
      </c>
      <c r="I7" s="4" t="str" xml:space="preserve">
        <v xml:space="preserve">"""Assumptions: 1. All centers have a budget allocated for collaboration. 2. Each center has an active representative to implement. 
Risk: There is a large gap between what the centers need and what the science programs need."""
</v>
      </c>
      <c r="J7" s="4">
        <v>7269</v>
      </c>
    </row>
    <row r="8" ht="25" customHeight="1">
      <c r="C8" s="9" t="str">
        <v>HLO budget subtotal</v>
      </c>
      <c r="H8" s="9">
        <v>292986</v>
      </c>
      <c r="J8" s="9" t="str">
        <v/>
      </c>
    </row>
    <row r="9" ht="50" customHeight="1" xml:space="preserve">
      <c r="A9" s="8" t="str">
        <v>AOW02: Action Lab</v>
      </c>
      <c r="B9" s="4" t="str">
        <v>CIMMYT</v>
      </c>
      <c r="C9" s="4" t="str">
        <v>HLO 2.3:  Breeding programs use AI-powered phenotyping to accelerate trait discovery and breeding cycles.</v>
      </c>
      <c r="D9" s="4" t="str" xml:space="preserve">
        <v xml:space="preserve">CIMMYT 2: Number of AI image-analysis models developed for wheat phenotypic traits using drone data
</v>
      </c>
      <c r="E9" s="4" t="str">
        <v>Number of knowledge products</v>
      </c>
      <c r="F9" s="4" t="str">
        <v>Bangladesh, Kenya, Ethiopia, India</v>
      </c>
      <c r="G9" s="5">
        <v>4</v>
      </c>
      <c r="H9" s="5">
        <v>204489</v>
      </c>
      <c r="I9" s="4" t="str" xml:space="preserve">
        <v xml:space="preserve">Assumptions: 1. All logistics (pilot, drone/service provider) fully in place by mid-January for India and August for Africa. 2. W3 Google project data analysis infrastructure in place. Risks: Ethiopia infrastructure in place. 
</v>
      </c>
      <c r="J9" s="4">
        <v>6467</v>
      </c>
    </row>
    <row r="10" ht="50" customHeight="1" xml:space="preserve">
      <c r="A10" s="4" t="str">
        <v>AOW02: Action Lab</v>
      </c>
      <c r="B10" s="4" t="str">
        <v>CIMMYT</v>
      </c>
      <c r="C10" s="4" t="str">
        <v>HLO 2.1: Research integrates AI analytics, remote sensing, and digital technologies to enhance modeling, evidence generation, and environmental monitoring at scale.</v>
      </c>
      <c r="D10" s="4" t="str">
        <v>Number of geospatial use cases, including datasets, documentation, and intended outcome</v>
      </c>
      <c r="E10" s="4" t="str">
        <v>Number of knowledge products</v>
      </c>
      <c r="F10" s="4" t="str">
        <v>United States of America, Tanzania, United Republic, Kenya, Malaysia, Mexico, India, Nigeria, Ghana, Sri Lanka, Mozambique, Peru, Colombia, Philippines, Rwanda, Ethiopia</v>
      </c>
      <c r="G10" s="5">
        <v>1</v>
      </c>
      <c r="H10" s="5">
        <v>35000</v>
      </c>
      <c r="I10" s="4" t="str" xml:space="preserve">
        <v xml:space="preserve">The successful delivery depends on identification of proper geospatial use case and smooth coordination within the CSI community and with all participating CG centers. 
</v>
      </c>
      <c r="J10" s="4">
        <v>7352</v>
      </c>
    </row>
    <row r="11" ht="25" customHeight="1">
      <c r="C11" s="9" t="str">
        <v>HLO budget subtotal</v>
      </c>
      <c r="H11" s="9">
        <v>239489</v>
      </c>
      <c r="J11" s="9" t="str">
        <v/>
      </c>
    </row>
    <row r="12" ht="50" customHeight="1" xml:space="preserve">
      <c r="A12" s="8" t="str">
        <v>AOW04: Enabling Environment</v>
      </c>
      <c r="B12" s="4" t="str">
        <v>CIMMYT</v>
      </c>
      <c r="C12" s="4" t="str">
        <v>HLO 4.1. Communities of practice and collaborative knowledge platforms established to coordinate learning, exchange, and leadership on responsible and inclusive digital innovation across FLW systems.</v>
      </c>
      <c r="D12" s="4" t="str">
        <v>Number of people trained on geospatial foundation models, platforms and/or frameworks</v>
      </c>
      <c r="E12" s="4" t="str">
        <v>Number of people trained (capacity sharing for development)</v>
      </c>
      <c r="F12" s="4" t="str">
        <v>Kenya</v>
      </c>
      <c r="G12" s="5">
        <v>5</v>
      </c>
      <c r="H12" s="5">
        <v>5000</v>
      </c>
      <c r="I12"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12" s="4">
        <v>7362</v>
      </c>
    </row>
    <row r="13" ht="50" customHeight="1" xml:space="preserve">
      <c r="B13" s="4" t="str">
        <v>CIMMYT</v>
      </c>
      <c r="D13" s="4" t="str">
        <v xml:space="preserve">Number of individuals capacitated through consortium workshops on Spatial Information (CSI) to coordinate geospatial analysis across the CGIAR </v>
      </c>
      <c r="E13" s="4" t="str">
        <v>Number of people trained (capacity sharing for development)</v>
      </c>
      <c r="F13" s="4" t="str">
        <v>Kenya</v>
      </c>
      <c r="G13" s="5">
        <v>3</v>
      </c>
      <c r="H13" s="5">
        <v>5000</v>
      </c>
      <c r="I13"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3" s="4">
        <v>7372</v>
      </c>
    </row>
    <row r="14" ht="25" customHeight="1">
      <c r="C14" s="9" t="str">
        <v>HLO budget subtotal</v>
      </c>
      <c r="H14" s="9">
        <v>10000</v>
      </c>
      <c r="J14" s="9" t="str">
        <v/>
      </c>
    </row>
  </sheetData>
  <mergeCells count="15">
    <mergeCell ref="A1:A2"/>
    <mergeCell ref="B1:B2"/>
    <mergeCell ref="C1:C2"/>
    <mergeCell ref="D1:H1"/>
    <mergeCell ref="I1:I2"/>
    <mergeCell ref="J1:J2"/>
    <mergeCell ref="C3:C4"/>
    <mergeCell ref="C6:C7"/>
    <mergeCell ref="C8:G8"/>
    <mergeCell ref="A3:A8"/>
    <mergeCell ref="C11:G11"/>
    <mergeCell ref="A9:A11"/>
    <mergeCell ref="C12:C13"/>
    <mergeCell ref="C14:G14"/>
    <mergeCell ref="A12:A14"/>
  </mergeCells>
  <ignoredErrors>
    <ignoredError numberStoredAsText="1" sqref="A1:J1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CIMMYT</v>
      </c>
      <c r="C2" s="4" t="str">
        <v>Area of Work Leads</v>
      </c>
      <c r="D2" s="5">
        <v>40000</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107</v>
      </c>
      <c r="G2" s="4">
        <v>3</v>
      </c>
    </row>
    <row r="3" ht="45" customHeight="1">
      <c r="A3" s="4" t="str">
        <v>AOW00: Cross Cutting</v>
      </c>
      <c r="B3" s="4" t="str">
        <v>CIMMYT</v>
      </c>
      <c r="C3" s="4" t="str">
        <v>PMU, CGIAR Program Finance Support and associated Allocation</v>
      </c>
      <c r="D3" s="5">
        <v>50000</v>
      </c>
      <c r="E3" s="4" t="str">
        <v xml:space="preserve">Funding for current MELIA focal point. </v>
      </c>
      <c r="F3" s="4">
        <v>108</v>
      </c>
      <c r="G3" s="4">
        <v>2</v>
      </c>
    </row>
    <row r="4" ht="45" customHeight="1">
      <c r="A4" s="4" t="str">
        <v>AOW00: Cross Cutting</v>
      </c>
      <c r="B4" s="4" t="str">
        <v>CIMMYT</v>
      </c>
      <c r="C4" s="4" t="str">
        <v>Communication/Knowledge management</v>
      </c>
      <c r="D4" s="5">
        <v>30000</v>
      </c>
      <c r="E4" s="4" t="str">
        <v xml:space="preserve">to support the comms consultant (Julie) who is currently supporting B4T and DTA. </v>
      </c>
      <c r="F4" s="4">
        <v>251</v>
      </c>
      <c r="G4" s="4">
        <v>5</v>
      </c>
    </row>
    <row r="5" ht="25" customHeight="1">
      <c r="C5" s="9" t="str">
        <v>Cross-cutting budget subtotal</v>
      </c>
      <c r="D5" s="9">
        <v>120000</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90000</v>
      </c>
      <c r="C2" s="5">
        <v>231697</v>
      </c>
      <c r="D2" s="5">
        <v>120000</v>
      </c>
      <c r="E2" s="5">
        <v>0</v>
      </c>
      <c r="F2" s="5">
        <v>0</v>
      </c>
      <c r="G2" s="5">
        <f>=SUM(B2:F2)</f>
        <v>0</v>
      </c>
    </row>
    <row r="3" ht="20" customHeight="1">
      <c r="A3" s="4" t="str">
        <v>Operations (supplies, consultants, travels, workshops, other)</v>
      </c>
      <c r="B3" s="5">
        <v>30000</v>
      </c>
      <c r="C3" s="5">
        <v>61289</v>
      </c>
      <c r="D3" s="5">
        <v>119489</v>
      </c>
      <c r="E3" s="5">
        <v>0</v>
      </c>
      <c r="F3" s="5">
        <v>10000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CIMMYT</v>
      </c>
      <c r="C2" s="4" t="str">
        <v>Mexico</v>
      </c>
      <c r="D2" s="5">
        <v>100</v>
      </c>
      <c r="E2" s="4">
        <v>3354</v>
      </c>
    </row>
    <row r="3" ht="45" customHeight="1">
      <c r="A3" s="8" t="str">
        <v>AOW01: Data Ecosystem</v>
      </c>
      <c r="B3" s="4" t="str">
        <v>CIMMYT</v>
      </c>
      <c r="C3" s="4" t="str">
        <v>Bangladesh</v>
      </c>
      <c r="D3" s="5">
        <v>5</v>
      </c>
      <c r="E3" s="4">
        <v>1271</v>
      </c>
    </row>
    <row r="4" ht="45" customHeight="1">
      <c r="A4" s="4" t="str">
        <v>AOW01: Data Ecosystem</v>
      </c>
      <c r="B4" s="4" t="str">
        <v>CIMMYT</v>
      </c>
      <c r="C4" s="4" t="str">
        <v>Ethiopia</v>
      </c>
      <c r="D4" s="5">
        <v>5</v>
      </c>
      <c r="E4" s="4">
        <v>1272</v>
      </c>
    </row>
    <row r="5" ht="45" customHeight="1">
      <c r="A5" s="4" t="str">
        <v>AOW01: Data Ecosystem</v>
      </c>
      <c r="B5" s="4" t="str">
        <v>CIMMYT</v>
      </c>
      <c r="C5" s="4" t="str">
        <v>India</v>
      </c>
      <c r="D5" s="5">
        <v>28</v>
      </c>
      <c r="E5" s="4">
        <v>1268</v>
      </c>
    </row>
    <row r="6" ht="45" customHeight="1">
      <c r="A6" s="4" t="str">
        <v>AOW01: Data Ecosystem</v>
      </c>
      <c r="B6" s="4" t="str">
        <v>CIMMYT</v>
      </c>
      <c r="C6" s="4" t="str">
        <v>Kenya</v>
      </c>
      <c r="D6" s="5">
        <v>15</v>
      </c>
      <c r="E6" s="4">
        <v>1269</v>
      </c>
    </row>
    <row r="7" ht="45" customHeight="1">
      <c r="A7" s="4" t="str">
        <v>AOW01: Data Ecosystem</v>
      </c>
      <c r="B7" s="4" t="str">
        <v>CIMMYT</v>
      </c>
      <c r="C7" s="4" t="str">
        <v>Mexico</v>
      </c>
      <c r="D7" s="5">
        <v>34</v>
      </c>
      <c r="E7" s="4">
        <v>1267</v>
      </c>
    </row>
    <row r="8" ht="45" customHeight="1">
      <c r="A8" s="4" t="str">
        <v>AOW01: Data Ecosystem</v>
      </c>
      <c r="B8" s="4" t="str">
        <v>CIMMYT</v>
      </c>
      <c r="C8" s="4" t="str">
        <v>Philippines</v>
      </c>
      <c r="D8" s="5">
        <v>13</v>
      </c>
      <c r="E8" s="4">
        <v>1270</v>
      </c>
    </row>
    <row r="9" ht="45" customHeight="1">
      <c r="A9" s="8" t="str">
        <v>AOW02: Action Lab</v>
      </c>
      <c r="B9" s="4" t="str">
        <v>CIMMYT</v>
      </c>
      <c r="C9" s="4" t="str">
        <v>Bangladesh</v>
      </c>
      <c r="D9" s="5">
        <v>25</v>
      </c>
      <c r="E9" s="4">
        <v>1319</v>
      </c>
    </row>
    <row r="10" ht="45" customHeight="1">
      <c r="A10" s="4" t="str">
        <v>AOW02: Action Lab</v>
      </c>
      <c r="B10" s="4" t="str">
        <v>CIMMYT</v>
      </c>
      <c r="C10" s="4" t="str">
        <v>Ethiopia</v>
      </c>
      <c r="D10" s="5">
        <v>25</v>
      </c>
      <c r="E10" s="4">
        <v>1320</v>
      </c>
    </row>
    <row r="11" ht="45" customHeight="1">
      <c r="A11" s="4" t="str">
        <v>AOW02: Action Lab</v>
      </c>
      <c r="B11" s="4" t="str">
        <v>CIMMYT</v>
      </c>
      <c r="C11" s="4" t="str">
        <v>India</v>
      </c>
      <c r="D11" s="5">
        <v>25</v>
      </c>
      <c r="E11" s="4">
        <v>1321</v>
      </c>
    </row>
    <row r="12" ht="45" customHeight="1">
      <c r="A12" s="4" t="str">
        <v>AOW02: Action Lab</v>
      </c>
      <c r="B12" s="4" t="str">
        <v>CIMMYT</v>
      </c>
      <c r="C12" s="4" t="str">
        <v>Kenya</v>
      </c>
      <c r="D12" s="5">
        <v>25</v>
      </c>
      <c r="E12" s="4">
        <v>1322</v>
      </c>
    </row>
    <row r="13" ht="45" customHeight="1">
      <c r="A13" s="8" t="str">
        <v>AOW04: Enabling Environment</v>
      </c>
      <c r="B13" s="4" t="str">
        <v>CIMMYT</v>
      </c>
      <c r="C13" s="4" t="str">
        <v>Kenya</v>
      </c>
      <c r="D13" s="5">
        <v>100</v>
      </c>
      <c r="E13" s="4">
        <v>1444</v>
      </c>
    </row>
  </sheetData>
  <mergeCells count="4">
    <mergeCell ref="A2"/>
    <mergeCell ref="A3:A8"/>
    <mergeCell ref="A9:A12"/>
    <mergeCell ref="A13"/>
  </mergeCells>
  <ignoredErrors>
    <ignoredError numberStoredAsText="1" sqref="A1:E13"/>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CIMMYT</v>
      </c>
      <c r="C2" s="4" t="str">
        <v>Global</v>
      </c>
      <c r="D2" s="4" t="str">
        <v>global</v>
      </c>
      <c r="E2" s="5">
        <v>100</v>
      </c>
      <c r="F2" s="4">
        <v>1669</v>
      </c>
    </row>
    <row r="3" ht="45" customHeight="1">
      <c r="A3" s="8" t="str">
        <v>AOW01: Data Ecosystem</v>
      </c>
      <c r="B3" s="4" t="str">
        <v>CIMMYT</v>
      </c>
      <c r="C3" s="4" t="str">
        <v>Global</v>
      </c>
      <c r="D3" s="4" t="str">
        <v>global</v>
      </c>
      <c r="E3" s="5">
        <v>100</v>
      </c>
      <c r="F3" s="4">
        <v>444</v>
      </c>
    </row>
    <row r="4" ht="45" customHeight="1">
      <c r="A4" s="8" t="str">
        <v>AOW02: Action Lab</v>
      </c>
      <c r="B4" s="4" t="str">
        <v>CIMMYT</v>
      </c>
      <c r="C4" s="4" t="str">
        <v>Global</v>
      </c>
      <c r="D4" s="4" t="str">
        <v>global</v>
      </c>
      <c r="E4" s="5">
        <v>100</v>
      </c>
      <c r="F4" s="4">
        <v>460</v>
      </c>
    </row>
    <row r="5" ht="45" customHeight="1">
      <c r="A5" s="8" t="str">
        <v>AOW04: Enabling Environment</v>
      </c>
      <c r="B5" s="4" t="str">
        <v>CIMMYT</v>
      </c>
      <c r="C5" s="4" t="str">
        <v>Global</v>
      </c>
      <c r="D5" s="4" t="str">
        <v>global</v>
      </c>
      <c r="E5" s="5">
        <v>100</v>
      </c>
      <c r="F5" s="4">
        <v>506</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