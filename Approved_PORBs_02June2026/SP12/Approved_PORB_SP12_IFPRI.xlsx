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385000</v>
      </c>
      <c r="K4" s="5">
        <v>385000</v>
      </c>
      <c r="L4" s="5">
        <v>0</v>
      </c>
      <c r="M4" s="5">
        <v>0</v>
      </c>
      <c r="N4" s="4">
        <v>219</v>
      </c>
    </row>
    <row r="5" ht="20" customHeight="1">
      <c r="A5" s="4" t="str">
        <v>AOW01: Data Ecosystem</v>
      </c>
      <c r="B5" s="5">
        <v>0</v>
      </c>
      <c r="C5" s="5">
        <v>0</v>
      </c>
      <c r="D5" s="5">
        <v>13</v>
      </c>
      <c r="E5" s="5">
        <v>132986</v>
      </c>
      <c r="F5" s="5">
        <v>0</v>
      </c>
      <c r="G5" s="5">
        <v>0</v>
      </c>
      <c r="H5" s="5">
        <v>0</v>
      </c>
      <c r="I5" s="5">
        <v>0</v>
      </c>
      <c r="J5" s="5">
        <v>132986</v>
      </c>
      <c r="K5" s="5">
        <v>132986</v>
      </c>
      <c r="L5" s="5">
        <v>0</v>
      </c>
      <c r="M5" s="5">
        <v>0</v>
      </c>
      <c r="N5" s="4">
        <v>215</v>
      </c>
    </row>
    <row r="6" ht="20" customHeight="1">
      <c r="A6" s="4" t="str">
        <v>AOW02: Action Lab</v>
      </c>
      <c r="B6" s="5">
        <v>3</v>
      </c>
      <c r="C6" s="5">
        <v>250000</v>
      </c>
      <c r="D6" s="5">
        <v>5</v>
      </c>
      <c r="E6" s="5">
        <v>288682</v>
      </c>
      <c r="F6" s="5">
        <v>0</v>
      </c>
      <c r="G6" s="5">
        <v>0</v>
      </c>
      <c r="H6" s="5">
        <v>1</v>
      </c>
      <c r="I6" s="5">
        <v>138242</v>
      </c>
      <c r="J6" s="5">
        <v>676924</v>
      </c>
      <c r="K6" s="5">
        <v>676924</v>
      </c>
      <c r="L6" s="5">
        <v>20000</v>
      </c>
      <c r="M6" s="5">
        <v>0</v>
      </c>
      <c r="N6" s="4">
        <v>216</v>
      </c>
    </row>
    <row r="7" ht="20" customHeight="1">
      <c r="A7" s="4" t="str">
        <v>AOW03: Digital Futures</v>
      </c>
      <c r="B7" s="5">
        <v>0</v>
      </c>
      <c r="C7" s="5">
        <v>0</v>
      </c>
      <c r="D7" s="5">
        <v>2</v>
      </c>
      <c r="E7" s="5">
        <v>60000</v>
      </c>
      <c r="F7" s="5">
        <v>0</v>
      </c>
      <c r="G7" s="5">
        <v>0</v>
      </c>
      <c r="H7" s="5">
        <v>0</v>
      </c>
      <c r="I7" s="5">
        <v>0</v>
      </c>
      <c r="J7" s="5">
        <v>60000</v>
      </c>
      <c r="K7" s="5">
        <v>60000</v>
      </c>
      <c r="L7" s="5">
        <v>0</v>
      </c>
      <c r="M7" s="5">
        <v>0</v>
      </c>
      <c r="N7" s="4">
        <v>218</v>
      </c>
    </row>
    <row r="8" ht="20" customHeight="1">
      <c r="A8" s="4" t="str">
        <v>AOW04: Enabling Environment</v>
      </c>
      <c r="B8" s="5">
        <v>1</v>
      </c>
      <c r="C8" s="5">
        <v>200000</v>
      </c>
      <c r="D8" s="5">
        <v>0</v>
      </c>
      <c r="E8" s="5">
        <v>0</v>
      </c>
      <c r="F8" s="5">
        <v>58</v>
      </c>
      <c r="G8" s="5">
        <v>50000</v>
      </c>
      <c r="H8" s="5">
        <v>3</v>
      </c>
      <c r="I8" s="5">
        <v>140937</v>
      </c>
      <c r="J8" s="5">
        <v>390937</v>
      </c>
      <c r="K8" s="5">
        <v>390937</v>
      </c>
      <c r="L8" s="5">
        <v>0</v>
      </c>
      <c r="M8" s="5">
        <v>0</v>
      </c>
      <c r="N8" s="4">
        <v>217</v>
      </c>
    </row>
    <row r="9" ht="25" customHeight="1">
      <c r="A9" s="6" t="str">
        <v>Total</v>
      </c>
      <c r="B9" s="7" t="str">
        <v/>
      </c>
      <c r="C9" s="7">
        <v>450000</v>
      </c>
      <c r="D9" s="7" t="str">
        <v/>
      </c>
      <c r="E9" s="7">
        <v>481668</v>
      </c>
      <c r="F9" s="7" t="str">
        <v/>
      </c>
      <c r="G9" s="7">
        <v>50000</v>
      </c>
      <c r="H9" s="7" t="str">
        <v/>
      </c>
      <c r="I9" s="7">
        <v>279179</v>
      </c>
      <c r="J9" s="7">
        <v>1645847</v>
      </c>
      <c r="K9" s="7">
        <v>1645847</v>
      </c>
      <c r="L9" s="7">
        <v>20000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Data Ecosystem</v>
      </c>
      <c r="B3" s="4" t="str">
        <v>IFPRI</v>
      </c>
      <c r="C3" s="4" t="str">
        <v xml:space="preserve">HLO 1.2: Established standards-compliant FAIR data corpus enabling an open, secure analytics ecosystem. </v>
      </c>
      <c r="D3" s="4" t="str">
        <v>Number of standardized, FAIR and AI-ready datasets.</v>
      </c>
      <c r="E3" s="4" t="str">
        <v>Number of knowledge products</v>
      </c>
      <c r="F3" s="4" t="str">
        <v>Timor-Leste, Zambia, Kenya, Nigeria, Colombia, Pakistan, Mexico, India, Sri Lanka, Philippines, Peru, United States of America, Malaysia, Ghana, South Africa, Côte d'Ivoire</v>
      </c>
      <c r="G3" s="5">
        <v>10</v>
      </c>
      <c r="H3" s="5">
        <v>92986</v>
      </c>
      <c r="I3" s="4" t="str">
        <v xml:space="preserve">This deliverable assumes active support from IFPRI's data management team and also that CGIAR centers have sufficient institutional commitment, technical capacity, and infrastructure to adopt Open and FAIR data practices. </v>
      </c>
      <c r="J3" s="4">
        <v>7265</v>
      </c>
    </row>
    <row r="4" ht="50" customHeight="1" xml:space="preserve">
      <c r="A4" s="4" t="str">
        <v>AOW01: Data Ecosystem</v>
      </c>
      <c r="B4" s="4" t="str">
        <v>IFPRI</v>
      </c>
      <c r="C4" s="4" t="str">
        <v>HLO 1.3: Established governance strategies and frameworks to strengthen data and digital management and drive culture change across CGIAR Centers.</v>
      </c>
      <c r="D4" s="4" t="str">
        <v>Number of governance and incentive strategies and frameworks on data &amp; digital management and culture change at CGIAR level</v>
      </c>
      <c r="E4" s="4" t="str">
        <v>Number of knowledge products</v>
      </c>
      <c r="F4" s="4" t="str">
        <v>Côte d'Ivoire, Sri Lanka, Pakistan, Philippines, United States of America, Peru, India, Egypt, Mexico, Malaysia, South Africa, Kenya, France</v>
      </c>
      <c r="G4" s="5">
        <v>3</v>
      </c>
      <c r="H4" s="5">
        <v>40000</v>
      </c>
      <c r="I4" s="4" t="str" xml:space="preserve">
        <v xml:space="preserve">This deliverable assumes active support from IFPRI's data management team and also that CGIAR centers have sufficient institutional commitment, technical capacity, and infrastructure to adopt Open and FAIR data practices. 
</v>
      </c>
      <c r="J4" s="4">
        <v>7271</v>
      </c>
    </row>
    <row r="5" ht="25" customHeight="1">
      <c r="C5" s="9" t="str">
        <v>HLO budget subtotal</v>
      </c>
      <c r="H5" s="9">
        <v>132986</v>
      </c>
      <c r="J5" s="9" t="str">
        <v/>
      </c>
    </row>
    <row r="6" ht="50" customHeight="1" xml:space="preserve">
      <c r="A6" s="8" t="str">
        <v>AOW02: Action Lab</v>
      </c>
      <c r="B6" s="4" t="str">
        <v>IFPRI</v>
      </c>
      <c r="C6" s="4" t="str">
        <v>HLO 2.7: Digital innovations use human-centered design and citizen science to enhance gender responsiveness and social inclusiveness.</v>
      </c>
      <c r="D6" s="4" t="str" xml:space="preserve">
        <v xml:space="preserve">IFPRI 10: Number of knowledge products produced on women farmers' engagement with generative AI-powred advisory systems
</v>
      </c>
      <c r="E6" s="4" t="str">
        <v>Number of knowledge products</v>
      </c>
      <c r="F6" s="4" t="str">
        <v>South Africa, United States of America, Kenya</v>
      </c>
      <c r="G6" s="5">
        <v>2</v>
      </c>
      <c r="H6" s="5">
        <v>150000</v>
      </c>
      <c r="I6" s="4" t="str" xml:space="preserve">
        <v xml:space="preserve">The successful delivery of this deliverable depends on whether women farmers, household members, extension agents, and local partners will be available and willing to participate in interviews, user studies, and co-creation sessions.					
</v>
      </c>
      <c r="J6" s="4">
        <v>6317</v>
      </c>
    </row>
    <row r="7" ht="50" customHeight="1" xml:space="preserve">
      <c r="B7" s="4" t="str">
        <v>IFPRI</v>
      </c>
      <c r="D7" s="4" t="str" xml:space="preserve">
        <v xml:space="preserve">IFPRI 7: Number of protocols, knowledge products, and policy frameworks produced to operationalize AI-powered dietary data platform
</v>
      </c>
      <c r="E7" s="4" t="str">
        <v>custom</v>
      </c>
      <c r="F7" s="4" t="str">
        <v>Egypt, Malawi, China, Senegal, Ethiopia, Nigeria, Bangladesh, United States of America, Kenya, Ghana</v>
      </c>
      <c r="G7" s="5">
        <v>1</v>
      </c>
      <c r="H7" s="5">
        <v>138242</v>
      </c>
      <c r="I7" s="4" t="str" xml:space="preserve">
        <v xml:space="preserve">The assumption is that the National and regional governments (e.g., Ghana, Kenya, Ethiopia, Vietnam) will continue to prioritize dietary assessment, school feeding program improvement, and digital innovations, enabling timely engagement and decision-making. Assumes $20k allocation to partners that will be identified later. 
</v>
      </c>
      <c r="J7" s="4">
        <v>6318</v>
      </c>
    </row>
    <row r="8" ht="50" customHeight="1" xml:space="preserve">
      <c r="A8" s="4" t="str">
        <v>AOW02: Action Lab</v>
      </c>
      <c r="B8" s="4" t="str">
        <v>IFPRI</v>
      </c>
      <c r="C8" s="4" t="str">
        <v>HLO 2.5: Advisory solutions use AI-powered tools, including language models and speech analytics, to improve relevance, accessibility, and user engagement.</v>
      </c>
      <c r="D8" s="4" t="str" xml:space="preserve">
        <v xml:space="preserve">IFPRI 9: Number of socially inclusive AI innovations developed for agricultural policymaking
</v>
      </c>
      <c r="E8" s="4" t="str">
        <v>Number of innovations (innovation development)</v>
      </c>
      <c r="F8" s="4" t="str">
        <v>Zambia, United States of America, Kenya, South Africa</v>
      </c>
      <c r="G8" s="5">
        <v>2</v>
      </c>
      <c r="H8" s="5">
        <v>150000</v>
      </c>
      <c r="I8" s="4" t="str" xml:space="preserve">
        <v xml:space="preserve">The successful delivery of this deliverable assumes that partner ANAPRI can successfully coordinate simulating policy discussion workshops and that sufficient details can be elicited from workshop participants.
</v>
      </c>
      <c r="J8" s="4">
        <v>6333</v>
      </c>
    </row>
    <row r="9" ht="50" customHeight="1" xml:space="preserve">
      <c r="B9" s="4" t="str">
        <v>IFPRI</v>
      </c>
      <c r="D9" s="4" t="str" xml:space="preserve">
        <v xml:space="preserve">IFPRI 8: Number of knowledge products produced on voice-based AI tools for agricultural extension in low-resource languages
</v>
      </c>
      <c r="E9" s="4" t="str">
        <v>Number of knowledge products</v>
      </c>
      <c r="F9" s="4" t="str">
        <v>United States of America, Tanzania, United Republic</v>
      </c>
      <c r="G9" s="5">
        <v>2</v>
      </c>
      <c r="H9" s="5">
        <v>103682</v>
      </c>
      <c r="I9" s="4" t="str" xml:space="preserve">
        <v xml:space="preserve">The successful delivery of this POD depends on quality of audio data and expertise of local expert who is helping with transcription of audio data.					
</v>
      </c>
      <c r="J9" s="4">
        <v>6334</v>
      </c>
    </row>
    <row r="10" ht="50" customHeight="1" xml:space="preserve">
      <c r="A10" s="4" t="str">
        <v>AOW02: Action Lab</v>
      </c>
      <c r="B10" s="4" t="str">
        <v>IFPRI</v>
      </c>
      <c r="C10" s="4" t="str">
        <v>HLO 2.1: Research integrates AI analytics, remote sensing, and digital technologies to enhance modeling, evidence generation, and environmental monitoring at scale.</v>
      </c>
      <c r="D10" s="4" t="str" xml:space="preserve">
        <v xml:space="preserve">IFPRI 11: Number of AI and digital solutions piloted to support dietary scenario analysis for nutrition decision-makers
</v>
      </c>
      <c r="E10" s="4" t="str">
        <v>Number of innovations (innovation development)</v>
      </c>
      <c r="F10" s="4" t="str">
        <v>Ethiopia, Guatemala</v>
      </c>
      <c r="G10" s="5">
        <v>1</v>
      </c>
      <c r="H10" s="5">
        <v>100000</v>
      </c>
      <c r="I10" s="4" t="str" xml:space="preserve">
        <v xml:space="preserve">The successful delivery assumes sufficient digital access, partner engagement, and timely ethical approvals to implement and validate the digital DQQ in Guatemala and Ethiopia. Key risks include low response rates, technical or infrastructure limitations.
</v>
      </c>
      <c r="J10" s="4">
        <v>6469</v>
      </c>
    </row>
    <row r="11" ht="50" customHeight="1" xml:space="preserve">
      <c r="B11" s="4" t="str">
        <v>IFPRI</v>
      </c>
      <c r="D11" s="4" t="str">
        <v>Number of geospatial use cases, including datasets, documentation, and intended outcome</v>
      </c>
      <c r="E11" s="4" t="str">
        <v>Number of knowledge products</v>
      </c>
      <c r="F11" s="4" t="str">
        <v>United States of America, Tanzania, United Republic, Kenya, Malaysia, Mexico, India, Nigeria, Ghana, Sri Lanka, Mozambique, Peru, Colombia, Philippines, Rwanda, Ethiopia</v>
      </c>
      <c r="G11" s="5">
        <v>1</v>
      </c>
      <c r="H11" s="5">
        <v>35000</v>
      </c>
      <c r="I11" s="4" t="str" xml:space="preserve">
        <v xml:space="preserve">The successful delivery depends on identification of proper geospatial use case and smooth coordination within the CSI community and with all participating CG centers. 
</v>
      </c>
      <c r="J11" s="4">
        <v>7353</v>
      </c>
    </row>
    <row r="12" ht="25" customHeight="1">
      <c r="C12" s="9" t="str">
        <v>HLO budget subtotal</v>
      </c>
      <c r="H12" s="9">
        <v>676924</v>
      </c>
      <c r="J12" s="9" t="str">
        <v/>
      </c>
    </row>
    <row r="13" ht="50" customHeight="1" xml:space="preserve">
      <c r="A13" s="8" t="str">
        <v>AOW03: Digital Futures</v>
      </c>
      <c r="B13" s="4" t="str">
        <v>IFPRI</v>
      </c>
      <c r="C13" s="4" t="str">
        <v>HLO 3.2: Future case scenarios identified for digital transformation in FWL systems in addressing context-specific challenges and opportunities.</v>
      </c>
      <c r="D13" s="4" t="str">
        <v>IFPRI 4: Number of reports and other ICT materials produced with Future case scenarios identified for digital transformation in FWL systems in addressing context-specific challenges, and opportunities.</v>
      </c>
      <c r="E13" s="4" t="str">
        <v>Number of knowledge products</v>
      </c>
      <c r="F13" s="4" t="str">
        <v>Malawi, Egypt, China, Nigeria, Ghana, India, United States of America, Ethiopia, Senegal, Bangladesh, Kenya</v>
      </c>
      <c r="G13" s="5">
        <v>1</v>
      </c>
      <c r="H13" s="5">
        <v>30000</v>
      </c>
      <c r="I13" s="4" t="str" xml:space="preserve">
        <v xml:space="preserve">This activity assumes that we will have data enabled on AI use for some use cases and have access to these data through different sources. The major risks are that we may need to rely on secondary data which we might not be openly accessible. 
</v>
      </c>
      <c r="J13" s="4">
        <v>6301</v>
      </c>
    </row>
    <row r="14" ht="50" customHeight="1">
      <c r="A14" s="4" t="str">
        <v>AOW03: Digital Futures</v>
      </c>
      <c r="B14" s="4" t="str">
        <v>IFPRI</v>
      </c>
      <c r="C14" s="4" t="str">
        <v>HLO 3.1: Probes of a wide range of AI and/or other novel digital solutions to generate early evidence on digital frontier technology impacts, for decision making.</v>
      </c>
      <c r="D14" s="4" t="str">
        <v>IFPRI 3: Number of AI and digital solution probes supporting system-level scenario analysis for decision-makers.</v>
      </c>
      <c r="E14" s="4" t="str">
        <v>Number of knowledge products</v>
      </c>
      <c r="F14" s="4" t="str">
        <v>India, Nigeria, Ghana, Senegal, China, Bangladesh, Malawi, Ethiopia, Egypt, Kenya, United States of America</v>
      </c>
      <c r="G14" s="5">
        <v>1</v>
      </c>
      <c r="H14" s="5">
        <v>30000</v>
      </c>
      <c r="I14" s="4" t="str">
        <v xml:space="preserve">This activity assumes that we will have data enabled on AI use for some use cases and have access to these data through different sources. The major risks are that we may need to rely on secondary data which we might not be openly accessible. </v>
      </c>
      <c r="J14" s="4">
        <v>6394</v>
      </c>
    </row>
    <row r="15" ht="25" customHeight="1">
      <c r="C15" s="9" t="str">
        <v>HLO budget subtotal</v>
      </c>
      <c r="H15" s="9">
        <v>60000</v>
      </c>
      <c r="J15" s="9" t="str">
        <v/>
      </c>
    </row>
    <row r="16" ht="50" customHeight="1" xml:space="preserve">
      <c r="A16" s="8" t="str">
        <v>AOW04: Enabling Environment</v>
      </c>
      <c r="B16" s="4" t="str">
        <v>IFPRI</v>
      </c>
      <c r="C16" s="4" t="str">
        <v>HLO 4.1. Communities of practice and collaborative knowledge platforms established to coordinate learning, exchange, and leadership on responsible and inclusive digital innovation across FLW systems.</v>
      </c>
      <c r="D16" s="4" t="str">
        <v>IFPRI 5: Number of Communities of Practices (COPs) on geospatial (CSI) and Responsible AI (collaboratively with IWMI), launched,  operationalized and maintained to catalyze adoption of responsible and inclusive digital and data innovations across FLW systems</v>
      </c>
      <c r="E16" s="4" t="str">
        <v>custom</v>
      </c>
      <c r="F16" s="4" t="str">
        <v>Kenya, China, Nigeria, Egypt, Malawi, United States of America, Ethiopia, India, Senegal, Bangladesh, Ghana</v>
      </c>
      <c r="G16" s="5">
        <v>2</v>
      </c>
      <c r="H16" s="5">
        <v>120937</v>
      </c>
      <c r="I16" s="4" t="str" xml:space="preserve">
        <v xml:space="preserve">The package assumes IFPRI can access the necessary resources and expertise to engage meaningfully in CGIAR Digital Transformation COPs and adopt improved policies and capacities in data, AI, and inclusive digital transformation. 
</v>
      </c>
      <c r="J16" s="4">
        <v>6314</v>
      </c>
    </row>
    <row r="17" ht="50" customHeight="1" xml:space="preserve">
      <c r="B17" s="4" t="str">
        <v>IFPRI</v>
      </c>
      <c r="D17" s="4" t="str">
        <v>Number of people trained on geospatial foundation models, platforms and/or frameworks</v>
      </c>
      <c r="E17" s="4" t="str">
        <v>Number of people trained (capacity sharing for development)</v>
      </c>
      <c r="F17" s="4" t="str">
        <v>Kenya</v>
      </c>
      <c r="G17" s="5">
        <v>5</v>
      </c>
      <c r="H17" s="5">
        <v>5000</v>
      </c>
      <c r="I17"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17" s="4">
        <v>7370</v>
      </c>
    </row>
    <row r="18" ht="50" customHeight="1" xml:space="preserve">
      <c r="B18" s="4" t="str">
        <v>IFPRI</v>
      </c>
      <c r="D18" s="4" t="str">
        <v xml:space="preserve">Number of individuals capacitated through consortium workshops on Spatial Information (CSI) to coordinate geospatial analysis across the CGIAR </v>
      </c>
      <c r="E18" s="4" t="str">
        <v>Number of people trained (capacity sharing for development)</v>
      </c>
      <c r="F18" s="4" t="str">
        <v>Kenya</v>
      </c>
      <c r="G18" s="5">
        <v>3</v>
      </c>
      <c r="H18" s="5">
        <v>5000</v>
      </c>
      <c r="I18"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18" s="4">
        <v>7377</v>
      </c>
    </row>
    <row r="19" ht="50" customHeight="1">
      <c r="B19" s="4" t="str">
        <v>IFPRI</v>
      </c>
      <c r="D19" s="4" t="str">
        <v>IFPRI 14: Number of knowledge repository established and operationalized to support Responsible AI and CSI Communities of Practice.</v>
      </c>
      <c r="E19" s="4" t="str">
        <v>custom</v>
      </c>
      <c r="F19" s="4" t="str">
        <v>Ghana, Malawi, Kenya, Egypt, Bangladesh, Senegal, United States of America, China, Nigeria, India, Ethiopia</v>
      </c>
      <c r="G19" s="5">
        <v>1</v>
      </c>
      <c r="H19" s="5">
        <v>20000</v>
      </c>
      <c r="I19" s="4" t="str">
        <v xml:space="preserve">Resources needed for IFPRI to develop a knowledge repository or a hub to organize knowledge products to support Responsible AI and CSI COPs. </v>
      </c>
      <c r="J19" s="4">
        <v>7713</v>
      </c>
    </row>
    <row r="20" ht="50" customHeight="1" xml:space="preserve">
      <c r="A20" s="4" t="str">
        <v>AOW04: Enabling Environment</v>
      </c>
      <c r="B20" s="4" t="str">
        <v>IFPRI</v>
      </c>
      <c r="C20" s="4" t="str">
        <v>HLO 4.6 Robust, secure and flexible foundational digital infrastructure &amp; sustainable operating model across centers and hubs</v>
      </c>
      <c r="D20" s="4" t="str">
        <v>IFPRI 6: Number of individuals who received training on data science, project management, digital infrastructure and cloud administration to support digital transformation initiatives.</v>
      </c>
      <c r="E20" s="4" t="str">
        <v>Number of people trained (capacity sharing for development)</v>
      </c>
      <c r="F20" s="4" t="str">
        <v>Ethiopia, Malawi, Kenya, Nigeria, Ghana, Egypt, India, United States of America, Bangladesh, China, Senegal</v>
      </c>
      <c r="G20" s="5">
        <v>50</v>
      </c>
      <c r="H20" s="5">
        <v>40000</v>
      </c>
      <c r="I20" s="4" t="str" xml:space="preserve">
        <v xml:space="preserve">The package assumes IFPRI and CGIAR Centers will have the resources, collaboration, and technical capacity needed to maintain secure, scalable digital tools and strengthen skills in AI, data science, and digital product management. 
</v>
      </c>
      <c r="J20" s="4">
        <v>6352</v>
      </c>
    </row>
    <row r="21" ht="50" customHeight="1">
      <c r="A21" s="4" t="str">
        <v>AOW04: Enabling Environment</v>
      </c>
      <c r="B21" s="4" t="str">
        <v>IFPRI</v>
      </c>
      <c r="C21" s="4" t="str">
        <v>HLO 4.5: Networks of digital innovation nodes &amp; hubs creating an ecosystem for inclusive and FAIR compliant digital and data innovations.</v>
      </c>
      <c r="D21" s="4" t="str">
        <v>IFPRI 13: Number of AI product co-developed for Policy SP in collaboration with AI71.</v>
      </c>
      <c r="E21" s="4" t="str">
        <v>Number of innovations (innovation development)</v>
      </c>
      <c r="F21" s="4" t="str">
        <v>United States of America</v>
      </c>
      <c r="G21" s="5">
        <v>1</v>
      </c>
      <c r="H21" s="5">
        <v>200000</v>
      </c>
      <c r="I21" s="4" t="str">
        <v>This assumes availability of specialized AI and policy analytics expertise through collaboration with AI71, along with adequate funding to support co-development, validation, and deployment of policy-oriented AI tools. Risks include dependency on an external UAE-based partner, coordination and alignment challenges across institutions and geographies, and higher costs associated with advanced AI development, as well as potential limitations in adoption due to policy sensitivity, data access constraints, and the need for contextual adaptation.</v>
      </c>
      <c r="J21" s="4">
        <v>7004</v>
      </c>
    </row>
    <row r="22" ht="50" customHeight="1">
      <c r="B22" s="4" t="str">
        <v>IFPRI</v>
      </c>
      <c r="D22" s="4" t="str">
        <v>IFPRI 12: Number of individuals capacitated to participate in community of practices (CoPs)</v>
      </c>
      <c r="E22" s="4" t="str">
        <v>Number of people trained (capacity sharing for development)</v>
      </c>
      <c r="F22" s="4" t="str">
        <v>Egypt, Bangladesh, United States of America, Ethiopia, China, India, Kenya, Malawi, Nigeria, Senegal, Ghana</v>
      </c>
      <c r="G22" s="5">
        <v>50</v>
      </c>
      <c r="H22" s="5">
        <v>0</v>
      </c>
      <c r="I22" s="4" t="str">
        <v/>
      </c>
      <c r="J22" s="4">
        <v>8161</v>
      </c>
    </row>
    <row r="23" ht="50" customHeight="1" xml:space="preserve">
      <c r="A23" s="4" t="str">
        <v>AOW04: Enabling Environment</v>
      </c>
      <c r="B23" s="4" t="str">
        <v>IFPRI</v>
      </c>
      <c r="C23" s="4" t="str">
        <v>HLO 4.2:  Applied tools, frameworks, methods, guidelines and prototypes developed to support responsible, inclusive, and user-centered digital innovation across FLW systems.</v>
      </c>
      <c r="D23" s="4" t="str" xml:space="preserve">
        <v xml:space="preserve">IFPRI 7: Number of protocols, knowledge products, and policy frameworks produced to operationalize AI-powered dietary data platform
</v>
      </c>
      <c r="E23" s="4" t="str">
        <v>custom</v>
      </c>
      <c r="F23" s="4" t="str">
        <v>Egypt, Malawi, China, Senegal, Ethiopia, Nigeria, Bangladesh, United States of America, Kenya, Ghana</v>
      </c>
      <c r="G23" s="5">
        <v>1</v>
      </c>
      <c r="H23" s="5">
        <v>0</v>
      </c>
      <c r="I23" s="4" t="str">
        <v/>
      </c>
      <c r="J23" s="4">
        <v>8291</v>
      </c>
    </row>
    <row r="24" ht="25" customHeight="1">
      <c r="C24" s="9" t="str">
        <v>HLO budget subtotal</v>
      </c>
      <c r="H24" s="9">
        <v>390937</v>
      </c>
      <c r="J24" s="9" t="str">
        <v/>
      </c>
    </row>
  </sheetData>
  <mergeCells count="19">
    <mergeCell ref="A1:A2"/>
    <mergeCell ref="B1:B2"/>
    <mergeCell ref="C1:C2"/>
    <mergeCell ref="D1:H1"/>
    <mergeCell ref="I1:I2"/>
    <mergeCell ref="J1:J2"/>
    <mergeCell ref="C5:G5"/>
    <mergeCell ref="A3:A5"/>
    <mergeCell ref="C6:C7"/>
    <mergeCell ref="C8:C9"/>
    <mergeCell ref="C10:C11"/>
    <mergeCell ref="C12:G12"/>
    <mergeCell ref="A6:A12"/>
    <mergeCell ref="C15:G15"/>
    <mergeCell ref="A13:A15"/>
    <mergeCell ref="C16:C19"/>
    <mergeCell ref="C21:C22"/>
    <mergeCell ref="C24:G24"/>
    <mergeCell ref="A16:A24"/>
  </mergeCells>
  <ignoredErrors>
    <ignoredError numberStoredAsText="1" sqref="A1:J24"/>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Action Lab</v>
      </c>
      <c r="B2" s="4" t="str">
        <v>Unknown Partner 3</v>
      </c>
      <c r="C2" s="4" t="str">
        <v>IFPRI</v>
      </c>
      <c r="D2" s="4" t="str">
        <v>United States of America</v>
      </c>
      <c r="E2" s="5">
        <v>20000</v>
      </c>
      <c r="F2" s="4" t="str">
        <v xml:space="preserve">Data management consultants; contracting to be confirmed after PORB approval. </v>
      </c>
      <c r="G2" s="4">
        <v>224</v>
      </c>
    </row>
    <row r="3" ht="25" customHeight="1">
      <c r="B3" s="9" t="str">
        <v>Contracted partners subtotal</v>
      </c>
      <c r="E3" s="9">
        <v>20000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IFPRI</v>
      </c>
      <c r="B2" s="4" t="str">
        <v>N-343004-AgPile</v>
      </c>
      <c r="C2" s="4" t="str">
        <v>HLO 2.7: Digital innovations use human-centered design and citizen science to enhance gender responsiveness and social inclusiveness.</v>
      </c>
      <c r="D2" s="5">
        <v>3634210</v>
      </c>
      <c r="E2" s="4" t="str">
        <v xml:space="preserve">Ability of Technical team to deliver the platform and adoption of governance policy by the CG centers. </v>
      </c>
      <c r="F2" s="4">
        <v>1213</v>
      </c>
    </row>
    <row r="3" ht="60" customHeight="1">
      <c r="A3" s="4" t="str">
        <v>IFPRI</v>
      </c>
      <c r="B3" s="4" t="str">
        <v>N-343005-GAIA Phase II</v>
      </c>
      <c r="C3" s="4" t="str">
        <v>HLO 2.7: Digital innovations use human-centered design and citizen science to enhance gender responsiveness and social inclusiveness.</v>
      </c>
      <c r="D3" s="5">
        <v>2172877</v>
      </c>
      <c r="E3" s="4" t="str">
        <v xml:space="preserve">The budget assumes continuous coordination between each work package lead partners and availability of AI ready corpus. </v>
      </c>
      <c r="F3" s="4">
        <v>1206</v>
      </c>
    </row>
    <row r="4" ht="60" customHeight="1">
      <c r="A4" s="4" t="str">
        <v>IFPRI</v>
      </c>
      <c r="B4" s="4" t="str">
        <v>N-600317-STATS FR SPACE-MOZAMBIQUE</v>
      </c>
      <c r="C4" s="4" t="str">
        <v>HLO 2.1: Research integrates AI analytics, remote sensing, and digital technologies to enhance modeling, evidence generation, and environmental monitoring at scale.</v>
      </c>
      <c r="D4" s="5">
        <v>0</v>
      </c>
      <c r="E4" s="4" t="str">
        <v/>
      </c>
      <c r="F4" s="4">
        <v>1217</v>
      </c>
    </row>
    <row r="5" ht="60" customHeight="1">
      <c r="A5" s="4" t="str">
        <v>IFPRI</v>
      </c>
      <c r="B5" s="4" t="str">
        <v>N-633006-IICOF IN JIMMA ETH</v>
      </c>
      <c r="C5" s="4" t="str">
        <v>HLO 2.7: Digital innovations use human-centered design and citizen science to enhance gender responsiveness and social inclusiveness.</v>
      </c>
      <c r="D5" s="5">
        <v>0</v>
      </c>
      <c r="E5" s="4" t="str">
        <v/>
      </c>
      <c r="F5" s="4">
        <v>1204</v>
      </c>
    </row>
    <row r="6" ht="25" customHeight="1">
      <c r="B6" s="9" t="str">
        <v>W3/Bilateral budget subtotal</v>
      </c>
      <c r="D6" s="9">
        <v>5807087</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IFPRI</v>
      </c>
      <c r="C2" s="4" t="str">
        <v>PMU, CGIAR Program Finance Support and associated Allocation</v>
      </c>
      <c r="D2" s="5">
        <v>145000</v>
      </c>
      <c r="E2" s="4" t="str">
        <v xml:space="preserve">Funding for current Program coordinator for the year. </v>
      </c>
      <c r="F2" s="4">
        <v>110</v>
      </c>
      <c r="G2" s="4">
        <v>2</v>
      </c>
    </row>
    <row r="3" ht="45" customHeight="1" xml:space="preserve">
      <c r="A3" s="4" t="str">
        <v>AOW00: Cross Cutting</v>
      </c>
      <c r="B3" s="4" t="str">
        <v>IFPRI</v>
      </c>
      <c r="C3" s="4" t="str">
        <v>Area of Work Leads</v>
      </c>
      <c r="D3" s="5">
        <v>40000</v>
      </c>
      <c r="E3" s="4" t="str" xml:space="preserve">
        <v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v>
      </c>
      <c r="F3" s="4">
        <v>111</v>
      </c>
      <c r="G3" s="4">
        <v>3</v>
      </c>
    </row>
    <row r="4" ht="45" customHeight="1">
      <c r="A4" s="4" t="str">
        <v>AOW00: Cross Cutting</v>
      </c>
      <c r="B4" s="4" t="str">
        <v>IFPRI</v>
      </c>
      <c r="C4" s="4" t="str">
        <v>Operations</v>
      </c>
      <c r="D4" s="5">
        <v>200000</v>
      </c>
      <c r="E4" s="4" t="str">
        <v xml:space="preserve">Funding for an IFPRI staff for 2026 and 2027 who will be based in AI Hub in Abu Dhabi to support AI hub activities. </v>
      </c>
      <c r="F4" s="4">
        <v>229</v>
      </c>
      <c r="G4" s="4">
        <v>4</v>
      </c>
    </row>
    <row r="5" ht="25" customHeight="1">
      <c r="C5" s="9" t="str">
        <v>Cross-cutting budget subtotal</v>
      </c>
      <c r="D5" s="9">
        <v>385000</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385000</v>
      </c>
      <c r="C2" s="5">
        <v>66493</v>
      </c>
      <c r="D2" s="5">
        <v>567331</v>
      </c>
      <c r="E2" s="5">
        <v>42429</v>
      </c>
      <c r="F2" s="5">
        <v>256972</v>
      </c>
      <c r="G2" s="5">
        <f>=SUM(B2:F2)</f>
        <v>0</v>
      </c>
    </row>
    <row r="3" ht="20" customHeight="1">
      <c r="A3" s="4" t="str">
        <v>Operations (supplies, consultants, travels, workshops, other)</v>
      </c>
      <c r="B3" s="5">
        <v>0</v>
      </c>
      <c r="C3" s="5">
        <v>66493</v>
      </c>
      <c r="D3" s="5">
        <v>89593</v>
      </c>
      <c r="E3" s="5">
        <v>17571</v>
      </c>
      <c r="F3" s="5">
        <v>133965</v>
      </c>
      <c r="G3" s="5">
        <f>=SUM(B3:F3)</f>
        <v>0</v>
      </c>
    </row>
    <row r="4" ht="20" customHeight="1">
      <c r="A4" s="4" t="str">
        <v>Collaborators non-CGIAR centers</v>
      </c>
      <c r="B4" s="5">
        <v>0</v>
      </c>
      <c r="C4" s="5">
        <v>0</v>
      </c>
      <c r="D4" s="5">
        <v>20000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3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IFPRI</v>
      </c>
      <c r="C2" s="4" t="str">
        <v>The United Arab Emirates</v>
      </c>
      <c r="D2" s="5">
        <v>50</v>
      </c>
      <c r="E2" s="4">
        <v>3357</v>
      </c>
    </row>
    <row r="3" ht="45" customHeight="1">
      <c r="A3" s="4" t="str">
        <v>AOW00: Cross Cutting</v>
      </c>
      <c r="B3" s="4" t="str">
        <v>IFPRI</v>
      </c>
      <c r="C3" s="4" t="str">
        <v>United States of America</v>
      </c>
      <c r="D3" s="5">
        <v>50</v>
      </c>
      <c r="E3" s="4">
        <v>3356</v>
      </c>
    </row>
    <row r="4" ht="45" customHeight="1">
      <c r="A4" s="8" t="str">
        <v>AOW01: Data Ecosystem</v>
      </c>
      <c r="B4" s="4" t="str">
        <v>IFPRI</v>
      </c>
      <c r="C4" s="4" t="str">
        <v>United States of America</v>
      </c>
      <c r="D4" s="5">
        <v>100</v>
      </c>
      <c r="E4" s="4">
        <v>1277</v>
      </c>
    </row>
    <row r="5" ht="45" customHeight="1">
      <c r="A5" s="8" t="str">
        <v>AOW02: Action Lab</v>
      </c>
      <c r="B5" s="4" t="str">
        <v>IFPRI</v>
      </c>
      <c r="C5" s="4" t="str">
        <v>Ethiopia</v>
      </c>
      <c r="D5" s="5">
        <v>8</v>
      </c>
      <c r="E5" s="4">
        <v>1332</v>
      </c>
    </row>
    <row r="6" ht="45" customHeight="1">
      <c r="A6" s="4" t="str">
        <v>AOW02: Action Lab</v>
      </c>
      <c r="B6" s="4" t="str">
        <v>IFPRI</v>
      </c>
      <c r="C6" s="4" t="str">
        <v>Ghana</v>
      </c>
      <c r="D6" s="5">
        <v>5</v>
      </c>
      <c r="E6" s="4">
        <v>1335</v>
      </c>
    </row>
    <row r="7" ht="45" customHeight="1">
      <c r="A7" s="4" t="str">
        <v>AOW02: Action Lab</v>
      </c>
      <c r="B7" s="4" t="str">
        <v>IFPRI</v>
      </c>
      <c r="C7" s="4" t="str">
        <v>Guatemala</v>
      </c>
      <c r="D7" s="5">
        <v>8</v>
      </c>
      <c r="E7" s="4">
        <v>1333</v>
      </c>
    </row>
    <row r="8" ht="45" customHeight="1">
      <c r="A8" s="4" t="str">
        <v>AOW02: Action Lab</v>
      </c>
      <c r="B8" s="4" t="str">
        <v>IFPRI</v>
      </c>
      <c r="C8" s="4" t="str">
        <v>Kenya</v>
      </c>
      <c r="D8" s="5">
        <v>19</v>
      </c>
      <c r="E8" s="4">
        <v>1329</v>
      </c>
    </row>
    <row r="9" ht="45" customHeight="1">
      <c r="A9" s="4" t="str">
        <v>AOW02: Action Lab</v>
      </c>
      <c r="B9" s="4" t="str">
        <v>IFPRI</v>
      </c>
      <c r="C9" s="4" t="str">
        <v>South Africa</v>
      </c>
      <c r="D9" s="5">
        <v>14</v>
      </c>
      <c r="E9" s="4">
        <v>1330</v>
      </c>
    </row>
    <row r="10" ht="45" customHeight="1">
      <c r="A10" s="4" t="str">
        <v>AOW02: Action Lab</v>
      </c>
      <c r="B10" s="4" t="str">
        <v>IFPRI</v>
      </c>
      <c r="C10" s="4" t="str">
        <v>Tanzania</v>
      </c>
      <c r="D10" s="5">
        <v>11</v>
      </c>
      <c r="E10" s="4">
        <v>1331</v>
      </c>
    </row>
    <row r="11" ht="45" customHeight="1">
      <c r="A11" s="4" t="str">
        <v>AOW02: Action Lab</v>
      </c>
      <c r="B11" s="4" t="str">
        <v>IFPRI</v>
      </c>
      <c r="C11" s="4" t="str">
        <v>United States of America</v>
      </c>
      <c r="D11" s="5">
        <v>29</v>
      </c>
      <c r="E11" s="4">
        <v>1328</v>
      </c>
    </row>
    <row r="12" ht="45" customHeight="1">
      <c r="A12" s="4" t="str">
        <v>AOW02: Action Lab</v>
      </c>
      <c r="B12" s="4" t="str">
        <v>IFPRI</v>
      </c>
      <c r="C12" s="4" t="str">
        <v>Zambia</v>
      </c>
      <c r="D12" s="5">
        <v>6</v>
      </c>
      <c r="E12" s="4">
        <v>1334</v>
      </c>
    </row>
    <row r="13" ht="45" customHeight="1">
      <c r="A13" s="8" t="str">
        <v>AOW03: Digital Futures</v>
      </c>
      <c r="B13" s="4" t="str">
        <v>IFPRI</v>
      </c>
      <c r="C13" s="4" t="str">
        <v>Bangladesh</v>
      </c>
      <c r="D13" s="5">
        <v>9</v>
      </c>
      <c r="E13" s="4">
        <v>1382</v>
      </c>
    </row>
    <row r="14" ht="45" customHeight="1">
      <c r="A14" s="4" t="str">
        <v>AOW03: Digital Futures</v>
      </c>
      <c r="B14" s="4" t="str">
        <v>IFPRI</v>
      </c>
      <c r="C14" s="4" t="str">
        <v>China</v>
      </c>
      <c r="D14" s="5">
        <v>9</v>
      </c>
      <c r="E14" s="4">
        <v>1383</v>
      </c>
    </row>
    <row r="15" ht="45" customHeight="1">
      <c r="A15" s="4" t="str">
        <v>AOW03: Digital Futures</v>
      </c>
      <c r="B15" s="4" t="str">
        <v>IFPRI</v>
      </c>
      <c r="C15" s="4" t="str">
        <v>Egypt</v>
      </c>
      <c r="D15" s="5">
        <v>9</v>
      </c>
      <c r="E15" s="4">
        <v>1384</v>
      </c>
    </row>
    <row r="16" ht="45" customHeight="1">
      <c r="A16" s="4" t="str">
        <v>AOW03: Digital Futures</v>
      </c>
      <c r="B16" s="4" t="str">
        <v>IFPRI</v>
      </c>
      <c r="C16" s="4" t="str">
        <v>Ethiopia</v>
      </c>
      <c r="D16" s="5">
        <v>9</v>
      </c>
      <c r="E16" s="4">
        <v>1385</v>
      </c>
    </row>
    <row r="17" ht="45" customHeight="1">
      <c r="A17" s="4" t="str">
        <v>AOW03: Digital Futures</v>
      </c>
      <c r="B17" s="4" t="str">
        <v>IFPRI</v>
      </c>
      <c r="C17" s="4" t="str">
        <v>Ghana</v>
      </c>
      <c r="D17" s="5">
        <v>9</v>
      </c>
      <c r="E17" s="4">
        <v>1386</v>
      </c>
    </row>
    <row r="18" ht="45" customHeight="1">
      <c r="A18" s="4" t="str">
        <v>AOW03: Digital Futures</v>
      </c>
      <c r="B18" s="4" t="str">
        <v>IFPRI</v>
      </c>
      <c r="C18" s="4" t="str">
        <v>India</v>
      </c>
      <c r="D18" s="5">
        <v>9</v>
      </c>
      <c r="E18" s="4">
        <v>1387</v>
      </c>
    </row>
    <row r="19" ht="45" customHeight="1">
      <c r="A19" s="4" t="str">
        <v>AOW03: Digital Futures</v>
      </c>
      <c r="B19" s="4" t="str">
        <v>IFPRI</v>
      </c>
      <c r="C19" s="4" t="str">
        <v>Kenya</v>
      </c>
      <c r="D19" s="5">
        <v>9</v>
      </c>
      <c r="E19" s="4">
        <v>1388</v>
      </c>
    </row>
    <row r="20" ht="45" customHeight="1">
      <c r="A20" s="4" t="str">
        <v>AOW03: Digital Futures</v>
      </c>
      <c r="B20" s="4" t="str">
        <v>IFPRI</v>
      </c>
      <c r="C20" s="4" t="str">
        <v>Malawi</v>
      </c>
      <c r="D20" s="5">
        <v>9</v>
      </c>
      <c r="E20" s="4">
        <v>1389</v>
      </c>
    </row>
    <row r="21" ht="45" customHeight="1">
      <c r="A21" s="4" t="str">
        <v>AOW03: Digital Futures</v>
      </c>
      <c r="B21" s="4" t="str">
        <v>IFPRI</v>
      </c>
      <c r="C21" s="4" t="str">
        <v>Nigeria</v>
      </c>
      <c r="D21" s="5">
        <v>9</v>
      </c>
      <c r="E21" s="4">
        <v>1390</v>
      </c>
    </row>
    <row r="22" ht="45" customHeight="1">
      <c r="A22" s="4" t="str">
        <v>AOW03: Digital Futures</v>
      </c>
      <c r="B22" s="4" t="str">
        <v>IFPRI</v>
      </c>
      <c r="C22" s="4" t="str">
        <v>Senegal</v>
      </c>
      <c r="D22" s="5">
        <v>9</v>
      </c>
      <c r="E22" s="4">
        <v>1391</v>
      </c>
    </row>
    <row r="23" ht="45" customHeight="1">
      <c r="A23" s="4" t="str">
        <v>AOW03: Digital Futures</v>
      </c>
      <c r="B23" s="4" t="str">
        <v>IFPRI</v>
      </c>
      <c r="C23" s="4" t="str">
        <v>United States of America</v>
      </c>
      <c r="D23" s="5">
        <v>10</v>
      </c>
      <c r="E23" s="4">
        <v>1392</v>
      </c>
    </row>
    <row r="24" ht="45" customHeight="1">
      <c r="A24" s="8" t="str">
        <v>AOW04: Enabling Environment</v>
      </c>
      <c r="B24" s="4" t="str">
        <v>IFPRI</v>
      </c>
      <c r="C24" s="4" t="str">
        <v>Bangladesh</v>
      </c>
      <c r="D24" s="5">
        <v>3</v>
      </c>
      <c r="E24" s="4">
        <v>1462</v>
      </c>
    </row>
    <row r="25" ht="45" customHeight="1">
      <c r="A25" s="4" t="str">
        <v>AOW04: Enabling Environment</v>
      </c>
      <c r="B25" s="4" t="str">
        <v>IFPRI</v>
      </c>
      <c r="C25" s="4" t="str">
        <v>China</v>
      </c>
      <c r="D25" s="5">
        <v>5.5</v>
      </c>
      <c r="E25" s="4">
        <v>1463</v>
      </c>
    </row>
    <row r="26" ht="45" customHeight="1">
      <c r="A26" s="4" t="str">
        <v>AOW04: Enabling Environment</v>
      </c>
      <c r="B26" s="4" t="str">
        <v>IFPRI</v>
      </c>
      <c r="C26" s="4" t="str">
        <v>Egypt</v>
      </c>
      <c r="D26" s="5">
        <v>5.5</v>
      </c>
      <c r="E26" s="4">
        <v>1464</v>
      </c>
    </row>
    <row r="27" ht="45" customHeight="1">
      <c r="A27" s="4" t="str">
        <v>AOW04: Enabling Environment</v>
      </c>
      <c r="B27" s="4" t="str">
        <v>IFPRI</v>
      </c>
      <c r="C27" s="4" t="str">
        <v>Ethiopia</v>
      </c>
      <c r="D27" s="5">
        <v>5</v>
      </c>
      <c r="E27" s="4">
        <v>1465</v>
      </c>
    </row>
    <row r="28" ht="45" customHeight="1">
      <c r="A28" s="4" t="str">
        <v>AOW04: Enabling Environment</v>
      </c>
      <c r="B28" s="4" t="str">
        <v>IFPRI</v>
      </c>
      <c r="C28" s="4" t="str">
        <v>Ghana</v>
      </c>
      <c r="D28" s="5">
        <v>2.5</v>
      </c>
      <c r="E28" s="4">
        <v>1466</v>
      </c>
    </row>
    <row r="29" ht="45" customHeight="1">
      <c r="A29" s="4" t="str">
        <v>AOW04: Enabling Environment</v>
      </c>
      <c r="B29" s="4" t="str">
        <v>IFPRI</v>
      </c>
      <c r="C29" s="4" t="str">
        <v>India</v>
      </c>
      <c r="D29" s="5">
        <v>5.5</v>
      </c>
      <c r="E29" s="4">
        <v>1458</v>
      </c>
    </row>
    <row r="30" ht="45" customHeight="1">
      <c r="A30" s="4" t="str">
        <v>AOW04: Enabling Environment</v>
      </c>
      <c r="B30" s="4" t="str">
        <v>IFPRI</v>
      </c>
      <c r="C30" s="4" t="str">
        <v>Kenya</v>
      </c>
      <c r="D30" s="5">
        <v>12</v>
      </c>
      <c r="E30" s="4">
        <v>1457</v>
      </c>
    </row>
    <row r="31" ht="45" customHeight="1">
      <c r="A31" s="4" t="str">
        <v>AOW04: Enabling Environment</v>
      </c>
      <c r="B31" s="4" t="str">
        <v>IFPRI</v>
      </c>
      <c r="C31" s="4" t="str">
        <v>Malawi</v>
      </c>
      <c r="D31" s="5">
        <v>2.5</v>
      </c>
      <c r="E31" s="4">
        <v>1459</v>
      </c>
    </row>
    <row r="32" ht="45" customHeight="1">
      <c r="A32" s="4" t="str">
        <v>AOW04: Enabling Environment</v>
      </c>
      <c r="B32" s="4" t="str">
        <v>IFPRI</v>
      </c>
      <c r="C32" s="4" t="str">
        <v>Nigeria</v>
      </c>
      <c r="D32" s="5">
        <v>5.5</v>
      </c>
      <c r="E32" s="4">
        <v>1460</v>
      </c>
    </row>
    <row r="33" ht="45" customHeight="1">
      <c r="A33" s="4" t="str">
        <v>AOW04: Enabling Environment</v>
      </c>
      <c r="B33" s="4" t="str">
        <v>IFPRI</v>
      </c>
      <c r="C33" s="4" t="str">
        <v>Senegal</v>
      </c>
      <c r="D33" s="5">
        <v>3</v>
      </c>
      <c r="E33" s="4">
        <v>1461</v>
      </c>
    </row>
    <row r="34" ht="45" customHeight="1">
      <c r="A34" s="4" t="str">
        <v>AOW04: Enabling Environment</v>
      </c>
      <c r="B34" s="4" t="str">
        <v>IFPRI</v>
      </c>
      <c r="C34" s="4" t="str">
        <v>United States of America</v>
      </c>
      <c r="D34" s="5">
        <v>50</v>
      </c>
      <c r="E34" s="4">
        <v>1456</v>
      </c>
    </row>
  </sheetData>
  <mergeCells count="5">
    <mergeCell ref="A2:A3"/>
    <mergeCell ref="A4"/>
    <mergeCell ref="A5:A12"/>
    <mergeCell ref="A13:A23"/>
    <mergeCell ref="A24:A34"/>
  </mergeCells>
  <ignoredErrors>
    <ignoredError numberStoredAsText="1" sqref="A1:E34"/>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IFPRI</v>
      </c>
      <c r="C2" s="4" t="str">
        <v>Global</v>
      </c>
      <c r="D2" s="4" t="str">
        <v>global</v>
      </c>
      <c r="E2" s="5">
        <v>100</v>
      </c>
      <c r="F2" s="4">
        <v>1671</v>
      </c>
    </row>
    <row r="3" ht="45" customHeight="1">
      <c r="A3" s="8" t="str">
        <v>AOW01: Data Ecosystem</v>
      </c>
      <c r="B3" s="4" t="str">
        <v>IFPRI</v>
      </c>
      <c r="C3" s="4" t="str">
        <v>Global</v>
      </c>
      <c r="D3" s="4" t="str">
        <v>global</v>
      </c>
      <c r="E3" s="5">
        <v>100</v>
      </c>
      <c r="F3" s="4">
        <v>449</v>
      </c>
    </row>
    <row r="4" ht="45" customHeight="1">
      <c r="A4" s="8" t="str">
        <v>AOW02: Action Lab</v>
      </c>
      <c r="B4" s="4" t="str">
        <v>IFPRI</v>
      </c>
      <c r="C4" s="4" t="str">
        <v>Global</v>
      </c>
      <c r="D4" s="4" t="str">
        <v>global</v>
      </c>
      <c r="E4" s="5">
        <v>100</v>
      </c>
      <c r="F4" s="4">
        <v>465</v>
      </c>
    </row>
    <row r="5" ht="45" customHeight="1">
      <c r="A5" s="8" t="str">
        <v>AOW03: Digital Futures</v>
      </c>
      <c r="B5" s="4" t="str">
        <v>IFPRI</v>
      </c>
      <c r="C5" s="4" t="str">
        <v>Global</v>
      </c>
      <c r="D5" s="4" t="str">
        <v>global</v>
      </c>
      <c r="E5" s="5">
        <v>100</v>
      </c>
      <c r="F5" s="4">
        <v>491</v>
      </c>
    </row>
    <row r="6" ht="45" customHeight="1">
      <c r="A6" s="8" t="str">
        <v>AOW04: Enabling Environment</v>
      </c>
      <c r="B6" s="4" t="str">
        <v>IFPRI</v>
      </c>
      <c r="C6" s="4" t="str">
        <v>Global</v>
      </c>
      <c r="D6" s="4" t="str">
        <v>global</v>
      </c>
      <c r="E6" s="5">
        <v>100</v>
      </c>
      <c r="F6" s="4">
        <v>514</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