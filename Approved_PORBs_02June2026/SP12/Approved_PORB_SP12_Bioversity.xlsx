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40000</v>
      </c>
      <c r="K4" s="5">
        <v>40000</v>
      </c>
      <c r="L4" s="5">
        <v>0</v>
      </c>
      <c r="M4" s="5">
        <v>0</v>
      </c>
      <c r="N4" s="4">
        <v>219</v>
      </c>
    </row>
    <row r="5" ht="20" customHeight="1">
      <c r="A5" s="4" t="str">
        <v>AOW01: Data Ecosystem</v>
      </c>
      <c r="B5" s="5">
        <v>2</v>
      </c>
      <c r="C5" s="5">
        <v>20000</v>
      </c>
      <c r="D5" s="5">
        <v>7</v>
      </c>
      <c r="E5" s="5">
        <v>64032</v>
      </c>
      <c r="F5" s="5">
        <v>20</v>
      </c>
      <c r="G5" s="5">
        <v>6000</v>
      </c>
      <c r="H5" s="5">
        <v>0</v>
      </c>
      <c r="I5" s="5">
        <v>0</v>
      </c>
      <c r="J5" s="5">
        <v>90032</v>
      </c>
      <c r="K5" s="5">
        <v>90032</v>
      </c>
      <c r="L5" s="5">
        <v>0</v>
      </c>
      <c r="M5" s="5">
        <v>0</v>
      </c>
      <c r="N5" s="4">
        <v>215</v>
      </c>
    </row>
    <row r="6" ht="20" customHeight="1">
      <c r="A6" s="4" t="str">
        <v>AOW02: Action Lab</v>
      </c>
      <c r="B6" s="5">
        <v>3</v>
      </c>
      <c r="C6" s="5">
        <v>82015</v>
      </c>
      <c r="D6" s="5">
        <v>1</v>
      </c>
      <c r="E6" s="5">
        <v>21000</v>
      </c>
      <c r="F6" s="5">
        <v>30</v>
      </c>
      <c r="G6" s="5">
        <v>16000</v>
      </c>
      <c r="H6" s="5">
        <v>1</v>
      </c>
      <c r="I6" s="5">
        <v>21000</v>
      </c>
      <c r="J6" s="5">
        <v>140015</v>
      </c>
      <c r="K6" s="5">
        <v>140015</v>
      </c>
      <c r="L6" s="5">
        <v>0</v>
      </c>
      <c r="M6" s="5">
        <v>0</v>
      </c>
      <c r="N6" s="4">
        <v>216</v>
      </c>
    </row>
    <row r="7" ht="20" customHeight="1">
      <c r="A7" s="4" t="str">
        <v>AOW03: Digital Futures</v>
      </c>
      <c r="B7" s="5">
        <v>3</v>
      </c>
      <c r="C7" s="5">
        <v>43280</v>
      </c>
      <c r="D7" s="5">
        <v>2</v>
      </c>
      <c r="E7" s="5">
        <v>23116</v>
      </c>
      <c r="F7" s="5">
        <v>0</v>
      </c>
      <c r="G7" s="5">
        <v>0</v>
      </c>
      <c r="H7" s="5">
        <v>0</v>
      </c>
      <c r="I7" s="5">
        <v>0</v>
      </c>
      <c r="J7" s="5">
        <v>66396</v>
      </c>
      <c r="K7" s="5">
        <v>66396</v>
      </c>
      <c r="L7" s="5">
        <v>0</v>
      </c>
      <c r="M7" s="5">
        <v>0</v>
      </c>
      <c r="N7" s="4">
        <v>218</v>
      </c>
    </row>
    <row r="8" ht="20" customHeight="1">
      <c r="A8" s="4" t="str">
        <v>AOW04: Enabling Environment</v>
      </c>
      <c r="B8" s="5">
        <v>2</v>
      </c>
      <c r="C8" s="5">
        <v>35000</v>
      </c>
      <c r="D8" s="5">
        <v>3</v>
      </c>
      <c r="E8" s="5">
        <v>72743</v>
      </c>
      <c r="F8" s="5">
        <v>15</v>
      </c>
      <c r="G8" s="5">
        <v>25000</v>
      </c>
      <c r="H8" s="5">
        <v>1</v>
      </c>
      <c r="I8" s="5">
        <v>25000</v>
      </c>
      <c r="J8" s="5">
        <v>157743</v>
      </c>
      <c r="K8" s="5">
        <v>157743</v>
      </c>
      <c r="L8" s="5">
        <v>0</v>
      </c>
      <c r="M8" s="5">
        <v>0</v>
      </c>
      <c r="N8" s="4">
        <v>217</v>
      </c>
    </row>
    <row r="9" ht="25" customHeight="1">
      <c r="A9" s="6" t="str">
        <v>Total</v>
      </c>
      <c r="B9" s="7" t="str">
        <v/>
      </c>
      <c r="C9" s="7">
        <v>180295</v>
      </c>
      <c r="D9" s="7" t="str">
        <v/>
      </c>
      <c r="E9" s="7">
        <v>180891</v>
      </c>
      <c r="F9" s="7" t="str">
        <v/>
      </c>
      <c r="G9" s="7">
        <v>47000</v>
      </c>
      <c r="H9" s="7" t="str">
        <v/>
      </c>
      <c r="I9" s="7">
        <v>46000</v>
      </c>
      <c r="J9" s="7">
        <v>494186</v>
      </c>
      <c r="K9" s="7">
        <v>494186</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Bioversity (Alliance)</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2</v>
      </c>
      <c r="H3" s="5">
        <v>20000</v>
      </c>
      <c r="I3"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
</v>
      </c>
      <c r="J3" s="4">
        <v>6411</v>
      </c>
    </row>
    <row r="4" ht="50" customHeight="1" xml:space="preserve">
      <c r="B4" s="4" t="str">
        <v>Bioversity (Alliance)</v>
      </c>
      <c r="D4" s="4" t="str">
        <v>Number of individuals capacitated to create, collect, analyze and ethically use  FAIR and AI-ready data and digital solutions.</v>
      </c>
      <c r="E4" s="4" t="str">
        <v>Number of people trained (capacity sharing for development)</v>
      </c>
      <c r="F4" s="4" t="str">
        <v>Zambia, Timor-Leste, India, Colombia, Egypt, Philippines, Bangladesh, Ethiopia, Nigeria, Peru, Malaysia, Guatemala, Ghana, Kenya, France</v>
      </c>
      <c r="G4" s="5">
        <v>20</v>
      </c>
      <c r="H4" s="5">
        <v>6000</v>
      </c>
      <c r="I4"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
</v>
      </c>
      <c r="J4" s="4">
        <v>6429</v>
      </c>
    </row>
    <row r="5" ht="50" customHeight="1" xml:space="preserve">
      <c r="B5" s="4" t="str">
        <v>Bioversity (Alliance)</v>
      </c>
      <c r="D5" s="4" t="str">
        <v>Number of guidelines, training material and other support documents to foster and change culture around the creation, collection, analysis and ethical use of FAIR and AI-ready data and digital solutions.</v>
      </c>
      <c r="E5" s="4" t="str">
        <v>Number of knowledge products</v>
      </c>
      <c r="F5" s="4" t="str">
        <v>Sri Lanka, Mexico, India, Pakistan, Peru, South Africa, Philippines, Kenya, Rwanda, Tanzania, United Republic</v>
      </c>
      <c r="G5" s="5">
        <v>2</v>
      </c>
      <c r="H5" s="5">
        <v>14000</v>
      </c>
      <c r="I5"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willingness
</v>
      </c>
      <c r="J5" s="4">
        <v>6443</v>
      </c>
    </row>
    <row r="6" ht="50" customHeight="1" xml:space="preserve">
      <c r="A6" s="4" t="str">
        <v>AOW01: Data Ecosystem</v>
      </c>
      <c r="B6" s="4" t="str">
        <v>Bioversity (Alliance)</v>
      </c>
      <c r="C6" s="4" t="str">
        <v>HLO 1.3: Established governance strategies and frameworks to strengthen data and digital management and drive culture change across CGIAR Centers.</v>
      </c>
      <c r="D6" s="4" t="str">
        <v>Number of governance and incentive strategies and frameworks on data &amp; digital management and culture change at CGIAR level</v>
      </c>
      <c r="E6" s="4" t="str">
        <v>Number of knowledge products</v>
      </c>
      <c r="F6" s="4" t="str">
        <v>Côte d'Ivoire, Sri Lanka, Pakistan, Philippines, United States of America, Peru, India, Egypt, Mexico, Malaysia, South Africa, Kenya, France</v>
      </c>
      <c r="G6" s="5">
        <v>3</v>
      </c>
      <c r="H6" s="5">
        <v>30000</v>
      </c>
      <c r="I6"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willingness
</v>
      </c>
      <c r="J6" s="4">
        <v>6457</v>
      </c>
    </row>
    <row r="7" ht="50" customHeight="1" xml:space="preserve">
      <c r="A7" s="4" t="str">
        <v>AOW01: Data Ecosystem</v>
      </c>
      <c r="B7" s="4" t="str">
        <v>Bioversity (Alliance)</v>
      </c>
      <c r="C7" s="4" t="str">
        <v xml:space="preserve">HLO 1.2: Established standards-compliant FAIR data corpus enabling an open, secure analytics ecosystem. </v>
      </c>
      <c r="D7" s="4" t="str">
        <v>Number of standardized, FAIR and AI-ready datasets.</v>
      </c>
      <c r="E7" s="4" t="str">
        <v>Number of knowledge products</v>
      </c>
      <c r="F7" s="4" t="str">
        <v>Timor-Leste, Zambia, Kenya, Nigeria, Colombia, Pakistan, Mexico, India, Sri Lanka, Philippines, Peru, United States of America, Malaysia, Ghana, South Africa, Côte d'Ivoire</v>
      </c>
      <c r="G7" s="5">
        <v>2</v>
      </c>
      <c r="H7" s="5">
        <v>20032</v>
      </c>
      <c r="I7" s="4" t="str" xml:space="preserve">
        <v xml:space="preserve">This deliverable assumes that CGIAR centers have sufficient institutional commitment, technical capacity, and infrastructure to adopt Open and FAIR data practices. Risk: Data quality, legal constraints, inconsistent curation practices, or staff willingness
</v>
      </c>
      <c r="J7" s="4">
        <v>7262</v>
      </c>
    </row>
    <row r="8" ht="25" customHeight="1">
      <c r="C8" s="9" t="str">
        <v>HLO budget subtotal</v>
      </c>
      <c r="H8" s="9">
        <v>90032</v>
      </c>
      <c r="J8" s="9" t="str">
        <v/>
      </c>
    </row>
    <row r="9" ht="50" customHeight="1" xml:space="preserve">
      <c r="A9" s="8" t="str">
        <v>AOW02: Action Lab</v>
      </c>
      <c r="B9" s="4" t="str">
        <v>Bioversity (Alliance)</v>
      </c>
      <c r="C9" s="4" t="str">
        <v>HLO 2.3:  Breeding programs use AI-powered phenotyping to accelerate trait discovery and breeding cycles.</v>
      </c>
      <c r="D9" s="4" t="str" xml:space="preserve">
        <v xml:space="preserve">ABC 13: Number of prototype AI-powered tools for late-stage variety testing integrated with agroclimatic datasets
</v>
      </c>
      <c r="E9" s="4" t="str">
        <v>custom</v>
      </c>
      <c r="F9" s="4" t="str">
        <v>Tanzania, United Republic, Kenya, Rwanda</v>
      </c>
      <c r="G9" s="5">
        <v>1</v>
      </c>
      <c r="H9" s="5">
        <v>21000</v>
      </c>
      <c r="I9" s="4" t="str" xml:space="preserve">
        <v xml:space="preserve">Most of the funds will be used to staff time to test and validate the tool developed in the deliverable above. This includes work on developing scripts and workflows connecting the data and the AI tool.
</v>
      </c>
      <c r="J9" s="4">
        <v>6381</v>
      </c>
    </row>
    <row r="10" ht="50" customHeight="1" xml:space="preserve">
      <c r="B10" s="4" t="str">
        <v>Bioversity (Alliance)</v>
      </c>
      <c r="D10" s="4" t="str" xml:space="preserve">
        <v xml:space="preserve">ABC 15: Number of standardized operational guidelines published for responsible AI breeding tool use and product advancement
</v>
      </c>
      <c r="E10" s="4" t="str">
        <v>Number of knowledge products</v>
      </c>
      <c r="F10" s="4" t="str">
        <v>Rwanda, Tanzania, United Republic, Kenya</v>
      </c>
      <c r="G10" s="5">
        <v>1</v>
      </c>
      <c r="H10" s="5">
        <v>21000</v>
      </c>
      <c r="I10" s="4" t="str" xml:space="preserve">
        <v xml:space="preserve">Funds will be allocated to staff time to document the tools and implement the training materials to be shared with breeding teams. This also includes workshops to co-design the training materials.
</v>
      </c>
      <c r="J10" s="4">
        <v>6382</v>
      </c>
    </row>
    <row r="11" ht="50" customHeight="1" xml:space="preserve">
      <c r="B11" s="4" t="str">
        <v>Bioversity (Alliance)</v>
      </c>
      <c r="D11" s="4" t="str" xml:space="preserve">
        <v xml:space="preserve">ABC 16: Number of breeders trained on standardized metadata guidance for AI-powered late-stage variety testing tools
</v>
      </c>
      <c r="E11" s="4" t="str">
        <v>Number of people trained (capacity sharing for development)</v>
      </c>
      <c r="F11" s="4" t="str">
        <v>Tanzania, United Republic, Rwanda, Kenya</v>
      </c>
      <c r="G11" s="5">
        <v>30</v>
      </c>
      <c r="H11" s="5">
        <v>16000</v>
      </c>
      <c r="I11" s="4" t="str" xml:space="preserve">
        <v xml:space="preserve">Funds will be used to do workshops with breeding teams (ideally in Nairobi) to design the tool and validate the approach and train the breeding teams. Staff time is also allocated to coordinate this work.
</v>
      </c>
      <c r="J11" s="4">
        <v>6383</v>
      </c>
    </row>
    <row r="12" ht="50" customHeight="1" xml:space="preserve">
      <c r="B12" s="4" t="str">
        <v>Bioversity (Alliance)</v>
      </c>
      <c r="D12" s="4" t="str">
        <v>ABC 11: Number of prototype AI-powered tools enabling image–audio capture and multilingual automated speech recognition for field phenotyping</v>
      </c>
      <c r="E12" s="4" t="str">
        <v>Number of innovations (innovation development)</v>
      </c>
      <c r="F12" s="4" t="str">
        <v>Kenya, Rwanda, Tanzania, United Republic</v>
      </c>
      <c r="G12" s="5">
        <v>1</v>
      </c>
      <c r="H12" s="5">
        <v>43015</v>
      </c>
      <c r="I12" s="4" t="str" xml:space="preserve">
        <v xml:space="preserve">Funds will be used to outsource an AI company or obtain tokens to link our database with AI tools. Some staff time will be required to supervise and implement this work.
</v>
      </c>
      <c r="J12" s="4">
        <v>6384</v>
      </c>
    </row>
    <row r="13" ht="50" customHeight="1" xml:space="preserve">
      <c r="B13" s="4" t="str">
        <v>Bioversity (Alliance)</v>
      </c>
      <c r="D13" s="4" t="str" xml:space="preserve">
        <v xml:space="preserve">ABC 12: Number of prototype AI-powered tools for late-stage variety testing integrated with on-farm trial data pipelines
</v>
      </c>
      <c r="E13" s="4" t="str">
        <v>Number of innovations (innovation development)</v>
      </c>
      <c r="F13" s="4" t="str">
        <v>Rwanda, Tanzania, United Republic, Kenya</v>
      </c>
      <c r="G13" s="5">
        <v>1</v>
      </c>
      <c r="H13" s="5">
        <v>20000</v>
      </c>
      <c r="I13" s="4" t="str" xml:space="preserve">
        <v xml:space="preserve">Most of the funds will be used to staff time to test and validate the tool developed in the deliverable above. This includes work on developing scripts and workflows connecting the data and the AI tool
</v>
      </c>
      <c r="J13" s="4">
        <v>6385</v>
      </c>
    </row>
    <row r="14" ht="50" customHeight="1" xml:space="preserve">
      <c r="B14" s="4" t="str">
        <v>Bioversity (Alliance)</v>
      </c>
      <c r="D14" s="4" t="str" xml:space="preserve">
        <v xml:space="preserve">ABC 14: Number of functional AI-powered breeding tools developed and piloted for late-stage variety testing across data sources
</v>
      </c>
      <c r="E14" s="4" t="str">
        <v>Number of innovations (innovation development)</v>
      </c>
      <c r="F14" s="4" t="str">
        <v>Kenya, Tanzania, United Republic, Rwanda</v>
      </c>
      <c r="G14" s="5">
        <v>1</v>
      </c>
      <c r="H14" s="5">
        <v>19000</v>
      </c>
      <c r="I14" s="4" t="str" xml:space="preserve">
        <v xml:space="preserve">Funds will be used to do workshops with breeding teams (ideally in Nairobi) to design the tool and validate the approach. Staff time is also allocated to coordinate this work.
</v>
      </c>
      <c r="J14" s="4">
        <v>6386</v>
      </c>
    </row>
    <row r="15" ht="50" customHeight="1">
      <c r="A15" s="4" t="str">
        <v>AOW02: Action Lab</v>
      </c>
      <c r="B15" s="4" t="str">
        <v>Bioversity (Alliance)</v>
      </c>
      <c r="C15" s="4" t="str">
        <v>HLO 2.1: Research integrates AI analytics, remote sensing, and digital technologies to enhance modeling, evidence generation, and environmental monitoring at scale.</v>
      </c>
      <c r="D15" s="4" t="str">
        <v>Number of geospatial use cases, including datasets, documentation, and intended outcome</v>
      </c>
      <c r="E15" s="4" t="str">
        <v>Number of knowledge products</v>
      </c>
      <c r="F15" s="4" t="str">
        <v>United States of America, Tanzania, United Republic, Kenya, Malaysia, Mexico, India, Nigeria, Ghana, Sri Lanka, Mozambique, Peru, Colombia, Philippines, Rwanda, Ethiopia</v>
      </c>
      <c r="G15" s="5">
        <v>1</v>
      </c>
      <c r="H15" s="5">
        <v>0</v>
      </c>
      <c r="I15" s="4" t="str">
        <v/>
      </c>
      <c r="J15" s="4">
        <v>7354</v>
      </c>
    </row>
    <row r="16" ht="25" customHeight="1">
      <c r="C16" s="9" t="str">
        <v>HLO budget subtotal</v>
      </c>
      <c r="H16" s="9">
        <v>140015</v>
      </c>
      <c r="J16" s="9" t="str">
        <v/>
      </c>
    </row>
    <row r="17" ht="50" customHeight="1" xml:space="preserve">
      <c r="A17" s="8" t="str">
        <v>AOW03: Digital Futures</v>
      </c>
      <c r="B17" s="4" t="str">
        <v>Bioversity (Alliance)</v>
      </c>
      <c r="C17" s="4" t="str">
        <v>HLO 3.2: Future case scenarios identified for digital transformation in FWL systems in addressing context-specific challenges and opportunities.</v>
      </c>
      <c r="D17" s="4" t="str">
        <v>ABC 21: Number of reports and other ICT materials produced with Future case scenarios identified for digital transformation to build awareness of frontier digital technology opportunities and risks.</v>
      </c>
      <c r="E17" s="4" t="str">
        <v>Number of knowledge products</v>
      </c>
      <c r="F17" s="4" t="str">
        <v>France, Colombia</v>
      </c>
      <c r="G17" s="5">
        <v>1</v>
      </c>
      <c r="H17" s="5">
        <v>10116</v>
      </c>
      <c r="I17" s="4" t="str" xml:space="preserve">
        <v xml:space="preserve">1. Assumes that Centers maintain engagement and dedicate both staff time and operational resources (travel, workshop organization, and communication) to foresight activities 2. Reduced participation due to competing priorities, lack of co-investment.
</v>
      </c>
      <c r="J17" s="4">
        <v>6304</v>
      </c>
    </row>
    <row r="18" ht="50" customHeight="1" xml:space="preserve">
      <c r="B18" s="4" t="str">
        <v>Bioversity (Alliance)</v>
      </c>
      <c r="D18" s="4" t="str">
        <v>ABC 20: Number of integrated platforms or systems enabling secure, FAIR, and AI-ready data access and analytics.</v>
      </c>
      <c r="E18" s="4" t="str">
        <v>Number of knowledge products</v>
      </c>
      <c r="F18" s="4" t="str">
        <v>France</v>
      </c>
      <c r="G18" s="5">
        <v>1</v>
      </c>
      <c r="H18" s="5">
        <v>13000</v>
      </c>
      <c r="I18" s="4" t="str" xml:space="preserve">
        <v xml:space="preserve">1. Implementation assumes collaboration and technical inputs from partner Centers (CIP, IWMI, ICRISAT, WorldFish) and access to share digital assets, information. 2. limited interoperability across Centers’ data systems 3. potential delays in AI tool integration. 
</v>
      </c>
      <c r="J18" s="4">
        <v>6305</v>
      </c>
    </row>
    <row r="19" ht="50" customHeight="1" xml:space="preserve">
      <c r="A19" s="4" t="str">
        <v>AOW03: Digital Futures</v>
      </c>
      <c r="B19" s="4" t="str">
        <v>Bioversity (Alliance)</v>
      </c>
      <c r="C19" s="4" t="str">
        <v>HLO 3.1: Probes of a wide range of AI and/or other novel digital solutions to generate early evidence on digital frontier technology impacts, for decision making.</v>
      </c>
      <c r="D19" s="4" t="str">
        <v>ABC 23: Number of interactive digital platforms developed to visualize key technologies, maturity levels, and use cases.</v>
      </c>
      <c r="E19" s="4" t="str">
        <v>Number of innovations (innovation development)</v>
      </c>
      <c r="F19" s="4" t="str">
        <v>France</v>
      </c>
      <c r="G19" s="5">
        <v>1</v>
      </c>
      <c r="H19" s="5">
        <v>14500</v>
      </c>
      <c r="I19" s="4" t="str" xml:space="preserve">
        <v xml:space="preserve">Key assumptions and risk factors:  1.Assumes availability of specialized consultants for platform development and sustained engagement from Centers to contribute content and use cases. 2.derestimation of technical complexity
</v>
      </c>
      <c r="J19" s="4">
        <v>6398</v>
      </c>
    </row>
    <row r="20" ht="50" customHeight="1" xml:space="preserve">
      <c r="B20" s="4" t="str">
        <v>Bioversity (Alliance)</v>
      </c>
      <c r="D20" s="4" t="str">
        <v>ABC 22: Number of probes developed based on future  drivers.</v>
      </c>
      <c r="E20" s="4" t="str">
        <v>Number of innovations (innovation development)</v>
      </c>
      <c r="F20" s="4" t="str">
        <v>Colombia, The Socialist Republic of Viet Nam, Guatemala</v>
      </c>
      <c r="G20" s="5">
        <v>2</v>
      </c>
      <c r="H20" s="5">
        <v>28780</v>
      </c>
      <c r="I20" s="4" t="str" xml:space="preserve">
        <v xml:space="preserve">1. Assumes that Center commit to jointly designing and testing short, exploratory “probes” on emerging technologies 2.  Delivery depends on Centers’ readiness to test early-stage digital innovations and share lessons learned.
</v>
      </c>
      <c r="J20" s="4">
        <v>6400</v>
      </c>
    </row>
    <row r="21" ht="25" customHeight="1">
      <c r="C21" s="9" t="str">
        <v>HLO budget subtotal</v>
      </c>
      <c r="H21" s="9">
        <v>66396</v>
      </c>
      <c r="J21" s="9" t="str">
        <v/>
      </c>
    </row>
    <row r="22" ht="50" customHeight="1" xml:space="preserve">
      <c r="A22" s="8" t="str">
        <v>AOW04: Enabling Environment</v>
      </c>
      <c r="B22" s="4" t="str">
        <v>Bioversity (Alliance)</v>
      </c>
      <c r="C22" s="4" t="str">
        <v>HLO 4.2:  Applied tools, frameworks, methods, guidelines and prototypes developed to support responsible, inclusive, and user-centered digital innovation across FLW systems.</v>
      </c>
      <c r="D22" s="4" t="str">
        <v>ABC 28: The number of reusable frameworks or innovations developed to support the Human-Centered Design digital innovations.</v>
      </c>
      <c r="E22" s="4" t="str">
        <v>Number of innovations (innovation development)</v>
      </c>
      <c r="F22" s="4" t="str">
        <v>Colombia, Kenya, Guatemala, Germany, France</v>
      </c>
      <c r="G22" s="5">
        <v>2</v>
      </c>
      <c r="H22" s="5">
        <v>35000</v>
      </c>
      <c r="I22" s="4" t="str" xml:space="preserve">
        <v xml:space="preserve">Personnel 67%: This includes coordination of the HCD Community of Practice, design and coordination support to the DTA Center of Excellence for Digital Transformation, leading the HCD component. Additionally, we include PM, PMO and PA support.
</v>
      </c>
      <c r="J22" s="4">
        <v>6357</v>
      </c>
    </row>
    <row r="23" ht="50" customHeight="1">
      <c r="A23" s="4" t="str">
        <v>AOW04: Enabling Environment</v>
      </c>
      <c r="B23" s="4" t="str">
        <v>Bioversity (Alliance)</v>
      </c>
      <c r="C23" s="4" t="str">
        <v>HLO 4.3: Evidence, partnerships, and sustainable pathways for scaling digital innovation and digital public infrastructure in FLW systems generated and tested</v>
      </c>
      <c r="D23" s="4" t="str">
        <v>ABC 27: Number of white papers on inclusive design systems published in the Human-Centered Design Knowledge Hub​.</v>
      </c>
      <c r="E23" s="4" t="str">
        <v>Number of knowledge products</v>
      </c>
      <c r="F23" s="4" t="str">
        <v>Kenya, Colombia, Guatemala, Germany, France</v>
      </c>
      <c r="G23" s="5">
        <v>2</v>
      </c>
      <c r="H23" s="5">
        <v>27743</v>
      </c>
      <c r="I23" s="4" t="str">
        <v xml:space="preserve">Personnel 67%: This includes coordination of the HCD Community of Practice, design and coordination support to the DTA Center of Excellence for Digital Transformation, leading the HCD component. Additionally, we include PM, PMO and PA support. </v>
      </c>
      <c r="J23" s="4">
        <v>6361</v>
      </c>
    </row>
    <row r="24" ht="50" customHeight="1" xml:space="preserve">
      <c r="A24" s="4" t="str">
        <v>AOW04: Enabling Environment</v>
      </c>
      <c r="B24" s="4" t="str">
        <v>Bioversity (Alliance)</v>
      </c>
      <c r="C24" s="4" t="str">
        <v>HLO 4.4: Capacity, participation, and organizational readiness strengthened for responsible, human-centered, and sustainable digital innovation across FLW systems.</v>
      </c>
      <c r="D24" s="4" t="str">
        <v>ABC 25: Number of participants engaged through workshops and related activities to strengthen HCD capacity across CGIAR.</v>
      </c>
      <c r="E24" s="4" t="str">
        <v>Number of people trained (capacity sharing for development)</v>
      </c>
      <c r="F24" s="4" t="str">
        <v>Germany, France, Guatemala</v>
      </c>
      <c r="G24" s="5">
        <v>15</v>
      </c>
      <c r="H24" s="5">
        <v>25000</v>
      </c>
      <c r="I24" s="4" t="str" xml:space="preserve">
        <v xml:space="preserve">Personnel 67%: This includes coordination of the HCD Community of Practice, design and coordination support to the DTA Center of Excellence for Digital Transformation, leading the HCD component. Additionally, we include PM, PMO and PA support.
</v>
      </c>
      <c r="J24" s="4">
        <v>6362</v>
      </c>
    </row>
    <row r="25" ht="50" customHeight="1" xml:space="preserve">
      <c r="A25" s="4" t="str">
        <v>AOW04: Enabling Environment</v>
      </c>
      <c r="B25" s="4" t="str">
        <v>Bioversity (Alliance)</v>
      </c>
      <c r="C25" s="4" t="str">
        <v>HLO 4.1. Communities of practice and collaborative knowledge platforms established to coordinate learning, exchange, and leadership on responsible and inclusive digital innovation across FLW systems.</v>
      </c>
      <c r="D25" s="4" t="str">
        <v>ABC 26: Number of Human-Centered Design Knowledge Hub (UXTools4Ag) enhanced and maintained by delivering a defined product roadmap and expanding content availability to at least two additional languages.</v>
      </c>
      <c r="E25" s="4" t="str">
        <v>custom</v>
      </c>
      <c r="F25" s="4" t="str">
        <v>Colombia, Kenya, Germany, France, Guatemala</v>
      </c>
      <c r="G25" s="5">
        <v>1</v>
      </c>
      <c r="H25" s="5">
        <v>25000</v>
      </c>
      <c r="I25" s="4" t="str" xml:space="preserve">
        <v xml:space="preserve">Personnel 67%: This includes coordination of the HCD Community of Practice, design and coordination support to the DTA Center of Excellence for Digital Transformation, leading the HCD component. Additionally, we include PM, PMO and PA support. 
</v>
      </c>
      <c r="J25" s="4">
        <v>6364</v>
      </c>
    </row>
    <row r="26" ht="50" customHeight="1" xml:space="preserve">
      <c r="B26" s="4" t="str">
        <v>Bioversity (Alliance)</v>
      </c>
      <c r="D26" s="4" t="str">
        <v>ABC 17: The number of frameworks, methods, guidelines developed by the accelerator to catalyze adoption of responsible and inclusive digital and data innovations across FLW systems​.</v>
      </c>
      <c r="E26" s="4" t="str">
        <v>Number of knowledge products</v>
      </c>
      <c r="F26" s="4" t="str">
        <v>Colombia, Tanzania, United Republic, Kenya</v>
      </c>
      <c r="G26" s="5">
        <v>1</v>
      </c>
      <c r="H26" s="5">
        <v>45000</v>
      </c>
      <c r="I26" s="4" t="str" xml:space="preserve">
        <v xml:space="preserve">Successful delivery of the Data Ownership and Consent Toolkit assumes timely completion of community engagement activities in Kenya and Tanzania, availability of local partners to support mobilization. 
</v>
      </c>
      <c r="J26" s="4">
        <v>6375</v>
      </c>
    </row>
    <row r="27" ht="50" customHeight="1">
      <c r="B27" s="4" t="str">
        <v>Bioversity (Alliance)</v>
      </c>
      <c r="D27" s="4" t="str">
        <v>Number of people trained on geospatial foundation models, platforms and/or frameworks</v>
      </c>
      <c r="E27" s="4" t="str">
        <v>Number of people trained (capacity sharing for development)</v>
      </c>
      <c r="F27" s="4" t="str">
        <v>Kenya</v>
      </c>
      <c r="G27" s="5">
        <v>5</v>
      </c>
      <c r="H27" s="5">
        <v>0</v>
      </c>
      <c r="I27" s="4" t="str">
        <v/>
      </c>
      <c r="J27" s="4">
        <v>7359</v>
      </c>
    </row>
    <row r="28" ht="50" customHeight="1">
      <c r="B28" s="4" t="str">
        <v>Bioversity (Alliance)</v>
      </c>
      <c r="D28" s="4" t="str">
        <v xml:space="preserve">Number of individuals capacitated through consortium workshops on Spatial Information (CSI) to coordinate geospatial analysis across the CGIAR </v>
      </c>
      <c r="E28" s="4" t="str">
        <v>Number of people trained (capacity sharing for development)</v>
      </c>
      <c r="F28" s="4" t="str">
        <v>Kenya</v>
      </c>
      <c r="G28" s="5">
        <v>3</v>
      </c>
      <c r="H28" s="5">
        <v>0</v>
      </c>
      <c r="I28" s="4" t="str">
        <v/>
      </c>
      <c r="J28" s="4">
        <v>7375</v>
      </c>
    </row>
    <row r="29" ht="25" customHeight="1">
      <c r="C29" s="9" t="str">
        <v>HLO budget subtotal</v>
      </c>
      <c r="H29" s="9">
        <v>157743</v>
      </c>
      <c r="J29" s="9" t="str">
        <v/>
      </c>
    </row>
  </sheetData>
  <mergeCells count="19">
    <mergeCell ref="A1:A2"/>
    <mergeCell ref="B1:B2"/>
    <mergeCell ref="C1:C2"/>
    <mergeCell ref="D1:H1"/>
    <mergeCell ref="I1:I2"/>
    <mergeCell ref="J1:J2"/>
    <mergeCell ref="C3:C5"/>
    <mergeCell ref="C8:G8"/>
    <mergeCell ref="A3:A8"/>
    <mergeCell ref="C9:C14"/>
    <mergeCell ref="C16:G16"/>
    <mergeCell ref="A9:A16"/>
    <mergeCell ref="C17:C18"/>
    <mergeCell ref="C19:C20"/>
    <mergeCell ref="C21:G21"/>
    <mergeCell ref="A17:A21"/>
    <mergeCell ref="C25:C28"/>
    <mergeCell ref="C29:G29"/>
    <mergeCell ref="A22:A29"/>
  </mergeCells>
  <ignoredErrors>
    <ignoredError numberStoredAsText="1" sqref="A1:J2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Bioversity (Alliance)</v>
      </c>
      <c r="C2" s="4" t="str">
        <v>Area of Work Leads</v>
      </c>
      <c r="D2" s="5">
        <v>40000</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106</v>
      </c>
      <c r="G2" s="4">
        <v>3</v>
      </c>
    </row>
    <row r="3" ht="25" customHeight="1">
      <c r="C3" s="9" t="str">
        <v>Cross-cutting budget subtotal</v>
      </c>
      <c r="D3" s="9">
        <v>40000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40000</v>
      </c>
      <c r="C2" s="5">
        <v>86032</v>
      </c>
      <c r="D2" s="5">
        <v>140015</v>
      </c>
      <c r="E2" s="5">
        <v>57696</v>
      </c>
      <c r="F2" s="5">
        <v>130443</v>
      </c>
      <c r="G2" s="5">
        <f>=SUM(B2:F2)</f>
        <v>0</v>
      </c>
    </row>
    <row r="3" ht="20" customHeight="1">
      <c r="A3" s="4" t="str">
        <v>Operations (supplies, consultants, travels, workshops, other)</v>
      </c>
      <c r="B3" s="5">
        <v>0</v>
      </c>
      <c r="C3" s="5">
        <v>4000</v>
      </c>
      <c r="D3" s="5">
        <v>0</v>
      </c>
      <c r="E3" s="5">
        <v>8700</v>
      </c>
      <c r="F3" s="5">
        <v>27300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France</v>
      </c>
      <c r="D2" s="5">
        <v>100</v>
      </c>
      <c r="E2" s="4">
        <v>3353</v>
      </c>
    </row>
    <row r="3" ht="45" customHeight="1">
      <c r="A3" s="8" t="str">
        <v>AOW01: Data Ecosystem</v>
      </c>
      <c r="B3" s="4" t="str">
        <v>Bioversity (Alliance)</v>
      </c>
      <c r="C3" s="4" t="str">
        <v>Colombia</v>
      </c>
      <c r="D3" s="5">
        <v>45</v>
      </c>
      <c r="E3" s="4">
        <v>1260</v>
      </c>
    </row>
    <row r="4" ht="45" customHeight="1">
      <c r="A4" s="4" t="str">
        <v>AOW01: Data Ecosystem</v>
      </c>
      <c r="B4" s="4" t="str">
        <v>Bioversity (Alliance)</v>
      </c>
      <c r="C4" s="4" t="str">
        <v>France</v>
      </c>
      <c r="D4" s="5">
        <v>40</v>
      </c>
      <c r="E4" s="4">
        <v>1261</v>
      </c>
    </row>
    <row r="5" ht="45" customHeight="1">
      <c r="A5" s="4" t="str">
        <v>AOW01: Data Ecosystem</v>
      </c>
      <c r="B5" s="4" t="str">
        <v>Bioversity (Alliance)</v>
      </c>
      <c r="C5" s="4" t="str">
        <v>Kenya</v>
      </c>
      <c r="D5" s="5">
        <v>5</v>
      </c>
      <c r="E5" s="4">
        <v>1262</v>
      </c>
    </row>
    <row r="6" ht="45" customHeight="1">
      <c r="A6" s="4" t="str">
        <v>AOW01: Data Ecosystem</v>
      </c>
      <c r="B6" s="4" t="str">
        <v>Bioversity (Alliance)</v>
      </c>
      <c r="C6" s="4" t="str">
        <v>Rwanda</v>
      </c>
      <c r="D6" s="5">
        <v>5</v>
      </c>
      <c r="E6" s="4">
        <v>1263</v>
      </c>
    </row>
    <row r="7" ht="45" customHeight="1">
      <c r="A7" s="4" t="str">
        <v>AOW01: Data Ecosystem</v>
      </c>
      <c r="B7" s="4" t="str">
        <v>Bioversity (Alliance)</v>
      </c>
      <c r="C7" s="4" t="str">
        <v>Tanzania</v>
      </c>
      <c r="D7" s="5">
        <v>5</v>
      </c>
      <c r="E7" s="4">
        <v>1264</v>
      </c>
    </row>
    <row r="8" ht="45" customHeight="1">
      <c r="A8" s="8" t="str">
        <v>AOW02: Action Lab</v>
      </c>
      <c r="B8" s="4" t="str">
        <v>Bioversity (Alliance)</v>
      </c>
      <c r="C8" s="4" t="str">
        <v>Kenya</v>
      </c>
      <c r="D8" s="5">
        <v>62.5</v>
      </c>
      <c r="E8" s="4">
        <v>1298</v>
      </c>
    </row>
    <row r="9" ht="45" customHeight="1">
      <c r="A9" s="4" t="str">
        <v>AOW02: Action Lab</v>
      </c>
      <c r="B9" s="4" t="str">
        <v>Bioversity (Alliance)</v>
      </c>
      <c r="C9" s="4" t="str">
        <v>Rwanda</v>
      </c>
      <c r="D9" s="5">
        <v>12.5</v>
      </c>
      <c r="E9" s="4">
        <v>1300</v>
      </c>
    </row>
    <row r="10" ht="45" customHeight="1">
      <c r="A10" s="4" t="str">
        <v>AOW02: Action Lab</v>
      </c>
      <c r="B10" s="4" t="str">
        <v>Bioversity (Alliance)</v>
      </c>
      <c r="C10" s="4" t="str">
        <v>Tanzania</v>
      </c>
      <c r="D10" s="5">
        <v>25</v>
      </c>
      <c r="E10" s="4">
        <v>1299</v>
      </c>
    </row>
    <row r="11" ht="45" customHeight="1">
      <c r="A11" s="8" t="str">
        <v>AOW03: Digital Futures</v>
      </c>
      <c r="B11" s="4" t="str">
        <v>Bioversity (Alliance)</v>
      </c>
      <c r="C11" s="4" t="str">
        <v>Colombia</v>
      </c>
      <c r="D11" s="5">
        <v>22</v>
      </c>
      <c r="E11" s="4">
        <v>1370</v>
      </c>
    </row>
    <row r="12" ht="45" customHeight="1">
      <c r="A12" s="4" t="str">
        <v>AOW03: Digital Futures</v>
      </c>
      <c r="B12" s="4" t="str">
        <v>Bioversity (Alliance)</v>
      </c>
      <c r="C12" s="4" t="str">
        <v>France</v>
      </c>
      <c r="D12" s="5">
        <v>48</v>
      </c>
      <c r="E12" s="4">
        <v>1371</v>
      </c>
    </row>
    <row r="13" ht="45" customHeight="1">
      <c r="A13" s="4" t="str">
        <v>AOW03: Digital Futures</v>
      </c>
      <c r="B13" s="4" t="str">
        <v>Bioversity (Alliance)</v>
      </c>
      <c r="C13" s="4" t="str">
        <v>Guatemala</v>
      </c>
      <c r="D13" s="5">
        <v>15</v>
      </c>
      <c r="E13" s="4">
        <v>1372</v>
      </c>
    </row>
    <row r="14" ht="45" customHeight="1">
      <c r="A14" s="4" t="str">
        <v>AOW03: Digital Futures</v>
      </c>
      <c r="B14" s="4" t="str">
        <v>Bioversity (Alliance)</v>
      </c>
      <c r="C14" s="4" t="str">
        <v>The Socialist Republic of Viet Nam</v>
      </c>
      <c r="D14" s="5">
        <v>15</v>
      </c>
      <c r="E14" s="4">
        <v>1373</v>
      </c>
    </row>
    <row r="15" ht="45" customHeight="1">
      <c r="A15" s="8" t="str">
        <v>AOW04: Enabling Environment</v>
      </c>
      <c r="B15" s="4" t="str">
        <v>Bioversity (Alliance)</v>
      </c>
      <c r="C15" s="4" t="str">
        <v>Colombia</v>
      </c>
      <c r="D15" s="5">
        <v>24</v>
      </c>
      <c r="E15" s="4">
        <v>1429</v>
      </c>
    </row>
    <row r="16" ht="45" customHeight="1">
      <c r="A16" s="4" t="str">
        <v>AOW04: Enabling Environment</v>
      </c>
      <c r="B16" s="4" t="str">
        <v>Bioversity (Alliance)</v>
      </c>
      <c r="C16" s="4" t="str">
        <v>France</v>
      </c>
      <c r="D16" s="5">
        <v>17</v>
      </c>
      <c r="E16" s="4">
        <v>1432</v>
      </c>
    </row>
    <row r="17" ht="45" customHeight="1">
      <c r="A17" s="4" t="str">
        <v>AOW04: Enabling Environment</v>
      </c>
      <c r="B17" s="4" t="str">
        <v>Bioversity (Alliance)</v>
      </c>
      <c r="C17" s="4" t="str">
        <v>Germany</v>
      </c>
      <c r="D17" s="5">
        <v>17</v>
      </c>
      <c r="E17" s="4">
        <v>1433</v>
      </c>
    </row>
    <row r="18" ht="45" customHeight="1">
      <c r="A18" s="4" t="str">
        <v>AOW04: Enabling Environment</v>
      </c>
      <c r="B18" s="4" t="str">
        <v>Bioversity (Alliance)</v>
      </c>
      <c r="C18" s="4" t="str">
        <v>Guatemala</v>
      </c>
      <c r="D18" s="5">
        <v>15</v>
      </c>
      <c r="E18" s="4">
        <v>1434</v>
      </c>
    </row>
    <row r="19" ht="45" customHeight="1">
      <c r="A19" s="4" t="str">
        <v>AOW04: Enabling Environment</v>
      </c>
      <c r="B19" s="4" t="str">
        <v>Bioversity (Alliance)</v>
      </c>
      <c r="C19" s="4" t="str">
        <v>Kenya</v>
      </c>
      <c r="D19" s="5">
        <v>19</v>
      </c>
      <c r="E19" s="4">
        <v>1436</v>
      </c>
    </row>
    <row r="20" ht="45" customHeight="1">
      <c r="A20" s="4" t="str">
        <v>AOW04: Enabling Environment</v>
      </c>
      <c r="B20" s="4" t="str">
        <v>Bioversity (Alliance)</v>
      </c>
      <c r="C20" s="4" t="str">
        <v>Tanzania</v>
      </c>
      <c r="D20" s="5">
        <v>8</v>
      </c>
      <c r="E20" s="4">
        <v>1438</v>
      </c>
    </row>
  </sheetData>
  <mergeCells count="5">
    <mergeCell ref="A2"/>
    <mergeCell ref="A3:A7"/>
    <mergeCell ref="A8:A10"/>
    <mergeCell ref="A11:A14"/>
    <mergeCell ref="A15: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1668</v>
      </c>
    </row>
    <row r="3" ht="45" customHeight="1">
      <c r="A3" s="8" t="str">
        <v>AOW01: Data Ecosystem</v>
      </c>
      <c r="B3" s="4" t="str">
        <v>Bioversity (Alliance)</v>
      </c>
      <c r="C3" s="4" t="str">
        <v>Global</v>
      </c>
      <c r="D3" s="4" t="str">
        <v>global</v>
      </c>
      <c r="E3" s="5">
        <v>100</v>
      </c>
      <c r="F3" s="4">
        <v>443</v>
      </c>
    </row>
    <row r="4" ht="45" customHeight="1">
      <c r="A4" s="8" t="str">
        <v>AOW02: Action Lab</v>
      </c>
      <c r="B4" s="4" t="str">
        <v>Bioversity (Alliance)</v>
      </c>
      <c r="C4" s="4" t="str">
        <v>Eastern Africa</v>
      </c>
      <c r="D4" s="4" t="str">
        <v>region</v>
      </c>
      <c r="E4" s="5">
        <v>100</v>
      </c>
      <c r="F4" s="4">
        <v>457</v>
      </c>
    </row>
    <row r="5" ht="45" customHeight="1">
      <c r="A5" s="8" t="str">
        <v>AOW03: Digital Futures</v>
      </c>
      <c r="B5" s="4" t="str">
        <v>Bioversity (Alliance)</v>
      </c>
      <c r="C5" s="4" t="str">
        <v>Global</v>
      </c>
      <c r="D5" s="4" t="str">
        <v>global</v>
      </c>
      <c r="E5" s="5">
        <v>100</v>
      </c>
      <c r="F5" s="4">
        <v>486</v>
      </c>
    </row>
    <row r="6" ht="45" customHeight="1">
      <c r="A6" s="8" t="str">
        <v>AOW04: Enabling Environment</v>
      </c>
      <c r="B6" s="4" t="str">
        <v>Bioversity (Alliance)</v>
      </c>
      <c r="C6" s="4" t="str">
        <v>Global</v>
      </c>
      <c r="D6" s="4" t="str">
        <v>global</v>
      </c>
      <c r="E6" s="5">
        <v>100</v>
      </c>
      <c r="F6" s="4">
        <v>508</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