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40000</v>
      </c>
      <c r="K4" s="5">
        <v>40000</v>
      </c>
      <c r="L4" s="5">
        <v>0</v>
      </c>
      <c r="M4" s="5">
        <v>0</v>
      </c>
      <c r="N4" s="4">
        <v>219</v>
      </c>
    </row>
    <row r="5" ht="20" customHeight="1">
      <c r="A5" s="4" t="str">
        <v>AOW01: Data Ecosystem</v>
      </c>
      <c r="B5" s="5">
        <v>2</v>
      </c>
      <c r="C5" s="5">
        <v>22986</v>
      </c>
      <c r="D5" s="5">
        <v>25</v>
      </c>
      <c r="E5" s="5">
        <v>75000</v>
      </c>
      <c r="F5" s="5">
        <v>30</v>
      </c>
      <c r="G5" s="5">
        <v>25000</v>
      </c>
      <c r="H5" s="5">
        <v>0</v>
      </c>
      <c r="I5" s="5">
        <v>0</v>
      </c>
      <c r="J5" s="5">
        <v>122986</v>
      </c>
      <c r="K5" s="5">
        <v>122986</v>
      </c>
      <c r="L5" s="5">
        <v>25000</v>
      </c>
      <c r="M5" s="5">
        <v>0</v>
      </c>
      <c r="N5" s="4">
        <v>215</v>
      </c>
    </row>
    <row r="6" ht="20" customHeight="1">
      <c r="A6" s="4" t="str">
        <v>AOW02: Action Lab</v>
      </c>
      <c r="B6" s="5">
        <v>2</v>
      </c>
      <c r="C6" s="5">
        <v>130000</v>
      </c>
      <c r="D6" s="5">
        <v>1</v>
      </c>
      <c r="E6" s="5">
        <v>35000</v>
      </c>
      <c r="F6" s="5">
        <v>15</v>
      </c>
      <c r="G6" s="5">
        <v>38717</v>
      </c>
      <c r="H6" s="5">
        <v>0</v>
      </c>
      <c r="I6" s="5">
        <v>0</v>
      </c>
      <c r="J6" s="5">
        <v>203717</v>
      </c>
      <c r="K6" s="5">
        <v>203717</v>
      </c>
      <c r="L6" s="5">
        <v>0</v>
      </c>
      <c r="M6" s="5">
        <v>0</v>
      </c>
      <c r="N6" s="4">
        <v>216</v>
      </c>
    </row>
    <row r="7" ht="20" customHeight="1">
      <c r="A7" s="4" t="str">
        <v>AOW03: Digital Futures</v>
      </c>
      <c r="B7" s="5">
        <v>1</v>
      </c>
      <c r="C7" s="5">
        <v>80000</v>
      </c>
      <c r="D7" s="5">
        <v>0</v>
      </c>
      <c r="E7" s="5">
        <v>0</v>
      </c>
      <c r="F7" s="5">
        <v>25</v>
      </c>
      <c r="G7" s="5">
        <v>40000</v>
      </c>
      <c r="H7" s="5">
        <v>0</v>
      </c>
      <c r="I7" s="5">
        <v>0</v>
      </c>
      <c r="J7" s="5">
        <v>120000</v>
      </c>
      <c r="K7" s="5">
        <v>120000</v>
      </c>
      <c r="L7" s="5">
        <v>0</v>
      </c>
      <c r="M7" s="5">
        <v>0</v>
      </c>
      <c r="N7" s="4">
        <v>218</v>
      </c>
    </row>
    <row r="8" ht="20" customHeight="1">
      <c r="A8" s="4" t="str">
        <v>AOW04: Enabling Environment</v>
      </c>
      <c r="B8" s="5">
        <v>0</v>
      </c>
      <c r="C8" s="5">
        <v>0</v>
      </c>
      <c r="D8" s="5">
        <v>0</v>
      </c>
      <c r="E8" s="5">
        <v>0</v>
      </c>
      <c r="F8" s="5">
        <v>8</v>
      </c>
      <c r="G8" s="5">
        <v>10000</v>
      </c>
      <c r="H8" s="5">
        <v>0</v>
      </c>
      <c r="I8" s="5">
        <v>0</v>
      </c>
      <c r="J8" s="5">
        <v>10000</v>
      </c>
      <c r="K8" s="5">
        <v>10000</v>
      </c>
      <c r="L8" s="5">
        <v>0</v>
      </c>
      <c r="M8" s="5">
        <v>0</v>
      </c>
      <c r="N8" s="4">
        <v>217</v>
      </c>
    </row>
    <row r="9" ht="25" customHeight="1">
      <c r="A9" s="6" t="str">
        <v>Total</v>
      </c>
      <c r="B9" s="7" t="str">
        <v/>
      </c>
      <c r="C9" s="7">
        <v>232986</v>
      </c>
      <c r="D9" s="7" t="str">
        <v/>
      </c>
      <c r="E9" s="7">
        <v>110000</v>
      </c>
      <c r="F9" s="7" t="str">
        <v/>
      </c>
      <c r="G9" s="7">
        <v>113717</v>
      </c>
      <c r="H9" s="7" t="str">
        <v/>
      </c>
      <c r="I9" s="7">
        <v>0</v>
      </c>
      <c r="J9" s="7">
        <v>496703</v>
      </c>
      <c r="K9" s="7">
        <v>496703</v>
      </c>
      <c r="L9" s="7">
        <v>25000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1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IITA</v>
      </c>
      <c r="C3" s="4" t="str">
        <v>HLO 1.1: Developed integrated data infrastructure, tools, and standards to enable creation, discovery, and analysis of FAIR, AI-ready data and AI solutions.</v>
      </c>
      <c r="D3" s="4" t="str">
        <v>Number of individuals capacitated to create, collect, analyze and ethically use  FAIR and AI-ready data and digital solutions.</v>
      </c>
      <c r="E3" s="4" t="str">
        <v>Number of people trained (capacity sharing for development)</v>
      </c>
      <c r="F3" s="4" t="str">
        <v>Zambia, Timor-Leste, India, Colombia, Egypt, Philippines, Bangladesh, Ethiopia, Nigeria, Peru, Malaysia, Guatemala, Ghana, Kenya, France</v>
      </c>
      <c r="G3" s="5">
        <v>30</v>
      </c>
      <c r="H3" s="5">
        <v>25000</v>
      </c>
      <c r="I3" s="4" t="str" xml:space="preserve">
        <v xml:space="preserve">Successful trainings assume interest and follow-through to realize goals.
</v>
      </c>
      <c r="J3" s="4">
        <v>7244</v>
      </c>
    </row>
    <row r="4" ht="50" customHeight="1" xml:space="preserve">
      <c r="B4" s="4" t="str">
        <v>IITA</v>
      </c>
      <c r="D4" s="4" t="str">
        <v>Number of data infrastructure, tools, and standards developed to create, collect, search and analyze FAIR and AI-ready data and digital solutions.</v>
      </c>
      <c r="E4" s="4" t="str">
        <v>Number of innovations (innovation development)</v>
      </c>
      <c r="F4" s="4" t="str">
        <v>Zambia, Timor-Leste, Ethiopia, Mexico, Greece, Nigeria, Malaysia, Peru, Bangladesh, India, Kenya, Colombia</v>
      </c>
      <c r="G4" s="5">
        <v>2</v>
      </c>
      <c r="H4" s="5">
        <v>22986</v>
      </c>
      <c r="I4" s="4" t="str" xml:space="preserve">
        <v xml:space="preserve">Successful delivery assumes active  interest and input via user tests, and participation in core task group focused on standardized data collection. The budget assumes $10k allocation to partner Scio. 
</v>
      </c>
      <c r="J4" s="4">
        <v>7253</v>
      </c>
    </row>
    <row r="5" ht="50" customHeight="1" xml:space="preserve">
      <c r="A5" s="4" t="str">
        <v>AOW01: Data Ecosystem</v>
      </c>
      <c r="B5" s="4" t="str">
        <v>IITA</v>
      </c>
      <c r="C5" s="4" t="str">
        <v xml:space="preserve">HLO 1.2: Established standards-compliant FAIR data corpus enabling an open, secure analytics ecosystem. </v>
      </c>
      <c r="D5" s="4" t="str">
        <v>Number of standardized, FAIR and AI-ready datasets.</v>
      </c>
      <c r="E5" s="4" t="str">
        <v>Number of knowledge products</v>
      </c>
      <c r="F5" s="4" t="str">
        <v>Timor-Leste, Zambia, Kenya, Nigeria, Colombia, Pakistan, Mexico, India, Sri Lanka, Philippines, Peru, United States of America, Malaysia, Ghana, South Africa, Côte d'Ivoire</v>
      </c>
      <c r="G5" s="5">
        <v>25</v>
      </c>
      <c r="H5" s="5">
        <v>75000</v>
      </c>
      <c r="I5" s="4" t="str" xml:space="preserve">
        <v xml:space="preserve">Completion of activities assumes that Centers share data to be standardized and HR processes allow quick hiring of R coders. Assumes $15k allocation to partner UC Davis and one data curator. 
</v>
      </c>
      <c r="J5" s="4">
        <v>7264</v>
      </c>
    </row>
    <row r="6" ht="25" customHeight="1">
      <c r="C6" s="9" t="str">
        <v>HLO budget subtotal</v>
      </c>
      <c r="H6" s="9">
        <v>122986</v>
      </c>
      <c r="J6" s="9" t="str">
        <v/>
      </c>
    </row>
    <row r="7" ht="50" customHeight="1" xml:space="preserve">
      <c r="A7" s="8" t="str">
        <v>AOW02: Action Lab</v>
      </c>
      <c r="B7" s="4" t="str">
        <v>IITA</v>
      </c>
      <c r="C7" s="4" t="str">
        <v>HLO 2.4: Genebanks integrate AI-powered tools to improve germplasm management and access.</v>
      </c>
      <c r="D7" s="4" t="str" xml:space="preserve">
        <v xml:space="preserve">IITA 7: Number of AI-powered tools implemented for genebank data management for seed and clonal crops across African genebanks
</v>
      </c>
      <c r="E7" s="4" t="str">
        <v>Number of innovations (innovation development)</v>
      </c>
      <c r="F7" s="4" t="str">
        <v>Nigeria</v>
      </c>
      <c r="G7" s="5">
        <v>1</v>
      </c>
      <c r="H7" s="5">
        <v>80000</v>
      </c>
      <c r="I7" s="4" t="str" xml:space="preserve">
        <v xml:space="preserve">Assumptions: Data availability and quality: Historical passport, characterization, phenotypic, and distribution data are available in sufficient volume and quality for model training and validation. Risks: Data gaps, poor data quality, inconsistent coding
</v>
      </c>
      <c r="J7" s="4">
        <v>6341</v>
      </c>
    </row>
    <row r="8" ht="50" customHeight="1" xml:space="preserve">
      <c r="B8" s="4" t="str">
        <v>IITA</v>
      </c>
      <c r="D8" s="4" t="str" xml:space="preserve">
        <v xml:space="preserve">IITA 8: Number of individuals trained on AI-powered genebank tools for germplasm management of African seed and clonal crops
</v>
      </c>
      <c r="E8" s="4" t="str">
        <v>Number of people trained (capacity sharing for development)</v>
      </c>
      <c r="F8" s="4" t="str">
        <v>Nigeria</v>
      </c>
      <c r="G8" s="5">
        <v>15</v>
      </c>
      <c r="H8" s="5">
        <v>38717</v>
      </c>
      <c r="I8" s="4" t="str" xml:space="preserve">
        <v xml:space="preserve">Assumptions: Data availability and quality: Historical passport, characterization, phenotypic, and distribution data are available in sufficient volume and quality for model training and validation. Risks: Data gaps, poor data quality, inconsistent coding
</v>
      </c>
      <c r="J8" s="4">
        <v>6345</v>
      </c>
    </row>
    <row r="9" ht="50" customHeight="1" xml:space="preserve">
      <c r="A9" s="4" t="str">
        <v>AOW02: Action Lab</v>
      </c>
      <c r="B9" s="4" t="str">
        <v>IITA</v>
      </c>
      <c r="C9" s="4" t="str">
        <v>HLO 2.1: Research integrates AI analytics, remote sensing, and digital technologies to enhance modeling, evidence generation, and environmental monitoring at scale.</v>
      </c>
      <c r="D9" s="4" t="str">
        <v>Number of geospatial use cases, including datasets, documentation, and intended outcome</v>
      </c>
      <c r="E9" s="4" t="str">
        <v>Number of knowledge products</v>
      </c>
      <c r="F9" s="4" t="str">
        <v>United States of America, Tanzania, United Republic, Kenya, Malaysia, Mexico, India, Nigeria, Ghana, Sri Lanka, Mozambique, Peru, Colombia, Philippines, Rwanda, Ethiopia</v>
      </c>
      <c r="G9" s="5">
        <v>1</v>
      </c>
      <c r="H9" s="5">
        <v>35000</v>
      </c>
      <c r="I9" s="4" t="str" xml:space="preserve">
        <v xml:space="preserve">The successful delivery depends on identification of proper geospatial use case and smooth coordination within the CSI community and with all participating CG centers. 
</v>
      </c>
      <c r="J9" s="4">
        <v>7348</v>
      </c>
    </row>
    <row r="10" ht="50" customHeight="1" xml:space="preserve">
      <c r="B10" s="4" t="str">
        <v>IITA</v>
      </c>
      <c r="D10" s="4" t="str">
        <v>IITA 3: Number of new digital products and innovations co-created with digital innovation nodes.</v>
      </c>
      <c r="E10" s="4" t="str">
        <v>Number of innovations (innovation development)</v>
      </c>
      <c r="F10" s="4" t="str">
        <v>Kenya</v>
      </c>
      <c r="G10" s="5">
        <v>1</v>
      </c>
      <c r="H10" s="5">
        <v>50000</v>
      </c>
      <c r="I10" s="4" t="str" xml:space="preserve">
        <v xml:space="preserve">That the AI water agent is developed and ready to be integrated alongside Agwise by IMWI in Kenya in time for us to test it
</v>
      </c>
      <c r="J10" s="4">
        <v>7439</v>
      </c>
    </row>
    <row r="11" ht="25" customHeight="1">
      <c r="C11" s="9" t="str">
        <v>HLO budget subtotal</v>
      </c>
      <c r="H11" s="9">
        <v>203717</v>
      </c>
      <c r="J11" s="9" t="str">
        <v/>
      </c>
    </row>
    <row r="12" ht="50" customHeight="1" xml:space="preserve">
      <c r="A12" s="8" t="str">
        <v>AOW03: Digital Futures</v>
      </c>
      <c r="B12" s="4" t="str">
        <v>IITA</v>
      </c>
      <c r="C12" s="4" t="str">
        <v>HLO 3.1: Probes of a wide range of AI and/or other novel digital solutions to generate early evidence on digital frontier technology impacts, for decision making.</v>
      </c>
      <c r="D12" s="4" t="str">
        <v>IITA 2: Number of individuals/ decision makers with capacity to support AI phenotyping</v>
      </c>
      <c r="E12" s="4" t="str">
        <v>Number of people trained (capacity sharing for development)</v>
      </c>
      <c r="F12" s="4" t="str">
        <v>Nigeria, Ghana, Kenya, Tanzania, United Republic</v>
      </c>
      <c r="G12" s="5">
        <v>25</v>
      </c>
      <c r="H12" s="5">
        <v>40000</v>
      </c>
      <c r="I12" s="4" t="str" xml:space="preserve">
        <v xml:space="preserve">"""Assumptions
•	Demand for drone-based phenotyping
Risks
•	National aviation authorities may impose licensing, import, or flight restrictions that delay drone deployment or operations.
•	Drones and sensors are vulnerable to harsh field conditions, thef"
</v>
      </c>
      <c r="J12" s="4">
        <v>6389</v>
      </c>
    </row>
    <row r="13" ht="50" customHeight="1" xml:space="preserve">
      <c r="B13" s="4" t="str">
        <v>IITA</v>
      </c>
      <c r="D13" s="4" t="str">
        <v>IITA 1: Number of AI and digital solution probes supporting system-level scenario analysis for decision-makers.</v>
      </c>
      <c r="E13" s="4" t="str">
        <v>Number of innovations (innovation development)</v>
      </c>
      <c r="F13" s="4" t="str">
        <v>Nigeria, Kenya, Ghana, Tanzania, United Republic</v>
      </c>
      <c r="G13" s="5">
        <v>1</v>
      </c>
      <c r="H13" s="5">
        <v>80000</v>
      </c>
      <c r="I13" s="4" t="str" xml:space="preserve">
        <v xml:space="preserve">"Assumptions
•	National authorities will continue to permit agricultural UAV use under existing regulations.
•	Appropriate ML/AI models are available for drone-based phenotyping pipelines. 
Risks
•	National aviation authorities may impose licensing"
</v>
      </c>
      <c r="J13" s="4">
        <v>6391</v>
      </c>
    </row>
    <row r="14" ht="25" customHeight="1">
      <c r="C14" s="9" t="str">
        <v>HLO budget subtotal</v>
      </c>
      <c r="H14" s="9">
        <v>120000</v>
      </c>
      <c r="J14" s="9" t="str">
        <v/>
      </c>
    </row>
    <row r="15" ht="50" customHeight="1" xml:space="preserve">
      <c r="A15" s="8" t="str">
        <v>AOW04: Enabling Environment</v>
      </c>
      <c r="B15" s="4" t="str">
        <v>IITA</v>
      </c>
      <c r="C15" s="4" t="str">
        <v>HLO 4.1. Communities of practice and collaborative knowledge platforms established to coordinate learning, exchange, and leadership on responsible and inclusive digital innovation across FLW systems.</v>
      </c>
      <c r="D15" s="4" t="str">
        <v>Number of people trained on geospatial foundation models, platforms and/or frameworks</v>
      </c>
      <c r="E15" s="4" t="str">
        <v>Number of people trained (capacity sharing for development)</v>
      </c>
      <c r="F15" s="4" t="str">
        <v>Kenya</v>
      </c>
      <c r="G15" s="5">
        <v>5</v>
      </c>
      <c r="H15" s="5">
        <v>5000</v>
      </c>
      <c r="I15"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15" s="4">
        <v>7366</v>
      </c>
    </row>
    <row r="16" ht="50" customHeight="1" xml:space="preserve">
      <c r="B16" s="4" t="str">
        <v>IITA</v>
      </c>
      <c r="D16" s="4" t="str">
        <v xml:space="preserve">Number of individuals capacitated through consortium workshops on Spatial Information (CSI) to coordinate geospatial analysis across the CGIAR </v>
      </c>
      <c r="E16" s="4" t="str">
        <v>Number of people trained (capacity sharing for development)</v>
      </c>
      <c r="F16" s="4" t="str">
        <v>Kenya</v>
      </c>
      <c r="G16" s="5">
        <v>3</v>
      </c>
      <c r="H16" s="5">
        <v>5000</v>
      </c>
      <c r="I16"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16" s="4">
        <v>7374</v>
      </c>
    </row>
    <row r="17" ht="25" customHeight="1">
      <c r="C17" s="9" t="str">
        <v>HLO budget subtotal</v>
      </c>
      <c r="H17" s="9">
        <v>10000</v>
      </c>
      <c r="J17" s="9" t="str">
        <v/>
      </c>
    </row>
  </sheetData>
  <mergeCells count="19">
    <mergeCell ref="A1:A2"/>
    <mergeCell ref="B1:B2"/>
    <mergeCell ref="C1:C2"/>
    <mergeCell ref="D1:H1"/>
    <mergeCell ref="I1:I2"/>
    <mergeCell ref="J1:J2"/>
    <mergeCell ref="C3:C4"/>
    <mergeCell ref="C6:G6"/>
    <mergeCell ref="A3:A6"/>
    <mergeCell ref="C7:C8"/>
    <mergeCell ref="C9:C10"/>
    <mergeCell ref="C11:G11"/>
    <mergeCell ref="A7:A11"/>
    <mergeCell ref="C12:C13"/>
    <mergeCell ref="C14:G14"/>
    <mergeCell ref="A12:A14"/>
    <mergeCell ref="C15:C16"/>
    <mergeCell ref="C17:G17"/>
    <mergeCell ref="A15:A17"/>
  </mergeCells>
  <ignoredErrors>
    <ignoredError numberStoredAsText="1" sqref="A1:J17"/>
  </ignoredErrors>
</worksheet>
</file>

<file path=xl/worksheets/sheet3.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Data Ecosystem</v>
      </c>
      <c r="B2" s="4" t="str">
        <v>University of California, Davis</v>
      </c>
      <c r="C2" s="4" t="str">
        <v>IITA</v>
      </c>
      <c r="D2" s="4" t="str">
        <v>United States of America</v>
      </c>
      <c r="E2" s="5">
        <v>10000</v>
      </c>
      <c r="F2" s="4" t="str">
        <v xml:space="preserve">Contracting to be confirmed. </v>
      </c>
      <c r="G2" s="4">
        <v>225</v>
      </c>
    </row>
    <row r="3" ht="50" customHeight="1">
      <c r="A3" s="4" t="str">
        <v>AOW01: Data Ecosystem</v>
      </c>
      <c r="B3" s="4" t="str">
        <v>Unknown Partner 1</v>
      </c>
      <c r="C3" s="4" t="str">
        <v>IITA</v>
      </c>
      <c r="D3" s="4" t="str">
        <v>Greece, France</v>
      </c>
      <c r="E3" s="5">
        <v>15000</v>
      </c>
      <c r="F3" s="4" t="str">
        <v xml:space="preserve">Placeholder, to be confirmed after PORB approval. </v>
      </c>
      <c r="G3" s="4">
        <v>226</v>
      </c>
    </row>
    <row r="4" ht="25" customHeight="1">
      <c r="B4" s="9" t="str">
        <v>Contracted partners subtotal</v>
      </c>
      <c r="E4" s="9">
        <v>25000</v>
      </c>
      <c r="F4" s="9" t="str">
        <v/>
      </c>
      <c r="G4" s="9" t="str">
        <v/>
      </c>
    </row>
  </sheetData>
  <mergeCells count="2">
    <mergeCell ref="B4:D4"/>
    <mergeCell ref="A2:A4"/>
  </mergeCells>
  <ignoredErrors>
    <ignoredError numberStoredAsText="1" sqref="A1:G4"/>
  </ignoredErrors>
</worksheet>
</file>

<file path=xl/worksheets/sheet4.xml><?xml version="1.0" encoding="utf-8"?>
<worksheet xmlns="http://schemas.openxmlformats.org/spreadsheetml/2006/main" xmlns:r="http://schemas.openxmlformats.org/officeDocument/2006/relationships">
  <dimension ref="A1:F5"/>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IITA</v>
      </c>
      <c r="B2" s="4" t="str">
        <v>T-PJ-003763-IITA Accelerated Innovation Delivery Initiative</v>
      </c>
      <c r="C2" s="4" t="str">
        <v>2030 OC 1: Strengthened partnerships for co-creating digital innovations</v>
      </c>
      <c r="D2" s="5">
        <v>0</v>
      </c>
      <c r="E2" s="4" t="str">
        <v/>
      </c>
      <c r="F2" s="4">
        <v>1203</v>
      </c>
    </row>
    <row r="3" ht="60" customHeight="1" xml:space="preserve">
      <c r="A3" s="4" t="str">
        <v>IITA</v>
      </c>
      <c r="B3" s="4" t="str">
        <v>T-PJ-003866-Liberia Land and Soil Resources Knowledge project (Soils4Liberia)</v>
      </c>
      <c r="C3" s="4" t="str">
        <v>HLO 2.1: Research integrates AI analytics, remote sensing, and digital technologies to enhance modeling, evidence generation, and environmental monitoring at scale.</v>
      </c>
      <c r="D3" s="5">
        <v>262338</v>
      </c>
      <c r="E3" s="4" t="str" xml:space="preserve">
        <v xml:space="preserve">Active in 2026 and subject to continued funding. 
</v>
      </c>
      <c r="F3" s="4">
        <v>1215</v>
      </c>
    </row>
    <row r="4" ht="60" customHeight="1" xml:space="preserve">
      <c r="A4" s="4" t="str">
        <v>IITA</v>
      </c>
      <c r="B4" s="4" t="str">
        <v>T-PJ-003942-IITA Accelerated Innovation Delivery Initiative (AID-I) for Mozambique</v>
      </c>
      <c r="C4" s="4" t="str">
        <v>HLO 4.1. Communities of practice and collaborative knowledge platforms established to coordinate learning, exchange, and leadership on responsible and inclusive digital innovation across FLW systems.</v>
      </c>
      <c r="D4" s="5">
        <v>243649</v>
      </c>
      <c r="E4" s="4" t="str" xml:space="preserve">
        <v xml:space="preserve">Active in 2026 and subject to continued funding. 
</v>
      </c>
      <c r="F4" s="4">
        <v>1207</v>
      </c>
    </row>
    <row r="5" ht="25" customHeight="1">
      <c r="B5" s="9" t="str">
        <v>W3/Bilateral budget subtotal</v>
      </c>
      <c r="D5" s="9">
        <v>505987</v>
      </c>
      <c r="E5" s="9" t="str">
        <v/>
      </c>
      <c r="F5" s="9" t="str">
        <v/>
      </c>
    </row>
  </sheetData>
  <mergeCells count="2">
    <mergeCell ref="B5:C5"/>
    <mergeCell ref="A2:A5"/>
  </mergeCells>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IITA</v>
      </c>
      <c r="C2" s="4" t="str">
        <v>Area of Work Leads</v>
      </c>
      <c r="D2" s="5">
        <v>40000</v>
      </c>
      <c r="E2" s="4" t="str" xml:space="preserve">
        <v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v>
      </c>
      <c r="F2" s="4">
        <v>112</v>
      </c>
      <c r="G2" s="4">
        <v>3</v>
      </c>
    </row>
    <row r="3" ht="25" customHeight="1">
      <c r="C3" s="9" t="str">
        <v>Cross-cutting budget subtotal</v>
      </c>
      <c r="D3" s="9">
        <v>40000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40000</v>
      </c>
      <c r="C2" s="5">
        <v>79630</v>
      </c>
      <c r="D2" s="5">
        <v>160717</v>
      </c>
      <c r="E2" s="5">
        <v>65768</v>
      </c>
      <c r="F2" s="5">
        <v>0</v>
      </c>
      <c r="G2" s="5">
        <f>=SUM(B2:F2)</f>
        <v>0</v>
      </c>
    </row>
    <row r="3" ht="20" customHeight="1">
      <c r="A3" s="4" t="str">
        <v>Operations (supplies, consultants, travels, workshops, other)</v>
      </c>
      <c r="B3" s="5">
        <v>0</v>
      </c>
      <c r="C3" s="5">
        <v>18356</v>
      </c>
      <c r="D3" s="5">
        <v>43000</v>
      </c>
      <c r="E3" s="5">
        <v>54232</v>
      </c>
      <c r="F3" s="5">
        <v>10000</v>
      </c>
      <c r="G3" s="5">
        <f>=SUM(B3:F3)</f>
        <v>0</v>
      </c>
    </row>
    <row r="4" ht="20" customHeight="1">
      <c r="A4" s="4" t="str">
        <v>Collaborators non-CGIAR centers</v>
      </c>
      <c r="B4" s="5">
        <v>0</v>
      </c>
      <c r="C4" s="5">
        <v>25000</v>
      </c>
      <c r="D4" s="5">
        <v>0</v>
      </c>
      <c r="E4" s="5">
        <v>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1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IITA</v>
      </c>
      <c r="C2" s="4" t="str">
        <v>France</v>
      </c>
      <c r="D2" s="5">
        <v>100</v>
      </c>
      <c r="E2" s="4">
        <v>3358</v>
      </c>
    </row>
    <row r="3" ht="45" customHeight="1">
      <c r="A3" s="8" t="str">
        <v>AOW01: Data Ecosystem</v>
      </c>
      <c r="B3" s="4" t="str">
        <v>IITA</v>
      </c>
      <c r="C3" s="4" t="str">
        <v>Ethiopia</v>
      </c>
      <c r="D3" s="5">
        <v>11</v>
      </c>
      <c r="E3" s="4">
        <v>1281</v>
      </c>
    </row>
    <row r="4" ht="45" customHeight="1">
      <c r="A4" s="4" t="str">
        <v>AOW01: Data Ecosystem</v>
      </c>
      <c r="B4" s="4" t="str">
        <v>IITA</v>
      </c>
      <c r="C4" s="4" t="str">
        <v>Ghana</v>
      </c>
      <c r="D4" s="5">
        <v>10</v>
      </c>
      <c r="E4" s="4">
        <v>1282</v>
      </c>
    </row>
    <row r="5" ht="45" customHeight="1">
      <c r="A5" s="4" t="str">
        <v>AOW01: Data Ecosystem</v>
      </c>
      <c r="B5" s="4" t="str">
        <v>IITA</v>
      </c>
      <c r="C5" s="4" t="str">
        <v>Greece</v>
      </c>
      <c r="D5" s="5">
        <v>2</v>
      </c>
      <c r="E5" s="4">
        <v>1284</v>
      </c>
    </row>
    <row r="6" ht="45" customHeight="1">
      <c r="A6" s="4" t="str">
        <v>AOW01: Data Ecosystem</v>
      </c>
      <c r="B6" s="4" t="str">
        <v>IITA</v>
      </c>
      <c r="C6" s="4" t="str">
        <v>Kenya</v>
      </c>
      <c r="D6" s="5">
        <v>25</v>
      </c>
      <c r="E6" s="4">
        <v>1278</v>
      </c>
    </row>
    <row r="7" ht="45" customHeight="1">
      <c r="A7" s="4" t="str">
        <v>AOW01: Data Ecosystem</v>
      </c>
      <c r="B7" s="4" t="str">
        <v>IITA</v>
      </c>
      <c r="C7" s="4" t="str">
        <v>Mexico</v>
      </c>
      <c r="D7" s="5">
        <v>25</v>
      </c>
      <c r="E7" s="4">
        <v>1279</v>
      </c>
    </row>
    <row r="8" ht="45" customHeight="1">
      <c r="A8" s="4" t="str">
        <v>AOW01: Data Ecosystem</v>
      </c>
      <c r="B8" s="4" t="str">
        <v>IITA</v>
      </c>
      <c r="C8" s="4" t="str">
        <v>Nigeria</v>
      </c>
      <c r="D8" s="5">
        <v>21</v>
      </c>
      <c r="E8" s="4">
        <v>1280</v>
      </c>
    </row>
    <row r="9" ht="45" customHeight="1">
      <c r="A9" s="4" t="str">
        <v>AOW01: Data Ecosystem</v>
      </c>
      <c r="B9" s="4" t="str">
        <v>IITA</v>
      </c>
      <c r="C9" s="4" t="str">
        <v>United States of America</v>
      </c>
      <c r="D9" s="5">
        <v>6</v>
      </c>
      <c r="E9" s="4">
        <v>1283</v>
      </c>
    </row>
    <row r="10" ht="45" customHeight="1">
      <c r="A10" s="8" t="str">
        <v>AOW02: Action Lab</v>
      </c>
      <c r="B10" s="4" t="str">
        <v>IITA</v>
      </c>
      <c r="C10" s="4" t="str">
        <v>Kenya</v>
      </c>
      <c r="D10" s="5">
        <v>50</v>
      </c>
      <c r="E10" s="4">
        <v>1336</v>
      </c>
    </row>
    <row r="11" ht="45" customHeight="1">
      <c r="A11" s="4" t="str">
        <v>AOW02: Action Lab</v>
      </c>
      <c r="B11" s="4" t="str">
        <v>IITA</v>
      </c>
      <c r="C11" s="4" t="str">
        <v>Nigeria</v>
      </c>
      <c r="D11" s="5">
        <v>50</v>
      </c>
      <c r="E11" s="4">
        <v>1337</v>
      </c>
    </row>
    <row r="12" ht="45" customHeight="1">
      <c r="A12" s="8" t="str">
        <v>AOW03: Digital Futures</v>
      </c>
      <c r="B12" s="4" t="str">
        <v>IITA</v>
      </c>
      <c r="C12" s="4" t="str">
        <v>Ghana</v>
      </c>
      <c r="D12" s="5">
        <v>25</v>
      </c>
      <c r="E12" s="4">
        <v>1393</v>
      </c>
    </row>
    <row r="13" ht="45" customHeight="1">
      <c r="A13" s="4" t="str">
        <v>AOW03: Digital Futures</v>
      </c>
      <c r="B13" s="4" t="str">
        <v>IITA</v>
      </c>
      <c r="C13" s="4" t="str">
        <v>Kenya</v>
      </c>
      <c r="D13" s="5">
        <v>25</v>
      </c>
      <c r="E13" s="4">
        <v>1394</v>
      </c>
    </row>
    <row r="14" ht="45" customHeight="1">
      <c r="A14" s="4" t="str">
        <v>AOW03: Digital Futures</v>
      </c>
      <c r="B14" s="4" t="str">
        <v>IITA</v>
      </c>
      <c r="C14" s="4" t="str">
        <v>Nigeria</v>
      </c>
      <c r="D14" s="5">
        <v>25</v>
      </c>
      <c r="E14" s="4">
        <v>1395</v>
      </c>
    </row>
    <row r="15" ht="45" customHeight="1">
      <c r="A15" s="4" t="str">
        <v>AOW03: Digital Futures</v>
      </c>
      <c r="B15" s="4" t="str">
        <v>IITA</v>
      </c>
      <c r="C15" s="4" t="str">
        <v>Tanzania</v>
      </c>
      <c r="D15" s="5">
        <v>25</v>
      </c>
      <c r="E15" s="4">
        <v>1396</v>
      </c>
    </row>
    <row r="16" ht="45" customHeight="1">
      <c r="A16" s="8" t="str">
        <v>AOW04: Enabling Environment</v>
      </c>
      <c r="B16" s="4" t="str">
        <v>IITA</v>
      </c>
      <c r="C16" s="4" t="str">
        <v>Kenya</v>
      </c>
      <c r="D16" s="5">
        <v>100</v>
      </c>
      <c r="E16" s="4">
        <v>1467</v>
      </c>
    </row>
  </sheetData>
  <mergeCells count="5">
    <mergeCell ref="A2"/>
    <mergeCell ref="A3:A9"/>
    <mergeCell ref="A10:A11"/>
    <mergeCell ref="A12:A15"/>
    <mergeCell ref="A16"/>
  </mergeCells>
  <ignoredErrors>
    <ignoredError numberStoredAsText="1" sqref="A1:E16"/>
  </ignoredErrors>
</worksheet>
</file>

<file path=xl/worksheets/sheet9.xml><?xml version="1.0" encoding="utf-8"?>
<worksheet xmlns="http://schemas.openxmlformats.org/spreadsheetml/2006/main" xmlns:r="http://schemas.openxmlformats.org/officeDocument/2006/relationships">
  <dimension ref="A1:F7"/>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IITA</v>
      </c>
      <c r="C2" s="4" t="str">
        <v>Global</v>
      </c>
      <c r="D2" s="4" t="str">
        <v>global</v>
      </c>
      <c r="E2" s="5">
        <v>100</v>
      </c>
      <c r="F2" s="4">
        <v>1672</v>
      </c>
    </row>
    <row r="3" ht="45" customHeight="1">
      <c r="A3" s="8" t="str">
        <v>AOW01: Data Ecosystem</v>
      </c>
      <c r="B3" s="4" t="str">
        <v>IITA</v>
      </c>
      <c r="C3" s="4" t="str">
        <v>Global</v>
      </c>
      <c r="D3" s="4" t="str">
        <v>global</v>
      </c>
      <c r="E3" s="5">
        <v>100</v>
      </c>
      <c r="F3" s="4">
        <v>450</v>
      </c>
    </row>
    <row r="4" ht="45" customHeight="1">
      <c r="A4" s="8" t="str">
        <v>AOW02: Action Lab</v>
      </c>
      <c r="B4" s="4" t="str">
        <v>IITA</v>
      </c>
      <c r="C4" s="4" t="str">
        <v>Global</v>
      </c>
      <c r="D4" s="4" t="str">
        <v>global</v>
      </c>
      <c r="E4" s="5">
        <v>50</v>
      </c>
      <c r="F4" s="4">
        <v>466</v>
      </c>
    </row>
    <row r="5" ht="45" customHeight="1">
      <c r="A5" s="4" t="str">
        <v>AOW02: Action Lab</v>
      </c>
      <c r="B5" s="4" t="str">
        <v>IITA</v>
      </c>
      <c r="C5" s="4" t="str">
        <v>Africa</v>
      </c>
      <c r="D5" s="4" t="str">
        <v>region</v>
      </c>
      <c r="E5" s="5">
        <v>50</v>
      </c>
      <c r="F5" s="4">
        <v>467</v>
      </c>
    </row>
    <row r="6" ht="45" customHeight="1">
      <c r="A6" s="8" t="str">
        <v>AOW03: Digital Futures</v>
      </c>
      <c r="B6" s="4" t="str">
        <v>IITA</v>
      </c>
      <c r="C6" s="4" t="str">
        <v>Global</v>
      </c>
      <c r="D6" s="4" t="str">
        <v>global</v>
      </c>
      <c r="E6" s="5">
        <v>100</v>
      </c>
      <c r="F6" s="4">
        <v>492</v>
      </c>
    </row>
    <row r="7" ht="45" customHeight="1">
      <c r="A7" s="8" t="str">
        <v>AOW04: Enabling Environment</v>
      </c>
      <c r="B7" s="4" t="str">
        <v>IITA</v>
      </c>
      <c r="C7" s="4" t="str">
        <v>Global</v>
      </c>
      <c r="D7" s="4" t="str">
        <v>global</v>
      </c>
      <c r="E7" s="5">
        <v>100</v>
      </c>
      <c r="F7" s="4">
        <v>515</v>
      </c>
    </row>
  </sheetData>
  <mergeCells count="5">
    <mergeCell ref="A2"/>
    <mergeCell ref="A3"/>
    <mergeCell ref="A4:A5"/>
    <mergeCell ref="A6"/>
    <mergeCell ref="A7"/>
  </mergeCells>
  <ignoredErrors>
    <ignoredError numberStoredAsText="1" sqref="A1:F7"/>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