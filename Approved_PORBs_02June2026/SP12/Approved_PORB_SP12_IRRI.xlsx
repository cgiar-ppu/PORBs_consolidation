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40000</v>
      </c>
      <c r="K4" s="5">
        <v>40000</v>
      </c>
      <c r="L4" s="5">
        <v>0</v>
      </c>
      <c r="M4" s="5">
        <v>0</v>
      </c>
      <c r="N4" s="4">
        <v>219</v>
      </c>
    </row>
    <row r="5" ht="20" customHeight="1">
      <c r="A5" s="4" t="str">
        <v>AOW01: Data Ecosystem</v>
      </c>
      <c r="B5" s="5">
        <v>2</v>
      </c>
      <c r="C5" s="5">
        <v>32986</v>
      </c>
      <c r="D5" s="5">
        <v>2</v>
      </c>
      <c r="E5" s="5">
        <v>25000</v>
      </c>
      <c r="F5" s="5">
        <v>300</v>
      </c>
      <c r="G5" s="5">
        <v>15000</v>
      </c>
      <c r="H5" s="5">
        <v>0</v>
      </c>
      <c r="I5" s="5">
        <v>0</v>
      </c>
      <c r="J5" s="5">
        <v>72986</v>
      </c>
      <c r="K5" s="5">
        <v>72986</v>
      </c>
      <c r="L5" s="5">
        <v>0</v>
      </c>
      <c r="M5" s="5">
        <v>0</v>
      </c>
      <c r="N5" s="4">
        <v>215</v>
      </c>
    </row>
    <row r="6" ht="20" customHeight="1">
      <c r="A6" s="4" t="str">
        <v>AOW02: Action Lab</v>
      </c>
      <c r="B6" s="5">
        <v>6</v>
      </c>
      <c r="C6" s="5">
        <v>162455</v>
      </c>
      <c r="D6" s="5">
        <v>6</v>
      </c>
      <c r="E6" s="5">
        <v>210000</v>
      </c>
      <c r="F6" s="5">
        <v>0</v>
      </c>
      <c r="G6" s="5">
        <v>0</v>
      </c>
      <c r="H6" s="5">
        <v>5000</v>
      </c>
      <c r="I6" s="5">
        <v>30000</v>
      </c>
      <c r="J6" s="5">
        <v>402455</v>
      </c>
      <c r="K6" s="5">
        <v>402455</v>
      </c>
      <c r="L6" s="5">
        <v>150000</v>
      </c>
      <c r="M6" s="5">
        <v>0</v>
      </c>
      <c r="N6" s="4">
        <v>216</v>
      </c>
    </row>
    <row r="7" ht="20" customHeight="1">
      <c r="A7" s="4" t="str">
        <v>AOW03: Digital Futures</v>
      </c>
      <c r="B7" s="5">
        <v>1</v>
      </c>
      <c r="C7" s="5">
        <v>20000</v>
      </c>
      <c r="D7" s="5">
        <v>2</v>
      </c>
      <c r="E7" s="5">
        <v>50000</v>
      </c>
      <c r="F7" s="5">
        <v>0</v>
      </c>
      <c r="G7" s="5">
        <v>0</v>
      </c>
      <c r="H7" s="5">
        <v>0</v>
      </c>
      <c r="I7" s="5">
        <v>0</v>
      </c>
      <c r="J7" s="5">
        <v>70000</v>
      </c>
      <c r="K7" s="5">
        <v>70000</v>
      </c>
      <c r="L7" s="5">
        <v>10000</v>
      </c>
      <c r="M7" s="5">
        <v>0</v>
      </c>
      <c r="N7" s="4">
        <v>218</v>
      </c>
    </row>
    <row r="8" ht="20" customHeight="1">
      <c r="A8" s="4" t="str">
        <v>AOW04: Enabling Environment</v>
      </c>
      <c r="B8" s="5">
        <v>3</v>
      </c>
      <c r="C8" s="5">
        <v>100000</v>
      </c>
      <c r="D8" s="5">
        <v>6</v>
      </c>
      <c r="E8" s="5">
        <v>90000</v>
      </c>
      <c r="F8" s="5">
        <v>8</v>
      </c>
      <c r="G8" s="5">
        <v>10000</v>
      </c>
      <c r="H8" s="5">
        <v>1</v>
      </c>
      <c r="I8" s="5">
        <v>10000</v>
      </c>
      <c r="J8" s="5">
        <v>210000</v>
      </c>
      <c r="K8" s="5">
        <v>210000</v>
      </c>
      <c r="L8" s="5">
        <v>50000</v>
      </c>
      <c r="M8" s="5">
        <v>0</v>
      </c>
      <c r="N8" s="4">
        <v>217</v>
      </c>
    </row>
    <row r="9" ht="25" customHeight="1">
      <c r="A9" s="6" t="str">
        <v>Total</v>
      </c>
      <c r="B9" s="7" t="str">
        <v/>
      </c>
      <c r="C9" s="7">
        <v>315441</v>
      </c>
      <c r="D9" s="7" t="str">
        <v/>
      </c>
      <c r="E9" s="7">
        <v>375000</v>
      </c>
      <c r="F9" s="7" t="str">
        <v/>
      </c>
      <c r="G9" s="7">
        <v>25000</v>
      </c>
      <c r="H9" s="7" t="str">
        <v/>
      </c>
      <c r="I9" s="7">
        <v>40000</v>
      </c>
      <c r="J9" s="7">
        <v>795441</v>
      </c>
      <c r="K9" s="7">
        <v>795441</v>
      </c>
      <c r="L9" s="7">
        <v>210000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IRRI</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300</v>
      </c>
      <c r="H3" s="5">
        <v>15000</v>
      </c>
      <c r="I3" s="4" t="str" xml:space="preserve">
        <v xml:space="preserve">"""Assumptions: Stakeholder availability for training, adequate baseline digital skills, access to necessary training tools and platforms, relevance of training materials to stakeholder needs, organizational support for capacity building. 
Risks: Low training"
</v>
      </c>
      <c r="J3" s="4">
        <v>7246</v>
      </c>
    </row>
    <row r="4" ht="50" customHeight="1" xml:space="preserve">
      <c r="B4" s="4" t="str">
        <v>IRRI</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2</v>
      </c>
      <c r="H4" s="5">
        <v>32986</v>
      </c>
      <c r="I4" s="4" t="str" xml:space="preserve">
        <v xml:space="preserve">"""Assumptions: Availability of high-quality multisite data, readiness of EBS infrastructure, stakeholder willingness to share data, clearly defined FAIR standards, sufficient technical expertise, stable system integration environment.
Risk: Data inconsistency"
</v>
      </c>
      <c r="J4" s="4">
        <v>7251</v>
      </c>
    </row>
    <row r="5" ht="50" customHeight="1" xml:space="preserve">
      <c r="B5" s="4" t="str">
        <v>IRRI</v>
      </c>
      <c r="D5" s="4" t="str">
        <v>Number of guidelines, training material and other support documents to foster and change culture around the creation, collection, analysis and ethical use of FAIR and AI-ready data and digital solutions.</v>
      </c>
      <c r="E5" s="4" t="str">
        <v>Number of knowledge products</v>
      </c>
      <c r="F5" s="4" t="str">
        <v>Sri Lanka, Mexico, India, Pakistan, Peru, South Africa, Philippines, Kenya, Rwanda, Tanzania, United Republic</v>
      </c>
      <c r="G5" s="5">
        <v>2</v>
      </c>
      <c r="H5" s="5">
        <v>25000</v>
      </c>
      <c r="I5" s="4" t="str" xml:space="preserve">
        <v xml:space="preserve">"""Assumptions: system integration readiness, adequate technical infrastructure
Risk: algorithmic errors or bias, security and privacy concerns"""
</v>
      </c>
      <c r="J5" s="4">
        <v>7255</v>
      </c>
    </row>
    <row r="6" ht="25" customHeight="1">
      <c r="C6" s="9" t="str">
        <v>HLO budget subtotal</v>
      </c>
      <c r="H6" s="9">
        <v>72986</v>
      </c>
      <c r="J6" s="9" t="str">
        <v/>
      </c>
    </row>
    <row r="7" ht="50" customHeight="1" xml:space="preserve">
      <c r="A7" s="8" t="str">
        <v>AOW02: Action Lab</v>
      </c>
      <c r="B7" s="4" t="str">
        <v>IRRI</v>
      </c>
      <c r="C7" s="4" t="str">
        <v>HLO 2.7: Digital innovations use human-centered design and citizen science to enhance gender responsiveness and social inclusiveness.</v>
      </c>
      <c r="D7" s="4" t="str" xml:space="preserve">
        <v xml:space="preserve">IRRI 13: Number of knowledge products produced on women farmers' adoption pathways with generative AI advisory services
</v>
      </c>
      <c r="E7" s="4" t="str">
        <v>Number of knowledge products</v>
      </c>
      <c r="F7" s="4" t="str">
        <v>India</v>
      </c>
      <c r="G7" s="5">
        <v>2</v>
      </c>
      <c r="H7" s="5">
        <v>70000</v>
      </c>
      <c r="I7" s="4" t="str" xml:space="preserve">
        <v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v>
      </c>
      <c r="J7" s="4">
        <v>6322</v>
      </c>
    </row>
    <row r="8" ht="50" customHeight="1" xml:space="preserve">
      <c r="A8" s="4" t="str">
        <v>AOW02: Action Lab</v>
      </c>
      <c r="B8" s="4" t="str">
        <v>IRRI</v>
      </c>
      <c r="C8" s="4" t="str">
        <v>HLO 2.1: Research integrates AI analytics, remote sensing, and digital technologies to enhance modeling, evidence generation, and environmental monitoring at scale.</v>
      </c>
      <c r="D8" s="4" t="str" xml:space="preserve">
        <v xml:space="preserve">IRRI 14: Number of AI-based frameworks developed for behavioral experiments on climate-smart agricultural decision-making
</v>
      </c>
      <c r="E8" s="4" t="str">
        <v>Number of knowledge products</v>
      </c>
      <c r="F8" s="4" t="str">
        <v>India</v>
      </c>
      <c r="G8" s="5">
        <v>2</v>
      </c>
      <c r="H8" s="5">
        <v>100000</v>
      </c>
      <c r="I8" s="4" t="str" xml:space="preserve">
        <v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v>
      </c>
      <c r="J8" s="4">
        <v>6466</v>
      </c>
    </row>
    <row r="9" ht="50" customHeight="1" xml:space="preserve">
      <c r="B9" s="4" t="str">
        <v>IRRI</v>
      </c>
      <c r="D9" s="4" t="str" xml:space="preserve">
        <v xml:space="preserve">IRRI 12: Number of fine-tuned AI models tested for agricultural policy evidence synthesis
</v>
      </c>
      <c r="E9" s="4" t="str">
        <v>Number of innovations (innovation development)</v>
      </c>
      <c r="F9" s="4" t="str">
        <v>India</v>
      </c>
      <c r="G9" s="5">
        <v>2</v>
      </c>
      <c r="H9" s="5">
        <v>32107</v>
      </c>
      <c r="I9" s="4" t="str" xml:space="preserve">
        <v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v>
      </c>
      <c r="J9" s="4">
        <v>6472</v>
      </c>
    </row>
    <row r="10" ht="50" customHeight="1" xml:space="preserve">
      <c r="B10" s="4" t="str">
        <v>IRRI</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7358</v>
      </c>
    </row>
    <row r="11" ht="50" customHeight="1" xml:space="preserve">
      <c r="A11" s="4" t="str">
        <v>AOW02: Action Lab</v>
      </c>
      <c r="B11" s="4" t="str">
        <v>IRRI</v>
      </c>
      <c r="C11" s="4" t="str">
        <v>HLO 2.5: Advisory solutions use AI-powered tools, including language models and speech analytics, to improve relevance, accessibility, and user engagement.</v>
      </c>
      <c r="D11" s="4" t="str" xml:space="preserve">
        <v xml:space="preserve">IRRI 17: Number of individuals receiving AI-powered nutrient management advisories
</v>
      </c>
      <c r="E11" s="4" t="str">
        <v>custom</v>
      </c>
      <c r="F11" s="4" t="str">
        <v>The Socialist Republic of Viet Nam</v>
      </c>
      <c r="G11" s="5">
        <v>5000</v>
      </c>
      <c r="H11" s="5">
        <v>30000</v>
      </c>
      <c r="I11" s="4" t="str" xml:space="preserve">
        <v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v>
      </c>
      <c r="J11" s="4">
        <v>6482</v>
      </c>
    </row>
    <row r="12" ht="50" customHeight="1" xml:space="preserve">
      <c r="B12" s="4" t="str">
        <v>IRRI</v>
      </c>
      <c r="D12" s="4" t="str" xml:space="preserve">
        <v xml:space="preserve">IRRI 16: Number of operational AI-powered nutrient management advisory prototypes developed for rice production systems
</v>
      </c>
      <c r="E12" s="4" t="str">
        <v>Number of innovations (innovation development)</v>
      </c>
      <c r="F12" s="4" t="str">
        <v>The Socialist Republic of Viet Nam</v>
      </c>
      <c r="G12" s="5">
        <v>1</v>
      </c>
      <c r="H12" s="5">
        <v>35000</v>
      </c>
      <c r="I12" s="4" t="str" xml:space="preserve">
        <v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v>
      </c>
      <c r="J12" s="4">
        <v>6483</v>
      </c>
    </row>
    <row r="13" ht="50" customHeight="1" xml:space="preserve">
      <c r="A13" s="4" t="str">
        <v>AOW02: Action Lab</v>
      </c>
      <c r="B13" s="4" t="str">
        <v>IRRI</v>
      </c>
      <c r="C13" s="4" t="str">
        <v>HLO 2.2: Decision support systems integrate (near-)real-time, including digital twin approaches, to enable evidence-based management decisions.</v>
      </c>
      <c r="D13" s="4" t="str" xml:space="preserve">
        <v xml:space="preserve">IRRI 15: Number of integrated databases developed to curate rice value chain data in Vietnam for AI-powered nutrient management
</v>
      </c>
      <c r="E13" s="4" t="str">
        <v>Number of knowledge products</v>
      </c>
      <c r="F13" s="4" t="str">
        <v>The Socialist Republic of Viet Nam</v>
      </c>
      <c r="G13" s="5">
        <v>1</v>
      </c>
      <c r="H13" s="5">
        <v>5000</v>
      </c>
      <c r="I13" s="4" t="str" xml:space="preserve">
        <v xml:space="preserve">"""Assumptions: Availability of high-quality soil, farmer, and SSNM trial data, successful integration of diverse datasets, partners provide timely data access, standardized data formats exist, field data from One-Million-Ha pilots remain reliable.
Risks: D"
</v>
      </c>
      <c r="J13" s="4">
        <v>6484</v>
      </c>
    </row>
    <row r="14" ht="50" customHeight="1" xml:space="preserve">
      <c r="A14" s="4" t="str">
        <v>AOW02: Action Lab</v>
      </c>
      <c r="B14" s="4" t="str">
        <v>IRRI</v>
      </c>
      <c r="C14" s="4" t="str">
        <v>HLO 2.4: Genebanks integrate AI-powered tools to improve germplasm management and access.</v>
      </c>
      <c r="D14" s="4" t="str">
        <v>IRRI 6: Number of genebanks deploying AI tools for rice germplasm access, donor discovery, and breeder training with SOPs</v>
      </c>
      <c r="E14" s="4" t="str">
        <v>Number of innovations (innovation development)</v>
      </c>
      <c r="F14" s="4" t="str">
        <v>India, Egypt, Philippines</v>
      </c>
      <c r="G14" s="5">
        <v>3</v>
      </c>
      <c r="H14" s="5">
        <v>95348</v>
      </c>
      <c r="I14" s="4" t="str" xml:space="preserve">
        <v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v>
      </c>
      <c r="J14" s="4">
        <v>7737</v>
      </c>
    </row>
    <row r="15" ht="25" customHeight="1">
      <c r="C15" s="9" t="str">
        <v>HLO budget subtotal</v>
      </c>
      <c r="H15" s="9">
        <v>402455</v>
      </c>
      <c r="J15" s="9" t="str">
        <v/>
      </c>
    </row>
    <row r="16" ht="50" customHeight="1" xml:space="preserve">
      <c r="A16" s="8" t="str">
        <v>AOW03: Digital Futures</v>
      </c>
      <c r="B16" s="4" t="str">
        <v>IRRI</v>
      </c>
      <c r="C16" s="4" t="str">
        <v>HLO 3.2: Future case scenarios identified for digital transformation in FWL systems in addressing context-specific challenges and opportunities.</v>
      </c>
      <c r="D16" s="4" t="str">
        <v>IRRI 8: Number of evidence-based knowledge products on youth engagement in digital foresight produced and disseminated; (publication and scoping review)</v>
      </c>
      <c r="E16" s="4" t="str">
        <v>Number of knowledge products</v>
      </c>
      <c r="F16" s="4" t="str">
        <v>India, Philippines</v>
      </c>
      <c r="G16" s="5">
        <v>2</v>
      </c>
      <c r="H16" s="5">
        <v>50000</v>
      </c>
      <c r="I16" s="4" t="str" xml:space="preserve">
        <v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v>
      </c>
      <c r="J16" s="4">
        <v>6307</v>
      </c>
    </row>
    <row r="17" ht="50" customHeight="1" xml:space="preserve">
      <c r="A17" s="4" t="str">
        <v>AOW03: Digital Futures</v>
      </c>
      <c r="B17" s="4" t="str">
        <v>IRRI</v>
      </c>
      <c r="C17" s="4" t="str">
        <v>HLO 3.1: Probes of a wide range of AI and/or other novel digital solutions to generate early evidence on digital frontier technology impacts, for decision making.</v>
      </c>
      <c r="D17" s="4" t="str">
        <v>IRRI 7: Number of AI and digital solution probes supporting system-level scenario analysis for decision-makers. (Beta version for testing)</v>
      </c>
      <c r="E17" s="4" t="str">
        <v>Number of innovations (innovation development)</v>
      </c>
      <c r="F17" s="4" t="str">
        <v>Philippines</v>
      </c>
      <c r="G17" s="5">
        <v>1</v>
      </c>
      <c r="H17" s="5">
        <v>20000</v>
      </c>
      <c r="I17" s="4" t="str" xml:space="preserve">
        <v xml:space="preserve">"Assumptions: adequate baseline acoustic data for model training, stable insect behavioral responses to attractants and LEDs, effective aggregation of insects near the device, machine learning models generalize well from controlled to real storage environment.
</v>
      </c>
      <c r="J17" s="4">
        <v>6404</v>
      </c>
    </row>
    <row r="18" ht="25" customHeight="1">
      <c r="C18" s="9" t="str">
        <v>HLO budget subtotal</v>
      </c>
      <c r="H18" s="9">
        <v>70000</v>
      </c>
      <c r="J18" s="9" t="str">
        <v/>
      </c>
    </row>
    <row r="19" ht="50" customHeight="1">
      <c r="A19" s="8" t="str">
        <v>AOW04: Enabling Environment</v>
      </c>
      <c r="B19" s="4" t="str">
        <v>IRRI</v>
      </c>
      <c r="C19" s="4" t="str">
        <v>HLO 4.5: Networks of digital innovation nodes &amp; hubs creating an ecosystem for inclusive and FAIR compliant digital and data innovations.</v>
      </c>
      <c r="D19" s="4" t="str">
        <v>IRRI 19: Number of AI product co-developed for genebanks in collaboration with AI71.</v>
      </c>
      <c r="E19" s="4" t="str">
        <v>Number of innovations (innovation development)</v>
      </c>
      <c r="F19" s="4" t="str">
        <v>Philippines, Egypt, India</v>
      </c>
      <c r="G19" s="5">
        <v>1</v>
      </c>
      <c r="H19" s="5">
        <v>50000</v>
      </c>
      <c r="I19" s="4" t="str">
        <v>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v>
      </c>
      <c r="J19" s="4">
        <v>6343</v>
      </c>
    </row>
    <row r="20" ht="50" customHeight="1" xml:space="preserve">
      <c r="A20" s="4" t="str">
        <v>AOW04: Enabling Environment</v>
      </c>
      <c r="B20" s="4" t="str">
        <v>IRRI</v>
      </c>
      <c r="C20" s="4" t="str">
        <v>HLO 4.3: Evidence, partnerships, and sustainable pathways for scaling digital innovation and digital public infrastructure in FLW systems generated and tested</v>
      </c>
      <c r="D20" s="4" t="str">
        <v>IRRI 11: Number of AI-based digital agency module toolkit co-developed and piloted with partners.</v>
      </c>
      <c r="E20" s="4" t="str">
        <v>Number of innovations (innovation development)</v>
      </c>
      <c r="F20" s="4" t="str">
        <v>Philippines, India</v>
      </c>
      <c r="G20" s="5">
        <v>2</v>
      </c>
      <c r="H20" s="5">
        <v>50000</v>
      </c>
      <c r="I20" s="4" t="str" xml:space="preserve">
        <v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v>
      </c>
      <c r="J20" s="4">
        <v>6372</v>
      </c>
    </row>
    <row r="21" ht="50" customHeight="1" xml:space="preserve">
      <c r="A21" s="4" t="str">
        <v>AOW04: Enabling Environment</v>
      </c>
      <c r="B21" s="4" t="str">
        <v>IRRI</v>
      </c>
      <c r="C21" s="4" t="str">
        <v>HLO 4.2:  Applied tools, frameworks, methods, guidelines and prototypes developed to support responsible, inclusive, and user-centered digital innovation across FLW systems.</v>
      </c>
      <c r="D21" s="4" t="str">
        <v>IRRI 10: Number of gender-responsive benchmarking framework for AI modules developed and validated.</v>
      </c>
      <c r="E21" s="4" t="str">
        <v>Number of knowledge products</v>
      </c>
      <c r="F21" s="4" t="str">
        <v>India</v>
      </c>
      <c r="G21" s="5">
        <v>3</v>
      </c>
      <c r="H21" s="5">
        <v>50000</v>
      </c>
      <c r="I21" s="4" t="str" xml:space="preserve">
        <v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v>
      </c>
      <c r="J21" s="4">
        <v>6373</v>
      </c>
    </row>
    <row r="22" ht="50" customHeight="1" xml:space="preserve">
      <c r="B22" s="4" t="str">
        <v>IRRI</v>
      </c>
      <c r="D22" s="4" t="str">
        <v>IRRI 9: Number of knowledge products (digital gender inclusion framework, digital agency module, and gender and digital strategy) developed and delivered.</v>
      </c>
      <c r="E22" s="4" t="str">
        <v>Number of knowledge products</v>
      </c>
      <c r="F22" s="4" t="str">
        <v>Philippines, India</v>
      </c>
      <c r="G22" s="5">
        <v>3</v>
      </c>
      <c r="H22" s="5">
        <v>40000</v>
      </c>
      <c r="I22" s="4" t="str" xml:space="preserve">
        <v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v>
      </c>
      <c r="J22" s="4">
        <v>6374</v>
      </c>
    </row>
    <row r="23" ht="50" customHeight="1">
      <c r="A23" s="4" t="str">
        <v>AOW04: Enabling Environment</v>
      </c>
      <c r="B23" s="4" t="str">
        <v>IRRI</v>
      </c>
      <c r="C23" s="4" t="str">
        <v>HLO 4.1. Communities of practice and collaborative knowledge platforms established to coordinate learning, exchange, and leadership on responsible and inclusive digital innovation across FLW systems.</v>
      </c>
      <c r="D23" s="4" t="str">
        <v>IRRI 18: Number of Communities of Practices (COPs) on gender-inclusive digital pathways launched,  operationalized and maintained.</v>
      </c>
      <c r="E23" s="4" t="str">
        <v>custom</v>
      </c>
      <c r="F23" s="4" t="str">
        <v>India, Philippines</v>
      </c>
      <c r="G23" s="5">
        <v>1</v>
      </c>
      <c r="H23" s="5">
        <v>10000</v>
      </c>
      <c r="I23" s="4" t="str">
        <v>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v>
      </c>
      <c r="J23" s="4">
        <v>7006</v>
      </c>
    </row>
    <row r="24" ht="50" customHeight="1" xml:space="preserve">
      <c r="B24" s="4" t="str">
        <v>IRRI</v>
      </c>
      <c r="D24" s="4" t="str">
        <v>Number of people trained on geospatial foundation models, platforms and/or frameworks</v>
      </c>
      <c r="E24" s="4" t="str">
        <v>Number of people trained (capacity sharing for development)</v>
      </c>
      <c r="F24" s="4" t="str">
        <v>Kenya</v>
      </c>
      <c r="G24" s="5">
        <v>5</v>
      </c>
      <c r="H24" s="5">
        <v>5000</v>
      </c>
      <c r="I24"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4" s="4">
        <v>7365</v>
      </c>
    </row>
    <row r="25" ht="50" customHeight="1" xml:space="preserve">
      <c r="B25" s="4" t="str">
        <v>IRRI</v>
      </c>
      <c r="D25" s="4" t="str">
        <v xml:space="preserve">Number of individuals capacitated through consortium workshops on Spatial Information (CSI) to coordinate geospatial analysis across the CGIAR </v>
      </c>
      <c r="E25" s="4" t="str">
        <v>Number of people trained (capacity sharing for development)</v>
      </c>
      <c r="F25" s="4" t="str">
        <v>Kenya</v>
      </c>
      <c r="G25" s="5">
        <v>3</v>
      </c>
      <c r="H25" s="5">
        <v>5000</v>
      </c>
      <c r="I25"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5" s="4">
        <v>7462</v>
      </c>
    </row>
    <row r="26" ht="25" customHeight="1">
      <c r="C26" s="9" t="str">
        <v>HLO budget subtotal</v>
      </c>
      <c r="H26" s="9">
        <v>210000</v>
      </c>
      <c r="J26" s="9" t="str">
        <v/>
      </c>
    </row>
  </sheetData>
  <mergeCells count="19">
    <mergeCell ref="A1:A2"/>
    <mergeCell ref="B1:B2"/>
    <mergeCell ref="C1:C2"/>
    <mergeCell ref="D1:H1"/>
    <mergeCell ref="I1:I2"/>
    <mergeCell ref="J1:J2"/>
    <mergeCell ref="C3:C5"/>
    <mergeCell ref="C6:G6"/>
    <mergeCell ref="A3:A6"/>
    <mergeCell ref="C8:C10"/>
    <mergeCell ref="C11:C12"/>
    <mergeCell ref="C15:G15"/>
    <mergeCell ref="A7:A15"/>
    <mergeCell ref="C18:G18"/>
    <mergeCell ref="A16:A18"/>
    <mergeCell ref="C21:C22"/>
    <mergeCell ref="C23:C25"/>
    <mergeCell ref="C26:G26"/>
    <mergeCell ref="A19: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Google</v>
      </c>
      <c r="C2" s="4" t="str">
        <v>IRRI</v>
      </c>
      <c r="D2" s="4" t="str">
        <v>United States of America</v>
      </c>
      <c r="E2" s="5">
        <v>40000</v>
      </c>
      <c r="F2" s="4" t="str">
        <v>Placeholder, to be confirmed after PORB approval.</v>
      </c>
      <c r="G2" s="4">
        <v>231</v>
      </c>
    </row>
    <row r="3" ht="50" customHeight="1">
      <c r="A3" s="4" t="str">
        <v>AOW02: Action Lab</v>
      </c>
      <c r="B3" s="4" t="str">
        <v>Digital Green</v>
      </c>
      <c r="C3" s="4" t="str">
        <v>IRRI</v>
      </c>
      <c r="D3" s="4" t="str">
        <v>United States of America</v>
      </c>
      <c r="E3" s="5">
        <v>15000</v>
      </c>
      <c r="F3" s="4" t="str">
        <v>Placeholder, to be confirmed after PORB approval.</v>
      </c>
      <c r="G3" s="4">
        <v>232</v>
      </c>
    </row>
    <row r="4" ht="50" customHeight="1">
      <c r="A4" s="4" t="str">
        <v>AOW02: Action Lab</v>
      </c>
      <c r="B4" s="4" t="str">
        <v>Unknown Partner 5</v>
      </c>
      <c r="C4" s="4" t="str">
        <v>IRRI</v>
      </c>
      <c r="D4" s="4" t="str">
        <v>India, The Socialist Republic of Viet Nam, Sweden</v>
      </c>
      <c r="E4" s="5">
        <v>95000</v>
      </c>
      <c r="F4" s="4" t="str">
        <v>Placeholder, to be confirmed after PORB approval.</v>
      </c>
      <c r="G4" s="4">
        <v>233</v>
      </c>
    </row>
    <row r="5" ht="25" customHeight="1">
      <c r="B5" s="9" t="str">
        <v>Contracted partners subtotal</v>
      </c>
      <c r="E5" s="9">
        <v>150000</v>
      </c>
      <c r="F5" s="9" t="str">
        <v/>
      </c>
      <c r="G5" s="9" t="str">
        <v/>
      </c>
    </row>
    <row r="6" ht="50" customHeight="1">
      <c r="A6" s="8" t="str">
        <v>AOW03: Digital Futures</v>
      </c>
      <c r="B6" s="4" t="str">
        <v>Unknown Partner 1</v>
      </c>
      <c r="C6" s="4" t="str">
        <v>IRRI</v>
      </c>
      <c r="D6" s="4" t="str">
        <v>Philippines</v>
      </c>
      <c r="E6" s="5">
        <v>10000</v>
      </c>
      <c r="F6" s="4" t="str">
        <v>Placeholder, to be confirmed after PORB approval.</v>
      </c>
      <c r="G6" s="4">
        <v>234</v>
      </c>
    </row>
    <row r="7" ht="25" customHeight="1">
      <c r="B7" s="9" t="str">
        <v>Contracted partners subtotal</v>
      </c>
      <c r="E7" s="9">
        <v>10000</v>
      </c>
      <c r="F7" s="9" t="str">
        <v/>
      </c>
      <c r="G7" s="9" t="str">
        <v/>
      </c>
    </row>
    <row r="8" ht="50" customHeight="1">
      <c r="A8" s="8" t="str">
        <v>AOW04: Enabling Environment</v>
      </c>
      <c r="B8" s="4" t="str">
        <v>Unknown Partner 1</v>
      </c>
      <c r="C8" s="4" t="str">
        <v>IRRI</v>
      </c>
      <c r="D8" s="4" t="str">
        <v>India, Philippines</v>
      </c>
      <c r="E8" s="5">
        <v>50000</v>
      </c>
      <c r="F8" s="4" t="str">
        <v>Placeholder, to be confirmed after PORB approval.</v>
      </c>
      <c r="G8" s="4">
        <v>235</v>
      </c>
    </row>
    <row r="9" ht="25" customHeight="1">
      <c r="B9" s="9" t="str">
        <v>Contracted partners subtotal</v>
      </c>
      <c r="E9" s="9">
        <v>50000</v>
      </c>
      <c r="F9" s="9" t="str">
        <v/>
      </c>
      <c r="G9" s="9" t="str">
        <v/>
      </c>
    </row>
  </sheetData>
  <mergeCells count="6">
    <mergeCell ref="B5:D5"/>
    <mergeCell ref="A2: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R-A-2023-19-EBS Phase 3</v>
      </c>
      <c r="C2" s="4" t="str">
        <v>HLO 1.1: Developed integrated data infrastructure, tools, and standards to enable creation, discovery, and analysis of FAIR, AI-ready data and AI solutions.</v>
      </c>
      <c r="D2" s="5">
        <v>0</v>
      </c>
      <c r="E2" s="4" t="str">
        <v/>
      </c>
      <c r="F2" s="4">
        <v>1211</v>
      </c>
    </row>
    <row r="3" ht="60" customHeight="1" xml:space="preserve">
      <c r="A3" s="4" t="str">
        <v>IRRI</v>
      </c>
      <c r="B3" s="4" t="str">
        <v>R-A-2024-19-ISARC Phase III</v>
      </c>
      <c r="C3" s="4" t="str">
        <v xml:space="preserve">I-OC 2.2. Smallholder farmers, local innovators, women, and youth groups gain equitable access to user-centered, AI-enabled digital services that support learning, innovation, and inclusive participation. </v>
      </c>
      <c r="D3" s="5">
        <v>383314</v>
      </c>
      <c r="E3" s="4" t="str" xml:space="preserve">
        <v xml:space="preserve">Active in 2026 and subject to continued funding. 
</v>
      </c>
      <c r="F3" s="4">
        <v>1220</v>
      </c>
    </row>
    <row r="4" ht="25" customHeight="1">
      <c r="B4" s="9" t="str">
        <v>W3/Bilateral budget subtotal</v>
      </c>
      <c r="D4" s="9">
        <v>383314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IRRI</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114</v>
      </c>
      <c r="G2" s="4">
        <v>3</v>
      </c>
    </row>
    <row r="3" ht="25" customHeight="1">
      <c r="C3" s="9" t="str">
        <v>Cross-cutting budget subtotal</v>
      </c>
      <c r="D3" s="9">
        <v>40000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40000</v>
      </c>
      <c r="C2" s="5">
        <v>38986</v>
      </c>
      <c r="D2" s="5">
        <v>137455</v>
      </c>
      <c r="E2" s="5">
        <v>32000</v>
      </c>
      <c r="F2" s="5">
        <v>100000</v>
      </c>
      <c r="G2" s="5">
        <f>=SUM(B2:F2)</f>
        <v>0</v>
      </c>
    </row>
    <row r="3" ht="20" customHeight="1">
      <c r="A3" s="4" t="str">
        <v>Operations (supplies, consultants, travels, workshops, other)</v>
      </c>
      <c r="B3" s="5">
        <v>0</v>
      </c>
      <c r="C3" s="5">
        <v>34000</v>
      </c>
      <c r="D3" s="5">
        <v>115000</v>
      </c>
      <c r="E3" s="5">
        <v>28000</v>
      </c>
      <c r="F3" s="5">
        <v>60000</v>
      </c>
      <c r="G3" s="5">
        <f>=SUM(B3:F3)</f>
        <v>0</v>
      </c>
    </row>
    <row r="4" ht="20" customHeight="1">
      <c r="A4" s="4" t="str">
        <v>Collaborators non-CGIAR centers</v>
      </c>
      <c r="B4" s="5">
        <v>0</v>
      </c>
      <c r="C4" s="5">
        <v>0</v>
      </c>
      <c r="D4" s="5">
        <v>150000</v>
      </c>
      <c r="E4" s="5">
        <v>10000</v>
      </c>
      <c r="F4" s="5">
        <v>50000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India</v>
      </c>
      <c r="D2" s="5">
        <v>100</v>
      </c>
      <c r="E2" s="4">
        <v>3360</v>
      </c>
    </row>
    <row r="3" ht="45" customHeight="1">
      <c r="A3" s="8" t="str">
        <v>AOW01: Data Ecosystem</v>
      </c>
      <c r="B3" s="4" t="str">
        <v>IRRI</v>
      </c>
      <c r="C3" s="4" t="str">
        <v>Philippines</v>
      </c>
      <c r="D3" s="5">
        <v>100</v>
      </c>
      <c r="E3" s="4">
        <v>1290</v>
      </c>
    </row>
    <row r="4" ht="45" customHeight="1">
      <c r="A4" s="8" t="str">
        <v>AOW02: Action Lab</v>
      </c>
      <c r="B4" s="4" t="str">
        <v>IRRI</v>
      </c>
      <c r="C4" s="4" t="str">
        <v>Egypt</v>
      </c>
      <c r="D4" s="5">
        <v>9</v>
      </c>
      <c r="E4" s="4">
        <v>1342</v>
      </c>
    </row>
    <row r="5" ht="45" customHeight="1">
      <c r="A5" s="4" t="str">
        <v>AOW02: Action Lab</v>
      </c>
      <c r="B5" s="4" t="str">
        <v>IRRI</v>
      </c>
      <c r="C5" s="4" t="str">
        <v>India</v>
      </c>
      <c r="D5" s="5">
        <v>63</v>
      </c>
      <c r="E5" s="4">
        <v>1340</v>
      </c>
    </row>
    <row r="6" ht="45" customHeight="1">
      <c r="A6" s="4" t="str">
        <v>AOW02: Action Lab</v>
      </c>
      <c r="B6" s="4" t="str">
        <v>IRRI</v>
      </c>
      <c r="C6" s="4" t="str">
        <v>Philippines</v>
      </c>
      <c r="D6" s="5">
        <v>9</v>
      </c>
      <c r="E6" s="4">
        <v>1343</v>
      </c>
    </row>
    <row r="7" ht="45" customHeight="1">
      <c r="A7" s="4" t="str">
        <v>AOW02: Action Lab</v>
      </c>
      <c r="B7" s="4" t="str">
        <v>IRRI</v>
      </c>
      <c r="C7" s="4" t="str">
        <v>The Socialist Republic of Viet Nam</v>
      </c>
      <c r="D7" s="5">
        <v>19</v>
      </c>
      <c r="E7" s="4">
        <v>1341</v>
      </c>
    </row>
    <row r="8" ht="45" customHeight="1">
      <c r="A8" s="8" t="str">
        <v>AOW03: Digital Futures</v>
      </c>
      <c r="B8" s="4" t="str">
        <v>IRRI</v>
      </c>
      <c r="C8" s="4" t="str">
        <v>India</v>
      </c>
      <c r="D8" s="5">
        <v>65</v>
      </c>
      <c r="E8" s="4">
        <v>1399</v>
      </c>
    </row>
    <row r="9" ht="45" customHeight="1">
      <c r="A9" s="4" t="str">
        <v>AOW03: Digital Futures</v>
      </c>
      <c r="B9" s="4" t="str">
        <v>IRRI</v>
      </c>
      <c r="C9" s="4" t="str">
        <v>Philippines</v>
      </c>
      <c r="D9" s="5">
        <v>35</v>
      </c>
      <c r="E9" s="4">
        <v>1401</v>
      </c>
    </row>
    <row r="10" ht="45" customHeight="1">
      <c r="A10" s="8" t="str">
        <v>AOW04: Enabling Environment</v>
      </c>
      <c r="B10" s="4" t="str">
        <v>IRRI</v>
      </c>
      <c r="C10" s="4" t="str">
        <v>Egypt</v>
      </c>
      <c r="D10" s="5">
        <v>8</v>
      </c>
      <c r="E10" s="4">
        <v>1482</v>
      </c>
    </row>
    <row r="11" ht="45" customHeight="1">
      <c r="A11" s="4" t="str">
        <v>AOW04: Enabling Environment</v>
      </c>
      <c r="B11" s="4" t="str">
        <v>IRRI</v>
      </c>
      <c r="C11" s="4" t="str">
        <v>India</v>
      </c>
      <c r="D11" s="5">
        <v>55</v>
      </c>
      <c r="E11" s="4">
        <v>1479</v>
      </c>
    </row>
    <row r="12" ht="45" customHeight="1">
      <c r="A12" s="4" t="str">
        <v>AOW04: Enabling Environment</v>
      </c>
      <c r="B12" s="4" t="str">
        <v>IRRI</v>
      </c>
      <c r="C12" s="4" t="str">
        <v>Kenya</v>
      </c>
      <c r="D12" s="5">
        <v>5</v>
      </c>
      <c r="E12" s="4">
        <v>1480</v>
      </c>
    </row>
    <row r="13" ht="45" customHeight="1">
      <c r="A13" s="4" t="str">
        <v>AOW04: Enabling Environment</v>
      </c>
      <c r="B13" s="4" t="str">
        <v>IRRI</v>
      </c>
      <c r="C13" s="4" t="str">
        <v>Philippines</v>
      </c>
      <c r="D13" s="5">
        <v>32</v>
      </c>
      <c r="E13" s="4">
        <v>1481</v>
      </c>
    </row>
  </sheetData>
  <mergeCells count="5">
    <mergeCell ref="A2"/>
    <mergeCell ref="A3"/>
    <mergeCell ref="A4:A7"/>
    <mergeCell ref="A8:A9"/>
    <mergeCell ref="A10: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1674</v>
      </c>
    </row>
    <row r="3" ht="45" customHeight="1">
      <c r="A3" s="8" t="str">
        <v>AOW01: Data Ecosystem</v>
      </c>
      <c r="B3" s="4" t="str">
        <v>IRRI</v>
      </c>
      <c r="C3" s="4" t="str">
        <v>Global</v>
      </c>
      <c r="D3" s="4" t="str">
        <v>global</v>
      </c>
      <c r="E3" s="5">
        <v>100</v>
      </c>
      <c r="F3" s="4">
        <v>453</v>
      </c>
    </row>
    <row r="4" ht="45" customHeight="1">
      <c r="A4" s="4" t="str">
        <v>AOW01: Data Ecosystem</v>
      </c>
      <c r="B4" s="4" t="str">
        <v>IRRI</v>
      </c>
      <c r="C4" s="4" t="str">
        <v>Philippines</v>
      </c>
      <c r="D4" s="4" t="str">
        <v>country</v>
      </c>
      <c r="E4" s="5">
        <v>0</v>
      </c>
      <c r="F4" s="4">
        <v>452</v>
      </c>
    </row>
    <row r="5" ht="45" customHeight="1">
      <c r="A5" s="8" t="str">
        <v>AOW02: Action Lab</v>
      </c>
      <c r="B5" s="4" t="str">
        <v>IRRI</v>
      </c>
      <c r="C5" s="4" t="str">
        <v>Global</v>
      </c>
      <c r="D5" s="4" t="str">
        <v>global</v>
      </c>
      <c r="E5" s="5">
        <v>100</v>
      </c>
      <c r="F5" s="4">
        <v>469</v>
      </c>
    </row>
    <row r="6" ht="45" customHeight="1">
      <c r="A6" s="8" t="str">
        <v>AOW03: Digital Futures</v>
      </c>
      <c r="B6" s="4" t="str">
        <v>IRRI</v>
      </c>
      <c r="C6" s="4" t="str">
        <v>Asia</v>
      </c>
      <c r="D6" s="4" t="str">
        <v>region</v>
      </c>
      <c r="E6" s="5">
        <v>100</v>
      </c>
      <c r="F6" s="4">
        <v>494</v>
      </c>
    </row>
    <row r="7" ht="45" customHeight="1">
      <c r="A7" s="8" t="str">
        <v>AOW04: Enabling Environment</v>
      </c>
      <c r="B7" s="4" t="str">
        <v>IRRI</v>
      </c>
      <c r="C7" s="4" t="str">
        <v>Global</v>
      </c>
      <c r="D7" s="4" t="str">
        <v>global</v>
      </c>
      <c r="E7" s="5">
        <v>100</v>
      </c>
      <c r="F7" s="4">
        <v>517</v>
      </c>
    </row>
  </sheetData>
  <mergeCells count="5">
    <mergeCell ref="A2"/>
    <mergeCell ref="A3:A4"/>
    <mergeCell ref="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