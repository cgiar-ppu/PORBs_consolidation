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26666</v>
      </c>
      <c r="K4" s="5">
        <v>26666</v>
      </c>
      <c r="L4" s="5">
        <v>0</v>
      </c>
      <c r="M4" s="5">
        <v>0</v>
      </c>
      <c r="N4" s="4">
        <v>219</v>
      </c>
    </row>
    <row r="5" ht="20" customHeight="1">
      <c r="A5" s="4" t="str">
        <v>AOW01: Data Ecosystem</v>
      </c>
      <c r="B5" s="5">
        <v>5</v>
      </c>
      <c r="C5" s="5">
        <v>50000</v>
      </c>
      <c r="D5" s="5">
        <v>0</v>
      </c>
      <c r="E5" s="5">
        <v>0</v>
      </c>
      <c r="F5" s="5">
        <v>30</v>
      </c>
      <c r="G5" s="5">
        <v>10000</v>
      </c>
      <c r="H5" s="5">
        <v>0</v>
      </c>
      <c r="I5" s="5">
        <v>0</v>
      </c>
      <c r="J5" s="5">
        <v>60000</v>
      </c>
      <c r="K5" s="5">
        <v>60000</v>
      </c>
      <c r="L5" s="5">
        <v>0</v>
      </c>
      <c r="M5" s="5">
        <v>0</v>
      </c>
      <c r="N5" s="4">
        <v>215</v>
      </c>
    </row>
    <row r="6" ht="20" customHeight="1">
      <c r="A6" s="4" t="str">
        <v>AOW02: Action Lab</v>
      </c>
      <c r="B6" s="5">
        <v>5</v>
      </c>
      <c r="C6" s="5">
        <v>145000</v>
      </c>
      <c r="D6" s="5">
        <v>6</v>
      </c>
      <c r="E6" s="5">
        <v>215000</v>
      </c>
      <c r="F6" s="5">
        <v>100</v>
      </c>
      <c r="G6" s="5">
        <v>51764</v>
      </c>
      <c r="H6" s="5">
        <v>5</v>
      </c>
      <c r="I6" s="5">
        <v>25000</v>
      </c>
      <c r="J6" s="5">
        <v>436764</v>
      </c>
      <c r="K6" s="5">
        <v>436764</v>
      </c>
      <c r="L6" s="5">
        <v>100000</v>
      </c>
      <c r="M6" s="5">
        <v>0</v>
      </c>
      <c r="N6" s="4">
        <v>216</v>
      </c>
    </row>
    <row r="7" ht="20" customHeight="1">
      <c r="A7" s="4" t="str">
        <v>AOW03: Digital Futures</v>
      </c>
      <c r="B7" s="5">
        <v>1</v>
      </c>
      <c r="C7" s="5">
        <v>70000</v>
      </c>
      <c r="D7" s="5">
        <v>1</v>
      </c>
      <c r="E7" s="5">
        <v>10000</v>
      </c>
      <c r="F7" s="5">
        <v>0</v>
      </c>
      <c r="G7" s="5">
        <v>0</v>
      </c>
      <c r="H7" s="5">
        <v>0</v>
      </c>
      <c r="I7" s="5">
        <v>0</v>
      </c>
      <c r="J7" s="5">
        <v>80000</v>
      </c>
      <c r="K7" s="5">
        <v>80000</v>
      </c>
      <c r="L7" s="5">
        <v>10000</v>
      </c>
      <c r="M7" s="5">
        <v>0</v>
      </c>
      <c r="N7" s="4">
        <v>218</v>
      </c>
    </row>
    <row r="8" ht="20" customHeight="1">
      <c r="A8" s="4" t="str">
        <v>AOW04: Enabling Environment</v>
      </c>
      <c r="B8" s="5">
        <v>3</v>
      </c>
      <c r="C8" s="5">
        <v>250986</v>
      </c>
      <c r="D8" s="5">
        <v>3</v>
      </c>
      <c r="E8" s="5">
        <v>90000</v>
      </c>
      <c r="F8" s="5">
        <v>8</v>
      </c>
      <c r="G8" s="5">
        <v>10000</v>
      </c>
      <c r="H8" s="5">
        <v>1</v>
      </c>
      <c r="I8" s="5">
        <v>12000</v>
      </c>
      <c r="J8" s="5">
        <v>362986</v>
      </c>
      <c r="K8" s="5">
        <v>362986</v>
      </c>
      <c r="L8" s="5">
        <v>23986</v>
      </c>
      <c r="M8" s="5">
        <v>0</v>
      </c>
      <c r="N8" s="4">
        <v>217</v>
      </c>
    </row>
    <row r="9" ht="25" customHeight="1">
      <c r="A9" s="6" t="str">
        <v>Total</v>
      </c>
      <c r="B9" s="7" t="str">
        <v/>
      </c>
      <c r="C9" s="7">
        <v>515986</v>
      </c>
      <c r="D9" s="7" t="str">
        <v/>
      </c>
      <c r="E9" s="7">
        <v>315000</v>
      </c>
      <c r="F9" s="7" t="str">
        <v/>
      </c>
      <c r="G9" s="7">
        <v>71764</v>
      </c>
      <c r="H9" s="7" t="str">
        <v/>
      </c>
      <c r="I9" s="7">
        <v>37000</v>
      </c>
      <c r="J9" s="7">
        <v>966416</v>
      </c>
      <c r="K9" s="7">
        <v>966416</v>
      </c>
      <c r="L9" s="7">
        <v>133986</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3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ILRI</v>
      </c>
      <c r="C3" s="4" t="str">
        <v>HLO 1.1: Developed integrated data infrastructure, tools, and standards to enable creation, discovery, and analysis of FAIR, AI-ready data and AI solutions.</v>
      </c>
      <c r="D3" s="4" t="str">
        <v>Number of data infrastructure, tools, and standards developed to create, collect, search and analyze FAIR and AI-ready data and digital solutions.</v>
      </c>
      <c r="E3" s="4" t="str">
        <v>Number of innovations (innovation development)</v>
      </c>
      <c r="F3" s="4" t="str">
        <v>Zambia, Timor-Leste, Ethiopia, Mexico, Greece, Nigeria, Malaysia, Peru, Bangladesh, India, Kenya, Colombia</v>
      </c>
      <c r="G3" s="5">
        <v>5</v>
      </c>
      <c r="H3" s="5">
        <v>50000</v>
      </c>
      <c r="I3" s="4" t="str" xml:space="preserve">
        <v xml:space="preserve">Successful innovation development will depend on establishing the essential partnerships and collaborations required for creating and scaling the digital platforms. Assumes $10k allocation to as yet unidentified partner. 
</v>
      </c>
      <c r="J3" s="4">
        <v>7247</v>
      </c>
    </row>
    <row r="4" ht="50" customHeight="1" xml:space="preserve">
      <c r="A4" s="4" t="str">
        <v>AOW01: Data Ecosystem</v>
      </c>
      <c r="B4" s="4" t="str">
        <v>ILRI</v>
      </c>
      <c r="C4" s="4" t="str">
        <v>HLO 1.3: Established governance strategies and frameworks to strengthen data and digital management and drive culture change across CGIAR Centers.</v>
      </c>
      <c r="D4" s="4" t="str">
        <v>Number of individuals trained on ethical and inclusive data and digital practices.</v>
      </c>
      <c r="E4" s="4" t="str">
        <v>Number of people trained (capacity sharing for development)</v>
      </c>
      <c r="F4" s="4" t="str">
        <v>Philippines, Ethiopia, India, The Socialist Republic of Viet Nam, Malaysia, Thailand, Mexico, Kenya, Peru</v>
      </c>
      <c r="G4" s="5">
        <v>30</v>
      </c>
      <c r="H4" s="5">
        <v>10000</v>
      </c>
      <c r="I4" s="4" t="str" xml:space="preserve">
        <v xml:space="preserve">Contingent upon centers willingness to share datasets and publish them with shared ownership.
</v>
      </c>
      <c r="J4" s="4">
        <v>7266</v>
      </c>
    </row>
    <row r="5" ht="25" customHeight="1">
      <c r="C5" s="9" t="str">
        <v>HLO budget subtotal</v>
      </c>
      <c r="H5" s="9">
        <v>60000</v>
      </c>
      <c r="J5" s="9" t="str">
        <v/>
      </c>
    </row>
    <row r="6" ht="50" customHeight="1" xml:space="preserve">
      <c r="A6" s="8" t="str">
        <v>AOW02: Action Lab</v>
      </c>
      <c r="B6" s="4" t="str">
        <v>ILRI</v>
      </c>
      <c r="C6" s="4" t="str">
        <v>HLO 2.7: Digital innovations use human-centered design and citizen science to enhance gender responsiveness and social inclusiveness.</v>
      </c>
      <c r="D6" s="4" t="str" xml:space="preserve">
        <v xml:space="preserve">ILRI 3: Number of people trained for using geo-referenced livestock data collection tool to interface with climate forecasting systems
</v>
      </c>
      <c r="E6" s="4" t="str">
        <v>Number of people trained (capacity sharing for development)</v>
      </c>
      <c r="F6" s="4" t="str">
        <v>Kenya</v>
      </c>
      <c r="G6" s="5">
        <v>100</v>
      </c>
      <c r="H6" s="5">
        <v>51764</v>
      </c>
      <c r="I6" s="4" t="str" xml:space="preserve">
        <v xml:space="preserve">We expect that the existing platforms such as the KAOP will remain functional and that partners will be open to sharing forecast data and advisories. Assumes $10k allocation to as yet unidentified partner. 
</v>
      </c>
      <c r="J6" s="4">
        <v>6321</v>
      </c>
    </row>
    <row r="7" ht="50" customHeight="1" xml:space="preserve">
      <c r="B7" s="4" t="str">
        <v>ILRI</v>
      </c>
      <c r="D7" s="4" t="str" xml:space="preserve">
        <v xml:space="preserve">ILRI 15: Number of research briefs produced on integrating community knowledge into livestock data collection tool for dryland decision support
</v>
      </c>
      <c r="E7" s="4" t="str">
        <v>Number of knowledge products</v>
      </c>
      <c r="F7" s="4" t="str">
        <v>Kenya</v>
      </c>
      <c r="G7" s="5">
        <v>1</v>
      </c>
      <c r="H7" s="5">
        <v>70000</v>
      </c>
      <c r="I7" s="4" t="str" xml:space="preserve">
        <v xml:space="preserve">Contingent upon conduct of experiment, data analysis being done on time and results becoming clearer
</v>
      </c>
      <c r="J7" s="4">
        <v>6473</v>
      </c>
    </row>
    <row r="8" ht="50" customHeight="1" xml:space="preserve">
      <c r="A8" s="4" t="str">
        <v>AOW02: Action Lab</v>
      </c>
      <c r="B8" s="4" t="str">
        <v>ILRI</v>
      </c>
      <c r="C8" s="4" t="str">
        <v>HLO 2.5: Advisory solutions use AI-powered tools, including language models and speech analytics, to improve relevance, accessibility, and user engagement.</v>
      </c>
      <c r="D8" s="4" t="str" xml:space="preserve">
        <v xml:space="preserve">ILRI 9: Number of conference and working papers produced on AI-powered agro-met advisory innovation development and benchmarking
</v>
      </c>
      <c r="E8" s="4" t="str">
        <v>Number of knowledge products</v>
      </c>
      <c r="F8" s="4" t="str">
        <v>Kenya, India</v>
      </c>
      <c r="G8" s="5">
        <v>1</v>
      </c>
      <c r="H8" s="5">
        <v>10000</v>
      </c>
      <c r="I8" s="4" t="str" xml:space="preserve">
        <v xml:space="preserve">Completion is contingent upon the deliverable demonstrating results to a point where it can be published. 
</v>
      </c>
      <c r="J8" s="4">
        <v>6336</v>
      </c>
    </row>
    <row r="9" ht="50" customHeight="1" xml:space="preserve">
      <c r="B9" s="4" t="str">
        <v>ILRI</v>
      </c>
      <c r="D9" s="4" t="str" xml:space="preserve">
        <v xml:space="preserve">ILRI 8: Number of operational agro-advisory platforms that integrate AI-powered climate advisory models
</v>
      </c>
      <c r="E9" s="4" t="str">
        <v>Number of innovations (innovation development)</v>
      </c>
      <c r="F9" s="4" t="str">
        <v>Kenya, India</v>
      </c>
      <c r="G9" s="5">
        <v>1</v>
      </c>
      <c r="H9" s="5">
        <v>20000</v>
      </c>
      <c r="I9" s="4" t="str" xml:space="preserve">
        <v xml:space="preserve">Successful completion depends on approval from IMD's AAS division for integrating this model into their platform. 
</v>
      </c>
      <c r="J9" s="4">
        <v>6337</v>
      </c>
    </row>
    <row r="10" ht="50" customHeight="1" xml:space="preserve">
      <c r="B10" s="4" t="str">
        <v>ILRI</v>
      </c>
      <c r="D10" s="4" t="str" xml:space="preserve">
        <v xml:space="preserve">ILRI 7: Number of digital solutions and machine learning models developed for AI-powered agro-met advisories
</v>
      </c>
      <c r="E10" s="4" t="str">
        <v>Number of innovations (innovation development)</v>
      </c>
      <c r="F10" s="4" t="str">
        <v>India, Kenya</v>
      </c>
      <c r="G10" s="5">
        <v>2</v>
      </c>
      <c r="H10" s="5">
        <v>25000</v>
      </c>
      <c r="I10" s="4" t="str" xml:space="preserve">
        <v xml:space="preserve">Successful completion is based on data quality being of acceptable standards and it being largely machine readable and not requiring transcription from physical to digital forms.
</v>
      </c>
      <c r="J10" s="4">
        <v>6338</v>
      </c>
    </row>
    <row r="11" ht="50" customHeight="1" xml:space="preserve">
      <c r="B11" s="4" t="str">
        <v>ILRI</v>
      </c>
      <c r="D11" s="4" t="str" xml:space="preserve">
        <v xml:space="preserve">ILRI 6: Number of curated datasets and knowledge products collated to train AI-powered agro-met language models
</v>
      </c>
      <c r="E11" s="4" t="str">
        <v>custom</v>
      </c>
      <c r="F11" s="4" t="str">
        <v>India, Kenya</v>
      </c>
      <c r="G11" s="5">
        <v>5</v>
      </c>
      <c r="H11" s="5">
        <v>25000</v>
      </c>
      <c r="I11" s="4" t="str" xml:space="preserve">
        <v xml:space="preserve">Successful completion assumes data is accessible in public domain without needing long approval process. $7,500 will be allocated to as yet unidentified partner. 
</v>
      </c>
      <c r="J11" s="4">
        <v>6339</v>
      </c>
    </row>
    <row r="12" ht="50" customHeight="1" xml:space="preserve">
      <c r="A12" s="4" t="str">
        <v>AOW02: Action Lab</v>
      </c>
      <c r="B12" s="4" t="str">
        <v>ILRI</v>
      </c>
      <c r="C12" s="4" t="str">
        <v>HLO 2.3:  Breeding programs use AI-powered phenotyping to accelerate trait discovery and breeding cycles.</v>
      </c>
      <c r="D12" s="4" t="str" xml:space="preserve">
        <v xml:space="preserve">ILRI 14: Number of research briefs from drone-based rangeland biomass surveys with management implications for animal breeding research
</v>
      </c>
      <c r="E12" s="4" t="str">
        <v>Number of knowledge products</v>
      </c>
      <c r="F12" s="4" t="str">
        <v>Kenya</v>
      </c>
      <c r="G12" s="5">
        <v>1</v>
      </c>
      <c r="H12" s="5">
        <v>30000</v>
      </c>
      <c r="I12" s="4" t="str" xml:space="preserve">
        <v xml:space="preserve">Contingent upon conduct of experiment, data analysis being done on time and results becoming clearer
</v>
      </c>
      <c r="J12" s="4">
        <v>6474</v>
      </c>
    </row>
    <row r="13" ht="50" customHeight="1" xml:space="preserve">
      <c r="B13" s="4" t="str">
        <v>ILRI</v>
      </c>
      <c r="D13" s="4" t="str" xml:space="preserve">
        <v xml:space="preserve">ILRI 13: Number of research briefs produced on thermal drone imagery assessments of livestock enclosures for animal breeding research
</v>
      </c>
      <c r="E13" s="4" t="str">
        <v>Number of knowledge products</v>
      </c>
      <c r="F13" s="4" t="str">
        <v>Kenya</v>
      </c>
      <c r="G13" s="5">
        <v>1</v>
      </c>
      <c r="H13" s="5">
        <v>30000</v>
      </c>
      <c r="I13" s="4" t="str" xml:space="preserve">
        <v xml:space="preserve">Contingent upon conduct of experiment, data analysis being done on time and results becoming clearer
</v>
      </c>
      <c r="J13" s="4">
        <v>6475</v>
      </c>
    </row>
    <row r="14" ht="50" customHeight="1" xml:space="preserve">
      <c r="B14" s="4" t="str">
        <v>ILRI</v>
      </c>
      <c r="D14" s="4" t="str" xml:space="preserve">
        <v xml:space="preserve">ILRI 10: Number of digital platforms tested integrating IoT sensors for animal health, movement, and heat stress monitoring
</v>
      </c>
      <c r="E14" s="4" t="str">
        <v>Number of innovations (innovation development)</v>
      </c>
      <c r="F14" s="4" t="str">
        <v>India, Kenya</v>
      </c>
      <c r="G14" s="5">
        <v>1</v>
      </c>
      <c r="H14" s="5">
        <v>50000</v>
      </c>
      <c r="I14" s="4" t="str" xml:space="preserve">
        <v xml:space="preserve">Completion is contingent upon ability to procure sensors, setting up infra (internet, connectivity etc), availability of animals on research plot at Kapiti as well as statutory approvals for animal testing. $20,000 will be allocated to partners such as CSIR CSIO, SRUC, BoDit. Details will be confirmed later. 
</v>
      </c>
      <c r="J14" s="4">
        <v>6476</v>
      </c>
    </row>
    <row r="15" ht="50" customHeight="1" xml:space="preserve">
      <c r="B15" s="4" t="str">
        <v>ILRI</v>
      </c>
      <c r="D15" s="4" t="str" xml:space="preserve">
        <v xml:space="preserve">ILRI 12: Number of conference and working papers produced on digital twin innovations for livestock phenotyping and pastoralism
</v>
      </c>
      <c r="E15" s="4" t="str">
        <v>Number of knowledge products</v>
      </c>
      <c r="F15" s="4" t="str">
        <v>Kenya</v>
      </c>
      <c r="G15" s="5">
        <v>1</v>
      </c>
      <c r="H15" s="5">
        <v>40000</v>
      </c>
      <c r="I15" s="4" t="str" xml:space="preserve">
        <v xml:space="preserve">Contingent upon conduct of experiment, data analysis being done on time and results becoming clearer. $7,500 will be allocated to partners such as CSIR CSIO, SRUC, BoDit. Details will be confirmed later. 
</v>
      </c>
      <c r="J15" s="4">
        <v>6477</v>
      </c>
    </row>
    <row r="16" ht="50" customHeight="1" xml:space="preserve">
      <c r="A16" s="4" t="str">
        <v>AOW02: Action Lab</v>
      </c>
      <c r="B16" s="4" t="str">
        <v>ILRI</v>
      </c>
      <c r="C16" s="4" t="str">
        <v>HLO 2.2: Decision support systems integrate (near-)real-time, including digital twin approaches, to enable evidence-based management decisions.</v>
      </c>
      <c r="D16" s="4" t="str" xml:space="preserve">
        <v xml:space="preserve">ILRI 11: Number of web platforms developed to display livestock digital phenotyping and pasture forecasting data
</v>
      </c>
      <c r="E16" s="4" t="str">
        <v>Number of innovations (innovation development)</v>
      </c>
      <c r="F16" s="4" t="str">
        <v>Kenya</v>
      </c>
      <c r="G16" s="5">
        <v>1</v>
      </c>
      <c r="H16" s="5">
        <v>50000</v>
      </c>
      <c r="I16" s="4" t="str" xml:space="preserve">
        <v xml:space="preserve">Completion is contingent upon ability to procure sensors, setting up infra (internet, connectivity etc), availability of animals on research plot at Kapiti as well as statutory approvals for animal testing
</v>
      </c>
      <c r="J16" s="4">
        <v>6478</v>
      </c>
    </row>
    <row r="17" ht="50" customHeight="1" xml:space="preserve">
      <c r="A17" s="4" t="str">
        <v>AOW02: Action Lab</v>
      </c>
      <c r="B17" s="4" t="str">
        <v>ILRI</v>
      </c>
      <c r="C17" s="4" t="str">
        <v>HLO 2.1: Research integrates AI analytics, remote sensing, and digital technologies to enhance modeling, evidence generation, and environmental monitoring at scale.</v>
      </c>
      <c r="D17" s="4" t="str">
        <v>Number of geospatial use cases, including datasets, documentation, and intended outcome</v>
      </c>
      <c r="E17" s="4" t="str">
        <v>Number of knowledge products</v>
      </c>
      <c r="F17" s="4" t="str">
        <v>United States of America, Tanzania, United Republic, Kenya, Malaysia, Mexico, India, Nigeria, Ghana, Sri Lanka, Mozambique, Peru, Colombia, Philippines, Rwanda, Ethiopia</v>
      </c>
      <c r="G17" s="5">
        <v>1</v>
      </c>
      <c r="H17" s="5">
        <v>35000</v>
      </c>
      <c r="I17" s="4" t="str" xml:space="preserve">
        <v xml:space="preserve">The successful delivery depends on identification of proper geospatial use case and smooth coordination within the CSI community and with all participating CG centers. 
</v>
      </c>
      <c r="J17" s="4">
        <v>7355</v>
      </c>
    </row>
    <row r="18" ht="25" customHeight="1">
      <c r="C18" s="9" t="str">
        <v>HLO budget subtotal</v>
      </c>
      <c r="H18" s="9">
        <v>436764</v>
      </c>
      <c r="J18" s="9" t="str">
        <v/>
      </c>
    </row>
    <row r="19" ht="50" customHeight="1" xml:space="preserve">
      <c r="A19" s="8" t="str">
        <v>AOW03: Digital Futures</v>
      </c>
      <c r="B19" s="4" t="str">
        <v>ILRI</v>
      </c>
      <c r="C19" s="4" t="str">
        <v>HLO 3.1: Probes of a wide range of AI and/or other novel digital solutions to generate early evidence on digital frontier technology impacts, for decision making.</v>
      </c>
      <c r="D19" s="4" t="str">
        <v>ILRI 17: Number of Technical reports/working papers capturing the innovation development produced</v>
      </c>
      <c r="E19" s="4" t="str">
        <v>Number of knowledge products</v>
      </c>
      <c r="F19" s="4" t="str">
        <v>Senegal, Kenya</v>
      </c>
      <c r="G19" s="5">
        <v>1</v>
      </c>
      <c r="H19" s="5">
        <v>10000</v>
      </c>
      <c r="I19" s="4" t="str" xml:space="preserve">
        <v xml:space="preserve">Successful completion is contingent upon MOU signing with CSE as well as co-operation from CSE and their timely support and input. 
</v>
      </c>
      <c r="J19" s="4">
        <v>6402</v>
      </c>
    </row>
    <row r="20" ht="50" customHeight="1" xml:space="preserve">
      <c r="B20" s="4" t="str">
        <v>ILRI</v>
      </c>
      <c r="D20" s="4" t="str">
        <v xml:space="preserve">ILRI 16: Number of platforms (CSE's ephemeral water body and rangeland monitoring service platforms)  augmented with crowdsourced data/digital herd data for Pastoral, Hydrological and Geographical Intelligence for Transhumant African Livestock (PHYGITAL). </v>
      </c>
      <c r="E20" s="4" t="str">
        <v>Number of innovations (innovation development)</v>
      </c>
      <c r="F20" s="4" t="str">
        <v>Senegal</v>
      </c>
      <c r="G20" s="5">
        <v>1</v>
      </c>
      <c r="H20" s="5">
        <v>70000</v>
      </c>
      <c r="I20" s="4" t="str" xml:space="preserve">
        <v xml:space="preserve">Successful completion is contingent upon MOU signing with CSE as well as co-operation from CSE and their timely support and input. $10k will be allocated to partners upon finalization of workplan. 
</v>
      </c>
      <c r="J20" s="4">
        <v>6403</v>
      </c>
    </row>
    <row r="21" ht="25" customHeight="1">
      <c r="C21" s="9" t="str">
        <v>HLO budget subtotal</v>
      </c>
      <c r="H21" s="9">
        <v>80000</v>
      </c>
      <c r="J21" s="9" t="str">
        <v/>
      </c>
    </row>
    <row r="22" ht="50" customHeight="1" xml:space="preserve">
      <c r="A22" s="8" t="str">
        <v>AOW04: Enabling Environment</v>
      </c>
      <c r="B22" s="4" t="str">
        <v>ILRI</v>
      </c>
      <c r="C22" s="4" t="str">
        <v>HLO 4.1. Communities of practice and collaborative knowledge platforms established to coordinate learning, exchange, and leadership on responsible and inclusive digital innovation across FLW systems.</v>
      </c>
      <c r="D22" s="4" t="str">
        <v>ILRI 24: Number of   “Digital Economies” Community of Practices (CoPs) under the DTA Centre of Excellence maintained and actively co-convened.</v>
      </c>
      <c r="E22" s="4" t="str">
        <v>custom</v>
      </c>
      <c r="F22" s="4" t="str">
        <v>Kenya, India</v>
      </c>
      <c r="G22" s="5">
        <v>1</v>
      </c>
      <c r="H22" s="5">
        <v>12000</v>
      </c>
      <c r="I22" s="4" t="str" xml:space="preserve">
        <v xml:space="preserve">Successful completion is contingent upon planned activities taking place so that data is available to create a conference paper. 
</v>
      </c>
      <c r="J22" s="4">
        <v>6365</v>
      </c>
    </row>
    <row r="23" ht="50" customHeight="1" xml:space="preserve">
      <c r="B23" s="4" t="str">
        <v>ILRI</v>
      </c>
      <c r="D23" s="4" t="str">
        <v>Number of people trained on geospatial foundation models, platforms and/or frameworks</v>
      </c>
      <c r="E23" s="4" t="str">
        <v>Number of people trained (capacity sharing for development)</v>
      </c>
      <c r="F23" s="4" t="str">
        <v>Kenya</v>
      </c>
      <c r="G23" s="5">
        <v>5</v>
      </c>
      <c r="H23" s="5">
        <v>5000</v>
      </c>
      <c r="I23" s="4" t="str" xml:space="preserve">
        <v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v>
      </c>
      <c r="J23" s="4">
        <v>7360</v>
      </c>
    </row>
    <row r="24" ht="50" customHeight="1" xml:space="preserve">
      <c r="B24" s="4" t="str">
        <v>ILRI</v>
      </c>
      <c r="D24" s="4" t="str">
        <v xml:space="preserve">Number of individuals capacitated through consortium workshops on Spatial Information (CSI) to coordinate geospatial analysis across the CGIAR </v>
      </c>
      <c r="E24" s="4" t="str">
        <v>Number of people trained (capacity sharing for development)</v>
      </c>
      <c r="F24" s="4" t="str">
        <v>Kenya</v>
      </c>
      <c r="G24" s="5">
        <v>3</v>
      </c>
      <c r="H24" s="5">
        <v>5000</v>
      </c>
      <c r="I24"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24" s="4">
        <v>7379</v>
      </c>
    </row>
    <row r="25" ht="50" customHeight="1" xml:space="preserve">
      <c r="A25" s="4" t="str">
        <v>AOW04: Enabling Environment</v>
      </c>
      <c r="B25" s="4" t="str">
        <v>ILRI</v>
      </c>
      <c r="C25" s="4" t="str">
        <v>HLO 4.2:  Applied tools, frameworks, methods, guidelines and prototypes developed to support responsible, inclusive, and user-centered digital innovation across FLW systems.</v>
      </c>
      <c r="D25" s="4" t="str">
        <v>ILRI 23: Number of DTA COE website and the content management system (CMS) developed and operationalized to support coordination of COE activities and KM</v>
      </c>
      <c r="E25" s="4" t="str">
        <v>Number of innovations (innovation development)</v>
      </c>
      <c r="F25" s="4" t="str">
        <v>Kenya, India</v>
      </c>
      <c r="G25" s="5">
        <v>1</v>
      </c>
      <c r="H25" s="5">
        <v>20000</v>
      </c>
      <c r="I25" s="4" t="str" xml:space="preserve">
        <v xml:space="preserve">Successful completion is contingent upon being able to find the right technology partner and coordinating with other centers to create content. $5k will be allocated to as yet unidentified partners. 
</v>
      </c>
      <c r="J25" s="4">
        <v>6368</v>
      </c>
    </row>
    <row r="26" ht="50" customHeight="1" xml:space="preserve">
      <c r="B26" s="4" t="str">
        <v>ILRI</v>
      </c>
      <c r="D26" s="4" t="str">
        <v>ILRI 21: Number of AgDX frameworks  improved and tested for livestock.</v>
      </c>
      <c r="E26" s="4" t="str">
        <v>Number of innovations (innovation development)</v>
      </c>
      <c r="F26" s="4" t="str">
        <v>India, Kenya</v>
      </c>
      <c r="G26" s="5">
        <v>1</v>
      </c>
      <c r="H26" s="5">
        <v>30986</v>
      </c>
      <c r="I26" s="4" t="str" xml:space="preserve">
        <v xml:space="preserve">Successful completion is based on availability and accessibility of data needed to test AgDX as well as support from partners in the selected geographies. $6k will be allocated to TAC as partner contract.
</v>
      </c>
      <c r="J26" s="4">
        <v>7165</v>
      </c>
    </row>
    <row r="27" ht="50" customHeight="1" xml:space="preserve">
      <c r="A27" s="4" t="str">
        <v>AOW04: Enabling Environment</v>
      </c>
      <c r="B27" s="4" t="str">
        <v>ILRI</v>
      </c>
      <c r="C27" s="4" t="str">
        <v>HLO 4.3: Evidence, partnerships, and sustainable pathways for scaling digital innovation and digital public infrastructure in FLW systems generated and tested</v>
      </c>
      <c r="D27" s="4" t="str">
        <v>ILRI 20: One pilot study/fieldwork report on introducing digital innovations in pastoral areas in Rajasthan, India published.</v>
      </c>
      <c r="E27" s="4" t="str">
        <v>Number of knowledge products</v>
      </c>
      <c r="F27" s="4" t="str">
        <v>India</v>
      </c>
      <c r="G27" s="5">
        <v>1</v>
      </c>
      <c r="H27" s="5">
        <v>50000</v>
      </c>
      <c r="I27" s="4" t="str" xml:space="preserve">
        <v xml:space="preserve">The success of the pilot study will be dependent on the ability of the mentioned parties to collaborate and incorporate the innovations being implemented in Africa in the Indian context. $8k has been allocated to potential partners, which have not been fully identified yet. 
</v>
      </c>
      <c r="J27" s="4">
        <v>6369</v>
      </c>
    </row>
    <row r="28" ht="50" customHeight="1" xml:space="preserve">
      <c r="B28" s="4" t="str">
        <v>ILRI</v>
      </c>
      <c r="D28" s="4" t="str">
        <v>ILRI 19: Number of working papers on n Digital Public Infrastructure (DPI) in the livestock sector produced and published.</v>
      </c>
      <c r="E28" s="4" t="str">
        <v>Number of knowledge products</v>
      </c>
      <c r="F28" s="4" t="str">
        <v>India</v>
      </c>
      <c r="G28" s="5">
        <v>1</v>
      </c>
      <c r="H28" s="5">
        <v>30000</v>
      </c>
      <c r="I28" s="4" t="str" xml:space="preserve">
        <v xml:space="preserve">Getting the necessary stakeholders to have the necessary buy-in and formalize partnership with the Agri Collaboratory (TAC). $5k will be allocated to TAC as partner contract.
</v>
      </c>
      <c r="J28" s="4">
        <v>6370</v>
      </c>
    </row>
    <row r="29" ht="50" customHeight="1" xml:space="preserve">
      <c r="B29" s="4" t="str">
        <v>ILRI</v>
      </c>
      <c r="D29" s="4" t="str">
        <v>ILRI 18: Published one peer-reviewed journal paper on the digital innovation landscape in the livestock sector in India.</v>
      </c>
      <c r="E29" s="4" t="str">
        <v>Number of knowledge products</v>
      </c>
      <c r="F29" s="4" t="str">
        <v>India</v>
      </c>
      <c r="G29" s="5">
        <v>1</v>
      </c>
      <c r="H29" s="5">
        <v>10000</v>
      </c>
      <c r="I29" s="4" t="str" xml:space="preserve">
        <v xml:space="preserve">Successful completion is based on all necessary data available. 
</v>
      </c>
      <c r="J29" s="4">
        <v>6371</v>
      </c>
    </row>
    <row r="30" ht="50" customHeight="1">
      <c r="A30" s="4" t="str">
        <v>AOW04: Enabling Environment</v>
      </c>
      <c r="B30" s="4" t="str">
        <v>ILRI</v>
      </c>
      <c r="C30" s="4" t="str">
        <v>HLO 4.5: Networks of digital innovation nodes &amp; hubs creating an ecosystem for inclusive and FAIR compliant digital and data innovations.</v>
      </c>
      <c r="D30" s="4" t="str">
        <v>ILRI 25: Number of AI product co-developed and operationalized for livestock in collaboration with UAE.</v>
      </c>
      <c r="E30" s="4" t="str">
        <v>Number of innovations (innovation development)</v>
      </c>
      <c r="F30" s="4" t="str">
        <v>Kenya</v>
      </c>
      <c r="G30" s="5">
        <v>1</v>
      </c>
      <c r="H30" s="5">
        <v>200000</v>
      </c>
      <c r="I30" s="4" t="str">
        <v>This assumes availability of technical expertise, relevant data, and sufficient funding to support the development, testing, and operationalization of AI solutions for livestock systems. Risks include data availability and quality constraints, technical complexity in adapting AI tools to diverse livestock contexts, and potential budget limitations that may affect development timelines, deployment, and sustained use.</v>
      </c>
      <c r="J30" s="4">
        <v>7003</v>
      </c>
    </row>
    <row r="31" ht="25" customHeight="1">
      <c r="C31" s="9" t="str">
        <v>HLO budget subtotal</v>
      </c>
      <c r="H31" s="9">
        <v>362986</v>
      </c>
      <c r="J31" s="9" t="str">
        <v/>
      </c>
    </row>
  </sheetData>
  <mergeCells count="21">
    <mergeCell ref="A1:A2"/>
    <mergeCell ref="B1:B2"/>
    <mergeCell ref="C1:C2"/>
    <mergeCell ref="D1:H1"/>
    <mergeCell ref="I1:I2"/>
    <mergeCell ref="J1:J2"/>
    <mergeCell ref="C5:G5"/>
    <mergeCell ref="A3:A5"/>
    <mergeCell ref="C6:C7"/>
    <mergeCell ref="C8:C11"/>
    <mergeCell ref="C12:C15"/>
    <mergeCell ref="C18:G18"/>
    <mergeCell ref="A6:A18"/>
    <mergeCell ref="C19:C20"/>
    <mergeCell ref="C21:G21"/>
    <mergeCell ref="A19:A21"/>
    <mergeCell ref="C22:C24"/>
    <mergeCell ref="C25:C26"/>
    <mergeCell ref="C27:C29"/>
    <mergeCell ref="C31:G31"/>
    <mergeCell ref="A22:A31"/>
  </mergeCells>
  <ignoredErrors>
    <ignoredError numberStoredAsText="1" sqref="A1:J31"/>
  </ignoredErrors>
</worksheet>
</file>

<file path=xl/worksheets/sheet3.xml><?xml version="1.0" encoding="utf-8"?>
<worksheet xmlns="http://schemas.openxmlformats.org/spreadsheetml/2006/main" xmlns:r="http://schemas.openxmlformats.org/officeDocument/2006/relationships">
  <dimension ref="A1:G8"/>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xml:space="preserve">
      <c r="A2" s="8" t="str">
        <v>AOW02: Action Lab</v>
      </c>
      <c r="B2" s="4" t="str">
        <v>Unknown Partner 4</v>
      </c>
      <c r="C2" s="4" t="str">
        <v>ILRI</v>
      </c>
      <c r="D2" s="4" t="str">
        <v>Kenya, India</v>
      </c>
      <c r="E2" s="5">
        <v>100000</v>
      </c>
      <c r="F2" s="4" t="str" xml:space="preserve">
        <v xml:space="preserve">Placeholder, to be confirmed after PORB approval. Possible partners include CSIR CSIO, SRUC, BoDit
</v>
      </c>
      <c r="G2" s="4">
        <v>227</v>
      </c>
    </row>
    <row r="3" ht="25" customHeight="1">
      <c r="B3" s="9" t="str">
        <v>Contracted partners subtotal</v>
      </c>
      <c r="E3" s="9">
        <v>100000</v>
      </c>
      <c r="F3" s="9" t="str">
        <v/>
      </c>
      <c r="G3" s="9" t="str">
        <v/>
      </c>
    </row>
    <row r="4" ht="50" customHeight="1" xml:space="preserve">
      <c r="A4" s="8" t="str">
        <v>AOW03: Digital Futures</v>
      </c>
      <c r="B4" s="4" t="str">
        <v>Compagnie Nationale d’Assurance Agricole du Senegal</v>
      </c>
      <c r="C4" s="4" t="str">
        <v>ILRI</v>
      </c>
      <c r="D4" s="4" t="str">
        <v>Senegal</v>
      </c>
      <c r="E4" s="5">
        <v>10000</v>
      </c>
      <c r="F4" s="4" t="str" xml:space="preserve">
        <v xml:space="preserve">Placeholder, to be confirmed after PORB approval. 
</v>
      </c>
      <c r="G4" s="4">
        <v>228</v>
      </c>
    </row>
    <row r="5" ht="25" customHeight="1">
      <c r="B5" s="9" t="str">
        <v>Contracted partners subtotal</v>
      </c>
      <c r="E5" s="9">
        <v>10000</v>
      </c>
      <c r="F5" s="9" t="str">
        <v/>
      </c>
      <c r="G5" s="9" t="str">
        <v/>
      </c>
    </row>
    <row r="6" ht="50" customHeight="1">
      <c r="A6" s="8" t="str">
        <v>AOW04: Enabling Environment</v>
      </c>
      <c r="B6" s="4" t="str">
        <v>The Agri Collaboratory</v>
      </c>
      <c r="C6" s="4" t="str">
        <v>ILRI</v>
      </c>
      <c r="D6" s="4" t="str">
        <v>India</v>
      </c>
      <c r="E6" s="5">
        <v>11000</v>
      </c>
      <c r="F6" s="4" t="str">
        <v xml:space="preserve">Placeholder, to be confirmed after PORB approval. </v>
      </c>
      <c r="G6" s="4">
        <v>229</v>
      </c>
    </row>
    <row r="7" ht="50" customHeight="1">
      <c r="A7" s="4" t="str">
        <v>AOW04: Enabling Environment</v>
      </c>
      <c r="B7" s="4" t="str">
        <v>Unknown Partner 1</v>
      </c>
      <c r="C7" s="4" t="str">
        <v>ILRI</v>
      </c>
      <c r="D7" s="4" t="str">
        <v>India, Kenya</v>
      </c>
      <c r="E7" s="5">
        <v>12986</v>
      </c>
      <c r="F7" s="4" t="str">
        <v xml:space="preserve">Contracting subject to PORB approval. </v>
      </c>
      <c r="G7" s="4">
        <v>396</v>
      </c>
    </row>
    <row r="8" ht="25" customHeight="1">
      <c r="B8" s="9" t="str">
        <v>Contracted partners subtotal</v>
      </c>
      <c r="E8" s="9">
        <v>23986</v>
      </c>
      <c r="F8" s="9" t="str">
        <v/>
      </c>
      <c r="G8" s="9" t="str">
        <v/>
      </c>
    </row>
  </sheetData>
  <mergeCells count="6">
    <mergeCell ref="B3:D3"/>
    <mergeCell ref="A2:A3"/>
    <mergeCell ref="B5:D5"/>
    <mergeCell ref="A4:A5"/>
    <mergeCell ref="B8:D8"/>
    <mergeCell ref="A6:A8"/>
  </mergeCells>
  <ignoredErrors>
    <ignoredError numberStoredAsText="1" sqref="A1:G8"/>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ILRI</v>
      </c>
      <c r="C2" s="4" t="str">
        <v>Area of Work Leads</v>
      </c>
      <c r="D2" s="5">
        <v>26666</v>
      </c>
      <c r="E2" s="4" t="str" xml:space="preserve">
        <v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v>
      </c>
      <c r="F2" s="4">
        <v>113</v>
      </c>
      <c r="G2" s="4">
        <v>3</v>
      </c>
    </row>
    <row r="3" ht="25" customHeight="1">
      <c r="C3" s="9" t="str">
        <v>Cross-cutting budget subtotal</v>
      </c>
      <c r="D3" s="9">
        <v>26666</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26666</v>
      </c>
      <c r="C2" s="5">
        <v>37500</v>
      </c>
      <c r="D2" s="5">
        <v>241500</v>
      </c>
      <c r="E2" s="5">
        <v>55000</v>
      </c>
      <c r="F2" s="5">
        <v>251000</v>
      </c>
      <c r="G2" s="5">
        <f>=SUM(B2:F2)</f>
        <v>0</v>
      </c>
    </row>
    <row r="3" ht="20" customHeight="1">
      <c r="A3" s="4" t="str">
        <v>Operations (supplies, consultants, travels, workshops, other)</v>
      </c>
      <c r="B3" s="5">
        <v>0</v>
      </c>
      <c r="C3" s="5">
        <v>22500</v>
      </c>
      <c r="D3" s="5">
        <v>95264</v>
      </c>
      <c r="E3" s="5">
        <v>15000</v>
      </c>
      <c r="F3" s="5">
        <v>88000</v>
      </c>
      <c r="G3" s="5">
        <f>=SUM(B3:F3)</f>
        <v>0</v>
      </c>
    </row>
    <row r="4" ht="20" customHeight="1">
      <c r="A4" s="4" t="str">
        <v>Collaborators non-CGIAR centers</v>
      </c>
      <c r="B4" s="5">
        <v>0</v>
      </c>
      <c r="C4" s="5">
        <v>0</v>
      </c>
      <c r="D4" s="5">
        <v>100000</v>
      </c>
      <c r="E4" s="5">
        <v>10000</v>
      </c>
      <c r="F4" s="5">
        <v>23986</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1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ILRI</v>
      </c>
      <c r="C2" s="4" t="str">
        <v>Kenya</v>
      </c>
      <c r="D2" s="5">
        <v>100</v>
      </c>
      <c r="E2" s="4">
        <v>3359</v>
      </c>
    </row>
    <row r="3" ht="45" customHeight="1">
      <c r="A3" s="8" t="str">
        <v>AOW01: Data Ecosystem</v>
      </c>
      <c r="B3" s="4" t="str">
        <v>ILRI</v>
      </c>
      <c r="C3" s="4" t="str">
        <v>Ethiopia</v>
      </c>
      <c r="D3" s="5">
        <v>3</v>
      </c>
      <c r="E3" s="4">
        <v>1286</v>
      </c>
    </row>
    <row r="4" ht="45" customHeight="1">
      <c r="A4" s="4" t="str">
        <v>AOW01: Data Ecosystem</v>
      </c>
      <c r="B4" s="4" t="str">
        <v>ILRI</v>
      </c>
      <c r="C4" s="4" t="str">
        <v>India</v>
      </c>
      <c r="D4" s="5">
        <v>3</v>
      </c>
      <c r="E4" s="4">
        <v>1287</v>
      </c>
    </row>
    <row r="5" ht="45" customHeight="1">
      <c r="A5" s="4" t="str">
        <v>AOW01: Data Ecosystem</v>
      </c>
      <c r="B5" s="4" t="str">
        <v>ILRI</v>
      </c>
      <c r="C5" s="4" t="str">
        <v>Kenya</v>
      </c>
      <c r="D5" s="5">
        <v>88</v>
      </c>
      <c r="E5" s="4">
        <v>1285</v>
      </c>
    </row>
    <row r="6" ht="45" customHeight="1">
      <c r="A6" s="4" t="str">
        <v>AOW01: Data Ecosystem</v>
      </c>
      <c r="B6" s="4" t="str">
        <v>ILRI</v>
      </c>
      <c r="C6" s="4" t="str">
        <v>Thailand</v>
      </c>
      <c r="D6" s="5">
        <v>3</v>
      </c>
      <c r="E6" s="4">
        <v>1288</v>
      </c>
    </row>
    <row r="7" ht="45" customHeight="1">
      <c r="A7" s="4" t="str">
        <v>AOW01: Data Ecosystem</v>
      </c>
      <c r="B7" s="4" t="str">
        <v>ILRI</v>
      </c>
      <c r="C7" s="4" t="str">
        <v>The Socialist Republic of Viet Nam</v>
      </c>
      <c r="D7" s="5">
        <v>3</v>
      </c>
      <c r="E7" s="4">
        <v>1289</v>
      </c>
    </row>
    <row r="8" ht="45" customHeight="1">
      <c r="A8" s="8" t="str">
        <v>AOW02: Action Lab</v>
      </c>
      <c r="B8" s="4" t="str">
        <v>ILRI</v>
      </c>
      <c r="C8" s="4" t="str">
        <v>India</v>
      </c>
      <c r="D8" s="5">
        <v>16</v>
      </c>
      <c r="E8" s="4">
        <v>1339</v>
      </c>
    </row>
    <row r="9" ht="45" customHeight="1">
      <c r="A9" s="4" t="str">
        <v>AOW02: Action Lab</v>
      </c>
      <c r="B9" s="4" t="str">
        <v>ILRI</v>
      </c>
      <c r="C9" s="4" t="str">
        <v>Kenya</v>
      </c>
      <c r="D9" s="5">
        <v>84</v>
      </c>
      <c r="E9" s="4">
        <v>1338</v>
      </c>
    </row>
    <row r="10" ht="45" customHeight="1">
      <c r="A10" s="8" t="str">
        <v>AOW03: Digital Futures</v>
      </c>
      <c r="B10" s="4" t="str">
        <v>ILRI</v>
      </c>
      <c r="C10" s="4" t="str">
        <v>Kenya</v>
      </c>
      <c r="D10" s="5">
        <v>94</v>
      </c>
      <c r="E10" s="4">
        <v>1397</v>
      </c>
    </row>
    <row r="11" ht="45" customHeight="1">
      <c r="A11" s="4" t="str">
        <v>AOW03: Digital Futures</v>
      </c>
      <c r="B11" s="4" t="str">
        <v>ILRI</v>
      </c>
      <c r="C11" s="4" t="str">
        <v>Senegal</v>
      </c>
      <c r="D11" s="5">
        <v>6</v>
      </c>
      <c r="E11" s="4">
        <v>1398</v>
      </c>
    </row>
    <row r="12" ht="45" customHeight="1">
      <c r="A12" s="8" t="str">
        <v>AOW04: Enabling Environment</v>
      </c>
      <c r="B12" s="4" t="str">
        <v>ILRI</v>
      </c>
      <c r="C12" s="4" t="str">
        <v>India</v>
      </c>
      <c r="D12" s="5">
        <v>34</v>
      </c>
      <c r="E12" s="4">
        <v>1473</v>
      </c>
    </row>
    <row r="13" ht="45" customHeight="1">
      <c r="A13" s="4" t="str">
        <v>AOW04: Enabling Environment</v>
      </c>
      <c r="B13" s="4" t="str">
        <v>ILRI</v>
      </c>
      <c r="C13" s="4" t="str">
        <v>Kenya</v>
      </c>
      <c r="D13" s="5">
        <v>34</v>
      </c>
      <c r="E13" s="4">
        <v>1474</v>
      </c>
    </row>
  </sheetData>
  <mergeCells count="5">
    <mergeCell ref="A2"/>
    <mergeCell ref="A3:A7"/>
    <mergeCell ref="A8:A9"/>
    <mergeCell ref="A10:A11"/>
    <mergeCell ref="A12:A13"/>
  </mergeCells>
  <ignoredErrors>
    <ignoredError numberStoredAsText="1" sqref="A1:E13"/>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ILRI</v>
      </c>
      <c r="C2" s="4" t="str">
        <v>Global</v>
      </c>
      <c r="D2" s="4" t="str">
        <v>global</v>
      </c>
      <c r="E2" s="5">
        <v>100</v>
      </c>
      <c r="F2" s="4">
        <v>1673</v>
      </c>
    </row>
    <row r="3" ht="45" customHeight="1">
      <c r="A3" s="8" t="str">
        <v>AOW01: Data Ecosystem</v>
      </c>
      <c r="B3" s="4" t="str">
        <v>ILRI</v>
      </c>
      <c r="C3" s="4" t="str">
        <v>Global</v>
      </c>
      <c r="D3" s="4" t="str">
        <v>global</v>
      </c>
      <c r="E3" s="5">
        <v>100</v>
      </c>
      <c r="F3" s="4">
        <v>451</v>
      </c>
    </row>
    <row r="4" ht="45" customHeight="1">
      <c r="A4" s="8" t="str">
        <v>AOW02: Action Lab</v>
      </c>
      <c r="B4" s="4" t="str">
        <v>ILRI</v>
      </c>
      <c r="C4" s="4" t="str">
        <v>Global</v>
      </c>
      <c r="D4" s="4" t="str">
        <v>global</v>
      </c>
      <c r="E4" s="5">
        <v>100</v>
      </c>
      <c r="F4" s="4">
        <v>468</v>
      </c>
    </row>
    <row r="5" ht="45" customHeight="1">
      <c r="A5" s="8" t="str">
        <v>AOW03: Digital Futures</v>
      </c>
      <c r="B5" s="4" t="str">
        <v>ILRI</v>
      </c>
      <c r="C5" s="4" t="str">
        <v>Global</v>
      </c>
      <c r="D5" s="4" t="str">
        <v>global</v>
      </c>
      <c r="E5" s="5">
        <v>100</v>
      </c>
      <c r="F5" s="4">
        <v>493</v>
      </c>
    </row>
    <row r="6" ht="45" customHeight="1">
      <c r="A6" s="8" t="str">
        <v>AOW04: Enabling Environment</v>
      </c>
      <c r="B6" s="4" t="str">
        <v>ILRI</v>
      </c>
      <c r="C6" s="4" t="str">
        <v>Global</v>
      </c>
      <c r="D6" s="4" t="str">
        <v>global</v>
      </c>
      <c r="E6" s="5">
        <v>100</v>
      </c>
      <c r="F6" s="4">
        <v>516</v>
      </c>
    </row>
  </sheetData>
  <mergeCells count="5">
    <mergeCell ref="A2"/>
    <mergeCell ref="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