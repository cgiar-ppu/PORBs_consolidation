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HLO" sheetId="2" r:id="rId2"/>
    <sheet name="Partners" sheetId="3" r:id="rId3"/>
    <sheet name="W3-Bilateral" sheetId="4" r:id="rId4"/>
    <sheet name="MELIA" sheetId="5" r:id="rId5"/>
    <sheet name="Cross Cutting" sheetId="6" r:id="rId6"/>
    <sheet name="Anaplan" sheetId="7" r:id="rId7"/>
    <sheet name="Countries of Implementation" sheetId="8" r:id="rId8"/>
    <sheet name="Location of Benefit" sheetId="9" r:id="rId9"/>
    <sheet name="Synergy Programs" sheetId="10" r:id="rId10"/>
    <sheet name="Outcomes" sheetId="11" r:id="rId1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7"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
      <sz val="11"/>
      <name val="Calibri"/>
      <b/>
      <color rgb="000000"/>
    </font>
  </fonts>
  <fills count="7">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E6E6E6"/>
        <bgColor/>
      </patternFill>
    </fill>
  </fills>
  <borders count="7">
    <border>
      <left/>
      <right/>
      <top/>
      <bottom/>
      <diagonal/>
    </border>
    <border>
      <left/>
      <right/>
      <top/>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s>
  <cellStyleXfs>
    <xf numFmtId="0" fontId="0" fillId="0" borderId="0"/>
  </cellStyleXfs>
  <cellXfs count="10">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wrapText="true"/>
    </xf>
    <xf numFmtId="0" fontId="0" fillId="0" borderId="3" xfId="0" applyBorder="1" applyAlignment="1">
      <alignment horizontal="center" vertical="center" wrapText="true"/>
    </xf>
    <xf numFmtId="3" fontId="0" fillId="0" borderId="4" xfId="0" applyBorder="1" applyNumberFormat="1" applyAlignment="1">
      <alignment horizontal="center" vertical="center" wrapText="true"/>
    </xf>
    <xf numFmtId="0" fontId="3" fillId="3" borderId="0" xfId="0" applyFont="1" applyFill="1" applyAlignment="1">
      <alignment horizontal="center" vertical="center"/>
    </xf>
    <xf numFmtId="3" fontId="4" fillId="4" borderId="0" xfId="0" applyFont="1" applyFill="1" applyNumberFormat="1" applyAlignment="1">
      <alignment horizontal="center" vertical="center"/>
    </xf>
    <xf numFmtId="0" fontId="5" fillId="5" borderId="5" xfId="0" applyFont="1" applyFill="1" applyBorder="1" applyAlignment="1">
      <alignment horizontal="center" vertical="center"/>
    </xf>
    <xf numFmtId="0" fontId="6" fillId="6" borderId="6" xfId="0" applyFont="1" applyFill="1" applyBorder="1" applyAlignment="1">
      <alignment horizontal="center" vertical="center"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11"/>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35.83203125" customWidth="1"/>
    <col min="11" max="11" width="20.83203125" customWidth="1"/>
    <col min="12" max="12" width="25.83203125" customWidth="1"/>
    <col min="13" max="13" width="25.83203125" customWidth="1"/>
    <col min="14" max="14" width="10.83203125" customWidth="1" hidden="true"/>
  </cols>
  <sheetData>
    <row r="1" ht="15" customHeight="1">
      <c r="A1" s="3" t="str">
        <v>Area of Work</v>
      </c>
      <c r="B1" s="3" t="str">
        <v>Pooled Funding</v>
      </c>
      <c r="K1" s="3" t="str">
        <v>Additional Information</v>
      </c>
      <c r="N1" s="3" t="str">
        <v>aow_id</v>
      </c>
    </row>
    <row r="2" ht="15" customHeight="1">
      <c r="B2" s="3" t="str">
        <v>Innovation Development</v>
      </c>
      <c r="D2" s="3" t="str">
        <v>Knowledge product</v>
      </c>
      <c r="F2" s="3" t="str">
        <v>Capacity Sharing</v>
      </c>
      <c r="H2" s="3" t="str">
        <v>Others outputs</v>
      </c>
      <c r="J2" s="3" t="str">
        <v>Total Pooled Funding budget (USD)</v>
      </c>
      <c r="K2" s="3" t="str">
        <v>Anaplan budget</v>
      </c>
      <c r="L2" s="3" t="str">
        <v>Partner budget</v>
      </c>
      <c r="M2" s="3" t="str">
        <v>MELIA Studies budget</v>
      </c>
    </row>
    <row r="3" ht="15" customHeight="1">
      <c r="B3" s="3" t="str">
        <v>Target</v>
      </c>
      <c r="C3" s="3" t="str">
        <v>Budget</v>
      </c>
      <c r="D3" s="3" t="str">
        <v>Target</v>
      </c>
      <c r="E3" s="3" t="str">
        <v>Budget</v>
      </c>
      <c r="F3" s="3" t="str">
        <v>Target</v>
      </c>
      <c r="G3" s="3" t="str">
        <v>Budget</v>
      </c>
      <c r="H3" s="3" t="str">
        <v>Target</v>
      </c>
      <c r="I3" s="3" t="str">
        <v>Budget</v>
      </c>
    </row>
    <row r="4" ht="20" customHeight="1">
      <c r="A4" s="4" t="str">
        <v>AOW00: Cross Cutting</v>
      </c>
      <c r="B4" s="5">
        <v>0</v>
      </c>
      <c r="C4" s="5">
        <v>0</v>
      </c>
      <c r="D4" s="5">
        <v>0</v>
      </c>
      <c r="E4" s="5">
        <v>0</v>
      </c>
      <c r="F4" s="5">
        <v>0</v>
      </c>
      <c r="G4" s="5">
        <v>0</v>
      </c>
      <c r="H4" s="5">
        <v>0</v>
      </c>
      <c r="I4" s="5">
        <v>0</v>
      </c>
      <c r="J4" s="5">
        <v>0</v>
      </c>
      <c r="K4" s="5">
        <v>0</v>
      </c>
      <c r="L4" s="5">
        <v>0</v>
      </c>
      <c r="M4" s="5">
        <v>0</v>
      </c>
      <c r="N4" s="4">
        <v>189</v>
      </c>
    </row>
    <row r="5" ht="20" customHeight="1">
      <c r="A5" s="4" t="str">
        <v>AOW01: Consumers and Food Environments</v>
      </c>
      <c r="B5" s="5">
        <v>0</v>
      </c>
      <c r="C5" s="5">
        <v>0</v>
      </c>
      <c r="D5" s="5">
        <v>0</v>
      </c>
      <c r="E5" s="5">
        <v>0</v>
      </c>
      <c r="F5" s="5">
        <v>0</v>
      </c>
      <c r="G5" s="5">
        <v>0</v>
      </c>
      <c r="H5" s="5">
        <v>0</v>
      </c>
      <c r="I5" s="5">
        <v>0</v>
      </c>
      <c r="J5" s="5">
        <v>0</v>
      </c>
      <c r="K5" s="5">
        <v>0</v>
      </c>
      <c r="L5" s="5">
        <v>0</v>
      </c>
      <c r="M5" s="5">
        <v>0</v>
      </c>
      <c r="N5" s="4">
        <v>188</v>
      </c>
    </row>
    <row r="6" ht="20" customHeight="1">
      <c r="A6" s="4" t="str">
        <v>AOW02: Market Systems</v>
      </c>
      <c r="B6" s="5">
        <v>3</v>
      </c>
      <c r="C6" s="5">
        <v>135071</v>
      </c>
      <c r="D6" s="5">
        <v>2</v>
      </c>
      <c r="E6" s="5">
        <v>50071</v>
      </c>
      <c r="F6" s="5">
        <v>2</v>
      </c>
      <c r="G6" s="5">
        <v>56141</v>
      </c>
      <c r="H6" s="5">
        <v>0</v>
      </c>
      <c r="I6" s="5">
        <v>0</v>
      </c>
      <c r="J6" s="5">
        <v>241283</v>
      </c>
      <c r="K6" s="5">
        <v>241283</v>
      </c>
      <c r="L6" s="5">
        <v>40000</v>
      </c>
      <c r="M6" s="5">
        <v>0</v>
      </c>
      <c r="N6" s="4">
        <v>184</v>
      </c>
    </row>
    <row r="7" ht="20" customHeight="1">
      <c r="A7" s="4" t="str">
        <v>AOW03: End-to-end Solutions</v>
      </c>
      <c r="B7" s="5">
        <v>2</v>
      </c>
      <c r="C7" s="5">
        <v>44148</v>
      </c>
      <c r="D7" s="5">
        <v>2</v>
      </c>
      <c r="E7" s="5">
        <v>33333</v>
      </c>
      <c r="F7" s="5">
        <v>0</v>
      </c>
      <c r="G7" s="5">
        <v>0</v>
      </c>
      <c r="H7" s="5">
        <v>0</v>
      </c>
      <c r="I7" s="5">
        <v>0</v>
      </c>
      <c r="J7" s="5">
        <v>77481</v>
      </c>
      <c r="K7" s="5">
        <v>77481</v>
      </c>
      <c r="L7" s="5">
        <v>20000</v>
      </c>
      <c r="M7" s="5">
        <v>0</v>
      </c>
      <c r="N7" s="4">
        <v>186</v>
      </c>
    </row>
    <row r="8" ht="20" customHeight="1">
      <c r="A8" s="4" t="str">
        <v>AOW04: Biofortified and Health-enhancing Staples</v>
      </c>
      <c r="B8" s="5">
        <v>0</v>
      </c>
      <c r="C8" s="5">
        <v>0</v>
      </c>
      <c r="D8" s="5">
        <v>3</v>
      </c>
      <c r="E8" s="5">
        <v>50000</v>
      </c>
      <c r="F8" s="5">
        <v>0</v>
      </c>
      <c r="G8" s="5">
        <v>0</v>
      </c>
      <c r="H8" s="5">
        <v>4</v>
      </c>
      <c r="I8" s="5">
        <v>50000</v>
      </c>
      <c r="J8" s="5">
        <v>100000</v>
      </c>
      <c r="K8" s="5">
        <v>100000</v>
      </c>
      <c r="L8" s="5">
        <v>0</v>
      </c>
      <c r="M8" s="5">
        <v>0</v>
      </c>
      <c r="N8" s="4">
        <v>183</v>
      </c>
    </row>
    <row r="9" ht="20" customHeight="1">
      <c r="A9" s="4" t="str">
        <v>AOW05: Multisectoral systems</v>
      </c>
      <c r="B9" s="5">
        <v>0</v>
      </c>
      <c r="C9" s="5">
        <v>0</v>
      </c>
      <c r="D9" s="5">
        <v>0</v>
      </c>
      <c r="E9" s="5">
        <v>0</v>
      </c>
      <c r="F9" s="5">
        <v>0</v>
      </c>
      <c r="G9" s="5">
        <v>0</v>
      </c>
      <c r="H9" s="5">
        <v>0</v>
      </c>
      <c r="I9" s="5">
        <v>0</v>
      </c>
      <c r="J9" s="5">
        <v>0</v>
      </c>
      <c r="K9" s="5">
        <v>0</v>
      </c>
      <c r="L9" s="5">
        <v>0</v>
      </c>
      <c r="M9" s="5">
        <v>0</v>
      </c>
      <c r="N9" s="4">
        <v>187</v>
      </c>
    </row>
    <row r="10" ht="20" customHeight="1">
      <c r="A10" s="4" t="str">
        <v>AOW06: Transformative leadership</v>
      </c>
      <c r="B10" s="5">
        <v>0</v>
      </c>
      <c r="C10" s="5">
        <v>0</v>
      </c>
      <c r="D10" s="5">
        <v>0</v>
      </c>
      <c r="E10" s="5">
        <v>0</v>
      </c>
      <c r="F10" s="5">
        <v>0</v>
      </c>
      <c r="G10" s="5">
        <v>0</v>
      </c>
      <c r="H10" s="5">
        <v>0</v>
      </c>
      <c r="I10" s="5">
        <v>0</v>
      </c>
      <c r="J10" s="5">
        <v>0</v>
      </c>
      <c r="K10" s="5">
        <v>0</v>
      </c>
      <c r="L10" s="5">
        <v>0</v>
      </c>
      <c r="M10" s="5">
        <v>0</v>
      </c>
      <c r="N10" s="4">
        <v>185</v>
      </c>
    </row>
    <row r="11" ht="25" customHeight="1">
      <c r="A11" s="6" t="str">
        <v>Total</v>
      </c>
      <c r="B11" s="7" t="str">
        <v/>
      </c>
      <c r="C11" s="7">
        <v>179219</v>
      </c>
      <c r="D11" s="7" t="str">
        <v/>
      </c>
      <c r="E11" s="7">
        <v>133404</v>
      </c>
      <c r="F11" s="7" t="str">
        <v/>
      </c>
      <c r="G11" s="7">
        <v>56141</v>
      </c>
      <c r="H11" s="7" t="str">
        <v/>
      </c>
      <c r="I11" s="7">
        <v>50000</v>
      </c>
      <c r="J11" s="7">
        <v>418764</v>
      </c>
      <c r="K11" s="7">
        <v>418764</v>
      </c>
      <c r="L11" s="7">
        <v>60000</v>
      </c>
      <c r="M11" s="7">
        <v>0</v>
      </c>
      <c r="N11" s="6" t="str">
        <v/>
      </c>
    </row>
  </sheetData>
  <mergeCells count="11">
    <mergeCell ref="A1:A3"/>
    <mergeCell ref="B1:J1"/>
    <mergeCell ref="K1:M1"/>
    <mergeCell ref="B2:C2"/>
    <mergeCell ref="D2:E2"/>
    <mergeCell ref="F2:G2"/>
    <mergeCell ref="H2:I2"/>
    <mergeCell ref="J2:J3"/>
    <mergeCell ref="K2:K3"/>
    <mergeCell ref="L2:L3"/>
    <mergeCell ref="M2:M3"/>
  </mergeCells>
  <ignoredErrors>
    <ignoredError numberStoredAsText="1" sqref="A1:N11"/>
  </ignoredErrors>
</worksheet>
</file>

<file path=xl/worksheets/sheet2.xml><?xml version="1.0" encoding="utf-8"?>
<worksheet xmlns="http://schemas.openxmlformats.org/spreadsheetml/2006/main" xmlns:r="http://schemas.openxmlformats.org/officeDocument/2006/relationships">
  <dimension ref="A1:J19"/>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30.83203125" customWidth="1"/>
    <col min="7" max="7" width="10.83203125" customWidth="1"/>
    <col min="8" max="8" width="15.83203125" customWidth="1"/>
    <col min="9" max="9" width="30.83203125" customWidth="1"/>
    <col min="10" max="10" width="10.83203125" customWidth="1" hidden="true"/>
  </cols>
  <sheetData>
    <row r="1" ht="30" customHeight="1">
      <c r="A1" s="8" t="str">
        <v>AOW</v>
      </c>
      <c r="B1" s="3" t="str">
        <v>Center</v>
      </c>
      <c r="C1" s="3" t="str">
        <v>High Level Output</v>
      </c>
      <c r="D1" s="3" t="str">
        <v>Key Performance Indicators</v>
      </c>
      <c r="I1" s="3" t="str">
        <v>Assumption</v>
      </c>
      <c r="J1" s="3" t="str">
        <v>id</v>
      </c>
    </row>
    <row r="2" ht="30" customHeight="1">
      <c r="D2" s="3" t="str">
        <v>Description</v>
      </c>
      <c r="E2" s="3" t="str">
        <v>Type</v>
      </c>
      <c r="F2" s="3" t="str">
        <v>Country(ies) of implementation</v>
      </c>
      <c r="G2" s="3" t="str">
        <v>Target</v>
      </c>
      <c r="H2" s="3" t="str">
        <v>Budget (USD)</v>
      </c>
    </row>
    <row r="3" ht="50" customHeight="1">
      <c r="A3" s="8" t="str">
        <v>AOW02: Market Systems</v>
      </c>
      <c r="B3" s="4" t="str">
        <v>CIMMYT</v>
      </c>
      <c r="C3" s="4" t="str">
        <v>Suite of solutions focused on farm input dealers, food traders, processors, and/or retailers that promote food quality and safety, reduce food loss, improve efficiency, and/or facilitate intermediation developed and tested with technical support and country engagement</v>
      </c>
      <c r="D3" s="4" t="str">
        <v>Critical Capabilities: Working paper on use of AI in predicting groundnut aflatoxin contamination.57</v>
      </c>
      <c r="E3" s="4" t="str">
        <v>Number of knowledge products</v>
      </c>
      <c r="F3" s="4" t="str">
        <v>Kenya, Tanzania, United Republic</v>
      </c>
      <c r="G3" s="5">
        <v>1</v>
      </c>
      <c r="H3" s="5">
        <v>28071</v>
      </c>
      <c r="I3" s="4" t="str">
        <v>Personnel costs based on standard organizational salary scales.</v>
      </c>
      <c r="J3" s="4">
        <v>5561</v>
      </c>
    </row>
    <row r="4" ht="50" customHeight="1">
      <c r="B4" s="4" t="str">
        <v>CIMMYT</v>
      </c>
      <c r="D4" s="4" t="str">
        <v>Critical Capabilities: Training and capacity building on safe sourcing, quality control, and market practices for groundnut processors in Tanzania.57</v>
      </c>
      <c r="E4" s="4" t="str">
        <v>Number of people trained (capacity sharing for development)</v>
      </c>
      <c r="F4" s="4" t="str">
        <v>Kenya, Tanzania, United Republic</v>
      </c>
      <c r="G4" s="5">
        <v>2</v>
      </c>
      <c r="H4" s="5">
        <v>56141</v>
      </c>
      <c r="I4" s="4" t="str">
        <v>Meeting costs include venue, catering, materials, and facilitators.</v>
      </c>
      <c r="J4" s="4">
        <v>5562</v>
      </c>
    </row>
    <row r="5" ht="50" customHeight="1">
      <c r="B5" s="4" t="str">
        <v>CIMMYT</v>
      </c>
      <c r="D5" s="4" t="str">
        <v>Critical Capabilities: AI-powered application to identify aflatoxin contamination in groundnuts, a technology to improve food safety and reduce food loss.57</v>
      </c>
      <c r="E5" s="4" t="str">
        <v>Number of innovations (innovation development)</v>
      </c>
      <c r="F5" s="4" t="str">
        <v>Kenya, Tanzania, United Republic</v>
      </c>
      <c r="G5" s="5">
        <v>1</v>
      </c>
      <c r="H5" s="5">
        <v>28071</v>
      </c>
      <c r="I5" s="4" t="str">
        <v>Estimated costs for time of interdisciplinary teams of researchers and local partners, data collection costs.</v>
      </c>
      <c r="J5" s="4">
        <v>5563</v>
      </c>
    </row>
    <row r="6" ht="50" customHeight="1">
      <c r="B6" s="4" t="str">
        <v>CIMMYT</v>
      </c>
      <c r="D6" s="4" t="str">
        <v>Contract design for addressing economic and quality aspects of groundnut production in Tanzania.09</v>
      </c>
      <c r="E6" s="4" t="str">
        <v>Number of innovations (innovation development)</v>
      </c>
      <c r="F6" s="4" t="str">
        <v>Kenya, Tanzania, United Republic</v>
      </c>
      <c r="G6" s="5">
        <v>1</v>
      </c>
      <c r="H6" s="5">
        <v>85000</v>
      </c>
      <c r="I6" s="4" t="str">
        <v>Estimated costs for time of interdisciplinary teams of researchers and local partners, data collection costs.</v>
      </c>
      <c r="J6" s="4">
        <v>7961</v>
      </c>
    </row>
    <row r="7" ht="50" customHeight="1">
      <c r="B7" s="4" t="str">
        <v>CIMMYT</v>
      </c>
      <c r="D7" s="4" t="str">
        <v>Information campaign to improve milk quality and safety in Ethiopia.36</v>
      </c>
      <c r="E7" s="4" t="str">
        <v>Number of innovations (innovation development)</v>
      </c>
      <c r="F7" s="4" t="str">
        <v>Morocco, Belgium, Kenya, Ethiopia</v>
      </c>
      <c r="G7" s="5">
        <v>1</v>
      </c>
      <c r="H7" s="5">
        <v>22000</v>
      </c>
      <c r="I7" s="4" t="str">
        <v>Estimated costs for time of interdisciplinary teams of researchers and local partners, data collection costs.</v>
      </c>
      <c r="J7" s="4">
        <v>7970</v>
      </c>
    </row>
    <row r="8" ht="50" customHeight="1">
      <c r="B8" s="4" t="str">
        <v>CIMMYT</v>
      </c>
      <c r="D8" s="4" t="str">
        <v>Paper on sequential interventions in Uganda that tested innovations on milk quality testing, price signaling.36</v>
      </c>
      <c r="E8" s="4" t="str">
        <v>Number of knowledge products</v>
      </c>
      <c r="F8" s="4" t="str">
        <v>Kenya, Belgium, Uganda</v>
      </c>
      <c r="G8" s="5">
        <v>1</v>
      </c>
      <c r="H8" s="5">
        <v>22000</v>
      </c>
      <c r="I8" s="4" t="str">
        <v>Personnel costs based on standard organizational salary scales.</v>
      </c>
      <c r="J8" s="4">
        <v>7972</v>
      </c>
    </row>
    <row r="9" ht="25" customHeight="1">
      <c r="C9" s="9" t="str">
        <v>HLO budget subtotal</v>
      </c>
      <c r="H9" s="9">
        <v>241283</v>
      </c>
      <c r="J9" s="9" t="str">
        <v/>
      </c>
    </row>
    <row r="10" ht="50" customHeight="1">
      <c r="A10" s="8" t="str">
        <v>AOW03: End-to-end Solutions</v>
      </c>
      <c r="B10" s="4" t="str">
        <v>CIMMYT</v>
      </c>
      <c r="C10" s="4" t="str">
        <v>Suite of end-to-end solutions for fruit and vegetable producers, traders, processors, and vendors/retailers that promote food quality and safety, reduce food loss, and increase profits co-developed, tested, and scaled</v>
      </c>
      <c r="D10" s="4" t="str">
        <v>Published results on various dimensions of the the end-to-end evaluation in Tanzania, including vegetable farming practices, diets and nutrition, the food environment, and gender, equity, and social inclusion issues.51</v>
      </c>
      <c r="E10" s="4" t="str">
        <v>Number of knowledge products</v>
      </c>
      <c r="F10" s="4" t="str">
        <v>United States of America, United Kingdom of Great Britain and Northern Ireland, Mexico, Tanzania, United Republic</v>
      </c>
      <c r="G10" s="5">
        <v>2</v>
      </c>
      <c r="H10" s="5">
        <v>33333</v>
      </c>
      <c r="I10" s="4" t="str">
        <v>Personnel costs based on standard organizational salary scales.</v>
      </c>
      <c r="J10" s="4">
        <v>5589</v>
      </c>
    </row>
    <row r="11" ht="50" customHeight="1">
      <c r="B11" s="4" t="str">
        <v>CIMMYT</v>
      </c>
      <c r="D11" s="4" t="str">
        <v>End-to-end approach for increasing fruit and vegetable consumption to improve diet quality, nutrition, and health outcomes; whilst improving livelihoods, empowering women and youth and mitigating negative environmental impacts in Tanzania</v>
      </c>
      <c r="E11" s="4" t="str">
        <v>Number of innovations (innovation development)</v>
      </c>
      <c r="F11" s="4" t="str">
        <v>United States of America, United Kingdom of Great Britain and Northern Ireland, Tanzania, United Republic</v>
      </c>
      <c r="G11" s="5">
        <v>1</v>
      </c>
      <c r="H11" s="5">
        <v>16667</v>
      </c>
      <c r="I11" s="4" t="str">
        <v>Estimated costs for time of interdisciplinary teams of researchers and local partners, data collection costs</v>
      </c>
      <c r="J11" s="4">
        <v>8000</v>
      </c>
    </row>
    <row r="12" ht="50" customHeight="1">
      <c r="B12" s="4" t="str">
        <v>CIMMYT</v>
      </c>
      <c r="D12" s="4" t="str">
        <v>End-to-end approach for increasing fruit and vegetable consumption to improve diet quality, nutrition, and health outcomes; whilst improving livelihoods, empowering women and youth and mitigating negative environmental impacts in Sri Lanka.49</v>
      </c>
      <c r="E12" s="4" t="str">
        <v>Number of innovations (innovation development)</v>
      </c>
      <c r="F12" s="4" t="str">
        <v>United States of America, Sri Lanka</v>
      </c>
      <c r="G12" s="5">
        <v>1</v>
      </c>
      <c r="H12" s="5">
        <v>27481</v>
      </c>
      <c r="I12" s="4" t="str">
        <v>Estimated costs for time of interdisciplinary teams of researchers and local partners, data collection costs</v>
      </c>
      <c r="J12" s="4">
        <v>8181</v>
      </c>
    </row>
    <row r="13" ht="25" customHeight="1">
      <c r="C13" s="9" t="str">
        <v>HLO budget subtotal</v>
      </c>
      <c r="H13" s="9">
        <v>77481</v>
      </c>
      <c r="J13" s="9" t="str">
        <v/>
      </c>
    </row>
    <row r="14" ht="50" customHeight="1">
      <c r="A14" s="8" t="str">
        <v>AOW04: Biofortified and Health-enhancing Staples</v>
      </c>
      <c r="B14" s="4" t="str">
        <v>CIMMYT</v>
      </c>
      <c r="C14" s="4" t="str">
        <v>Suite of solutions for traders and vendors that address constraints to sustainable healthy diets co-developed, tested, and scaled with technical support and country engagement</v>
      </c>
      <c r="D14" s="4" t="str">
        <v>Roadmap with clear pathways for scaling, market integration, and business model development for biofortified and health-enhancing staples</v>
      </c>
      <c r="E14" s="4" t="str">
        <v>Number of knowledge products</v>
      </c>
      <c r="F14" s="4" t="str">
        <v>India, Kenya, Tanzania, United Republic</v>
      </c>
      <c r="G14" s="5">
        <v>1</v>
      </c>
      <c r="H14" s="5">
        <v>25000</v>
      </c>
      <c r="I14" s="4" t="str">
        <v>Estimated costs for time of interdisciplinary teams of researchers and local partners, data collection costs</v>
      </c>
      <c r="J14" s="4">
        <v>8059</v>
      </c>
    </row>
    <row r="15" ht="50" customHeight="1">
      <c r="B15" s="4" t="str">
        <v>CIMMYT</v>
      </c>
      <c r="D15" s="4" t="str">
        <v>Consultations with traders, aggregators, government agencies, processors, private sector actors and development partners to develop practical, context-specific solutions for scaling, market integration, and business model development for biofortified and health-enhancing staples.31</v>
      </c>
      <c r="E15" s="4" t="str">
        <v>custom</v>
      </c>
      <c r="F15" s="4" t="str">
        <v>India, Kenya, Tanzania, United Republic</v>
      </c>
      <c r="G15" s="5">
        <v>2</v>
      </c>
      <c r="H15" s="5">
        <v>25000</v>
      </c>
      <c r="I15" s="4" t="str">
        <v>Meeting costs include venue, catering, materials, and facilitators</v>
      </c>
      <c r="J15" s="4">
        <v>8218</v>
      </c>
    </row>
    <row r="16" ht="50" customHeight="1">
      <c r="B16" s="4" t="str">
        <v>CIMMYT</v>
      </c>
      <c r="D16" s="4" t="str">
        <v>Diagnostic report on sourcing constraints, institutional procurement opportunities (including school feeding programs), consumer demand signals and knowledge gaps, and barriers to integrating biofortified crops into products.31</v>
      </c>
      <c r="E16" s="4" t="str">
        <v>Number of knowledge products</v>
      </c>
      <c r="F16" s="4" t="str">
        <v>India, Kenya, Tanzania, United Republic</v>
      </c>
      <c r="G16" s="5">
        <v>1</v>
      </c>
      <c r="H16" s="5">
        <v>12500</v>
      </c>
      <c r="I16" s="4" t="str">
        <v>Estimated costs for time of interdisciplinary teams of researchers and local partners, data collection costs</v>
      </c>
      <c r="J16" s="4">
        <v>8223</v>
      </c>
    </row>
    <row r="17" ht="50" customHeight="1">
      <c r="A17" s="4" t="str">
        <v>AOW04: Biofortified and Health-enhancing Staples</v>
      </c>
      <c r="B17" s="4" t="str">
        <v>CIMMYT</v>
      </c>
      <c r="C17" s="4" t="str">
        <v>Suite of solutions for producers and processors that address constraints to sustainable healthy diets co-developed, tested, and scaled with technical support and country engagement</v>
      </c>
      <c r="D17" s="4" t="str">
        <v>Diagnostic report on sourcing constraints, institutional procurement opportunities (including school feeding programs), consumer demand signals and knowledge gaps, and barriers to integrating biofortified crops into products.31</v>
      </c>
      <c r="E17" s="4" t="str">
        <v>Number of knowledge products</v>
      </c>
      <c r="F17" s="4" t="str">
        <v>India, Kenya, Tanzania, United Republic</v>
      </c>
      <c r="G17" s="5">
        <v>1</v>
      </c>
      <c r="H17" s="5">
        <v>12500</v>
      </c>
      <c r="I17" s="4" t="str">
        <v>Estimated costs for time of interdisciplinary teams of researchers and local partners, data collection costs</v>
      </c>
      <c r="J17" s="4">
        <v>8065</v>
      </c>
    </row>
    <row r="18" ht="50" customHeight="1">
      <c r="B18" s="4" t="str">
        <v>CIMMYT</v>
      </c>
      <c r="D18" s="4" t="str">
        <v>Consultations with traders, aggregators, government agencies, processors, private sector actors and development partners to develop practical, context-specific solutions for scaling, market integration, and business model development for biofortified and health-enhancing staples.31</v>
      </c>
      <c r="E18" s="4" t="str">
        <v>custom</v>
      </c>
      <c r="F18" s="4" t="str">
        <v>India, Kenya, Tanzania, United Republic</v>
      </c>
      <c r="G18" s="5">
        <v>2</v>
      </c>
      <c r="H18" s="5">
        <v>25000</v>
      </c>
      <c r="I18" s="4" t="str">
        <v>Meeting costs include venue, catering, materials, and facilitators</v>
      </c>
      <c r="J18" s="4">
        <v>8070</v>
      </c>
    </row>
    <row r="19" ht="25" customHeight="1">
      <c r="C19" s="9" t="str">
        <v>HLO budget subtotal</v>
      </c>
      <c r="H19" s="9">
        <v>100000</v>
      </c>
      <c r="J19" s="9" t="str">
        <v/>
      </c>
    </row>
  </sheetData>
  <mergeCells count="16">
    <mergeCell ref="A1:A2"/>
    <mergeCell ref="B1:B2"/>
    <mergeCell ref="C1:C2"/>
    <mergeCell ref="D1:H1"/>
    <mergeCell ref="I1:I2"/>
    <mergeCell ref="J1:J2"/>
    <mergeCell ref="C3:C8"/>
    <mergeCell ref="C9:G9"/>
    <mergeCell ref="A3:A9"/>
    <mergeCell ref="C10:C12"/>
    <mergeCell ref="C13:G13"/>
    <mergeCell ref="A10:A13"/>
    <mergeCell ref="C14:C16"/>
    <mergeCell ref="C17:C18"/>
    <mergeCell ref="C19:G19"/>
    <mergeCell ref="A14:A19"/>
  </mergeCells>
  <ignoredErrors>
    <ignoredError numberStoredAsText="1" sqref="A1:J19"/>
  </ignoredErrors>
</worksheet>
</file>

<file path=xl/worksheets/sheet3.xml><?xml version="1.0" encoding="utf-8"?>
<worksheet xmlns="http://schemas.openxmlformats.org/spreadsheetml/2006/main" xmlns:r="http://schemas.openxmlformats.org/officeDocument/2006/relationships">
  <dimension ref="A1:G5"/>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30.83203125" customWidth="1"/>
    <col min="7" max="7" width="10.83203125" customWidth="1" hidden="true"/>
  </cols>
  <sheetData>
    <row r="1" ht="30" customHeight="1">
      <c r="A1" s="3" t="str">
        <v>AOW</v>
      </c>
      <c r="B1" s="3" t="str">
        <v>Partner</v>
      </c>
      <c r="C1" s="3" t="str">
        <v>Center</v>
      </c>
      <c r="D1" s="3" t="str">
        <v>Geographic location</v>
      </c>
      <c r="E1" s="3" t="str">
        <v>Total Budget (USD)</v>
      </c>
      <c r="F1" s="3" t="str">
        <v>Assumption</v>
      </c>
      <c r="G1" s="3" t="str">
        <v>id</v>
      </c>
    </row>
    <row r="2" ht="50" customHeight="1">
      <c r="A2" s="8" t="str">
        <v>AOW02: Market Systems</v>
      </c>
      <c r="B2" s="4" t="str">
        <v>Agricultural Research Institute - Tanzania</v>
      </c>
      <c r="C2" s="4" t="str">
        <v>CIMMYT</v>
      </c>
      <c r="D2" s="4" t="str">
        <v>Tanzania, United Republic</v>
      </c>
      <c r="E2" s="5">
        <v>40000</v>
      </c>
      <c r="F2" s="4" t="str">
        <v>Linkages with groundnut processors and other market actors.</v>
      </c>
      <c r="G2" s="4">
        <v>435</v>
      </c>
    </row>
    <row r="3" ht="25" customHeight="1">
      <c r="B3" s="9" t="str">
        <v>Contracted partners subtotal</v>
      </c>
      <c r="E3" s="9">
        <v>40000</v>
      </c>
      <c r="F3" s="9" t="str">
        <v/>
      </c>
      <c r="G3" s="9" t="str">
        <v/>
      </c>
    </row>
    <row r="4" ht="50" customHeight="1">
      <c r="A4" s="8" t="str">
        <v>AOW03: End-to-end Solutions</v>
      </c>
      <c r="B4" s="4" t="str">
        <v>Nelson Mandela African Institute of Science and Technology</v>
      </c>
      <c r="C4" s="4" t="str">
        <v>CIMMYT</v>
      </c>
      <c r="D4" s="4" t="str">
        <v>Tanzania, United Republic</v>
      </c>
      <c r="E4" s="5">
        <v>20000</v>
      </c>
      <c r="F4" s="4" t="str">
        <v>Actionable sustainability pathways for vegetable systems in Tanzania</v>
      </c>
      <c r="G4" s="4">
        <v>436</v>
      </c>
    </row>
    <row r="5" ht="25" customHeight="1">
      <c r="B5" s="9" t="str">
        <v>Contracted partners subtotal</v>
      </c>
      <c r="E5" s="9">
        <v>20000</v>
      </c>
      <c r="F5" s="9" t="str">
        <v/>
      </c>
      <c r="G5" s="9" t="str">
        <v/>
      </c>
    </row>
  </sheetData>
  <mergeCells count="4">
    <mergeCell ref="B3:D3"/>
    <mergeCell ref="A2:A3"/>
    <mergeCell ref="B5:D5"/>
    <mergeCell ref="A4:A5"/>
  </mergeCells>
  <ignoredErrors>
    <ignoredError numberStoredAsText="1" sqref="A1:G5"/>
  </ignoredErrors>
</worksheet>
</file>

<file path=xl/worksheets/sheet4.xml><?xml version="1.0" encoding="utf-8"?>
<worksheet xmlns="http://schemas.openxmlformats.org/spreadsheetml/2006/main" xmlns:r="http://schemas.openxmlformats.org/officeDocument/2006/relationships">
  <dimension ref="A1:F1"/>
  <sheetViews>
    <sheetView workbookViewId="0"/>
  </sheetViews>
  <cols>
    <col min="1" max="1" width="15.83203125" customWidth="1"/>
    <col min="2" max="2" width="40.83203125" customWidth="1"/>
    <col min="3" max="3" width="30.83203125" customWidth="1"/>
    <col min="4" max="4" width="30.83203125" customWidth="1"/>
    <col min="5" max="5" width="30.83203125" customWidth="1"/>
    <col min="6" max="6" width="10.83203125" customWidth="1" hidden="true"/>
  </cols>
  <sheetData>
    <row r="1" ht="30" customHeight="1">
      <c r="A1" s="3" t="str">
        <v>Center</v>
      </c>
      <c r="B1" s="3" t="str">
        <v>Project title</v>
      </c>
      <c r="C1" s="3" t="str">
        <v>High Level Output title</v>
      </c>
      <c r="D1" s="3" t="str">
        <v>W3/Bilateral Project (USD)</v>
      </c>
      <c r="E1" s="3" t="str">
        <v>Assumption</v>
      </c>
      <c r="F1" s="3" t="str">
        <v>id</v>
      </c>
    </row>
  </sheetData>
  <ignoredErrors>
    <ignoredError numberStoredAsText="1" sqref="A1:F1"/>
  </ignoredErrors>
</worksheet>
</file>

<file path=xl/worksheets/sheet5.xml><?xml version="1.0" encoding="utf-8"?>
<worksheet xmlns="http://schemas.openxmlformats.org/spreadsheetml/2006/main" xmlns:r="http://schemas.openxmlformats.org/officeDocument/2006/relationships">
  <dimension ref="A1:H1"/>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25.83203125" customWidth="1"/>
    <col min="7" max="7" width="30.83203125" customWidth="1"/>
    <col min="8" max="8" width="10.83203125" customWidth="1" hidden="true"/>
  </cols>
  <sheetData>
    <row r="1" ht="30" customHeight="1">
      <c r="A1" s="3" t="str">
        <v>AOW</v>
      </c>
      <c r="B1" s="3" t="str">
        <v>Center</v>
      </c>
      <c r="C1" s="3" t="str">
        <v>MELIA study</v>
      </c>
      <c r="D1" s="3" t="str">
        <v>Supported outcomes</v>
      </c>
      <c r="E1" s="3" t="str">
        <v>Geographic location</v>
      </c>
      <c r="F1" s="3" t="str">
        <v>Total Budget (USD)</v>
      </c>
      <c r="G1" s="3" t="str">
        <v>Assumption</v>
      </c>
      <c r="H1" s="3" t="str">
        <v>id</v>
      </c>
    </row>
  </sheetData>
  <ignoredErrors>
    <ignoredError numberStoredAsText="1" sqref="A1:H1"/>
  </ignoredErrors>
</worksheet>
</file>

<file path=xl/worksheets/sheet6.xml><?xml version="1.0" encoding="utf-8"?>
<worksheet xmlns="http://schemas.openxmlformats.org/spreadsheetml/2006/main" xmlns:r="http://schemas.openxmlformats.org/officeDocument/2006/relationships">
  <dimension ref="A1:G1"/>
  <sheetViews>
    <sheetView workbookViewId="0"/>
  </sheetViews>
  <cols>
    <col min="1" max="1" width="10.83203125" customWidth="1"/>
    <col min="2" max="2" width="15.83203125" customWidth="1"/>
    <col min="3" max="3" width="40.83203125" customWidth="1"/>
    <col min="4" max="4" width="25.83203125" customWidth="1"/>
    <col min="5" max="5" width="30.83203125" customWidth="1"/>
    <col min="6" max="6" width="10.83203125" customWidth="1" hidden="true"/>
    <col min="7" max="7" width="10.83203125" customWidth="1" hidden="true"/>
  </cols>
  <sheetData>
    <row r="1" ht="60" customHeight="1">
      <c r="A1" s="3" t="str">
        <v>AOW</v>
      </c>
      <c r="B1" s="3" t="str">
        <v>Center</v>
      </c>
      <c r="C1" s="3" t="str">
        <v>Cost elements</v>
      </c>
      <c r="D1" s="3" t="str">
        <v>Total budget (USD)</v>
      </c>
      <c r="E1" s="3" t="str">
        <v>Assumption</v>
      </c>
      <c r="F1" s="3" t="str">
        <v>id</v>
      </c>
      <c r="G1" s="3" t="str">
        <v>standerd_cross_cutting_id</v>
      </c>
    </row>
  </sheetData>
  <ignoredErrors>
    <ignoredError numberStoredAsText="1" sqref="A1:G1"/>
  </ignoredErrors>
</worksheet>
</file>

<file path=xl/worksheets/sheet7.xml><?xml version="1.0" encoding="utf-8"?>
<worksheet xmlns="http://schemas.openxmlformats.org/spreadsheetml/2006/main" xmlns:r="http://schemas.openxmlformats.org/officeDocument/2006/relationships">
  <dimension ref="A1:I5"/>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10.83203125" customWidth="1"/>
    <col min="7" max="7" width="10.83203125" customWidth="1"/>
    <col min="8" max="8" width="10.83203125" customWidth="1"/>
    <col min="9" max="9" width="20.83203125" customWidth="1"/>
  </cols>
  <sheetData>
    <row r="1" ht="25" customHeight="1">
      <c r="A1" s="3" t="str">
        <v>Main Accounts</v>
      </c>
      <c r="B1" s="3" t="str">
        <v>AOW00</v>
      </c>
      <c r="C1" s="3" t="str">
        <v>AOW01</v>
      </c>
      <c r="D1" s="3" t="str">
        <v>AOW02</v>
      </c>
      <c r="E1" s="3" t="str">
        <v>AOW03</v>
      </c>
      <c r="F1" s="3" t="str">
        <v>AOW04</v>
      </c>
      <c r="G1" s="3" t="str">
        <v>AOW05</v>
      </c>
      <c r="H1" s="3" t="str">
        <v>AOW06</v>
      </c>
      <c r="I1" s="3" t="str">
        <v>Total budget (USD)</v>
      </c>
    </row>
    <row r="2" ht="20" customHeight="1">
      <c r="A2" s="4" t="str">
        <v>Staffing, Chargebacks and Indirect</v>
      </c>
      <c r="B2" s="5">
        <v>0</v>
      </c>
      <c r="C2" s="5">
        <v>0</v>
      </c>
      <c r="D2" s="5">
        <v>93893</v>
      </c>
      <c r="E2" s="5">
        <v>16637</v>
      </c>
      <c r="F2" s="5">
        <v>35141</v>
      </c>
      <c r="G2" s="5">
        <v>0</v>
      </c>
      <c r="H2" s="5">
        <v>0</v>
      </c>
      <c r="I2" s="5">
        <f>=SUM(B2:H2)</f>
        <v>0</v>
      </c>
    </row>
    <row r="3" ht="20" customHeight="1">
      <c r="A3" s="4" t="str">
        <v>Operations (supplies, consultants, travels, workshops, other)</v>
      </c>
      <c r="B3" s="5">
        <v>0</v>
      </c>
      <c r="C3" s="5">
        <v>0</v>
      </c>
      <c r="D3" s="5">
        <v>107390</v>
      </c>
      <c r="E3" s="5">
        <v>40844</v>
      </c>
      <c r="F3" s="5">
        <v>64859</v>
      </c>
      <c r="G3" s="5">
        <v>0</v>
      </c>
      <c r="H3" s="5">
        <v>0</v>
      </c>
      <c r="I3" s="5">
        <f>=SUM(B3:H3)</f>
        <v>0</v>
      </c>
    </row>
    <row r="4" ht="20" customHeight="1">
      <c r="A4" s="4" t="str">
        <v>Collaborators non-CGIAR centers</v>
      </c>
      <c r="B4" s="5">
        <v>0</v>
      </c>
      <c r="C4" s="5">
        <v>0</v>
      </c>
      <c r="D4" s="5">
        <v>40000</v>
      </c>
      <c r="E4" s="5">
        <v>20000</v>
      </c>
      <c r="F4" s="5">
        <v>0</v>
      </c>
      <c r="G4" s="5">
        <v>0</v>
      </c>
      <c r="H4" s="5">
        <v>0</v>
      </c>
      <c r="I4" s="5">
        <f>=SUM(B4:H4)</f>
        <v>0</v>
      </c>
    </row>
    <row r="5" ht="20" customHeight="1">
      <c r="A5" s="6" t="str">
        <v>Subtotal</v>
      </c>
      <c r="B5" s="7">
        <f>=SUM(B2:B4)</f>
        <v>0</v>
      </c>
      <c r="C5" s="7">
        <f>=SUM(C2:C4)</f>
        <v>0</v>
      </c>
      <c r="D5" s="7">
        <f>=SUM(D2:D4)</f>
        <v>0</v>
      </c>
      <c r="E5" s="7">
        <f>=SUM(E2:E4)</f>
        <v>0</v>
      </c>
      <c r="F5" s="7">
        <f>=SUM(F2:F4)</f>
        <v>0</v>
      </c>
      <c r="G5" s="7">
        <f>=SUM(G2:G4)</f>
        <v>0</v>
      </c>
      <c r="H5" s="7">
        <f>=SUM(H2:H4)</f>
        <v>0</v>
      </c>
      <c r="I5" s="7">
        <f>=SUM(I2:I4)</f>
        <v>0</v>
      </c>
    </row>
  </sheetData>
  <ignoredErrors>
    <ignoredError numberStoredAsText="1" sqref="A1:I5"/>
  </ignoredErrors>
</worksheet>
</file>

<file path=xl/worksheets/sheet8.xml><?xml version="1.0" encoding="utf-8"?>
<worksheet xmlns="http://schemas.openxmlformats.org/spreadsheetml/2006/main" xmlns:r="http://schemas.openxmlformats.org/officeDocument/2006/relationships">
  <dimension ref="A1:E9"/>
  <sheetViews>
    <sheetView workbookViewId="0"/>
  </sheetViews>
  <cols>
    <col min="1" max="1" width="10.83203125" customWidth="1"/>
    <col min="2" max="2" width="15.83203125" customWidth="1"/>
    <col min="3" max="3" width="30.83203125" customWidth="1"/>
    <col min="4" max="4" width="15.83203125" customWidth="1"/>
    <col min="5" max="5" width="10.83203125" customWidth="1" hidden="true"/>
  </cols>
  <sheetData>
    <row r="1" ht="60" customHeight="1">
      <c r="A1" s="3" t="str">
        <v>AOW</v>
      </c>
      <c r="B1" s="3" t="str">
        <v>Center</v>
      </c>
      <c r="C1" s="3" t="str">
        <v>Country</v>
      </c>
      <c r="D1" s="3" t="str">
        <v>Percentage (%)</v>
      </c>
      <c r="E1" s="3" t="str">
        <v>id</v>
      </c>
    </row>
    <row r="2" ht="45" customHeight="1">
      <c r="A2" s="8" t="str">
        <v>AOW02: Market Systems</v>
      </c>
      <c r="B2" s="4" t="str">
        <v>CIMMYT</v>
      </c>
      <c r="C2" s="4" t="str">
        <v>Ethiopia</v>
      </c>
      <c r="D2" s="5">
        <v>10</v>
      </c>
      <c r="E2" s="4">
        <v>2374</v>
      </c>
    </row>
    <row r="3" ht="45" customHeight="1">
      <c r="A3" s="4" t="str">
        <v>AOW02: Market Systems</v>
      </c>
      <c r="B3" s="4" t="str">
        <v>CIMMYT</v>
      </c>
      <c r="C3" s="4" t="str">
        <v>Kenya</v>
      </c>
      <c r="D3" s="5">
        <v>70</v>
      </c>
      <c r="E3" s="4">
        <v>2373</v>
      </c>
    </row>
    <row r="4" ht="45" customHeight="1">
      <c r="A4" s="4" t="str">
        <v>AOW02: Market Systems</v>
      </c>
      <c r="B4" s="4" t="str">
        <v>CIMMYT</v>
      </c>
      <c r="C4" s="4" t="str">
        <v>Tanzania</v>
      </c>
      <c r="D4" s="5">
        <v>10</v>
      </c>
      <c r="E4" s="4">
        <v>2375</v>
      </c>
    </row>
    <row r="5" ht="45" customHeight="1">
      <c r="A5" s="4" t="str">
        <v>AOW02: Market Systems</v>
      </c>
      <c r="B5" s="4" t="str">
        <v>CIMMYT</v>
      </c>
      <c r="C5" s="4" t="str">
        <v>Uganda</v>
      </c>
      <c r="D5" s="5">
        <v>10</v>
      </c>
      <c r="E5" s="4">
        <v>2376</v>
      </c>
    </row>
    <row r="6" ht="45" customHeight="1">
      <c r="A6" s="8" t="str">
        <v>AOW03: End-to-end Solutions</v>
      </c>
      <c r="B6" s="4" t="str">
        <v>CIMMYT</v>
      </c>
      <c r="C6" s="4" t="str">
        <v>Mexico</v>
      </c>
      <c r="D6" s="5">
        <v>80</v>
      </c>
      <c r="E6" s="4">
        <v>2371</v>
      </c>
    </row>
    <row r="7" ht="45" customHeight="1">
      <c r="A7" s="4" t="str">
        <v>AOW03: End-to-end Solutions</v>
      </c>
      <c r="B7" s="4" t="str">
        <v>CIMMYT</v>
      </c>
      <c r="C7" s="4" t="str">
        <v>Tanzania</v>
      </c>
      <c r="D7" s="5">
        <v>20</v>
      </c>
      <c r="E7" s="4">
        <v>2372</v>
      </c>
    </row>
    <row r="8" ht="45" customHeight="1">
      <c r="A8" s="8" t="str">
        <v>AOW04: Biofortified and Health-enhancing Staples</v>
      </c>
      <c r="B8" s="4" t="str">
        <v>CIMMYT</v>
      </c>
      <c r="C8" s="4" t="str">
        <v>Kenya</v>
      </c>
      <c r="D8" s="5">
        <v>80</v>
      </c>
      <c r="E8" s="4">
        <v>2377</v>
      </c>
    </row>
    <row r="9" ht="45" customHeight="1">
      <c r="A9" s="4" t="str">
        <v>AOW04: Biofortified and Health-enhancing Staples</v>
      </c>
      <c r="B9" s="4" t="str">
        <v>CIMMYT</v>
      </c>
      <c r="C9" s="4" t="str">
        <v>Tanzania</v>
      </c>
      <c r="D9" s="5">
        <v>20</v>
      </c>
      <c r="E9" s="4">
        <v>2378</v>
      </c>
    </row>
  </sheetData>
  <mergeCells count="3">
    <mergeCell ref="A2:A5"/>
    <mergeCell ref="A6:A7"/>
    <mergeCell ref="A8:A9"/>
  </mergeCells>
  <ignoredErrors>
    <ignoredError numberStoredAsText="1" sqref="A1:E9"/>
  </ignoredErrors>
</worksheet>
</file>

<file path=xl/worksheets/sheet9.xml><?xml version="1.0" encoding="utf-8"?>
<worksheet xmlns="http://schemas.openxmlformats.org/spreadsheetml/2006/main" xmlns:r="http://schemas.openxmlformats.org/officeDocument/2006/relationships">
  <dimension ref="A1:F7"/>
  <sheetViews>
    <sheetView workbookViewId="0"/>
  </sheetViews>
  <cols>
    <col min="1" max="1" width="10.83203125" customWidth="1"/>
    <col min="2" max="2" width="15.83203125" customWidth="1"/>
    <col min="3" max="3" width="30.83203125" customWidth="1"/>
    <col min="4" max="4" width="12.83203125" customWidth="1"/>
    <col min="5" max="5" width="15.83203125" customWidth="1"/>
    <col min="6" max="6" width="10.83203125" customWidth="1" hidden="true"/>
  </cols>
  <sheetData>
    <row r="1" ht="60" customHeight="1">
      <c r="A1" s="3" t="str">
        <v>AOW</v>
      </c>
      <c r="B1" s="3" t="str">
        <v>Center</v>
      </c>
      <c r="C1" s="3" t="str">
        <v>Location</v>
      </c>
      <c r="D1" s="3" t="str">
        <v>Type</v>
      </c>
      <c r="E1" s="3" t="str">
        <v>Percentage (%)</v>
      </c>
      <c r="F1" s="3" t="str">
        <v>id</v>
      </c>
    </row>
    <row r="2" ht="45" customHeight="1">
      <c r="A2" s="8" t="str">
        <v>AOW02: Market Systems</v>
      </c>
      <c r="B2" s="4" t="str">
        <v>CIMMYT</v>
      </c>
      <c r="C2" s="4" t="str">
        <v>Ethiopia</v>
      </c>
      <c r="D2" s="4" t="str">
        <v>country</v>
      </c>
      <c r="E2" s="5">
        <v>30</v>
      </c>
      <c r="F2" s="4">
        <v>839</v>
      </c>
    </row>
    <row r="3" ht="45" customHeight="1">
      <c r="A3" s="4" t="str">
        <v>AOW02: Market Systems</v>
      </c>
      <c r="B3" s="4" t="str">
        <v>CIMMYT</v>
      </c>
      <c r="C3" s="4" t="str">
        <v>Tanzania</v>
      </c>
      <c r="D3" s="4" t="str">
        <v>country</v>
      </c>
      <c r="E3" s="5">
        <v>30</v>
      </c>
      <c r="F3" s="4">
        <v>841</v>
      </c>
    </row>
    <row r="4" ht="45" customHeight="1">
      <c r="A4" s="4" t="str">
        <v>AOW02: Market Systems</v>
      </c>
      <c r="B4" s="4" t="str">
        <v>CIMMYT</v>
      </c>
      <c r="C4" s="4" t="str">
        <v>Uganda</v>
      </c>
      <c r="D4" s="4" t="str">
        <v>country</v>
      </c>
      <c r="E4" s="5">
        <v>40</v>
      </c>
      <c r="F4" s="4">
        <v>840</v>
      </c>
    </row>
    <row r="5" ht="45" customHeight="1">
      <c r="A5" s="8" t="str">
        <v>AOW03: End-to-end Solutions</v>
      </c>
      <c r="B5" s="4" t="str">
        <v>CIMMYT</v>
      </c>
      <c r="C5" s="4" t="str">
        <v>Tanzania</v>
      </c>
      <c r="D5" s="4" t="str">
        <v>country</v>
      </c>
      <c r="E5" s="5">
        <v>100</v>
      </c>
      <c r="F5" s="4">
        <v>842</v>
      </c>
    </row>
    <row r="6" ht="45" customHeight="1">
      <c r="A6" s="8" t="str">
        <v>AOW04: Biofortified and Health-enhancing Staples</v>
      </c>
      <c r="B6" s="4" t="str">
        <v>CIMMYT</v>
      </c>
      <c r="C6" s="4" t="str">
        <v>Kenya</v>
      </c>
      <c r="D6" s="4" t="str">
        <v>country</v>
      </c>
      <c r="E6" s="5">
        <v>0</v>
      </c>
      <c r="F6" s="4">
        <v>844</v>
      </c>
    </row>
    <row r="7" ht="45" customHeight="1">
      <c r="A7" s="4" t="str">
        <v>AOW04: Biofortified and Health-enhancing Staples</v>
      </c>
      <c r="B7" s="4" t="str">
        <v>CIMMYT</v>
      </c>
      <c r="C7" s="4" t="str">
        <v>Tanzania, United Republic</v>
      </c>
      <c r="D7" s="4" t="str">
        <v>country</v>
      </c>
      <c r="E7" s="5">
        <v>100</v>
      </c>
      <c r="F7" s="4">
        <v>845</v>
      </c>
    </row>
  </sheetData>
  <mergeCells count="3">
    <mergeCell ref="A2:A4"/>
    <mergeCell ref="A5"/>
    <mergeCell ref="A6:A7"/>
  </mergeCells>
  <ignoredErrors>
    <ignoredError numberStoredAsText="1" sqref="A1:F7"/>
  </ignoredErrors>
</worksheet>
</file>

<file path=xl/worksheets/sheet10.xml><?xml version="1.0" encoding="utf-8"?>
<worksheet xmlns="http://schemas.openxmlformats.org/spreadsheetml/2006/main" xmlns:r="http://schemas.openxmlformats.org/officeDocument/2006/relationships">
  <dimension ref="A1:E14"/>
  <sheetViews>
    <sheetView workbookViewId="0"/>
  </sheetViews>
  <cols>
    <col min="1" max="1" width="8.83203125" customWidth="1"/>
    <col min="2" max="2" width="35.83203125" customWidth="1"/>
    <col min="3" max="3" width="40.83203125" customWidth="1"/>
    <col min="4" max="4" width="50.83203125" customWidth="1"/>
    <col min="5" max="5" width="10.83203125" customWidth="1" hidden="true"/>
  </cols>
  <sheetData>
    <row r="1" ht="30" customHeight="1">
      <c r="A1" s="3" t="str">
        <v>AOW</v>
      </c>
      <c r="B1" s="3" t="str">
        <v>Program or Accelerator</v>
      </c>
      <c r="C1" s="3" t="str">
        <v>High Level Output</v>
      </c>
      <c r="D1" s="3" t="str">
        <v>Brief description</v>
      </c>
      <c r="E1" s="3" t="str">
        <v>id</v>
      </c>
    </row>
    <row r="2" ht="60" customHeight="1">
      <c r="A2" s="8" t="str">
        <v>AOW01: Consumers and Food Environments</v>
      </c>
      <c r="B2" s="4" t="str">
        <v xml:space="preserve">Digital Transformation </v>
      </c>
      <c r="C2" s="4" t="str">
        <v>Suite of solutions focused on consumers that promote consumption of sustainable heathy diets co-developed, tested, and scaled with technical support and country engagement</v>
      </c>
      <c r="D2" s="4" t="str">
        <v xml:space="preserve">Our program will collaborate with the Digital Transformation Accelerator on use of the Diet Quality Questionnaire (DQQ) administered via a digital platform in Guatemala, which will build the body of evidence on rapid dietary intake assessment tools collected through digital platforms that measure progress toward impact on MDDW and other diet-related indicators of interest to the entire CGIAR portfolio. </v>
      </c>
      <c r="E2" s="4">
        <v>994</v>
      </c>
    </row>
    <row r="3" ht="60" customHeight="1">
      <c r="A3" s="4" t="str">
        <v>AOW01: Consumers and Food Environments</v>
      </c>
      <c r="B3" s="4" t="str">
        <v>Food Frontiers and Security</v>
      </c>
      <c r="C3" s="4" t="str">
        <v>Suite of solutions focused on consumers that promote consumption of sustainable heathy diets co-developed, tested, and scaled with technical support and country engagement</v>
      </c>
      <c r="D3" s="4" t="str">
        <v>Our program will collaborate with Food Frontiers on the development and testing of a food safety perception scale in three countries. In 2026, this will include work to finalize the scale, a user guide, and scientific manuscripts.</v>
      </c>
      <c r="E3" s="4">
        <v>995</v>
      </c>
    </row>
    <row r="4" ht="60" customHeight="1">
      <c r="A4" s="8" t="str">
        <v>AOW02: Market Systems</v>
      </c>
      <c r="B4" s="4" t="str">
        <v>Policy Innovations</v>
      </c>
      <c r="C4" s="4" t="str">
        <v>Tested solutions to increase access to finance to farm input dealers, food traders, processors, and/or retailers to increase growth in market systems for healthy foods</v>
      </c>
      <c r="D4" s="4" t="str">
        <v xml:space="preserve">Through a group of researchers working in both Policy Innovations and Better Diets and Nutrition, lessons learned from work from this program on impacts of inclusive finance innovations in market systems for healthy foods will be shared with Policy Innovations to inform relevant policy messages/recommendations. In 2026, this will also include work on testing an asset-based financing product for use in Bangladesh and research to characterize availability of and demand for insurance products for nutrient-dense foods in Viet Nam and the Philippines. </v>
      </c>
      <c r="E4" s="4">
        <v>996</v>
      </c>
    </row>
    <row r="5" ht="60" customHeight="1">
      <c r="A5" s="4" t="str">
        <v>AOW02: Market Systems</v>
      </c>
      <c r="B5" s="4" t="str">
        <v>Scaling for Impact</v>
      </c>
      <c r="C5" s="4" t="str">
        <v>Suite of solutions focused on farm input dealers, food traders, processors, and/or retailers that promote food quality and safety, reduce food loss, improve efficiency, and/or facilitate intermediation developed and tested with technical support and country engagement</v>
      </c>
      <c r="D5" s="4" t="str">
        <v xml:space="preserve">Our program will invite experts from Scaling for Impact to contribute experiences on climate finance to inform our work on documenting proposed metrics and indicators for assessing reach and performance of climate and/or other innovative forms of financing related to market systems and consumers. In 2026, this work will include a scoping report on monitoring, reporting, and verification (MRV) targets for nutrition and diets being used by other agricultural funds review of metrics and framework for evaluating inclusive financing for MSMEs in market systems for healthy diets.  </v>
      </c>
      <c r="E5" s="4">
        <v>997</v>
      </c>
    </row>
    <row r="6" ht="60" customHeight="1">
      <c r="A6" s="4" t="str">
        <v>AOW02: Market Systems</v>
      </c>
      <c r="B6" s="4" t="str">
        <v xml:space="preserve">Sustainable Animal and Aquatic Foods </v>
      </c>
      <c r="C6" s="4" t="str">
        <v>Suite of solutions focused on farm input dealers, food traders, processors, and/or retailers that promote food quality and safety, reduce food loss, improve efficiency, and/or facilitate intermediation developed and tested with technical support and country engagement</v>
      </c>
      <c r="D6" s="4" t="str">
        <v xml:space="preserve">Our program will work with SAAF on evidence generation and synthesis around food safety. In 2026, this will include research on understanding attitudes towards meat decontamination, a potential innovation to improve food safety, in Kenya and Ethiopia. </v>
      </c>
      <c r="E6" s="4">
        <v>998</v>
      </c>
    </row>
    <row r="7" ht="60" customHeight="1">
      <c r="A7" s="8" t="str">
        <v>AOW03: End-to-end Solutions</v>
      </c>
      <c r="B7" s="4" t="str">
        <v>Food Frontiers and Security</v>
      </c>
      <c r="C7" s="4" t="str">
        <v>Suite of end-to-end solutions for fruit and vegetable producers, traders, processors, and vendors/retailers that promote food quality and safety, reduce food loss, and increase profits co-developed, tested, and scaled</v>
      </c>
      <c r="D7" s="4" t="str">
        <v xml:space="preserve">Our program will collaborate with Food Frontiers where there are opportunities to examine the impact of end-to-end approaches on increasing dietary intake of nutrient-dense foods in urban, fragile or island settings. In 2026, this will include work on end-to-end approaches in the Philippines. </v>
      </c>
      <c r="E7" s="4">
        <v>999</v>
      </c>
    </row>
    <row r="8" ht="60" customHeight="1">
      <c r="A8" s="4" t="str">
        <v>AOW03: End-to-end Solutions</v>
      </c>
      <c r="B8" s="4" t="str">
        <v xml:space="preserve">Sustainable Animal and Aquatic Foods </v>
      </c>
      <c r="C8" s="4" t="str">
        <v xml:space="preserve"> Suite of integrated end-to-end solutions for food producers, traders, processors, and vendors/retailers that promote  food quality and safety, reduce food loss, and increase profits co-developed, tested, and scaled</v>
      </c>
      <c r="D8" s="4" t="str">
        <v xml:space="preserve">Sustainable Animal and Aquatic Foods will contribute to the production and market related solutions and will contribute to the evaluation plan for testing of end to end solutions. In 2026, this will include inputs that contribute to the impact evaluation of the end-to-end approach in Tanzania. </v>
      </c>
      <c r="E8" s="4">
        <v>1000</v>
      </c>
    </row>
    <row r="9" ht="60" customHeight="1">
      <c r="A9" s="4" t="str">
        <v>AOW03: End-to-end Solutions</v>
      </c>
      <c r="B9" s="4" t="str">
        <v xml:space="preserve">Sustainable Animal and Aquatic Foods </v>
      </c>
      <c r="C9" s="4" t="str">
        <v xml:space="preserve"> Suite of end-to-end solutions for terrestrial animal-source food producers, traders, processors, and vendors/retailers that promote  food quality and safety, reduce food loss,and increase profits co-developed, tested, and scaled</v>
      </c>
      <c r="D9" s="4" t="str">
        <v xml:space="preserve">Sustainable Animal and Aquatic Foods will contribute to the production and market related solutions and will contribute to the evaluation plan for testing of end to end solutions. In 2026, this will include inputs that contribute to the impact evaluation of the end-to-end approach in Tanzania. </v>
      </c>
      <c r="E9" s="4">
        <v>1001</v>
      </c>
    </row>
    <row r="10" ht="60" customHeight="1">
      <c r="A10" s="4" t="str">
        <v>AOW03: End-to-end Solutions</v>
      </c>
      <c r="B10" s="4" t="str">
        <v>Food Frontiers and Security</v>
      </c>
      <c r="C10" s="4" t="str">
        <v>Suite of end-to-end solutions for aquatic food producers, traders, processors, and vendors/retailers that promote food quality and safety, reduce food loss,and increase profits co-developed, tested, and scaled</v>
      </c>
      <c r="D10" s="4" t="str">
        <v xml:space="preserve">Our program will collaborate with Food Frontiers where there are opportunities to examine the impact of end-to-end approaches on increasing dietary intake of nutrient-dense foods in urban, fragile or island settings. In 2026, this will include work on end-to-end approaches in Tanzania. </v>
      </c>
      <c r="E10" s="4">
        <v>1002</v>
      </c>
    </row>
    <row r="11" ht="60" customHeight="1">
      <c r="A11" s="8" t="str">
        <v>AOW04: Biofortified and Health-enhancing Staples</v>
      </c>
      <c r="B11" s="4" t="str">
        <v>Scaling for Impact</v>
      </c>
      <c r="C11" s="4" t="str">
        <v>Suite of solutions for producers and processors that address constraints to sustainable healthy diets co-developed, tested, and scaled with technical support and country engagement</v>
      </c>
      <c r="D11" s="4" t="str">
        <v>Shared scaling activities through TAAT Program</v>
      </c>
      <c r="E11" s="4">
        <v>1003</v>
      </c>
    </row>
    <row r="12" ht="60" customHeight="1">
      <c r="A12" s="4" t="str">
        <v>AOW04: Biofortified and Health-enhancing Staples</v>
      </c>
      <c r="B12" s="4" t="str">
        <v>Breeding for Tomorrow</v>
      </c>
      <c r="C12" s="4" t="str">
        <v>Framework for embedding nutrition into breeding pipelines and processes.</v>
      </c>
      <c r="D12" s="4" t="str">
        <v>Breeding for Tomorrow, AoW1 on Market Intelligence, currently led by Demont, Matty and endorsed by the latter. Linkage between both Programs is embedded in the ToC through the HLO "Framework for embedding nutrition into breeding pipelines and processes" which connects to Market Intelligence HLOs, TARGET and INVEST.</v>
      </c>
      <c r="E12" s="4">
        <v>1004</v>
      </c>
    </row>
    <row r="13" ht="60" customHeight="1">
      <c r="A13" s="4" t="str">
        <v>AOW04: Biofortified and Health-enhancing Staples</v>
      </c>
      <c r="B13" s="4" t="str">
        <v>Breeding for Tomorrow</v>
      </c>
      <c r="C13" s="4" t="str">
        <v>Suite of solutions to support consumers awareness, preference, affordability and utilization of biofortified and health-enhancing crops in their diets</v>
      </c>
      <c r="D13" s="4" t="str">
        <v>AoW1 on Market Intelligence, currently led by Demont, Matty. Linkage between both Programs is embedded in the ToC through the HLO "Framework for embedding nutrition into breeding pipelines and processes" which connects to Market Intelligence HLOs STEER, TARGET and INVEST.</v>
      </c>
      <c r="E13" s="4">
        <v>1005</v>
      </c>
    </row>
    <row r="14" ht="60" customHeight="1">
      <c r="A14" s="4" t="str">
        <v>AOW04: Biofortified and Health-enhancing Staples</v>
      </c>
      <c r="B14" s="4" t="str">
        <v xml:space="preserve">Gender Equality and Inclusion </v>
      </c>
      <c r="C14" s="4" t="str">
        <v>Suite of solutions to support consumers awareness, preference, affordability and utilization of biofortified and health-enhancing crops in their diets</v>
      </c>
      <c r="D14" s="4" t="str">
        <v>AoW1 Accelerating Solutions for Impact, endorsed by Sub AoW1.2 lead Gaudiose.</v>
      </c>
      <c r="E14" s="4">
        <v>1006</v>
      </c>
    </row>
  </sheetData>
  <mergeCells count="4">
    <mergeCell ref="A2:A3"/>
    <mergeCell ref="A4:A6"/>
    <mergeCell ref="A7:A10"/>
    <mergeCell ref="A11:A14"/>
  </mergeCells>
  <ignoredErrors>
    <ignoredError numberStoredAsText="1" sqref="A1:E14"/>
  </ignoredErrors>
</worksheet>
</file>

<file path=xl/worksheets/sheet11.xml><?xml version="1.0" encoding="utf-8"?>
<worksheet xmlns="http://schemas.openxmlformats.org/spreadsheetml/2006/main" xmlns:r="http://schemas.openxmlformats.org/officeDocument/2006/relationships">
  <dimension ref="A1:G32"/>
  <sheetViews>
    <sheetView workbookViewId="0"/>
  </sheetViews>
  <cols>
    <col min="1" max="1" width="8.83203125" customWidth="1"/>
    <col min="2" max="2" width="40.83203125" customWidth="1"/>
    <col min="3" max="3" width="25.83203125" customWidth="1"/>
    <col min="4" max="4" width="25.83203125" customWidth="1"/>
    <col min="5" max="5" width="30.83203125" customWidth="1"/>
    <col min="6" max="6" width="15.83203125" customWidth="1"/>
    <col min="7" max="7" width="10.83203125" customWidth="1" hidden="true"/>
  </cols>
  <sheetData>
    <row r="1" ht="30" customHeight="1">
      <c r="A1" s="3" t="str">
        <v>AOW</v>
      </c>
      <c r="B1" s="3" t="str">
        <v>Outcome</v>
      </c>
      <c r="C1" s="3" t="str">
        <v>Type of Outcome</v>
      </c>
      <c r="D1" s="3" t="str">
        <v>Indicator Type</v>
      </c>
      <c r="E1" s="3" t="str">
        <v>Geographic Location</v>
      </c>
      <c r="F1" s="3" t="str">
        <v>Target Value</v>
      </c>
      <c r="G1" s="3" t="str">
        <v>id</v>
      </c>
    </row>
    <row r="2" ht="60" customHeight="1">
      <c r="A2" s="8" t="str">
        <v>AOW00: Cross Cutting</v>
      </c>
      <c r="B2" s="4" t="str">
        <v>Food producers, traders, processors, and/or retailers adopt evidence-based solutions to improve food safety and quality in target markets​</v>
      </c>
      <c r="C2" s="4" t="str">
        <v/>
      </c>
      <c r="D2" s="4" t="str">
        <v>Innovation Use</v>
      </c>
      <c r="E2" s="4" t="str">
        <v>Country: Benin, Ethiopia, Honduras, Kenya, Philippines, Sri Lanka, Tanzania, United Republic, Uganda</v>
      </c>
      <c r="F2" s="5">
        <v>3</v>
      </c>
      <c r="G2" s="4">
        <v>573</v>
      </c>
    </row>
    <row r="3" ht="60" customHeight="1">
      <c r="A3" s="4" t="str">
        <v>AOW00: Cross Cutting</v>
      </c>
      <c r="B3" s="4" t="str">
        <v>Consumers demand and consume sustainable healthy diets</v>
      </c>
      <c r="C3" s="4" t="str">
        <v/>
      </c>
      <c r="D3" s="4" t="str">
        <v xml:space="preserve"> Other outcome</v>
      </c>
      <c r="E3" s="4" t="str">
        <v>Country: Bangladesh, Ethiopia, Honduras, Philippines, Tanzania, United Republic, The Socialist Republic of Viet Nam</v>
      </c>
      <c r="F3" s="5">
        <v>0</v>
      </c>
      <c r="G3" s="4">
        <v>594</v>
      </c>
    </row>
    <row r="4" ht="60" customHeight="1">
      <c r="A4" s="4" t="str">
        <v>AOW00: Cross Cutting</v>
      </c>
      <c r="B4" s="4" t="str">
        <v>Consumers demand and consume sustainable healthy diets</v>
      </c>
      <c r="C4" s="4" t="str">
        <v/>
      </c>
      <c r="D4" s="4" t="str">
        <v xml:space="preserve"> Other outcome</v>
      </c>
      <c r="E4" s="4" t="str">
        <v>Country: Bangladesh, Ethiopia, Honduras, Philippines, Tanzania, United Republic, The Socialist Republic of Viet Nam</v>
      </c>
      <c r="F4" s="5">
        <v>0</v>
      </c>
      <c r="G4" s="4">
        <v>594</v>
      </c>
    </row>
    <row r="5" ht="60" customHeight="1">
      <c r="A5" s="4" t="str">
        <v>AOW00: Cross Cutting</v>
      </c>
      <c r="B5" s="4" t="str">
        <v>Food traders, processors, and/or retailers adopt effective components of bundled solutions to reduce food loss and waste</v>
      </c>
      <c r="C5" s="4" t="str">
        <v/>
      </c>
      <c r="D5" s="4" t="str">
        <v>Innovation Use</v>
      </c>
      <c r="E5" s="4" t="str">
        <v>Country: Benin, Philippines, Sri Lanka, Tanzania, United Republic, Uganda</v>
      </c>
      <c r="F5" s="5">
        <v>0</v>
      </c>
      <c r="G5" s="4">
        <v>604</v>
      </c>
    </row>
    <row r="6" ht="60" customHeight="1">
      <c r="A6" s="8" t="str">
        <v>AOW01: Consumers and Food Environments</v>
      </c>
      <c r="B6" s="4" t="str">
        <v>Policymakers enact policies and regulations, through the FST-NAP and other policy processes, that align with evidence and recommendations</v>
      </c>
      <c r="C6" s="4" t="str">
        <v/>
      </c>
      <c r="D6" s="4" t="str">
        <v>Number of Policy (Policy Change)</v>
      </c>
      <c r="E6" s="4" t="str">
        <v>Country: Bangladesh, Ethiopia, Honduras, The Socialist Republic of Viet Nam</v>
      </c>
      <c r="F6" s="5">
        <v>2</v>
      </c>
      <c r="G6" s="4">
        <v>593</v>
      </c>
    </row>
    <row r="7" ht="60" customHeight="1">
      <c r="A7" s="4" t="str">
        <v>AOW01: Consumers and Food Environments</v>
      </c>
      <c r="B7" s="4" t="str">
        <v>Decisionmakers, through new governance mechanisms, align priorities across the public sector and private sector and civil society that support food systems transformation for sustainable healthy diets</v>
      </c>
      <c r="C7" s="4" t="str">
        <v/>
      </c>
      <c r="D7" s="4" t="str">
        <v>Number of Policy (Policy Change)</v>
      </c>
      <c r="E7" s="4" t="str">
        <v>Country: Bangladesh, Ethiopia, Honduras, The Socialist Republic of Viet Nam</v>
      </c>
      <c r="F7" s="5">
        <v>3</v>
      </c>
      <c r="G7" s="4">
        <v>595</v>
      </c>
    </row>
    <row r="8" ht="60" customHeight="1">
      <c r="A8" s="4" t="str">
        <v>AOW01: Consumers and Food Environments</v>
      </c>
      <c r="B8" s="4" t="str">
        <v>Government actors implement and enforce consumer-oriented solutions that change consumer desirability and agency to improve the consumption of sustainable healthy diets and/or limit the consumption of unhealthy food</v>
      </c>
      <c r="C8" s="4" t="str">
        <v/>
      </c>
      <c r="D8" s="4" t="str">
        <v>Innovation Use</v>
      </c>
      <c r="E8" s="4" t="str">
        <v>Country: Bangladesh, Ethiopia, Ghana, Honduras, The Socialist Republic of Viet Nam</v>
      </c>
      <c r="F8" s="5">
        <v>0</v>
      </c>
      <c r="G8" s="4">
        <v>596</v>
      </c>
    </row>
    <row r="9" ht="60" customHeight="1">
      <c r="A9" s="4" t="str">
        <v>AOW01: Consumers and Food Environments</v>
      </c>
      <c r="B9" s="4" t="str">
        <v>Government actors implement and enforce MSME and informal actor-oriented solutions that overcome constraints inhibiting the affordability and accessibility of sustainable nutritious foods, help grow demand for sustainable nutritious foods and grow decent employment among MSMEs selling those foods.</v>
      </c>
      <c r="C9" s="4" t="str">
        <v/>
      </c>
      <c r="D9" s="4" t="str">
        <v>Innovation Use</v>
      </c>
      <c r="E9" s="4" t="str">
        <v>Country: Bangladesh, Ethiopia, Honduras, The Socialist Republic of Viet Nam</v>
      </c>
      <c r="F9" s="5">
        <v>1</v>
      </c>
      <c r="G9" s="4">
        <v>597</v>
      </c>
    </row>
    <row r="10" ht="60" customHeight="1">
      <c r="A10" s="8" t="str">
        <v>AOW02: Market Systems</v>
      </c>
      <c r="B10" s="4" t="str">
        <v xml:space="preserve">Food traders and retailers adopt methods of differentiating food products by quality dimensions </v>
      </c>
      <c r="C10" s="4" t="str">
        <v/>
      </c>
      <c r="D10" s="4" t="str">
        <v>Innovation Use</v>
      </c>
      <c r="E10" s="4" t="str">
        <v>Country: Bangladesh, Nigeria, Uganda</v>
      </c>
      <c r="F10" s="5">
        <v>0</v>
      </c>
      <c r="G10" s="4">
        <v>598</v>
      </c>
    </row>
    <row r="11" ht="60" customHeight="1">
      <c r="A11" s="4" t="str">
        <v>AOW02: Market Systems</v>
      </c>
      <c r="B11" s="4" t="str">
        <v>Policymakers actors endorse evidence-based solutions to improve food safety</v>
      </c>
      <c r="C11" s="4" t="str">
        <v/>
      </c>
      <c r="D11" s="4" t="str">
        <v>Number of Policy (Policy Change)</v>
      </c>
      <c r="E11" s="4" t="str">
        <v>Country: Kenya</v>
      </c>
      <c r="F11" s="5">
        <v>0</v>
      </c>
      <c r="G11" s="4">
        <v>599</v>
      </c>
    </row>
    <row r="12" ht="60" customHeight="1">
      <c r="A12" s="4" t="str">
        <v>AOW02: Market Systems</v>
      </c>
      <c r="B12" s="4" t="str">
        <v>Food traders, processors, and retailers adopt effective components of bundled solutions to reduce transaction costs</v>
      </c>
      <c r="C12" s="4" t="str">
        <v/>
      </c>
      <c r="D12" s="4" t="str">
        <v>Innovation Use</v>
      </c>
      <c r="E12" s="4" t="str">
        <v>Country: Bangladesh, Nigeria, Uganda</v>
      </c>
      <c r="F12" s="5">
        <v>0</v>
      </c>
      <c r="G12" s="4">
        <v>600</v>
      </c>
    </row>
    <row r="13" ht="60" customHeight="1">
      <c r="A13" s="4" t="str">
        <v>AOW02: Market Systems</v>
      </c>
      <c r="B13" s="4" t="str">
        <v>Farm input dealers, food traders, processors, and/or retailers adopt solutions that offer increased access to agricultural finance ​</v>
      </c>
      <c r="C13" s="4" t="str">
        <v/>
      </c>
      <c r="D13" s="4" t="str">
        <v>Innovation Use</v>
      </c>
      <c r="E13" s="4" t="str">
        <v>Country: Bangladesh, Nigeria, Uganda</v>
      </c>
      <c r="F13" s="5">
        <v>30</v>
      </c>
      <c r="G13" s="4">
        <v>601</v>
      </c>
    </row>
    <row r="14" ht="60" customHeight="1">
      <c r="A14" s="4" t="str">
        <v>AOW02: Market Systems</v>
      </c>
      <c r="B14" s="4" t="str">
        <v>Government actors endorse evidence for their trade and health policy strategies that promote sustainable healthy diets​</v>
      </c>
      <c r="C14" s="4" t="str">
        <v/>
      </c>
      <c r="D14" s="4" t="str">
        <v>Number of Policy (Policy Change)</v>
      </c>
      <c r="E14" s="4" t="str">
        <v>Country: Benin, Ethiopia, India, Tanzania, United Republic</v>
      </c>
      <c r="F14" s="5">
        <v>2</v>
      </c>
      <c r="G14" s="4">
        <v>602</v>
      </c>
    </row>
    <row r="15" ht="60" customHeight="1">
      <c r="A15" s="4" t="str">
        <v>AOW02: Market Systems</v>
      </c>
      <c r="B15" s="4" t="str">
        <v>Farm input dealers, food traders, processors, and/or retailers grow their businesses, leading to availability and affordability of sustainable nutrition food and increased employment opportunities</v>
      </c>
      <c r="C15" s="4" t="str">
        <v/>
      </c>
      <c r="D15" s="4" t="str">
        <v xml:space="preserve"> % of targeted actors reporting increased revenues</v>
      </c>
      <c r="E15" s="4" t="str">
        <v>Country: Bangladesh, Nigeria, Uganda</v>
      </c>
      <c r="F15" s="5">
        <v>0</v>
      </c>
      <c r="G15" s="4">
        <v>603</v>
      </c>
    </row>
    <row r="16" ht="60" customHeight="1">
      <c r="A16" s="8" t="str">
        <v>AOW03: End-to-end Solutions</v>
      </c>
      <c r="B16" s="4" t="str">
        <v xml:space="preserve">Food systems actors (producers, traders, vendors, policy makers) adopt sustainable/profitable end-to-end solution approaches   </v>
      </c>
      <c r="C16" s="4" t="str">
        <v/>
      </c>
      <c r="D16" s="4" t="str">
        <v>Innovation Use</v>
      </c>
      <c r="E16" s="4" t="str">
        <v>Country: Benin, Philippines, Sri Lanka, Tanzania, United Republic, Uganda</v>
      </c>
      <c r="F16" s="5">
        <v>0</v>
      </c>
      <c r="G16" s="4">
        <v>587</v>
      </c>
    </row>
    <row r="17" ht="60" customHeight="1">
      <c r="A17" s="4" t="str">
        <v>AOW03: End-to-end Solutions</v>
      </c>
      <c r="B17" s="4" t="str">
        <v xml:space="preserve">Policymakers at national and sub-national levels prioritize fruits and vegetables aquatic foods, and other nutrient-dense foods​ </v>
      </c>
      <c r="C17" s="4" t="str">
        <v/>
      </c>
      <c r="D17" s="4" t="str">
        <v>Number of Policy (Policy Change)</v>
      </c>
      <c r="E17" s="4" t="str">
        <v>Country: Benin, Philippines, Sri Lanka, Tanzania, United Republic, Uganda</v>
      </c>
      <c r="F17" s="5">
        <v>2</v>
      </c>
      <c r="G17" s="4">
        <v>588</v>
      </c>
    </row>
    <row r="18" ht="60" customHeight="1">
      <c r="A18" s="4" t="str">
        <v>AOW03: End-to-end Solutions</v>
      </c>
      <c r="B18" s="4" t="str">
        <v xml:space="preserve">Consumers in the implementation sites in the target countries consume fruit and vegetables, aquatic and terrestrial animal sources </v>
      </c>
      <c r="C18" s="4" t="str">
        <v/>
      </c>
      <c r="D18" s="4" t="str">
        <v>Innovation Use</v>
      </c>
      <c r="E18" s="4" t="str">
        <v>Country: Benin, Philippines, Sri Lanka, Tanzania, United Republic, Uganda</v>
      </c>
      <c r="F18" s="5">
        <v>0</v>
      </c>
      <c r="G18" s="4">
        <v>589</v>
      </c>
    </row>
    <row r="19" ht="60" customHeight="1">
      <c r="A19" s="4" t="str">
        <v>AOW03: End-to-end Solutions</v>
      </c>
      <c r="B19" s="4" t="str">
        <v xml:space="preserve">Consumers substitute nutrient-poor foods with nutrient-dense foods improving diet quality </v>
      </c>
      <c r="C19" s="4" t="str">
        <v/>
      </c>
      <c r="D19" s="4" t="str">
        <v>Innovation Use</v>
      </c>
      <c r="E19" s="4" t="str">
        <v>Country: Benin, Philippines, Sri Lanka, Tanzania, United Republic, Uganda</v>
      </c>
      <c r="F19" s="5">
        <v>20</v>
      </c>
      <c r="G19" s="4">
        <v>590</v>
      </c>
    </row>
    <row r="20" ht="60" customHeight="1">
      <c r="A20" s="4" t="str">
        <v>AOW03: End-to-end Solutions</v>
      </c>
      <c r="B20" s="4" t="str">
        <v>Aquatic food, fruits and vegetables producers adopt solutions that increase production</v>
      </c>
      <c r="C20" s="4" t="str">
        <v/>
      </c>
      <c r="D20" s="4" t="str">
        <v>Innovation Use</v>
      </c>
      <c r="E20" s="4" t="str">
        <v>Country: Benin, Philippines, Sri Lanka, Tanzania, United Republic, Uganda</v>
      </c>
      <c r="F20" s="5">
        <v>0</v>
      </c>
      <c r="G20" s="4">
        <v>591</v>
      </c>
    </row>
    <row r="21" ht="60" customHeight="1">
      <c r="A21" s="4" t="str">
        <v>AOW03: End-to-end Solutions</v>
      </c>
      <c r="B21" s="4" t="str">
        <v>Consumers purchases of fruit and vegetable, aquatic and terrestrial animal source foods</v>
      </c>
      <c r="C21" s="4" t="str">
        <v/>
      </c>
      <c r="D21" s="4" t="str">
        <v>Innovation Use</v>
      </c>
      <c r="E21" s="4" t="str">
        <v>Country: Benin, Philippines, Sri Lanka, Tanzania, United Republic, Uganda</v>
      </c>
      <c r="F21" s="5">
        <v>0</v>
      </c>
      <c r="G21" s="4">
        <v>592</v>
      </c>
    </row>
    <row r="22" ht="60" customHeight="1">
      <c r="A22" s="8" t="str">
        <v>AOW04: Biofortified and Health-enhancing Staples</v>
      </c>
      <c r="B22" s="4" t="str">
        <v xml:space="preserve">Policymakers implement protocols to measure quality assurance, and monitor nutritional content and product quality for biofortified and health-enhancing crops into existing protocols </v>
      </c>
      <c r="C22" s="4" t="str">
        <v/>
      </c>
      <c r="D22" s="4" t="str">
        <v>Number of Policy (Policy Change)</v>
      </c>
      <c r="E22" s="4" t="str">
        <v>Country: Bangladesh, Ethiopia, Guatemala, India, Kenya, Malawi, Nigeria, Philippines, Uganda</v>
      </c>
      <c r="F22" s="5">
        <v>0</v>
      </c>
      <c r="G22" s="4">
        <v>581</v>
      </c>
    </row>
    <row r="23" ht="60" customHeight="1">
      <c r="A23" s="4" t="str">
        <v>AOW04: Biofortified and Health-enhancing Staples</v>
      </c>
      <c r="B23" s="4" t="str">
        <v xml:space="preserve">Policymakers integrate biofortified and health-enhancing crops into national policies  </v>
      </c>
      <c r="C23" s="4" t="str">
        <v/>
      </c>
      <c r="D23" s="4" t="str">
        <v>Innovation Use</v>
      </c>
      <c r="E23" s="4" t="str">
        <v>Country: Bangladesh, Ethiopia, Guatemala, India, Kenya, Malawi, Nigeria, Philippines, Uganda</v>
      </c>
      <c r="F23" s="5">
        <v>1</v>
      </c>
      <c r="G23" s="4">
        <v>582</v>
      </c>
    </row>
    <row r="24" ht="60" customHeight="1">
      <c r="A24" s="4" t="str">
        <v>AOW04: Biofortified and Health-enhancing Staples</v>
      </c>
      <c r="B24" s="4" t="str">
        <v>Traders and vendors include biofortified and health-enhancing crops, raw materials or products derived from biofortified or health-enhancing crops in their inventories</v>
      </c>
      <c r="C24" s="4" t="str">
        <v/>
      </c>
      <c r="D24" s="4" t="str">
        <v>Innovation Use</v>
      </c>
      <c r="E24" s="4" t="str">
        <v>Country: Bangladesh, Ethiopia, Guatemala, India, Kenya, Malawi, Nigeria, Philippines, Uganda</v>
      </c>
      <c r="F24" s="5">
        <v>20</v>
      </c>
      <c r="G24" s="4">
        <v>583</v>
      </c>
    </row>
    <row r="25" ht="60" customHeight="1">
      <c r="A25" s="4" t="str">
        <v>AOW04: Biofortified and Health-enhancing Staples</v>
      </c>
      <c r="B25" s="4" t="str">
        <v>Processors use biofortified and health-enhancing crops as raw materials or ingredients for commercial products</v>
      </c>
      <c r="C25" s="4" t="str">
        <v/>
      </c>
      <c r="D25" s="4" t="str">
        <v>Innovation Use</v>
      </c>
      <c r="E25" s="4" t="str">
        <v>Country: Bangladesh, Ethiopia, Guatemala, India, Kenya, Malawi, Nigeria, Philippines, Uganda</v>
      </c>
      <c r="F25" s="5">
        <v>20</v>
      </c>
      <c r="G25" s="4">
        <v>584</v>
      </c>
    </row>
    <row r="26" ht="60" customHeight="1">
      <c r="A26" s="4" t="str">
        <v>AOW04: Biofortified and Health-enhancing Staples</v>
      </c>
      <c r="B26" s="4" t="str">
        <v>Producers and processors adopt and scale biofortified and health-enhancing crops</v>
      </c>
      <c r="C26" s="4" t="str">
        <v/>
      </c>
      <c r="D26" s="4" t="str">
        <v>Innovation Use</v>
      </c>
      <c r="E26" s="4" t="str">
        <v>Country: Bangladesh, Ethiopia, Guatemala, India, Kenya, Malawi, Nigeria, Philippines, Uganda</v>
      </c>
      <c r="F26" s="5">
        <v>20</v>
      </c>
      <c r="G26" s="4">
        <v>585</v>
      </c>
    </row>
    <row r="27" ht="60" customHeight="1">
      <c r="A27" s="4" t="str">
        <v>AOW04: Biofortified and Health-enhancing Staples</v>
      </c>
      <c r="B27" s="4" t="str">
        <v>CGIAR-NARS product design researchers include traits for biofortified and health-enhancing crops for incorporation into breeding programs</v>
      </c>
      <c r="C27" s="4" t="str">
        <v/>
      </c>
      <c r="D27" s="4" t="str">
        <v>Innovation Use</v>
      </c>
      <c r="E27" s="4" t="str">
        <v>Global</v>
      </c>
      <c r="F27" s="5">
        <v>10</v>
      </c>
      <c r="G27" s="4">
        <v>586</v>
      </c>
    </row>
    <row r="28" ht="60" customHeight="1">
      <c r="A28" s="4" t="str">
        <v>AOW05: Multisectoral systems</v>
      </c>
      <c r="B28" s="4" t="str">
        <v>Government and non-government organizations in diverse sectors integrate evidence on strategies to address determinants of poor diets into policies and programs​</v>
      </c>
      <c r="C28" s="4" t="str">
        <v/>
      </c>
      <c r="D28" s="4" t="str">
        <v>Number of Policy (Policy Change)</v>
      </c>
      <c r="E28" s="4" t="str">
        <v>Country: Bangladesh, Ethiopia, Honduras, The Socialist Republic of Viet Nam</v>
      </c>
      <c r="F28" s="5">
        <v>0</v>
      </c>
      <c r="G28" s="4">
        <v>580</v>
      </c>
    </row>
    <row r="29" ht="60" customHeight="1">
      <c r="A29" s="8" t="str">
        <v>AOW06: Transformative leadership</v>
      </c>
      <c r="B29" s="4" t="str">
        <v>Global multilateral governance platforms (e.g., COP processes under climate and biodiversity conventions) incorporate systems thinking on diets and nutrition into convergence agendas</v>
      </c>
      <c r="C29" s="4" t="str">
        <v/>
      </c>
      <c r="D29" s="4" t="str">
        <v>Number of official policy statements</v>
      </c>
      <c r="E29" s="4" t="str">
        <v>Global</v>
      </c>
      <c r="F29" s="5">
        <v>2</v>
      </c>
      <c r="G29" s="4">
        <v>574</v>
      </c>
    </row>
    <row r="30" ht="60" customHeight="1">
      <c r="A30" s="4" t="str">
        <v>AOW06: Transformative leadership</v>
      </c>
      <c r="B30" s="4" t="str">
        <v>CGIAR Research Programs and Accelerators apply diet-centred aproaches to foster nutrition sensitive agricultural principles for better diets and nutrition</v>
      </c>
      <c r="C30" s="4" t="str">
        <v/>
      </c>
      <c r="D30" s="4" t="str">
        <v>Innovation Use</v>
      </c>
      <c r="E30" s="4" t="str">
        <v>Global</v>
      </c>
      <c r="F30" s="5">
        <v>2</v>
      </c>
      <c r="G30" s="4">
        <v>575</v>
      </c>
    </row>
    <row r="31" ht="60" customHeight="1">
      <c r="A31" s="4" t="str">
        <v>AOW06: Transformative leadership</v>
      </c>
      <c r="B31" s="4" t="str">
        <v xml:space="preserve">International and regional stakeholder coalitions/platforms (UN, networks like SUN, CAADP, ASEAN etc), and CGIAR SP/A build a shared food systems transformation agenda that maximizes shared benefits and minimizes tradeoffs on diet and nutrition impacts </v>
      </c>
      <c r="C31" s="4" t="str">
        <v/>
      </c>
      <c r="D31" s="4" t="str">
        <v>Number of multi-stakeholder platforms taking system-related decisions or making recommendations based on CGIAR technical support.</v>
      </c>
      <c r="E31" s="4" t="str">
        <v>Region: Africa, Asia, Latin America and the Caribbean</v>
      </c>
      <c r="F31" s="5">
        <v>1</v>
      </c>
      <c r="G31" s="4">
        <v>577</v>
      </c>
    </row>
    <row r="32" ht="60" customHeight="1">
      <c r="A32" s="4" t="str">
        <v>AOW06: Transformative leadership</v>
      </c>
      <c r="B32" s="4" t="str">
        <v>National ​government and NGO use evidence in regional and international discussions on  FST pathways to increase coherence in and across countries to support better diets and nutrition</v>
      </c>
      <c r="C32" s="4" t="str">
        <v/>
      </c>
      <c r="D32" s="4" t="str">
        <v>Number of Policy (Policy Change)</v>
      </c>
      <c r="E32" s="4" t="str">
        <v>Country: Cambodia, Lao People's Democratic Republic, Philippines</v>
      </c>
      <c r="F32" s="5">
        <v>1</v>
      </c>
      <c r="G32" s="4">
        <v>579</v>
      </c>
    </row>
  </sheetData>
  <mergeCells count="8">
    <mergeCell ref="B3:B4"/>
    <mergeCell ref="C3:C4"/>
    <mergeCell ref="A2:A5"/>
    <mergeCell ref="A6:A9"/>
    <mergeCell ref="A10:A15"/>
    <mergeCell ref="A16:A21"/>
    <mergeCell ref="A22:A27"/>
    <mergeCell ref="A29:A32"/>
  </mergeCells>
  <ignoredErrors>
    <ignoredError numberStoredAsText="1" sqref="A1:G3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11</vt:i4>
      </vt:variant>
    </vt:vector>
  </HeadingPairs>
  <TitlesOfParts>
    <vt:vector size="11" baseType="lpstr">
      <vt:lpstr>Summary</vt:lpstr>
      <vt:lpstr>HLO</vt:lpstr>
      <vt:lpstr>Partners</vt:lpstr>
      <vt:lpstr>W3-Bilateral</vt:lpstr>
      <vt:lpstr>MELIA</vt:lpstr>
      <vt:lpstr>Cross Cutting</vt:lpstr>
      <vt:lpstr>Anaplan</vt:lpstr>
      <vt:lpstr>Countries of Implementation</vt:lpstr>
      <vt:lpstr>Location of Benefit</vt:lpstr>
      <vt:lpstr>Synergy Programs</vt:lpstr>
      <vt:lpstr>Outcomes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