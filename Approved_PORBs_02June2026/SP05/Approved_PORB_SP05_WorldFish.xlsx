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100064</v>
      </c>
      <c r="K4" s="5">
        <v>100064</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1</v>
      </c>
      <c r="C6" s="5">
        <v>200000</v>
      </c>
      <c r="D6" s="5">
        <v>0</v>
      </c>
      <c r="E6" s="5">
        <v>0</v>
      </c>
      <c r="F6" s="5">
        <v>0</v>
      </c>
      <c r="G6" s="5">
        <v>0</v>
      </c>
      <c r="H6" s="5">
        <v>0</v>
      </c>
      <c r="I6" s="5">
        <v>0</v>
      </c>
      <c r="J6" s="5">
        <v>200000</v>
      </c>
      <c r="K6" s="5">
        <v>200000</v>
      </c>
      <c r="L6" s="5">
        <v>0</v>
      </c>
      <c r="M6" s="5">
        <v>0</v>
      </c>
      <c r="N6" s="4">
        <v>184</v>
      </c>
    </row>
    <row r="7" ht="20" customHeight="1">
      <c r="A7" s="4" t="str">
        <v>AOW03: End-to-end Solutions</v>
      </c>
      <c r="B7" s="5">
        <v>1</v>
      </c>
      <c r="C7" s="5">
        <v>25000</v>
      </c>
      <c r="D7" s="5">
        <v>7</v>
      </c>
      <c r="E7" s="5">
        <v>535000</v>
      </c>
      <c r="F7" s="5">
        <v>0</v>
      </c>
      <c r="G7" s="5">
        <v>0</v>
      </c>
      <c r="H7" s="5">
        <v>0</v>
      </c>
      <c r="I7" s="5">
        <v>0</v>
      </c>
      <c r="J7" s="5">
        <v>560000</v>
      </c>
      <c r="K7" s="5">
        <v>560000</v>
      </c>
      <c r="L7" s="5">
        <v>110000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1</v>
      </c>
      <c r="E10" s="5">
        <v>55000</v>
      </c>
      <c r="F10" s="5">
        <v>0</v>
      </c>
      <c r="G10" s="5">
        <v>0</v>
      </c>
      <c r="H10" s="5">
        <v>2</v>
      </c>
      <c r="I10" s="5">
        <v>45000</v>
      </c>
      <c r="J10" s="5">
        <v>100000</v>
      </c>
      <c r="K10" s="5">
        <v>100000</v>
      </c>
      <c r="L10" s="5">
        <v>0</v>
      </c>
      <c r="M10" s="5">
        <v>0</v>
      </c>
      <c r="N10" s="4">
        <v>185</v>
      </c>
    </row>
    <row r="11" ht="25" customHeight="1">
      <c r="A11" s="6" t="str">
        <v>Total</v>
      </c>
      <c r="B11" s="7" t="str">
        <v/>
      </c>
      <c r="C11" s="7">
        <v>225000</v>
      </c>
      <c r="D11" s="7" t="str">
        <v/>
      </c>
      <c r="E11" s="7">
        <v>590000</v>
      </c>
      <c r="F11" s="7" t="str">
        <v/>
      </c>
      <c r="G11" s="7">
        <v>0</v>
      </c>
      <c r="H11" s="7" t="str">
        <v/>
      </c>
      <c r="I11" s="7">
        <v>45000</v>
      </c>
      <c r="J11" s="7">
        <v>960064</v>
      </c>
      <c r="K11" s="7">
        <v>960064</v>
      </c>
      <c r="L11" s="7">
        <v>110000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Market Systems</v>
      </c>
      <c r="B3" s="4" t="str">
        <v>WorldFish</v>
      </c>
      <c r="C3" s="4" t="str">
        <v>Suite of solutions focused on farm input dealers, food traders, processors, and/or retailers that promote food quality and safety, reduce food loss, improve efficiency, and/or facilitate intermediation developed and tested with technical support and country engagement</v>
      </c>
      <c r="D3" s="4" t="str">
        <v>Fish powder additives to enhance the nutritional quality of school meals in Tanzania.25</v>
      </c>
      <c r="E3" s="4" t="str">
        <v>Number of innovations (innovation development)</v>
      </c>
      <c r="F3" s="4" t="str">
        <v>Malaysia, Tanzania, United Republic</v>
      </c>
      <c r="G3" s="5">
        <v>1</v>
      </c>
      <c r="H3" s="5">
        <v>200000</v>
      </c>
      <c r="I3" s="4" t="str">
        <v>Estimated costs for time of interdisciplinary teams of researchers and local partners, data collection costs</v>
      </c>
      <c r="J3" s="4">
        <v>7989</v>
      </c>
    </row>
    <row r="4" ht="25" customHeight="1">
      <c r="C4" s="9" t="str">
        <v>HLO budget subtotal</v>
      </c>
      <c r="H4" s="9">
        <v>200000</v>
      </c>
      <c r="J4" s="9" t="str">
        <v/>
      </c>
    </row>
    <row r="5" ht="50" customHeight="1">
      <c r="A5" s="8" t="str">
        <v>AOW03: End-to-end Solutions</v>
      </c>
      <c r="B5" s="4" t="str">
        <v>WorldFish</v>
      </c>
      <c r="C5" s="4" t="str">
        <v>Suite of end-to-end solutions for aquatic food producers, traders, processors, and vendors/retailers that promote food quality and safety, reduce food loss,and increase profits co-developed, tested, and scaled</v>
      </c>
      <c r="D5" s="4" t="str">
        <v>Publications describing how nutrition-sensitive trade can balance island regions’ contribution to local and international food systems and results from the nutrition-sensitive trade analysis on fish in Unguja</v>
      </c>
      <c r="E5" s="4" t="str">
        <v>Number of knowledge products</v>
      </c>
      <c r="F5" s="4" t="str">
        <v>Malaysia, Tanzania, United Republic</v>
      </c>
      <c r="G5" s="5">
        <v>3</v>
      </c>
      <c r="H5" s="5">
        <v>150000</v>
      </c>
      <c r="I5" s="4" t="str">
        <v>Estimated costs for time of interdisciplinary teams of researchers and local partners, data collection costs</v>
      </c>
      <c r="J5" s="4">
        <v>5600</v>
      </c>
    </row>
    <row r="6" ht="50" customHeight="1">
      <c r="B6" s="4" t="str">
        <v>WorldFish</v>
      </c>
      <c r="D6" s="4" t="str">
        <v>Report synthesizing aquatic food system initiatives with a diet lens, identifying key entry points to improve diet and nutrition outcomes, including but not limited to, catch data systems and loss and waste reduction technologies in Tanzania.23</v>
      </c>
      <c r="E6" s="4" t="str">
        <v>Number of knowledge products</v>
      </c>
      <c r="F6" s="4" t="str">
        <v>Zambia, Malaysia, Tanzania, United Republic</v>
      </c>
      <c r="G6" s="5">
        <v>1</v>
      </c>
      <c r="H6" s="5">
        <v>200000</v>
      </c>
      <c r="I6" s="4" t="str">
        <v>Personnel costs based on standard organizational salary scales.</v>
      </c>
      <c r="J6" s="4">
        <v>5603</v>
      </c>
    </row>
    <row r="7" ht="50" customHeight="1">
      <c r="B7" s="4" t="str">
        <v>WorldFish</v>
      </c>
      <c r="D7" s="4" t="str">
        <v>Publications describing the role of aquatic foods in improving micronutrient adequacy among women of reproductive age and on gleaning practices in aquatic systems and their role in addressing seasonality gaps in nutrient upintake.48</v>
      </c>
      <c r="E7" s="4" t="str">
        <v>Number of knowledge products</v>
      </c>
      <c r="F7" s="4" t="str">
        <v>Malaysia, Tanzania, United Republic</v>
      </c>
      <c r="G7" s="5">
        <v>2</v>
      </c>
      <c r="H7" s="5">
        <v>135000</v>
      </c>
      <c r="I7" s="4" t="str">
        <v>Estimated costs for time of interdisciplinary teams of researchers and local partners, data collection costs</v>
      </c>
      <c r="J7" s="4">
        <v>7993</v>
      </c>
    </row>
    <row r="8" ht="50" customHeight="1">
      <c r="A8" s="4" t="str">
        <v>AOW03: End-to-end Solutions</v>
      </c>
      <c r="B8" s="4" t="str">
        <v>WorldFish</v>
      </c>
      <c r="C8" s="4" t="str">
        <v xml:space="preserve"> Suite of integrated end-to-end solutions for food producers, traders, processors, and vendors/retailers that promote  food quality and safety, reduce food loss, and increase profits co-developed, tested, and scaled</v>
      </c>
      <c r="D8" s="4" t="str">
        <v>Published results from several studies studying the nexus of livestock/aquatic ownership, income, and consumption patterns in  relationship to the food environment in Tanzania.34</v>
      </c>
      <c r="E8" s="4" t="str">
        <v>Number of knowledge products</v>
      </c>
      <c r="F8" s="4" t="str">
        <v>United States of America, Malaysia, Uganda, Tanzania, United Republic</v>
      </c>
      <c r="G8" s="5">
        <v>1</v>
      </c>
      <c r="H8" s="5">
        <v>50000</v>
      </c>
      <c r="I8" s="4" t="str">
        <v>Estimated costs for time of interdisciplinary teams of researchers and local partners, data collection costs</v>
      </c>
      <c r="J8" s="4">
        <v>7997</v>
      </c>
    </row>
    <row r="9" ht="50" customHeight="1">
      <c r="A9" s="4" t="str">
        <v>AOW03: End-to-end Solutions</v>
      </c>
      <c r="B9" s="4" t="str">
        <v>WorldFish</v>
      </c>
      <c r="C9" s="4" t="str">
        <v>Suite of end-to-end solutions for fruit and vegetable producers, traders, processors, and vendors/retailers that promote food quality and safety, reduce food loss, and increase profits co-developed, tested, and scaled</v>
      </c>
      <c r="D9" s="4" t="str">
        <v>Co-created engagement strategy for national and sub-national stakeholders</v>
      </c>
      <c r="E9" s="4" t="str">
        <v>Number of innovations (innovation development)</v>
      </c>
      <c r="F9" s="4" t="str">
        <v>Uganda, United States of America, Malaysia, Tanzania, United Republic, Sri Lanka</v>
      </c>
      <c r="G9" s="5">
        <v>1</v>
      </c>
      <c r="H9" s="5">
        <v>25000</v>
      </c>
      <c r="I9" s="4" t="str">
        <v>Personnel costs based on standard organizational salary scales.</v>
      </c>
      <c r="J9" s="4">
        <v>8174</v>
      </c>
    </row>
    <row r="10" ht="25" customHeight="1">
      <c r="C10" s="9" t="str">
        <v>HLO budget subtotal</v>
      </c>
      <c r="H10" s="9">
        <v>560000</v>
      </c>
      <c r="J10" s="9" t="str">
        <v/>
      </c>
    </row>
    <row r="11" ht="50" customHeight="1">
      <c r="A11" s="8" t="str">
        <v>AOW06: Transformative leadership</v>
      </c>
      <c r="B11" s="4" t="str">
        <v>WorldFish</v>
      </c>
      <c r="C11" s="4" t="str">
        <v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v>
      </c>
      <c r="D11" s="4" t="str">
        <v>Research brief on aquatic foods and diets in Africa.35</v>
      </c>
      <c r="E11" s="4" t="str">
        <v>Number of knowledge products</v>
      </c>
      <c r="F11" s="4" t="str">
        <v>Malaysia, Tanzania, United Republic, Ethiopia</v>
      </c>
      <c r="G11" s="5">
        <v>1</v>
      </c>
      <c r="H11" s="5">
        <v>55000</v>
      </c>
      <c r="I11" s="4" t="str">
        <v>Personnel costs based on standard organizational salary scales.</v>
      </c>
      <c r="J11" s="4">
        <v>7864</v>
      </c>
    </row>
    <row r="12" ht="50" customHeight="1">
      <c r="B12" s="4" t="str">
        <v>WorldFish</v>
      </c>
      <c r="D12" s="4" t="str">
        <v>Engagement in strategic global events to amplify cross-cutting messages on aquatic foods and the contribution to sustainable healthy diets.35</v>
      </c>
      <c r="E12" s="4" t="str">
        <v>custom</v>
      </c>
      <c r="F12" s="4" t="str">
        <v>India, Malaysia, Philippines, The Socialist Republic of Viet Nam, Ethiopia, Bangladesh, Tanzania, United Republic</v>
      </c>
      <c r="G12" s="5">
        <v>2</v>
      </c>
      <c r="H12" s="5">
        <v>45000</v>
      </c>
      <c r="I12" s="4" t="str">
        <v>Communication and dissemination costs include design, printing, and event participation.</v>
      </c>
      <c r="J12" s="4">
        <v>7866</v>
      </c>
    </row>
    <row r="13" ht="25" customHeight="1">
      <c r="C13" s="9" t="str">
        <v>HLO budget subtotal</v>
      </c>
      <c r="H13" s="9">
        <v>100000</v>
      </c>
      <c r="J13" s="9" t="str">
        <v/>
      </c>
    </row>
  </sheetData>
  <mergeCells count="14">
    <mergeCell ref="A1:A2"/>
    <mergeCell ref="B1:B2"/>
    <mergeCell ref="C1:C2"/>
    <mergeCell ref="D1:H1"/>
    <mergeCell ref="I1:I2"/>
    <mergeCell ref="J1:J2"/>
    <mergeCell ref="C4:G4"/>
    <mergeCell ref="A3:A4"/>
    <mergeCell ref="C5:C7"/>
    <mergeCell ref="C10:G10"/>
    <mergeCell ref="A5:A10"/>
    <mergeCell ref="C11:C12"/>
    <mergeCell ref="C13:G13"/>
    <mergeCell ref="A11:A13"/>
  </mergeCells>
  <ignoredErrors>
    <ignoredError numberStoredAsText="1" sqref="A1:J13"/>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End-to-end Solutions</v>
      </c>
      <c r="B2" s="4" t="str">
        <v>Sokoine University of Agriculture</v>
      </c>
      <c r="C2" s="4" t="str">
        <v>WorldFish</v>
      </c>
      <c r="D2" s="4" t="str">
        <v>Tanzania, United Republic</v>
      </c>
      <c r="E2" s="5">
        <v>60000</v>
      </c>
      <c r="F2" s="4" t="str">
        <v>Agreement on ToR, deliverables, timelines and costs will proceed as planned.</v>
      </c>
      <c r="G2" s="4">
        <v>433</v>
      </c>
    </row>
    <row r="3" ht="50" customHeight="1">
      <c r="A3" s="4" t="str">
        <v>AOW03: End-to-end Solutions</v>
      </c>
      <c r="B3" s="4" t="str">
        <v>Michigan State University</v>
      </c>
      <c r="C3" s="4" t="str">
        <v>WorldFish</v>
      </c>
      <c r="D3" s="4" t="str">
        <v>Tanzania, United Republic</v>
      </c>
      <c r="E3" s="5">
        <v>50000</v>
      </c>
      <c r="F3" s="4" t="str">
        <v>Agreement on ToR, deliverables, timelines and costs will proceed as planned.</v>
      </c>
      <c r="G3" s="4">
        <v>434</v>
      </c>
    </row>
    <row r="4" ht="25" customHeight="1">
      <c r="B4" s="9" t="str">
        <v>Contracted partners subtotal</v>
      </c>
      <c r="E4" s="9">
        <v>110000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Suite of end-to-end solutions for aquatic food producers, traders, processors, and vendors/retailers that promote food quality and safety, reduce food loss,and increase profits co-developed, tested, and scaled</v>
      </c>
      <c r="D2" s="5">
        <v>824739</v>
      </c>
      <c r="E2" s="4" t="str">
        <v>Budget subject to agreement of both parties on scope of work, deliverables to be delivered at a given period, estimation of costs, and manner of payment.</v>
      </c>
      <c r="F2" s="4">
        <v>1050</v>
      </c>
    </row>
    <row r="3" ht="25" customHeight="1">
      <c r="B3" s="9" t="str">
        <v>W3/Bilateral budget subtotal</v>
      </c>
      <c r="D3" s="9">
        <v>824739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WorldFish</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0</v>
      </c>
      <c r="G2" s="4" t="str">
        <v/>
      </c>
      <c r="H2" s="4">
        <v>685</v>
      </c>
    </row>
    <row r="3" ht="60" customHeight="1">
      <c r="A3" s="4" t="str">
        <v>AOW00: Cross Cutting</v>
      </c>
      <c r="B3" s="4" t="str">
        <v>WorldFish</v>
      </c>
      <c r="C3" s="4" t="str">
        <v>Configuration and Integration of AoWs</v>
      </c>
      <c r="D3" s="4" t="str">
        <v>Food producers, traders, processors, and/or retailers adopt evidence-based solutions to improve food safety and quality in target markets​ Food traders, processors, and/or retailers adopt effective components of bundled solutions to reduce food loss and waste</v>
      </c>
      <c r="E3" s="4" t="str">
        <v>N/A</v>
      </c>
      <c r="F3" s="5">
        <v>0</v>
      </c>
      <c r="G3" s="4" t="str">
        <v/>
      </c>
      <c r="H3" s="4">
        <v>695</v>
      </c>
    </row>
    <row r="4" ht="25" customHeight="1">
      <c r="C4" s="9" t="str">
        <v>MELIA budget subtotal</v>
      </c>
      <c r="F4" s="9">
        <v>0</v>
      </c>
      <c r="G4" s="9" t="str">
        <v/>
      </c>
      <c r="H4" s="9" t="str">
        <v/>
      </c>
    </row>
    <row r="5" ht="60" customHeight="1">
      <c r="A5" s="8" t="str">
        <v>AOW01: Consumers and Food Environments</v>
      </c>
      <c r="B5" s="4" t="str">
        <v>WorldFish</v>
      </c>
      <c r="C5" s="4" t="str">
        <v xml:space="preserve">Actor Engagement and Assumption Validation </v>
      </c>
      <c r="D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5" s="4" t="str">
        <v>N/A</v>
      </c>
      <c r="F5" s="5">
        <v>0</v>
      </c>
      <c r="G5" s="4" t="str">
        <v/>
      </c>
      <c r="H5" s="4">
        <v>675</v>
      </c>
    </row>
    <row r="6" ht="60" customHeight="1">
      <c r="A6" s="4" t="str">
        <v>AOW01: Consumers and Food Environments</v>
      </c>
      <c r="B6" s="4" t="str">
        <v>WorldFish</v>
      </c>
      <c r="C6" s="4" t="str">
        <v>Configuration and Integration of AoWs</v>
      </c>
      <c r="D6" s="4" t="str">
        <v>Food producers, traders, processors, and/or retailers adopt evidence-based solutions to improve food safety and quality in target markets​ Food traders, processors, and/or retailers adopt effective components of bundled solutions to reduce food loss and waste</v>
      </c>
      <c r="E6" s="4" t="str">
        <v>N/A</v>
      </c>
      <c r="F6" s="5">
        <v>0</v>
      </c>
      <c r="G6" s="4" t="str">
        <v/>
      </c>
      <c r="H6" s="4">
        <v>689</v>
      </c>
    </row>
    <row r="7" ht="25" customHeight="1">
      <c r="C7" s="9" t="str">
        <v>MELIA budget subtotal</v>
      </c>
      <c r="F7" s="9">
        <v>0</v>
      </c>
      <c r="G7" s="9" t="str">
        <v/>
      </c>
      <c r="H7" s="9" t="str">
        <v/>
      </c>
    </row>
    <row r="8" ht="60" customHeight="1">
      <c r="A8" s="8" t="str">
        <v>AOW02: Market Systems</v>
      </c>
      <c r="B8" s="4" t="str">
        <v>WorldFish</v>
      </c>
      <c r="C8" s="4" t="str">
        <v xml:space="preserve">Actor Engagement and Assumption Validation </v>
      </c>
      <c r="D8"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8" s="4" t="str">
        <v>N/A</v>
      </c>
      <c r="F8" s="5">
        <v>0</v>
      </c>
      <c r="G8" s="4" t="str">
        <v/>
      </c>
      <c r="H8" s="4">
        <v>680</v>
      </c>
    </row>
    <row r="9" ht="60" customHeight="1">
      <c r="A9" s="4" t="str">
        <v>AOW02: Market Systems</v>
      </c>
      <c r="B9" s="4" t="str">
        <v>WorldFish</v>
      </c>
      <c r="C9" s="4" t="str">
        <v>Configuration and Integration of AoWs</v>
      </c>
      <c r="D9" s="4" t="str">
        <v>Food producers, traders, processors, and/or retailers adopt evidence-based solutions to improve food safety and quality in target markets​ Food traders, processors, and/or retailers adopt effective components of bundled solutions to reduce food loss and waste</v>
      </c>
      <c r="E9" s="4" t="str">
        <v>N/A</v>
      </c>
      <c r="F9" s="5">
        <v>0</v>
      </c>
      <c r="G9" s="4" t="str">
        <v/>
      </c>
      <c r="H9" s="4">
        <v>692</v>
      </c>
    </row>
    <row r="10" ht="25" customHeight="1">
      <c r="C10" s="9" t="str">
        <v>MELIA budget subtotal</v>
      </c>
      <c r="F10" s="9">
        <v>0</v>
      </c>
      <c r="G10" s="9" t="str">
        <v/>
      </c>
      <c r="H10" s="9" t="str">
        <v/>
      </c>
    </row>
    <row r="11" ht="60" customHeight="1">
      <c r="A11" s="8" t="str">
        <v>AOW03: End-to-end Solutions</v>
      </c>
      <c r="B11" s="4" t="str">
        <v>WorldFish</v>
      </c>
      <c r="C11" s="4" t="str">
        <v xml:space="preserve">Actor Engagement and Assumption Validation </v>
      </c>
      <c r="D11"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1" s="4" t="str">
        <v>N/A</v>
      </c>
      <c r="F11" s="5">
        <v>0</v>
      </c>
      <c r="G11" s="4" t="str">
        <v/>
      </c>
      <c r="H11" s="4">
        <v>670</v>
      </c>
    </row>
    <row r="12" ht="60" customHeight="1">
      <c r="A12" s="4" t="str">
        <v>AOW03: End-to-end Solutions</v>
      </c>
      <c r="B12" s="4" t="str">
        <v>WorldFish</v>
      </c>
      <c r="C12" s="4" t="str">
        <v>Configuration and Integration of AoWs</v>
      </c>
      <c r="D12" s="4" t="str">
        <v>Food producers, traders, processors, and/or retailers adopt evidence-based solutions to improve food safety and quality in target markets​ Food traders, processors, and/or retailers adopt effective components of bundled solutions to reduce food loss and waste</v>
      </c>
      <c r="E12" s="4" t="str">
        <v>N/A</v>
      </c>
      <c r="F12" s="5">
        <v>0</v>
      </c>
      <c r="G12" s="4" t="str">
        <v/>
      </c>
      <c r="H12" s="4">
        <v>686</v>
      </c>
    </row>
    <row r="13" ht="25" customHeight="1">
      <c r="C13" s="9" t="str">
        <v>MELIA budget subtotal</v>
      </c>
      <c r="F13" s="9">
        <v>0</v>
      </c>
      <c r="G13" s="9" t="str">
        <v/>
      </c>
      <c r="H13" s="9" t="str">
        <v/>
      </c>
    </row>
    <row r="14" ht="60" customHeight="1">
      <c r="A14" s="8" t="str">
        <v>AOW04: Biofortified and Health-enhancing Staples</v>
      </c>
      <c r="B14" s="4" t="str">
        <v>WorldFish</v>
      </c>
      <c r="C14" s="4" t="str">
        <v xml:space="preserve">Actor Engagement and Assumption Validation </v>
      </c>
      <c r="D14"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4" s="4" t="str">
        <v>N/A</v>
      </c>
      <c r="F14" s="5">
        <v>0</v>
      </c>
      <c r="G14" s="4" t="str">
        <v/>
      </c>
      <c r="H14" s="4">
        <v>665</v>
      </c>
    </row>
    <row r="15" ht="25" customHeight="1">
      <c r="C15" s="9" t="str">
        <v>MELIA budget subtotal</v>
      </c>
      <c r="F15" s="9">
        <v>0</v>
      </c>
      <c r="G15" s="9" t="str">
        <v/>
      </c>
      <c r="H15" s="9" t="str">
        <v/>
      </c>
    </row>
    <row r="16" ht="60" customHeight="1">
      <c r="A16" s="8" t="str">
        <v>AOW05: Multisectoral systems</v>
      </c>
      <c r="B16" s="4" t="str">
        <v>WorldFish</v>
      </c>
      <c r="C16" s="4" t="str">
        <v xml:space="preserve">Actor Engagement and Assumption Validation </v>
      </c>
      <c r="D16"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6" s="4" t="str">
        <v>N/A</v>
      </c>
      <c r="F16" s="5">
        <v>0</v>
      </c>
      <c r="G16" s="4" t="str">
        <v/>
      </c>
      <c r="H16" s="4">
        <v>660</v>
      </c>
    </row>
    <row r="17" ht="25" customHeight="1">
      <c r="C17" s="9" t="str">
        <v>MELIA budget subtotal</v>
      </c>
      <c r="F17" s="9">
        <v>0</v>
      </c>
      <c r="G17" s="9" t="str">
        <v/>
      </c>
      <c r="H17" s="9" t="str">
        <v/>
      </c>
    </row>
    <row r="18" ht="60" customHeight="1">
      <c r="A18" s="8" t="str">
        <v>AOW06: Transformative leadership</v>
      </c>
      <c r="B18" s="4" t="str">
        <v>WorldFish</v>
      </c>
      <c r="C18" s="4" t="str">
        <v xml:space="preserve">Actor Engagement and Assumption Validation </v>
      </c>
      <c r="D18"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8" s="4" t="str">
        <v>N/A</v>
      </c>
      <c r="F18" s="5">
        <v>0</v>
      </c>
      <c r="G18" s="4" t="str">
        <v/>
      </c>
      <c r="H18" s="4">
        <v>655</v>
      </c>
    </row>
    <row r="19" ht="25" customHeight="1">
      <c r="C19" s="9" t="str">
        <v>MELIA budget subtotal</v>
      </c>
      <c r="F19" s="9">
        <v>0</v>
      </c>
      <c r="G19" s="9" t="str">
        <v/>
      </c>
      <c r="H19" s="9" t="str">
        <v/>
      </c>
    </row>
  </sheetData>
  <mergeCells count="14">
    <mergeCell ref="C4:E4"/>
    <mergeCell ref="A2:A4"/>
    <mergeCell ref="C7:E7"/>
    <mergeCell ref="A5:A7"/>
    <mergeCell ref="C10:E10"/>
    <mergeCell ref="A8:A10"/>
    <mergeCell ref="C13:E13"/>
    <mergeCell ref="A11:A13"/>
    <mergeCell ref="C15:E15"/>
    <mergeCell ref="A14:A15"/>
    <mergeCell ref="C17:E17"/>
    <mergeCell ref="A16:A17"/>
    <mergeCell ref="C19:E19"/>
    <mergeCell ref="A18:A19"/>
  </mergeCells>
  <ignoredErrors>
    <ignoredError numberStoredAsText="1" sqref="A1:H19"/>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95064</v>
      </c>
      <c r="E2" s="4" t="str">
        <v>The AoW3 co‑lead served at 0.1 FTE during January–February and shifted to 0.4 FTE from March through December.</v>
      </c>
      <c r="F2" s="4">
        <v>28</v>
      </c>
      <c r="G2" s="4">
        <v>3</v>
      </c>
    </row>
    <row r="3" ht="45" customHeight="1">
      <c r="A3" s="4" t="str">
        <v>AOW00: Cross Cutting</v>
      </c>
      <c r="B3" s="4" t="str">
        <v>WorldFish</v>
      </c>
      <c r="C3" s="4" t="str">
        <v>Discretionary funds</v>
      </c>
      <c r="D3" s="5">
        <v>5000</v>
      </c>
      <c r="E3" s="4" t="str">
        <v>Travel AoW Lead</v>
      </c>
      <c r="F3" s="4">
        <v>224</v>
      </c>
      <c r="G3" s="4">
        <v>7</v>
      </c>
    </row>
    <row r="4" ht="25" customHeight="1">
      <c r="C4" s="9" t="str">
        <v>Cross-cutting budget subtotal</v>
      </c>
      <c r="D4" s="9">
        <v>100064</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95064</v>
      </c>
      <c r="C2" s="5">
        <v>0</v>
      </c>
      <c r="D2" s="5">
        <v>137141</v>
      </c>
      <c r="E2" s="5">
        <v>373406</v>
      </c>
      <c r="F2" s="5">
        <v>0</v>
      </c>
      <c r="G2" s="5">
        <v>0</v>
      </c>
      <c r="H2" s="5">
        <v>60556</v>
      </c>
      <c r="I2" s="5">
        <f>=SUM(B2:H2)</f>
        <v>0</v>
      </c>
    </row>
    <row r="3" ht="20" customHeight="1">
      <c r="A3" s="4" t="str">
        <v>Operations (supplies, consultants, travels, workshops, other)</v>
      </c>
      <c r="B3" s="5">
        <v>5000</v>
      </c>
      <c r="C3" s="5">
        <v>0</v>
      </c>
      <c r="D3" s="5">
        <v>62859</v>
      </c>
      <c r="E3" s="5">
        <v>76594</v>
      </c>
      <c r="F3" s="5">
        <v>0</v>
      </c>
      <c r="G3" s="5">
        <v>0</v>
      </c>
      <c r="H3" s="5">
        <v>39444</v>
      </c>
      <c r="I3" s="5">
        <f>=SUM(B3:H3)</f>
        <v>0</v>
      </c>
    </row>
    <row r="4" ht="20" customHeight="1">
      <c r="A4" s="4" t="str">
        <v>Collaborators non-CGIAR centers</v>
      </c>
      <c r="B4" s="5">
        <v>0</v>
      </c>
      <c r="C4" s="5">
        <v>0</v>
      </c>
      <c r="D4" s="5">
        <v>0</v>
      </c>
      <c r="E4" s="5">
        <v>110000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Malaysia</v>
      </c>
      <c r="D2" s="5">
        <v>100</v>
      </c>
      <c r="E2" s="4">
        <v>62</v>
      </c>
    </row>
    <row r="3" ht="45" customHeight="1">
      <c r="A3" s="8" t="str">
        <v>AOW02: Market Systems</v>
      </c>
      <c r="B3" s="4" t="str">
        <v>WorldFish</v>
      </c>
      <c r="C3" s="4" t="str">
        <v>Malaysia</v>
      </c>
      <c r="D3" s="5">
        <v>80</v>
      </c>
      <c r="E3" s="4">
        <v>2038</v>
      </c>
    </row>
    <row r="4" ht="45" customHeight="1">
      <c r="A4" s="4" t="str">
        <v>AOW02: Market Systems</v>
      </c>
      <c r="B4" s="4" t="str">
        <v>WorldFish</v>
      </c>
      <c r="C4" s="4" t="str">
        <v>Tanzania</v>
      </c>
      <c r="D4" s="5">
        <v>20</v>
      </c>
      <c r="E4" s="4">
        <v>2039</v>
      </c>
    </row>
    <row r="5" ht="45" customHeight="1">
      <c r="A5" s="8" t="str">
        <v>AOW03: End-to-end Solutions</v>
      </c>
      <c r="B5" s="4" t="str">
        <v>WorldFish</v>
      </c>
      <c r="C5" s="4" t="str">
        <v>Malaysia</v>
      </c>
      <c r="D5" s="5">
        <v>70</v>
      </c>
      <c r="E5" s="4">
        <v>2040</v>
      </c>
    </row>
    <row r="6" ht="45" customHeight="1">
      <c r="A6" s="4" t="str">
        <v>AOW03: End-to-end Solutions</v>
      </c>
      <c r="B6" s="4" t="str">
        <v>WorldFish</v>
      </c>
      <c r="C6" s="4" t="str">
        <v>Tanzania</v>
      </c>
      <c r="D6" s="5">
        <v>20</v>
      </c>
      <c r="E6" s="4">
        <v>2041</v>
      </c>
    </row>
    <row r="7" ht="45" customHeight="1">
      <c r="A7" s="4" t="str">
        <v>AOW03: End-to-end Solutions</v>
      </c>
      <c r="B7" s="4" t="str">
        <v>WorldFish</v>
      </c>
      <c r="C7" s="4" t="str">
        <v>Zambia</v>
      </c>
      <c r="D7" s="5">
        <v>10</v>
      </c>
      <c r="E7" s="4">
        <v>2043</v>
      </c>
    </row>
    <row r="8" ht="45" customHeight="1">
      <c r="A8" s="8" t="str">
        <v>AOW06: Transformative leadership</v>
      </c>
      <c r="B8" s="4" t="str">
        <v>WorldFish</v>
      </c>
      <c r="C8" s="4" t="str">
        <v>Malaysia</v>
      </c>
      <c r="D8" s="5">
        <v>100</v>
      </c>
      <c r="E8" s="4">
        <v>2042</v>
      </c>
    </row>
  </sheetData>
  <mergeCells count="4">
    <mergeCell ref="A2"/>
    <mergeCell ref="A3:A4"/>
    <mergeCell ref="A5:A7"/>
    <mergeCell ref="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Bangladesh</v>
      </c>
      <c r="D2" s="4" t="str">
        <v>country</v>
      </c>
      <c r="E2" s="5">
        <v>16.67</v>
      </c>
      <c r="F2" s="4">
        <v>37</v>
      </c>
    </row>
    <row r="3" ht="45" customHeight="1">
      <c r="A3" s="4" t="str">
        <v>AOW00: Cross Cutting</v>
      </c>
      <c r="B3" s="4" t="str">
        <v>WorldFish</v>
      </c>
      <c r="C3" s="4" t="str">
        <v>Ethiopia</v>
      </c>
      <c r="D3" s="4" t="str">
        <v>country</v>
      </c>
      <c r="E3" s="5">
        <v>16.67</v>
      </c>
      <c r="F3" s="4">
        <v>38</v>
      </c>
    </row>
    <row r="4" ht="45" customHeight="1">
      <c r="A4" s="4" t="str">
        <v>AOW00: Cross Cutting</v>
      </c>
      <c r="B4" s="4" t="str">
        <v>WorldFish</v>
      </c>
      <c r="C4" s="4" t="str">
        <v>Honduras</v>
      </c>
      <c r="D4" s="4" t="str">
        <v>country</v>
      </c>
      <c r="E4" s="5">
        <v>16.67</v>
      </c>
      <c r="F4" s="4">
        <v>39</v>
      </c>
    </row>
    <row r="5" ht="45" customHeight="1">
      <c r="A5" s="4" t="str">
        <v>AOW00: Cross Cutting</v>
      </c>
      <c r="B5" s="4" t="str">
        <v>WorldFish</v>
      </c>
      <c r="C5" s="4" t="str">
        <v>Philippines</v>
      </c>
      <c r="D5" s="4" t="str">
        <v>country</v>
      </c>
      <c r="E5" s="5">
        <v>16.66</v>
      </c>
      <c r="F5" s="4">
        <v>40</v>
      </c>
    </row>
    <row r="6" ht="45" customHeight="1">
      <c r="A6" s="4" t="str">
        <v>AOW00: Cross Cutting</v>
      </c>
      <c r="B6" s="4" t="str">
        <v>WorldFish</v>
      </c>
      <c r="C6" s="4" t="str">
        <v>Tanzania</v>
      </c>
      <c r="D6" s="4" t="str">
        <v>country</v>
      </c>
      <c r="E6" s="5">
        <v>16.67</v>
      </c>
      <c r="F6" s="4">
        <v>42</v>
      </c>
    </row>
    <row r="7" ht="45" customHeight="1">
      <c r="A7" s="4" t="str">
        <v>AOW00: Cross Cutting</v>
      </c>
      <c r="B7" s="4" t="str">
        <v>WorldFish</v>
      </c>
      <c r="C7" s="4" t="str">
        <v>The Socialist Republic of Viet Nam</v>
      </c>
      <c r="D7" s="4" t="str">
        <v>country</v>
      </c>
      <c r="E7" s="5">
        <v>16.66</v>
      </c>
      <c r="F7" s="4">
        <v>41</v>
      </c>
    </row>
    <row r="8" ht="45" customHeight="1">
      <c r="A8" s="8" t="str">
        <v>AOW02: Market Systems</v>
      </c>
      <c r="B8" s="4" t="str">
        <v>WorldFish</v>
      </c>
      <c r="C8" s="4" t="str">
        <v>Tanzania</v>
      </c>
      <c r="D8" s="4" t="str">
        <v>country</v>
      </c>
      <c r="E8" s="5">
        <v>100</v>
      </c>
      <c r="F8" s="4">
        <v>819</v>
      </c>
    </row>
    <row r="9" ht="45" customHeight="1">
      <c r="A9" s="8" t="str">
        <v>AOW03: End-to-end Solutions</v>
      </c>
      <c r="B9" s="4" t="str">
        <v>WorldFish</v>
      </c>
      <c r="C9" s="4" t="str">
        <v>Tanzania</v>
      </c>
      <c r="D9" s="4" t="str">
        <v>country</v>
      </c>
      <c r="E9" s="5">
        <v>100</v>
      </c>
      <c r="F9" s="4">
        <v>718</v>
      </c>
    </row>
    <row r="10" ht="45" customHeight="1">
      <c r="A10" s="8" t="str">
        <v>AOW06: Transformative leadership</v>
      </c>
      <c r="B10" s="4" t="str">
        <v>WorldFish</v>
      </c>
      <c r="C10" s="4" t="str">
        <v>Global</v>
      </c>
      <c r="D10" s="4" t="str">
        <v>global</v>
      </c>
      <c r="E10" s="5">
        <v>100</v>
      </c>
      <c r="F10" s="4">
        <v>728</v>
      </c>
    </row>
  </sheetData>
  <mergeCells count="4">
    <mergeCell ref="A2:A7"/>
    <mergeCell ref="A8"/>
    <mergeCell ref="A9"/>
    <mergeCell ref="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