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130218</v>
      </c>
      <c r="K4" s="5">
        <v>130218</v>
      </c>
      <c r="L4" s="5">
        <v>0</v>
      </c>
      <c r="M4" s="5">
        <v>0</v>
      </c>
      <c r="N4" s="4">
        <v>189</v>
      </c>
    </row>
    <row r="5" ht="20" customHeight="1">
      <c r="A5" s="4" t="str">
        <v>AOW01: Consumers and Food Environments</v>
      </c>
      <c r="B5" s="5">
        <v>9</v>
      </c>
      <c r="C5" s="5">
        <v>595490</v>
      </c>
      <c r="D5" s="5">
        <v>15</v>
      </c>
      <c r="E5" s="5">
        <v>638019</v>
      </c>
      <c r="F5" s="5">
        <v>1</v>
      </c>
      <c r="G5" s="5">
        <v>64846</v>
      </c>
      <c r="H5" s="5">
        <v>3</v>
      </c>
      <c r="I5" s="5">
        <v>163027</v>
      </c>
      <c r="J5" s="5">
        <v>1461382</v>
      </c>
      <c r="K5" s="5">
        <v>1461382</v>
      </c>
      <c r="L5" s="5">
        <v>73000</v>
      </c>
      <c r="M5" s="5">
        <v>0</v>
      </c>
      <c r="N5" s="4">
        <v>188</v>
      </c>
    </row>
    <row r="6" ht="20" customHeight="1">
      <c r="A6" s="4" t="str">
        <v>AOW02: Market Systems</v>
      </c>
      <c r="B6" s="5">
        <v>2</v>
      </c>
      <c r="C6" s="5">
        <v>50000</v>
      </c>
      <c r="D6" s="5">
        <v>7</v>
      </c>
      <c r="E6" s="5">
        <v>232668</v>
      </c>
      <c r="F6" s="5">
        <v>0</v>
      </c>
      <c r="G6" s="5">
        <v>0</v>
      </c>
      <c r="H6" s="5">
        <v>1</v>
      </c>
      <c r="I6" s="5">
        <v>25000</v>
      </c>
      <c r="J6" s="5">
        <v>307668</v>
      </c>
      <c r="K6" s="5">
        <v>307668</v>
      </c>
      <c r="L6" s="5">
        <v>18991</v>
      </c>
      <c r="M6" s="5">
        <v>0</v>
      </c>
      <c r="N6" s="4">
        <v>184</v>
      </c>
    </row>
    <row r="7" ht="20" customHeight="1">
      <c r="A7" s="4" t="str">
        <v>AOW03: End-to-end Solutions</v>
      </c>
      <c r="B7" s="5">
        <v>0</v>
      </c>
      <c r="C7" s="5">
        <v>0</v>
      </c>
      <c r="D7" s="5">
        <v>0</v>
      </c>
      <c r="E7" s="5">
        <v>0</v>
      </c>
      <c r="F7" s="5">
        <v>0</v>
      </c>
      <c r="G7" s="5">
        <v>0</v>
      </c>
      <c r="H7" s="5">
        <v>0</v>
      </c>
      <c r="I7" s="5">
        <v>0</v>
      </c>
      <c r="J7" s="5">
        <v>0</v>
      </c>
      <c r="K7" s="5">
        <v>0</v>
      </c>
      <c r="L7" s="5">
        <v>0</v>
      </c>
      <c r="M7" s="5">
        <v>0</v>
      </c>
      <c r="N7" s="4">
        <v>186</v>
      </c>
    </row>
    <row r="8" ht="20" customHeight="1">
      <c r="A8" s="4" t="str">
        <v>AOW04: Biofortified and Health-enhancing Staples</v>
      </c>
      <c r="B8" s="5">
        <v>0</v>
      </c>
      <c r="C8" s="5">
        <v>0</v>
      </c>
      <c r="D8" s="5">
        <v>5</v>
      </c>
      <c r="E8" s="5">
        <v>158333</v>
      </c>
      <c r="F8" s="5">
        <v>0</v>
      </c>
      <c r="G8" s="5">
        <v>0</v>
      </c>
      <c r="H8" s="5">
        <v>2</v>
      </c>
      <c r="I8" s="5">
        <v>16667</v>
      </c>
      <c r="J8" s="5">
        <v>175000</v>
      </c>
      <c r="K8" s="5">
        <v>175000</v>
      </c>
      <c r="L8" s="5">
        <v>17400</v>
      </c>
      <c r="M8" s="5">
        <v>0</v>
      </c>
      <c r="N8" s="4">
        <v>183</v>
      </c>
    </row>
    <row r="9" ht="20" customHeight="1">
      <c r="A9" s="4" t="str">
        <v>AOW05: Multisectoral systems</v>
      </c>
      <c r="B9" s="5">
        <v>0</v>
      </c>
      <c r="C9" s="5">
        <v>0</v>
      </c>
      <c r="D9" s="5">
        <v>0</v>
      </c>
      <c r="E9" s="5">
        <v>0</v>
      </c>
      <c r="F9" s="5">
        <v>0</v>
      </c>
      <c r="G9" s="5">
        <v>0</v>
      </c>
      <c r="H9" s="5">
        <v>0</v>
      </c>
      <c r="I9" s="5">
        <v>0</v>
      </c>
      <c r="J9" s="5">
        <v>0</v>
      </c>
      <c r="K9" s="5">
        <v>0</v>
      </c>
      <c r="L9" s="5">
        <v>0</v>
      </c>
      <c r="M9" s="5">
        <v>0</v>
      </c>
      <c r="N9" s="4">
        <v>187</v>
      </c>
    </row>
    <row r="10" ht="20" customHeight="1">
      <c r="A10" s="4" t="str">
        <v>AOW06: Transformative leadership</v>
      </c>
      <c r="B10" s="5">
        <v>0</v>
      </c>
      <c r="C10" s="5">
        <v>0</v>
      </c>
      <c r="D10" s="5">
        <v>1</v>
      </c>
      <c r="E10" s="5">
        <v>40643</v>
      </c>
      <c r="F10" s="5">
        <v>1</v>
      </c>
      <c r="G10" s="5">
        <v>40643</v>
      </c>
      <c r="H10" s="5">
        <v>5</v>
      </c>
      <c r="I10" s="5">
        <v>292637</v>
      </c>
      <c r="J10" s="5">
        <v>373923</v>
      </c>
      <c r="K10" s="5">
        <v>373923</v>
      </c>
      <c r="L10" s="5">
        <v>0</v>
      </c>
      <c r="M10" s="5">
        <v>0</v>
      </c>
      <c r="N10" s="4">
        <v>185</v>
      </c>
    </row>
    <row r="11" ht="25" customHeight="1">
      <c r="A11" s="6" t="str">
        <v>Total</v>
      </c>
      <c r="B11" s="7" t="str">
        <v/>
      </c>
      <c r="C11" s="7">
        <v>645490</v>
      </c>
      <c r="D11" s="7" t="str">
        <v/>
      </c>
      <c r="E11" s="7">
        <v>1069663</v>
      </c>
      <c r="F11" s="7" t="str">
        <v/>
      </c>
      <c r="G11" s="7">
        <v>105489</v>
      </c>
      <c r="H11" s="7" t="str">
        <v/>
      </c>
      <c r="I11" s="7">
        <v>497331</v>
      </c>
      <c r="J11" s="7">
        <v>2448191</v>
      </c>
      <c r="K11" s="7">
        <v>2448191</v>
      </c>
      <c r="L11" s="7">
        <v>109391</v>
      </c>
      <c r="M11" s="7">
        <v>0</v>
      </c>
      <c r="N11"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1"/>
  </ignoredErrors>
</worksheet>
</file>

<file path=xl/worksheets/sheet2.xml><?xml version="1.0" encoding="utf-8"?>
<worksheet xmlns="http://schemas.openxmlformats.org/spreadsheetml/2006/main" xmlns:r="http://schemas.openxmlformats.org/officeDocument/2006/relationships">
  <dimension ref="A1:J43"/>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Consumers and Food Environments</v>
      </c>
      <c r="B3" s="4" t="str">
        <v>CIAT (Alliance)</v>
      </c>
      <c r="C3" s="4" t="str">
        <v>Suite of solutions focused on vendors that promote employment opportunities and the sale of sustainable nutritious foods co-developed, tested, and scaled with technical support and country engagement</v>
      </c>
      <c r="D3" s="4" t="str">
        <v>Toolkit for MSMEs in Ethiopia and Kenya to enhance delivery of nutritious foods to consumers</v>
      </c>
      <c r="E3" s="4" t="str">
        <v>Number of knowledge products</v>
      </c>
      <c r="F3" s="4" t="str">
        <v>Kenya, Colombia, Ethiopia, The Socialist Republic of Viet Nam</v>
      </c>
      <c r="G3" s="5">
        <v>1</v>
      </c>
      <c r="H3" s="5">
        <v>39089</v>
      </c>
      <c r="I3" s="4" t="str">
        <v>Estimated costs for time of interdisciplinary teams of researchers and local partners, data collection costs</v>
      </c>
      <c r="J3" s="4">
        <v>8057</v>
      </c>
    </row>
    <row r="4" ht="50" customHeight="1">
      <c r="B4" s="4" t="str">
        <v>CIAT (Alliance)</v>
      </c>
      <c r="D4" s="4" t="str">
        <v>Published results characterizing retail environments and results from experiments in Ethiopia, Kenya, and Viet Nam</v>
      </c>
      <c r="E4" s="4" t="str">
        <v>Number of knowledge products</v>
      </c>
      <c r="F4" s="4" t="str">
        <v>Colombia, Kenya, Ethiopia, The Socialist Republic of Viet Nam</v>
      </c>
      <c r="G4" s="5">
        <v>4</v>
      </c>
      <c r="H4" s="5">
        <v>156358</v>
      </c>
      <c r="I4" s="4" t="str">
        <v>Personnel costs based on standard organizational salary scales</v>
      </c>
      <c r="J4" s="4">
        <v>8058</v>
      </c>
    </row>
    <row r="5" ht="50" customHeight="1">
      <c r="B5" s="4" t="str">
        <v>CIAT (Alliance)</v>
      </c>
      <c r="D5" s="4" t="str">
        <v>Co-created multi-stakeholder action plan with a menu of concrete, prioritized, and feasible innovations that would increase both the supply and demand of sustainable healthy foods in Kenya</v>
      </c>
      <c r="E5" s="4" t="str">
        <v>Number of innovations (innovation development)</v>
      </c>
      <c r="F5" s="4" t="str">
        <v>Colombia, Kenya</v>
      </c>
      <c r="G5" s="5">
        <v>1</v>
      </c>
      <c r="H5" s="5">
        <v>33333</v>
      </c>
      <c r="I5" s="4" t="str">
        <v>Estimated costs for time of interdisciplinary teams of researchers and local partners, data collection costs</v>
      </c>
      <c r="J5" s="4">
        <v>8071</v>
      </c>
    </row>
    <row r="6" ht="50" customHeight="1">
      <c r="B6" s="4" t="str">
        <v>CIAT (Alliance)</v>
      </c>
      <c r="D6" s="4" t="str">
        <v>Policy brief describing actions that would increase both the supply and demand of sustainable healthy foods in Kenya</v>
      </c>
      <c r="E6" s="4" t="str">
        <v>Number of knowledge products</v>
      </c>
      <c r="F6" s="4" t="str">
        <v>Colombia, Kenya</v>
      </c>
      <c r="G6" s="5">
        <v>1</v>
      </c>
      <c r="H6" s="5">
        <v>33333</v>
      </c>
      <c r="I6" s="4" t="str">
        <v>Personnel costs based on standard organizational salary scales</v>
      </c>
      <c r="J6" s="4">
        <v>8074</v>
      </c>
    </row>
    <row r="7" ht="50" customHeight="1">
      <c r="B7" s="4" t="str">
        <v>CIAT (Alliance)</v>
      </c>
      <c r="D7" s="4" t="str">
        <v>Engagement with stakeholders to co-create a scoping study on current landscape of the supply of and demand for sustainably produced healthy foods in Ethiopia</v>
      </c>
      <c r="E7" s="4" t="str">
        <v>custom</v>
      </c>
      <c r="F7" s="4" t="str">
        <v>Colombia, Kenya, Ethiopia</v>
      </c>
      <c r="G7" s="5">
        <v>1</v>
      </c>
      <c r="H7" s="5">
        <v>33334</v>
      </c>
      <c r="I7" s="4" t="str">
        <v>Meeting costs include venue, catering, materials, and facilitators</v>
      </c>
      <c r="J7" s="4">
        <v>8075</v>
      </c>
    </row>
    <row r="8" ht="50" customHeight="1">
      <c r="B8" s="4" t="str">
        <v>CIAT (Alliance)</v>
      </c>
      <c r="D8" s="4" t="str">
        <v xml:space="preserve">Capacity building intervention for micro-, small-, and medium-sized enterprises (MSMEs) to increase the availability and affordability of healthy foods to consumers in Ethiopia and Viet Nam </v>
      </c>
      <c r="E8" s="4" t="str">
        <v>Number of innovations (innovation development)</v>
      </c>
      <c r="F8" s="4" t="str">
        <v>Colombia, Kenya, Ethiopia, The Socialist Republic of Viet Nam</v>
      </c>
      <c r="G8" s="5">
        <v>2</v>
      </c>
      <c r="H8" s="5">
        <v>78179</v>
      </c>
      <c r="I8" s="4" t="str">
        <v xml:space="preserve">Estimated costs for time of interdisciplinary teams of researchers and local partners, data collection costs, meeting costs (include venue, catering, materials, and facilitators). </v>
      </c>
      <c r="J8" s="4">
        <v>8078</v>
      </c>
    </row>
    <row r="9" ht="50" customHeight="1">
      <c r="A9" s="4" t="str">
        <v>AOW01: Consumers and Food Environments</v>
      </c>
      <c r="B9" s="4" t="str">
        <v>CIAT (Alliance)</v>
      </c>
      <c r="C9" s="4" t="str">
        <v>Policy options and engagement that support effective management of national action plans and other policy processes, for food systems transformation in  support of sustainable healthy diets</v>
      </c>
      <c r="D9" s="4" t="str">
        <v>Published results from food policy analysis in Viet Nam</v>
      </c>
      <c r="E9" s="4" t="str">
        <v>Number of knowledge products</v>
      </c>
      <c r="F9" s="4" t="str">
        <v>Colombia, The Socialist Republic of Viet Nam</v>
      </c>
      <c r="G9" s="5">
        <v>3</v>
      </c>
      <c r="H9" s="5">
        <v>194538</v>
      </c>
      <c r="I9" s="4" t="str">
        <v>Personnel costs based on standard organizational salary scales</v>
      </c>
      <c r="J9" s="4">
        <v>8079</v>
      </c>
    </row>
    <row r="10" ht="50" customHeight="1">
      <c r="B10" s="4" t="str">
        <v>CIAT (Alliance)</v>
      </c>
      <c r="D10" s="4" t="str">
        <v>Comprehensive national database of corporate political activity (CPA) of key ultra-processed food (UPF) actors, a resource for developing effective, evidence-based policies to create healthier food environments</v>
      </c>
      <c r="E10" s="4" t="str">
        <v>Number of innovations (innovation development)</v>
      </c>
      <c r="F10" s="4" t="str">
        <v>Nicaragua, The Socialist Republic of Viet Nam, Netherlands (Kingdom of the), Honduras, Philippines</v>
      </c>
      <c r="G10" s="5">
        <v>2</v>
      </c>
      <c r="H10" s="5">
        <v>279664</v>
      </c>
      <c r="I10" s="4" t="str">
        <v>Estimated costs for time of interdisciplinary teams of researchers and local partners, data collection costs</v>
      </c>
      <c r="J10" s="4">
        <v>8083</v>
      </c>
    </row>
    <row r="11" ht="50" customHeight="1">
      <c r="B11" s="4" t="str">
        <v>CIAT (Alliance)</v>
      </c>
      <c r="D11" s="4" t="str">
        <v>Toolkit to support actors facilitating subnational implementation of the national action plan for food systems transformation in Ethiopia and Viet Nam</v>
      </c>
      <c r="E11" s="4" t="str">
        <v>Number of innovations (innovation development)</v>
      </c>
      <c r="F11" s="4" t="str">
        <v>Colombia, Ethiopia, The Socialist Republic of Viet Nam</v>
      </c>
      <c r="G11" s="5">
        <v>2</v>
      </c>
      <c r="H11" s="5">
        <v>129693</v>
      </c>
      <c r="I11" s="4" t="str">
        <v>Estimated costs for time of interdiscipilinary teams of researchers and local partners, data collection costs, meeting costs (include venue, catering, materials, and facilitators).</v>
      </c>
      <c r="J11" s="4">
        <v>8084</v>
      </c>
    </row>
    <row r="12" ht="50" customHeight="1">
      <c r="B12" s="4" t="str">
        <v>CIAT (Alliance)</v>
      </c>
      <c r="D12" s="4" t="str">
        <v xml:space="preserve">Engagement with academics and policymakers to exchange knowledge and design evidence-based actions in food systems transformation processes in Ethiopia and Viet Nam </v>
      </c>
      <c r="E12" s="4" t="str">
        <v>custom</v>
      </c>
      <c r="F12" s="4" t="str">
        <v>Colombia, Ethiopia, The Socialist Republic of Viet Nam</v>
      </c>
      <c r="G12" s="5">
        <v>2</v>
      </c>
      <c r="H12" s="5">
        <v>129693</v>
      </c>
      <c r="I12" s="4" t="str">
        <v>Estimated costs for time of interdisciplinary teams of researchers and local partners, data collection costs, meeting costs (include venue, catering, materials, and facilitators).</v>
      </c>
      <c r="J12" s="4">
        <v>8085</v>
      </c>
    </row>
    <row r="13" ht="50" customHeight="1">
      <c r="B13" s="4" t="str">
        <v>CIAT (Alliance)</v>
      </c>
      <c r="D13" s="4" t="str">
        <v xml:space="preserve">Policy Process Documentation Framework, a tool for monitoring the process of national food systems transformation </v>
      </c>
      <c r="E13" s="4" t="str">
        <v>Number of innovations (innovation development)</v>
      </c>
      <c r="F13" s="4" t="str">
        <v>Colombia, United States of America, India, Belgium, Ethiopia, The Socialist Republic of Viet Nam, Bangladesh</v>
      </c>
      <c r="G13" s="5">
        <v>1</v>
      </c>
      <c r="H13" s="5">
        <v>64846</v>
      </c>
      <c r="I13" s="4" t="str">
        <v>Estimated costs for time of interdisciplinary teams of researchers and local partners, data collection costs</v>
      </c>
      <c r="J13" s="4">
        <v>8086</v>
      </c>
    </row>
    <row r="14" ht="50" customHeight="1">
      <c r="B14" s="4" t="str">
        <v>CIAT (Alliance)</v>
      </c>
      <c r="D14" s="4" t="str">
        <v>Critical Capabilities: Summary report on the implementation of the PPDF at the provincial level in Vietnam focusing on the early stages of the policy cycle -- agenda setting, policy design, and policy adoption</v>
      </c>
      <c r="E14" s="4" t="str">
        <v>Number of knowledge products</v>
      </c>
      <c r="F14" s="4" t="str">
        <v>Netherlands (Kingdom of the), The Socialist Republic of Viet Nam</v>
      </c>
      <c r="G14" s="5">
        <v>1</v>
      </c>
      <c r="H14" s="5">
        <v>47208</v>
      </c>
      <c r="I14" s="4" t="str">
        <v>Personnel costs based on standard organizational salary scales.</v>
      </c>
      <c r="J14" s="4">
        <v>8087</v>
      </c>
    </row>
    <row r="15" ht="50" customHeight="1">
      <c r="B15" s="4" t="str">
        <v>CIAT (Alliance)</v>
      </c>
      <c r="D15" s="4" t="str">
        <v>Training for national-level officials to build capacity to design and implement food systems transformation policies and processes for sustainable healthy diets</v>
      </c>
      <c r="E15" s="4" t="str">
        <v>Number of people trained (capacity sharing for development)</v>
      </c>
      <c r="F15" s="4" t="str">
        <v>India, Ethiopia, Netherlands (Kingdom of the), Colombia, Bangladesh</v>
      </c>
      <c r="G15" s="5">
        <v>1</v>
      </c>
      <c r="H15" s="5">
        <v>64846</v>
      </c>
      <c r="I15" s="4" t="str">
        <v>Estimated costs for time of interdisciplinary teams of researchers and local partners, meeting costs (include venue, catering, materials, and facilitators).</v>
      </c>
      <c r="J15" s="4">
        <v>8305</v>
      </c>
    </row>
    <row r="16" ht="50" customHeight="1">
      <c r="A16" s="4" t="str">
        <v>AOW01: Consumers and Food Environments</v>
      </c>
      <c r="B16" s="4" t="str">
        <v>CIAT (Alliance)</v>
      </c>
      <c r="C16" s="4" t="str">
        <v>Suite of solutions focused on consumers that promote consumption of sustainable heathy diets co-developed, tested, and scaled with technical support and country engagement</v>
      </c>
      <c r="D16" s="4" t="str">
        <v xml:space="preserve">Published results characterizing and analyzing aspects of the food environment in Ethiopia, Kenya, and Viet Nam  </v>
      </c>
      <c r="E16" s="4" t="str">
        <v>Number of knowledge products</v>
      </c>
      <c r="F16" s="4" t="str">
        <v>Colombia, Kenya, The Socialist Republic of Viet Nam, Ethiopia</v>
      </c>
      <c r="G16" s="5">
        <v>4</v>
      </c>
      <c r="H16" s="5">
        <v>117493</v>
      </c>
      <c r="I16" s="4" t="str">
        <v>Personnel costs based on standard organizational salary scales.</v>
      </c>
      <c r="J16" s="4">
        <v>8163</v>
      </c>
    </row>
    <row r="17" ht="50" customHeight="1">
      <c r="B17" s="4" t="str">
        <v>CIAT (Alliance)</v>
      </c>
      <c r="D17" s="4" t="str">
        <v>Critical Capabilities: Report summarizing analysis and results of study on the digital Diet Quality Questionnaire (DQQ) and suggestions to improve digital response rate in Guatemala</v>
      </c>
      <c r="E17" s="4" t="str">
        <v>Number of knowledge products</v>
      </c>
      <c r="F17" s="4" t="str">
        <v>Colombia, United States of America, Guatemala</v>
      </c>
      <c r="G17" s="5">
        <v>1</v>
      </c>
      <c r="H17" s="5">
        <v>50000</v>
      </c>
      <c r="I17" s="4" t="str">
        <v>Personnel costs based on standard organizational salary scales.</v>
      </c>
      <c r="J17" s="4">
        <v>8164</v>
      </c>
    </row>
    <row r="18" ht="50" customHeight="1">
      <c r="B18" s="4" t="str">
        <v>CIAT (Alliance)</v>
      </c>
      <c r="D18" s="4" t="str">
        <v>Critical Capabilities: Co-designed food environment intervention action plan and a MEL framework  for Vietnam</v>
      </c>
      <c r="E18" s="4" t="str">
        <v>Number of innovations (innovation development)</v>
      </c>
      <c r="F18" s="4" t="str">
        <v>Malaysia, Kenya, United States of America, The Socialist Republic of Viet Nam</v>
      </c>
      <c r="G18" s="5">
        <v>1</v>
      </c>
      <c r="H18" s="5">
        <v>9775</v>
      </c>
      <c r="I18" s="4" t="str">
        <v>Personnel costs based on standard organizational salary scales.</v>
      </c>
      <c r="J18" s="4">
        <v>8192</v>
      </c>
    </row>
    <row r="19" ht="25" customHeight="1">
      <c r="C19" s="9" t="str">
        <v>HLO budget subtotal</v>
      </c>
      <c r="H19" s="9">
        <v>1461382</v>
      </c>
      <c r="J19" s="9" t="str">
        <v/>
      </c>
    </row>
    <row r="20" ht="50" customHeight="1">
      <c r="A20" s="8" t="str">
        <v>AOW02: Market Systems</v>
      </c>
      <c r="B20" s="4" t="str">
        <v>CIAT (Alliance)</v>
      </c>
      <c r="C20" s="4" t="str">
        <v>Suite of solutions focused on farm input dealers, food traders, processors, and/or retailers that promote food quality and safety, reduce food loss, improve efficiency, and/or facilitate intermediation developed and tested with technical support and country engagement</v>
      </c>
      <c r="D20" s="4" t="str">
        <v>Report on use of digital tools by MSMEs in Uganda</v>
      </c>
      <c r="E20" s="4" t="str">
        <v>Number of knowledge products</v>
      </c>
      <c r="F20" s="4" t="str">
        <v>Uganda</v>
      </c>
      <c r="G20" s="5">
        <v>1</v>
      </c>
      <c r="H20" s="5">
        <v>32092</v>
      </c>
      <c r="I20" s="4" t="str">
        <v>Personnel costs based on standard organizational salary scales.</v>
      </c>
      <c r="J20" s="4">
        <v>7962</v>
      </c>
    </row>
    <row r="21" ht="50" customHeight="1">
      <c r="B21" s="4" t="str">
        <v>CIAT (Alliance)</v>
      </c>
      <c r="D21" s="4" t="str">
        <v>Reports documenting demand for digital tools by MSMEs in Ethiopia and Uganda working on nutritious foods and progress on the use of digital tool solutions by MSMEs working on nutritious foods in Kenya.56</v>
      </c>
      <c r="E21" s="4" t="str">
        <v>Number of knowledge products</v>
      </c>
      <c r="F21" s="4" t="str">
        <v>Uganda, Ethiopia, Kenya</v>
      </c>
      <c r="G21" s="5">
        <v>3</v>
      </c>
      <c r="H21" s="5">
        <v>96276</v>
      </c>
      <c r="I21" s="4" t="str">
        <v>Estimated costs for time of interdisciplinary teams of researchers and local partners, data collection costs</v>
      </c>
      <c r="J21" s="4">
        <v>7963</v>
      </c>
    </row>
    <row r="22" ht="50" customHeight="1">
      <c r="B22" s="4" t="str">
        <v>CIAT (Alliance)</v>
      </c>
      <c r="D22" s="4" t="str">
        <v>Critical Capabilities: Healthy and sustainable food products using a mix of flours from highly nutritious crops, marketed for children and women of reproductive age.28</v>
      </c>
      <c r="E22" s="4" t="str">
        <v>Number of innovations (innovation development)</v>
      </c>
      <c r="F22" s="4" t="str">
        <v>Colombia, Kenya</v>
      </c>
      <c r="G22" s="5">
        <v>2</v>
      </c>
      <c r="H22" s="5">
        <v>50000</v>
      </c>
      <c r="I22" s="4" t="str">
        <v>Estimated costs for time of interdisciplinary teams of researchers and local partners, data collection costs.</v>
      </c>
      <c r="J22" s="4">
        <v>7983</v>
      </c>
    </row>
    <row r="23" ht="50" customHeight="1">
      <c r="A23" s="4" t="str">
        <v>AOW02: Market Systems</v>
      </c>
      <c r="B23" s="4" t="str">
        <v>CIAT (Alliance)</v>
      </c>
      <c r="C23" s="4" t="str">
        <v>Tested solutions to increase access to finance to farm input dealers, food traders, processors, and/or retailers to increase growth in market systems for healthy foods</v>
      </c>
      <c r="D23" s="4" t="str">
        <v>Report documenting framework and metrics for measuring progress from impact investing in MSMEs in market systems for healthy diets.56</v>
      </c>
      <c r="E23" s="4" t="str">
        <v>Number of knowledge products</v>
      </c>
      <c r="F23" s="4" t="str">
        <v>United States of America, Colombia, Kenya</v>
      </c>
      <c r="G23" s="5">
        <v>1</v>
      </c>
      <c r="H23" s="5">
        <v>32092</v>
      </c>
      <c r="I23" s="4" t="str">
        <v>Personnel costs based on standard organizational salary scales.</v>
      </c>
      <c r="J23" s="4">
        <v>7965</v>
      </c>
    </row>
    <row r="24" ht="50" customHeight="1">
      <c r="B24" s="4" t="str">
        <v>CIAT (Alliance)</v>
      </c>
      <c r="D24" s="4" t="str">
        <v>Critical Capabilities: Stakeholder engagements with people or groups that could be involved in financing for nutrition-focused MSMEs in Kenya.14</v>
      </c>
      <c r="E24" s="4" t="str">
        <v>Number of knowledge products</v>
      </c>
      <c r="F24" s="4" t="str">
        <v>Kenya</v>
      </c>
      <c r="G24" s="5">
        <v>1</v>
      </c>
      <c r="H24" s="5">
        <v>47208</v>
      </c>
      <c r="I24" s="4" t="str">
        <v>Meeting costs include venue, catering, materials, and facilitators.</v>
      </c>
      <c r="J24" s="4">
        <v>7982</v>
      </c>
    </row>
    <row r="25" ht="50" customHeight="1">
      <c r="A25" s="4" t="str">
        <v>AOW02: Market Systems</v>
      </c>
      <c r="B25" s="4" t="str">
        <v>CIAT (Alliance)</v>
      </c>
      <c r="C25" s="4" t="str">
        <v>Policy options and engagement that support domestic food and trade policies that promote sustainable healthy diets, and in particular, limit the growing supply and consumption of ultra-processed foods</v>
      </c>
      <c r="D25" s="4" t="str">
        <v>Report documenting role of trade policy and political economy in the availability of ultra-processed foods</v>
      </c>
      <c r="E25" s="4" t="str">
        <v>Number of knowledge products</v>
      </c>
      <c r="F25" s="4" t="str">
        <v>Uganda, Tanzania, United Republic, United States of America, Côte d'Ivoire, Honduras</v>
      </c>
      <c r="G25" s="5">
        <v>1</v>
      </c>
      <c r="H25" s="5">
        <v>25000</v>
      </c>
      <c r="I25" s="4" t="str">
        <v>Personnel costs based on standard organizational salary scales.</v>
      </c>
      <c r="J25" s="4">
        <v>7975</v>
      </c>
    </row>
    <row r="26" ht="50" customHeight="1">
      <c r="B26" s="4" t="str">
        <v>CIAT (Alliance)</v>
      </c>
      <c r="D26" s="4" t="str">
        <v>Webinar targeted at policy audiences on links between trade policy and availability of ultra-processed foods.54</v>
      </c>
      <c r="E26" s="4" t="str">
        <v>custom</v>
      </c>
      <c r="F26" s="4" t="str">
        <v>Côte d'Ivoire, United States of America, Honduras, Uganda, Tanzania, United Republic</v>
      </c>
      <c r="G26" s="5">
        <v>1</v>
      </c>
      <c r="H26" s="5">
        <v>25000</v>
      </c>
      <c r="I26" s="4" t="str">
        <v>Personnel costs based on standard organizational salary scales.</v>
      </c>
      <c r="J26" s="4">
        <v>7979</v>
      </c>
    </row>
    <row r="27" ht="25" customHeight="1">
      <c r="C27" s="9" t="str">
        <v>HLO budget subtotal</v>
      </c>
      <c r="H27" s="9">
        <v>307668</v>
      </c>
      <c r="J27" s="9" t="str">
        <v/>
      </c>
    </row>
    <row r="28" ht="50" customHeight="1">
      <c r="A28" s="8" t="str">
        <v>AOW04: Biofortified and Health-enhancing Staples</v>
      </c>
      <c r="B28" s="4" t="str">
        <v>CIAT (Alliance)</v>
      </c>
      <c r="C28" s="4" t="str">
        <v>Suite of solutions for producers and processors that address constraints to sustainable healthy diets co-developed, tested, and scaled with technical support and country engagement</v>
      </c>
      <c r="D28" s="4" t="str">
        <v>Evaluation plan to test strategies that address barriers multiple types of food system actors face in making nutrient‑rich bean products more available, accessible, and affordable in Kenya, all based on diagnostic work on market uncertainty, weak demand signals, limited downstream information, and other constraints faced by processors); studies to map vendor outlets and analyze retail constraints; and studies on consumer demand</v>
      </c>
      <c r="E28" s="4" t="str">
        <v>Number of knowledge products</v>
      </c>
      <c r="F28" s="4" t="str">
        <v>Rwanda, Nigeria, Kenya</v>
      </c>
      <c r="G28" s="5">
        <v>1</v>
      </c>
      <c r="H28" s="5">
        <v>62500</v>
      </c>
      <c r="I28" s="4" t="str">
        <v>Estimated costs for time of interdisciplinary teams of researchers and local partners, data collection costs</v>
      </c>
      <c r="J28" s="4">
        <v>8016</v>
      </c>
    </row>
    <row r="29" ht="50" customHeight="1">
      <c r="B29" s="4" t="str">
        <v>CIAT (Alliance)</v>
      </c>
      <c r="D29" s="4" t="str">
        <v>Diagnostic report on sourcing constraints, institutional procurement opportunities (including school feeding programs), consumer demand signals and knowledge gaps, and barriers to integrating biofortified crops into products.31</v>
      </c>
      <c r="E29" s="4" t="str">
        <v>Number of knowledge products</v>
      </c>
      <c r="F29" s="4" t="str">
        <v>India, Kenya, Tanzania, United Republic</v>
      </c>
      <c r="G29" s="5">
        <v>1</v>
      </c>
      <c r="H29" s="5">
        <v>8333</v>
      </c>
      <c r="I29" s="4" t="str">
        <v>Estimated costs for time of interdisciplinary teams of researchers and local partners, data collection costs</v>
      </c>
      <c r="J29" s="4">
        <v>8066</v>
      </c>
    </row>
    <row r="30" ht="50" customHeight="1">
      <c r="B30" s="4" t="str">
        <v>CIAT (Alliance)</v>
      </c>
      <c r="D30" s="4" t="str">
        <v>Consultations with traders, aggregators, government agencies, processors, private sector actors and development partners to develop practical, context-specific solutions for scaling, market integration, and business model development for biofortified and health-enhancing staples.31</v>
      </c>
      <c r="E30" s="4" t="str">
        <v>custom</v>
      </c>
      <c r="F30" s="4" t="str">
        <v>India, Kenya, Tanzania, United Republic</v>
      </c>
      <c r="G30" s="5">
        <v>1</v>
      </c>
      <c r="H30" s="5">
        <v>8333</v>
      </c>
      <c r="I30" s="4" t="str">
        <v>Meeting costs include venue, catering, materials, and facilitators</v>
      </c>
      <c r="J30" s="4">
        <v>8069</v>
      </c>
    </row>
    <row r="31" ht="50" customHeight="1">
      <c r="A31" s="4" t="str">
        <v>AOW04: Biofortified and Health-enhancing Staples</v>
      </c>
      <c r="B31" s="4" t="str">
        <v>CIAT (Alliance)</v>
      </c>
      <c r="C31" s="4" t="str">
        <v>Suite of solutions for traders and vendors that address constraints to sustainable healthy diets co-developed, tested, and scaled with technical support and country engagement</v>
      </c>
      <c r="D31" s="4" t="str">
        <v>Roadmap with clear pathways for scaling, market integration, and business model development for biofortified and health-enhancing staples</v>
      </c>
      <c r="E31" s="4" t="str">
        <v>Number of knowledge products</v>
      </c>
      <c r="F31" s="4" t="str">
        <v>India, Kenya, Tanzania, United Republic</v>
      </c>
      <c r="G31" s="5">
        <v>1</v>
      </c>
      <c r="H31" s="5">
        <v>16666</v>
      </c>
      <c r="I31" s="4" t="str">
        <v>Estimated costs for time of interdisciplinary teams of researchers and local partners, data collection costs</v>
      </c>
      <c r="J31" s="4">
        <v>8060</v>
      </c>
    </row>
    <row r="32" ht="50" customHeight="1">
      <c r="B32" s="4" t="str">
        <v>CIAT (Alliance)</v>
      </c>
      <c r="D32" s="4" t="str">
        <v>Consultations with traders, aggregators, government agencies, processors, private sector actors and development partners to develop practical, context-specific solutions for scaling, market integration, and business model development for biofortified and health-enhancing staples.31</v>
      </c>
      <c r="E32" s="4" t="str">
        <v>custom</v>
      </c>
      <c r="F32" s="4" t="str">
        <v>India, Kenya, Tanzania, United Republic</v>
      </c>
      <c r="G32" s="5">
        <v>1</v>
      </c>
      <c r="H32" s="5">
        <v>8334</v>
      </c>
      <c r="I32" s="4" t="str">
        <v>Estimated costs for time of interdisciplinary teams of researchers and local partners, data collection costs</v>
      </c>
      <c r="J32" s="4">
        <v>8219</v>
      </c>
    </row>
    <row r="33" ht="50" customHeight="1">
      <c r="B33" s="4" t="str">
        <v>CIAT (Alliance)</v>
      </c>
      <c r="D33" s="4" t="str">
        <v>Diagnostic report on sourcing constraints, institutional procurement opportunities (including school feeding programs), consumer demand signals and knowledge gaps, and barriers to integrating biofortified crops into products.31</v>
      </c>
      <c r="E33" s="4" t="str">
        <v>Number of knowledge products</v>
      </c>
      <c r="F33" s="4" t="str">
        <v>India, Kenya, Tanzania, United Republic</v>
      </c>
      <c r="G33" s="5">
        <v>1</v>
      </c>
      <c r="H33" s="5">
        <v>8334</v>
      </c>
      <c r="I33" s="4" t="str">
        <v>Estimated costs for time of interdisciplinary teams of researchers and local partners, data collection costs</v>
      </c>
      <c r="J33" s="4">
        <v>8222</v>
      </c>
    </row>
    <row r="34" ht="50" customHeight="1">
      <c r="B34" s="4" t="str">
        <v>CIAT (Alliance)</v>
      </c>
      <c r="D34" s="4" t="str">
        <v>Evaluation plan to test strategies that address barriers multiple types of food system actors face in making nutrient‑rich bean products more available, accessible, and affordable in Kenya, all based on diagnostic work on market uncertainty, weak demand signals, limited downstream information, and other constraints faced by processors); studies to map vendor outlets and analyze retail constraints; and studies on consumer demand</v>
      </c>
      <c r="E34" s="4" t="str">
        <v>Number of knowledge products</v>
      </c>
      <c r="F34" s="4" t="str">
        <v>Rwanda, Nigeria, Kenya</v>
      </c>
      <c r="G34" s="5">
        <v>1</v>
      </c>
      <c r="H34" s="5">
        <v>0</v>
      </c>
      <c r="I34" s="4" t="str">
        <v/>
      </c>
      <c r="J34" s="4">
        <v>8313</v>
      </c>
    </row>
    <row r="35" ht="50" customHeight="1">
      <c r="A35" s="4" t="str">
        <v>AOW04: Biofortified and Health-enhancing Staples</v>
      </c>
      <c r="B35" s="4" t="str">
        <v>CIAT (Alliance)</v>
      </c>
      <c r="C35" s="4" t="str">
        <v>Suite of solutions to support consumers awareness, preference, affordability and utilization of biofortified and health-enhancing crops in their diets</v>
      </c>
      <c r="D35" s="4" t="str">
        <v>Evaluation plan, based on published results describing quantified spatial and temporal patterns of uptake, consumption, and affordability of biofortified crops in Nigeria, to test scalable, cost-effective interventions that enhance affordability and promote broader adoption and consumption</v>
      </c>
      <c r="E35" s="4" t="str">
        <v>Number of knowledge products</v>
      </c>
      <c r="F35" s="4" t="str">
        <v>Rwanda, Nigeria</v>
      </c>
      <c r="G35" s="5">
        <v>1</v>
      </c>
      <c r="H35" s="5">
        <v>62500</v>
      </c>
      <c r="I35" s="4" t="str">
        <v>Estimated costs for time of interdisciplinary teams of researchers and local partners, data collection costs</v>
      </c>
      <c r="J35" s="4">
        <v>8196</v>
      </c>
    </row>
    <row r="36" ht="50" customHeight="1">
      <c r="B36" s="4" t="str">
        <v>CIAT (Alliance)</v>
      </c>
      <c r="D36" s="4" t="str">
        <v>Evaluation plan to test strategies that address barriers multiple types of food system actors face in making nutrient‑rich bean products more available, accessible, and affordable in Kenya, all based on diagnostic work on market uncertainty, weak demand signals, limited downstream information, and other constraints faced by processors); studies to map vendor outlets and analyze retail constraints; and studies on consumer demand</v>
      </c>
      <c r="E36" s="4" t="str">
        <v>Number of knowledge products</v>
      </c>
      <c r="F36" s="4" t="str">
        <v>Rwanda, Nigeria, Kenya</v>
      </c>
      <c r="G36" s="5">
        <v>1</v>
      </c>
      <c r="H36" s="5">
        <v>0</v>
      </c>
      <c r="I36" s="4" t="str">
        <v/>
      </c>
      <c r="J36" s="4">
        <v>8315</v>
      </c>
    </row>
    <row r="37" ht="25" customHeight="1">
      <c r="C37" s="9" t="str">
        <v>HLO budget subtotal</v>
      </c>
      <c r="H37" s="9">
        <v>175000</v>
      </c>
      <c r="J37" s="9" t="str">
        <v/>
      </c>
    </row>
    <row r="38" ht="50" customHeight="1">
      <c r="A38" s="8" t="str">
        <v>AOW06: Transformative leadership</v>
      </c>
      <c r="B38" s="4" t="str">
        <v>CIAT (Alliance)</v>
      </c>
      <c r="C38" s="4" t="str">
        <v xml:space="preserve">Amplify external profile of BDN/CGIAR through Regional dissemination activities and Food System Transformation engagements (CAADAP, ASEAN, UN FS Regional meetings)   </v>
      </c>
      <c r="D38" s="4" t="str">
        <v>Engagement with policymakers, government leaders, development partners, funders, and other stakeholders at strategic regional food system events.18</v>
      </c>
      <c r="E38" s="4" t="str">
        <v>custom</v>
      </c>
      <c r="F38" s="4" t="str">
        <v>Colombia, India, Ethiopia, Nicaragua, Chile, Rwanda</v>
      </c>
      <c r="G38" s="5">
        <v>2</v>
      </c>
      <c r="H38" s="5">
        <v>81286</v>
      </c>
      <c r="I38" s="4" t="str">
        <v>Communication and dissemination costs include design, printing, and event participation.</v>
      </c>
      <c r="J38" s="4">
        <v>7885</v>
      </c>
    </row>
    <row r="39" ht="50" customHeight="1">
      <c r="A39" s="4" t="str">
        <v>AOW06: Transformative leadership</v>
      </c>
      <c r="B39" s="4" t="str">
        <v>CIAT (Alliance)</v>
      </c>
      <c r="C39" s="4" t="str">
        <v xml:space="preserve">Tools, expert community and capacities to guide CGIAR portfolio along pathways that lead to credible impacts on nutrition health and food security </v>
      </c>
      <c r="D39" s="4" t="str">
        <v>Webinars with other CGIAR Programs/Accelerators highlighting credible case studies of outcomes and impacts on nutrition, health, and food security.18</v>
      </c>
      <c r="E39" s="4" t="str">
        <v>custom</v>
      </c>
      <c r="F39" s="4" t="str">
        <v>India, Colombia, Malaysia, United States of America</v>
      </c>
      <c r="G39" s="5">
        <v>2</v>
      </c>
      <c r="H39" s="5">
        <v>81286</v>
      </c>
      <c r="I39" s="4" t="str">
        <v>Personnel costs based on standard organizational salary scales.</v>
      </c>
      <c r="J39" s="4">
        <v>7886</v>
      </c>
    </row>
    <row r="40" ht="50" customHeight="1">
      <c r="A40" s="4" t="str">
        <v>AOW06: Transformative leadership</v>
      </c>
      <c r="B40" s="4" t="str">
        <v>CIAT (Alliance)</v>
      </c>
      <c r="C40" s="4" t="str">
        <v xml:space="preserve">Targeted capacity-sharing events and activities that promote diet-focused thinking for regional food system stakeholders </v>
      </c>
      <c r="D40" s="4" t="str">
        <v>ANH Learning Lab on Food Systems Transformation.18</v>
      </c>
      <c r="E40" s="4" t="str">
        <v>Number of people trained (capacity sharing for development)</v>
      </c>
      <c r="F40" s="4" t="str">
        <v>Colombia, Philippines, Tanzania, United Republic, Ethiopia, Bangladesh, Honduras, The Socialist Republic of Viet Nam</v>
      </c>
      <c r="G40" s="5">
        <v>1</v>
      </c>
      <c r="H40" s="5">
        <v>40643</v>
      </c>
      <c r="I40" s="4" t="str">
        <v>Communication and dissemination costs include design, printing, and event participation.</v>
      </c>
      <c r="J40" s="4">
        <v>7887</v>
      </c>
    </row>
    <row r="41" ht="50" customHeight="1" xml:space="preserve">
      <c r="B41" s="4" t="str">
        <v>CIAT (Alliance)</v>
      </c>
      <c r="D41" s="4" t="str" xml:space="preserve">
        <v xml:space="preserve">Capacity needs assessment report on policy actions and strategic engagement to influence food systems thinking among different stakeholders including communities of practice
</v>
      </c>
      <c r="E41" s="4" t="str">
        <v>Number of knowledge products</v>
      </c>
      <c r="F41" s="4" t="str">
        <v>United States of America, Bangladesh, Ethiopia, Tanzania, United Republic, Honduras, Philippines, The Socialist Republic of Viet Nam</v>
      </c>
      <c r="G41" s="5">
        <v>1</v>
      </c>
      <c r="H41" s="5">
        <v>40643</v>
      </c>
      <c r="I41" s="4" t="str">
        <v>Personnel costs based on standard organizational salary scales.</v>
      </c>
      <c r="J41" s="4">
        <v>8171</v>
      </c>
    </row>
    <row r="42" ht="50" customHeight="1">
      <c r="A42" s="4" t="str">
        <v>AOW06: Transformative leadership</v>
      </c>
      <c r="B42" s="4" t="str">
        <v>CIAT (Alliance)</v>
      </c>
      <c r="C42" s="4" t="str">
        <v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v>
      </c>
      <c r="D42" s="4" t="str">
        <v>Registered protocol with research questions, word search, databases and criteria on climate-nutrition-health linkages</v>
      </c>
      <c r="E42" s="4" t="str">
        <v>custom</v>
      </c>
      <c r="F42" s="4" t="str">
        <v>United States of America, Colombia, Tanzania, United Republic, Philippines, Ethiopia, Bangladesh, Honduras, The Socialist Republic of Viet Nam</v>
      </c>
      <c r="G42" s="5">
        <v>1</v>
      </c>
      <c r="H42" s="5">
        <v>130065</v>
      </c>
      <c r="I42" s="4" t="str">
        <v>Personnel costs based on standard organizational salary scales.</v>
      </c>
      <c r="J42" s="4">
        <v>7888</v>
      </c>
    </row>
    <row r="43" ht="25" customHeight="1">
      <c r="C43" s="9" t="str">
        <v>HLO budget subtotal</v>
      </c>
      <c r="H43" s="9">
        <v>373923</v>
      </c>
      <c r="J43" s="9" t="str">
        <v/>
      </c>
    </row>
  </sheetData>
  <mergeCells count="24">
    <mergeCell ref="A1:A2"/>
    <mergeCell ref="B1:B2"/>
    <mergeCell ref="C1:C2"/>
    <mergeCell ref="D1:H1"/>
    <mergeCell ref="I1:I2"/>
    <mergeCell ref="J1:J2"/>
    <mergeCell ref="C3:C8"/>
    <mergeCell ref="C9:C15"/>
    <mergeCell ref="C16:C18"/>
    <mergeCell ref="C19:G19"/>
    <mergeCell ref="A3:A19"/>
    <mergeCell ref="C20:C22"/>
    <mergeCell ref="C23:C24"/>
    <mergeCell ref="C25:C26"/>
    <mergeCell ref="C27:G27"/>
    <mergeCell ref="A20:A27"/>
    <mergeCell ref="C28:C30"/>
    <mergeCell ref="C31:C34"/>
    <mergeCell ref="C35:C36"/>
    <mergeCell ref="C37:G37"/>
    <mergeCell ref="A28:A37"/>
    <mergeCell ref="C40:C41"/>
    <mergeCell ref="C43:G43"/>
    <mergeCell ref="A38:A43"/>
  </mergeCells>
  <ignoredErrors>
    <ignoredError numberStoredAsText="1" sqref="A1:J43"/>
  </ignoredErrors>
</worksheet>
</file>

<file path=xl/worksheets/sheet3.xml><?xml version="1.0" encoding="utf-8"?>
<worksheet xmlns="http://schemas.openxmlformats.org/spreadsheetml/2006/main" xmlns:r="http://schemas.openxmlformats.org/officeDocument/2006/relationships">
  <dimension ref="A1:G8"/>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Consumers and Food Environments</v>
      </c>
      <c r="B2" s="4" t="str">
        <v>The DOST-Food and Nutrition Research Institute's</v>
      </c>
      <c r="C2" s="4" t="str">
        <v>CIAT (Alliance)</v>
      </c>
      <c r="D2" s="4" t="str">
        <v>The Socialist Republic of Viet Nam</v>
      </c>
      <c r="E2" s="5">
        <v>23000</v>
      </c>
      <c r="F2" s="4" t="str">
        <v>Contract already signed with the Partner.</v>
      </c>
      <c r="G2" s="4">
        <v>403</v>
      </c>
    </row>
    <row r="3" ht="50" customHeight="1">
      <c r="A3" s="4" t="str">
        <v>AOW01: Consumers and Food Environments</v>
      </c>
      <c r="B3" s="4" t="str">
        <v>Unknown Partner 1</v>
      </c>
      <c r="C3" s="4" t="str">
        <v>CIAT (Alliance)</v>
      </c>
      <c r="D3" s="4" t="str">
        <v>Ethiopia, The Socialist Republic of Viet Nam, Honduras</v>
      </c>
      <c r="E3" s="5">
        <v>50000</v>
      </c>
      <c r="F3" s="4" t="str">
        <v>Planning phase still in progress, with the partner yet to be confirmed.</v>
      </c>
      <c r="G3" s="4">
        <v>404</v>
      </c>
    </row>
    <row r="4" ht="25" customHeight="1">
      <c r="B4" s="9" t="str">
        <v>Contracted partners subtotal</v>
      </c>
      <c r="E4" s="9">
        <v>73000</v>
      </c>
      <c r="F4" s="9" t="str">
        <v/>
      </c>
      <c r="G4" s="9" t="str">
        <v/>
      </c>
    </row>
    <row r="5" ht="50" customHeight="1">
      <c r="A5" s="8" t="str">
        <v>AOW02: Market Systems</v>
      </c>
      <c r="B5" s="4" t="str">
        <v>Unknown Partner 1</v>
      </c>
      <c r="C5" s="4" t="str">
        <v>CIAT (Alliance)</v>
      </c>
      <c r="D5" s="4" t="str">
        <v>Kenya</v>
      </c>
      <c r="E5" s="5">
        <v>18991</v>
      </c>
      <c r="F5" s="4" t="str">
        <v>Planning phase still in progress, with the partner yet to be confirmed.</v>
      </c>
      <c r="G5" s="4">
        <v>405</v>
      </c>
    </row>
    <row r="6" ht="25" customHeight="1">
      <c r="B6" s="9" t="str">
        <v>Contracted partners subtotal</v>
      </c>
      <c r="E6" s="9">
        <v>18991</v>
      </c>
      <c r="F6" s="9" t="str">
        <v/>
      </c>
      <c r="G6" s="9" t="str">
        <v/>
      </c>
    </row>
    <row r="7" ht="50" customHeight="1">
      <c r="A7" s="8" t="str">
        <v>AOW04: Biofortified and Health-enhancing Staples</v>
      </c>
      <c r="B7" s="4" t="str">
        <v>Unknown Partner 1</v>
      </c>
      <c r="C7" s="4" t="str">
        <v>CIAT (Alliance)</v>
      </c>
      <c r="D7" s="4" t="str">
        <v>Tanzania, United Republic</v>
      </c>
      <c r="E7" s="5">
        <v>17400</v>
      </c>
      <c r="F7" s="4" t="str">
        <v>Planning phase still in progress, with the partner yet to be confirmed.</v>
      </c>
      <c r="G7" s="4">
        <v>406</v>
      </c>
    </row>
    <row r="8" ht="25" customHeight="1">
      <c r="B8" s="9" t="str">
        <v>Contracted partners subtotal</v>
      </c>
      <c r="E8" s="9">
        <v>17400</v>
      </c>
      <c r="F8" s="9" t="str">
        <v/>
      </c>
      <c r="G8" s="9" t="str">
        <v/>
      </c>
    </row>
  </sheetData>
  <mergeCells count="6">
    <mergeCell ref="B4:D4"/>
    <mergeCell ref="A2:A4"/>
    <mergeCell ref="B6:D6"/>
    <mergeCell ref="A5:A6"/>
    <mergeCell ref="B8:D8"/>
    <mergeCell ref="A7:A8"/>
  </mergeCells>
  <ignoredErrors>
    <ignoredError numberStoredAsText="1" sqref="A1:G8"/>
  </ignoredErrors>
</worksheet>
</file>

<file path=xl/worksheets/sheet4.xml><?xml version="1.0" encoding="utf-8"?>
<worksheet xmlns="http://schemas.openxmlformats.org/spreadsheetml/2006/main" xmlns:r="http://schemas.openxmlformats.org/officeDocument/2006/relationships">
  <dimension ref="A1:F3"/>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CIAT (Alliance)</v>
      </c>
      <c r="B2" s="4" t="str">
        <v>EC Combating malnutrition in Africa through Diversification of the Food system (HealthyDiets4Africa)</v>
      </c>
      <c r="C2" s="4" t="str">
        <v>Suite of solutions focused on consumers that promote consumption of sustainable heathy diets co-developed, tested, and scaled with technical support and country engagement</v>
      </c>
      <c r="D2" s="5">
        <v>135231</v>
      </c>
      <c r="E2" s="4" t="str">
        <v>Budget subject to agreement of both parties on scope of work, deliverables to be delivered at a given period, estimation of costs, and manner of payment.</v>
      </c>
      <c r="F2" s="4">
        <v>1046</v>
      </c>
    </row>
    <row r="3" ht="25" customHeight="1">
      <c r="B3" s="9" t="str">
        <v>W3/Bilateral budget subtotal</v>
      </c>
      <c r="D3" s="9">
        <v>135231</v>
      </c>
      <c r="E3" s="9" t="str">
        <v/>
      </c>
      <c r="F3" s="9" t="str">
        <v/>
      </c>
    </row>
  </sheetData>
  <mergeCells count="2">
    <mergeCell ref="B3:C3"/>
    <mergeCell ref="A2:A3"/>
  </mergeCells>
  <ignoredErrors>
    <ignoredError numberStoredAsText="1" sqref="A1:F3"/>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CIAT (Alliance)</v>
      </c>
      <c r="C2" s="4" t="str">
        <v>Area of Work Leads</v>
      </c>
      <c r="D2" s="5">
        <v>125218</v>
      </c>
      <c r="E2" s="4" t="str">
        <v>The AoW1 Lead served at 0.2 FTE during January–February and shifted to 0.4 FTE from March through December.</v>
      </c>
      <c r="F2" s="4">
        <v>25</v>
      </c>
      <c r="G2" s="4">
        <v>3</v>
      </c>
    </row>
    <row r="3" ht="45" customHeight="1">
      <c r="A3" s="4" t="str">
        <v>AOW00: Cross Cutting</v>
      </c>
      <c r="B3" s="4" t="str">
        <v>CIAT (Alliance)</v>
      </c>
      <c r="C3" s="4" t="str">
        <v>Discretionary funds</v>
      </c>
      <c r="D3" s="5">
        <v>5000</v>
      </c>
      <c r="E3" s="4" t="str">
        <v>Travel AoW Lead</v>
      </c>
      <c r="F3" s="4">
        <v>200</v>
      </c>
      <c r="G3" s="4">
        <v>7</v>
      </c>
    </row>
    <row r="4" ht="25" customHeight="1">
      <c r="C4" s="9" t="str">
        <v>Cross-cutting budget subtotal</v>
      </c>
      <c r="D4" s="9">
        <v>130218</v>
      </c>
      <c r="E4" s="9" t="str">
        <v/>
      </c>
      <c r="F4" s="9" t="str">
        <v/>
      </c>
      <c r="G4" s="9" t="str">
        <v/>
      </c>
    </row>
  </sheetData>
  <mergeCells count="1">
    <mergeCell ref="A2:A4"/>
  </mergeCells>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I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4" t="str">
        <v>Staffing, Chargebacks and Indirect</v>
      </c>
      <c r="B2" s="5">
        <v>125218</v>
      </c>
      <c r="C2" s="5">
        <v>1086395</v>
      </c>
      <c r="D2" s="5">
        <v>170564</v>
      </c>
      <c r="E2" s="5">
        <v>0</v>
      </c>
      <c r="F2" s="5">
        <v>100195</v>
      </c>
      <c r="G2" s="5">
        <v>0</v>
      </c>
      <c r="H2" s="5">
        <v>305042</v>
      </c>
      <c r="I2" s="5">
        <f>=SUM(B2:H2)</f>
        <v>0</v>
      </c>
    </row>
    <row r="3" ht="20" customHeight="1">
      <c r="A3" s="4" t="str">
        <v>Operations (supplies, consultants, travels, workshops, other)</v>
      </c>
      <c r="B3" s="5">
        <v>5000</v>
      </c>
      <c r="C3" s="5">
        <v>301987</v>
      </c>
      <c r="D3" s="5">
        <v>118113</v>
      </c>
      <c r="E3" s="5">
        <v>0</v>
      </c>
      <c r="F3" s="5">
        <v>57405</v>
      </c>
      <c r="G3" s="5">
        <v>0</v>
      </c>
      <c r="H3" s="5">
        <v>68881</v>
      </c>
      <c r="I3" s="5">
        <f>=SUM(B3:H3)</f>
        <v>0</v>
      </c>
    </row>
    <row r="4" ht="20" customHeight="1">
      <c r="A4" s="4" t="str">
        <v>Collaborators non-CGIAR centers</v>
      </c>
      <c r="B4" s="5">
        <v>0</v>
      </c>
      <c r="C4" s="5">
        <v>73000</v>
      </c>
      <c r="D4" s="5">
        <v>18991</v>
      </c>
      <c r="E4" s="5">
        <v>0</v>
      </c>
      <c r="F4" s="5">
        <v>17400</v>
      </c>
      <c r="G4" s="5">
        <v>0</v>
      </c>
      <c r="H4" s="5">
        <v>0</v>
      </c>
      <c r="I4" s="5">
        <f>=SUM(B4:H4)</f>
        <v>0</v>
      </c>
    </row>
    <row r="5" ht="20" customHeight="1">
      <c r="A5" s="6" t="str">
        <v>Subtotal</v>
      </c>
      <c r="B5" s="7">
        <f>=SUM(B2:B4)</f>
        <v>0</v>
      </c>
      <c r="C5" s="7">
        <f>=SUM(C2:C4)</f>
        <v>0</v>
      </c>
      <c r="D5" s="7">
        <f>=SUM(D2:D4)</f>
        <v>0</v>
      </c>
      <c r="E5" s="7">
        <f>=SUM(E2:E4)</f>
        <v>0</v>
      </c>
      <c r="F5" s="7">
        <f>=SUM(F2:F4)</f>
        <v>0</v>
      </c>
      <c r="G5" s="7">
        <f>=SUM(G2:G4)</f>
        <v>0</v>
      </c>
      <c r="H5" s="7">
        <f>=SUM(H2:H4)</f>
        <v>0</v>
      </c>
      <c r="I5" s="7">
        <f>=SUM(I2:I4)</f>
        <v>0</v>
      </c>
    </row>
  </sheetData>
  <ignoredErrors>
    <ignoredError numberStoredAsText="1" sqref="A1:I5"/>
  </ignoredErrors>
</worksheet>
</file>

<file path=xl/worksheets/sheet8.xml><?xml version="1.0" encoding="utf-8"?>
<worksheet xmlns="http://schemas.openxmlformats.org/spreadsheetml/2006/main" xmlns:r="http://schemas.openxmlformats.org/officeDocument/2006/relationships">
  <dimension ref="A1:E20"/>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CIAT (Alliance)</v>
      </c>
      <c r="C2" s="4" t="str">
        <v>Colombia</v>
      </c>
      <c r="D2" s="5">
        <v>100</v>
      </c>
      <c r="E2" s="4">
        <v>56</v>
      </c>
    </row>
    <row r="3" ht="45" customHeight="1">
      <c r="A3" s="8" t="str">
        <v>AOW01: Consumers and Food Environments</v>
      </c>
      <c r="B3" s="4" t="str">
        <v>CIAT (Alliance)</v>
      </c>
      <c r="C3" s="4" t="str">
        <v>Colombia</v>
      </c>
      <c r="D3" s="5">
        <v>30</v>
      </c>
      <c r="E3" s="4">
        <v>2488</v>
      </c>
    </row>
    <row r="4" ht="45" customHeight="1">
      <c r="A4" s="4" t="str">
        <v>AOW01: Consumers and Food Environments</v>
      </c>
      <c r="B4" s="4" t="str">
        <v>CIAT (Alliance)</v>
      </c>
      <c r="C4" s="4" t="str">
        <v>Ethiopia</v>
      </c>
      <c r="D4" s="5">
        <v>20</v>
      </c>
      <c r="E4" s="4">
        <v>2490</v>
      </c>
    </row>
    <row r="5" ht="45" customHeight="1">
      <c r="A5" s="4" t="str">
        <v>AOW01: Consumers and Food Environments</v>
      </c>
      <c r="B5" s="4" t="str">
        <v>CIAT (Alliance)</v>
      </c>
      <c r="C5" s="4" t="str">
        <v>Kenya</v>
      </c>
      <c r="D5" s="5">
        <v>20</v>
      </c>
      <c r="E5" s="4">
        <v>2491</v>
      </c>
    </row>
    <row r="6" ht="45" customHeight="1">
      <c r="A6" s="4" t="str">
        <v>AOW01: Consumers and Food Environments</v>
      </c>
      <c r="B6" s="4" t="str">
        <v>CIAT (Alliance)</v>
      </c>
      <c r="C6" s="4" t="str">
        <v>Netherlands (Kingdom of the)</v>
      </c>
      <c r="D6" s="5">
        <v>10</v>
      </c>
      <c r="E6" s="4">
        <v>2492</v>
      </c>
    </row>
    <row r="7" ht="45" customHeight="1">
      <c r="A7" s="4" t="str">
        <v>AOW01: Consumers and Food Environments</v>
      </c>
      <c r="B7" s="4" t="str">
        <v>CIAT (Alliance)</v>
      </c>
      <c r="C7" s="4" t="str">
        <v>The Socialist Republic of Viet Nam</v>
      </c>
      <c r="D7" s="5">
        <v>20</v>
      </c>
      <c r="E7" s="4">
        <v>2489</v>
      </c>
    </row>
    <row r="8" ht="45" customHeight="1">
      <c r="A8" s="8" t="str">
        <v>AOW02: Market Systems</v>
      </c>
      <c r="B8" s="4" t="str">
        <v>CIAT (Alliance)</v>
      </c>
      <c r="C8" s="4" t="str">
        <v>Colombia</v>
      </c>
      <c r="D8" s="5">
        <v>30</v>
      </c>
      <c r="E8" s="4">
        <v>2485</v>
      </c>
    </row>
    <row r="9" ht="45" customHeight="1">
      <c r="A9" s="4" t="str">
        <v>AOW02: Market Systems</v>
      </c>
      <c r="B9" s="4" t="str">
        <v>CIAT (Alliance)</v>
      </c>
      <c r="C9" s="4" t="str">
        <v>Honduras</v>
      </c>
      <c r="D9" s="5">
        <v>10</v>
      </c>
      <c r="E9" s="4">
        <v>2486</v>
      </c>
    </row>
    <row r="10" ht="45" customHeight="1">
      <c r="A10" s="4" t="str">
        <v>AOW02: Market Systems</v>
      </c>
      <c r="B10" s="4" t="str">
        <v>CIAT (Alliance)</v>
      </c>
      <c r="C10" s="4" t="str">
        <v>Kenya</v>
      </c>
      <c r="D10" s="5">
        <v>50</v>
      </c>
      <c r="E10" s="4">
        <v>2484</v>
      </c>
    </row>
    <row r="11" ht="45" customHeight="1">
      <c r="A11" s="4" t="str">
        <v>AOW02: Market Systems</v>
      </c>
      <c r="B11" s="4" t="str">
        <v>CIAT (Alliance)</v>
      </c>
      <c r="C11" s="4" t="str">
        <v>Uganda</v>
      </c>
      <c r="D11" s="5">
        <v>10</v>
      </c>
      <c r="E11" s="4">
        <v>2487</v>
      </c>
    </row>
    <row r="12" ht="45" customHeight="1">
      <c r="A12" s="8" t="str">
        <v>AOW04: Biofortified and Health-enhancing Staples</v>
      </c>
      <c r="B12" s="4" t="str">
        <v>CIAT (Alliance)</v>
      </c>
      <c r="C12" s="4" t="str">
        <v>Kenya</v>
      </c>
      <c r="D12" s="5">
        <v>20</v>
      </c>
      <c r="E12" s="4">
        <v>2482</v>
      </c>
    </row>
    <row r="13" ht="45" customHeight="1">
      <c r="A13" s="4" t="str">
        <v>AOW04: Biofortified and Health-enhancing Staples</v>
      </c>
      <c r="B13" s="4" t="str">
        <v>CIAT (Alliance)</v>
      </c>
      <c r="C13" s="4" t="str">
        <v>Nigeria</v>
      </c>
      <c r="D13" s="5">
        <v>20</v>
      </c>
      <c r="E13" s="4">
        <v>2649</v>
      </c>
    </row>
    <row r="14" ht="45" customHeight="1">
      <c r="A14" s="4" t="str">
        <v>AOW04: Biofortified and Health-enhancing Staples</v>
      </c>
      <c r="B14" s="4" t="str">
        <v>CIAT (Alliance)</v>
      </c>
      <c r="C14" s="4" t="str">
        <v>Rwanda</v>
      </c>
      <c r="D14" s="5">
        <v>20</v>
      </c>
      <c r="E14" s="4">
        <v>2648</v>
      </c>
    </row>
    <row r="15" ht="45" customHeight="1">
      <c r="A15" s="4" t="str">
        <v>AOW04: Biofortified and Health-enhancing Staples</v>
      </c>
      <c r="B15" s="4" t="str">
        <v>CIAT (Alliance)</v>
      </c>
      <c r="C15" s="4" t="str">
        <v>Tanzania</v>
      </c>
      <c r="D15" s="5">
        <v>40</v>
      </c>
      <c r="E15" s="4">
        <v>2647</v>
      </c>
    </row>
    <row r="16" ht="45" customHeight="1">
      <c r="A16" s="8" t="str">
        <v>AOW06: Transformative leadership</v>
      </c>
      <c r="B16" s="4" t="str">
        <v>CIAT (Alliance)</v>
      </c>
      <c r="C16" s="4" t="str">
        <v>Colombia</v>
      </c>
      <c r="D16" s="5">
        <v>60</v>
      </c>
      <c r="E16" s="4">
        <v>2475</v>
      </c>
    </row>
    <row r="17" ht="45" customHeight="1">
      <c r="A17" s="4" t="str">
        <v>AOW06: Transformative leadership</v>
      </c>
      <c r="B17" s="4" t="str">
        <v>CIAT (Alliance)</v>
      </c>
      <c r="C17" s="4" t="str">
        <v>Ethiopia</v>
      </c>
      <c r="D17" s="5">
        <v>10</v>
      </c>
      <c r="E17" s="4">
        <v>2477</v>
      </c>
    </row>
    <row r="18" ht="45" customHeight="1">
      <c r="A18" s="4" t="str">
        <v>AOW06: Transformative leadership</v>
      </c>
      <c r="B18" s="4" t="str">
        <v>CIAT (Alliance)</v>
      </c>
      <c r="C18" s="4" t="str">
        <v>Malaysia</v>
      </c>
      <c r="D18" s="5">
        <v>10</v>
      </c>
      <c r="E18" s="4">
        <v>2479</v>
      </c>
    </row>
    <row r="19" ht="45" customHeight="1">
      <c r="A19" s="4" t="str">
        <v>AOW06: Transformative leadership</v>
      </c>
      <c r="B19" s="4" t="str">
        <v>CIAT (Alliance)</v>
      </c>
      <c r="C19" s="4" t="str">
        <v>Nicaragua</v>
      </c>
      <c r="D19" s="5">
        <v>10</v>
      </c>
      <c r="E19" s="4">
        <v>2476</v>
      </c>
    </row>
    <row r="20" ht="45" customHeight="1">
      <c r="A20" s="4" t="str">
        <v>AOW06: Transformative leadership</v>
      </c>
      <c r="B20" s="4" t="str">
        <v>CIAT (Alliance)</v>
      </c>
      <c r="C20" s="4" t="str">
        <v>The Socialist Republic of Viet Nam</v>
      </c>
      <c r="D20" s="5">
        <v>10</v>
      </c>
      <c r="E20" s="4">
        <v>2478</v>
      </c>
    </row>
  </sheetData>
  <mergeCells count="5">
    <mergeCell ref="A2"/>
    <mergeCell ref="A3:A7"/>
    <mergeCell ref="A8:A11"/>
    <mergeCell ref="A12:A15"/>
    <mergeCell ref="A16:A20"/>
  </mergeCells>
  <ignoredErrors>
    <ignoredError numberStoredAsText="1" sqref="A1:E20"/>
  </ignoredErrors>
</worksheet>
</file>

<file path=xl/worksheets/sheet9.xml><?xml version="1.0" encoding="utf-8"?>
<worksheet xmlns="http://schemas.openxmlformats.org/spreadsheetml/2006/main" xmlns:r="http://schemas.openxmlformats.org/officeDocument/2006/relationships">
  <dimension ref="A1:F24"/>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CIAT (Alliance)</v>
      </c>
      <c r="C2" s="4" t="str">
        <v>Bangladesh</v>
      </c>
      <c r="D2" s="4" t="str">
        <v>country</v>
      </c>
      <c r="E2" s="5">
        <v>16.67</v>
      </c>
      <c r="F2" s="4">
        <v>16</v>
      </c>
    </row>
    <row r="3" ht="45" customHeight="1">
      <c r="A3" s="4" t="str">
        <v>AOW00: Cross Cutting</v>
      </c>
      <c r="B3" s="4" t="str">
        <v>CIAT (Alliance)</v>
      </c>
      <c r="C3" s="4" t="str">
        <v>Ethiopia</v>
      </c>
      <c r="D3" s="4" t="str">
        <v>country</v>
      </c>
      <c r="E3" s="5">
        <v>16.67</v>
      </c>
      <c r="F3" s="4">
        <v>13</v>
      </c>
    </row>
    <row r="4" ht="45" customHeight="1">
      <c r="A4" s="4" t="str">
        <v>AOW00: Cross Cutting</v>
      </c>
      <c r="B4" s="4" t="str">
        <v>CIAT (Alliance)</v>
      </c>
      <c r="C4" s="4" t="str">
        <v>Honduras</v>
      </c>
      <c r="D4" s="4" t="str">
        <v>country</v>
      </c>
      <c r="E4" s="5">
        <v>16.67</v>
      </c>
      <c r="F4" s="4">
        <v>15</v>
      </c>
    </row>
    <row r="5" ht="45" customHeight="1">
      <c r="A5" s="4" t="str">
        <v>AOW00: Cross Cutting</v>
      </c>
      <c r="B5" s="4" t="str">
        <v>CIAT (Alliance)</v>
      </c>
      <c r="C5" s="4" t="str">
        <v>Philippines</v>
      </c>
      <c r="D5" s="4" t="str">
        <v>country</v>
      </c>
      <c r="E5" s="5">
        <v>16.66</v>
      </c>
      <c r="F5" s="4">
        <v>18</v>
      </c>
    </row>
    <row r="6" ht="45" customHeight="1">
      <c r="A6" s="4" t="str">
        <v>AOW00: Cross Cutting</v>
      </c>
      <c r="B6" s="4" t="str">
        <v>CIAT (Alliance)</v>
      </c>
      <c r="C6" s="4" t="str">
        <v>Tanzania</v>
      </c>
      <c r="D6" s="4" t="str">
        <v>country</v>
      </c>
      <c r="E6" s="5">
        <v>16.67</v>
      </c>
      <c r="F6" s="4">
        <v>14</v>
      </c>
    </row>
    <row r="7" ht="45" customHeight="1">
      <c r="A7" s="4" t="str">
        <v>AOW00: Cross Cutting</v>
      </c>
      <c r="B7" s="4" t="str">
        <v>CIAT (Alliance)</v>
      </c>
      <c r="C7" s="4" t="str">
        <v>The Socialist Republic of Viet Nam</v>
      </c>
      <c r="D7" s="4" t="str">
        <v>country</v>
      </c>
      <c r="E7" s="5">
        <v>16.66</v>
      </c>
      <c r="F7" s="4">
        <v>17</v>
      </c>
    </row>
    <row r="8" ht="45" customHeight="1">
      <c r="A8" s="8" t="str">
        <v>AOW01: Consumers and Food Environments</v>
      </c>
      <c r="B8" s="4" t="str">
        <v>CIAT (Alliance)</v>
      </c>
      <c r="C8" s="4" t="str">
        <v>Ethiopia</v>
      </c>
      <c r="D8" s="4" t="str">
        <v>country</v>
      </c>
      <c r="E8" s="5">
        <v>30</v>
      </c>
      <c r="F8" s="4">
        <v>871</v>
      </c>
    </row>
    <row r="9" ht="45" customHeight="1">
      <c r="A9" s="4" t="str">
        <v>AOW01: Consumers and Food Environments</v>
      </c>
      <c r="B9" s="4" t="str">
        <v>CIAT (Alliance)</v>
      </c>
      <c r="C9" s="4" t="str">
        <v>Guatemala</v>
      </c>
      <c r="D9" s="4" t="str">
        <v>country</v>
      </c>
      <c r="E9" s="5">
        <v>5</v>
      </c>
      <c r="F9" s="4">
        <v>1003</v>
      </c>
    </row>
    <row r="10" ht="45" customHeight="1">
      <c r="A10" s="4" t="str">
        <v>AOW01: Consumers and Food Environments</v>
      </c>
      <c r="B10" s="4" t="str">
        <v>CIAT (Alliance)</v>
      </c>
      <c r="C10" s="4" t="str">
        <v>Honduras</v>
      </c>
      <c r="D10" s="4" t="str">
        <v>country</v>
      </c>
      <c r="E10" s="5">
        <v>5</v>
      </c>
      <c r="F10" s="4">
        <v>873</v>
      </c>
    </row>
    <row r="11" ht="45" customHeight="1">
      <c r="A11" s="4" t="str">
        <v>AOW01: Consumers and Food Environments</v>
      </c>
      <c r="B11" s="4" t="str">
        <v>CIAT (Alliance)</v>
      </c>
      <c r="C11" s="4" t="str">
        <v>Kenya</v>
      </c>
      <c r="D11" s="4" t="str">
        <v>country</v>
      </c>
      <c r="E11" s="5">
        <v>20</v>
      </c>
      <c r="F11" s="4">
        <v>874</v>
      </c>
    </row>
    <row r="12" ht="45" customHeight="1">
      <c r="A12" s="4" t="str">
        <v>AOW01: Consumers and Food Environments</v>
      </c>
      <c r="B12" s="4" t="str">
        <v>CIAT (Alliance)</v>
      </c>
      <c r="C12" s="4" t="str">
        <v>Philippines</v>
      </c>
      <c r="D12" s="4" t="str">
        <v>country</v>
      </c>
      <c r="E12" s="5">
        <v>5</v>
      </c>
      <c r="F12" s="4">
        <v>875</v>
      </c>
    </row>
    <row r="13" ht="45" customHeight="1">
      <c r="A13" s="4" t="str">
        <v>AOW01: Consumers and Food Environments</v>
      </c>
      <c r="B13" s="4" t="str">
        <v>CIAT (Alliance)</v>
      </c>
      <c r="C13" s="4" t="str">
        <v>The Socialist Republic of Viet Nam</v>
      </c>
      <c r="D13" s="4" t="str">
        <v>country</v>
      </c>
      <c r="E13" s="5">
        <v>35</v>
      </c>
      <c r="F13" s="4">
        <v>872</v>
      </c>
    </row>
    <row r="14" ht="45" customHeight="1">
      <c r="A14" s="8" t="str">
        <v>AOW02: Market Systems</v>
      </c>
      <c r="B14" s="4" t="str">
        <v>CIAT (Alliance)</v>
      </c>
      <c r="C14" s="4" t="str">
        <v>Honduras</v>
      </c>
      <c r="D14" s="4" t="str">
        <v>country</v>
      </c>
      <c r="E14" s="5">
        <v>25</v>
      </c>
      <c r="F14" s="4">
        <v>1042</v>
      </c>
    </row>
    <row r="15" ht="45" customHeight="1">
      <c r="A15" s="4" t="str">
        <v>AOW02: Market Systems</v>
      </c>
      <c r="B15" s="4" t="str">
        <v>CIAT (Alliance)</v>
      </c>
      <c r="C15" s="4" t="str">
        <v>Kenya</v>
      </c>
      <c r="D15" s="4" t="str">
        <v>country</v>
      </c>
      <c r="E15" s="5">
        <v>25</v>
      </c>
      <c r="F15" s="4">
        <v>868</v>
      </c>
    </row>
    <row r="16" ht="45" customHeight="1">
      <c r="A16" s="4" t="str">
        <v>AOW02: Market Systems</v>
      </c>
      <c r="B16" s="4" t="str">
        <v>CIAT (Alliance)</v>
      </c>
      <c r="C16" s="4" t="str">
        <v>Tanzania</v>
      </c>
      <c r="D16" s="4" t="str">
        <v>country</v>
      </c>
      <c r="E16" s="5">
        <v>25</v>
      </c>
      <c r="F16" s="4">
        <v>1041</v>
      </c>
    </row>
    <row r="17" ht="45" customHeight="1">
      <c r="A17" s="4" t="str">
        <v>AOW02: Market Systems</v>
      </c>
      <c r="B17" s="4" t="str">
        <v>CIAT (Alliance)</v>
      </c>
      <c r="C17" s="4" t="str">
        <v>Uganda</v>
      </c>
      <c r="D17" s="4" t="str">
        <v>country</v>
      </c>
      <c r="E17" s="5">
        <v>25</v>
      </c>
      <c r="F17" s="4">
        <v>870</v>
      </c>
    </row>
    <row r="18" ht="45" customHeight="1">
      <c r="A18" s="8" t="str">
        <v>AOW04: Biofortified and Health-enhancing Staples</v>
      </c>
      <c r="B18" s="4" t="str">
        <v>CIAT (Alliance)</v>
      </c>
      <c r="C18" s="4" t="str">
        <v>Kenya</v>
      </c>
      <c r="D18" s="4" t="str">
        <v>country</v>
      </c>
      <c r="E18" s="5">
        <v>25</v>
      </c>
      <c r="F18" s="4">
        <v>867</v>
      </c>
    </row>
    <row r="19" ht="45" customHeight="1">
      <c r="A19" s="4" t="str">
        <v>AOW04: Biofortified and Health-enhancing Staples</v>
      </c>
      <c r="B19" s="4" t="str">
        <v>CIAT (Alliance)</v>
      </c>
      <c r="C19" s="4" t="str">
        <v>Nigeria</v>
      </c>
      <c r="D19" s="4" t="str">
        <v>country</v>
      </c>
      <c r="E19" s="5">
        <v>25</v>
      </c>
      <c r="F19" s="4">
        <v>964</v>
      </c>
    </row>
    <row r="20" ht="45" customHeight="1">
      <c r="A20" s="4" t="str">
        <v>AOW04: Biofortified and Health-enhancing Staples</v>
      </c>
      <c r="B20" s="4" t="str">
        <v>CIAT (Alliance)</v>
      </c>
      <c r="C20" s="4" t="str">
        <v>Tanzania, United Republic</v>
      </c>
      <c r="D20" s="4" t="str">
        <v>country</v>
      </c>
      <c r="E20" s="5">
        <v>50</v>
      </c>
      <c r="F20" s="4">
        <v>963</v>
      </c>
    </row>
    <row r="21" ht="45" customHeight="1">
      <c r="A21" s="8" t="str">
        <v>AOW06: Transformative leadership</v>
      </c>
      <c r="B21" s="4" t="str">
        <v>CIAT (Alliance)</v>
      </c>
      <c r="C21" s="4" t="str">
        <v>Global</v>
      </c>
      <c r="D21" s="4" t="str">
        <v>global</v>
      </c>
      <c r="E21" s="5">
        <v>70</v>
      </c>
      <c r="F21" s="4">
        <v>863</v>
      </c>
    </row>
    <row r="22" ht="45" customHeight="1">
      <c r="A22" s="4" t="str">
        <v>AOW06: Transformative leadership</v>
      </c>
      <c r="B22" s="4" t="str">
        <v>CIAT (Alliance)</v>
      </c>
      <c r="C22" s="4" t="str">
        <v>Africa</v>
      </c>
      <c r="D22" s="4" t="str">
        <v>region</v>
      </c>
      <c r="E22" s="5">
        <v>15</v>
      </c>
      <c r="F22" s="4">
        <v>864</v>
      </c>
    </row>
    <row r="23" ht="45" customHeight="1">
      <c r="A23" s="4" t="str">
        <v>AOW06: Transformative leadership</v>
      </c>
      <c r="B23" s="4" t="str">
        <v>CIAT (Alliance)</v>
      </c>
      <c r="C23" s="4" t="str">
        <v>Asia</v>
      </c>
      <c r="D23" s="4" t="str">
        <v>region</v>
      </c>
      <c r="E23" s="5">
        <v>15</v>
      </c>
      <c r="F23" s="4">
        <v>865</v>
      </c>
    </row>
    <row r="24" ht="45" customHeight="1">
      <c r="A24" s="4" t="str">
        <v>AOW06: Transformative leadership</v>
      </c>
      <c r="B24" s="4" t="str">
        <v>CIAT (Alliance)</v>
      </c>
      <c r="C24" s="4" t="str">
        <v>Latin America and the Caribbean</v>
      </c>
      <c r="D24" s="4" t="str">
        <v>region</v>
      </c>
      <c r="E24" s="5">
        <v>0</v>
      </c>
      <c r="F24" s="4">
        <v>866</v>
      </c>
    </row>
  </sheetData>
  <mergeCells count="5">
    <mergeCell ref="A2:A7"/>
    <mergeCell ref="A8:A13"/>
    <mergeCell ref="A14:A17"/>
    <mergeCell ref="A18:A20"/>
    <mergeCell ref="A21:A24"/>
  </mergeCells>
  <ignoredErrors>
    <ignoredError numberStoredAsText="1" sqref="A1:F24"/>
  </ignoredErrors>
</worksheet>
</file>

<file path=xl/worksheets/sheet10.xml><?xml version="1.0" encoding="utf-8"?>
<worksheet xmlns="http://schemas.openxmlformats.org/spreadsheetml/2006/main" xmlns:r="http://schemas.openxmlformats.org/officeDocument/2006/relationships">
  <dimension ref="A1:E14"/>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Consumers and Food Environments</v>
      </c>
      <c r="B2" s="4" t="str">
        <v xml:space="preserve">Digital Transformation </v>
      </c>
      <c r="C2" s="4" t="str">
        <v>Suite of solutions focused on consumers that promote consumption of sustainable heathy diets co-developed, tested, and scaled with technical support and country engagement</v>
      </c>
      <c r="D2" s="4" t="str">
        <v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v>
      </c>
      <c r="E2" s="4">
        <v>994</v>
      </c>
    </row>
    <row r="3" ht="60" customHeight="1">
      <c r="A3" s="4" t="str">
        <v>AOW01: Consumers and Food Environments</v>
      </c>
      <c r="B3" s="4" t="str">
        <v>Food Frontiers and Security</v>
      </c>
      <c r="C3" s="4" t="str">
        <v>Suite of solutions focused on consumers that promote consumption of sustainable heathy diets co-developed, tested, and scaled with technical support and country engagement</v>
      </c>
      <c r="D3" s="4" t="str">
        <v>Our program will collaborate with Food Frontiers on the development and testing of a food safety perception scale in three countries. In 2026, this will include work to finalize the scale, a user guide, and scientific manuscripts.</v>
      </c>
      <c r="E3" s="4">
        <v>995</v>
      </c>
    </row>
    <row r="4" ht="60" customHeight="1">
      <c r="A4" s="8" t="str">
        <v>AOW02: Market Systems</v>
      </c>
      <c r="B4" s="4" t="str">
        <v>Policy Innovations</v>
      </c>
      <c r="C4" s="4" t="str">
        <v>Tested solutions to increase access to finance to farm input dealers, food traders, processors, and/or retailers to increase growth in market systems for healthy foods</v>
      </c>
      <c r="D4" s="4" t="str">
        <v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v>
      </c>
      <c r="E4" s="4">
        <v>996</v>
      </c>
    </row>
    <row r="5" ht="60" customHeight="1">
      <c r="A5" s="4" t="str">
        <v>AOW02: Market Systems</v>
      </c>
      <c r="B5" s="4" t="str">
        <v>Scaling for Impact</v>
      </c>
      <c r="C5" s="4" t="str">
        <v>Suite of solutions focused on farm input dealers, food traders, processors, and/or retailers that promote food quality and safety, reduce food loss, improve efficiency, and/or facilitate intermediation developed and tested with technical support and country engagement</v>
      </c>
      <c r="D5" s="4" t="str">
        <v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v>
      </c>
      <c r="E5" s="4">
        <v>997</v>
      </c>
    </row>
    <row r="6" ht="60" customHeight="1">
      <c r="A6" s="4" t="str">
        <v>AOW02: Market Systems</v>
      </c>
      <c r="B6" s="4" t="str">
        <v xml:space="preserve">Sustainable Animal and Aquatic Foods </v>
      </c>
      <c r="C6" s="4" t="str">
        <v>Suite of solutions focused on farm input dealers, food traders, processors, and/or retailers that promote food quality and safety, reduce food loss, improve efficiency, and/or facilitate intermediation developed and tested with technical support and country engagement</v>
      </c>
      <c r="D6" s="4" t="str">
        <v xml:space="preserve">Our program will work with SAAF on evidence generation and synthesis around food safety. In 2026, this will include research on understanding attitudes towards meat decontamination, a potential innovation to improve food safety, in Kenya and Ethiopia. </v>
      </c>
      <c r="E6" s="4">
        <v>998</v>
      </c>
    </row>
    <row r="7" ht="60" customHeight="1">
      <c r="A7" s="8" t="str">
        <v>AOW03: End-to-end Solutions</v>
      </c>
      <c r="B7" s="4" t="str">
        <v>Food Frontiers and Security</v>
      </c>
      <c r="C7" s="4" t="str">
        <v>Suite of end-to-end solutions for fruit and vegetable producers, traders, processors, and vendors/retailers that promote food quality and safety, reduce food loss, and increase profits co-developed, tested, and scaled</v>
      </c>
      <c r="D7" s="4" t="str">
        <v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v>
      </c>
      <c r="E7" s="4">
        <v>999</v>
      </c>
    </row>
    <row r="8" ht="60" customHeight="1">
      <c r="A8" s="4" t="str">
        <v>AOW03: End-to-end Solutions</v>
      </c>
      <c r="B8" s="4" t="str">
        <v xml:space="preserve">Sustainable Animal and Aquatic Foods </v>
      </c>
      <c r="C8" s="4" t="str">
        <v xml:space="preserve"> Suite of integrated end-to-end solutions for food producers, traders, processors, and vendors/retailers that promote  food quality and safety, reduce food loss, and increase profits co-developed, tested, and scaled</v>
      </c>
      <c r="D8" s="4" t="str">
        <v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v>
      </c>
      <c r="E8" s="4">
        <v>1000</v>
      </c>
    </row>
    <row r="9" ht="60" customHeight="1">
      <c r="A9" s="4" t="str">
        <v>AOW03: End-to-end Solutions</v>
      </c>
      <c r="B9" s="4" t="str">
        <v xml:space="preserve">Sustainable Animal and Aquatic Foods </v>
      </c>
      <c r="C9" s="4" t="str">
        <v xml:space="preserve"> Suite of end-to-end solutions for terrestrial animal-source food producers, traders, processors, and vendors/retailers that promote  food quality and safety, reduce food loss,and increase profits co-developed, tested, and scaled</v>
      </c>
      <c r="D9" s="4" t="str">
        <v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v>
      </c>
      <c r="E9" s="4">
        <v>1001</v>
      </c>
    </row>
    <row r="10" ht="60" customHeight="1">
      <c r="A10" s="4" t="str">
        <v>AOW03: End-to-end Solutions</v>
      </c>
      <c r="B10" s="4" t="str">
        <v>Food Frontiers and Security</v>
      </c>
      <c r="C10" s="4" t="str">
        <v>Suite of end-to-end solutions for aquatic food producers, traders, processors, and vendors/retailers that promote food quality and safety, reduce food loss,and increase profits co-developed, tested, and scaled</v>
      </c>
      <c r="D10" s="4" t="str">
        <v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v>
      </c>
      <c r="E10" s="4">
        <v>1002</v>
      </c>
    </row>
    <row r="11" ht="60" customHeight="1">
      <c r="A11" s="8" t="str">
        <v>AOW04: Biofortified and Health-enhancing Staples</v>
      </c>
      <c r="B11" s="4" t="str">
        <v>Scaling for Impact</v>
      </c>
      <c r="C11" s="4" t="str">
        <v>Suite of solutions for producers and processors that address constraints to sustainable healthy diets co-developed, tested, and scaled with technical support and country engagement</v>
      </c>
      <c r="D11" s="4" t="str">
        <v>Shared scaling activities through TAAT Program</v>
      </c>
      <c r="E11" s="4">
        <v>1003</v>
      </c>
    </row>
    <row r="12" ht="60" customHeight="1">
      <c r="A12" s="4" t="str">
        <v>AOW04: Biofortified and Health-enhancing Staples</v>
      </c>
      <c r="B12" s="4" t="str">
        <v>Breeding for Tomorrow</v>
      </c>
      <c r="C12" s="4" t="str">
        <v>Framework for embedding nutrition into breeding pipelines and processes.</v>
      </c>
      <c r="D12" s="4" t="str">
        <v>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v>
      </c>
      <c r="E12" s="4">
        <v>1004</v>
      </c>
    </row>
    <row r="13" ht="60" customHeight="1">
      <c r="A13" s="4" t="str">
        <v>AOW04: Biofortified and Health-enhancing Staples</v>
      </c>
      <c r="B13" s="4" t="str">
        <v>Breeding for Tomorrow</v>
      </c>
      <c r="C13" s="4" t="str">
        <v>Suite of solutions to support consumers awareness, preference, affordability and utilization of biofortified and health-enhancing crops in their diets</v>
      </c>
      <c r="D13" s="4" t="str">
        <v>AoW1 on Market Intelligence, currently led by Demont, Matty. Linkage between both Programs is embedded in the ToC through the HLO "Framework for embedding nutrition into breeding pipelines and processes" which connects to Market Intelligence HLOs STEER, TARGET and INVEST.</v>
      </c>
      <c r="E13" s="4">
        <v>1005</v>
      </c>
    </row>
    <row r="14" ht="60" customHeight="1">
      <c r="A14" s="4" t="str">
        <v>AOW04: Biofortified and Health-enhancing Staples</v>
      </c>
      <c r="B14" s="4" t="str">
        <v xml:space="preserve">Gender Equality and Inclusion </v>
      </c>
      <c r="C14" s="4" t="str">
        <v>Suite of solutions to support consumers awareness, preference, affordability and utilization of biofortified and health-enhancing crops in their diets</v>
      </c>
      <c r="D14" s="4" t="str">
        <v>AoW1 Accelerating Solutions for Impact, endorsed by Sub AoW1.2 lead Gaudiose.</v>
      </c>
      <c r="E14" s="4">
        <v>1006</v>
      </c>
    </row>
  </sheetData>
  <mergeCells count="4">
    <mergeCell ref="A2:A3"/>
    <mergeCell ref="A4:A6"/>
    <mergeCell ref="A7:A10"/>
    <mergeCell ref="A11:A14"/>
  </mergeCells>
  <ignoredErrors>
    <ignoredError numberStoredAsText="1" sqref="A1:E14"/>
  </ignoredErrors>
</worksheet>
</file>

<file path=xl/worksheets/sheet11.xml><?xml version="1.0" encoding="utf-8"?>
<worksheet xmlns="http://schemas.openxmlformats.org/spreadsheetml/2006/main" xmlns:r="http://schemas.openxmlformats.org/officeDocument/2006/relationships">
  <dimension ref="A1:G3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Food producers, traders, processors, and/or retailers adopt evidence-based solutions to improve food safety and quality in target markets​</v>
      </c>
      <c r="C2" s="4" t="str">
        <v/>
      </c>
      <c r="D2" s="4" t="str">
        <v>Innovation Use</v>
      </c>
      <c r="E2" s="4" t="str">
        <v>Country: Benin, Ethiopia, Honduras, Kenya, Philippines, Sri Lanka, Tanzania, United Republic, Uganda</v>
      </c>
      <c r="F2" s="5">
        <v>3</v>
      </c>
      <c r="G2" s="4">
        <v>573</v>
      </c>
    </row>
    <row r="3" ht="60" customHeight="1">
      <c r="A3" s="4" t="str">
        <v>AOW00: Cross Cutting</v>
      </c>
      <c r="B3" s="4" t="str">
        <v>Consumers demand and consume sustainable healthy diets</v>
      </c>
      <c r="C3" s="4" t="str">
        <v/>
      </c>
      <c r="D3" s="4" t="str">
        <v xml:space="preserve"> Other outcome</v>
      </c>
      <c r="E3" s="4" t="str">
        <v>Country: Bangladesh, Ethiopia, Honduras, Philippines, Tanzania, United Republic, The Socialist Republic of Viet Nam</v>
      </c>
      <c r="F3" s="5">
        <v>0</v>
      </c>
      <c r="G3" s="4">
        <v>594</v>
      </c>
    </row>
    <row r="4" ht="60" customHeight="1">
      <c r="A4" s="4" t="str">
        <v>AOW00: Cross Cutting</v>
      </c>
      <c r="B4" s="4" t="str">
        <v>Consumers demand and consume sustainable healthy diets</v>
      </c>
      <c r="C4" s="4" t="str">
        <v/>
      </c>
      <c r="D4" s="4" t="str">
        <v xml:space="preserve"> Other outcome</v>
      </c>
      <c r="E4" s="4" t="str">
        <v>Country: Bangladesh, Ethiopia, Honduras, Philippines, Tanzania, United Republic, The Socialist Republic of Viet Nam</v>
      </c>
      <c r="F4" s="5">
        <v>0</v>
      </c>
      <c r="G4" s="4">
        <v>594</v>
      </c>
    </row>
    <row r="5" ht="60" customHeight="1">
      <c r="A5" s="4" t="str">
        <v>AOW00: Cross Cutting</v>
      </c>
      <c r="B5" s="4" t="str">
        <v>Food traders, processors, and/or retailers adopt effective components of bundled solutions to reduce food loss and waste</v>
      </c>
      <c r="C5" s="4" t="str">
        <v/>
      </c>
      <c r="D5" s="4" t="str">
        <v>Innovation Use</v>
      </c>
      <c r="E5" s="4" t="str">
        <v>Country: Benin, Philippines, Sri Lanka, Tanzania, United Republic, Uganda</v>
      </c>
      <c r="F5" s="5">
        <v>0</v>
      </c>
      <c r="G5" s="4">
        <v>604</v>
      </c>
    </row>
    <row r="6" ht="60" customHeight="1">
      <c r="A6" s="8" t="str">
        <v>AOW01: Consumers and Food Environments</v>
      </c>
      <c r="B6" s="4" t="str">
        <v>Policymakers enact policies and regulations, through the FST-NAP and other policy processes, that align with evidence and recommendations</v>
      </c>
      <c r="C6" s="4" t="str">
        <v/>
      </c>
      <c r="D6" s="4" t="str">
        <v>Number of Policy (Policy Change)</v>
      </c>
      <c r="E6" s="4" t="str">
        <v>Country: Bangladesh, Ethiopia, Honduras, The Socialist Republic of Viet Nam</v>
      </c>
      <c r="F6" s="5">
        <v>2</v>
      </c>
      <c r="G6" s="4">
        <v>593</v>
      </c>
    </row>
    <row r="7" ht="60" customHeight="1">
      <c r="A7" s="4" t="str">
        <v>AOW01: Consumers and Food Environments</v>
      </c>
      <c r="B7" s="4" t="str">
        <v>Decisionmakers, through new governance mechanisms, align priorities across the public sector and private sector and civil society that support food systems transformation for sustainable healthy diets</v>
      </c>
      <c r="C7" s="4" t="str">
        <v/>
      </c>
      <c r="D7" s="4" t="str">
        <v>Number of Policy (Policy Change)</v>
      </c>
      <c r="E7" s="4" t="str">
        <v>Country: Bangladesh, Ethiopia, Honduras, The Socialist Republic of Viet Nam</v>
      </c>
      <c r="F7" s="5">
        <v>3</v>
      </c>
      <c r="G7" s="4">
        <v>595</v>
      </c>
    </row>
    <row r="8" ht="60" customHeight="1">
      <c r="A8" s="4" t="str">
        <v>AOW01: Consumers and Food Environments</v>
      </c>
      <c r="B8" s="4" t="str">
        <v>Government actors implement and enforce consumer-oriented solutions that change consumer desirability and agency to improve the consumption of sustainable healthy diets and/or limit the consumption of unhealthy food</v>
      </c>
      <c r="C8" s="4" t="str">
        <v/>
      </c>
      <c r="D8" s="4" t="str">
        <v>Innovation Use</v>
      </c>
      <c r="E8" s="4" t="str">
        <v>Country: Bangladesh, Ethiopia, Ghana, Honduras, The Socialist Republic of Viet Nam</v>
      </c>
      <c r="F8" s="5">
        <v>0</v>
      </c>
      <c r="G8" s="4">
        <v>596</v>
      </c>
    </row>
    <row r="9" ht="60" customHeight="1">
      <c r="A9" s="4" t="str">
        <v>AOW01: Consumers and Food Environments</v>
      </c>
      <c r="B9" s="4" t="str">
        <v>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v>
      </c>
      <c r="C9" s="4" t="str">
        <v/>
      </c>
      <c r="D9" s="4" t="str">
        <v>Innovation Use</v>
      </c>
      <c r="E9" s="4" t="str">
        <v>Country: Bangladesh, Ethiopia, Honduras, The Socialist Republic of Viet Nam</v>
      </c>
      <c r="F9" s="5">
        <v>1</v>
      </c>
      <c r="G9" s="4">
        <v>597</v>
      </c>
    </row>
    <row r="10" ht="60" customHeight="1">
      <c r="A10" s="8" t="str">
        <v>AOW02: Market Systems</v>
      </c>
      <c r="B10" s="4" t="str">
        <v xml:space="preserve">Food traders and retailers adopt methods of differentiating food products by quality dimensions </v>
      </c>
      <c r="C10" s="4" t="str">
        <v/>
      </c>
      <c r="D10" s="4" t="str">
        <v>Innovation Use</v>
      </c>
      <c r="E10" s="4" t="str">
        <v>Country: Bangladesh, Nigeria, Uganda</v>
      </c>
      <c r="F10" s="5">
        <v>0</v>
      </c>
      <c r="G10" s="4">
        <v>598</v>
      </c>
    </row>
    <row r="11" ht="60" customHeight="1">
      <c r="A11" s="4" t="str">
        <v>AOW02: Market Systems</v>
      </c>
      <c r="B11" s="4" t="str">
        <v>Policymakers actors endorse evidence-based solutions to improve food safety</v>
      </c>
      <c r="C11" s="4" t="str">
        <v/>
      </c>
      <c r="D11" s="4" t="str">
        <v>Number of Policy (Policy Change)</v>
      </c>
      <c r="E11" s="4" t="str">
        <v>Country: Kenya</v>
      </c>
      <c r="F11" s="5">
        <v>0</v>
      </c>
      <c r="G11" s="4">
        <v>599</v>
      </c>
    </row>
    <row r="12" ht="60" customHeight="1">
      <c r="A12" s="4" t="str">
        <v>AOW02: Market Systems</v>
      </c>
      <c r="B12" s="4" t="str">
        <v>Food traders, processors, and retailers adopt effective components of bundled solutions to reduce transaction costs</v>
      </c>
      <c r="C12" s="4" t="str">
        <v/>
      </c>
      <c r="D12" s="4" t="str">
        <v>Innovation Use</v>
      </c>
      <c r="E12" s="4" t="str">
        <v>Country: Bangladesh, Nigeria, Uganda</v>
      </c>
      <c r="F12" s="5">
        <v>0</v>
      </c>
      <c r="G12" s="4">
        <v>600</v>
      </c>
    </row>
    <row r="13" ht="60" customHeight="1">
      <c r="A13" s="4" t="str">
        <v>AOW02: Market Systems</v>
      </c>
      <c r="B13" s="4" t="str">
        <v>Farm input dealers, food traders, processors, and/or retailers adopt solutions that offer increased access to agricultural finance ​</v>
      </c>
      <c r="C13" s="4" t="str">
        <v/>
      </c>
      <c r="D13" s="4" t="str">
        <v>Innovation Use</v>
      </c>
      <c r="E13" s="4" t="str">
        <v>Country: Bangladesh, Nigeria, Uganda</v>
      </c>
      <c r="F13" s="5">
        <v>30</v>
      </c>
      <c r="G13" s="4">
        <v>601</v>
      </c>
    </row>
    <row r="14" ht="60" customHeight="1">
      <c r="A14" s="4" t="str">
        <v>AOW02: Market Systems</v>
      </c>
      <c r="B14" s="4" t="str">
        <v>Government actors endorse evidence for their trade and health policy strategies that promote sustainable healthy diets​</v>
      </c>
      <c r="C14" s="4" t="str">
        <v/>
      </c>
      <c r="D14" s="4" t="str">
        <v>Number of Policy (Policy Change)</v>
      </c>
      <c r="E14" s="4" t="str">
        <v>Country: Benin, Ethiopia, India, Tanzania, United Republic</v>
      </c>
      <c r="F14" s="5">
        <v>2</v>
      </c>
      <c r="G14" s="4">
        <v>602</v>
      </c>
    </row>
    <row r="15" ht="60" customHeight="1">
      <c r="A15" s="4" t="str">
        <v>AOW02: Market Systems</v>
      </c>
      <c r="B15" s="4" t="str">
        <v>Farm input dealers, food traders, processors, and/or retailers grow their businesses, leading to availability and affordability of sustainable nutrition food and increased employment opportunities</v>
      </c>
      <c r="C15" s="4" t="str">
        <v/>
      </c>
      <c r="D15" s="4" t="str">
        <v xml:space="preserve"> % of targeted actors reporting increased revenues</v>
      </c>
      <c r="E15" s="4" t="str">
        <v>Country: Bangladesh, Nigeria, Uganda</v>
      </c>
      <c r="F15" s="5">
        <v>0</v>
      </c>
      <c r="G15" s="4">
        <v>603</v>
      </c>
    </row>
    <row r="16" ht="60" customHeight="1">
      <c r="A16" s="8" t="str">
        <v>AOW03: End-to-end Solutions</v>
      </c>
      <c r="B16" s="4" t="str">
        <v xml:space="preserve">Food systems actors (producers, traders, vendors, policy makers) adopt sustainable/profitable end-to-end solution approaches   </v>
      </c>
      <c r="C16" s="4" t="str">
        <v/>
      </c>
      <c r="D16" s="4" t="str">
        <v>Innovation Use</v>
      </c>
      <c r="E16" s="4" t="str">
        <v>Country: Benin, Philippines, Sri Lanka, Tanzania, United Republic, Uganda</v>
      </c>
      <c r="F16" s="5">
        <v>0</v>
      </c>
      <c r="G16" s="4">
        <v>587</v>
      </c>
    </row>
    <row r="17" ht="60" customHeight="1">
      <c r="A17" s="4" t="str">
        <v>AOW03: End-to-end Solutions</v>
      </c>
      <c r="B17" s="4" t="str">
        <v xml:space="preserve">Policymakers at national and sub-national levels prioritize fruits and vegetables aquatic foods, and other nutrient-dense foods​ </v>
      </c>
      <c r="C17" s="4" t="str">
        <v/>
      </c>
      <c r="D17" s="4" t="str">
        <v>Number of Policy (Policy Change)</v>
      </c>
      <c r="E17" s="4" t="str">
        <v>Country: Benin, Philippines, Sri Lanka, Tanzania, United Republic, Uganda</v>
      </c>
      <c r="F17" s="5">
        <v>2</v>
      </c>
      <c r="G17" s="4">
        <v>588</v>
      </c>
    </row>
    <row r="18" ht="60" customHeight="1">
      <c r="A18" s="4" t="str">
        <v>AOW03: End-to-end Solutions</v>
      </c>
      <c r="B18" s="4" t="str">
        <v xml:space="preserve">Consumers in the implementation sites in the target countries consume fruit and vegetables, aquatic and terrestrial animal sources </v>
      </c>
      <c r="C18" s="4" t="str">
        <v/>
      </c>
      <c r="D18" s="4" t="str">
        <v>Innovation Use</v>
      </c>
      <c r="E18" s="4" t="str">
        <v>Country: Benin, Philippines, Sri Lanka, Tanzania, United Republic, Uganda</v>
      </c>
      <c r="F18" s="5">
        <v>0</v>
      </c>
      <c r="G18" s="4">
        <v>589</v>
      </c>
    </row>
    <row r="19" ht="60" customHeight="1">
      <c r="A19" s="4" t="str">
        <v>AOW03: End-to-end Solutions</v>
      </c>
      <c r="B19" s="4" t="str">
        <v xml:space="preserve">Consumers substitute nutrient-poor foods with nutrient-dense foods improving diet quality </v>
      </c>
      <c r="C19" s="4" t="str">
        <v/>
      </c>
      <c r="D19" s="4" t="str">
        <v>Innovation Use</v>
      </c>
      <c r="E19" s="4" t="str">
        <v>Country: Benin, Philippines, Sri Lanka, Tanzania, United Republic, Uganda</v>
      </c>
      <c r="F19" s="5">
        <v>20</v>
      </c>
      <c r="G19" s="4">
        <v>590</v>
      </c>
    </row>
    <row r="20" ht="60" customHeight="1">
      <c r="A20" s="4" t="str">
        <v>AOW03: End-to-end Solutions</v>
      </c>
      <c r="B20" s="4" t="str">
        <v>Aquatic food, fruits and vegetables producers adopt solutions that increase production</v>
      </c>
      <c r="C20" s="4" t="str">
        <v/>
      </c>
      <c r="D20" s="4" t="str">
        <v>Innovation Use</v>
      </c>
      <c r="E20" s="4" t="str">
        <v>Country: Benin, Philippines, Sri Lanka, Tanzania, United Republic, Uganda</v>
      </c>
      <c r="F20" s="5">
        <v>0</v>
      </c>
      <c r="G20" s="4">
        <v>591</v>
      </c>
    </row>
    <row r="21" ht="60" customHeight="1">
      <c r="A21" s="4" t="str">
        <v>AOW03: End-to-end Solutions</v>
      </c>
      <c r="B21" s="4" t="str">
        <v>Consumers purchases of fruit and vegetable, aquatic and terrestrial animal source foods</v>
      </c>
      <c r="C21" s="4" t="str">
        <v/>
      </c>
      <c r="D21" s="4" t="str">
        <v>Innovation Use</v>
      </c>
      <c r="E21" s="4" t="str">
        <v>Country: Benin, Philippines, Sri Lanka, Tanzania, United Republic, Uganda</v>
      </c>
      <c r="F21" s="5">
        <v>0</v>
      </c>
      <c r="G21" s="4">
        <v>592</v>
      </c>
    </row>
    <row r="22" ht="60" customHeight="1">
      <c r="A22" s="8" t="str">
        <v>AOW04: Biofortified and Health-enhancing Staples</v>
      </c>
      <c r="B22" s="4" t="str">
        <v xml:space="preserve">Policymakers implement protocols to measure quality assurance, and monitor nutritional content and product quality for biofortified and health-enhancing crops into existing protocols </v>
      </c>
      <c r="C22" s="4" t="str">
        <v/>
      </c>
      <c r="D22" s="4" t="str">
        <v>Number of Policy (Policy Change)</v>
      </c>
      <c r="E22" s="4" t="str">
        <v>Country: Bangladesh, Ethiopia, Guatemala, India, Kenya, Malawi, Nigeria, Philippines, Uganda</v>
      </c>
      <c r="F22" s="5">
        <v>0</v>
      </c>
      <c r="G22" s="4">
        <v>581</v>
      </c>
    </row>
    <row r="23" ht="60" customHeight="1">
      <c r="A23" s="4" t="str">
        <v>AOW04: Biofortified and Health-enhancing Staples</v>
      </c>
      <c r="B23" s="4" t="str">
        <v xml:space="preserve">Policymakers integrate biofortified and health-enhancing crops into national policies  </v>
      </c>
      <c r="C23" s="4" t="str">
        <v/>
      </c>
      <c r="D23" s="4" t="str">
        <v>Innovation Use</v>
      </c>
      <c r="E23" s="4" t="str">
        <v>Country: Bangladesh, Ethiopia, Guatemala, India, Kenya, Malawi, Nigeria, Philippines, Uganda</v>
      </c>
      <c r="F23" s="5">
        <v>1</v>
      </c>
      <c r="G23" s="4">
        <v>582</v>
      </c>
    </row>
    <row r="24" ht="60" customHeight="1">
      <c r="A24" s="4" t="str">
        <v>AOW04: Biofortified and Health-enhancing Staples</v>
      </c>
      <c r="B24" s="4" t="str">
        <v>Traders and vendors include biofortified and health-enhancing crops, raw materials or products derived from biofortified or health-enhancing crops in their inventories</v>
      </c>
      <c r="C24" s="4" t="str">
        <v/>
      </c>
      <c r="D24" s="4" t="str">
        <v>Innovation Use</v>
      </c>
      <c r="E24" s="4" t="str">
        <v>Country: Bangladesh, Ethiopia, Guatemala, India, Kenya, Malawi, Nigeria, Philippines, Uganda</v>
      </c>
      <c r="F24" s="5">
        <v>20</v>
      </c>
      <c r="G24" s="4">
        <v>583</v>
      </c>
    </row>
    <row r="25" ht="60" customHeight="1">
      <c r="A25" s="4" t="str">
        <v>AOW04: Biofortified and Health-enhancing Staples</v>
      </c>
      <c r="B25" s="4" t="str">
        <v>Processors use biofortified and health-enhancing crops as raw materials or ingredients for commercial products</v>
      </c>
      <c r="C25" s="4" t="str">
        <v/>
      </c>
      <c r="D25" s="4" t="str">
        <v>Innovation Use</v>
      </c>
      <c r="E25" s="4" t="str">
        <v>Country: Bangladesh, Ethiopia, Guatemala, India, Kenya, Malawi, Nigeria, Philippines, Uganda</v>
      </c>
      <c r="F25" s="5">
        <v>20</v>
      </c>
      <c r="G25" s="4">
        <v>584</v>
      </c>
    </row>
    <row r="26" ht="60" customHeight="1">
      <c r="A26" s="4" t="str">
        <v>AOW04: Biofortified and Health-enhancing Staples</v>
      </c>
      <c r="B26" s="4" t="str">
        <v>Producers and processors adopt and scale biofortified and health-enhancing crops</v>
      </c>
      <c r="C26" s="4" t="str">
        <v/>
      </c>
      <c r="D26" s="4" t="str">
        <v>Innovation Use</v>
      </c>
      <c r="E26" s="4" t="str">
        <v>Country: Bangladesh, Ethiopia, Guatemala, India, Kenya, Malawi, Nigeria, Philippines, Uganda</v>
      </c>
      <c r="F26" s="5">
        <v>20</v>
      </c>
      <c r="G26" s="4">
        <v>585</v>
      </c>
    </row>
    <row r="27" ht="60" customHeight="1">
      <c r="A27" s="4" t="str">
        <v>AOW04: Biofortified and Health-enhancing Staples</v>
      </c>
      <c r="B27" s="4" t="str">
        <v>CGIAR-NARS product design researchers include traits for biofortified and health-enhancing crops for incorporation into breeding programs</v>
      </c>
      <c r="C27" s="4" t="str">
        <v/>
      </c>
      <c r="D27" s="4" t="str">
        <v>Innovation Use</v>
      </c>
      <c r="E27" s="4" t="str">
        <v>Global</v>
      </c>
      <c r="F27" s="5">
        <v>10</v>
      </c>
      <c r="G27" s="4">
        <v>586</v>
      </c>
    </row>
    <row r="28" ht="60" customHeight="1">
      <c r="A28" s="4" t="str">
        <v>AOW05: Multisectoral systems</v>
      </c>
      <c r="B28" s="4" t="str">
        <v>Government and non-government organizations in diverse sectors integrate evidence on strategies to address determinants of poor diets into policies and programs​</v>
      </c>
      <c r="C28" s="4" t="str">
        <v/>
      </c>
      <c r="D28" s="4" t="str">
        <v>Number of Policy (Policy Change)</v>
      </c>
      <c r="E28" s="4" t="str">
        <v>Country: Bangladesh, Ethiopia, Honduras, The Socialist Republic of Viet Nam</v>
      </c>
      <c r="F28" s="5">
        <v>0</v>
      </c>
      <c r="G28" s="4">
        <v>580</v>
      </c>
    </row>
    <row r="29" ht="60" customHeight="1">
      <c r="A29" s="8" t="str">
        <v>AOW06: Transformative leadership</v>
      </c>
      <c r="B29" s="4" t="str">
        <v>Global multilateral governance platforms (e.g., COP processes under climate and biodiversity conventions) incorporate systems thinking on diets and nutrition into convergence agendas</v>
      </c>
      <c r="C29" s="4" t="str">
        <v/>
      </c>
      <c r="D29" s="4" t="str">
        <v>Number of official policy statements</v>
      </c>
      <c r="E29" s="4" t="str">
        <v>Global</v>
      </c>
      <c r="F29" s="5">
        <v>2</v>
      </c>
      <c r="G29" s="4">
        <v>574</v>
      </c>
    </row>
    <row r="30" ht="60" customHeight="1">
      <c r="A30" s="4" t="str">
        <v>AOW06: Transformative leadership</v>
      </c>
      <c r="B30" s="4" t="str">
        <v>CGIAR Research Programs and Accelerators apply diet-centred aproaches to foster nutrition sensitive agricultural principles for better diets and nutrition</v>
      </c>
      <c r="C30" s="4" t="str">
        <v/>
      </c>
      <c r="D30" s="4" t="str">
        <v>Innovation Use</v>
      </c>
      <c r="E30" s="4" t="str">
        <v>Global</v>
      </c>
      <c r="F30" s="5">
        <v>2</v>
      </c>
      <c r="G30" s="4">
        <v>575</v>
      </c>
    </row>
    <row r="31" ht="60" customHeight="1">
      <c r="A31" s="4" t="str">
        <v>AOW06: Transformative leadership</v>
      </c>
      <c r="B31" s="4" t="str">
        <v xml:space="preserve">International and regional stakeholder coalitions/platforms (UN, networks like SUN, CAADP, ASEAN etc), and CGIAR SP/A build a shared food systems transformation agenda that maximizes shared benefits and minimizes tradeoffs on diet and nutrition impacts </v>
      </c>
      <c r="C31" s="4" t="str">
        <v/>
      </c>
      <c r="D31" s="4" t="str">
        <v>Number of multi-stakeholder platforms taking system-related decisions or making recommendations based on CGIAR technical support.</v>
      </c>
      <c r="E31" s="4" t="str">
        <v>Region: Africa, Asia, Latin America and the Caribbean</v>
      </c>
      <c r="F31" s="5">
        <v>1</v>
      </c>
      <c r="G31" s="4">
        <v>577</v>
      </c>
    </row>
    <row r="32" ht="60" customHeight="1">
      <c r="A32" s="4" t="str">
        <v>AOW06: Transformative leadership</v>
      </c>
      <c r="B32" s="4" t="str">
        <v>National ​government and NGO use evidence in regional and international discussions on  FST pathways to increase coherence in and across countries to support better diets and nutrition</v>
      </c>
      <c r="C32" s="4" t="str">
        <v/>
      </c>
      <c r="D32" s="4" t="str">
        <v>Number of Policy (Policy Change)</v>
      </c>
      <c r="E32" s="4" t="str">
        <v>Country: Cambodia, Lao People's Democratic Republic, Philippines</v>
      </c>
      <c r="F32" s="5">
        <v>1</v>
      </c>
      <c r="G32" s="4">
        <v>579</v>
      </c>
    </row>
  </sheetData>
  <mergeCells count="8">
    <mergeCell ref="B3:B4"/>
    <mergeCell ref="C3:C4"/>
    <mergeCell ref="A2:A5"/>
    <mergeCell ref="A6:A9"/>
    <mergeCell ref="A10:A15"/>
    <mergeCell ref="A16:A21"/>
    <mergeCell ref="A22:A27"/>
    <mergeCell ref="A29:A32"/>
  </mergeCells>
  <ignoredErrors>
    <ignoredError numberStoredAsText="1" sqref="A1:G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