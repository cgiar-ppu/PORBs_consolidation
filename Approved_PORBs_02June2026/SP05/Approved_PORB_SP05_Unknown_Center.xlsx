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152532</v>
      </c>
      <c r="K4" s="5">
        <v>152532</v>
      </c>
      <c r="L4" s="5">
        <v>0</v>
      </c>
      <c r="M4" s="5">
        <v>0</v>
      </c>
      <c r="N4" s="4">
        <v>189</v>
      </c>
    </row>
    <row r="5" ht="20" customHeight="1">
      <c r="A5" s="4" t="str">
        <v>AOW01: Consumers and Food Environments</v>
      </c>
      <c r="B5" s="5">
        <v>0</v>
      </c>
      <c r="C5" s="5">
        <v>0</v>
      </c>
      <c r="D5" s="5">
        <v>0</v>
      </c>
      <c r="E5" s="5">
        <v>0</v>
      </c>
      <c r="F5" s="5">
        <v>0</v>
      </c>
      <c r="G5" s="5">
        <v>0</v>
      </c>
      <c r="H5" s="5">
        <v>0</v>
      </c>
      <c r="I5" s="5">
        <v>0</v>
      </c>
      <c r="J5" s="5">
        <v>0</v>
      </c>
      <c r="K5" s="5">
        <v>0</v>
      </c>
      <c r="L5" s="5">
        <v>0</v>
      </c>
      <c r="M5" s="5">
        <v>0</v>
      </c>
      <c r="N5" s="4">
        <v>188</v>
      </c>
    </row>
    <row r="6" ht="20" customHeight="1">
      <c r="A6" s="4" t="str">
        <v>AOW02: Market Systems</v>
      </c>
      <c r="B6" s="5">
        <v>0</v>
      </c>
      <c r="C6" s="5">
        <v>0</v>
      </c>
      <c r="D6" s="5">
        <v>1</v>
      </c>
      <c r="E6" s="5">
        <v>59564</v>
      </c>
      <c r="F6" s="5">
        <v>0</v>
      </c>
      <c r="G6" s="5">
        <v>0</v>
      </c>
      <c r="H6" s="5">
        <v>0</v>
      </c>
      <c r="I6" s="5">
        <v>0</v>
      </c>
      <c r="J6" s="5">
        <v>59564</v>
      </c>
      <c r="K6" s="5">
        <v>59564</v>
      </c>
      <c r="L6" s="5">
        <v>0</v>
      </c>
      <c r="M6" s="5">
        <v>0</v>
      </c>
      <c r="N6" s="4">
        <v>184</v>
      </c>
    </row>
    <row r="7" ht="20" customHeight="1">
      <c r="A7" s="4" t="str">
        <v>AOW03: End-to-end Solutions</v>
      </c>
      <c r="B7" s="5">
        <v>0</v>
      </c>
      <c r="C7" s="5">
        <v>0</v>
      </c>
      <c r="D7" s="5">
        <v>0</v>
      </c>
      <c r="E7" s="5">
        <v>0</v>
      </c>
      <c r="F7" s="5">
        <v>0</v>
      </c>
      <c r="G7" s="5">
        <v>0</v>
      </c>
      <c r="H7" s="5">
        <v>0</v>
      </c>
      <c r="I7" s="5">
        <v>0</v>
      </c>
      <c r="J7" s="5">
        <v>0</v>
      </c>
      <c r="K7" s="5">
        <v>0</v>
      </c>
      <c r="L7" s="5">
        <v>0</v>
      </c>
      <c r="M7" s="5">
        <v>0</v>
      </c>
      <c r="N7" s="4">
        <v>186</v>
      </c>
    </row>
    <row r="8" ht="20" customHeight="1">
      <c r="A8" s="4" t="str">
        <v>AOW04: Biofortified and Health-enhancing Staples</v>
      </c>
      <c r="B8" s="5">
        <v>0</v>
      </c>
      <c r="C8" s="5">
        <v>0</v>
      </c>
      <c r="D8" s="5">
        <v>0</v>
      </c>
      <c r="E8" s="5">
        <v>0</v>
      </c>
      <c r="F8" s="5">
        <v>0</v>
      </c>
      <c r="G8" s="5">
        <v>0</v>
      </c>
      <c r="H8" s="5">
        <v>0</v>
      </c>
      <c r="I8" s="5">
        <v>0</v>
      </c>
      <c r="J8" s="5">
        <v>0</v>
      </c>
      <c r="K8" s="5">
        <v>0</v>
      </c>
      <c r="L8" s="5">
        <v>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0</v>
      </c>
      <c r="E10" s="5">
        <v>0</v>
      </c>
      <c r="F10" s="5">
        <v>0</v>
      </c>
      <c r="G10" s="5">
        <v>0</v>
      </c>
      <c r="H10" s="5">
        <v>0</v>
      </c>
      <c r="I10" s="5">
        <v>0</v>
      </c>
      <c r="J10" s="5">
        <v>0</v>
      </c>
      <c r="K10" s="5">
        <v>0</v>
      </c>
      <c r="L10" s="5">
        <v>0</v>
      </c>
      <c r="M10" s="5">
        <v>0</v>
      </c>
      <c r="N10" s="4">
        <v>185</v>
      </c>
    </row>
    <row r="11" ht="25" customHeight="1">
      <c r="A11" s="6" t="str">
        <v>Total</v>
      </c>
      <c r="B11" s="7" t="str">
        <v/>
      </c>
      <c r="C11" s="7">
        <v>0</v>
      </c>
      <c r="D11" s="7" t="str">
        <v/>
      </c>
      <c r="E11" s="7">
        <v>59564</v>
      </c>
      <c r="F11" s="7" t="str">
        <v/>
      </c>
      <c r="G11" s="7">
        <v>0</v>
      </c>
      <c r="H11" s="7" t="str">
        <v/>
      </c>
      <c r="I11" s="7">
        <v>0</v>
      </c>
      <c r="J11" s="7">
        <v>212096</v>
      </c>
      <c r="K11" s="7">
        <v>212096</v>
      </c>
      <c r="L11" s="7">
        <v>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Market Systems</v>
      </c>
      <c r="B3" s="4" t="str">
        <v>Unknown Center</v>
      </c>
      <c r="C3" s="4" t="str">
        <v>Tested solutions to increase access to finance to farm input dealers, food traders, processors, and/or retailers to increase growth in market systems for healthy foods</v>
      </c>
      <c r="D3" s="4" t="str">
        <v>Report documenting demand for financial products among traders/wholesalers.17</v>
      </c>
      <c r="E3" s="4" t="str">
        <v>Number of knowledge products</v>
      </c>
      <c r="F3" s="4" t="str">
        <v>United States of America, Ethiopia, Bangladesh</v>
      </c>
      <c r="G3" s="5">
        <v>1</v>
      </c>
      <c r="H3" s="5">
        <v>59564</v>
      </c>
      <c r="I3" s="4" t="str">
        <v>Estimated costs for time of interdisciplinary teams of researchers and local partners, data collection costs</v>
      </c>
      <c r="J3" s="4">
        <v>7988</v>
      </c>
    </row>
    <row r="4" ht="25" customHeight="1">
      <c r="C4" s="9" t="str">
        <v>HLO budget subtotal</v>
      </c>
      <c r="H4" s="9">
        <v>59564</v>
      </c>
      <c r="J4" s="9" t="str">
        <v/>
      </c>
    </row>
  </sheetData>
  <mergeCells count="8">
    <mergeCell ref="A1:A2"/>
    <mergeCell ref="B1:B2"/>
    <mergeCell ref="C1:C2"/>
    <mergeCell ref="D1:H1"/>
    <mergeCell ref="I1:I2"/>
    <mergeCell ref="J1:J2"/>
    <mergeCell ref="C4:G4"/>
    <mergeCell ref="A3:A4"/>
  </mergeCells>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Unknown Center</v>
      </c>
      <c r="C2" s="4" t="str">
        <v>Operations</v>
      </c>
      <c r="D2" s="5">
        <v>0</v>
      </c>
      <c r="E2" s="4" t="str">
        <v/>
      </c>
      <c r="F2" s="4">
        <v>13</v>
      </c>
      <c r="G2" s="4">
        <v>4</v>
      </c>
    </row>
    <row r="3" ht="45" customHeight="1" xml:space="preserve">
      <c r="A3" s="4" t="str">
        <v>AOW00: Cross Cutting</v>
      </c>
      <c r="B3" s="4" t="str">
        <v>Unknown Center</v>
      </c>
      <c r="C3" s="4" t="str">
        <v>Discretionary funds</v>
      </c>
      <c r="D3" s="5">
        <v>152532</v>
      </c>
      <c r="E3" s="4" t="str" xml:space="preserve">
        <v xml:space="preserve">Planned for cross-AoW communications-related activities; Center to be determined. Co‑hosting of the Micronutrient Forum;
Consultancy services focused on Climate and Nutrition; and
Consultancy on Gender in Food Systems Transformation.
</v>
      </c>
      <c r="F3" s="4">
        <v>14</v>
      </c>
      <c r="G3" s="4">
        <v>7</v>
      </c>
    </row>
    <row r="4" ht="25" customHeight="1">
      <c r="C4" s="9" t="str">
        <v>Cross-cutting budget subtotal</v>
      </c>
      <c r="D4" s="9">
        <v>152532</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I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Operations (supplies, consultants, travels, workshops, other)</v>
      </c>
      <c r="B2" s="5">
        <v>152532</v>
      </c>
      <c r="C2" s="5">
        <v>0</v>
      </c>
      <c r="D2" s="5">
        <v>59564</v>
      </c>
      <c r="E2" s="5">
        <v>0</v>
      </c>
      <c r="F2" s="5">
        <v>0</v>
      </c>
      <c r="G2" s="5">
        <v>0</v>
      </c>
      <c r="H2" s="5">
        <v>0</v>
      </c>
      <c r="I2" s="5">
        <f>=SUM(B2:H2)</f>
        <v>0</v>
      </c>
    </row>
    <row r="3" ht="20" customHeight="1">
      <c r="A3" s="6" t="str">
        <v>Subtotal</v>
      </c>
      <c r="B3" s="7">
        <f>=SUM(B2:B2)</f>
        <v>0</v>
      </c>
      <c r="C3" s="7">
        <f>=SUM(C2:C2)</f>
        <v>0</v>
      </c>
      <c r="D3" s="7">
        <f>=SUM(D2:D2)</f>
        <v>0</v>
      </c>
      <c r="E3" s="7">
        <f>=SUM(E2:E2)</f>
        <v>0</v>
      </c>
      <c r="F3" s="7">
        <f>=SUM(F2:F2)</f>
        <v>0</v>
      </c>
      <c r="G3" s="7">
        <f>=SUM(G2:G2)</f>
        <v>0</v>
      </c>
      <c r="H3" s="7">
        <f>=SUM(H2:H2)</f>
        <v>0</v>
      </c>
      <c r="I3" s="7">
        <f>=SUM(I2:I2)</f>
        <v>0</v>
      </c>
    </row>
  </sheetData>
  <ignoredErrors>
    <ignoredError numberStoredAsText="1" sqref="A1:I3"/>
  </ignoredErrors>
</worksheet>
</file>

<file path=xl/worksheets/sheet8.xml><?xml version="1.0" encoding="utf-8"?>
<worksheet xmlns="http://schemas.openxmlformats.org/spreadsheetml/2006/main" xmlns:r="http://schemas.openxmlformats.org/officeDocument/2006/relationships">
  <dimension ref="A1:E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Unknown Center</v>
      </c>
      <c r="C2" s="4" t="str">
        <v>Kenya</v>
      </c>
      <c r="D2" s="5">
        <v>100</v>
      </c>
      <c r="E2" s="4">
        <v>67</v>
      </c>
    </row>
  </sheetData>
  <mergeCells count="1">
    <mergeCell ref="A2"/>
  </mergeCells>
  <ignoredErrors>
    <ignoredError numberStoredAsText="1" sqref="A1:E2"/>
  </ignoredErrors>
</worksheet>
</file>

<file path=xl/worksheets/sheet9.xml><?xml version="1.0" encoding="utf-8"?>
<worksheet xmlns="http://schemas.openxmlformats.org/spreadsheetml/2006/main" xmlns:r="http://schemas.openxmlformats.org/officeDocument/2006/relationships">
  <dimension ref="A1:F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Unknown Center</v>
      </c>
      <c r="C2" s="4" t="str">
        <v>Bangladesh</v>
      </c>
      <c r="D2" s="4" t="str">
        <v>country</v>
      </c>
      <c r="E2" s="5">
        <v>16.67</v>
      </c>
      <c r="F2" s="4">
        <v>43</v>
      </c>
    </row>
    <row r="3" ht="45" customHeight="1">
      <c r="A3" s="4" t="str">
        <v>AOW00: Cross Cutting</v>
      </c>
      <c r="B3" s="4" t="str">
        <v>Unknown Center</v>
      </c>
      <c r="C3" s="4" t="str">
        <v>Ethiopia</v>
      </c>
      <c r="D3" s="4" t="str">
        <v>country</v>
      </c>
      <c r="E3" s="5">
        <v>16.67</v>
      </c>
      <c r="F3" s="4">
        <v>44</v>
      </c>
    </row>
    <row r="4" ht="45" customHeight="1">
      <c r="A4" s="4" t="str">
        <v>AOW00: Cross Cutting</v>
      </c>
      <c r="B4" s="4" t="str">
        <v>Unknown Center</v>
      </c>
      <c r="C4" s="4" t="str">
        <v>Honduras</v>
      </c>
      <c r="D4" s="4" t="str">
        <v>country</v>
      </c>
      <c r="E4" s="5">
        <v>16.67</v>
      </c>
      <c r="F4" s="4">
        <v>45</v>
      </c>
    </row>
    <row r="5" ht="45" customHeight="1">
      <c r="A5" s="4" t="str">
        <v>AOW00: Cross Cutting</v>
      </c>
      <c r="B5" s="4" t="str">
        <v>Unknown Center</v>
      </c>
      <c r="C5" s="4" t="str">
        <v>Kenya</v>
      </c>
      <c r="D5" s="4" t="str">
        <v>country</v>
      </c>
      <c r="E5" s="5">
        <v>0</v>
      </c>
      <c r="F5" s="4">
        <v>46</v>
      </c>
    </row>
    <row r="6" ht="45" customHeight="1">
      <c r="A6" s="4" t="str">
        <v>AOW00: Cross Cutting</v>
      </c>
      <c r="B6" s="4" t="str">
        <v>Unknown Center</v>
      </c>
      <c r="C6" s="4" t="str">
        <v>Philippines</v>
      </c>
      <c r="D6" s="4" t="str">
        <v>country</v>
      </c>
      <c r="E6" s="5">
        <v>16.66</v>
      </c>
      <c r="F6" s="4">
        <v>47</v>
      </c>
    </row>
    <row r="7" ht="45" customHeight="1">
      <c r="A7" s="4" t="str">
        <v>AOW00: Cross Cutting</v>
      </c>
      <c r="B7" s="4" t="str">
        <v>Unknown Center</v>
      </c>
      <c r="C7" s="4" t="str">
        <v>Tanzania</v>
      </c>
      <c r="D7" s="4" t="str">
        <v>country</v>
      </c>
      <c r="E7" s="5">
        <v>16.67</v>
      </c>
      <c r="F7" s="4">
        <v>49</v>
      </c>
    </row>
    <row r="8" ht="45" customHeight="1">
      <c r="A8" s="4" t="str">
        <v>AOW00: Cross Cutting</v>
      </c>
      <c r="B8" s="4" t="str">
        <v>Unknown Center</v>
      </c>
      <c r="C8" s="4" t="str">
        <v>The Socialist Republic of Viet Nam</v>
      </c>
      <c r="D8" s="4" t="str">
        <v>country</v>
      </c>
      <c r="E8" s="5">
        <v>16.66</v>
      </c>
      <c r="F8" s="4">
        <v>48</v>
      </c>
    </row>
    <row r="9" ht="45" customHeight="1">
      <c r="A9" s="8" t="str">
        <v>AOW03: End-to-end Solutions</v>
      </c>
      <c r="B9" s="4" t="str">
        <v>Unknown Center</v>
      </c>
      <c r="C9" s="4" t="str">
        <v>Global</v>
      </c>
      <c r="D9" s="4" t="str">
        <v>global</v>
      </c>
      <c r="E9" s="5">
        <v>100</v>
      </c>
      <c r="F9" s="4">
        <v>719</v>
      </c>
    </row>
  </sheetData>
  <mergeCells count="2">
    <mergeCell ref="A2:A8"/>
    <mergeCell ref="A9"/>
  </mergeCells>
  <ignoredErrors>
    <ignoredError numberStoredAsText="1" sqref="A1:F9"/>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