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189</v>
      </c>
    </row>
    <row r="5" ht="20" customHeight="1">
      <c r="A5" s="4" t="str">
        <v>AOW01: Consumers and Food Environments</v>
      </c>
      <c r="B5" s="5">
        <v>0</v>
      </c>
      <c r="C5" s="5">
        <v>0</v>
      </c>
      <c r="D5" s="5">
        <v>3</v>
      </c>
      <c r="E5" s="5">
        <v>100000</v>
      </c>
      <c r="F5" s="5">
        <v>0</v>
      </c>
      <c r="G5" s="5">
        <v>0</v>
      </c>
      <c r="H5" s="5">
        <v>0</v>
      </c>
      <c r="I5" s="5">
        <v>0</v>
      </c>
      <c r="J5" s="5">
        <v>100000</v>
      </c>
      <c r="K5" s="5">
        <v>100000</v>
      </c>
      <c r="L5" s="5">
        <v>10000</v>
      </c>
      <c r="M5" s="5">
        <v>0</v>
      </c>
      <c r="N5" s="4">
        <v>188</v>
      </c>
    </row>
    <row r="6" ht="20" customHeight="1">
      <c r="A6" s="4" t="str">
        <v>AOW02: Market Systems</v>
      </c>
      <c r="B6" s="5">
        <v>0</v>
      </c>
      <c r="C6" s="5">
        <v>0</v>
      </c>
      <c r="D6" s="5">
        <v>1</v>
      </c>
      <c r="E6" s="5">
        <v>40000</v>
      </c>
      <c r="F6" s="5">
        <v>0</v>
      </c>
      <c r="G6" s="5">
        <v>0</v>
      </c>
      <c r="H6" s="5">
        <v>0</v>
      </c>
      <c r="I6" s="5">
        <v>0</v>
      </c>
      <c r="J6" s="5">
        <v>40000</v>
      </c>
      <c r="K6" s="5">
        <v>40000</v>
      </c>
      <c r="L6" s="5">
        <v>0</v>
      </c>
      <c r="M6" s="5">
        <v>0</v>
      </c>
      <c r="N6" s="4">
        <v>184</v>
      </c>
    </row>
    <row r="7" ht="20" customHeight="1">
      <c r="A7" s="4" t="str">
        <v>AOW03: End-to-end Solutions</v>
      </c>
      <c r="B7" s="5">
        <v>0</v>
      </c>
      <c r="C7" s="5">
        <v>0</v>
      </c>
      <c r="D7" s="5">
        <v>0</v>
      </c>
      <c r="E7" s="5">
        <v>0</v>
      </c>
      <c r="F7" s="5">
        <v>0</v>
      </c>
      <c r="G7" s="5">
        <v>0</v>
      </c>
      <c r="H7" s="5">
        <v>0</v>
      </c>
      <c r="I7" s="5">
        <v>0</v>
      </c>
      <c r="J7" s="5">
        <v>0</v>
      </c>
      <c r="K7" s="5">
        <v>0</v>
      </c>
      <c r="L7" s="5">
        <v>0</v>
      </c>
      <c r="M7" s="5">
        <v>0</v>
      </c>
      <c r="N7" s="4">
        <v>186</v>
      </c>
    </row>
    <row r="8" ht="20" customHeight="1">
      <c r="A8" s="4" t="str">
        <v>AOW04: Biofortified and Health-enhancing Staples</v>
      </c>
      <c r="B8" s="5">
        <v>0</v>
      </c>
      <c r="C8" s="5">
        <v>0</v>
      </c>
      <c r="D8" s="5">
        <v>8</v>
      </c>
      <c r="E8" s="5">
        <v>404053</v>
      </c>
      <c r="F8" s="5">
        <v>0</v>
      </c>
      <c r="G8" s="5">
        <v>0</v>
      </c>
      <c r="H8" s="5">
        <v>0</v>
      </c>
      <c r="I8" s="5">
        <v>0</v>
      </c>
      <c r="J8" s="5">
        <v>404053</v>
      </c>
      <c r="K8" s="5">
        <v>404053</v>
      </c>
      <c r="L8" s="5">
        <v>10000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0</v>
      </c>
      <c r="E10" s="5">
        <v>0</v>
      </c>
      <c r="F10" s="5">
        <v>0</v>
      </c>
      <c r="G10" s="5">
        <v>0</v>
      </c>
      <c r="H10" s="5">
        <v>0</v>
      </c>
      <c r="I10" s="5">
        <v>0</v>
      </c>
      <c r="J10" s="5">
        <v>0</v>
      </c>
      <c r="K10" s="5">
        <v>0</v>
      </c>
      <c r="L10" s="5">
        <v>0</v>
      </c>
      <c r="M10" s="5">
        <v>0</v>
      </c>
      <c r="N10" s="4">
        <v>185</v>
      </c>
    </row>
    <row r="11" ht="25" customHeight="1">
      <c r="A11" s="6" t="str">
        <v>Total</v>
      </c>
      <c r="B11" s="7" t="str">
        <v/>
      </c>
      <c r="C11" s="7">
        <v>0</v>
      </c>
      <c r="D11" s="7" t="str">
        <v/>
      </c>
      <c r="E11" s="7">
        <v>544053</v>
      </c>
      <c r="F11" s="7" t="str">
        <v/>
      </c>
      <c r="G11" s="7">
        <v>0</v>
      </c>
      <c r="H11" s="7" t="str">
        <v/>
      </c>
      <c r="I11" s="7">
        <v>0</v>
      </c>
      <c r="J11" s="7">
        <v>544053</v>
      </c>
      <c r="K11" s="7">
        <v>544053</v>
      </c>
      <c r="L11" s="7">
        <v>20000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1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Consumers and Food Environments</v>
      </c>
      <c r="B3" s="4" t="str">
        <v>IRRI</v>
      </c>
      <c r="C3" s="4" t="str">
        <v>Suite of solutions focused on consumers that promote consumption of sustainable heathy diets co-developed, tested, and scaled with technical support and country engagement</v>
      </c>
      <c r="D3" s="4" t="str">
        <v>Published results from the study on cultural drivers of food choice in Bangladesh</v>
      </c>
      <c r="E3" s="4" t="str">
        <v>Number of knowledge products</v>
      </c>
      <c r="F3" s="4" t="str">
        <v>India, Philippines, Bangladesh</v>
      </c>
      <c r="G3" s="5">
        <v>3</v>
      </c>
      <c r="H3" s="5">
        <v>100000</v>
      </c>
      <c r="I3" s="4" t="str">
        <v>Estimated costs for time of interdisciplinary teams of researchers and local partners, data collection costs</v>
      </c>
      <c r="J3" s="4">
        <v>8050</v>
      </c>
    </row>
    <row r="4" ht="25" customHeight="1">
      <c r="C4" s="9" t="str">
        <v>HLO budget subtotal</v>
      </c>
      <c r="H4" s="9">
        <v>100000</v>
      </c>
      <c r="J4" s="9" t="str">
        <v/>
      </c>
    </row>
    <row r="5" ht="50" customHeight="1">
      <c r="A5" s="8" t="str">
        <v>AOW02: Market Systems</v>
      </c>
      <c r="B5" s="4" t="str">
        <v>IRRI</v>
      </c>
      <c r="C5" s="4" t="str">
        <v>Policy options and engagement that support domestic food and trade policies that promote sustainable healthy diets, and in particular, limit the growing supply and consumption of ultra-processed foods</v>
      </c>
      <c r="D5" s="4" t="str">
        <v>Set of briefs on projected changes to demand for nutrient dense foods resulting from value chain changes from war in Iran.20</v>
      </c>
      <c r="E5" s="4" t="str">
        <v>Number of knowledge products</v>
      </c>
      <c r="F5" s="4" t="str">
        <v>Bangladesh, The Socialist Republic of Viet Nam, Tanzania, United Republic, Ethiopia, Honduras, United States of America, Philippines</v>
      </c>
      <c r="G5" s="5">
        <v>1</v>
      </c>
      <c r="H5" s="5">
        <v>40000</v>
      </c>
      <c r="I5" s="4" t="str">
        <v>Personnel costs based on standard organizational salary scales.</v>
      </c>
      <c r="J5" s="4">
        <v>7990</v>
      </c>
    </row>
    <row r="6" ht="25" customHeight="1">
      <c r="C6" s="9" t="str">
        <v>HLO budget subtotal</v>
      </c>
      <c r="H6" s="9">
        <v>40000</v>
      </c>
      <c r="J6" s="9" t="str">
        <v/>
      </c>
    </row>
    <row r="7" ht="50" customHeight="1">
      <c r="A7" s="8" t="str">
        <v>AOW04: Biofortified and Health-enhancing Staples</v>
      </c>
      <c r="B7" s="4" t="str">
        <v>IRRI</v>
      </c>
      <c r="C7" s="4" t="str">
        <v xml:space="preserve"> Policy options and engagement that address constraints to sustainable healthy diets (AoW4)</v>
      </c>
      <c r="D7" s="4" t="str">
        <v>Report describing existing rice quality and nutrition monitoring systems and proposed protocols for assessing grain quality and zinc content aligned with national and international standards and a needs assessment report identifying laboratory infrastructure and training gaps to support implementation of biofortified and health-enhancing rice traits in Tanzania.27</v>
      </c>
      <c r="E7" s="4" t="str">
        <v>Number of knowledge products</v>
      </c>
      <c r="F7" s="4" t="str">
        <v>Kenya, Tanzania, United Republic, Philippines</v>
      </c>
      <c r="G7" s="5">
        <v>2</v>
      </c>
      <c r="H7" s="5">
        <v>200000</v>
      </c>
      <c r="I7" s="4" t="str">
        <v>Personnel costs based on standard organizational salary scales.</v>
      </c>
      <c r="J7" s="4">
        <v>5610</v>
      </c>
    </row>
    <row r="8" ht="50" customHeight="1">
      <c r="A8" s="4" t="str">
        <v>AOW04: Biofortified and Health-enhancing Staples</v>
      </c>
      <c r="B8" s="4" t="str">
        <v>IRRI</v>
      </c>
      <c r="C8" s="4" t="str">
        <v>Framework for embedding nutrition into breeding pipelines and processes.</v>
      </c>
      <c r="D8" s="4" t="str">
        <v>Critical Capabilities: Technical report that informs the new framework to embed nutrition into breeding pipelines</v>
      </c>
      <c r="E8" s="4" t="str">
        <v>Number of knowledge products</v>
      </c>
      <c r="F8" s="4" t="str">
        <v>Belgium, Philippines, India, Kenya</v>
      </c>
      <c r="G8" s="5">
        <v>1</v>
      </c>
      <c r="H8" s="5">
        <v>52026</v>
      </c>
      <c r="I8" s="4" t="str">
        <v>Personnel costs based on standard organizational salary scales.</v>
      </c>
      <c r="J8" s="4">
        <v>5619</v>
      </c>
    </row>
    <row r="9" ht="50" customHeight="1">
      <c r="B9" s="4" t="str">
        <v>IRRI</v>
      </c>
      <c r="D9" s="4" t="str">
        <v>Critical capabilities: Case study for Nigeria and/or Tanzania</v>
      </c>
      <c r="E9" s="4" t="str">
        <v>Number of knowledge products</v>
      </c>
      <c r="F9" s="4" t="str">
        <v>Philippines, Belgium, Nigeria, Tanzania, United Republic</v>
      </c>
      <c r="G9" s="5">
        <v>1</v>
      </c>
      <c r="H9" s="5">
        <v>52027</v>
      </c>
      <c r="I9" s="4" t="str">
        <v>Personnel costs based on standard organizational salary scales.</v>
      </c>
      <c r="J9" s="4">
        <v>8147</v>
      </c>
    </row>
    <row r="10" ht="50" customHeight="1">
      <c r="A10" s="4" t="str">
        <v>AOW04: Biofortified and Health-enhancing Staples</v>
      </c>
      <c r="B10" s="4" t="str">
        <v>IRRI</v>
      </c>
      <c r="C10" s="4" t="str">
        <v>Suite of solutions to support consumers awareness, preference, affordability and utilization of biofortified and health-enhancing crops in their diets</v>
      </c>
      <c r="D10" s="4" t="str">
        <v>Descriptive results from behavioral, consumer, and market research on Filipino consumers and rice with health-enhancing properties, including potential entry points for commercialization in both domestic and export markets.47</v>
      </c>
      <c r="E10" s="4" t="str">
        <v>Number of knowledge products</v>
      </c>
      <c r="F10" s="4" t="str">
        <v>Philippines</v>
      </c>
      <c r="G10" s="5">
        <v>4</v>
      </c>
      <c r="H10" s="5">
        <v>100000</v>
      </c>
      <c r="I10" s="4" t="str">
        <v>Estimated costs for time of interdisciplinary teams of researchers and local partners, data collection costs</v>
      </c>
      <c r="J10" s="4">
        <v>5621</v>
      </c>
    </row>
    <row r="11" ht="25" customHeight="1">
      <c r="C11" s="9" t="str">
        <v>HLO budget subtotal</v>
      </c>
      <c r="H11" s="9">
        <v>404053</v>
      </c>
      <c r="J11" s="9" t="str">
        <v/>
      </c>
    </row>
  </sheetData>
  <mergeCells count="13">
    <mergeCell ref="A1:A2"/>
    <mergeCell ref="B1:B2"/>
    <mergeCell ref="C1:C2"/>
    <mergeCell ref="D1:H1"/>
    <mergeCell ref="I1:I2"/>
    <mergeCell ref="J1:J2"/>
    <mergeCell ref="C4:G4"/>
    <mergeCell ref="A3:A4"/>
    <mergeCell ref="C6:G6"/>
    <mergeCell ref="A5:A6"/>
    <mergeCell ref="C8:C9"/>
    <mergeCell ref="C11:G11"/>
    <mergeCell ref="A7:A11"/>
  </mergeCells>
  <ignoredErrors>
    <ignoredError numberStoredAsText="1" sqref="A1:J11"/>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Consumers and Food Environments</v>
      </c>
      <c r="B2" s="4" t="str">
        <v>Unknown Partner 1</v>
      </c>
      <c r="C2" s="4" t="str">
        <v>IRRI</v>
      </c>
      <c r="D2" s="4" t="str">
        <v>Bangladesh, India, Philippines</v>
      </c>
      <c r="E2" s="5">
        <v>10000</v>
      </c>
      <c r="F2" s="4" t="str">
        <v>Planning phase still in progress, with the partner yet to be confirmed.</v>
      </c>
      <c r="G2" s="4">
        <v>401</v>
      </c>
    </row>
    <row r="3" ht="25" customHeight="1">
      <c r="B3" s="9" t="str">
        <v>Contracted partners subtotal</v>
      </c>
      <c r="E3" s="9">
        <v>10000</v>
      </c>
      <c r="F3" s="9" t="str">
        <v/>
      </c>
      <c r="G3" s="9" t="str">
        <v/>
      </c>
    </row>
    <row r="4" ht="50" customHeight="1">
      <c r="A4" s="8" t="str">
        <v>AOW04: Biofortified and Health-enhancing Staples</v>
      </c>
      <c r="B4" s="4" t="str">
        <v>Sokoine University of Agriculture</v>
      </c>
      <c r="C4" s="4" t="str">
        <v>IRRI</v>
      </c>
      <c r="D4" s="4" t="str">
        <v>Tanzania, United Republic, Kenya, Philippines</v>
      </c>
      <c r="E4" s="5">
        <v>5000</v>
      </c>
      <c r="F4" s="4" t="str">
        <v>Agreement on ToR, deliverables, timelines, and costs.</v>
      </c>
      <c r="G4" s="4">
        <v>407</v>
      </c>
    </row>
    <row r="5" ht="50" customHeight="1">
      <c r="A5" s="4" t="str">
        <v>AOW04: Biofortified and Health-enhancing Staples</v>
      </c>
      <c r="B5" s="4" t="str">
        <v>Tanzania Agricultural Research Institute</v>
      </c>
      <c r="C5" s="4" t="str">
        <v>IRRI</v>
      </c>
      <c r="D5" s="4" t="str">
        <v>Tanzania, United Republic, Kenya, Philippines</v>
      </c>
      <c r="E5" s="5">
        <v>5000</v>
      </c>
      <c r="F5" s="4" t="str">
        <v>Agreement on ToR, deliverables, timelines, and costs.</v>
      </c>
      <c r="G5" s="4">
        <v>409</v>
      </c>
    </row>
    <row r="6" ht="25" customHeight="1">
      <c r="B6" s="9" t="str">
        <v>Contracted partners subtotal</v>
      </c>
      <c r="E6" s="9">
        <v>10000</v>
      </c>
      <c r="F6" s="9" t="str">
        <v/>
      </c>
      <c r="G6" s="9" t="str">
        <v/>
      </c>
    </row>
  </sheetData>
  <mergeCells count="4">
    <mergeCell ref="B3:D3"/>
    <mergeCell ref="A2:A3"/>
    <mergeCell ref="B6:D6"/>
    <mergeCell ref="A4:A6"/>
  </mergeCells>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R-A-2023-11-Specialty Rice</v>
      </c>
      <c r="C2" s="4" t="str">
        <v>Suite of solutions for producers and processors that address constraints to sustainable healthy diets co-developed, tested, and scaled with technical support and country engagement</v>
      </c>
      <c r="D2" s="5">
        <v>2473962</v>
      </c>
      <c r="E2" s="4" t="str">
        <v>Budget subject to agreement of both parties on scope of work, deliverables to be delivered at a given period, estimation of costs, and manner of payment.</v>
      </c>
      <c r="F2" s="4">
        <v>1055</v>
      </c>
    </row>
    <row r="3" ht="60" customHeight="1">
      <c r="A3" s="4" t="str">
        <v>IRRI</v>
      </c>
      <c r="B3" s="4" t="str">
        <v>R-A-2023-116-Entrep Rice Value Addition</v>
      </c>
      <c r="C3" s="4" t="str">
        <v>Suite of solutions for producers and processors that address constraints to sustainable healthy diets co-developed, tested, and scaled with technical support and country engagement</v>
      </c>
      <c r="D3" s="5">
        <v>159004</v>
      </c>
      <c r="E3" s="4" t="str">
        <v>Budget subject to agreement of both parties on scope of work, deliverables to be delivered at a given period, estimation of costs, and manner of payment.</v>
      </c>
      <c r="F3" s="4">
        <v>1053</v>
      </c>
    </row>
    <row r="4" ht="25" customHeight="1">
      <c r="B4" s="9" t="str">
        <v>W3/Bilateral budget subtotal</v>
      </c>
      <c r="D4" s="9">
        <v>2632966</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2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IRRI</v>
      </c>
      <c r="C2" s="4" t="str">
        <v xml:space="preserve">Actor Engagement and Assumption Validation </v>
      </c>
      <c r="D2"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 s="4" t="str">
        <v>N/A</v>
      </c>
      <c r="F2" s="5">
        <v>0</v>
      </c>
      <c r="G2" s="4" t="str">
        <v/>
      </c>
      <c r="H2" s="4">
        <v>684</v>
      </c>
    </row>
    <row r="3" ht="60" customHeight="1">
      <c r="A3" s="4" t="str">
        <v>AOW00: Cross Cutting</v>
      </c>
      <c r="B3" s="4" t="str">
        <v>IRRI</v>
      </c>
      <c r="C3" s="4" t="str">
        <v>Strategic Coherence Across Geographies</v>
      </c>
      <c r="D3" s="4" t="str">
        <v>Producers and processors adopt and scale biofortified and health-enhancing crops</v>
      </c>
      <c r="E3" s="4" t="str">
        <v>N/A</v>
      </c>
      <c r="F3" s="5">
        <v>0</v>
      </c>
      <c r="G3" s="4" t="str">
        <v/>
      </c>
      <c r="H3" s="4">
        <v>711</v>
      </c>
    </row>
    <row r="4" ht="60" customHeight="1">
      <c r="A4" s="4" t="str">
        <v>AOW00: Cross Cutting</v>
      </c>
      <c r="B4" s="4" t="str">
        <v>IRRI</v>
      </c>
      <c r="C4" s="4" t="str">
        <v>Internal Learning and Use of MELIA Results</v>
      </c>
      <c r="D4" s="4" t="str">
        <v>Consumers demand and consume sustainable healthy diets</v>
      </c>
      <c r="E4" s="4" t="str">
        <v>N/A</v>
      </c>
      <c r="F4" s="5">
        <v>0</v>
      </c>
      <c r="G4" s="4" t="str">
        <v/>
      </c>
      <c r="H4" s="4">
        <v>714</v>
      </c>
    </row>
    <row r="5" ht="25" customHeight="1">
      <c r="C5" s="9" t="str">
        <v>MELIA budget subtotal</v>
      </c>
      <c r="F5" s="9">
        <v>0</v>
      </c>
      <c r="G5" s="9" t="str">
        <v/>
      </c>
      <c r="H5" s="9" t="str">
        <v/>
      </c>
    </row>
    <row r="6" ht="60" customHeight="1">
      <c r="A6" s="8" t="str">
        <v>AOW01: Consumers and Food Environments</v>
      </c>
      <c r="B6" s="4" t="str">
        <v>IRRI</v>
      </c>
      <c r="C6" s="4" t="str">
        <v xml:space="preserve">Actor Engagement and Assumption Validation </v>
      </c>
      <c r="D6"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6" s="4" t="str">
        <v>N/A</v>
      </c>
      <c r="F6" s="5">
        <v>0</v>
      </c>
      <c r="G6" s="4" t="str">
        <v/>
      </c>
      <c r="H6" s="4">
        <v>674</v>
      </c>
    </row>
    <row r="7" ht="60" customHeight="1">
      <c r="A7" s="4" t="str">
        <v>AOW01: Consumers and Food Environments</v>
      </c>
      <c r="B7" s="4" t="str">
        <v>IRRI</v>
      </c>
      <c r="C7" s="4" t="str">
        <v>Strategic Coherence Across Geographies</v>
      </c>
      <c r="D7" s="4" t="str">
        <v>Producers and processors adopt and scale biofortified and health-enhancing crops</v>
      </c>
      <c r="E7" s="4" t="str">
        <v>N/A</v>
      </c>
      <c r="F7" s="5">
        <v>0</v>
      </c>
      <c r="G7" s="4" t="str">
        <v/>
      </c>
      <c r="H7" s="4">
        <v>705</v>
      </c>
    </row>
    <row r="8" ht="25" customHeight="1">
      <c r="C8" s="9" t="str">
        <v>MELIA budget subtotal</v>
      </c>
      <c r="F8" s="9">
        <v>0</v>
      </c>
      <c r="G8" s="9" t="str">
        <v/>
      </c>
      <c r="H8" s="9" t="str">
        <v/>
      </c>
    </row>
    <row r="9" ht="60" customHeight="1">
      <c r="A9" s="8" t="str">
        <v>AOW02: Market Systems</v>
      </c>
      <c r="B9" s="4" t="str">
        <v>IRRI</v>
      </c>
      <c r="C9" s="4" t="str">
        <v xml:space="preserve">Actor Engagement and Assumption Validation </v>
      </c>
      <c r="D9"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9" s="4" t="str">
        <v>N/A</v>
      </c>
      <c r="F9" s="5">
        <v>0</v>
      </c>
      <c r="G9" s="4" t="str">
        <v/>
      </c>
      <c r="H9" s="4">
        <v>679</v>
      </c>
    </row>
    <row r="10" ht="60" customHeight="1">
      <c r="A10" s="4" t="str">
        <v>AOW02: Market Systems</v>
      </c>
      <c r="B10" s="4" t="str">
        <v>IRRI</v>
      </c>
      <c r="C10" s="4" t="str">
        <v>Strategic Coherence Across Geographies</v>
      </c>
      <c r="D10" s="4" t="str">
        <v>Producers and processors adopt and scale biofortified and health-enhancing crops</v>
      </c>
      <c r="E10" s="4" t="str">
        <v>N/A</v>
      </c>
      <c r="F10" s="5">
        <v>0</v>
      </c>
      <c r="G10" s="4" t="str">
        <v/>
      </c>
      <c r="H10" s="4">
        <v>708</v>
      </c>
    </row>
    <row r="11" ht="25" customHeight="1">
      <c r="C11" s="9" t="str">
        <v>MELIA budget subtotal</v>
      </c>
      <c r="F11" s="9">
        <v>0</v>
      </c>
      <c r="G11" s="9" t="str">
        <v/>
      </c>
      <c r="H11" s="9" t="str">
        <v/>
      </c>
    </row>
    <row r="12" ht="60" customHeight="1">
      <c r="A12" s="8" t="str">
        <v>AOW03: End-to-end Solutions</v>
      </c>
      <c r="B12" s="4" t="str">
        <v>IRRI</v>
      </c>
      <c r="C12" s="4" t="str">
        <v xml:space="preserve">Actor Engagement and Assumption Validation </v>
      </c>
      <c r="D12"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2" s="4" t="str">
        <v>N/A</v>
      </c>
      <c r="F12" s="5">
        <v>0</v>
      </c>
      <c r="G12" s="4" t="str">
        <v/>
      </c>
      <c r="H12" s="4">
        <v>669</v>
      </c>
    </row>
    <row r="13" ht="60" customHeight="1">
      <c r="A13" s="4" t="str">
        <v>AOW03: End-to-end Solutions</v>
      </c>
      <c r="B13" s="4" t="str">
        <v>IRRI</v>
      </c>
      <c r="C13" s="4" t="str">
        <v>Strategic Coherence Across Geographies</v>
      </c>
      <c r="D13" s="4" t="str">
        <v>Producers and processors adopt and scale biofortified and health-enhancing crops</v>
      </c>
      <c r="E13" s="4" t="str">
        <v>N/A</v>
      </c>
      <c r="F13" s="5">
        <v>0</v>
      </c>
      <c r="G13" s="4" t="str">
        <v/>
      </c>
      <c r="H13" s="4">
        <v>702</v>
      </c>
    </row>
    <row r="14" ht="25" customHeight="1">
      <c r="C14" s="9" t="str">
        <v>MELIA budget subtotal</v>
      </c>
      <c r="F14" s="9">
        <v>0</v>
      </c>
      <c r="G14" s="9" t="str">
        <v/>
      </c>
      <c r="H14" s="9" t="str">
        <v/>
      </c>
    </row>
    <row r="15" ht="60" customHeight="1">
      <c r="A15" s="8" t="str">
        <v>AOW04: Biofortified and Health-enhancing Staples</v>
      </c>
      <c r="B15" s="4" t="str">
        <v>IRRI</v>
      </c>
      <c r="C15" s="4" t="str">
        <v xml:space="preserve">Actor Engagement and Assumption Validation </v>
      </c>
      <c r="D15"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5" s="4" t="str">
        <v>N/A</v>
      </c>
      <c r="F15" s="5">
        <v>0</v>
      </c>
      <c r="G15" s="4" t="str">
        <v/>
      </c>
      <c r="H15" s="4">
        <v>664</v>
      </c>
    </row>
    <row r="16" ht="60" customHeight="1">
      <c r="A16" s="4" t="str">
        <v>AOW04: Biofortified and Health-enhancing Staples</v>
      </c>
      <c r="B16" s="4" t="str">
        <v>IRRI</v>
      </c>
      <c r="C16" s="4" t="str">
        <v>Strategic Coherence Across Geographies</v>
      </c>
      <c r="D16" s="4" t="str">
        <v>Producers and processors adopt and scale biofortified and health-enhancing crops</v>
      </c>
      <c r="E16" s="4" t="str">
        <v>N/A</v>
      </c>
      <c r="F16" s="5">
        <v>0</v>
      </c>
      <c r="G16" s="4" t="str">
        <v/>
      </c>
      <c r="H16" s="4">
        <v>699</v>
      </c>
    </row>
    <row r="17" ht="25" customHeight="1">
      <c r="C17" s="9" t="str">
        <v>MELIA budget subtotal</v>
      </c>
      <c r="F17" s="9">
        <v>0</v>
      </c>
      <c r="G17" s="9" t="str">
        <v/>
      </c>
      <c r="H17" s="9" t="str">
        <v/>
      </c>
    </row>
    <row r="18" ht="60" customHeight="1">
      <c r="A18" s="8" t="str">
        <v>AOW05: Multisectoral systems</v>
      </c>
      <c r="B18" s="4" t="str">
        <v>IRRI</v>
      </c>
      <c r="C18" s="4" t="str">
        <v xml:space="preserve">Actor Engagement and Assumption Validation </v>
      </c>
      <c r="D18"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8" s="4" t="str">
        <v>N/A</v>
      </c>
      <c r="F18" s="5">
        <v>0</v>
      </c>
      <c r="G18" s="4" t="str">
        <v/>
      </c>
      <c r="H18" s="4">
        <v>659</v>
      </c>
    </row>
    <row r="19" ht="25" customHeight="1">
      <c r="C19" s="9" t="str">
        <v>MELIA budget subtotal</v>
      </c>
      <c r="F19" s="9">
        <v>0</v>
      </c>
      <c r="G19" s="9" t="str">
        <v/>
      </c>
      <c r="H19" s="9" t="str">
        <v/>
      </c>
    </row>
    <row r="20" ht="60" customHeight="1">
      <c r="A20" s="8" t="str">
        <v>AOW06: Transformative leadership</v>
      </c>
      <c r="B20" s="4" t="str">
        <v>IRRI</v>
      </c>
      <c r="C20" s="4" t="str">
        <v xml:space="preserve">Actor Engagement and Assumption Validation </v>
      </c>
      <c r="D20"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0" s="4" t="str">
        <v>N/A</v>
      </c>
      <c r="F20" s="5">
        <v>0</v>
      </c>
      <c r="G20" s="4" t="str">
        <v/>
      </c>
      <c r="H20" s="4">
        <v>654</v>
      </c>
    </row>
    <row r="21" ht="25" customHeight="1">
      <c r="C21" s="9" t="str">
        <v>MELIA budget subtotal</v>
      </c>
      <c r="F21" s="9">
        <v>0</v>
      </c>
      <c r="G21" s="9" t="str">
        <v/>
      </c>
      <c r="H21" s="9" t="str">
        <v/>
      </c>
    </row>
  </sheetData>
  <mergeCells count="14">
    <mergeCell ref="C5:E5"/>
    <mergeCell ref="A2:A5"/>
    <mergeCell ref="C8:E8"/>
    <mergeCell ref="A6:A8"/>
    <mergeCell ref="C11:E11"/>
    <mergeCell ref="A9:A11"/>
    <mergeCell ref="C14:E14"/>
    <mergeCell ref="A12:A14"/>
    <mergeCell ref="C17:E17"/>
    <mergeCell ref="A15:A17"/>
    <mergeCell ref="C19:E19"/>
    <mergeCell ref="A18:A19"/>
    <mergeCell ref="C21:E21"/>
    <mergeCell ref="A20:A21"/>
  </mergeCells>
  <ignoredErrors>
    <ignoredError numberStoredAsText="1" sqref="A1:H2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66835</v>
      </c>
      <c r="D2" s="5">
        <v>33022</v>
      </c>
      <c r="E2" s="5">
        <v>0</v>
      </c>
      <c r="F2" s="5">
        <v>325629</v>
      </c>
      <c r="G2" s="5">
        <v>0</v>
      </c>
      <c r="H2" s="5">
        <v>0</v>
      </c>
      <c r="I2" s="5">
        <f>=SUM(B2:H2)</f>
        <v>0</v>
      </c>
    </row>
    <row r="3" ht="20" customHeight="1">
      <c r="A3" s="4" t="str">
        <v>Operations (supplies, consultants, travels, workshops, other)</v>
      </c>
      <c r="B3" s="5">
        <v>0</v>
      </c>
      <c r="C3" s="5">
        <v>23165</v>
      </c>
      <c r="D3" s="5">
        <v>6978</v>
      </c>
      <c r="E3" s="5">
        <v>0</v>
      </c>
      <c r="F3" s="5">
        <v>68424</v>
      </c>
      <c r="G3" s="5">
        <v>0</v>
      </c>
      <c r="H3" s="5">
        <v>0</v>
      </c>
      <c r="I3" s="5">
        <f>=SUM(B3:H3)</f>
        <v>0</v>
      </c>
    </row>
    <row r="4" ht="20" customHeight="1">
      <c r="A4" s="4" t="str">
        <v>Collaborators non-CGIAR centers</v>
      </c>
      <c r="B4" s="5">
        <v>0</v>
      </c>
      <c r="C4" s="5">
        <v>10000</v>
      </c>
      <c r="D4" s="5">
        <v>0</v>
      </c>
      <c r="E4" s="5">
        <v>0</v>
      </c>
      <c r="F4" s="5">
        <v>10000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Consumers and Food Environments</v>
      </c>
      <c r="B2" s="4" t="str">
        <v>IRRI</v>
      </c>
      <c r="C2" s="4" t="str">
        <v>Bangladesh</v>
      </c>
      <c r="D2" s="5">
        <v>10</v>
      </c>
      <c r="E2" s="4">
        <v>2544</v>
      </c>
    </row>
    <row r="3" ht="45" customHeight="1">
      <c r="A3" s="4" t="str">
        <v>AOW01: Consumers and Food Environments</v>
      </c>
      <c r="B3" s="4" t="str">
        <v>IRRI</v>
      </c>
      <c r="C3" s="4" t="str">
        <v>India</v>
      </c>
      <c r="D3" s="5">
        <v>40</v>
      </c>
      <c r="E3" s="4">
        <v>2046</v>
      </c>
    </row>
    <row r="4" ht="45" customHeight="1">
      <c r="A4" s="4" t="str">
        <v>AOW01: Consumers and Food Environments</v>
      </c>
      <c r="B4" s="4" t="str">
        <v>IRRI</v>
      </c>
      <c r="C4" s="4" t="str">
        <v>Philippines</v>
      </c>
      <c r="D4" s="5">
        <v>50</v>
      </c>
      <c r="E4" s="4">
        <v>2047</v>
      </c>
    </row>
    <row r="5" ht="45" customHeight="1">
      <c r="A5" s="8" t="str">
        <v>AOW02: Market Systems</v>
      </c>
      <c r="B5" s="4" t="str">
        <v>IRRI</v>
      </c>
      <c r="C5" s="4" t="str">
        <v>Philippines</v>
      </c>
      <c r="D5" s="5">
        <v>100</v>
      </c>
      <c r="E5" s="4">
        <v>2048</v>
      </c>
    </row>
    <row r="6" ht="45" customHeight="1">
      <c r="A6" s="8" t="str">
        <v>AOW04: Biofortified and Health-enhancing Staples</v>
      </c>
      <c r="B6" s="4" t="str">
        <v>IRRI</v>
      </c>
      <c r="C6" s="4" t="str">
        <v>Belgium</v>
      </c>
      <c r="D6" s="5">
        <v>30</v>
      </c>
      <c r="E6" s="4">
        <v>2049</v>
      </c>
    </row>
    <row r="7" ht="45" customHeight="1">
      <c r="A7" s="4" t="str">
        <v>AOW04: Biofortified and Health-enhancing Staples</v>
      </c>
      <c r="B7" s="4" t="str">
        <v>IRRI</v>
      </c>
      <c r="C7" s="4" t="str">
        <v>Kenya</v>
      </c>
      <c r="D7" s="5">
        <v>30</v>
      </c>
      <c r="E7" s="4">
        <v>2050</v>
      </c>
    </row>
    <row r="8" ht="45" customHeight="1">
      <c r="A8" s="4" t="str">
        <v>AOW04: Biofortified and Health-enhancing Staples</v>
      </c>
      <c r="B8" s="4" t="str">
        <v>IRRI</v>
      </c>
      <c r="C8" s="4" t="str">
        <v>Philippines</v>
      </c>
      <c r="D8" s="5">
        <v>40</v>
      </c>
      <c r="E8" s="4">
        <v>2051</v>
      </c>
    </row>
  </sheetData>
  <mergeCells count="3">
    <mergeCell ref="A2:A4"/>
    <mergeCell ref="A5"/>
    <mergeCell ref="A6:A8"/>
  </mergeCells>
  <ignoredErrors>
    <ignoredError numberStoredAsText="1" sqref="A1:E8"/>
  </ignoredErrors>
</worksheet>
</file>

<file path=xl/worksheets/sheet9.xml><?xml version="1.0" encoding="utf-8"?>
<worksheet xmlns="http://schemas.openxmlformats.org/spreadsheetml/2006/main" xmlns:r="http://schemas.openxmlformats.org/officeDocument/2006/relationships">
  <dimension ref="A1:F1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Consumers and Food Environments</v>
      </c>
      <c r="B2" s="4" t="str">
        <v>IRRI</v>
      </c>
      <c r="C2" s="4" t="str">
        <v>Bangladesh</v>
      </c>
      <c r="D2" s="4" t="str">
        <v>country</v>
      </c>
      <c r="E2" s="5">
        <v>100</v>
      </c>
      <c r="F2" s="4">
        <v>821</v>
      </c>
    </row>
    <row r="3" ht="45" customHeight="1">
      <c r="A3" s="8" t="str">
        <v>AOW02: Market Systems</v>
      </c>
      <c r="B3" s="4" t="str">
        <v>IRRI</v>
      </c>
      <c r="C3" s="4" t="str">
        <v>Global</v>
      </c>
      <c r="D3" s="4" t="str">
        <v>global</v>
      </c>
      <c r="E3" s="5">
        <v>20</v>
      </c>
      <c r="F3" s="4">
        <v>721</v>
      </c>
    </row>
    <row r="4" ht="45" customHeight="1">
      <c r="A4" s="4" t="str">
        <v>AOW02: Market Systems</v>
      </c>
      <c r="B4" s="4" t="str">
        <v>IRRI</v>
      </c>
      <c r="C4" s="4" t="str">
        <v>Bangladesh</v>
      </c>
      <c r="D4" s="4" t="str">
        <v>country</v>
      </c>
      <c r="E4" s="5">
        <v>20</v>
      </c>
      <c r="F4" s="4">
        <v>1036</v>
      </c>
    </row>
    <row r="5" ht="45" customHeight="1">
      <c r="A5" s="4" t="str">
        <v>AOW02: Market Systems</v>
      </c>
      <c r="B5" s="4" t="str">
        <v>IRRI</v>
      </c>
      <c r="C5" s="4" t="str">
        <v>Ethiopia</v>
      </c>
      <c r="D5" s="4" t="str">
        <v>country</v>
      </c>
      <c r="E5" s="5">
        <v>20</v>
      </c>
      <c r="F5" s="4">
        <v>1035</v>
      </c>
    </row>
    <row r="6" ht="45" customHeight="1">
      <c r="A6" s="4" t="str">
        <v>AOW02: Market Systems</v>
      </c>
      <c r="B6" s="4" t="str">
        <v>IRRI</v>
      </c>
      <c r="C6" s="4" t="str">
        <v>Philippines</v>
      </c>
      <c r="D6" s="4" t="str">
        <v>country</v>
      </c>
      <c r="E6" s="5">
        <v>20</v>
      </c>
      <c r="F6" s="4">
        <v>1038</v>
      </c>
    </row>
    <row r="7" ht="45" customHeight="1">
      <c r="A7" s="4" t="str">
        <v>AOW02: Market Systems</v>
      </c>
      <c r="B7" s="4" t="str">
        <v>IRRI</v>
      </c>
      <c r="C7" s="4" t="str">
        <v>The Socialist Republic of Viet Nam</v>
      </c>
      <c r="D7" s="4" t="str">
        <v>country</v>
      </c>
      <c r="E7" s="5">
        <v>20</v>
      </c>
      <c r="F7" s="4">
        <v>1037</v>
      </c>
    </row>
    <row r="8" ht="45" customHeight="1">
      <c r="A8" s="8" t="str">
        <v>AOW04: Biofortified and Health-enhancing Staples</v>
      </c>
      <c r="B8" s="4" t="str">
        <v>IRRI</v>
      </c>
      <c r="C8" s="4" t="str">
        <v>Global</v>
      </c>
      <c r="D8" s="4" t="str">
        <v>global</v>
      </c>
      <c r="E8" s="5">
        <v>30</v>
      </c>
      <c r="F8" s="4">
        <v>722</v>
      </c>
    </row>
    <row r="9" ht="45" customHeight="1">
      <c r="A9" s="4" t="str">
        <v>AOW04: Biofortified and Health-enhancing Staples</v>
      </c>
      <c r="B9" s="4" t="str">
        <v>IRRI</v>
      </c>
      <c r="C9" s="4" t="str">
        <v>Bangladesh</v>
      </c>
      <c r="D9" s="4" t="str">
        <v>country</v>
      </c>
      <c r="E9" s="5">
        <v>0</v>
      </c>
      <c r="F9" s="4">
        <v>726</v>
      </c>
    </row>
    <row r="10" ht="45" customHeight="1">
      <c r="A10" s="4" t="str">
        <v>AOW04: Biofortified and Health-enhancing Staples</v>
      </c>
      <c r="B10" s="4" t="str">
        <v>IRRI</v>
      </c>
      <c r="C10" s="4" t="str">
        <v>India</v>
      </c>
      <c r="D10" s="4" t="str">
        <v>country</v>
      </c>
      <c r="E10" s="5">
        <v>10</v>
      </c>
      <c r="F10" s="4">
        <v>965</v>
      </c>
    </row>
    <row r="11" ht="45" customHeight="1">
      <c r="A11" s="4" t="str">
        <v>AOW04: Biofortified and Health-enhancing Staples</v>
      </c>
      <c r="B11" s="4" t="str">
        <v>IRRI</v>
      </c>
      <c r="C11" s="4" t="str">
        <v>Kenya</v>
      </c>
      <c r="D11" s="4" t="str">
        <v>country</v>
      </c>
      <c r="E11" s="5">
        <v>0</v>
      </c>
      <c r="F11" s="4">
        <v>727</v>
      </c>
    </row>
    <row r="12" ht="45" customHeight="1">
      <c r="A12" s="4" t="str">
        <v>AOW04: Biofortified and Health-enhancing Staples</v>
      </c>
      <c r="B12" s="4" t="str">
        <v>IRRI</v>
      </c>
      <c r="C12" s="4" t="str">
        <v>Nigeria</v>
      </c>
      <c r="D12" s="4" t="str">
        <v>country</v>
      </c>
      <c r="E12" s="5">
        <v>0</v>
      </c>
      <c r="F12" s="4">
        <v>723</v>
      </c>
    </row>
    <row r="13" ht="45" customHeight="1">
      <c r="A13" s="4" t="str">
        <v>AOW04: Biofortified and Health-enhancing Staples</v>
      </c>
      <c r="B13" s="4" t="str">
        <v>IRRI</v>
      </c>
      <c r="C13" s="4" t="str">
        <v>Philippines</v>
      </c>
      <c r="D13" s="4" t="str">
        <v>country</v>
      </c>
      <c r="E13" s="5">
        <v>10</v>
      </c>
      <c r="F13" s="4">
        <v>725</v>
      </c>
    </row>
    <row r="14" ht="45" customHeight="1">
      <c r="A14" s="4" t="str">
        <v>AOW04: Biofortified and Health-enhancing Staples</v>
      </c>
      <c r="B14" s="4" t="str">
        <v>IRRI</v>
      </c>
      <c r="C14" s="4" t="str">
        <v>Tanzania, United Republic</v>
      </c>
      <c r="D14" s="4" t="str">
        <v>country</v>
      </c>
      <c r="E14" s="5">
        <v>50</v>
      </c>
      <c r="F14" s="4">
        <v>724</v>
      </c>
    </row>
  </sheetData>
  <mergeCells count="3">
    <mergeCell ref="A2"/>
    <mergeCell ref="A3:A7"/>
    <mergeCell ref="A8:A14"/>
  </mergeCells>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