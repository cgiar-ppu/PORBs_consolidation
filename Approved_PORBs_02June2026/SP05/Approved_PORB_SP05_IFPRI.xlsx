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649244</v>
      </c>
      <c r="K4" s="5">
        <v>649244</v>
      </c>
      <c r="L4" s="5">
        <v>0</v>
      </c>
      <c r="M4" s="5">
        <v>0</v>
      </c>
      <c r="N4" s="4">
        <v>189</v>
      </c>
    </row>
    <row r="5" ht="20" customHeight="1">
      <c r="A5" s="4" t="str">
        <v>AOW01: Consumers and Food Environments</v>
      </c>
      <c r="B5" s="5">
        <v>6</v>
      </c>
      <c r="C5" s="5">
        <v>619922</v>
      </c>
      <c r="D5" s="5">
        <v>15</v>
      </c>
      <c r="E5" s="5">
        <v>1377732</v>
      </c>
      <c r="F5" s="5">
        <v>2</v>
      </c>
      <c r="G5" s="5">
        <v>301514</v>
      </c>
      <c r="H5" s="5">
        <v>0</v>
      </c>
      <c r="I5" s="5">
        <v>0</v>
      </c>
      <c r="J5" s="5">
        <v>2299168</v>
      </c>
      <c r="K5" s="5">
        <v>2299168</v>
      </c>
      <c r="L5" s="5">
        <v>597990</v>
      </c>
      <c r="M5" s="5">
        <v>0</v>
      </c>
      <c r="N5" s="4">
        <v>188</v>
      </c>
    </row>
    <row r="6" ht="20" customHeight="1">
      <c r="A6" s="4" t="str">
        <v>AOW02: Market Systems</v>
      </c>
      <c r="B6" s="5">
        <v>8</v>
      </c>
      <c r="C6" s="5">
        <v>391008</v>
      </c>
      <c r="D6" s="5">
        <v>15</v>
      </c>
      <c r="E6" s="5">
        <v>663022</v>
      </c>
      <c r="F6" s="5">
        <v>1</v>
      </c>
      <c r="G6" s="5">
        <v>25000</v>
      </c>
      <c r="H6" s="5">
        <v>3</v>
      </c>
      <c r="I6" s="5">
        <v>126128</v>
      </c>
      <c r="J6" s="5">
        <v>1205158</v>
      </c>
      <c r="K6" s="5">
        <v>1205158</v>
      </c>
      <c r="L6" s="5">
        <v>167265</v>
      </c>
      <c r="M6" s="5">
        <v>0</v>
      </c>
      <c r="N6" s="4">
        <v>184</v>
      </c>
    </row>
    <row r="7" ht="20" customHeight="1">
      <c r="A7" s="4" t="str">
        <v>AOW03: End-to-end Solutions</v>
      </c>
      <c r="B7" s="5">
        <v>21</v>
      </c>
      <c r="C7" s="5">
        <v>1424140</v>
      </c>
      <c r="D7" s="5">
        <v>23</v>
      </c>
      <c r="E7" s="5">
        <v>1520720</v>
      </c>
      <c r="F7" s="5">
        <v>10</v>
      </c>
      <c r="G7" s="5">
        <v>266667</v>
      </c>
      <c r="H7" s="5">
        <v>2</v>
      </c>
      <c r="I7" s="5">
        <v>250000</v>
      </c>
      <c r="J7" s="5">
        <v>3461527</v>
      </c>
      <c r="K7" s="5">
        <v>3461527</v>
      </c>
      <c r="L7" s="5">
        <v>1518487</v>
      </c>
      <c r="M7" s="5">
        <v>2646027</v>
      </c>
      <c r="N7" s="4">
        <v>186</v>
      </c>
    </row>
    <row r="8" ht="20" customHeight="1">
      <c r="A8" s="4" t="str">
        <v>AOW04: Biofortified and Health-enhancing Staples</v>
      </c>
      <c r="B8" s="5">
        <v>0</v>
      </c>
      <c r="C8" s="5">
        <v>0</v>
      </c>
      <c r="D8" s="5">
        <v>6</v>
      </c>
      <c r="E8" s="5">
        <v>80000</v>
      </c>
      <c r="F8" s="5">
        <v>0</v>
      </c>
      <c r="G8" s="5">
        <v>0</v>
      </c>
      <c r="H8" s="5">
        <v>0</v>
      </c>
      <c r="I8" s="5">
        <v>0</v>
      </c>
      <c r="J8" s="5">
        <v>80000</v>
      </c>
      <c r="K8" s="5">
        <v>80000</v>
      </c>
      <c r="L8" s="5">
        <v>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1</v>
      </c>
      <c r="C10" s="5">
        <v>50000</v>
      </c>
      <c r="D10" s="5">
        <v>3</v>
      </c>
      <c r="E10" s="5">
        <v>110220</v>
      </c>
      <c r="F10" s="5">
        <v>0</v>
      </c>
      <c r="G10" s="5">
        <v>0</v>
      </c>
      <c r="H10" s="5">
        <v>12</v>
      </c>
      <c r="I10" s="5">
        <v>597331</v>
      </c>
      <c r="J10" s="5">
        <v>757551</v>
      </c>
      <c r="K10" s="5">
        <v>757551</v>
      </c>
      <c r="L10" s="5">
        <v>0</v>
      </c>
      <c r="M10" s="5">
        <v>0</v>
      </c>
      <c r="N10" s="4">
        <v>185</v>
      </c>
    </row>
    <row r="11" ht="25" customHeight="1">
      <c r="A11" s="6" t="str">
        <v>Total</v>
      </c>
      <c r="B11" s="7" t="str">
        <v/>
      </c>
      <c r="C11" s="7">
        <v>2485070</v>
      </c>
      <c r="D11" s="7" t="str">
        <v/>
      </c>
      <c r="E11" s="7">
        <v>3751694</v>
      </c>
      <c r="F11" s="7" t="str">
        <v/>
      </c>
      <c r="G11" s="7">
        <v>593181</v>
      </c>
      <c r="H11" s="7" t="str">
        <v/>
      </c>
      <c r="I11" s="7">
        <v>973459</v>
      </c>
      <c r="J11" s="7">
        <v>8452648</v>
      </c>
      <c r="K11" s="7">
        <v>8452648</v>
      </c>
      <c r="L11" s="7">
        <v>2283742</v>
      </c>
      <c r="M11" s="7">
        <v>2646027</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7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Consumers and Food Environments</v>
      </c>
      <c r="B3" s="4" t="str">
        <v>IFPRI</v>
      </c>
      <c r="C3" s="4" t="str">
        <v>Suite of solutions focused on consumers that promote consumption of sustainable heathy diets co-developed, tested, and scaled with technical support and country engagement</v>
      </c>
      <c r="D3" s="4" t="str">
        <v>Scientific publication describing the use of usual dietary intake as a dependent variable</v>
      </c>
      <c r="E3" s="4" t="str">
        <v>Number of knowledge products</v>
      </c>
      <c r="F3" s="4" t="str">
        <v>Belgium, Senegal, United States of America</v>
      </c>
      <c r="G3" s="5">
        <v>1</v>
      </c>
      <c r="H3" s="5">
        <v>48333</v>
      </c>
      <c r="I3" s="4" t="str">
        <v>Estimated costs for time of interdisciplinary teams of researchers and local partners, data collection costs.</v>
      </c>
      <c r="J3" s="4">
        <v>5518</v>
      </c>
    </row>
    <row r="4" ht="50" customHeight="1">
      <c r="B4" s="4" t="str">
        <v>IFPRI</v>
      </c>
      <c r="D4" s="4" t="str">
        <v>Guidance for estimating the impact of interventions on dietary outcomes measured by 24-hour dietary recalls</v>
      </c>
      <c r="E4" s="4" t="str">
        <v>Number of innovations (innovation development)</v>
      </c>
      <c r="F4" s="4" t="str">
        <v>Belgium, Senegal, United States of America</v>
      </c>
      <c r="G4" s="5">
        <v>1</v>
      </c>
      <c r="H4" s="5">
        <v>48333</v>
      </c>
      <c r="I4" s="4" t="str">
        <v xml:space="preserve">Estimated costs for time of interdisciplinary teams of researchers and local partners, data collection costs. </v>
      </c>
      <c r="J4" s="4">
        <v>5521</v>
      </c>
    </row>
    <row r="5" ht="50" customHeight="1">
      <c r="B5" s="4" t="str">
        <v>IFPRI</v>
      </c>
      <c r="D5" s="4" t="str">
        <v>Scientific publications describing the development and validation of the food safety perception scale</v>
      </c>
      <c r="E5" s="4" t="str">
        <v>Number of knowledge products</v>
      </c>
      <c r="F5" s="4" t="str">
        <v>Bangladesh, Belgium, United States of America, The Socialist Republic of Viet Nam, Ethiopia</v>
      </c>
      <c r="G5" s="5">
        <v>2</v>
      </c>
      <c r="H5" s="5">
        <v>96667</v>
      </c>
      <c r="I5" s="4" t="str">
        <v>Estimated costs for time of interdisciplinary teams of researchers and local partners, data collection costs.</v>
      </c>
      <c r="J5" s="4">
        <v>5523</v>
      </c>
    </row>
    <row r="6" ht="50" customHeight="1">
      <c r="B6" s="4" t="str">
        <v>IFPRI</v>
      </c>
      <c r="D6" s="4" t="str">
        <v>Papers describing results from the food environment and dietary data analyses</v>
      </c>
      <c r="E6" s="4" t="str">
        <v>Number of knowledge products</v>
      </c>
      <c r="F6" s="4" t="str">
        <v>Belgium, United States of America, Senegal, Ghana, The Socialist Republic of Viet Nam, Ethiopia</v>
      </c>
      <c r="G6" s="5">
        <v>4</v>
      </c>
      <c r="H6" s="5">
        <v>171565</v>
      </c>
      <c r="I6" s="4" t="str">
        <v>Estimated costs for time of interdisciplinary teams of researchers and local partners, data collection costs.</v>
      </c>
      <c r="J6" s="4">
        <v>5524</v>
      </c>
    </row>
    <row r="7" ht="50" customHeight="1">
      <c r="B7" s="4" t="str">
        <v>IFPRI</v>
      </c>
      <c r="D7" s="4" t="str">
        <v>User guide for the food safety perception scale</v>
      </c>
      <c r="E7" s="4" t="str">
        <v>Number of knowledge products</v>
      </c>
      <c r="F7" s="4" t="str">
        <v>Bangladesh, United States of America, Belgium, The Socialist Republic of Viet Nam, Ethiopia</v>
      </c>
      <c r="G7" s="5">
        <v>1</v>
      </c>
      <c r="H7" s="5">
        <v>48333</v>
      </c>
      <c r="I7" s="4" t="str">
        <v>Estimated costs for time of interdisciplinary teams of researchers and local partners, data collection costs.</v>
      </c>
      <c r="J7" s="4">
        <v>5526</v>
      </c>
    </row>
    <row r="8" ht="50" customHeight="1">
      <c r="B8" s="4" t="str">
        <v>IFPRI</v>
      </c>
      <c r="D8" s="4" t="str">
        <v>Finalized food safety perception scale, an innovation that assesses food safety experiences and concerns of consumers in low- and middle-income countries and diagnoses constraints to consumption of sustainable nutritious foods</v>
      </c>
      <c r="E8" s="4" t="str">
        <v>Number of innovations (innovation development)</v>
      </c>
      <c r="F8" s="4" t="str">
        <v>Bangladesh, United States of America, Belgium, The Socialist Republic of Viet Nam, Ethiopia</v>
      </c>
      <c r="G8" s="5">
        <v>1</v>
      </c>
      <c r="H8" s="5">
        <v>48333</v>
      </c>
      <c r="I8" s="4" t="str">
        <v>Estimated costs for time of interdisciplinary teams of researchers and local partners, data collection costs.</v>
      </c>
      <c r="J8" s="4">
        <v>5528</v>
      </c>
    </row>
    <row r="9" ht="50" customHeight="1">
      <c r="B9" s="4" t="str">
        <v>IFPRI</v>
      </c>
      <c r="D9" s="4" t="str">
        <v>Report that identifies and describes the Ethiopia policy needs for high frequency data on the healthiness of diets and remaining evidence gaps as they relate to validity, representativity, and equivalence</v>
      </c>
      <c r="E9" s="4" t="str">
        <v>Number of knowledge products</v>
      </c>
      <c r="F9" s="4" t="str">
        <v>Belgium, United States of America, Ethiopia</v>
      </c>
      <c r="G9" s="5">
        <v>1</v>
      </c>
      <c r="H9" s="5">
        <v>36160</v>
      </c>
      <c r="I9" s="4" t="str">
        <v>Estimated costs for time of interdisciplinary teams of researchers and local partners, data collection costs.</v>
      </c>
      <c r="J9" s="4">
        <v>8055</v>
      </c>
    </row>
    <row r="10" ht="50" customHeight="1">
      <c r="A10" s="4" t="str">
        <v>AOW01: Consumers and Food Environments</v>
      </c>
      <c r="B10" s="4" t="str">
        <v>IFPRI</v>
      </c>
      <c r="C10" s="4" t="str">
        <v>Suite of solutions focused on vendors that promote employment opportunities and the sale of sustainable nutritious foods co-developed, tested, and scaled with technical support and country engagement</v>
      </c>
      <c r="D10" s="4" t="str">
        <v>Published trial registration for the RCT of the Quezon City Vendor Business School for Healthy Diets, an innovation to increase fruit and vegetable consumption</v>
      </c>
      <c r="E10" s="4" t="str">
        <v>Number of knowledge products</v>
      </c>
      <c r="F10" s="4" t="str">
        <v>United States of America, Belgium, Philippines</v>
      </c>
      <c r="G10" s="5">
        <v>1</v>
      </c>
      <c r="H10" s="5">
        <v>583000</v>
      </c>
      <c r="I10" s="4" t="str">
        <v>Estimated costs for time of interdisciplinary teams of researchers and local partners, data collection costs. This will include a contract with a partner, like a data collection firm (TBD).</v>
      </c>
      <c r="J10" s="4">
        <v>5533</v>
      </c>
    </row>
    <row r="11" ht="50" customHeight="1">
      <c r="B11" s="4" t="str">
        <v>IFPRI</v>
      </c>
      <c r="D11" s="4" t="str">
        <v xml:space="preserve">Critical Capabilities: Artificial-intelligence (AI) application to analyze changes in how food vendors display healthy food products and the links to business performance </v>
      </c>
      <c r="E11" s="4" t="str">
        <v>Number of innovations (innovation development)</v>
      </c>
      <c r="F11" s="4" t="str">
        <v>United States of America, Philippines</v>
      </c>
      <c r="G11" s="5">
        <v>1</v>
      </c>
      <c r="H11" s="5">
        <v>68750</v>
      </c>
      <c r="I11" s="4" t="str">
        <v>Estimated costs for time of interdisciplinary teams of researchers and local partners, data collection costs.</v>
      </c>
      <c r="J11" s="4">
        <v>6938</v>
      </c>
    </row>
    <row r="12" ht="50" customHeight="1">
      <c r="B12" s="4" t="str">
        <v>IFPRI</v>
      </c>
      <c r="D12" s="4" t="str">
        <v>Vendor training protocol and materials for intervention in Ethiopia</v>
      </c>
      <c r="E12" s="4" t="str">
        <v>Number of innovations (innovation development)</v>
      </c>
      <c r="F12" s="4" t="str">
        <v>United States of America, Ethiopia</v>
      </c>
      <c r="G12" s="5">
        <v>1</v>
      </c>
      <c r="H12" s="5">
        <v>235000</v>
      </c>
      <c r="I12" s="4" t="str">
        <v>Estimated costs for time of interdisciplinary teams of researchers and local partners, data collection costs.</v>
      </c>
      <c r="J12" s="4">
        <v>8076</v>
      </c>
    </row>
    <row r="13" ht="50" customHeight="1">
      <c r="A13" s="4" t="str">
        <v>AOW01: Consumers and Food Environments</v>
      </c>
      <c r="B13" s="4" t="str">
        <v>IFPRI</v>
      </c>
      <c r="C13" s="4" t="str">
        <v>Policy options and engagement that support effective management of national action plans and other policy processes, for food systems transformation in  support of sustainable healthy diets</v>
      </c>
      <c r="D13" s="4" t="str">
        <v>Dissemination products describing key, policy-relevant messages from the food environment and dietary data analyses and results</v>
      </c>
      <c r="E13" s="4" t="str">
        <v>Number of knowledge products</v>
      </c>
      <c r="F13" s="4" t="str">
        <v>United States of America, Senegal, Belgium, The Socialist Republic of Viet Nam, Ghana, Ethiopia</v>
      </c>
      <c r="G13" s="5">
        <v>3</v>
      </c>
      <c r="H13" s="5">
        <v>128674</v>
      </c>
      <c r="I13" s="4" t="str">
        <v>Estimated costs for time of interdisciplinary teams of researchers and local partners, data collection costs.</v>
      </c>
      <c r="J13" s="4">
        <v>5544</v>
      </c>
    </row>
    <row r="14" ht="50" customHeight="1">
      <c r="B14" s="4" t="str">
        <v>IFPRI</v>
      </c>
      <c r="D14" s="4" t="str">
        <v xml:space="preserve">Policy Process Documentation Framework, a tool for monitoring the process of national food systems transformation </v>
      </c>
      <c r="E14" s="4" t="str">
        <v>Number of innovations (innovation development)</v>
      </c>
      <c r="F14" s="4" t="str">
        <v>Colombia, United States of America, India, Belgium, Ethiopia, The Socialist Republic of Viet Nam, Bangladesh</v>
      </c>
      <c r="G14" s="5">
        <v>1</v>
      </c>
      <c r="H14" s="5">
        <v>150756</v>
      </c>
      <c r="I14" s="4" t="str">
        <v>Estimated costs for time of interdisciplinary teams of researchers and local partners, data collection costs</v>
      </c>
      <c r="J14" s="4">
        <v>5548</v>
      </c>
    </row>
    <row r="15" ht="50" customHeight="1">
      <c r="B15" s="4" t="str">
        <v>IFPRI</v>
      </c>
      <c r="D15" s="4" t="str">
        <v>Critical Capabilities: Guidance for conducting randomized controlled trials (RCTs) of complex interventions that can improve RCT design and interpretation of results</v>
      </c>
      <c r="E15" s="4" t="str">
        <v>Number of innovations (innovation development)</v>
      </c>
      <c r="F15" s="4" t="str">
        <v>Belgium, United States of America</v>
      </c>
      <c r="G15" s="5">
        <v>1</v>
      </c>
      <c r="H15" s="5">
        <v>68750</v>
      </c>
      <c r="I15" s="4" t="str">
        <v>Estimated costs for time of interdisciplinary teams of researchers and local partners, data collection costs.</v>
      </c>
      <c r="J15" s="4">
        <v>8080</v>
      </c>
    </row>
    <row r="16" ht="50" customHeight="1">
      <c r="B16" s="4" t="str">
        <v>IFPRI</v>
      </c>
      <c r="D16" s="4" t="str">
        <v>Registration of the research protocol for the evaluation of Viet Nam's sugar sweetened beverage (SSB) tax and database of baseline data</v>
      </c>
      <c r="E16" s="4" t="str">
        <v>Number of knowledge products</v>
      </c>
      <c r="F16" s="4" t="str">
        <v>Belgium, United States of America, The Socialist Republic of Viet Nam</v>
      </c>
      <c r="G16" s="5">
        <v>2</v>
      </c>
      <c r="H16" s="5">
        <v>265000</v>
      </c>
      <c r="I16" s="4" t="str">
        <v>Estimated costs for time of interdisciplinary teams of researchers and local partners, data collection costs.</v>
      </c>
      <c r="J16" s="4">
        <v>8082</v>
      </c>
    </row>
    <row r="17" ht="50" customHeight="1">
      <c r="B17" s="4" t="str">
        <v>IFPRI</v>
      </c>
      <c r="D17" s="4" t="str">
        <v>Training for national-level officials to build capacity to design and implement food systems transformation policies and processes for sustainable healthy diets</v>
      </c>
      <c r="E17" s="4" t="str">
        <v>Number of people trained (capacity sharing for development)</v>
      </c>
      <c r="F17" s="4" t="str">
        <v>India, Ethiopia, Netherlands (Kingdom of the), Colombia, Bangladesh</v>
      </c>
      <c r="G17" s="5">
        <v>2</v>
      </c>
      <c r="H17" s="5">
        <v>301514</v>
      </c>
      <c r="I17" s="4" t="str">
        <v>Estimated costs for time of interdisciplinary teams of researchers and local partners, meeting costs (include venue, catering, materials, and facilitators).</v>
      </c>
      <c r="J17" s="4">
        <v>8304</v>
      </c>
    </row>
    <row r="18" ht="25" customHeight="1">
      <c r="C18" s="9" t="str">
        <v>HLO budget subtotal</v>
      </c>
      <c r="H18" s="9">
        <v>2299168</v>
      </c>
      <c r="J18" s="9" t="str">
        <v/>
      </c>
    </row>
    <row r="19" ht="50" customHeight="1">
      <c r="A19" s="8" t="str">
        <v>AOW02: Market Systems</v>
      </c>
      <c r="B19" s="4" t="str">
        <v>IFPRI</v>
      </c>
      <c r="C19" s="4" t="str">
        <v>Tested solutions to increase access to finance to farm input dealers, food traders, processors, and/or retailers to increase growth in market systems for healthy foods</v>
      </c>
      <c r="D19" s="4" t="str">
        <v>Stakeholder workshop on insurance and demand for finance for nutrient-dense foods to build understanding across two countries.56</v>
      </c>
      <c r="E19" s="4" t="str">
        <v>custom</v>
      </c>
      <c r="F19" s="4" t="str">
        <v>United States of America, The Socialist Republic of Viet Nam, Philippines</v>
      </c>
      <c r="G19" s="5">
        <v>1</v>
      </c>
      <c r="H19" s="5">
        <v>51128</v>
      </c>
      <c r="I19" s="4" t="str">
        <v>Meeting costs include venue, catering, materials, and facilitators.</v>
      </c>
      <c r="J19" s="4">
        <v>5554</v>
      </c>
    </row>
    <row r="20" ht="50" customHeight="1">
      <c r="B20" s="4" t="str">
        <v>IFPRI</v>
      </c>
      <c r="D20" s="4" t="str">
        <v xml:space="preserve">Scoping report on monitoring, reporting, and verification (MRV) targets for nutrition and diets being used by agricultural impact investing funds with a nutrition focus.56    </v>
      </c>
      <c r="E20" s="4" t="str">
        <v>Number of knowledge products</v>
      </c>
      <c r="F20" s="4" t="str">
        <v>United States of America</v>
      </c>
      <c r="G20" s="5">
        <v>1</v>
      </c>
      <c r="H20" s="5">
        <v>51129</v>
      </c>
      <c r="I20" s="4" t="str">
        <v>Estimated costs for time of interdisciplinary teams of researchers and local partners, data collection costs</v>
      </c>
      <c r="J20" s="4">
        <v>5555</v>
      </c>
    </row>
    <row r="21" ht="50" customHeight="1">
      <c r="B21" s="4" t="str">
        <v>IFPRI</v>
      </c>
      <c r="D21" s="4" t="str">
        <v>Report documenting framework and metrics for measuring progress from impact investing in MSMEs in market systems for healthy diets.56</v>
      </c>
      <c r="E21" s="4" t="str">
        <v>Number of knowledge products</v>
      </c>
      <c r="F21" s="4" t="str">
        <v>United States of America, Colombia, Kenya</v>
      </c>
      <c r="G21" s="5">
        <v>1</v>
      </c>
      <c r="H21" s="5">
        <v>51129</v>
      </c>
      <c r="I21" s="4" t="str">
        <v>Estimated costs for time of interdisciplinary teams of researchers and local partners, data collection costs</v>
      </c>
      <c r="J21" s="4">
        <v>5557</v>
      </c>
    </row>
    <row r="22" ht="50" customHeight="1">
      <c r="B22" s="4" t="str">
        <v>IFPRI</v>
      </c>
      <c r="D22" s="4" t="str">
        <v>Reports describing availability of, and demand for, insurance and other financial products among value chain actors for nutrient-dense foods.56</v>
      </c>
      <c r="E22" s="4" t="str">
        <v>Number of knowledge products</v>
      </c>
      <c r="F22" s="4" t="str">
        <v>United States of America, Philippines, The Socialist Republic of Viet Nam</v>
      </c>
      <c r="G22" s="5">
        <v>2</v>
      </c>
      <c r="H22" s="5">
        <v>102257</v>
      </c>
      <c r="I22" s="4" t="str">
        <v>Estimated costs for time of interdisciplinary teams of researchers and local partners, data collection costs.</v>
      </c>
      <c r="J22" s="4">
        <v>5558</v>
      </c>
    </row>
    <row r="23" ht="50" customHeight="1">
      <c r="B23" s="4" t="str">
        <v>IFPRI</v>
      </c>
      <c r="D23" s="4" t="str">
        <v>Asset-based financing product to enable small enterprises processing and distributing dairy, eggs, and vegetables to invest, grow, and build resilience.56</v>
      </c>
      <c r="E23" s="4" t="str">
        <v>Number of innovations (innovation development)</v>
      </c>
      <c r="F23" s="4" t="str">
        <v>United States of America, Bangladesh</v>
      </c>
      <c r="G23" s="5">
        <v>1</v>
      </c>
      <c r="H23" s="5">
        <v>51129</v>
      </c>
      <c r="I23" s="4" t="str">
        <v>Estimated costs for time of interdisciplinary teams of researchers and local partners, data collection costs.</v>
      </c>
      <c r="J23" s="4">
        <v>5559</v>
      </c>
    </row>
    <row r="24" ht="50" customHeight="1">
      <c r="B24" s="4" t="str">
        <v>IFPRI</v>
      </c>
      <c r="D24" s="4" t="str">
        <v>Motivating brief on role/need for innovative finance in markets for healthy foods and a discussion or working paper on first year results.56</v>
      </c>
      <c r="E24" s="4" t="str">
        <v>Number of knowledge products</v>
      </c>
      <c r="F24" s="4" t="str">
        <v>United States of America, Bangladesh</v>
      </c>
      <c r="G24" s="5">
        <v>2</v>
      </c>
      <c r="H24" s="5">
        <v>102257</v>
      </c>
      <c r="I24" s="4" t="str">
        <v>Estimated costs for time of interdisciplinary teams of researchers and local partners, data collection costs</v>
      </c>
      <c r="J24" s="4">
        <v>5560</v>
      </c>
    </row>
    <row r="25" ht="50" customHeight="1">
      <c r="B25" s="4" t="str">
        <v>IFPRI</v>
      </c>
      <c r="D25" s="4" t="str">
        <v>Bundled financial and insurance product targeted towards female smallholder cattle farmers in Bangladesh</v>
      </c>
      <c r="E25" s="4" t="str">
        <v>Number of innovations (innovation development)</v>
      </c>
      <c r="F25" s="4" t="str">
        <v>United States of America, Bangladesh</v>
      </c>
      <c r="G25" s="5">
        <v>1</v>
      </c>
      <c r="H25" s="5">
        <v>51129</v>
      </c>
      <c r="I25" s="4" t="str">
        <v>Personnel costs based on standard organizational salary scales.</v>
      </c>
      <c r="J25" s="4">
        <v>7987</v>
      </c>
    </row>
    <row r="26" ht="50" customHeight="1">
      <c r="A26" s="4" t="str">
        <v>AOW02: Market Systems</v>
      </c>
      <c r="B26" s="4" t="str">
        <v>IFPRI</v>
      </c>
      <c r="C26" s="4" t="str">
        <v>Suite of solutions focused on farm input dealers, food traders, processors, and/or retailers that promote food quality and safety, reduce food loss, improve efficiency, and/or facilitate intermediation developed and tested with technical support and country engagement</v>
      </c>
      <c r="D26" s="4" t="str">
        <v>Discussion papers describing (1) public and private benefits of meat decontamination and implications for policy implementation and (2) consumer acceptability of meat decontamination.38</v>
      </c>
      <c r="E26" s="4" t="str">
        <v>Number of knowledge products</v>
      </c>
      <c r="F26" s="4" t="str">
        <v>United States of America, Canada, Kenya</v>
      </c>
      <c r="G26" s="5">
        <v>2</v>
      </c>
      <c r="H26" s="5">
        <v>100000</v>
      </c>
      <c r="I26" s="4" t="str">
        <v>Estimated costs for time of interdisciplinary teams of researchers and local partners, data collection costs</v>
      </c>
      <c r="J26" s="4">
        <v>5567</v>
      </c>
    </row>
    <row r="27" ht="50" customHeight="1">
      <c r="B27" s="4" t="str">
        <v>IFPRI</v>
      </c>
      <c r="D27" s="4" t="str">
        <v>Stakeholder mapping and engagement to identify, analyze, and prioritize the people or groups that could be engaged in regulatory approval of meat decontamination, a strategy to reduce microbial contamination.38</v>
      </c>
      <c r="E27" s="4" t="str">
        <v>custom</v>
      </c>
      <c r="F27" s="4" t="str">
        <v>United States of America, Canada, Kenya</v>
      </c>
      <c r="G27" s="5">
        <v>1</v>
      </c>
      <c r="H27" s="5">
        <v>50000</v>
      </c>
      <c r="I27" s="4" t="str">
        <v>Estimated costs for time of interdisciplinary teams of researchers and local partners, data collection costs</v>
      </c>
      <c r="J27" s="4">
        <v>5571</v>
      </c>
    </row>
    <row r="28" ht="50" customHeight="1">
      <c r="B28" s="4" t="str">
        <v>IFPRI</v>
      </c>
      <c r="D28" s="4" t="str">
        <v>Network-based survey, a process for gathering data to explain where vegetables are being traded and sold and to quantify food loss at different points in the value chain.41</v>
      </c>
      <c r="E28" s="4" t="str">
        <v>Number of innovations (innovation development)</v>
      </c>
      <c r="F28" s="4" t="str">
        <v>United States of America, Tanzania, United Republic</v>
      </c>
      <c r="G28" s="5">
        <v>1</v>
      </c>
      <c r="H28" s="5">
        <v>150000</v>
      </c>
      <c r="I28" s="4" t="str">
        <v>Estimated costs for time of interdisciplinary teams of researchers and local partners, data collection costs</v>
      </c>
      <c r="J28" s="4">
        <v>5572</v>
      </c>
    </row>
    <row r="29" ht="50" customHeight="1">
      <c r="B29" s="4" t="str">
        <v>IFPRI</v>
      </c>
      <c r="D29" s="4" t="str">
        <v>Information campaign to improve milk quality and safety in Ethiopia.36</v>
      </c>
      <c r="E29" s="4" t="str">
        <v>Number of innovations (innovation development)</v>
      </c>
      <c r="F29" s="4" t="str">
        <v>Morocco, Belgium, Kenya, Ethiopia</v>
      </c>
      <c r="G29" s="5">
        <v>1</v>
      </c>
      <c r="H29" s="5">
        <v>21250</v>
      </c>
      <c r="I29" s="4" t="str">
        <v>Estimated costs for time of interdisciplinary teams of researchers and local partners, data collection costs</v>
      </c>
      <c r="J29" s="4">
        <v>7968</v>
      </c>
    </row>
    <row r="30" ht="50" customHeight="1">
      <c r="B30" s="4" t="str">
        <v>IFPRI</v>
      </c>
      <c r="D30" s="4" t="str">
        <v>Paper on sequential interventions in Uganda that tested innovations on milk quality testing, price signaling.36</v>
      </c>
      <c r="E30" s="4" t="str">
        <v>Number of knowledge products</v>
      </c>
      <c r="F30" s="4" t="str">
        <v>Kenya, Belgium, Uganda</v>
      </c>
      <c r="G30" s="5">
        <v>1</v>
      </c>
      <c r="H30" s="5">
        <v>21250</v>
      </c>
      <c r="I30" s="4" t="str">
        <v>Estimated costs for time of interdisciplinary teams of researchers and local partners, data collection costs</v>
      </c>
      <c r="J30" s="4">
        <v>7971</v>
      </c>
    </row>
    <row r="31" ht="50" customHeight="1">
      <c r="B31" s="4" t="str">
        <v>IFPRI</v>
      </c>
      <c r="D31" s="4" t="str">
        <v>Innovations for Uganda's dairy sector to enhance milk quality.36</v>
      </c>
      <c r="E31" s="4" t="str">
        <v>Number of innovations (innovation development)</v>
      </c>
      <c r="F31" s="4" t="str">
        <v>Belgium, Uganda</v>
      </c>
      <c r="G31" s="5">
        <v>2</v>
      </c>
      <c r="H31" s="5">
        <v>42500</v>
      </c>
      <c r="I31" s="4" t="str">
        <v>Estimated costs for time of interdisciplinary teams of researchers and local partners, data collection costs</v>
      </c>
      <c r="J31" s="4">
        <v>7973</v>
      </c>
    </row>
    <row r="32" ht="50" customHeight="1">
      <c r="B32" s="4" t="str">
        <v>IFPRI</v>
      </c>
      <c r="D32" s="4" t="str">
        <v>Approaches for deploying meat decontamination, a technology to improve food safety and reduce food loss.38</v>
      </c>
      <c r="E32" s="4" t="str">
        <v>Number of innovations (innovation development)</v>
      </c>
      <c r="F32" s="4" t="str">
        <v>Canada, Ethiopia</v>
      </c>
      <c r="G32" s="5">
        <v>1</v>
      </c>
      <c r="H32" s="5">
        <v>50000</v>
      </c>
      <c r="I32" s="4" t="str">
        <v>Estimated costs for time of interdisciplinary teams of researchers and local partners, data collection costs</v>
      </c>
      <c r="J32" s="4">
        <v>7974</v>
      </c>
    </row>
    <row r="33" ht="50" customHeight="1">
      <c r="B33" s="4" t="str">
        <v>IFPRI</v>
      </c>
      <c r="D33" s="4" t="str">
        <v>Dissertation on developing strategies to reduce the disease burden of mycotoxin contamination in Ethiopia</v>
      </c>
      <c r="E33" s="4" t="str">
        <v>Number of people trained (capacity sharing for development)</v>
      </c>
      <c r="F33" s="4" t="str">
        <v>United States of America, Kenya, Ethiopia</v>
      </c>
      <c r="G33" s="5">
        <v>1</v>
      </c>
      <c r="H33" s="5">
        <v>25000</v>
      </c>
      <c r="I33" s="4" t="str">
        <v>Personnel costs based on standard organizational salary scales.</v>
      </c>
      <c r="J33" s="4">
        <v>7985</v>
      </c>
    </row>
    <row r="34" ht="50" customHeight="1">
      <c r="B34" s="4" t="str">
        <v>IFPRI</v>
      </c>
      <c r="D34" s="4" t="str">
        <v>Refrigeration-equipped truck and logistical support system for fruit and vegetable farmers and retailers in Nigeria</v>
      </c>
      <c r="E34" s="4" t="str">
        <v>Number of innovations (innovation development)</v>
      </c>
      <c r="F34" s="4" t="str">
        <v>United States of America, Nigeria</v>
      </c>
      <c r="G34" s="5">
        <v>1</v>
      </c>
      <c r="H34" s="5">
        <v>25000</v>
      </c>
      <c r="I34" s="4" t="str">
        <v>Personnel costs based on standard organizational salary scales.</v>
      </c>
      <c r="J34" s="4">
        <v>7986</v>
      </c>
    </row>
    <row r="35" ht="50" customHeight="1">
      <c r="A35" s="4" t="str">
        <v>AOW02: Market Systems</v>
      </c>
      <c r="B35" s="4" t="str">
        <v>IFPRI</v>
      </c>
      <c r="C35" s="4" t="str">
        <v>Policy options and engagement that support domestic food and trade policies that promote sustainable healthy diets, and in particular, limit the growing supply and consumption of ultra-processed foods</v>
      </c>
      <c r="D35" s="4" t="str">
        <v>Critical Capabilities: Discussion paper and policy brief that both focus on the extent to which trade liberalization for animal source foods can play a role in improving the affordability and accessibility of healthy diet components.33</v>
      </c>
      <c r="E35" s="4" t="str">
        <v>Number of knowledge products</v>
      </c>
      <c r="F35" s="4" t="str">
        <v>Senegal</v>
      </c>
      <c r="G35" s="5">
        <v>2</v>
      </c>
      <c r="H35" s="5">
        <v>100000</v>
      </c>
      <c r="I35" s="4" t="str">
        <v>Personnel costs based on standard organizational salary scales.</v>
      </c>
      <c r="J35" s="4">
        <v>5573</v>
      </c>
    </row>
    <row r="36" ht="50" customHeight="1">
      <c r="B36" s="4" t="str">
        <v>IFPRI</v>
      </c>
      <c r="D36" s="4" t="str">
        <v>Report documenting role of trade policy and political economy in the availability of ultra-processed foods</v>
      </c>
      <c r="E36" s="4" t="str">
        <v>Number of knowledge products</v>
      </c>
      <c r="F36" s="4" t="str">
        <v>Uganda, Tanzania, United Republic, United States of America, Côte d'Ivoire, Honduras</v>
      </c>
      <c r="G36" s="5">
        <v>1</v>
      </c>
      <c r="H36" s="5">
        <v>25000</v>
      </c>
      <c r="I36" s="4" t="str">
        <v>Personnel costs based on standard organizational salary scales.</v>
      </c>
      <c r="J36" s="4">
        <v>7976</v>
      </c>
    </row>
    <row r="37" ht="50" customHeight="1">
      <c r="B37" s="4" t="str">
        <v>IFPRI</v>
      </c>
      <c r="D37" s="4" t="str">
        <v>Webinar targeted at policy audiences on links between trade policy and availability of ultra-processed foods.54</v>
      </c>
      <c r="E37" s="4" t="str">
        <v>custom</v>
      </c>
      <c r="F37" s="4" t="str">
        <v>Côte d'Ivoire, United States of America, Honduras, Uganda, Tanzania, United Republic</v>
      </c>
      <c r="G37" s="5">
        <v>1</v>
      </c>
      <c r="H37" s="5">
        <v>25000</v>
      </c>
      <c r="I37" s="4" t="str">
        <v>Personnel costs based on standard organizational salary scales.</v>
      </c>
      <c r="J37" s="4">
        <v>7978</v>
      </c>
    </row>
    <row r="38" ht="50" customHeight="1">
      <c r="B38" s="4" t="str">
        <v>IFPRI</v>
      </c>
      <c r="D38" s="4" t="str">
        <v>Set of briefs on projected changes to demand for nutrient dense foods resulting from value chain changes from war in Iran.20</v>
      </c>
      <c r="E38" s="4" t="str">
        <v>Number of knowledge products</v>
      </c>
      <c r="F38" s="4" t="str">
        <v>Bangladesh, The Socialist Republic of Viet Nam, Tanzania, United Republic, Ethiopia, Honduras, United States of America, Philippines</v>
      </c>
      <c r="G38" s="5">
        <v>3</v>
      </c>
      <c r="H38" s="5">
        <v>110000</v>
      </c>
      <c r="I38" s="4" t="str">
        <v>Personnel costs based on standard organizational salary scales.</v>
      </c>
      <c r="J38" s="4">
        <v>7991</v>
      </c>
    </row>
    <row r="39" ht="25" customHeight="1">
      <c r="C39" s="9" t="str">
        <v>HLO budget subtotal</v>
      </c>
      <c r="H39" s="9">
        <v>1205158</v>
      </c>
      <c r="J39" s="9" t="str">
        <v/>
      </c>
    </row>
    <row r="40" ht="50" customHeight="1">
      <c r="A40" s="8" t="str">
        <v>AOW03: End-to-end Solutions</v>
      </c>
      <c r="B40" s="4" t="str">
        <v>IFPRI</v>
      </c>
      <c r="C40" s="4" t="str">
        <v xml:space="preserve"> Policy options and engagement that address constraints to sustainable healthy diets (AoW3)</v>
      </c>
      <c r="D40" s="4" t="str">
        <v>Stakeholder workshop to disseminate results and policy implications from the evaluation of the e-voucher program in the Philippines.39</v>
      </c>
      <c r="E40" s="4" t="str">
        <v>custom</v>
      </c>
      <c r="F40" s="4" t="str">
        <v>United States of America, Philippines</v>
      </c>
      <c r="G40" s="5">
        <v>1</v>
      </c>
      <c r="H40" s="5">
        <v>175000</v>
      </c>
      <c r="I40" s="4" t="str">
        <v>Meeting costs include venue, catering, materials, and facilitators</v>
      </c>
      <c r="J40" s="4">
        <v>5574</v>
      </c>
    </row>
    <row r="41" ht="50" customHeight="1">
      <c r="B41" s="4" t="str">
        <v>IFPRI</v>
      </c>
      <c r="D41" s="4" t="str">
        <v xml:space="preserve">Policy analyses on production and diets related to fruit and vegetables and other enabling environment domains </v>
      </c>
      <c r="E41" s="4" t="str">
        <v>Number of knowledge products</v>
      </c>
      <c r="F41" s="4" t="str">
        <v>United States of America, Tanzania, United Republic, Netherlands (Kingdom of the), Sri Lanka</v>
      </c>
      <c r="G41" s="5">
        <v>4</v>
      </c>
      <c r="H41" s="5">
        <v>50000</v>
      </c>
      <c r="I41" s="4" t="str">
        <v xml:space="preserve">Estimated costs for time of interdisciplinary teams of researchers and local partners, data collection costs. </v>
      </c>
      <c r="J41" s="4">
        <v>8187</v>
      </c>
    </row>
    <row r="42" ht="50" customHeight="1">
      <c r="B42" s="4" t="str">
        <v>IFPRI</v>
      </c>
      <c r="D42" s="4" t="str">
        <v>Engagement with key internal partners to discuss learnings from the work to date and plan for 2027 and beyond on the end to end approach for improving diets in Tanzania, Sri Lanka and Philippines</v>
      </c>
      <c r="E42" s="4" t="str">
        <v>custom</v>
      </c>
      <c r="F42" s="4" t="str">
        <v>Tanzania, United Republic, Sri Lanka, United States of America, United Kingdom of Great Britain and Northern Ireland, Philippines</v>
      </c>
      <c r="G42" s="5">
        <v>1</v>
      </c>
      <c r="H42" s="5">
        <v>75000</v>
      </c>
      <c r="I42" s="4" t="str">
        <v xml:space="preserve">Estimated costs for time of interdisciplinary teams of researchers and local partners to meet. </v>
      </c>
      <c r="J42" s="4">
        <v>8188</v>
      </c>
    </row>
    <row r="43" ht="50" customHeight="1">
      <c r="A43" s="4" t="str">
        <v>AOW03: End-to-end Solutions</v>
      </c>
      <c r="B43" s="4" t="str">
        <v>IFPRI</v>
      </c>
      <c r="C43" s="4" t="str">
        <v>Suite of end-to-end solutions for fruit and vegetable producers, traders, processors, and vendors/retailers that promote food quality and safety, reduce food loss, and increase profits co-developed, tested, and scaled</v>
      </c>
      <c r="D43" s="4" t="str">
        <v>Published results from the impact evaluation of the e-voucher program in the Philippines.39</v>
      </c>
      <c r="E43" s="4" t="str">
        <v>Number of knowledge products</v>
      </c>
      <c r="F43" s="4" t="str">
        <v>United States of America, Philippines</v>
      </c>
      <c r="G43" s="5">
        <v>1</v>
      </c>
      <c r="H43" s="5">
        <v>220000</v>
      </c>
      <c r="I43" s="4" t="str">
        <v>Personnel costs based on standard organizational salary scales.</v>
      </c>
      <c r="J43" s="4">
        <v>5577</v>
      </c>
    </row>
    <row r="44" ht="50" customHeight="1">
      <c r="B44" s="4" t="str">
        <v>IFPRI</v>
      </c>
      <c r="D44" s="4" t="str">
        <v>Published results on dietary intake on diets, fruit and veg production, agricultural practices and other domains from baseline of the end-to-end (E2E) evaluation in Sri Lanka</v>
      </c>
      <c r="E44" s="4" t="str">
        <v>Number of knowledge products</v>
      </c>
      <c r="F44" s="4" t="str">
        <v>Pakistan, United States of America, Sri Lanka</v>
      </c>
      <c r="G44" s="5">
        <v>4</v>
      </c>
      <c r="H44" s="5">
        <v>224078</v>
      </c>
      <c r="I44" s="4" t="str">
        <v>Personnel costs based on standard organizational salary scales.</v>
      </c>
      <c r="J44" s="4">
        <v>5579</v>
      </c>
    </row>
    <row r="45" ht="50" customHeight="1">
      <c r="B45" s="4" t="str">
        <v>IFPRI</v>
      </c>
      <c r="D45" s="4" t="str">
        <v>"Safe Vegetables" brand and marketing strategy to signal vegetable quality and safety and boost consumer confidence.51</v>
      </c>
      <c r="E45" s="4" t="str">
        <v>Number of innovations (innovation development)</v>
      </c>
      <c r="F45" s="4" t="str">
        <v>Australia, United States of America, Tanzania, United Republic</v>
      </c>
      <c r="G45" s="5">
        <v>1</v>
      </c>
      <c r="H45" s="5">
        <v>106294</v>
      </c>
      <c r="I45" s="4" t="str">
        <v xml:space="preserve">Estimated costs for time of interdisciplinary teams of researchers and local partners, data collection costs. </v>
      </c>
      <c r="J45" s="4">
        <v>5581</v>
      </c>
    </row>
    <row r="46" ht="50" customHeight="1">
      <c r="B46" s="4" t="str">
        <v>IFPRI</v>
      </c>
      <c r="D46" s="4" t="str">
        <v>Innovation to strengthen capacity of vegetable vendors in Tanzania.51</v>
      </c>
      <c r="E46" s="4" t="str">
        <v>Number of innovations (innovation development)</v>
      </c>
      <c r="F46" s="4" t="str">
        <v>United Kingdom of Great Britain and Northern Ireland, Tanzania, United Republic</v>
      </c>
      <c r="G46" s="5">
        <v>1</v>
      </c>
      <c r="H46" s="5">
        <v>106294</v>
      </c>
      <c r="I46" s="4" t="str">
        <v>Estimated costs for time of interdisciplinary teams of researchers and local partners, data collection costs</v>
      </c>
      <c r="J46" s="4">
        <v>5587</v>
      </c>
    </row>
    <row r="47" ht="50" customHeight="1">
      <c r="B47" s="4" t="str">
        <v>IFPRI</v>
      </c>
      <c r="D47" s="4" t="str">
        <v>Innovations that overcome household and community barriers to vegetable consumption in Tanzania.51</v>
      </c>
      <c r="E47" s="4" t="str">
        <v>Number of innovations (innovation development)</v>
      </c>
      <c r="F47" s="4" t="str">
        <v>United Kingdom of Great Britain and Northern Ireland, Tanzania, United Republic</v>
      </c>
      <c r="G47" s="5">
        <v>2</v>
      </c>
      <c r="H47" s="5">
        <v>212588</v>
      </c>
      <c r="I47" s="4" t="str">
        <v>Estimated costs for time of interdisciplinary teams of researchers and local partners, data collection costs.</v>
      </c>
      <c r="J47" s="4">
        <v>5588</v>
      </c>
    </row>
    <row r="48" ht="50" customHeight="1">
      <c r="B48" s="4" t="str">
        <v>IFPRI</v>
      </c>
      <c r="D48" s="4" t="str">
        <v>Published results on various dimensions of the the end-to-end evaluation in Tanzania, including vegetable farming practices, diets and nutrition, the food environment, and gender, equity, and social inclusion issues.51</v>
      </c>
      <c r="E48" s="4" t="str">
        <v>Number of knowledge products</v>
      </c>
      <c r="F48" s="4" t="str">
        <v>United States of America, United Kingdom of Great Britain and Northern Ireland, Mexico, Tanzania, United Republic</v>
      </c>
      <c r="G48" s="5">
        <v>7</v>
      </c>
      <c r="H48" s="5">
        <v>790309</v>
      </c>
      <c r="I48" s="4" t="str">
        <v>Personnel costs based on standard organizational salary scales.</v>
      </c>
      <c r="J48" s="4">
        <v>5590</v>
      </c>
    </row>
    <row r="49" ht="50" customHeight="1">
      <c r="B49" s="4" t="str">
        <v>IFPRI</v>
      </c>
      <c r="D49" s="4" t="str">
        <v>Training workshops to build capacity for vegetable production and multistakeholder collaboration</v>
      </c>
      <c r="E49" s="4" t="str">
        <v>Number of people trained (capacity sharing for development)</v>
      </c>
      <c r="F49" s="4" t="str">
        <v>United States of America, Sri Lanka, Tanzania, United Republic</v>
      </c>
      <c r="G49" s="5">
        <v>10</v>
      </c>
      <c r="H49" s="5">
        <v>266667</v>
      </c>
      <c r="I49" s="4" t="str">
        <v>Meeting costs include venue, catering, materials, and facilitators.</v>
      </c>
      <c r="J49" s="4">
        <v>5592</v>
      </c>
    </row>
    <row r="50" ht="50" customHeight="1">
      <c r="B50" s="4" t="str">
        <v>IFPRI</v>
      </c>
      <c r="D50" s="4" t="str">
        <v>Training materials and/or communication resources that build capacity to design and implement demand-side and supply-side interventions for end-to-end approaches for vegetables .07</v>
      </c>
      <c r="E50" s="4" t="str">
        <v>Number of knowledge products</v>
      </c>
      <c r="F50" s="4" t="str">
        <v>United States of America, Benin, Sri Lanka, Tanzania, United Republic</v>
      </c>
      <c r="G50" s="5">
        <v>5</v>
      </c>
      <c r="H50" s="5">
        <v>133333</v>
      </c>
      <c r="I50" s="4" t="str">
        <v>Personnel costs based on standard organizational salary scales</v>
      </c>
      <c r="J50" s="4">
        <v>5594</v>
      </c>
    </row>
    <row r="51" ht="50" customHeight="1">
      <c r="B51" s="4" t="str">
        <v>IFPRI</v>
      </c>
      <c r="D51" s="4" t="str">
        <v>End-to-end approach for increasing fruit and vegetable consumption to improve diet quality, nutrition, and health outcomes; whilst improving livelihoods, empowering women and youth and mitigating negative environmental impacts in Tanzania</v>
      </c>
      <c r="E51" s="4" t="str">
        <v>Number of innovations (innovation development)</v>
      </c>
      <c r="F51" s="4" t="str">
        <v>United States of America, United Kingdom of Great Britain and Northern Ireland, Tanzania, United Republic</v>
      </c>
      <c r="G51" s="5">
        <v>1</v>
      </c>
      <c r="H51" s="5">
        <v>106294</v>
      </c>
      <c r="I51" s="4" t="str">
        <v xml:space="preserve">Estimated costs for time of interdisciplinary teams of researchers and local partners, data collection costs. </v>
      </c>
      <c r="J51" s="4">
        <v>7992</v>
      </c>
    </row>
    <row r="52" ht="50" customHeight="1">
      <c r="B52" s="4" t="str">
        <v>IFPRI</v>
      </c>
      <c r="D52" s="4" t="str">
        <v>End-to-end approach for increasing fruit and vegetable consumption to improve diet quality, nutrition, and health outcomes; whilst improving livelihoods, empowering women and youth and mitigating negative environmental impacts in Sri Lanka.49</v>
      </c>
      <c r="E52" s="4" t="str">
        <v>Number of innovations (innovation development)</v>
      </c>
      <c r="F52" s="4" t="str">
        <v>United States of America, Sri Lanka</v>
      </c>
      <c r="G52" s="5">
        <v>1</v>
      </c>
      <c r="H52" s="5">
        <v>44457</v>
      </c>
      <c r="I52" s="4" t="str">
        <v xml:space="preserve">Estimated costs for time of interdisciplinary teams of researchers and local partners, data collection costs. </v>
      </c>
      <c r="J52" s="4">
        <v>7994</v>
      </c>
    </row>
    <row r="53" ht="50" customHeight="1">
      <c r="B53" s="4" t="str">
        <v>IFPRI</v>
      </c>
      <c r="D53" s="4" t="str">
        <v>Co-created engagement strategy for national and sub-national stakeholders</v>
      </c>
      <c r="E53" s="4" t="str">
        <v>Number of innovations (innovation development)</v>
      </c>
      <c r="F53" s="4" t="str">
        <v>Uganda, United States of America, Malaysia, Tanzania, United Republic, Sri Lanka</v>
      </c>
      <c r="G53" s="5">
        <v>2</v>
      </c>
      <c r="H53" s="5">
        <v>25000</v>
      </c>
      <c r="I53" s="4" t="str">
        <v xml:space="preserve">Estimated costs for time of interdisciplinary teams of researchers and local partners, data collection costs. </v>
      </c>
      <c r="J53" s="4">
        <v>8172</v>
      </c>
    </row>
    <row r="54" ht="50" customHeight="1">
      <c r="B54" s="4" t="str">
        <v>IFPRI</v>
      </c>
      <c r="D54" s="4" t="str">
        <v>Innovations that improve farmer access to vegetable seeds, increase year-round vegetable production, improve post-harvest management, enhance food safety, reduce water loss, and promote sustainability and resilience in target regions in Sri Lanka</v>
      </c>
      <c r="E54" s="4" t="str">
        <v>Number of innovations (innovation development)</v>
      </c>
      <c r="F54" s="4" t="str">
        <v>Pakistan, Sri Lanka</v>
      </c>
      <c r="G54" s="5">
        <v>5</v>
      </c>
      <c r="H54" s="5">
        <v>222285</v>
      </c>
      <c r="I54" s="4" t="str">
        <v xml:space="preserve">Estimated costs for time of interdisciplinary teams of researchers and local partners, data collection costs. </v>
      </c>
      <c r="J54" s="4">
        <v>8184</v>
      </c>
    </row>
    <row r="55" ht="50" customHeight="1">
      <c r="B55" s="4" t="str">
        <v>IFPRI</v>
      </c>
      <c r="D55" s="4" t="str">
        <v>Innovations that overcome household and community barriers to vegetable consumption in Sri Lanka</v>
      </c>
      <c r="E55" s="4" t="str">
        <v>Number of innovations (innovation development)</v>
      </c>
      <c r="F55" s="4" t="str">
        <v>United States of America, Sri Lanka</v>
      </c>
      <c r="G55" s="5">
        <v>1</v>
      </c>
      <c r="H55" s="5">
        <v>44457</v>
      </c>
      <c r="I55" s="4" t="str">
        <v xml:space="preserve">Estimated costs for time of interdisciplinary teams of researchers and local partners, data collection costs. </v>
      </c>
      <c r="J55" s="4">
        <v>8185</v>
      </c>
    </row>
    <row r="56" ht="50" customHeight="1">
      <c r="B56" s="4" t="str">
        <v>IFPRI</v>
      </c>
      <c r="D56" s="4" t="str">
        <v>Country-specific training course content and materials for course to build capacity on multi-stakeholder and multi-sectoral collaboration for healthy diets, including production and intake of F&amp;V</v>
      </c>
      <c r="E56" s="4" t="str">
        <v>Number of innovations (innovation development)</v>
      </c>
      <c r="F56" s="4" t="str">
        <v>United States of America, Tanzania, United Republic, Sri Lanka, Netherlands (Kingdom of the)</v>
      </c>
      <c r="G56" s="5">
        <v>2</v>
      </c>
      <c r="H56" s="5">
        <v>25000</v>
      </c>
      <c r="I56" s="4" t="str">
        <v>Personnel costs based on standard organizational salary scales.</v>
      </c>
      <c r="J56" s="4">
        <v>8186</v>
      </c>
    </row>
    <row r="57" ht="50" customHeight="1">
      <c r="B57" s="4" t="str">
        <v>IFPRI</v>
      </c>
      <c r="D57" s="4" t="str">
        <v>Innovations that improve farmer access to and adoption of improved vegetable seeds, increase year-round vegetable production, improve post-harvest management, enhance food safety, reduce water loss, and promote sustainability and resilience in target regions in Tanzania</v>
      </c>
      <c r="E57" s="4" t="str">
        <v>Number of innovations (innovation development)</v>
      </c>
      <c r="F57" s="4" t="str">
        <v>Tanzania, United Republic, Pakistan, India, United Kingdom of Great Britain and Northern Ireland</v>
      </c>
      <c r="G57" s="5">
        <v>5</v>
      </c>
      <c r="H57" s="5">
        <v>531471</v>
      </c>
      <c r="I57" s="4" t="str">
        <v xml:space="preserve">Estimated costs for time of interdisciplinary teams of researchers and local partners to meet. </v>
      </c>
      <c r="J57" s="4">
        <v>8190</v>
      </c>
    </row>
    <row r="58" ht="50" customHeight="1">
      <c r="A58" s="4" t="str">
        <v>AOW03: End-to-end Solutions</v>
      </c>
      <c r="B58" s="4" t="str">
        <v>IFPRI</v>
      </c>
      <c r="C58" s="4" t="str">
        <v xml:space="preserve"> Suite of integrated end-to-end solutions for food producers, traders, processors, and vendors/retailers that promote  food quality and safety, reduce food loss, and increase profits co-developed, tested, and scaled</v>
      </c>
      <c r="D58" s="4" t="str">
        <v>Published results from several studies studying the nexus of livestock/aquatic ownership, income, and consumption patterns in  relationship to the food environment in Tanzania.34</v>
      </c>
      <c r="E58" s="4" t="str">
        <v>Number of knowledge products</v>
      </c>
      <c r="F58" s="4" t="str">
        <v>United States of America, Malaysia, Uganda, Tanzania, United Republic</v>
      </c>
      <c r="G58" s="5">
        <v>2</v>
      </c>
      <c r="H58" s="5">
        <v>103000</v>
      </c>
      <c r="I58" s="4" t="str">
        <v>Personnel costs based on standard organizational salary scales.</v>
      </c>
      <c r="J58" s="4">
        <v>7996</v>
      </c>
    </row>
    <row r="59" ht="25" customHeight="1">
      <c r="C59" s="9" t="str">
        <v>HLO budget subtotal</v>
      </c>
      <c r="H59" s="9">
        <v>3461527</v>
      </c>
      <c r="J59" s="9" t="str">
        <v/>
      </c>
    </row>
    <row r="60" ht="50" customHeight="1">
      <c r="A60" s="8" t="str">
        <v>AOW04: Biofortified and Health-enhancing Staples</v>
      </c>
      <c r="B60" s="4" t="str">
        <v>IFPRI</v>
      </c>
      <c r="C60" s="4" t="str">
        <v xml:space="preserve"> Policy options and engagement that address constraints to sustainable healthy diets (AoW4)</v>
      </c>
      <c r="D60" s="4" t="str">
        <v>Recommendations for pilot product profiles integrating nutrition traits</v>
      </c>
      <c r="E60" s="4" t="str">
        <v>Number of knowledge products</v>
      </c>
      <c r="F60" s="4" t="str">
        <v>United States of America, Nigeria, Tanzania, United Republic, Kenya, Ethiopia</v>
      </c>
      <c r="G60" s="5">
        <v>1</v>
      </c>
      <c r="H60" s="5">
        <v>13335</v>
      </c>
      <c r="I60" s="4" t="str">
        <v>Personnel costs based on standard organizational salary scales.</v>
      </c>
      <c r="J60" s="4">
        <v>8008</v>
      </c>
    </row>
    <row r="61" ht="50" customHeight="1">
      <c r="B61" s="4" t="str">
        <v>IFPRI</v>
      </c>
      <c r="D61" s="4" t="str">
        <v>Validated national recommendations linking policy, regulatory, and technical pathways for embedding biofortified crops into breeding pipelines</v>
      </c>
      <c r="E61" s="4" t="str">
        <v>Number of knowledge products</v>
      </c>
      <c r="F61" s="4" t="str">
        <v>United States of America, Nigeria, Kenya, Tanzania, United Republic, Ethiopia</v>
      </c>
      <c r="G61" s="5">
        <v>1</v>
      </c>
      <c r="H61" s="5">
        <v>13333</v>
      </c>
      <c r="I61" s="4" t="str">
        <v>Personnel costs based on standard organizational salary scales.</v>
      </c>
      <c r="J61" s="4">
        <v>8009</v>
      </c>
    </row>
    <row r="62" ht="50" customHeight="1">
      <c r="B62" s="4" t="str">
        <v>IFPRI</v>
      </c>
      <c r="D62" s="4" t="str">
        <v>Nutrition-sensitive breeding guidelines and policy briefs aligned to NAIPs</v>
      </c>
      <c r="E62" s="4" t="str">
        <v>Number of knowledge products</v>
      </c>
      <c r="F62" s="4" t="str">
        <v>United States of America, Nigeria, Tanzania, United Republic, Kenya, Ethiopia</v>
      </c>
      <c r="G62" s="5">
        <v>1</v>
      </c>
      <c r="H62" s="5">
        <v>13333</v>
      </c>
      <c r="I62" s="4" t="str">
        <v>Personnel costs based on standard organizational salary scales.</v>
      </c>
      <c r="J62" s="4">
        <v>8056</v>
      </c>
    </row>
    <row r="63" ht="50" customHeight="1">
      <c r="A63" s="4" t="str">
        <v>AOW04: Biofortified and Health-enhancing Staples</v>
      </c>
      <c r="B63" s="4" t="str">
        <v>IFPRI</v>
      </c>
      <c r="C63" s="4" t="str">
        <v>Framework for embedding nutrition into breeding pipelines and processes.</v>
      </c>
      <c r="D63" s="4" t="str">
        <v>Nutrition-sensitive breeding guidelines and policy briefs aligned to NAIPs</v>
      </c>
      <c r="E63" s="4" t="str">
        <v>Number of knowledge products</v>
      </c>
      <c r="F63" s="4" t="str">
        <v>United States of America, Nigeria, Tanzania, United Republic, Kenya, Ethiopia</v>
      </c>
      <c r="G63" s="5">
        <v>1</v>
      </c>
      <c r="H63" s="5">
        <v>13333</v>
      </c>
      <c r="I63" s="4" t="str">
        <v>Personnel costs based on standard organizational salary scales.</v>
      </c>
      <c r="J63" s="4">
        <v>8225</v>
      </c>
    </row>
    <row r="64" ht="50" customHeight="1">
      <c r="B64" s="4" t="str">
        <v>IFPRI</v>
      </c>
      <c r="D64" s="4" t="str">
        <v>Validated national recommendations linking policy, regulatory, and technical pathways for embedding biofortified crops into breeding pipelines</v>
      </c>
      <c r="E64" s="4" t="str">
        <v>Number of knowledge products</v>
      </c>
      <c r="F64" s="4" t="str">
        <v>United States of America, Nigeria, Kenya, Tanzania, United Republic, Ethiopia</v>
      </c>
      <c r="G64" s="5">
        <v>1</v>
      </c>
      <c r="H64" s="5">
        <v>13333</v>
      </c>
      <c r="I64" s="4" t="str">
        <v>Personnel costs based on standard organizational salary scales.</v>
      </c>
      <c r="J64" s="4">
        <v>8227</v>
      </c>
    </row>
    <row r="65" ht="50" customHeight="1">
      <c r="B65" s="4" t="str">
        <v>IFPRI</v>
      </c>
      <c r="D65" s="4" t="str">
        <v>Recommendations for pilot product profiles integrating nutrition traits</v>
      </c>
      <c r="E65" s="4" t="str">
        <v>Number of knowledge products</v>
      </c>
      <c r="F65" s="4" t="str">
        <v>United States of America, Nigeria, Tanzania, United Republic, Kenya, Ethiopia</v>
      </c>
      <c r="G65" s="5">
        <v>1</v>
      </c>
      <c r="H65" s="5">
        <v>13333</v>
      </c>
      <c r="I65" s="4" t="str">
        <v>Personnel costs based on standard organizational salary scales.</v>
      </c>
      <c r="J65" s="4">
        <v>8229</v>
      </c>
    </row>
    <row r="66" ht="25" customHeight="1">
      <c r="C66" s="9" t="str">
        <v>HLO budget subtotal</v>
      </c>
      <c r="H66" s="9">
        <v>80000</v>
      </c>
      <c r="J66" s="9" t="str">
        <v/>
      </c>
    </row>
    <row r="67" ht="50" customHeight="1">
      <c r="A67" s="8" t="str">
        <v>AOW06: Transformative leadership</v>
      </c>
      <c r="B67" s="4" t="str">
        <v>IFPRI</v>
      </c>
      <c r="C67" s="4" t="str">
        <v xml:space="preserve">Amplify external profile of BDN/CGIAR through Regional dissemination activities and Food System Transformation engagements (CAADAP, ASEAN, UN FS Regional meetings)   </v>
      </c>
      <c r="D67" s="4" t="str">
        <v>Delivering for Nutrition (D4N) in South Asia conference.16</v>
      </c>
      <c r="E67" s="4" t="str">
        <v>custom</v>
      </c>
      <c r="F67" s="4" t="str">
        <v>Sri Lanka, United States of America, India, Nepal, Bangladesh</v>
      </c>
      <c r="G67" s="5">
        <v>1</v>
      </c>
      <c r="H67" s="5">
        <v>200000</v>
      </c>
      <c r="I67" s="4" t="str">
        <v>Event coordination/planning, communication, and dissemination including venue hire, catering, design, printing, and bursaries.</v>
      </c>
      <c r="J67" s="4">
        <v>5628</v>
      </c>
    </row>
    <row r="68" ht="50" customHeight="1" xml:space="preserve">
      <c r="A68" s="4" t="str">
        <v>AOW06: Transformative leadership</v>
      </c>
      <c r="B68" s="4" t="str">
        <v>IFPRI</v>
      </c>
      <c r="C68" s="4" t="str">
        <v xml:space="preserve">Targeted capacity-sharing events and activities that promote diet-focused thinking for regional food system stakeholders </v>
      </c>
      <c r="D68" s="4" t="str" xml:space="preserve">
        <v xml:space="preserve">Capacity needs assessment report on policy actions and strategic engagement to influence food systems thinking among different stakeholders including communities of practice
</v>
      </c>
      <c r="E68" s="4" t="str">
        <v>Number of knowledge products</v>
      </c>
      <c r="F68" s="4" t="str">
        <v>United States of America, Bangladesh, Ethiopia, Tanzania, United Republic, Honduras, Philippines, The Socialist Republic of Viet Nam</v>
      </c>
      <c r="G68" s="5">
        <v>1</v>
      </c>
      <c r="H68" s="5">
        <v>36740</v>
      </c>
      <c r="I68" s="4" t="str">
        <v>Estimated costs for time of interdisciplinary teams of researchers and local partners, data collection costs</v>
      </c>
      <c r="J68" s="4">
        <v>5630</v>
      </c>
    </row>
    <row r="69" ht="50" customHeight="1">
      <c r="B69" s="4" t="str">
        <v>IFPRI</v>
      </c>
      <c r="D69" s="4" t="str">
        <v>Bi-monthly webinar series for targeted stakeholders that can support regional coordination of food systems transformation efforts and agendas</v>
      </c>
      <c r="E69" s="4" t="str">
        <v>custom</v>
      </c>
      <c r="F69" s="4" t="str">
        <v>India, United States of America, Honduras, Bangladesh, Ethiopia, Tanzania, United Republic, Philippines, The Socialist Republic of Viet Nam</v>
      </c>
      <c r="G69" s="5">
        <v>6</v>
      </c>
      <c r="H69" s="5">
        <v>220440</v>
      </c>
      <c r="I69" s="4" t="str">
        <v>Personnel costs based on standard organizational salary scales.</v>
      </c>
      <c r="J69" s="4">
        <v>5632</v>
      </c>
    </row>
    <row r="70" ht="50" customHeight="1">
      <c r="B70" s="4" t="str">
        <v>IFPRI</v>
      </c>
      <c r="D70" s="4" t="str">
        <v>Critical Capabilities: Urban Food Environments and Diets (UFED) tool, an online resource that helps  stakeholders choose methods, tools, and indicators for assessing diets and food environments in urban and peri‑urban settings</v>
      </c>
      <c r="E70" s="4" t="str">
        <v>Number of innovations (innovation development)</v>
      </c>
      <c r="F70" s="4" t="str">
        <v>United States of America, Bangladesh, Philippines, Ethiopia, Honduras, The Socialist Republic of Viet Nam, Tanzania, United Republic</v>
      </c>
      <c r="G70" s="5">
        <v>1</v>
      </c>
      <c r="H70" s="5">
        <v>50000</v>
      </c>
      <c r="I70" s="4" t="str">
        <v>Personnel costs based on standard organizational salary scales.</v>
      </c>
      <c r="J70" s="4">
        <v>8073</v>
      </c>
    </row>
    <row r="71" ht="50" customHeight="1">
      <c r="B71" s="4" t="str">
        <v>IFPRI</v>
      </c>
      <c r="D71" s="4" t="str">
        <v>Concept note with business plan for a leadership course on diet-centered thinking for food systems transformation</v>
      </c>
      <c r="E71" s="4" t="str">
        <v>custom</v>
      </c>
      <c r="F71" s="4" t="str">
        <v>India, Philippines, Honduras, Ethiopia, The Socialist Republic of Viet Nam, Bangladesh, Tanzania, United Republic</v>
      </c>
      <c r="G71" s="5">
        <v>1</v>
      </c>
      <c r="H71" s="5">
        <v>36740</v>
      </c>
      <c r="I71" s="4" t="str">
        <v>Personnel costs based on standard organizational salary scales.</v>
      </c>
      <c r="J71" s="4">
        <v>8091</v>
      </c>
    </row>
    <row r="72" ht="50" customHeight="1">
      <c r="A72" s="4" t="str">
        <v>AOW06: Transformative leadership</v>
      </c>
      <c r="B72" s="4" t="str">
        <v>IFPRI</v>
      </c>
      <c r="C72" s="4" t="str">
        <v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v>
      </c>
      <c r="D72" s="4" t="str">
        <v>Critical Capabilities: Engagement and/or technical support to IFI stakeholders attending at least four strategic events for CGIAR's agenda on diets and nutrition.05</v>
      </c>
      <c r="E72" s="4" t="str">
        <v>custom</v>
      </c>
      <c r="F72" s="4" t="str">
        <v>India, Thailand, Türkiye, Philippines, United States of America</v>
      </c>
      <c r="G72" s="5">
        <v>4</v>
      </c>
      <c r="H72" s="5">
        <v>140151</v>
      </c>
      <c r="I72" s="4" t="str">
        <v>Communication and dissemination costs include design, printing, and event participation.</v>
      </c>
      <c r="J72" s="4">
        <v>5640</v>
      </c>
    </row>
    <row r="73" ht="50" customHeight="1">
      <c r="B73" s="4" t="str">
        <v>IFPRI</v>
      </c>
      <c r="D73" s="4" t="str">
        <v>Brief targeted to development finance actors on how to shape priorities for nutrition impact.37</v>
      </c>
      <c r="E73" s="4" t="str">
        <v>Number of knowledge products</v>
      </c>
      <c r="F73" s="4" t="str">
        <v>United States of America, India</v>
      </c>
      <c r="G73" s="5">
        <v>1</v>
      </c>
      <c r="H73" s="5">
        <v>36740</v>
      </c>
      <c r="I73" s="4" t="str">
        <v>Personnel costs based on standard organizational salary scales.</v>
      </c>
      <c r="J73" s="4">
        <v>7853</v>
      </c>
    </row>
    <row r="74" ht="50" customHeight="1">
      <c r="B74" s="4" t="str">
        <v>IFPRI</v>
      </c>
      <c r="D74" s="4" t="str">
        <v>Set of briefs on projected changes to demand for nutrient dense foods resulting from value chain changes from war in Iran</v>
      </c>
      <c r="E74" s="4" t="str">
        <v>Number of knowledge products</v>
      </c>
      <c r="F74" s="4" t="str">
        <v>The Socialist Republic of Viet Nam, Bangladesh, Ethiopia, Honduras, Philippines, Tanzania, United Republic, United States of America</v>
      </c>
      <c r="G74" s="5">
        <v>1</v>
      </c>
      <c r="H74" s="5">
        <v>36740</v>
      </c>
      <c r="I74" s="4" t="str">
        <v>Personnel costs based on standard organizational salary scales.</v>
      </c>
      <c r="J74" s="4">
        <v>7854</v>
      </c>
    </row>
    <row r="75" ht="25" customHeight="1">
      <c r="C75" s="9" t="str">
        <v>HLO budget subtotal</v>
      </c>
      <c r="H75" s="9">
        <v>757551</v>
      </c>
      <c r="J75" s="9" t="str">
        <v/>
      </c>
    </row>
  </sheetData>
  <mergeCells count="28">
    <mergeCell ref="A1:A2"/>
    <mergeCell ref="B1:B2"/>
    <mergeCell ref="C1:C2"/>
    <mergeCell ref="D1:H1"/>
    <mergeCell ref="I1:I2"/>
    <mergeCell ref="J1:J2"/>
    <mergeCell ref="C3:C9"/>
    <mergeCell ref="C10:C12"/>
    <mergeCell ref="C13:C17"/>
    <mergeCell ref="C18:G18"/>
    <mergeCell ref="A3:A18"/>
    <mergeCell ref="C19:C25"/>
    <mergeCell ref="C26:C34"/>
    <mergeCell ref="C35:C38"/>
    <mergeCell ref="C39:G39"/>
    <mergeCell ref="A19:A39"/>
    <mergeCell ref="C40:C42"/>
    <mergeCell ref="C43:C57"/>
    <mergeCell ref="C59:G59"/>
    <mergeCell ref="A40:A59"/>
    <mergeCell ref="C60:C62"/>
    <mergeCell ref="C63:C65"/>
    <mergeCell ref="C66:G66"/>
    <mergeCell ref="A60:A66"/>
    <mergeCell ref="C68:C71"/>
    <mergeCell ref="C72:C74"/>
    <mergeCell ref="C75:G75"/>
    <mergeCell ref="A67:A75"/>
  </mergeCells>
  <ignoredErrors>
    <ignoredError numberStoredAsText="1" sqref="A1:J75"/>
  </ignoredErrors>
</worksheet>
</file>

<file path=xl/worksheets/sheet3.xml><?xml version="1.0" encoding="utf-8"?>
<worksheet xmlns="http://schemas.openxmlformats.org/spreadsheetml/2006/main" xmlns:r="http://schemas.openxmlformats.org/officeDocument/2006/relationships">
  <dimension ref="A1:G2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Consumers and Food Environments</v>
      </c>
      <c r="B2" s="4" t="str">
        <v>Unknown Partner 1</v>
      </c>
      <c r="C2" s="4" t="str">
        <v>IFPRI</v>
      </c>
      <c r="D2" s="4" t="str">
        <v>Philippines</v>
      </c>
      <c r="E2" s="5">
        <v>137500</v>
      </c>
      <c r="F2" s="4" t="str">
        <v>Planning phase still in progress, with the partner yet to be confirmed. The partner will work on solutions focused on both consumers that promote consumption of sustainable healthy diets and vendors that promote employment opportunities and the sale of sustainable nutritious foods.</v>
      </c>
      <c r="G2" s="4">
        <v>467</v>
      </c>
    </row>
    <row r="3" ht="50" customHeight="1">
      <c r="A3" s="4" t="str">
        <v>AOW01: Consumers and Food Environments</v>
      </c>
      <c r="B3" s="4" t="str">
        <v>University of California, Davis</v>
      </c>
      <c r="C3" s="4" t="str">
        <v>IFPRI</v>
      </c>
      <c r="D3" s="4" t="str">
        <v>Bangladesh, Benin, Ethiopia, Ghana, Philippines, Sri Lanka, Tanzania, United Republic, The Socialist Republic of Viet Nam</v>
      </c>
      <c r="E3" s="5">
        <v>125500</v>
      </c>
      <c r="F3" s="4" t="str">
        <v>Agreement on the ToR, deliverables, timelines, and costs will proceed as planned.</v>
      </c>
      <c r="G3" s="4">
        <v>468</v>
      </c>
    </row>
    <row r="4" ht="50" customHeight="1">
      <c r="A4" s="4" t="str">
        <v>AOW01: Consumers and Food Environments</v>
      </c>
      <c r="B4" s="4" t="str">
        <v>University of Ghana</v>
      </c>
      <c r="C4" s="4" t="str">
        <v>IFPRI</v>
      </c>
      <c r="D4" s="4" t="str">
        <v>Bangladesh, Ethiopia, The Socialist Republic of Viet Nam</v>
      </c>
      <c r="E4" s="5">
        <v>17500</v>
      </c>
      <c r="F4" s="4" t="str">
        <v>Agreement on the ToR, deliverables, timelines, and costs will proceed as planned.</v>
      </c>
      <c r="G4" s="4">
        <v>469</v>
      </c>
    </row>
    <row r="5" ht="50" customHeight="1">
      <c r="A5" s="4" t="str">
        <v>AOW01: Consumers and Food Environments</v>
      </c>
      <c r="B5" s="4" t="str">
        <v>Wageningen University and Research Centre</v>
      </c>
      <c r="C5" s="4" t="str">
        <v>IFPRI</v>
      </c>
      <c r="D5" s="4" t="str">
        <v>Bangladesh, Benin, Ethiopia, Philippines, Sri Lanka, Tanzania, United Republic, The Socialist Republic of Viet Nam</v>
      </c>
      <c r="E5" s="5">
        <v>305790</v>
      </c>
      <c r="F5" s="4" t="str">
        <v>Agreement on the ToR, deliverables, timelines, and costs will proceed as planned.</v>
      </c>
      <c r="G5" s="4">
        <v>471</v>
      </c>
    </row>
    <row r="6" ht="50" customHeight="1">
      <c r="A6" s="4" t="str">
        <v>AOW01: Consumers and Food Environments</v>
      </c>
      <c r="B6" s="4" t="str">
        <v>Unknown Partner 2</v>
      </c>
      <c r="C6" s="4" t="str">
        <v>IFPRI</v>
      </c>
      <c r="D6" s="4" t="str">
        <v>Bangladesh, Ethiopia, The Socialist Republic of Viet Nam</v>
      </c>
      <c r="E6" s="5">
        <v>11700</v>
      </c>
      <c r="F6" s="4" t="str">
        <v>Planning phase still in progress, with the partner yet to be confirmed. The partner will work on work on solutions focused on both consumers that promote consumption of sustainable healthy diets and vendors that promote employment opportunities and the sale of sustainable nutritious foods.</v>
      </c>
      <c r="G6" s="4">
        <v>472</v>
      </c>
    </row>
    <row r="7" ht="25" customHeight="1">
      <c r="B7" s="9" t="str">
        <v>Contracted partners subtotal</v>
      </c>
      <c r="E7" s="9">
        <v>597990</v>
      </c>
      <c r="F7" s="9" t="str">
        <v/>
      </c>
      <c r="G7" s="9" t="str">
        <v/>
      </c>
    </row>
    <row r="8" ht="50" customHeight="1">
      <c r="A8" s="8" t="str">
        <v>AOW02: Market Systems</v>
      </c>
      <c r="B8" s="4" t="str">
        <v>Shakti Foundation</v>
      </c>
      <c r="C8" s="4" t="str">
        <v>IFPRI</v>
      </c>
      <c r="D8" s="4" t="str">
        <v>Bangladesh</v>
      </c>
      <c r="E8" s="5">
        <v>20000</v>
      </c>
      <c r="F8" s="4" t="str">
        <v>Agreement on ToR, deliverables, timelines and costs will proceed as planned.</v>
      </c>
      <c r="G8" s="4">
        <v>412</v>
      </c>
    </row>
    <row r="9" ht="50" customHeight="1">
      <c r="A9" s="4" t="str">
        <v>AOW02: Market Systems</v>
      </c>
      <c r="B9" s="4" t="str">
        <v>Addis Ababa University</v>
      </c>
      <c r="C9" s="4" t="str">
        <v>IFPRI</v>
      </c>
      <c r="D9" s="4" t="str">
        <v>Ethiopia</v>
      </c>
      <c r="E9" s="5">
        <v>70000</v>
      </c>
      <c r="F9" s="4" t="str">
        <v>Agreement on ToR, deliverables, timelines and costs will proceed as planned.</v>
      </c>
      <c r="G9" s="4">
        <v>413</v>
      </c>
    </row>
    <row r="10" ht="50" customHeight="1">
      <c r="A10" s="4" t="str">
        <v>AOW02: Market Systems</v>
      </c>
      <c r="B10" s="4" t="str">
        <v>Southeast Asian Regional Center for Graduate Study</v>
      </c>
      <c r="C10" s="4" t="str">
        <v>IFPRI</v>
      </c>
      <c r="D10" s="4" t="str">
        <v>The Socialist Republic of Viet Nam</v>
      </c>
      <c r="E10" s="5">
        <v>10000</v>
      </c>
      <c r="F10" s="4" t="str">
        <v>Agreement on ToR, deliverables, timelines and costs will proceed as planned.</v>
      </c>
      <c r="G10" s="4">
        <v>414</v>
      </c>
    </row>
    <row r="11" ht="50" customHeight="1">
      <c r="A11" s="4" t="str">
        <v>AOW02: Market Systems</v>
      </c>
      <c r="B11" s="4" t="str">
        <v>Institute of Policy and Strategy for Agriculture and Rural Development</v>
      </c>
      <c r="C11" s="4" t="str">
        <v>IFPRI</v>
      </c>
      <c r="D11" s="4" t="str">
        <v>The Socialist Republic of Viet Nam</v>
      </c>
      <c r="E11" s="5">
        <v>10000</v>
      </c>
      <c r="F11" s="4" t="str">
        <v>Agreement on ToR, deliverables, timelines and costs will proceed as planned.</v>
      </c>
      <c r="G11" s="4">
        <v>415</v>
      </c>
    </row>
    <row r="12" ht="50" customHeight="1">
      <c r="A12" s="4" t="str">
        <v>AOW02: Market Systems</v>
      </c>
      <c r="B12" s="4" t="str">
        <v>Innovations for Poverty Action</v>
      </c>
      <c r="C12" s="4" t="str">
        <v>IFPRI</v>
      </c>
      <c r="D12" s="4" t="str">
        <v>Tanzania, United Republic</v>
      </c>
      <c r="E12" s="5">
        <v>57265</v>
      </c>
      <c r="F12" s="4" t="str">
        <v>Agreement on ToR, deliverables, timelines and costs will proceed as planned.</v>
      </c>
      <c r="G12" s="4">
        <v>432</v>
      </c>
    </row>
    <row r="13" ht="25" customHeight="1">
      <c r="B13" s="9" t="str">
        <v>Contracted partners subtotal</v>
      </c>
      <c r="E13" s="9">
        <v>167265</v>
      </c>
      <c r="F13" s="9" t="str">
        <v/>
      </c>
      <c r="G13" s="9" t="str">
        <v/>
      </c>
    </row>
    <row r="14" ht="50" customHeight="1">
      <c r="A14" s="8" t="str">
        <v>AOW03: End-to-end Solutions</v>
      </c>
      <c r="B14" s="4" t="str">
        <v>Wageningen University and Research Centre</v>
      </c>
      <c r="C14" s="4" t="str">
        <v>IFPRI</v>
      </c>
      <c r="D14" s="4" t="str">
        <v>Bangladesh, Benin, Ethiopia, Philippines, Sri Lanka, Tanzania, United Republic, The Socialist Republic of Viet Nam</v>
      </c>
      <c r="E14" s="5">
        <v>525000</v>
      </c>
      <c r="F14" s="4" t="str">
        <v>Agreement on the ToR, deliverables, timelines, and costs will proceed as planned.</v>
      </c>
      <c r="G14" s="4">
        <v>473</v>
      </c>
    </row>
    <row r="15" ht="50" customHeight="1">
      <c r="A15" s="4" t="str">
        <v>AOW03: End-to-end Solutions</v>
      </c>
      <c r="B15" s="4" t="str">
        <v>University of California, Davis</v>
      </c>
      <c r="C15" s="4" t="str">
        <v>IFPRI</v>
      </c>
      <c r="D15" s="4" t="str">
        <v>Bangladesh, Benin, Ethiopia, Ghana, Philippines, Sri Lanka, Tanzania, United Republic, The Socialist Republic of Viet Nam</v>
      </c>
      <c r="E15" s="5">
        <v>146247</v>
      </c>
      <c r="F15" s="4" t="str">
        <v>Agreement on the ToR, deliverables, timelines, and costs will proceed as planned.</v>
      </c>
      <c r="G15" s="4">
        <v>474</v>
      </c>
    </row>
    <row r="16" ht="50" customHeight="1">
      <c r="A16" s="4" t="str">
        <v>AOW03: End-to-end Solutions</v>
      </c>
      <c r="B16" s="4" t="str">
        <v>University of the Philippines Los Baños</v>
      </c>
      <c r="C16" s="4" t="str">
        <v>IFPRI</v>
      </c>
      <c r="D16" s="4" t="str">
        <v>Philippines</v>
      </c>
      <c r="E16" s="5">
        <v>50000</v>
      </c>
      <c r="F16" s="4" t="str">
        <v>Agreement on the ToR, deliverables, timelines, and costs will proceed as planned.</v>
      </c>
      <c r="G16" s="4">
        <v>475</v>
      </c>
    </row>
    <row r="17" ht="50" customHeight="1">
      <c r="A17" s="4" t="str">
        <v>AOW03: End-to-end Solutions</v>
      </c>
      <c r="B17" s="4" t="str">
        <v>Global Alliance for Improved Nutrition</v>
      </c>
      <c r="C17" s="4" t="str">
        <v>IFPRI</v>
      </c>
      <c r="D17" s="4" t="str">
        <v>Tanzania, United Republic</v>
      </c>
      <c r="E17" s="5">
        <v>60572</v>
      </c>
      <c r="F17" s="4" t="str">
        <v>Agreement on the ToR, deliverables, timelines, and costs will proceed as planned.</v>
      </c>
      <c r="G17" s="4">
        <v>476</v>
      </c>
    </row>
    <row r="18" ht="50" customHeight="1">
      <c r="A18" s="4" t="str">
        <v>AOW03: End-to-end Solutions</v>
      </c>
      <c r="B18" s="4" t="str">
        <v>The World Vegetable Center</v>
      </c>
      <c r="C18" s="4" t="str">
        <v>IFPRI</v>
      </c>
      <c r="D18" s="4" t="str">
        <v>Benin, Philippines, Sri Lanka, Tanzania, United Republic</v>
      </c>
      <c r="E18" s="5">
        <v>606148</v>
      </c>
      <c r="F18" s="4" t="str">
        <v>Agreement on the ToR, deliverables, timelines, and costs will proceed as planned.</v>
      </c>
      <c r="G18" s="4">
        <v>477</v>
      </c>
    </row>
    <row r="19" ht="50" customHeight="1">
      <c r="A19" s="4" t="str">
        <v>AOW03: End-to-end Solutions</v>
      </c>
      <c r="B19" s="4" t="str">
        <v>The University of Sydney</v>
      </c>
      <c r="C19" s="4" t="str">
        <v>IFPRI</v>
      </c>
      <c r="D19" s="4" t="str">
        <v>Benin, Philippines, Sri Lanka, Tanzania, United Republic</v>
      </c>
      <c r="E19" s="5">
        <v>130520</v>
      </c>
      <c r="F19" s="4" t="str">
        <v>Agreement on the ToR, deliverables, timelines, and costs will proceed as planned.</v>
      </c>
      <c r="G19" s="4">
        <v>481</v>
      </c>
    </row>
    <row r="20" ht="25" customHeight="1">
      <c r="B20" s="9" t="str">
        <v>Contracted partners subtotal</v>
      </c>
      <c r="E20" s="9">
        <v>1518487</v>
      </c>
      <c r="F20" s="9" t="str">
        <v/>
      </c>
      <c r="G20" s="9" t="str">
        <v/>
      </c>
    </row>
  </sheetData>
  <mergeCells count="6">
    <mergeCell ref="B7:D7"/>
    <mergeCell ref="A2:A7"/>
    <mergeCell ref="B13:D13"/>
    <mergeCell ref="A8:A13"/>
    <mergeCell ref="B20:D20"/>
    <mergeCell ref="A14:A20"/>
  </mergeCells>
  <ignoredErrors>
    <ignoredError numberStoredAsText="1" sqref="A1:G20"/>
  </ignoredErrors>
</worksheet>
</file>

<file path=xl/worksheets/sheet4.xml><?xml version="1.0" encoding="utf-8"?>
<worksheet xmlns="http://schemas.openxmlformats.org/spreadsheetml/2006/main" xmlns:r="http://schemas.openxmlformats.org/officeDocument/2006/relationships">
  <dimension ref="A1:F1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N-301055-SOCIAL TRANS IMPROV NUTR</v>
      </c>
      <c r="C2" s="4" t="str">
        <v>Suite of multisectoral solutions for government and non-government organizations that address constraints to sustainable healthy diets co-developed, tested, and scaled with technical support and country engagement</v>
      </c>
      <c r="D2" s="5">
        <v>471896</v>
      </c>
      <c r="E2" s="4" t="str">
        <v>Budget subject to agreement of both parties on scope of work, deliverables to be delivered at a given period, estimation of costs, and manner of payment.</v>
      </c>
      <c r="F2" s="4">
        <v>1069</v>
      </c>
    </row>
    <row r="3" ht="60" customHeight="1">
      <c r="A3" s="4" t="str">
        <v>IFPRI</v>
      </c>
      <c r="B3" s="4" t="str">
        <v>N-301058-POSHAN PH 3</v>
      </c>
      <c r="C3" s="4" t="str">
        <v xml:space="preserve">Targeted capacity-sharing events and activities that promote diet-focused thinking for regional food system stakeholders </v>
      </c>
      <c r="D3" s="5">
        <v>689102</v>
      </c>
      <c r="E3" s="4" t="str">
        <v>Budget subject to agreement of both parties on scope of work, deliverables to be delivered at a given period, estimation of costs, and manner of payment.</v>
      </c>
      <c r="F3" s="4">
        <v>1073</v>
      </c>
    </row>
    <row r="4" ht="60" customHeight="1">
      <c r="A4" s="4" t="str">
        <v>IFPRI</v>
      </c>
      <c r="B4" s="4" t="str">
        <v>N-303026-CHILD SCHOOL LUNCH-GHANA</v>
      </c>
      <c r="C4" s="4" t="str">
        <v>Suite of multisectoral solutions for government and non-government organizations that address constraints to sustainable healthy diets co-developed, tested, and scaled with technical support and country engagement</v>
      </c>
      <c r="D4" s="5">
        <v>302715</v>
      </c>
      <c r="E4" s="4" t="str">
        <v>Budget subject to agreement of both parties on scope of work, deliverables to be delivered at a given period, estimation of costs, and manner of payment.</v>
      </c>
      <c r="F4" s="4">
        <v>1070</v>
      </c>
    </row>
    <row r="5" ht="60" customHeight="1">
      <c r="A5" s="4" t="str">
        <v>IFPRI</v>
      </c>
      <c r="B5" s="4" t="str">
        <v>N-303028-SMALLHOLDERS ACCESS-SOLAR</v>
      </c>
      <c r="C5" s="4" t="str">
        <v>Suite of multisectoral solutions for government and non-government organizations that address constraints to sustainable healthy diets co-developed, tested, and scaled with technical support and country engagement</v>
      </c>
      <c r="D5" s="5">
        <v>210578</v>
      </c>
      <c r="E5" s="4" t="str">
        <v>Budget subject to agreement of both parties on scope of work, deliverables to be delivered at a given period, estimation of costs, and manner of payment.</v>
      </c>
      <c r="F5" s="4">
        <v>1072</v>
      </c>
    </row>
    <row r="6" ht="60" customHeight="1">
      <c r="A6" s="4" t="str">
        <v>IFPRI</v>
      </c>
      <c r="B6" s="4" t="str">
        <v>N-306005-NUTRITION STATUS-BIHAR&amp;OD</v>
      </c>
      <c r="C6" s="4" t="str">
        <v>Suite of solutions for producers and processors that address constraints to sustainable healthy diets co-developed, tested, and scaled with technical support and country engagement</v>
      </c>
      <c r="D6" s="5">
        <v>164677</v>
      </c>
      <c r="E6" s="4" t="str">
        <v>Budget subject to agreement of both parties on scope of work, deliverables to be delivered at a given period, estimation of costs, and manner of payment.</v>
      </c>
      <c r="F6" s="4">
        <v>1060</v>
      </c>
    </row>
    <row r="7" ht="60" customHeight="1">
      <c r="A7" s="4" t="str">
        <v>IFPRI</v>
      </c>
      <c r="B7" s="4" t="str">
        <v>N-601170-WASTING DETECTION&amp;TREATME</v>
      </c>
      <c r="C7" s="4" t="str">
        <v>Suite of multisectoral solutions for government and non-government organizations that address constraints to sustainable healthy diets co-developed, tested, and scaled with technical support and country engagement</v>
      </c>
      <c r="D7" s="5">
        <v>542057</v>
      </c>
      <c r="E7" s="4" t="str">
        <v>Budget subject to agreement of both parties on scope of work, deliverables to be delivered at a given period, estimation of costs, and manner of payment.</v>
      </c>
      <c r="F7" s="4">
        <v>1071</v>
      </c>
    </row>
    <row r="8" ht="60" customHeight="1">
      <c r="A8" s="4" t="str">
        <v>IFPRI</v>
      </c>
      <c r="B8" s="4" t="str">
        <v>N-606015-BIO-FORTIFICATION DEPLOYM</v>
      </c>
      <c r="C8" s="4" t="str">
        <v>Suite of solutions for producers and processors that address constraints to sustainable healthy diets co-developed, tested, and scaled with technical support and country engagement</v>
      </c>
      <c r="D8" s="5">
        <v>441662</v>
      </c>
      <c r="E8" s="4" t="str">
        <v>Budget subject to agreement of both parties on scope of work, deliverables to be delivered at a given period, estimation of costs, and manner of payment.</v>
      </c>
      <c r="F8" s="4">
        <v>1051</v>
      </c>
    </row>
    <row r="9" ht="60" customHeight="1">
      <c r="A9" s="4" t="str">
        <v>IFPRI</v>
      </c>
      <c r="B9" s="4" t="str">
        <v>N-606021-MEAL PROGRAMS INDIA</v>
      </c>
      <c r="C9" s="4" t="str">
        <v>Suite of multisectoral solutions for government and non-government organizations that address constraints to sustainable healthy diets co-developed, tested, and scaled with technical support and country engagement</v>
      </c>
      <c r="D9" s="5">
        <v>499318</v>
      </c>
      <c r="E9" s="4" t="str">
        <v>Budget subject to agreement of both parties on scope of work, deliverables to be delivered at a given period, estimation of costs, and manner of payment.</v>
      </c>
      <c r="F9" s="4">
        <v>1067</v>
      </c>
    </row>
    <row r="10" ht="60" customHeight="1">
      <c r="A10" s="4" t="str">
        <v>IFPRI</v>
      </c>
      <c r="B10" s="4" t="str">
        <v>N-606024-KTM SCHOOL FEED</v>
      </c>
      <c r="C10" s="4" t="str">
        <v>Suite of solutions for traders and vendors that address constraints to sustainable healthy diets co-developed, tested, and scaled with technical support and country engagement</v>
      </c>
      <c r="D10" s="5">
        <v>0</v>
      </c>
      <c r="E10" s="4" t="str">
        <v/>
      </c>
      <c r="F10" s="4">
        <v>1062</v>
      </c>
    </row>
    <row r="11" ht="60" customHeight="1">
      <c r="A11" s="4" t="str">
        <v>IFPRI</v>
      </c>
      <c r="B11" s="4" t="str">
        <v>N-632006-PARES</v>
      </c>
      <c r="C11" s="4" t="str">
        <v>Suite of multisectoral solutions for government and non-government organizations that address constraints to sustainable healthy diets co-developed, tested, and scaled with technical support and country engagement</v>
      </c>
      <c r="D11" s="5">
        <v>202167</v>
      </c>
      <c r="E11" s="4" t="str">
        <v>Budget subject to agreement of both parties on scope of work, deliverables to be delivered at a given period, estimation of costs, and manner of payment.</v>
      </c>
      <c r="F11" s="4">
        <v>1068</v>
      </c>
    </row>
    <row r="12" ht="60" customHeight="1">
      <c r="A12" s="4" t="str">
        <v>IFPRI</v>
      </c>
      <c r="B12" s="4" t="str">
        <v>N-644H03-HP–GAC–ENFS</v>
      </c>
      <c r="C12" s="4" t="str">
        <v>Suite of solutions for producers and processors that address constraints to sustainable healthy diets co-developed, tested, and scaled with technical support and country engagement</v>
      </c>
      <c r="D12" s="5">
        <v>384260</v>
      </c>
      <c r="E12" s="4" t="str">
        <v>Budget subject to agreement of both parties on scope of work, deliverables to be delivered at a given period, estimation of costs, and manner of payment.</v>
      </c>
      <c r="F12" s="4">
        <v>1054</v>
      </c>
    </row>
    <row r="13" ht="60" customHeight="1">
      <c r="A13" s="4" t="str">
        <v>IFPRI</v>
      </c>
      <c r="B13" s="4" t="str">
        <v>N-644H06-HP-WV-REACTS-IN-Finance</v>
      </c>
      <c r="C13" s="4" t="str">
        <v>Suite of multisectoral solutions for government and non-government organizations that address constraints to sustainable healthy diets co-developed, tested, and scaled with technical support and country engagement</v>
      </c>
      <c r="D13" s="5">
        <v>572088</v>
      </c>
      <c r="E13" s="4" t="str">
        <v>Budget subject to agreement of both parties on scope of work, deliverables to be delivered at a given period, estimation of costs, and manner of payment.</v>
      </c>
      <c r="F13" s="4">
        <v>1066</v>
      </c>
    </row>
    <row r="14" ht="60" customHeight="1">
      <c r="A14" s="4" t="str">
        <v>IFPRI</v>
      </c>
      <c r="B14" s="4" t="str">
        <v>N-644H12 - NUTRIHARVEST</v>
      </c>
      <c r="C14" s="4" t="str">
        <v>Suite of solutions for producers and processors that address constraints to sustainable healthy diets co-developed, tested, and scaled with technical support and country engagement</v>
      </c>
      <c r="D14" s="5">
        <v>590004</v>
      </c>
      <c r="E14" s="4" t="str">
        <v>Budget subject to agreement of both parties on scope of work, deliverables to be delivered at a given period, estimation of costs, and manner of payment.</v>
      </c>
      <c r="F14" s="4">
        <v>1057</v>
      </c>
    </row>
    <row r="15" ht="60" customHeight="1">
      <c r="A15" s="4" t="str">
        <v>IFPRI</v>
      </c>
      <c r="B15" s="4" t="str">
        <v>N333009</v>
      </c>
      <c r="C15" s="4" t="str">
        <v>Suite of multisectoral solutions for government and non-government organizations that address constraints to sustainable healthy diets co-developed, tested, and scaled with technical support and country engagement</v>
      </c>
      <c r="D15" s="5">
        <v>164760</v>
      </c>
      <c r="E15" s="4" t="str">
        <v>Budget subject to agreement of both parties on scope of work, deliverables to be delivered at a given period, estimation of costs, and manner of payment.</v>
      </c>
      <c r="F15" s="4">
        <v>1065</v>
      </c>
    </row>
    <row r="16" ht="25" customHeight="1">
      <c r="B16" s="9" t="str">
        <v>W3/Bilateral budget subtotal</v>
      </c>
      <c r="D16" s="9">
        <v>5235284</v>
      </c>
      <c r="E16" s="9" t="str">
        <v/>
      </c>
      <c r="F16" s="9" t="str">
        <v/>
      </c>
    </row>
  </sheetData>
  <mergeCells count="2">
    <mergeCell ref="B16:C16"/>
    <mergeCell ref="A2:A16"/>
  </mergeCells>
  <ignoredErrors>
    <ignoredError numberStoredAsText="1" sqref="A1:F16"/>
  </ignoredErrors>
</worksheet>
</file>

<file path=xl/worksheets/sheet5.xml><?xml version="1.0" encoding="utf-8"?>
<worksheet xmlns="http://schemas.openxmlformats.org/spreadsheetml/2006/main" xmlns:r="http://schemas.openxmlformats.org/officeDocument/2006/relationships">
  <dimension ref="A1:H3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IFPRI</v>
      </c>
      <c r="C2" s="4" t="str">
        <v xml:space="preserve">Actor Engagement and Assumption Validation </v>
      </c>
      <c r="D2"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 s="4" t="str">
        <v>N/A</v>
      </c>
      <c r="F2" s="5">
        <v>0</v>
      </c>
      <c r="G2" s="4" t="str">
        <v/>
      </c>
      <c r="H2" s="4">
        <v>683</v>
      </c>
    </row>
    <row r="3" ht="60" customHeight="1">
      <c r="A3" s="4" t="str">
        <v>AOW00: Cross Cutting</v>
      </c>
      <c r="B3" s="4" t="str">
        <v>IFPRI</v>
      </c>
      <c r="C3" s="4" t="str">
        <v>Configuration and Integration of AoWs</v>
      </c>
      <c r="D3" s="4" t="str">
        <v>Food producers, traders, processors, and/or retailers adopt evidence-based solutions to improve food safety and quality in target markets​ Food traders, processors, and/or retailers adopt effective components of bundled solutions to reduce food loss and waste</v>
      </c>
      <c r="E3" s="4" t="str">
        <v>N/A</v>
      </c>
      <c r="F3" s="5">
        <v>0</v>
      </c>
      <c r="G3" s="4" t="str">
        <v/>
      </c>
      <c r="H3" s="4">
        <v>696</v>
      </c>
    </row>
    <row r="4" ht="60" customHeight="1">
      <c r="A4" s="4" t="str">
        <v>AOW00: Cross Cutting</v>
      </c>
      <c r="B4" s="4" t="str">
        <v>IFPRI</v>
      </c>
      <c r="C4" s="4" t="str">
        <v>Strategic Coherence Across Geographies</v>
      </c>
      <c r="D4" s="4" t="str">
        <v>Producers and processors adopt and scale biofortified and health-enhancing crops</v>
      </c>
      <c r="E4" s="4" t="str">
        <v>N/A</v>
      </c>
      <c r="F4" s="5">
        <v>0</v>
      </c>
      <c r="G4" s="4" t="str">
        <v/>
      </c>
      <c r="H4" s="4">
        <v>710</v>
      </c>
    </row>
    <row r="5" ht="60" customHeight="1">
      <c r="A5" s="4" t="str">
        <v>AOW00: Cross Cutting</v>
      </c>
      <c r="B5" s="4" t="str">
        <v>IFPRI</v>
      </c>
      <c r="C5" s="4" t="str">
        <v>Value Addition of W3/Bilateral Projects</v>
      </c>
      <c r="D5" s="4" t="str">
        <v>Consumers demand and consume sustainable healthy diets</v>
      </c>
      <c r="E5" s="4" t="str">
        <v>N/A</v>
      </c>
      <c r="F5" s="5">
        <v>0</v>
      </c>
      <c r="G5" s="4" t="str">
        <v/>
      </c>
      <c r="H5" s="4">
        <v>713</v>
      </c>
    </row>
    <row r="6" ht="60" customHeight="1">
      <c r="A6" s="4" t="str">
        <v>AOW00: Cross Cutting</v>
      </c>
      <c r="B6" s="4" t="str">
        <v>IFPRI</v>
      </c>
      <c r="C6" s="4" t="str">
        <v>Internal Learning and Use of MELIA Results</v>
      </c>
      <c r="D6" s="4" t="str">
        <v>Consumers demand and consume sustainable healthy diets</v>
      </c>
      <c r="E6" s="4" t="str">
        <v>N/A</v>
      </c>
      <c r="F6" s="5">
        <v>0</v>
      </c>
      <c r="G6" s="4" t="str">
        <v/>
      </c>
      <c r="H6" s="4">
        <v>715</v>
      </c>
    </row>
    <row r="7" ht="60" customHeight="1">
      <c r="A7" s="4" t="str">
        <v>AOW00: Cross Cutting</v>
      </c>
      <c r="B7" s="4" t="str">
        <v>IFPRI</v>
      </c>
      <c r="C7" s="4" t="str">
        <v>Portfolio-Level Nutrition Contribution</v>
      </c>
      <c r="D7" s="4" t="str">
        <v>Consumers demand and consume sustainable healthy diets</v>
      </c>
      <c r="E7" s="4" t="str">
        <v>N/A</v>
      </c>
      <c r="F7" s="5">
        <v>0</v>
      </c>
      <c r="G7" s="4" t="str">
        <v/>
      </c>
      <c r="H7" s="4">
        <v>719</v>
      </c>
    </row>
    <row r="8" ht="60" customHeight="1">
      <c r="A8" s="4" t="str">
        <v>AOW00: Cross Cutting</v>
      </c>
      <c r="B8" s="4" t="str">
        <v>IFPRI</v>
      </c>
      <c r="C8" s="4" t="str">
        <v>QoR4D Assessment and Monitoring Framework for Better Diets and Nutrition (BDN)</v>
      </c>
      <c r="D8" s="4" t="str">
        <v>Consumers demand and consume sustainable healthy diets</v>
      </c>
      <c r="E8" s="4" t="str">
        <v>N/A</v>
      </c>
      <c r="F8" s="5">
        <v>0</v>
      </c>
      <c r="G8" s="4" t="str">
        <v/>
      </c>
      <c r="H8" s="4">
        <v>720</v>
      </c>
    </row>
    <row r="9" ht="25" customHeight="1">
      <c r="C9" s="9" t="str">
        <v>MELIA budget subtotal</v>
      </c>
      <c r="F9" s="9">
        <v>0</v>
      </c>
      <c r="G9" s="9" t="str">
        <v/>
      </c>
      <c r="H9" s="9" t="str">
        <v/>
      </c>
    </row>
    <row r="10" ht="60" customHeight="1">
      <c r="A10" s="8" t="str">
        <v>AOW01: Consumers and Food Environments</v>
      </c>
      <c r="B10" s="4" t="str">
        <v>IFPRI</v>
      </c>
      <c r="C10" s="4" t="str">
        <v xml:space="preserve">Actor Engagement and Assumption Validation </v>
      </c>
      <c r="D10"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0" s="4" t="str">
        <v>N/A</v>
      </c>
      <c r="F10" s="5">
        <v>0</v>
      </c>
      <c r="G10" s="4" t="str">
        <v/>
      </c>
      <c r="H10" s="4">
        <v>673</v>
      </c>
    </row>
    <row r="11" ht="60" customHeight="1">
      <c r="A11" s="4" t="str">
        <v>AOW01: Consumers and Food Environments</v>
      </c>
      <c r="B11" s="4" t="str">
        <v>IFPRI</v>
      </c>
      <c r="C11" s="4" t="str">
        <v>Configuration and Integration of AoWs</v>
      </c>
      <c r="D11" s="4" t="str">
        <v>Food producers, traders, processors, and/or retailers adopt evidence-based solutions to improve food safety and quality in target markets​ Food traders, processors, and/or retailers adopt effective components of bundled solutions to reduce food loss and waste</v>
      </c>
      <c r="E11" s="4" t="str">
        <v>N/A</v>
      </c>
      <c r="F11" s="5">
        <v>0</v>
      </c>
      <c r="G11" s="4" t="str">
        <v/>
      </c>
      <c r="H11" s="4">
        <v>690</v>
      </c>
    </row>
    <row r="12" ht="60" customHeight="1">
      <c r="A12" s="4" t="str">
        <v>AOW01: Consumers and Food Environments</v>
      </c>
      <c r="B12" s="4" t="str">
        <v>IFPRI</v>
      </c>
      <c r="C12" s="4" t="str">
        <v>Strategic Coherence Across Geographies</v>
      </c>
      <c r="D12" s="4" t="str">
        <v>Producers and processors adopt and scale biofortified and health-enhancing crops</v>
      </c>
      <c r="E12" s="4" t="str">
        <v>N/A</v>
      </c>
      <c r="F12" s="5">
        <v>0</v>
      </c>
      <c r="G12" s="4" t="str">
        <v/>
      </c>
      <c r="H12" s="4">
        <v>704</v>
      </c>
    </row>
    <row r="13" ht="25" customHeight="1">
      <c r="C13" s="9" t="str">
        <v>MELIA budget subtotal</v>
      </c>
      <c r="F13" s="9">
        <v>0</v>
      </c>
      <c r="G13" s="9" t="str">
        <v/>
      </c>
      <c r="H13" s="9" t="str">
        <v/>
      </c>
    </row>
    <row r="14" ht="60" customHeight="1">
      <c r="A14" s="8" t="str">
        <v>AOW02: Market Systems</v>
      </c>
      <c r="B14" s="4" t="str">
        <v>IFPRI</v>
      </c>
      <c r="C14" s="4" t="str">
        <v>Impact Assessments to improve quality, efficiency, and access to finance in healthy food value chains</v>
      </c>
      <c r="D14" s="4" t="str">
        <v>Food traders and retailers adopt methods of differentiating food products by quality dimensions Food traders, processors, and retailers adopt effective components of bundled solutions to reduce transaction costs Farm input dealers, food traders, processors, and/or retailers adopt solutions that offer increased access to agricultural finance ​</v>
      </c>
      <c r="E14" s="4" t="str">
        <v>N/A</v>
      </c>
      <c r="F14" s="5">
        <v>0</v>
      </c>
      <c r="G14" s="4" t="str">
        <v/>
      </c>
      <c r="H14" s="4">
        <v>355</v>
      </c>
    </row>
    <row r="15" ht="60" customHeight="1">
      <c r="A15" s="4" t="str">
        <v>AOW02: Market Systems</v>
      </c>
      <c r="B15" s="4" t="str">
        <v>IFPRI</v>
      </c>
      <c r="C15" s="4" t="str">
        <v xml:space="preserve">Actor Engagement and Assumption Validation </v>
      </c>
      <c r="D15"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5" s="4" t="str">
        <v>N/A</v>
      </c>
      <c r="F15" s="5">
        <v>0</v>
      </c>
      <c r="G15" s="4" t="str">
        <v/>
      </c>
      <c r="H15" s="4">
        <v>678</v>
      </c>
    </row>
    <row r="16" ht="60" customHeight="1">
      <c r="A16" s="4" t="str">
        <v>AOW02: Market Systems</v>
      </c>
      <c r="B16" s="4" t="str">
        <v>IFPRI</v>
      </c>
      <c r="C16" s="4" t="str">
        <v>Configuration and Integration of AoWs</v>
      </c>
      <c r="D16" s="4" t="str">
        <v>Food producers, traders, processors, and/or retailers adopt evidence-based solutions to improve food safety and quality in target markets​ Food traders, processors, and/or retailers adopt effective components of bundled solutions to reduce food loss and waste</v>
      </c>
      <c r="E16" s="4" t="str">
        <v>N/A</v>
      </c>
      <c r="F16" s="5">
        <v>0</v>
      </c>
      <c r="G16" s="4" t="str">
        <v/>
      </c>
      <c r="H16" s="4">
        <v>693</v>
      </c>
    </row>
    <row r="17" ht="60" customHeight="1">
      <c r="A17" s="4" t="str">
        <v>AOW02: Market Systems</v>
      </c>
      <c r="B17" s="4" t="str">
        <v>IFPRI</v>
      </c>
      <c r="C17" s="4" t="str">
        <v>Strategic Coherence Across Geographies</v>
      </c>
      <c r="D17" s="4" t="str">
        <v>Producers and processors adopt and scale biofortified and health-enhancing crops</v>
      </c>
      <c r="E17" s="4" t="str">
        <v>N/A</v>
      </c>
      <c r="F17" s="5">
        <v>0</v>
      </c>
      <c r="G17" s="4" t="str">
        <v/>
      </c>
      <c r="H17" s="4">
        <v>707</v>
      </c>
    </row>
    <row r="18" ht="25" customHeight="1">
      <c r="C18" s="9" t="str">
        <v>MELIA budget subtotal</v>
      </c>
      <c r="F18" s="9">
        <v>0</v>
      </c>
      <c r="G18" s="9" t="str">
        <v/>
      </c>
      <c r="H18" s="9" t="str">
        <v/>
      </c>
    </row>
    <row r="19" ht="60" customHeight="1">
      <c r="A19" s="8" t="str">
        <v>AOW03: End-to-end Solutions</v>
      </c>
      <c r="B19" s="4" t="str">
        <v>IFPRI</v>
      </c>
      <c r="C19" s="4" t="str">
        <v xml:space="preserve"> Impact assessment of the End-to-end approach to improving dietary intakes of Fruits and Vegetables in Tanzania</v>
      </c>
      <c r="D19" s="4" t="str">
        <v>Aquatic food, fruits and vegetables producers adopt solutions that increase production</v>
      </c>
      <c r="E19" s="4" t="str">
        <v>N/A</v>
      </c>
      <c r="F19" s="5">
        <v>1807000</v>
      </c>
      <c r="G19" s="4" t="str">
        <v>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v>
      </c>
      <c r="H19" s="4">
        <v>350</v>
      </c>
    </row>
    <row r="20" ht="60" customHeight="1">
      <c r="A20" s="4" t="str">
        <v>AOW03: End-to-end Solutions</v>
      </c>
      <c r="B20" s="4" t="str">
        <v>IFPRI</v>
      </c>
      <c r="C20" s="4" t="str">
        <v>Impact assessment of the End-to-end approach to improving dietary intakes of Fruits and Vegetables in Sri Lanka</v>
      </c>
      <c r="D20" s="4" t="str">
        <v>Aquatic food, fruits and vegetables producers adopt solutions that increase production</v>
      </c>
      <c r="E20" s="4" t="str">
        <v>N/A</v>
      </c>
      <c r="F20" s="5">
        <v>489027</v>
      </c>
      <c r="G20" s="4" t="str">
        <v>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v>
      </c>
      <c r="H20" s="4">
        <v>351</v>
      </c>
    </row>
    <row r="21" ht="60" customHeight="1">
      <c r="A21" s="4" t="str">
        <v>AOW03: End-to-end Solutions</v>
      </c>
      <c r="B21" s="4" t="str">
        <v>IFPRI</v>
      </c>
      <c r="C21" s="4" t="str">
        <v>impact evaluation of the e-voucher program in the Philippines</v>
      </c>
      <c r="D21" s="4" t="str">
        <v>Consumers in the implementation sites in the target countries consume fruit and vegetables, aquatic and terrestrial animal sources Consumers substitute nutrient-poor foods with nutrient-dense foods improving diet quality Consumers purchases of fruit and vegetable, aquatic and terrestrial animal source foods</v>
      </c>
      <c r="E21" s="4" t="str">
        <v>N/A</v>
      </c>
      <c r="F21" s="5">
        <v>350000</v>
      </c>
      <c r="G21" s="4" t="str">
        <v>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v>
      </c>
      <c r="H21" s="4">
        <v>557</v>
      </c>
    </row>
    <row r="22" ht="60" customHeight="1">
      <c r="A22" s="4" t="str">
        <v>AOW03: End-to-end Solutions</v>
      </c>
      <c r="B22" s="4" t="str">
        <v>IFPRI</v>
      </c>
      <c r="C22" s="4" t="str">
        <v xml:space="preserve">Actor Engagement and Assumption Validation </v>
      </c>
      <c r="D22"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2" s="4" t="str">
        <v>N/A</v>
      </c>
      <c r="F22" s="5">
        <v>0</v>
      </c>
      <c r="G22" s="4" t="str">
        <v/>
      </c>
      <c r="H22" s="4">
        <v>668</v>
      </c>
    </row>
    <row r="23" ht="60" customHeight="1">
      <c r="A23" s="4" t="str">
        <v>AOW03: End-to-end Solutions</v>
      </c>
      <c r="B23" s="4" t="str">
        <v>IFPRI</v>
      </c>
      <c r="C23" s="4" t="str">
        <v>Configuration and Integration of AoWs</v>
      </c>
      <c r="D23" s="4" t="str">
        <v>Food producers, traders, processors, and/or retailers adopt evidence-based solutions to improve food safety and quality in target markets​ Food traders, processors, and/or retailers adopt effective components of bundled solutions to reduce food loss and waste</v>
      </c>
      <c r="E23" s="4" t="str">
        <v>N/A</v>
      </c>
      <c r="F23" s="5">
        <v>0</v>
      </c>
      <c r="G23" s="4" t="str">
        <v/>
      </c>
      <c r="H23" s="4">
        <v>687</v>
      </c>
    </row>
    <row r="24" ht="60" customHeight="1">
      <c r="A24" s="4" t="str">
        <v>AOW03: End-to-end Solutions</v>
      </c>
      <c r="B24" s="4" t="str">
        <v>IFPRI</v>
      </c>
      <c r="C24" s="4" t="str">
        <v>Strategic Coherence Across Geographies</v>
      </c>
      <c r="D24" s="4" t="str">
        <v>Producers and processors adopt and scale biofortified and health-enhancing crops</v>
      </c>
      <c r="E24" s="4" t="str">
        <v>N/A</v>
      </c>
      <c r="F24" s="5">
        <v>0</v>
      </c>
      <c r="G24" s="4" t="str">
        <v/>
      </c>
      <c r="H24" s="4">
        <v>701</v>
      </c>
    </row>
    <row r="25" ht="25" customHeight="1">
      <c r="C25" s="9" t="str">
        <v>MELIA budget subtotal</v>
      </c>
      <c r="F25" s="9">
        <v>2646027</v>
      </c>
      <c r="G25" s="9" t="str">
        <v/>
      </c>
      <c r="H25" s="9" t="str">
        <v/>
      </c>
    </row>
    <row r="26" ht="60" customHeight="1">
      <c r="A26" s="8" t="str">
        <v>AOW04: Biofortified and Health-enhancing Staples</v>
      </c>
      <c r="B26" s="4" t="str">
        <v>IFPRI</v>
      </c>
      <c r="C26" s="4" t="str">
        <v xml:space="preserve">Actor Engagement and Assumption Validation </v>
      </c>
      <c r="D26"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6" s="4" t="str">
        <v>N/A</v>
      </c>
      <c r="F26" s="5">
        <v>0</v>
      </c>
      <c r="G26" s="4" t="str">
        <v/>
      </c>
      <c r="H26" s="4">
        <v>663</v>
      </c>
    </row>
    <row r="27" ht="60" customHeight="1">
      <c r="A27" s="4" t="str">
        <v>AOW04: Biofortified and Health-enhancing Staples</v>
      </c>
      <c r="B27" s="4" t="str">
        <v>IFPRI</v>
      </c>
      <c r="C27" s="4" t="str">
        <v>Strategic Coherence Across Geographies</v>
      </c>
      <c r="D27" s="4" t="str">
        <v>Producers and processors adopt and scale biofortified and health-enhancing crops</v>
      </c>
      <c r="E27" s="4" t="str">
        <v>N/A</v>
      </c>
      <c r="F27" s="5">
        <v>0</v>
      </c>
      <c r="G27" s="4" t="str">
        <v/>
      </c>
      <c r="H27" s="4">
        <v>698</v>
      </c>
    </row>
    <row r="28" ht="25" customHeight="1">
      <c r="C28" s="9" t="str">
        <v>MELIA budget subtotal</v>
      </c>
      <c r="F28" s="9">
        <v>0</v>
      </c>
      <c r="G28" s="9" t="str">
        <v/>
      </c>
      <c r="H28" s="9" t="str">
        <v/>
      </c>
    </row>
    <row r="29" ht="60" customHeight="1">
      <c r="A29" s="8" t="str">
        <v>AOW05: Multisectoral systems</v>
      </c>
      <c r="B29" s="4" t="str">
        <v>IFPRI</v>
      </c>
      <c r="C29" s="4" t="str">
        <v xml:space="preserve">Actor Engagement and Assumption Validation </v>
      </c>
      <c r="D29"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9" s="4" t="str">
        <v>N/A</v>
      </c>
      <c r="F29" s="5">
        <v>0</v>
      </c>
      <c r="G29" s="4" t="str">
        <v/>
      </c>
      <c r="H29" s="4">
        <v>658</v>
      </c>
    </row>
    <row r="30" ht="25" customHeight="1">
      <c r="C30" s="9" t="str">
        <v>MELIA budget subtotal</v>
      </c>
      <c r="F30" s="9">
        <v>0</v>
      </c>
      <c r="G30" s="9" t="str">
        <v/>
      </c>
      <c r="H30" s="9" t="str">
        <v/>
      </c>
    </row>
    <row r="31" ht="60" customHeight="1">
      <c r="A31" s="8" t="str">
        <v>AOW06: Transformative leadership</v>
      </c>
      <c r="B31" s="4" t="str">
        <v>IFPRI</v>
      </c>
      <c r="C31" s="4" t="str">
        <v xml:space="preserve">Actor Engagement and Assumption Validation </v>
      </c>
      <c r="D31"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31" s="4" t="str">
        <v>N/A</v>
      </c>
      <c r="F31" s="5">
        <v>0</v>
      </c>
      <c r="G31" s="4" t="str">
        <v/>
      </c>
      <c r="H31" s="4">
        <v>653</v>
      </c>
    </row>
    <row r="32" ht="25" customHeight="1">
      <c r="C32" s="9" t="str">
        <v>MELIA budget subtotal</v>
      </c>
      <c r="F32" s="9">
        <v>0</v>
      </c>
      <c r="G32" s="9" t="str">
        <v/>
      </c>
      <c r="H32" s="9" t="str">
        <v/>
      </c>
    </row>
  </sheetData>
  <mergeCells count="14">
    <mergeCell ref="C9:E9"/>
    <mergeCell ref="A2:A9"/>
    <mergeCell ref="C13:E13"/>
    <mergeCell ref="A10:A13"/>
    <mergeCell ref="C18:E18"/>
    <mergeCell ref="A14:A18"/>
    <mergeCell ref="C25:E25"/>
    <mergeCell ref="A19:A25"/>
    <mergeCell ref="C28:E28"/>
    <mergeCell ref="A26:A28"/>
    <mergeCell ref="C30:E30"/>
    <mergeCell ref="A29:A30"/>
    <mergeCell ref="C32:E32"/>
    <mergeCell ref="A31:A32"/>
  </mergeCells>
  <ignoredErrors>
    <ignoredError numberStoredAsText="1" sqref="A1:H32"/>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IFPRI</v>
      </c>
      <c r="C2" s="4" t="str">
        <v>PMU, CGIAR Program Finance Support and associated Allocation</v>
      </c>
      <c r="D2" s="5">
        <v>166732</v>
      </c>
      <c r="E2" s="4" t="str">
        <v>Program Coordinator of 0.8fte considered as crucial for a viable program.</v>
      </c>
      <c r="F2" s="4">
        <v>22</v>
      </c>
      <c r="G2" s="4">
        <v>2</v>
      </c>
    </row>
    <row r="3" ht="45" customHeight="1" xml:space="preserve">
      <c r="A3" s="4" t="str">
        <v>AOW00: Cross Cutting</v>
      </c>
      <c r="B3" s="4" t="str">
        <v>IFPRI</v>
      </c>
      <c r="C3" s="4" t="str">
        <v>Area of Work Leads</v>
      </c>
      <c r="D3" s="5">
        <v>447512</v>
      </c>
      <c r="E3" s="4" t="str" xml:space="preserve">
        <v xml:space="preserve">AoW Leads for AoW1, AoW2, and AoW3 served at 0.2 FTE during January-February. AoW1 and AoW2 Leads shifted to 0.4 FTE from March through December.
</v>
      </c>
      <c r="F3" s="4">
        <v>23</v>
      </c>
      <c r="G3" s="4">
        <v>3</v>
      </c>
    </row>
    <row r="4" ht="45" customHeight="1">
      <c r="A4" s="4" t="str">
        <v>AOW00: Cross Cutting</v>
      </c>
      <c r="B4" s="4" t="str">
        <v>IFPRI</v>
      </c>
      <c r="C4" s="4" t="str">
        <v>Discretionary funds</v>
      </c>
      <c r="D4" s="5">
        <v>35000</v>
      </c>
      <c r="E4" s="4" t="str">
        <v>This funding supports the Biofortification Coordination Committee, with the assumption that coordination activities will proceed as planned and remain on track.</v>
      </c>
      <c r="F4" s="4">
        <v>201</v>
      </c>
      <c r="G4" s="4">
        <v>7</v>
      </c>
    </row>
    <row r="5" ht="25" customHeight="1">
      <c r="C5" s="9" t="str">
        <v>Cross-cutting budget subtotal</v>
      </c>
      <c r="D5" s="9">
        <v>649244</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591498</v>
      </c>
      <c r="C2" s="5">
        <v>1272802</v>
      </c>
      <c r="D2" s="5">
        <v>871593</v>
      </c>
      <c r="E2" s="5">
        <v>1584820</v>
      </c>
      <c r="F2" s="5">
        <v>70000</v>
      </c>
      <c r="G2" s="5">
        <v>0</v>
      </c>
      <c r="H2" s="5">
        <v>562724</v>
      </c>
      <c r="I2" s="5">
        <f>=SUM(B2:H2)</f>
        <v>0</v>
      </c>
    </row>
    <row r="3" ht="20" customHeight="1">
      <c r="A3" s="4" t="str">
        <v>Operations (supplies, consultants, travels, workshops, other)</v>
      </c>
      <c r="B3" s="5">
        <v>57746</v>
      </c>
      <c r="C3" s="5">
        <v>428376</v>
      </c>
      <c r="D3" s="5">
        <v>166300</v>
      </c>
      <c r="E3" s="5">
        <v>358220</v>
      </c>
      <c r="F3" s="5">
        <v>10000</v>
      </c>
      <c r="G3" s="5">
        <v>0</v>
      </c>
      <c r="H3" s="5">
        <v>194827</v>
      </c>
      <c r="I3" s="5">
        <f>=SUM(B3:H3)</f>
        <v>0</v>
      </c>
    </row>
    <row r="4" ht="20" customHeight="1">
      <c r="A4" s="4" t="str">
        <v>Collaborators non-CGIAR centers</v>
      </c>
      <c r="B4" s="5">
        <v>0</v>
      </c>
      <c r="C4" s="5">
        <v>597990</v>
      </c>
      <c r="D4" s="5">
        <v>167265</v>
      </c>
      <c r="E4" s="5">
        <v>1518487</v>
      </c>
      <c r="F4" s="5">
        <v>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3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Belgium</v>
      </c>
      <c r="D2" s="5">
        <v>19.16</v>
      </c>
      <c r="E2" s="4">
        <v>57</v>
      </c>
    </row>
    <row r="3" ht="45" customHeight="1">
      <c r="A3" s="4" t="str">
        <v>AOW00: Cross Cutting</v>
      </c>
      <c r="B3" s="4" t="str">
        <v>IFPRI</v>
      </c>
      <c r="C3" s="4" t="str">
        <v>India</v>
      </c>
      <c r="D3" s="5">
        <v>0.59</v>
      </c>
      <c r="E3" s="4">
        <v>61</v>
      </c>
    </row>
    <row r="4" ht="45" customHeight="1">
      <c r="A4" s="4" t="str">
        <v>AOW00: Cross Cutting</v>
      </c>
      <c r="B4" s="4" t="str">
        <v>IFPRI</v>
      </c>
      <c r="C4" s="4" t="str">
        <v>United Kingdom of Great Britain and Northern Ireland</v>
      </c>
      <c r="D4" s="5">
        <v>30.29</v>
      </c>
      <c r="E4" s="4">
        <v>60</v>
      </c>
    </row>
    <row r="5" ht="45" customHeight="1">
      <c r="A5" s="4" t="str">
        <v>AOW00: Cross Cutting</v>
      </c>
      <c r="B5" s="4" t="str">
        <v>IFPRI</v>
      </c>
      <c r="C5" s="4" t="str">
        <v>United States of America</v>
      </c>
      <c r="D5" s="5">
        <v>49.96</v>
      </c>
      <c r="E5" s="4">
        <v>58</v>
      </c>
    </row>
    <row r="6" ht="45" customHeight="1">
      <c r="A6" s="8" t="str">
        <v>AOW01: Consumers and Food Environments</v>
      </c>
      <c r="B6" s="4" t="str">
        <v>IFPRI</v>
      </c>
      <c r="C6" s="4" t="str">
        <v>Bangladesh</v>
      </c>
      <c r="D6" s="5">
        <v>6</v>
      </c>
      <c r="E6" s="4">
        <v>2536</v>
      </c>
    </row>
    <row r="7" ht="45" customHeight="1">
      <c r="A7" s="4" t="str">
        <v>AOW01: Consumers and Food Environments</v>
      </c>
      <c r="B7" s="4" t="str">
        <v>IFPRI</v>
      </c>
      <c r="C7" s="4" t="str">
        <v>Belgium</v>
      </c>
      <c r="D7" s="5">
        <v>25</v>
      </c>
      <c r="E7" s="4">
        <v>2535</v>
      </c>
    </row>
    <row r="8" ht="45" customHeight="1">
      <c r="A8" s="4" t="str">
        <v>AOW01: Consumers and Food Environments</v>
      </c>
      <c r="B8" s="4" t="str">
        <v>IFPRI</v>
      </c>
      <c r="C8" s="4" t="str">
        <v>Colombia</v>
      </c>
      <c r="D8" s="5">
        <v>0</v>
      </c>
      <c r="E8" s="4">
        <v>2541</v>
      </c>
    </row>
    <row r="9" ht="45" customHeight="1">
      <c r="A9" s="4" t="str">
        <v>AOW01: Consumers and Food Environments</v>
      </c>
      <c r="B9" s="4" t="str">
        <v>IFPRI</v>
      </c>
      <c r="C9" s="4" t="str">
        <v>Ethiopia</v>
      </c>
      <c r="D9" s="5">
        <v>2</v>
      </c>
      <c r="E9" s="4">
        <v>2537</v>
      </c>
    </row>
    <row r="10" ht="45" customHeight="1">
      <c r="A10" s="4" t="str">
        <v>AOW01: Consumers and Food Environments</v>
      </c>
      <c r="B10" s="4" t="str">
        <v>IFPRI</v>
      </c>
      <c r="C10" s="4" t="str">
        <v>India</v>
      </c>
      <c r="D10" s="5">
        <v>10</v>
      </c>
      <c r="E10" s="4">
        <v>2543</v>
      </c>
    </row>
    <row r="11" ht="45" customHeight="1">
      <c r="A11" s="4" t="str">
        <v>AOW01: Consumers and Food Environments</v>
      </c>
      <c r="B11" s="4" t="str">
        <v>IFPRI</v>
      </c>
      <c r="C11" s="4" t="str">
        <v>Philippines</v>
      </c>
      <c r="D11" s="5">
        <v>2</v>
      </c>
      <c r="E11" s="4">
        <v>2538</v>
      </c>
    </row>
    <row r="12" ht="45" customHeight="1">
      <c r="A12" s="4" t="str">
        <v>AOW01: Consumers and Food Environments</v>
      </c>
      <c r="B12" s="4" t="str">
        <v>IFPRI</v>
      </c>
      <c r="C12" s="4" t="str">
        <v>Senegal</v>
      </c>
      <c r="D12" s="5">
        <v>5</v>
      </c>
      <c r="E12" s="4">
        <v>2542</v>
      </c>
    </row>
    <row r="13" ht="45" customHeight="1">
      <c r="A13" s="4" t="str">
        <v>AOW01: Consumers and Food Environments</v>
      </c>
      <c r="B13" s="4" t="str">
        <v>IFPRI</v>
      </c>
      <c r="C13" s="4" t="str">
        <v>The Socialist Republic of Viet Nam</v>
      </c>
      <c r="D13" s="5">
        <v>5</v>
      </c>
      <c r="E13" s="4">
        <v>2539</v>
      </c>
    </row>
    <row r="14" ht="45" customHeight="1">
      <c r="A14" s="4" t="str">
        <v>AOW01: Consumers and Food Environments</v>
      </c>
      <c r="B14" s="4" t="str">
        <v>IFPRI</v>
      </c>
      <c r="C14" s="4" t="str">
        <v>United States of America</v>
      </c>
      <c r="D14" s="5">
        <v>45</v>
      </c>
      <c r="E14" s="4">
        <v>2540</v>
      </c>
    </row>
    <row r="15" ht="45" customHeight="1">
      <c r="A15" s="8" t="str">
        <v>AOW02: Market Systems</v>
      </c>
      <c r="B15" s="4" t="str">
        <v>IFPRI</v>
      </c>
      <c r="C15" s="4" t="str">
        <v>Canada</v>
      </c>
      <c r="D15" s="5">
        <v>5</v>
      </c>
      <c r="E15" s="4">
        <v>2513</v>
      </c>
    </row>
    <row r="16" ht="45" customHeight="1">
      <c r="A16" s="4" t="str">
        <v>AOW02: Market Systems</v>
      </c>
      <c r="B16" s="4" t="str">
        <v>IFPRI</v>
      </c>
      <c r="C16" s="4" t="str">
        <v>Ethiopia</v>
      </c>
      <c r="D16" s="5">
        <v>2</v>
      </c>
      <c r="E16" s="4">
        <v>2522</v>
      </c>
    </row>
    <row r="17" ht="45" customHeight="1">
      <c r="A17" s="4" t="str">
        <v>AOW02: Market Systems</v>
      </c>
      <c r="B17" s="4" t="str">
        <v>IFPRI</v>
      </c>
      <c r="C17" s="4" t="str">
        <v>Kenya</v>
      </c>
      <c r="D17" s="5">
        <v>2</v>
      </c>
      <c r="E17" s="4">
        <v>2516</v>
      </c>
    </row>
    <row r="18" ht="45" customHeight="1">
      <c r="A18" s="4" t="str">
        <v>AOW02: Market Systems</v>
      </c>
      <c r="B18" s="4" t="str">
        <v>IFPRI</v>
      </c>
      <c r="C18" s="4" t="str">
        <v>Philippines</v>
      </c>
      <c r="D18" s="5">
        <v>2</v>
      </c>
      <c r="E18" s="4">
        <v>2527</v>
      </c>
    </row>
    <row r="19" ht="45" customHeight="1">
      <c r="A19" s="4" t="str">
        <v>AOW02: Market Systems</v>
      </c>
      <c r="B19" s="4" t="str">
        <v>IFPRI</v>
      </c>
      <c r="C19" s="4" t="str">
        <v>Senegal</v>
      </c>
      <c r="D19" s="5">
        <v>5</v>
      </c>
      <c r="E19" s="4">
        <v>2515</v>
      </c>
    </row>
    <row r="20" ht="45" customHeight="1">
      <c r="A20" s="4" t="str">
        <v>AOW02: Market Systems</v>
      </c>
      <c r="B20" s="4" t="str">
        <v>IFPRI</v>
      </c>
      <c r="C20" s="4" t="str">
        <v>Tanzania</v>
      </c>
      <c r="D20" s="5">
        <v>2</v>
      </c>
      <c r="E20" s="4">
        <v>2529</v>
      </c>
    </row>
    <row r="21" ht="45" customHeight="1">
      <c r="A21" s="4" t="str">
        <v>AOW02: Market Systems</v>
      </c>
      <c r="B21" s="4" t="str">
        <v>IFPRI</v>
      </c>
      <c r="C21" s="4" t="str">
        <v>The Socialist Republic of Viet Nam</v>
      </c>
      <c r="D21" s="5">
        <v>2</v>
      </c>
      <c r="E21" s="4">
        <v>2528</v>
      </c>
    </row>
    <row r="22" ht="45" customHeight="1">
      <c r="A22" s="4" t="str">
        <v>AOW02: Market Systems</v>
      </c>
      <c r="B22" s="4" t="str">
        <v>IFPRI</v>
      </c>
      <c r="C22" s="4" t="str">
        <v>Uganda</v>
      </c>
      <c r="D22" s="5">
        <v>20</v>
      </c>
      <c r="E22" s="4">
        <v>2514</v>
      </c>
    </row>
    <row r="23" ht="45" customHeight="1">
      <c r="A23" s="4" t="str">
        <v>AOW02: Market Systems</v>
      </c>
      <c r="B23" s="4" t="str">
        <v>IFPRI</v>
      </c>
      <c r="C23" s="4" t="str">
        <v>United States of America</v>
      </c>
      <c r="D23" s="5">
        <v>60</v>
      </c>
      <c r="E23" s="4">
        <v>2512</v>
      </c>
    </row>
    <row r="24" ht="45" customHeight="1">
      <c r="A24" s="8" t="str">
        <v>AOW03: End-to-end Solutions</v>
      </c>
      <c r="B24" s="4" t="str">
        <v>IFPRI</v>
      </c>
      <c r="C24" s="4" t="str">
        <v>Australia</v>
      </c>
      <c r="D24" s="5">
        <v>2.5</v>
      </c>
      <c r="E24" s="4">
        <v>2501</v>
      </c>
    </row>
    <row r="25" ht="45" customHeight="1">
      <c r="A25" s="4" t="str">
        <v>AOW03: End-to-end Solutions</v>
      </c>
      <c r="B25" s="4" t="str">
        <v>IFPRI</v>
      </c>
      <c r="C25" s="4" t="str">
        <v>India</v>
      </c>
      <c r="D25" s="5">
        <v>2.5</v>
      </c>
      <c r="E25" s="4">
        <v>2502</v>
      </c>
    </row>
    <row r="26" ht="45" customHeight="1">
      <c r="A26" s="4" t="str">
        <v>AOW03: End-to-end Solutions</v>
      </c>
      <c r="B26" s="4" t="str">
        <v>IFPRI</v>
      </c>
      <c r="C26" s="4" t="str">
        <v>Philippines</v>
      </c>
      <c r="D26" s="5">
        <v>8</v>
      </c>
      <c r="E26" s="4">
        <v>2506</v>
      </c>
    </row>
    <row r="27" ht="45" customHeight="1">
      <c r="A27" s="4" t="str">
        <v>AOW03: End-to-end Solutions</v>
      </c>
      <c r="B27" s="4" t="str">
        <v>IFPRI</v>
      </c>
      <c r="C27" s="4" t="str">
        <v>Sri Lanka</v>
      </c>
      <c r="D27" s="5">
        <v>8</v>
      </c>
      <c r="E27" s="4">
        <v>2504</v>
      </c>
    </row>
    <row r="28" ht="45" customHeight="1">
      <c r="A28" s="4" t="str">
        <v>AOW03: End-to-end Solutions</v>
      </c>
      <c r="B28" s="4" t="str">
        <v>IFPRI</v>
      </c>
      <c r="C28" s="4" t="str">
        <v>Tanzania</v>
      </c>
      <c r="D28" s="5">
        <v>8</v>
      </c>
      <c r="E28" s="4">
        <v>2503</v>
      </c>
    </row>
    <row r="29" ht="45" customHeight="1">
      <c r="A29" s="4" t="str">
        <v>AOW03: End-to-end Solutions</v>
      </c>
      <c r="B29" s="4" t="str">
        <v>IFPRI</v>
      </c>
      <c r="C29" s="4" t="str">
        <v>Uganda</v>
      </c>
      <c r="D29" s="5">
        <v>0</v>
      </c>
      <c r="E29" s="4">
        <v>2505</v>
      </c>
    </row>
    <row r="30" ht="45" customHeight="1">
      <c r="A30" s="4" t="str">
        <v>AOW03: End-to-end Solutions</v>
      </c>
      <c r="B30" s="4" t="str">
        <v>IFPRI</v>
      </c>
      <c r="C30" s="4" t="str">
        <v>United Kingdom of Great Britain and Northern Ireland</v>
      </c>
      <c r="D30" s="5">
        <v>21</v>
      </c>
      <c r="E30" s="4">
        <v>2500</v>
      </c>
    </row>
    <row r="31" ht="45" customHeight="1">
      <c r="A31" s="4" t="str">
        <v>AOW03: End-to-end Solutions</v>
      </c>
      <c r="B31" s="4" t="str">
        <v>IFPRI</v>
      </c>
      <c r="C31" s="4" t="str">
        <v>United States of America</v>
      </c>
      <c r="D31" s="5">
        <v>50</v>
      </c>
      <c r="E31" s="4">
        <v>2499</v>
      </c>
    </row>
    <row r="32" ht="45" customHeight="1">
      <c r="A32" s="8" t="str">
        <v>AOW04: Biofortified and Health-enhancing Staples</v>
      </c>
      <c r="B32" s="4" t="str">
        <v>IFPRI</v>
      </c>
      <c r="C32" s="4" t="str">
        <v>United States of America</v>
      </c>
      <c r="D32" s="5">
        <v>100</v>
      </c>
      <c r="E32" s="4">
        <v>2495</v>
      </c>
    </row>
    <row r="33" ht="45" customHeight="1">
      <c r="A33" s="8" t="str">
        <v>AOW06: Transformative leadership</v>
      </c>
      <c r="B33" s="4" t="str">
        <v>IFPRI</v>
      </c>
      <c r="C33" s="4" t="str">
        <v>India</v>
      </c>
      <c r="D33" s="5">
        <v>20</v>
      </c>
      <c r="E33" s="4">
        <v>2494</v>
      </c>
    </row>
    <row r="34" ht="45" customHeight="1">
      <c r="A34" s="4" t="str">
        <v>AOW06: Transformative leadership</v>
      </c>
      <c r="B34" s="4" t="str">
        <v>IFPRI</v>
      </c>
      <c r="C34" s="4" t="str">
        <v>United States of America</v>
      </c>
      <c r="D34" s="5">
        <v>80</v>
      </c>
      <c r="E34" s="4">
        <v>2493</v>
      </c>
    </row>
  </sheetData>
  <mergeCells count="6">
    <mergeCell ref="A2:A5"/>
    <mergeCell ref="A6:A14"/>
    <mergeCell ref="A15:A23"/>
    <mergeCell ref="A24:A31"/>
    <mergeCell ref="A32"/>
    <mergeCell ref="A33:A34"/>
  </mergeCells>
  <ignoredErrors>
    <ignoredError numberStoredAsText="1" sqref="A1:E34"/>
  </ignoredErrors>
</worksheet>
</file>

<file path=xl/worksheets/sheet9.xml><?xml version="1.0" encoding="utf-8"?>
<worksheet xmlns="http://schemas.openxmlformats.org/spreadsheetml/2006/main" xmlns:r="http://schemas.openxmlformats.org/officeDocument/2006/relationships">
  <dimension ref="A1:F3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Bangladesh</v>
      </c>
      <c r="D2" s="4" t="str">
        <v>country</v>
      </c>
      <c r="E2" s="5">
        <v>16.67</v>
      </c>
      <c r="F2" s="4">
        <v>20</v>
      </c>
    </row>
    <row r="3" ht="45" customHeight="1">
      <c r="A3" s="4" t="str">
        <v>AOW00: Cross Cutting</v>
      </c>
      <c r="B3" s="4" t="str">
        <v>IFPRI</v>
      </c>
      <c r="C3" s="4" t="str">
        <v>Ethiopia</v>
      </c>
      <c r="D3" s="4" t="str">
        <v>country</v>
      </c>
      <c r="E3" s="5">
        <v>16.67</v>
      </c>
      <c r="F3" s="4">
        <v>19</v>
      </c>
    </row>
    <row r="4" ht="45" customHeight="1">
      <c r="A4" s="4" t="str">
        <v>AOW00: Cross Cutting</v>
      </c>
      <c r="B4" s="4" t="str">
        <v>IFPRI</v>
      </c>
      <c r="C4" s="4" t="str">
        <v>Honduras</v>
      </c>
      <c r="D4" s="4" t="str">
        <v>country</v>
      </c>
      <c r="E4" s="5">
        <v>16.67</v>
      </c>
      <c r="F4" s="4">
        <v>21</v>
      </c>
    </row>
    <row r="5" ht="45" customHeight="1">
      <c r="A5" s="4" t="str">
        <v>AOW00: Cross Cutting</v>
      </c>
      <c r="B5" s="4" t="str">
        <v>IFPRI</v>
      </c>
      <c r="C5" s="4" t="str">
        <v>Philippines</v>
      </c>
      <c r="D5" s="4" t="str">
        <v>country</v>
      </c>
      <c r="E5" s="5">
        <v>16.66</v>
      </c>
      <c r="F5" s="4">
        <v>22</v>
      </c>
    </row>
    <row r="6" ht="45" customHeight="1">
      <c r="A6" s="4" t="str">
        <v>AOW00: Cross Cutting</v>
      </c>
      <c r="B6" s="4" t="str">
        <v>IFPRI</v>
      </c>
      <c r="C6" s="4" t="str">
        <v>Tanzania</v>
      </c>
      <c r="D6" s="4" t="str">
        <v>country</v>
      </c>
      <c r="E6" s="5">
        <v>16.67</v>
      </c>
      <c r="F6" s="4">
        <v>24</v>
      </c>
    </row>
    <row r="7" ht="45" customHeight="1">
      <c r="A7" s="4" t="str">
        <v>AOW00: Cross Cutting</v>
      </c>
      <c r="B7" s="4" t="str">
        <v>IFPRI</v>
      </c>
      <c r="C7" s="4" t="str">
        <v>The Socialist Republic of Viet Nam</v>
      </c>
      <c r="D7" s="4" t="str">
        <v>country</v>
      </c>
      <c r="E7" s="5">
        <v>16.66</v>
      </c>
      <c r="F7" s="4">
        <v>23</v>
      </c>
    </row>
    <row r="8" ht="45" customHeight="1">
      <c r="A8" s="8" t="str">
        <v>AOW01: Consumers and Food Environments</v>
      </c>
      <c r="B8" s="4" t="str">
        <v>IFPRI</v>
      </c>
      <c r="C8" s="4" t="str">
        <v>Global</v>
      </c>
      <c r="D8" s="4" t="str">
        <v>global</v>
      </c>
      <c r="E8" s="5">
        <v>10</v>
      </c>
      <c r="F8" s="4">
        <v>901</v>
      </c>
    </row>
    <row r="9" ht="45" customHeight="1">
      <c r="A9" s="4" t="str">
        <v>AOW01: Consumers and Food Environments</v>
      </c>
      <c r="B9" s="4" t="str">
        <v>IFPRI</v>
      </c>
      <c r="C9" s="4" t="str">
        <v>Bangladesh</v>
      </c>
      <c r="D9" s="4" t="str">
        <v>country</v>
      </c>
      <c r="E9" s="5">
        <v>10</v>
      </c>
      <c r="F9" s="4">
        <v>897</v>
      </c>
    </row>
    <row r="10" ht="45" customHeight="1">
      <c r="A10" s="4" t="str">
        <v>AOW01: Consumers and Food Environments</v>
      </c>
      <c r="B10" s="4" t="str">
        <v>IFPRI</v>
      </c>
      <c r="C10" s="4" t="str">
        <v>Ethiopia</v>
      </c>
      <c r="D10" s="4" t="str">
        <v>country</v>
      </c>
      <c r="E10" s="5">
        <v>30</v>
      </c>
      <c r="F10" s="4">
        <v>898</v>
      </c>
    </row>
    <row r="11" ht="45" customHeight="1">
      <c r="A11" s="4" t="str">
        <v>AOW01: Consumers and Food Environments</v>
      </c>
      <c r="B11" s="4" t="str">
        <v>IFPRI</v>
      </c>
      <c r="C11" s="4" t="str">
        <v>Ghana</v>
      </c>
      <c r="D11" s="4" t="str">
        <v>country</v>
      </c>
      <c r="E11" s="5">
        <v>10</v>
      </c>
      <c r="F11" s="4">
        <v>900</v>
      </c>
    </row>
    <row r="12" ht="45" customHeight="1">
      <c r="A12" s="4" t="str">
        <v>AOW01: Consumers and Food Environments</v>
      </c>
      <c r="B12" s="4" t="str">
        <v>IFPRI</v>
      </c>
      <c r="C12" s="4" t="str">
        <v>Philippines</v>
      </c>
      <c r="D12" s="4" t="str">
        <v>country</v>
      </c>
      <c r="E12" s="5">
        <v>10</v>
      </c>
      <c r="F12" s="4">
        <v>902</v>
      </c>
    </row>
    <row r="13" ht="45" customHeight="1">
      <c r="A13" s="4" t="str">
        <v>AOW01: Consumers and Food Environments</v>
      </c>
      <c r="B13" s="4" t="str">
        <v>IFPRI</v>
      </c>
      <c r="C13" s="4" t="str">
        <v>The Socialist Republic of Viet Nam</v>
      </c>
      <c r="D13" s="4" t="str">
        <v>country</v>
      </c>
      <c r="E13" s="5">
        <v>30</v>
      </c>
      <c r="F13" s="4">
        <v>899</v>
      </c>
    </row>
    <row r="14" ht="45" customHeight="1">
      <c r="A14" s="8" t="str">
        <v>AOW02: Market Systems</v>
      </c>
      <c r="B14" s="4" t="str">
        <v>IFPRI</v>
      </c>
      <c r="C14" s="4" t="str">
        <v>Global</v>
      </c>
      <c r="D14" s="4" t="str">
        <v>global</v>
      </c>
      <c r="E14" s="5">
        <v>5</v>
      </c>
      <c r="F14" s="4">
        <v>894</v>
      </c>
    </row>
    <row r="15" ht="45" customHeight="1">
      <c r="A15" s="4" t="str">
        <v>AOW02: Market Systems</v>
      </c>
      <c r="B15" s="4" t="str">
        <v>IFPRI</v>
      </c>
      <c r="C15" s="4" t="str">
        <v>Bangladesh</v>
      </c>
      <c r="D15" s="4" t="str">
        <v>country</v>
      </c>
      <c r="E15" s="5">
        <v>12</v>
      </c>
      <c r="F15" s="4">
        <v>889</v>
      </c>
    </row>
    <row r="16" ht="45" customHeight="1">
      <c r="A16" s="4" t="str">
        <v>AOW02: Market Systems</v>
      </c>
      <c r="B16" s="4" t="str">
        <v>IFPRI</v>
      </c>
      <c r="C16" s="4" t="str">
        <v>Ethiopia</v>
      </c>
      <c r="D16" s="4" t="str">
        <v>country</v>
      </c>
      <c r="E16" s="5">
        <v>12</v>
      </c>
      <c r="F16" s="4">
        <v>890</v>
      </c>
    </row>
    <row r="17" ht="45" customHeight="1">
      <c r="A17" s="4" t="str">
        <v>AOW02: Market Systems</v>
      </c>
      <c r="B17" s="4" t="str">
        <v>IFPRI</v>
      </c>
      <c r="C17" s="4" t="str">
        <v>Honduras</v>
      </c>
      <c r="D17" s="4" t="str">
        <v>country</v>
      </c>
      <c r="E17" s="5">
        <v>10</v>
      </c>
      <c r="F17" s="4">
        <v>1033</v>
      </c>
    </row>
    <row r="18" ht="45" customHeight="1">
      <c r="A18" s="4" t="str">
        <v>AOW02: Market Systems</v>
      </c>
      <c r="B18" s="4" t="str">
        <v>IFPRI</v>
      </c>
      <c r="C18" s="4" t="str">
        <v>Kenya</v>
      </c>
      <c r="D18" s="4" t="str">
        <v>country</v>
      </c>
      <c r="E18" s="5">
        <v>12</v>
      </c>
      <c r="F18" s="4">
        <v>896</v>
      </c>
    </row>
    <row r="19" ht="45" customHeight="1">
      <c r="A19" s="4" t="str">
        <v>AOW02: Market Systems</v>
      </c>
      <c r="B19" s="4" t="str">
        <v>IFPRI</v>
      </c>
      <c r="C19" s="4" t="str">
        <v>Nigeria</v>
      </c>
      <c r="D19" s="4" t="str">
        <v>country</v>
      </c>
      <c r="E19" s="5">
        <v>5</v>
      </c>
      <c r="F19" s="4">
        <v>893</v>
      </c>
    </row>
    <row r="20" ht="45" customHeight="1">
      <c r="A20" s="4" t="str">
        <v>AOW02: Market Systems</v>
      </c>
      <c r="B20" s="4" t="str">
        <v>IFPRI</v>
      </c>
      <c r="C20" s="4" t="str">
        <v>Philippines</v>
      </c>
      <c r="D20" s="4" t="str">
        <v>country</v>
      </c>
      <c r="E20" s="5">
        <v>12</v>
      </c>
      <c r="F20" s="4">
        <v>1034</v>
      </c>
    </row>
    <row r="21" ht="45" customHeight="1">
      <c r="A21" s="4" t="str">
        <v>AOW02: Market Systems</v>
      </c>
      <c r="B21" s="4" t="str">
        <v>IFPRI</v>
      </c>
      <c r="C21" s="4" t="str">
        <v>Tanzania</v>
      </c>
      <c r="D21" s="4" t="str">
        <v>country</v>
      </c>
      <c r="E21" s="5">
        <v>10</v>
      </c>
      <c r="F21" s="4">
        <v>892</v>
      </c>
    </row>
    <row r="22" ht="45" customHeight="1">
      <c r="A22" s="4" t="str">
        <v>AOW02: Market Systems</v>
      </c>
      <c r="B22" s="4" t="str">
        <v>IFPRI</v>
      </c>
      <c r="C22" s="4" t="str">
        <v>The Socialist Republic of Viet Nam</v>
      </c>
      <c r="D22" s="4" t="str">
        <v>country</v>
      </c>
      <c r="E22" s="5">
        <v>12</v>
      </c>
      <c r="F22" s="4">
        <v>895</v>
      </c>
    </row>
    <row r="23" ht="45" customHeight="1">
      <c r="A23" s="4" t="str">
        <v>AOW02: Market Systems</v>
      </c>
      <c r="B23" s="4" t="str">
        <v>IFPRI</v>
      </c>
      <c r="C23" s="4" t="str">
        <v>Uganda</v>
      </c>
      <c r="D23" s="4" t="str">
        <v>country</v>
      </c>
      <c r="E23" s="5">
        <v>10</v>
      </c>
      <c r="F23" s="4">
        <v>891</v>
      </c>
    </row>
    <row r="24" ht="45" customHeight="1">
      <c r="A24" s="4" t="str">
        <v>AOW02: Market Systems</v>
      </c>
      <c r="B24" s="4" t="str">
        <v>IFPRI</v>
      </c>
      <c r="C24" s="4" t="str">
        <v>United Republic</v>
      </c>
      <c r="D24" s="4" t="str">
        <v>country</v>
      </c>
      <c r="E24" s="5">
        <v>0</v>
      </c>
      <c r="F24" s="4">
        <v>1032</v>
      </c>
    </row>
    <row r="25" ht="45" customHeight="1">
      <c r="A25" s="8" t="str">
        <v>AOW03: End-to-end Solutions</v>
      </c>
      <c r="B25" s="4" t="str">
        <v>IFPRI</v>
      </c>
      <c r="C25" s="4" t="str">
        <v>Benin</v>
      </c>
      <c r="D25" s="4" t="str">
        <v>country</v>
      </c>
      <c r="E25" s="5">
        <v>10</v>
      </c>
      <c r="F25" s="4">
        <v>885</v>
      </c>
    </row>
    <row r="26" ht="45" customHeight="1">
      <c r="A26" s="4" t="str">
        <v>AOW03: End-to-end Solutions</v>
      </c>
      <c r="B26" s="4" t="str">
        <v>IFPRI</v>
      </c>
      <c r="C26" s="4" t="str">
        <v>Philippines</v>
      </c>
      <c r="D26" s="4" t="str">
        <v>country</v>
      </c>
      <c r="E26" s="5">
        <v>20</v>
      </c>
      <c r="F26" s="4">
        <v>886</v>
      </c>
    </row>
    <row r="27" ht="45" customHeight="1">
      <c r="A27" s="4" t="str">
        <v>AOW03: End-to-end Solutions</v>
      </c>
      <c r="B27" s="4" t="str">
        <v>IFPRI</v>
      </c>
      <c r="C27" s="4" t="str">
        <v>Sri Lanka</v>
      </c>
      <c r="D27" s="4" t="str">
        <v>country</v>
      </c>
      <c r="E27" s="5">
        <v>30</v>
      </c>
      <c r="F27" s="4">
        <v>887</v>
      </c>
    </row>
    <row r="28" ht="45" customHeight="1">
      <c r="A28" s="4" t="str">
        <v>AOW03: End-to-end Solutions</v>
      </c>
      <c r="B28" s="4" t="str">
        <v>IFPRI</v>
      </c>
      <c r="C28" s="4" t="str">
        <v>Tanzania</v>
      </c>
      <c r="D28" s="4" t="str">
        <v>country</v>
      </c>
      <c r="E28" s="5">
        <v>40</v>
      </c>
      <c r="F28" s="4">
        <v>888</v>
      </c>
    </row>
    <row r="29" ht="45" customHeight="1">
      <c r="A29" s="8" t="str">
        <v>AOW04: Biofortified and Health-enhancing Staples</v>
      </c>
      <c r="B29" s="4" t="str">
        <v>IFPRI</v>
      </c>
      <c r="C29" s="4" t="str">
        <v>Africa</v>
      </c>
      <c r="D29" s="4" t="str">
        <v>region</v>
      </c>
      <c r="E29" s="5">
        <v>40</v>
      </c>
      <c r="F29" s="4">
        <v>880</v>
      </c>
    </row>
    <row r="30" ht="45" customHeight="1">
      <c r="A30" s="4" t="str">
        <v>AOW04: Biofortified and Health-enhancing Staples</v>
      </c>
      <c r="B30" s="4" t="str">
        <v>IFPRI</v>
      </c>
      <c r="C30" s="4" t="str">
        <v>Ethiopia</v>
      </c>
      <c r="D30" s="4" t="str">
        <v>country</v>
      </c>
      <c r="E30" s="5">
        <v>15</v>
      </c>
      <c r="F30" s="4">
        <v>883</v>
      </c>
    </row>
    <row r="31" ht="45" customHeight="1">
      <c r="A31" s="4" t="str">
        <v>AOW04: Biofortified and Health-enhancing Staples</v>
      </c>
      <c r="B31" s="4" t="str">
        <v>IFPRI</v>
      </c>
      <c r="C31" s="4" t="str">
        <v>Kenya</v>
      </c>
      <c r="D31" s="4" t="str">
        <v>country</v>
      </c>
      <c r="E31" s="5">
        <v>15</v>
      </c>
      <c r="F31" s="4">
        <v>882</v>
      </c>
    </row>
    <row r="32" ht="45" customHeight="1">
      <c r="A32" s="4" t="str">
        <v>AOW04: Biofortified and Health-enhancing Staples</v>
      </c>
      <c r="B32" s="4" t="str">
        <v>IFPRI</v>
      </c>
      <c r="C32" s="4" t="str">
        <v>Nigeria</v>
      </c>
      <c r="D32" s="4" t="str">
        <v>country</v>
      </c>
      <c r="E32" s="5">
        <v>15</v>
      </c>
      <c r="F32" s="4">
        <v>881</v>
      </c>
    </row>
    <row r="33" ht="45" customHeight="1">
      <c r="A33" s="4" t="str">
        <v>AOW04: Biofortified and Health-enhancing Staples</v>
      </c>
      <c r="B33" s="4" t="str">
        <v>IFPRI</v>
      </c>
      <c r="C33" s="4" t="str">
        <v>Tanzania, United Republic</v>
      </c>
      <c r="D33" s="4" t="str">
        <v>country</v>
      </c>
      <c r="E33" s="5">
        <v>15</v>
      </c>
      <c r="F33" s="4">
        <v>884</v>
      </c>
    </row>
    <row r="34" ht="45" customHeight="1">
      <c r="A34" s="8" t="str">
        <v>AOW06: Transformative leadership</v>
      </c>
      <c r="B34" s="4" t="str">
        <v>IFPRI</v>
      </c>
      <c r="C34" s="4" t="str">
        <v>Global</v>
      </c>
      <c r="D34" s="4" t="str">
        <v>global</v>
      </c>
      <c r="E34" s="5">
        <v>80</v>
      </c>
      <c r="F34" s="4">
        <v>876</v>
      </c>
    </row>
    <row r="35" ht="45" customHeight="1">
      <c r="A35" s="4" t="str">
        <v>AOW06: Transformative leadership</v>
      </c>
      <c r="B35" s="4" t="str">
        <v>IFPRI</v>
      </c>
      <c r="C35" s="4" t="str">
        <v>Africa</v>
      </c>
      <c r="D35" s="4" t="str">
        <v>region</v>
      </c>
      <c r="E35" s="5">
        <v>0</v>
      </c>
      <c r="F35" s="4">
        <v>879</v>
      </c>
    </row>
    <row r="36" ht="45" customHeight="1">
      <c r="A36" s="4" t="str">
        <v>AOW06: Transformative leadership</v>
      </c>
      <c r="B36" s="4" t="str">
        <v>IFPRI</v>
      </c>
      <c r="C36" s="4" t="str">
        <v>Asia</v>
      </c>
      <c r="D36" s="4" t="str">
        <v>region</v>
      </c>
      <c r="E36" s="5">
        <v>0</v>
      </c>
      <c r="F36" s="4">
        <v>878</v>
      </c>
    </row>
    <row r="37" ht="45" customHeight="1">
      <c r="A37" s="4" t="str">
        <v>AOW06: Transformative leadership</v>
      </c>
      <c r="B37" s="4" t="str">
        <v>IFPRI</v>
      </c>
      <c r="C37" s="4" t="str">
        <v>Southern Asia</v>
      </c>
      <c r="D37" s="4" t="str">
        <v>region</v>
      </c>
      <c r="E37" s="5">
        <v>20</v>
      </c>
      <c r="F37" s="4">
        <v>877</v>
      </c>
    </row>
  </sheetData>
  <mergeCells count="6">
    <mergeCell ref="A2:A7"/>
    <mergeCell ref="A8:A13"/>
    <mergeCell ref="A14:A24"/>
    <mergeCell ref="A25:A28"/>
    <mergeCell ref="A29:A33"/>
    <mergeCell ref="A34:A37"/>
  </mergeCells>
  <ignoredErrors>
    <ignoredError numberStoredAsText="1" sqref="A1:F37"/>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