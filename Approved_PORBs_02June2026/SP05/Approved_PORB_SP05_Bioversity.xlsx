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165799</v>
      </c>
      <c r="K4" s="5">
        <v>165799</v>
      </c>
      <c r="L4" s="5">
        <v>0</v>
      </c>
      <c r="M4" s="5">
        <v>0</v>
      </c>
      <c r="N4" s="4">
        <v>189</v>
      </c>
    </row>
    <row r="5" ht="20" customHeight="1">
      <c r="A5" s="4" t="str">
        <v>AOW01: Consumers and Food Environments</v>
      </c>
      <c r="B5" s="5">
        <v>4</v>
      </c>
      <c r="C5" s="5">
        <v>88077</v>
      </c>
      <c r="D5" s="5">
        <v>0</v>
      </c>
      <c r="E5" s="5">
        <v>0</v>
      </c>
      <c r="F5" s="5">
        <v>0</v>
      </c>
      <c r="G5" s="5">
        <v>0</v>
      </c>
      <c r="H5" s="5">
        <v>4</v>
      </c>
      <c r="I5" s="5">
        <v>31513</v>
      </c>
      <c r="J5" s="5">
        <v>119590</v>
      </c>
      <c r="K5" s="5">
        <v>119590</v>
      </c>
      <c r="L5" s="5">
        <v>0</v>
      </c>
      <c r="M5" s="5">
        <v>0</v>
      </c>
      <c r="N5" s="4">
        <v>188</v>
      </c>
    </row>
    <row r="6" ht="20" customHeight="1">
      <c r="A6" s="4" t="str">
        <v>AOW02: Market Systems</v>
      </c>
      <c r="B6" s="5">
        <v>0</v>
      </c>
      <c r="C6" s="5">
        <v>0</v>
      </c>
      <c r="D6" s="5">
        <v>3</v>
      </c>
      <c r="E6" s="5">
        <v>37231</v>
      </c>
      <c r="F6" s="5">
        <v>0</v>
      </c>
      <c r="G6" s="5">
        <v>0</v>
      </c>
      <c r="H6" s="5">
        <v>0</v>
      </c>
      <c r="I6" s="5">
        <v>0</v>
      </c>
      <c r="J6" s="5">
        <v>37231</v>
      </c>
      <c r="K6" s="5">
        <v>37231</v>
      </c>
      <c r="L6" s="5">
        <v>0</v>
      </c>
      <c r="M6" s="5">
        <v>0</v>
      </c>
      <c r="N6" s="4">
        <v>184</v>
      </c>
    </row>
    <row r="7" ht="20" customHeight="1">
      <c r="A7" s="4" t="str">
        <v>AOW03: End-to-end Solutions</v>
      </c>
      <c r="B7" s="5">
        <v>0</v>
      </c>
      <c r="C7" s="5">
        <v>0</v>
      </c>
      <c r="D7" s="5">
        <v>0</v>
      </c>
      <c r="E7" s="5">
        <v>0</v>
      </c>
      <c r="F7" s="5">
        <v>0</v>
      </c>
      <c r="G7" s="5">
        <v>0</v>
      </c>
      <c r="H7" s="5">
        <v>0</v>
      </c>
      <c r="I7" s="5">
        <v>0</v>
      </c>
      <c r="J7" s="5">
        <v>0</v>
      </c>
      <c r="K7" s="5">
        <v>0</v>
      </c>
      <c r="L7" s="5">
        <v>0</v>
      </c>
      <c r="M7" s="5">
        <v>0</v>
      </c>
      <c r="N7" s="4">
        <v>186</v>
      </c>
    </row>
    <row r="8" ht="20" customHeight="1">
      <c r="A8" s="4" t="str">
        <v>AOW04: Biofortified and Health-enhancing Staples</v>
      </c>
      <c r="B8" s="5">
        <v>0</v>
      </c>
      <c r="C8" s="5">
        <v>0</v>
      </c>
      <c r="D8" s="5">
        <v>0</v>
      </c>
      <c r="E8" s="5">
        <v>0</v>
      </c>
      <c r="F8" s="5">
        <v>0</v>
      </c>
      <c r="G8" s="5">
        <v>0</v>
      </c>
      <c r="H8" s="5">
        <v>0</v>
      </c>
      <c r="I8" s="5">
        <v>0</v>
      </c>
      <c r="J8" s="5">
        <v>0</v>
      </c>
      <c r="K8" s="5">
        <v>0</v>
      </c>
      <c r="L8" s="5">
        <v>0</v>
      </c>
      <c r="M8" s="5">
        <v>0</v>
      </c>
      <c r="N8" s="4">
        <v>183</v>
      </c>
    </row>
    <row r="9" ht="20" customHeight="1">
      <c r="A9" s="4" t="str">
        <v>AOW05: Multisectoral systems</v>
      </c>
      <c r="B9" s="5">
        <v>0</v>
      </c>
      <c r="C9" s="5">
        <v>0</v>
      </c>
      <c r="D9" s="5">
        <v>0</v>
      </c>
      <c r="E9" s="5">
        <v>0</v>
      </c>
      <c r="F9" s="5">
        <v>0</v>
      </c>
      <c r="G9" s="5">
        <v>0</v>
      </c>
      <c r="H9" s="5">
        <v>0</v>
      </c>
      <c r="I9" s="5">
        <v>0</v>
      </c>
      <c r="J9" s="5">
        <v>0</v>
      </c>
      <c r="K9" s="5">
        <v>0</v>
      </c>
      <c r="L9" s="5">
        <v>0</v>
      </c>
      <c r="M9" s="5">
        <v>0</v>
      </c>
      <c r="N9" s="4">
        <v>187</v>
      </c>
    </row>
    <row r="10" ht="20" customHeight="1">
      <c r="A10" s="4" t="str">
        <v>AOW06: Transformative leadership</v>
      </c>
      <c r="B10" s="5">
        <v>0</v>
      </c>
      <c r="C10" s="5">
        <v>0</v>
      </c>
      <c r="D10" s="5">
        <v>1</v>
      </c>
      <c r="E10" s="5">
        <v>33828</v>
      </c>
      <c r="F10" s="5">
        <v>0</v>
      </c>
      <c r="G10" s="5">
        <v>0</v>
      </c>
      <c r="H10" s="5">
        <v>5</v>
      </c>
      <c r="I10" s="5">
        <v>160249</v>
      </c>
      <c r="J10" s="5">
        <v>194077</v>
      </c>
      <c r="K10" s="5">
        <v>194077</v>
      </c>
      <c r="L10" s="5">
        <v>0</v>
      </c>
      <c r="M10" s="5">
        <v>0</v>
      </c>
      <c r="N10" s="4">
        <v>185</v>
      </c>
    </row>
    <row r="11" ht="25" customHeight="1">
      <c r="A11" s="6" t="str">
        <v>Total</v>
      </c>
      <c r="B11" s="7" t="str">
        <v/>
      </c>
      <c r="C11" s="7">
        <v>88077</v>
      </c>
      <c r="D11" s="7" t="str">
        <v/>
      </c>
      <c r="E11" s="7">
        <v>71059</v>
      </c>
      <c r="F11" s="7" t="str">
        <v/>
      </c>
      <c r="G11" s="7">
        <v>0</v>
      </c>
      <c r="H11" s="7" t="str">
        <v/>
      </c>
      <c r="I11" s="7">
        <v>191762</v>
      </c>
      <c r="J11" s="7">
        <v>516697</v>
      </c>
      <c r="K11" s="7">
        <v>516697</v>
      </c>
      <c r="L11" s="7">
        <v>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1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AOW01: Consumers and Food Environments</v>
      </c>
      <c r="B3" s="4" t="str">
        <v>Bioversity (Alliance)</v>
      </c>
      <c r="C3" s="4" t="str">
        <v>Suite of solutions focused on consumers that promote consumption of sustainable heathy diets co-developed, tested, and scaled with technical support and country engagement</v>
      </c>
      <c r="D3" s="4" t="str">
        <v>Critical Capabilities: Co-designed food environment intervention action plan and a MEL framework  for Vietnam</v>
      </c>
      <c r="E3" s="4" t="str">
        <v>Number of innovations (innovation development)</v>
      </c>
      <c r="F3" s="4" t="str">
        <v>Malaysia, Kenya, United States of America, The Socialist Republic of Viet Nam</v>
      </c>
      <c r="G3" s="5">
        <v>1</v>
      </c>
      <c r="H3" s="5">
        <v>37433</v>
      </c>
      <c r="I3" s="4" t="str">
        <v xml:space="preserve">Estimated costs for time of interdisciplinary teams of researchers and local partners, data collection costs. </v>
      </c>
      <c r="J3" s="4">
        <v>5520</v>
      </c>
    </row>
    <row r="4" ht="50" customHeight="1">
      <c r="A4" s="4" t="str">
        <v>AOW01: Consumers and Food Environments</v>
      </c>
      <c r="B4" s="4" t="str">
        <v>Bioversity (Alliance)</v>
      </c>
      <c r="C4" s="4" t="str">
        <v>Policy options and engagement that support effective management of national action plans and other policy processes, for food systems transformation in  support of sustainable healthy diets</v>
      </c>
      <c r="D4" s="4" t="str">
        <v xml:space="preserve">Engagements with Kenyan stakeholders on findings from work on the Cost and Affordability of a Healthy Diet (CoHD) metric </v>
      </c>
      <c r="E4" s="4" t="str">
        <v>custom</v>
      </c>
      <c r="F4" s="4" t="str">
        <v>Colombia, United States of America, Kenya</v>
      </c>
      <c r="G4" s="5">
        <v>3</v>
      </c>
      <c r="H4" s="5">
        <v>23635</v>
      </c>
      <c r="I4" s="4" t="str">
        <v xml:space="preserve">Meeting costs include venue, catering, materials, and facilitators. </v>
      </c>
      <c r="J4" s="4">
        <v>5536</v>
      </c>
    </row>
    <row r="5" ht="50" customHeight="1">
      <c r="B5" s="4" t="str">
        <v>Bioversity (Alliance)</v>
      </c>
      <c r="D5" s="4" t="str">
        <v>Food Environment Toolkit, an online platform for food environment tools, methods, and metrics</v>
      </c>
      <c r="E5" s="4" t="str">
        <v>Number of innovations (innovation development)</v>
      </c>
      <c r="F5" s="4" t="str">
        <v>United States of America, Colombia, Kenya</v>
      </c>
      <c r="G5" s="5">
        <v>1</v>
      </c>
      <c r="H5" s="5">
        <v>7878</v>
      </c>
      <c r="I5" s="4" t="str">
        <v xml:space="preserve">Estimated costs for time of interdisciplinary teams of researchers and local partners, data collection costs. </v>
      </c>
      <c r="J5" s="4">
        <v>5542</v>
      </c>
    </row>
    <row r="6" ht="50" customHeight="1">
      <c r="B6" s="4" t="str">
        <v>Bioversity (Alliance)</v>
      </c>
      <c r="D6" s="4" t="str">
        <v>Webinar for targeted users of the Food Environment Toolkit</v>
      </c>
      <c r="E6" s="4" t="str">
        <v>custom</v>
      </c>
      <c r="F6" s="4" t="str">
        <v>Colombia, United States of America, Kenya</v>
      </c>
      <c r="G6" s="5">
        <v>1</v>
      </c>
      <c r="H6" s="5">
        <v>7878</v>
      </c>
      <c r="I6" s="4" t="str">
        <v xml:space="preserve">Estimated costs for time of interdisciplinary teams of researchers and local partners, data collection costs. </v>
      </c>
      <c r="J6" s="4">
        <v>8081</v>
      </c>
    </row>
    <row r="7" ht="50" customHeight="1">
      <c r="B7" s="4" t="str">
        <v>Bioversity (Alliance)</v>
      </c>
      <c r="D7" s="4" t="str">
        <v>Toolkit to support actors facilitating subnational implementation of the national action plan for food systems transformation in Ethiopia and Viet Nam</v>
      </c>
      <c r="E7" s="4" t="str">
        <v>Number of innovations (innovation development)</v>
      </c>
      <c r="F7" s="4" t="str">
        <v>Colombia, Ethiopia, The Socialist Republic of Viet Nam</v>
      </c>
      <c r="G7" s="5">
        <v>2</v>
      </c>
      <c r="H7" s="5">
        <v>42766</v>
      </c>
      <c r="I7" s="4" t="str">
        <v xml:space="preserve">Estimated costs for time of interdisciplinary teams of researchers and local partners, data collection costs. </v>
      </c>
      <c r="J7" s="4">
        <v>8191</v>
      </c>
    </row>
    <row r="8" ht="25" customHeight="1">
      <c r="C8" s="9" t="str">
        <v>HLO budget subtotal</v>
      </c>
      <c r="H8" s="9">
        <v>119590</v>
      </c>
      <c r="J8" s="9" t="str">
        <v/>
      </c>
    </row>
    <row r="9" ht="50" customHeight="1">
      <c r="A9" s="8" t="str">
        <v>AOW02: Market Systems</v>
      </c>
      <c r="B9" s="4" t="str">
        <v>Bioversity (Alliance)</v>
      </c>
      <c r="C9" s="4" t="str">
        <v>Suite of solutions focused on farm input dealers, food traders, processors, and/or retailers that promote food quality and safety, reduce food loss, improve efficiency, and/or facilitate intermediation developed and tested with technical support and country engagement</v>
      </c>
      <c r="D9" s="4" t="str">
        <v>Reports documenting demand for digital tools by MSMEs in Ethiopia and Uganda working on nutritious foods and progress on the use of digital tool solutions by MSMEs working on nutritious foods in Kenya.56</v>
      </c>
      <c r="E9" s="4" t="str">
        <v>Number of knowledge products</v>
      </c>
      <c r="F9" s="4" t="str">
        <v>Uganda, Ethiopia, Kenya</v>
      </c>
      <c r="G9" s="5">
        <v>3</v>
      </c>
      <c r="H9" s="5">
        <v>37231</v>
      </c>
      <c r="I9" s="4" t="str">
        <v>Personnel costs based on standard organizational salary scales.</v>
      </c>
      <c r="J9" s="4">
        <v>5565</v>
      </c>
    </row>
    <row r="10" ht="25" customHeight="1">
      <c r="C10" s="9" t="str">
        <v>HLO budget subtotal</v>
      </c>
      <c r="H10" s="9">
        <v>37231</v>
      </c>
      <c r="J10" s="9" t="str">
        <v/>
      </c>
    </row>
    <row r="11" ht="50" customHeight="1">
      <c r="A11" s="8" t="str">
        <v>AOW06: Transformative leadership</v>
      </c>
      <c r="B11" s="4" t="str">
        <v>Bioversity (Alliance)</v>
      </c>
      <c r="C11" s="4" t="str">
        <v xml:space="preserve">Amplify external profile of BDN/CGIAR through knowledge products, dissemination activities and engagements at cross-cutting Regional and Global events to promote diet-focused outcomes in action plans, strategies and policies (e.g. Conference of Parties on Biodiversity, Conference of Parties on Climate) </v>
      </c>
      <c r="D11" s="4" t="str">
        <v>Technical support to regional bodies and experts in the biodiversity and climate sectors that adds diet-centered thinking in their engagement in regional events (e.g., Climate COP and Biodiversity COP)</v>
      </c>
      <c r="E11" s="4" t="str">
        <v>custom</v>
      </c>
      <c r="F11" s="4" t="str">
        <v>United States of America, Malaysia, Kenya, Colombia, Ethiopia, The Socialist Republic of Viet Nam</v>
      </c>
      <c r="G11" s="5">
        <v>2</v>
      </c>
      <c r="H11" s="5">
        <v>67658</v>
      </c>
      <c r="I11" s="4" t="str">
        <v>Communication and dissemination costs include design, printing, and event participation.</v>
      </c>
      <c r="J11" s="4">
        <v>5636</v>
      </c>
    </row>
    <row r="12" ht="50" customHeight="1">
      <c r="B12" s="4" t="str">
        <v>Bioversity (Alliance)</v>
      </c>
      <c r="D12" s="4" t="str">
        <v>Registered protocol with research questions, word search, databases and criteria on climate-nutrition-health linkages</v>
      </c>
      <c r="E12" s="4" t="str">
        <v>custom</v>
      </c>
      <c r="F12" s="4" t="str">
        <v>United States of America, Colombia, Tanzania, United Republic, Philippines, Ethiopia, Bangladesh, Honduras, The Socialist Republic of Viet Nam</v>
      </c>
      <c r="G12" s="5">
        <v>1</v>
      </c>
      <c r="H12" s="5">
        <v>24935</v>
      </c>
      <c r="I12" s="4" t="str">
        <v>Personnel costs based on standard organizational salary scales.</v>
      </c>
      <c r="J12" s="4">
        <v>8169</v>
      </c>
    </row>
    <row r="13" ht="50" customHeight="1">
      <c r="A13" s="4" t="str">
        <v>AOW06: Transformative leadership</v>
      </c>
      <c r="B13" s="4" t="str">
        <v>Bioversity (Alliance)</v>
      </c>
      <c r="C13" s="4" t="str">
        <v xml:space="preserve">Tools, expert community and capacities to guide CGIAR portfolio along pathways that lead to credible impacts on nutrition health and food security </v>
      </c>
      <c r="D13" s="4" t="str">
        <v>Diet-centered discussion paper</v>
      </c>
      <c r="E13" s="4" t="str">
        <v>Number of knowledge products</v>
      </c>
      <c r="F13" s="4" t="str">
        <v>Kenya, Malaysia, Colombia, United States of America, Philippines, Tanzania, United Republic, Honduras, Ethiopia, The Socialist Republic of Viet Nam, Bangladesh</v>
      </c>
      <c r="G13" s="5">
        <v>1</v>
      </c>
      <c r="H13" s="5">
        <v>33828</v>
      </c>
      <c r="I13" s="4" t="str">
        <v>Personnel costs based on standard organizational salary scales.</v>
      </c>
      <c r="J13" s="4">
        <v>5641</v>
      </c>
    </row>
    <row r="14" ht="50" customHeight="1">
      <c r="B14" s="4" t="str">
        <v>Bioversity (Alliance)</v>
      </c>
      <c r="D14" s="4" t="str">
        <v>Guidance on appropriate health indicators and an expanded dietary diversity indicator inventory, typology and impact pathway framework, a resource for CGIAR's Impact Area on Nutrition, Health, and Food Security</v>
      </c>
      <c r="E14" s="4" t="str">
        <v>custom</v>
      </c>
      <c r="F14" s="4" t="str">
        <v>Italy, Kenya, Malaysia, United States of America</v>
      </c>
      <c r="G14" s="5">
        <v>1</v>
      </c>
      <c r="H14" s="5">
        <v>33828</v>
      </c>
      <c r="I14" s="4" t="str">
        <v>Personnel costs based on standard organizational salary scales.</v>
      </c>
      <c r="J14" s="4">
        <v>8012</v>
      </c>
    </row>
    <row r="15" ht="50" customHeight="1">
      <c r="A15" s="4" t="str">
        <v>AOW06: Transformative leadership</v>
      </c>
      <c r="B15" s="4" t="str">
        <v>Bioversity (Alliance)</v>
      </c>
      <c r="C15" s="4" t="str">
        <v xml:space="preserve">Amplify external profile of BDN/CGIAR through dissemination activities and engagements at Priority Global Nutrition events (Rome Nutrition Week, Micronutrient Forum) </v>
      </c>
      <c r="D15" s="4" t="str">
        <v>Engagement with UN Nutrition and partners to advance coherent, cross-sector policy, strengthen collaboration, and ensure nutrition is central to food systems and development agendas.18</v>
      </c>
      <c r="E15" s="4" t="str">
        <v>custom</v>
      </c>
      <c r="F15" s="4" t="str">
        <v>India, United States of America, Italy</v>
      </c>
      <c r="G15" s="5">
        <v>1</v>
      </c>
      <c r="H15" s="5">
        <v>33828</v>
      </c>
      <c r="I15" s="4" t="str">
        <v>Communication and dissemination costs include design, printing, and event participation.</v>
      </c>
      <c r="J15" s="4">
        <v>7871</v>
      </c>
    </row>
    <row r="16" ht="25" customHeight="1">
      <c r="C16" s="9" t="str">
        <v>HLO budget subtotal</v>
      </c>
      <c r="H16" s="9">
        <v>194077</v>
      </c>
      <c r="J16" s="9" t="str">
        <v/>
      </c>
    </row>
  </sheetData>
  <mergeCells count="15">
    <mergeCell ref="A1:A2"/>
    <mergeCell ref="B1:B2"/>
    <mergeCell ref="C1:C2"/>
    <mergeCell ref="D1:H1"/>
    <mergeCell ref="I1:I2"/>
    <mergeCell ref="J1:J2"/>
    <mergeCell ref="C4:C7"/>
    <mergeCell ref="C8:G8"/>
    <mergeCell ref="A3:A8"/>
    <mergeCell ref="C10:G10"/>
    <mergeCell ref="A9:A10"/>
    <mergeCell ref="C11:C12"/>
    <mergeCell ref="C13:C14"/>
    <mergeCell ref="C16:G16"/>
    <mergeCell ref="A11:A16"/>
  </mergeCells>
  <ignoredErrors>
    <ignoredError numberStoredAsText="1" sqref="A1:J16"/>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6"/>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Bioversity (Alliance)</v>
      </c>
      <c r="C2" s="4" t="str">
        <v xml:space="preserve">Actor Engagement and Assumption Validation </v>
      </c>
      <c r="D2"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2" s="4" t="str">
        <v>N/A</v>
      </c>
      <c r="F2" s="5">
        <v>0</v>
      </c>
      <c r="G2" s="4" t="str">
        <v/>
      </c>
      <c r="H2" s="4">
        <v>681</v>
      </c>
    </row>
    <row r="3" ht="60" customHeight="1">
      <c r="A3" s="4" t="str">
        <v>AOW00: Cross Cutting</v>
      </c>
      <c r="B3" s="4" t="str">
        <v>Bioversity (Alliance)</v>
      </c>
      <c r="C3" s="4" t="str">
        <v>Portfolio-Level Nutrition Contribution</v>
      </c>
      <c r="D3" s="4" t="str">
        <v>Consumers demand and consume sustainable healthy diets</v>
      </c>
      <c r="E3" s="4" t="str">
        <v>N/A</v>
      </c>
      <c r="F3" s="5">
        <v>0</v>
      </c>
      <c r="G3" s="4" t="str">
        <v/>
      </c>
      <c r="H3" s="4">
        <v>718</v>
      </c>
    </row>
    <row r="4" ht="25" customHeight="1">
      <c r="C4" s="9" t="str">
        <v>MELIA budget subtotal</v>
      </c>
      <c r="F4" s="9">
        <v>0</v>
      </c>
      <c r="G4" s="9" t="str">
        <v/>
      </c>
      <c r="H4" s="9" t="str">
        <v/>
      </c>
    </row>
    <row r="5" ht="60" customHeight="1">
      <c r="A5" s="8" t="str">
        <v>AOW01: Consumers and Food Environments</v>
      </c>
      <c r="B5" s="4" t="str">
        <v>Bioversity (Alliance)</v>
      </c>
      <c r="C5" s="4" t="str">
        <v xml:space="preserve">Actor Engagement and Assumption Validation </v>
      </c>
      <c r="D5"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5" s="4" t="str">
        <v>N/A</v>
      </c>
      <c r="F5" s="5">
        <v>0</v>
      </c>
      <c r="G5" s="4" t="str">
        <v/>
      </c>
      <c r="H5" s="4">
        <v>671</v>
      </c>
    </row>
    <row r="6" ht="25" customHeight="1">
      <c r="C6" s="9" t="str">
        <v>MELIA budget subtotal</v>
      </c>
      <c r="F6" s="9">
        <v>0</v>
      </c>
      <c r="G6" s="9" t="str">
        <v/>
      </c>
      <c r="H6" s="9" t="str">
        <v/>
      </c>
    </row>
    <row r="7" ht="60" customHeight="1">
      <c r="A7" s="8" t="str">
        <v>AOW02: Market Systems</v>
      </c>
      <c r="B7" s="4" t="str">
        <v>Bioversity (Alliance)</v>
      </c>
      <c r="C7" s="4" t="str">
        <v xml:space="preserve">Actor Engagement and Assumption Validation </v>
      </c>
      <c r="D7"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7" s="4" t="str">
        <v>N/A</v>
      </c>
      <c r="F7" s="5">
        <v>0</v>
      </c>
      <c r="G7" s="4" t="str">
        <v/>
      </c>
      <c r="H7" s="4">
        <v>676</v>
      </c>
    </row>
    <row r="8" ht="25" customHeight="1">
      <c r="C8" s="9" t="str">
        <v>MELIA budget subtotal</v>
      </c>
      <c r="F8" s="9">
        <v>0</v>
      </c>
      <c r="G8" s="9" t="str">
        <v/>
      </c>
      <c r="H8" s="9" t="str">
        <v/>
      </c>
    </row>
    <row r="9" ht="60" customHeight="1">
      <c r="A9" s="8" t="str">
        <v>AOW03: End-to-end Solutions</v>
      </c>
      <c r="B9" s="4" t="str">
        <v>Bioversity (Alliance)</v>
      </c>
      <c r="C9" s="4" t="str">
        <v xml:space="preserve">Actor Engagement and Assumption Validation </v>
      </c>
      <c r="D9"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9" s="4" t="str">
        <v>N/A</v>
      </c>
      <c r="F9" s="5">
        <v>0</v>
      </c>
      <c r="G9" s="4" t="str">
        <v/>
      </c>
      <c r="H9" s="4">
        <v>666</v>
      </c>
    </row>
    <row r="10" ht="25" customHeight="1">
      <c r="C10" s="9" t="str">
        <v>MELIA budget subtotal</v>
      </c>
      <c r="F10" s="9">
        <v>0</v>
      </c>
      <c r="G10" s="9" t="str">
        <v/>
      </c>
      <c r="H10" s="9" t="str">
        <v/>
      </c>
    </row>
    <row r="11" ht="60" customHeight="1">
      <c r="A11" s="8" t="str">
        <v>AOW04: Biofortified and Health-enhancing Staples</v>
      </c>
      <c r="B11" s="4" t="str">
        <v>Bioversity (Alliance)</v>
      </c>
      <c r="C11" s="4" t="str">
        <v xml:space="preserve">Actor Engagement and Assumption Validation </v>
      </c>
      <c r="D11"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1" s="4" t="str">
        <v>N/A</v>
      </c>
      <c r="F11" s="5">
        <v>0</v>
      </c>
      <c r="G11" s="4" t="str">
        <v/>
      </c>
      <c r="H11" s="4">
        <v>661</v>
      </c>
    </row>
    <row r="12" ht="25" customHeight="1">
      <c r="C12" s="9" t="str">
        <v>MELIA budget subtotal</v>
      </c>
      <c r="F12" s="9">
        <v>0</v>
      </c>
      <c r="G12" s="9" t="str">
        <v/>
      </c>
      <c r="H12" s="9" t="str">
        <v/>
      </c>
    </row>
    <row r="13" ht="60" customHeight="1">
      <c r="A13" s="8" t="str">
        <v>AOW05: Multisectoral systems</v>
      </c>
      <c r="B13" s="4" t="str">
        <v>Bioversity (Alliance)</v>
      </c>
      <c r="C13" s="4" t="str">
        <v xml:space="preserve">Actor Engagement and Assumption Validation </v>
      </c>
      <c r="D13"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3" s="4" t="str">
        <v>N/A</v>
      </c>
      <c r="F13" s="5">
        <v>0</v>
      </c>
      <c r="G13" s="4" t="str">
        <v/>
      </c>
      <c r="H13" s="4">
        <v>656</v>
      </c>
    </row>
    <row r="14" ht="25" customHeight="1">
      <c r="C14" s="9" t="str">
        <v>MELIA budget subtotal</v>
      </c>
      <c r="F14" s="9">
        <v>0</v>
      </c>
      <c r="G14" s="9" t="str">
        <v/>
      </c>
      <c r="H14" s="9" t="str">
        <v/>
      </c>
    </row>
    <row r="15" ht="60" customHeight="1">
      <c r="A15" s="8" t="str">
        <v>AOW06: Transformative leadership</v>
      </c>
      <c r="B15" s="4" t="str">
        <v>Bioversity (Alliance)</v>
      </c>
      <c r="C15" s="4" t="str">
        <v xml:space="preserve">Actor Engagement and Assumption Validation </v>
      </c>
      <c r="D15" s="4" t="str">
        <v>Food producers, traders, processors, and/or retailers adopt evidence-based solutions to improve food safety and quality in target markets​ Consumers demand and consume sustainable healthy diets Food traders, processors, and/or retailers adopt effective components of bundled solutions to reduce food loss and waste</v>
      </c>
      <c r="E15" s="4" t="str">
        <v>N/A</v>
      </c>
      <c r="F15" s="5">
        <v>0</v>
      </c>
      <c r="G15" s="4" t="str">
        <v/>
      </c>
      <c r="H15" s="4">
        <v>651</v>
      </c>
    </row>
    <row r="16" ht="25" customHeight="1">
      <c r="C16" s="9" t="str">
        <v>MELIA budget subtotal</v>
      </c>
      <c r="F16" s="9">
        <v>0</v>
      </c>
      <c r="G16" s="9" t="str">
        <v/>
      </c>
      <c r="H16" s="9" t="str">
        <v/>
      </c>
    </row>
  </sheetData>
  <mergeCells count="14">
    <mergeCell ref="C4:E4"/>
    <mergeCell ref="A2:A4"/>
    <mergeCell ref="C6:E6"/>
    <mergeCell ref="A5:A6"/>
    <mergeCell ref="C8:E8"/>
    <mergeCell ref="A7:A8"/>
    <mergeCell ref="C10:E10"/>
    <mergeCell ref="A9:A10"/>
    <mergeCell ref="C12:E12"/>
    <mergeCell ref="A11:A12"/>
    <mergeCell ref="C14:E14"/>
    <mergeCell ref="A13:A14"/>
    <mergeCell ref="C16:E16"/>
    <mergeCell ref="A15:A16"/>
  </mergeCells>
  <ignoredErrors>
    <ignoredError numberStoredAsText="1" sqref="A1:H16"/>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Bioversity (Alliance)</v>
      </c>
      <c r="C2" s="4" t="str">
        <v>Area of Work Leads</v>
      </c>
      <c r="D2" s="5">
        <v>160799</v>
      </c>
      <c r="E2" s="4" t="str" xml:space="preserve">
        <v xml:space="preserve">The AoW6Lead served at 0.2 FTE during January–February and shifted to 0.4 FTE from March through December.
</v>
      </c>
      <c r="F2" s="4">
        <v>24</v>
      </c>
      <c r="G2" s="4">
        <v>3</v>
      </c>
    </row>
    <row r="3" ht="45" customHeight="1">
      <c r="A3" s="4" t="str">
        <v>AOW00: Cross Cutting</v>
      </c>
      <c r="B3" s="4" t="str">
        <v>Bioversity (Alliance)</v>
      </c>
      <c r="C3" s="4" t="str">
        <v>Discretionary funds</v>
      </c>
      <c r="D3" s="5">
        <v>5000</v>
      </c>
      <c r="E3" s="4" t="str">
        <v>Travel AoW Lead</v>
      </c>
      <c r="F3" s="4">
        <v>223</v>
      </c>
      <c r="G3" s="4">
        <v>7</v>
      </c>
    </row>
    <row r="4" ht="25" customHeight="1">
      <c r="C4" s="9" t="str">
        <v>Cross-cutting budget subtotal</v>
      </c>
      <c r="D4" s="9">
        <v>165799</v>
      </c>
      <c r="E4" s="9" t="str">
        <v/>
      </c>
      <c r="F4" s="9" t="str">
        <v/>
      </c>
      <c r="G4" s="9" t="str">
        <v/>
      </c>
    </row>
  </sheetData>
  <mergeCells count="1">
    <mergeCell ref="A2:A4"/>
  </mergeCells>
  <ignoredErrors>
    <ignoredError numberStoredAsText="1" sqref="A1:G4"/>
  </ignoredErrors>
</worksheet>
</file>

<file path=xl/worksheets/sheet7.xml><?xml version="1.0" encoding="utf-8"?>
<worksheet xmlns="http://schemas.openxmlformats.org/spreadsheetml/2006/main" xmlns:r="http://schemas.openxmlformats.org/officeDocument/2006/relationships">
  <dimension ref="A1:I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160799</v>
      </c>
      <c r="C2" s="5">
        <v>110590</v>
      </c>
      <c r="D2" s="5">
        <v>27231</v>
      </c>
      <c r="E2" s="5">
        <v>0</v>
      </c>
      <c r="F2" s="5">
        <v>0</v>
      </c>
      <c r="G2" s="5">
        <v>0</v>
      </c>
      <c r="H2" s="5">
        <v>169395</v>
      </c>
      <c r="I2" s="5">
        <f>=SUM(B2:H2)</f>
        <v>0</v>
      </c>
    </row>
    <row r="3" ht="20" customHeight="1">
      <c r="A3" s="4" t="str">
        <v>Operations (supplies, consultants, travels, workshops, other)</v>
      </c>
      <c r="B3" s="5">
        <v>5000</v>
      </c>
      <c r="C3" s="5">
        <v>9000</v>
      </c>
      <c r="D3" s="5">
        <v>10000</v>
      </c>
      <c r="E3" s="5">
        <v>0</v>
      </c>
      <c r="F3" s="5">
        <v>0</v>
      </c>
      <c r="G3" s="5">
        <v>0</v>
      </c>
      <c r="H3" s="5">
        <v>24682</v>
      </c>
      <c r="I3" s="5">
        <f>=SUM(B3:H3)</f>
        <v>0</v>
      </c>
    </row>
    <row r="4" ht="20" customHeight="1">
      <c r="A4" s="6" t="str">
        <v>Subtotal</v>
      </c>
      <c r="B4" s="7">
        <f>=SUM(B2:B3)</f>
        <v>0</v>
      </c>
      <c r="C4" s="7">
        <f>=SUM(C2:C3)</f>
        <v>0</v>
      </c>
      <c r="D4" s="7">
        <f>=SUM(D2:D3)</f>
        <v>0</v>
      </c>
      <c r="E4" s="7">
        <f>=SUM(E2:E3)</f>
        <v>0</v>
      </c>
      <c r="F4" s="7">
        <f>=SUM(F2:F3)</f>
        <v>0</v>
      </c>
      <c r="G4" s="7">
        <f>=SUM(G2:G3)</f>
        <v>0</v>
      </c>
      <c r="H4" s="7">
        <f>=SUM(H2:H3)</f>
        <v>0</v>
      </c>
      <c r="I4" s="7">
        <f>=SUM(I2:I3)</f>
        <v>0</v>
      </c>
    </row>
  </sheetData>
  <ignoredErrors>
    <ignoredError numberStoredAsText="1" sqref="A1:I4"/>
  </ignoredErrors>
</worksheet>
</file>

<file path=xl/worksheets/sheet8.xml><?xml version="1.0" encoding="utf-8"?>
<worksheet xmlns="http://schemas.openxmlformats.org/spreadsheetml/2006/main" xmlns:r="http://schemas.openxmlformats.org/officeDocument/2006/relationships">
  <dimension ref="A1:E15"/>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Bioversity (Alliance)</v>
      </c>
      <c r="C2" s="4" t="str">
        <v>United States of America</v>
      </c>
      <c r="D2" s="5">
        <v>100</v>
      </c>
      <c r="E2" s="4">
        <v>55</v>
      </c>
    </row>
    <row r="3" ht="45" customHeight="1">
      <c r="A3" s="8" t="str">
        <v>AOW01: Consumers and Food Environments</v>
      </c>
      <c r="B3" s="4" t="str">
        <v>Bioversity (Alliance)</v>
      </c>
      <c r="C3" s="4" t="str">
        <v>Colombia</v>
      </c>
      <c r="D3" s="5">
        <v>5</v>
      </c>
      <c r="E3" s="4">
        <v>2443</v>
      </c>
    </row>
    <row r="4" ht="45" customHeight="1">
      <c r="A4" s="4" t="str">
        <v>AOW01: Consumers and Food Environments</v>
      </c>
      <c r="B4" s="4" t="str">
        <v>Bioversity (Alliance)</v>
      </c>
      <c r="C4" s="4" t="str">
        <v>Kenya</v>
      </c>
      <c r="D4" s="5">
        <v>35</v>
      </c>
      <c r="E4" s="4">
        <v>2444</v>
      </c>
    </row>
    <row r="5" ht="45" customHeight="1">
      <c r="A5" s="4" t="str">
        <v>AOW01: Consumers and Food Environments</v>
      </c>
      <c r="B5" s="4" t="str">
        <v>Bioversity (Alliance)</v>
      </c>
      <c r="C5" s="4" t="str">
        <v>Malaysia</v>
      </c>
      <c r="D5" s="5">
        <v>5</v>
      </c>
      <c r="E5" s="4">
        <v>2442</v>
      </c>
    </row>
    <row r="6" ht="45" customHeight="1">
      <c r="A6" s="4" t="str">
        <v>AOW01: Consumers and Food Environments</v>
      </c>
      <c r="B6" s="4" t="str">
        <v>Bioversity (Alliance)</v>
      </c>
      <c r="C6" s="4" t="str">
        <v>The Socialist Republic of Viet Nam</v>
      </c>
      <c r="D6" s="5">
        <v>5</v>
      </c>
      <c r="E6" s="4">
        <v>2448</v>
      </c>
    </row>
    <row r="7" ht="45" customHeight="1">
      <c r="A7" s="4" t="str">
        <v>AOW01: Consumers and Food Environments</v>
      </c>
      <c r="B7" s="4" t="str">
        <v>Bioversity (Alliance)</v>
      </c>
      <c r="C7" s="4" t="str">
        <v>United States of America</v>
      </c>
      <c r="D7" s="5">
        <v>50</v>
      </c>
      <c r="E7" s="4">
        <v>2441</v>
      </c>
    </row>
    <row r="8" ht="45" customHeight="1">
      <c r="A8" s="8" t="str">
        <v>AOW02: Market Systems</v>
      </c>
      <c r="B8" s="4" t="str">
        <v>Bioversity (Alliance)</v>
      </c>
      <c r="C8" s="4" t="str">
        <v>Kenya</v>
      </c>
      <c r="D8" s="5">
        <v>100</v>
      </c>
      <c r="E8" s="4">
        <v>2447</v>
      </c>
    </row>
    <row r="9" ht="45" customHeight="1">
      <c r="A9" s="8" t="str">
        <v>AOW06: Transformative leadership</v>
      </c>
      <c r="B9" s="4" t="str">
        <v>Bioversity (Alliance)</v>
      </c>
      <c r="C9" s="4" t="str">
        <v>Colombia</v>
      </c>
      <c r="D9" s="5">
        <v>13</v>
      </c>
      <c r="E9" s="4">
        <v>2472</v>
      </c>
    </row>
    <row r="10" ht="45" customHeight="1">
      <c r="A10" s="4" t="str">
        <v>AOW06: Transformative leadership</v>
      </c>
      <c r="B10" s="4" t="str">
        <v>Bioversity (Alliance)</v>
      </c>
      <c r="C10" s="4" t="str">
        <v>Ethiopia</v>
      </c>
      <c r="D10" s="5">
        <v>0</v>
      </c>
      <c r="E10" s="4">
        <v>1745</v>
      </c>
    </row>
    <row r="11" ht="45" customHeight="1">
      <c r="A11" s="4" t="str">
        <v>AOW06: Transformative leadership</v>
      </c>
      <c r="B11" s="4" t="str">
        <v>Bioversity (Alliance)</v>
      </c>
      <c r="C11" s="4" t="str">
        <v>Italy</v>
      </c>
      <c r="D11" s="5">
        <v>0</v>
      </c>
      <c r="E11" s="4">
        <v>1744</v>
      </c>
    </row>
    <row r="12" ht="45" customHeight="1">
      <c r="A12" s="4" t="str">
        <v>AOW06: Transformative leadership</v>
      </c>
      <c r="B12" s="4" t="str">
        <v>Bioversity (Alliance)</v>
      </c>
      <c r="C12" s="4" t="str">
        <v>Kenya</v>
      </c>
      <c r="D12" s="5">
        <v>13</v>
      </c>
      <c r="E12" s="4">
        <v>2473</v>
      </c>
    </row>
    <row r="13" ht="45" customHeight="1">
      <c r="A13" s="4" t="str">
        <v>AOW06: Transformative leadership</v>
      </c>
      <c r="B13" s="4" t="str">
        <v>Bioversity (Alliance)</v>
      </c>
      <c r="C13" s="4" t="str">
        <v>Malaysia</v>
      </c>
      <c r="D13" s="5">
        <v>14</v>
      </c>
      <c r="E13" s="4">
        <v>2469</v>
      </c>
    </row>
    <row r="14" ht="45" customHeight="1">
      <c r="A14" s="4" t="str">
        <v>AOW06: Transformative leadership</v>
      </c>
      <c r="B14" s="4" t="str">
        <v>Bioversity (Alliance)</v>
      </c>
      <c r="C14" s="4" t="str">
        <v>The Socialist Republic of Viet Nam</v>
      </c>
      <c r="D14" s="5">
        <v>0</v>
      </c>
      <c r="E14" s="4">
        <v>2474</v>
      </c>
    </row>
    <row r="15" ht="45" customHeight="1">
      <c r="A15" s="4" t="str">
        <v>AOW06: Transformative leadership</v>
      </c>
      <c r="B15" s="4" t="str">
        <v>Bioversity (Alliance)</v>
      </c>
      <c r="C15" s="4" t="str">
        <v>United States of America</v>
      </c>
      <c r="D15" s="5">
        <v>60</v>
      </c>
      <c r="E15" s="4">
        <v>1743</v>
      </c>
    </row>
  </sheetData>
  <mergeCells count="4">
    <mergeCell ref="A2"/>
    <mergeCell ref="A3:A7"/>
    <mergeCell ref="A8"/>
    <mergeCell ref="A9:A15"/>
  </mergeCells>
  <ignoredErrors>
    <ignoredError numberStoredAsText="1" sqref="A1:E15"/>
  </ignoredErrors>
</worksheet>
</file>

<file path=xl/worksheets/sheet9.xml><?xml version="1.0" encoding="utf-8"?>
<worksheet xmlns="http://schemas.openxmlformats.org/spreadsheetml/2006/main" xmlns:r="http://schemas.openxmlformats.org/officeDocument/2006/relationships">
  <dimension ref="A1:F24"/>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Bioversity (Alliance)</v>
      </c>
      <c r="C2" s="4" t="str">
        <v>Bangladesh</v>
      </c>
      <c r="D2" s="4" t="str">
        <v>country</v>
      </c>
      <c r="E2" s="5">
        <v>16.67</v>
      </c>
      <c r="F2" s="4">
        <v>7</v>
      </c>
    </row>
    <row r="3" ht="45" customHeight="1">
      <c r="A3" s="4" t="str">
        <v>AOW00: Cross Cutting</v>
      </c>
      <c r="B3" s="4" t="str">
        <v>Bioversity (Alliance)</v>
      </c>
      <c r="C3" s="4" t="str">
        <v>Ethiopia</v>
      </c>
      <c r="D3" s="4" t="str">
        <v>country</v>
      </c>
      <c r="E3" s="5">
        <v>16.67</v>
      </c>
      <c r="F3" s="4">
        <v>8</v>
      </c>
    </row>
    <row r="4" ht="45" customHeight="1">
      <c r="A4" s="4" t="str">
        <v>AOW00: Cross Cutting</v>
      </c>
      <c r="B4" s="4" t="str">
        <v>Bioversity (Alliance)</v>
      </c>
      <c r="C4" s="4" t="str">
        <v>Honduras</v>
      </c>
      <c r="D4" s="4" t="str">
        <v>country</v>
      </c>
      <c r="E4" s="5">
        <v>16.67</v>
      </c>
      <c r="F4" s="4">
        <v>10</v>
      </c>
    </row>
    <row r="5" ht="45" customHeight="1">
      <c r="A5" s="4" t="str">
        <v>AOW00: Cross Cutting</v>
      </c>
      <c r="B5" s="4" t="str">
        <v>Bioversity (Alliance)</v>
      </c>
      <c r="C5" s="4" t="str">
        <v>Kenya</v>
      </c>
      <c r="D5" s="4" t="str">
        <v>country</v>
      </c>
      <c r="E5" s="5">
        <v>0</v>
      </c>
      <c r="F5" s="4">
        <v>996</v>
      </c>
    </row>
    <row r="6" ht="45" customHeight="1">
      <c r="A6" s="4" t="str">
        <v>AOW00: Cross Cutting</v>
      </c>
      <c r="B6" s="4" t="str">
        <v>Bioversity (Alliance)</v>
      </c>
      <c r="C6" s="4" t="str">
        <v>Philippines</v>
      </c>
      <c r="D6" s="4" t="str">
        <v>country</v>
      </c>
      <c r="E6" s="5">
        <v>16.67</v>
      </c>
      <c r="F6" s="4">
        <v>12</v>
      </c>
    </row>
    <row r="7" ht="45" customHeight="1">
      <c r="A7" s="4" t="str">
        <v>AOW00: Cross Cutting</v>
      </c>
      <c r="B7" s="4" t="str">
        <v>Bioversity (Alliance)</v>
      </c>
      <c r="C7" s="4" t="str">
        <v>Tanzania</v>
      </c>
      <c r="D7" s="4" t="str">
        <v>country</v>
      </c>
      <c r="E7" s="5">
        <v>16.66</v>
      </c>
      <c r="F7" s="4">
        <v>9</v>
      </c>
    </row>
    <row r="8" ht="45" customHeight="1">
      <c r="A8" s="4" t="str">
        <v>AOW00: Cross Cutting</v>
      </c>
      <c r="B8" s="4" t="str">
        <v>Bioversity (Alliance)</v>
      </c>
      <c r="C8" s="4" t="str">
        <v>The Socialist Republic of Viet Nam</v>
      </c>
      <c r="D8" s="4" t="str">
        <v>country</v>
      </c>
      <c r="E8" s="5">
        <v>16.66</v>
      </c>
      <c r="F8" s="4">
        <v>11</v>
      </c>
    </row>
    <row r="9" ht="45" customHeight="1">
      <c r="A9" s="8" t="str">
        <v>AOW01: Consumers and Food Environments</v>
      </c>
      <c r="B9" s="4" t="str">
        <v>Bioversity (Alliance)</v>
      </c>
      <c r="C9" s="4" t="str">
        <v>Global</v>
      </c>
      <c r="D9" s="4" t="str">
        <v>global</v>
      </c>
      <c r="E9" s="5">
        <v>20</v>
      </c>
      <c r="F9" s="4">
        <v>850</v>
      </c>
    </row>
    <row r="10" ht="45" customHeight="1">
      <c r="A10" s="4" t="str">
        <v>AOW01: Consumers and Food Environments</v>
      </c>
      <c r="B10" s="4" t="str">
        <v>Bioversity (Alliance)</v>
      </c>
      <c r="C10" s="4" t="str">
        <v>Bangladesh</v>
      </c>
      <c r="D10" s="4" t="str">
        <v>country</v>
      </c>
      <c r="E10" s="5">
        <v>0</v>
      </c>
      <c r="F10" s="4">
        <v>1000</v>
      </c>
    </row>
    <row r="11" ht="45" customHeight="1">
      <c r="A11" s="4" t="str">
        <v>AOW01: Consumers and Food Environments</v>
      </c>
      <c r="B11" s="4" t="str">
        <v>Bioversity (Alliance)</v>
      </c>
      <c r="C11" s="4" t="str">
        <v>Ethiopia</v>
      </c>
      <c r="D11" s="4" t="str">
        <v>country</v>
      </c>
      <c r="E11" s="5">
        <v>20</v>
      </c>
      <c r="F11" s="4">
        <v>853</v>
      </c>
    </row>
    <row r="12" ht="45" customHeight="1">
      <c r="A12" s="4" t="str">
        <v>AOW01: Consumers and Food Environments</v>
      </c>
      <c r="B12" s="4" t="str">
        <v>Bioversity (Alliance)</v>
      </c>
      <c r="C12" s="4" t="str">
        <v>Guatemala</v>
      </c>
      <c r="D12" s="4" t="str">
        <v>country</v>
      </c>
      <c r="E12" s="5">
        <v>0</v>
      </c>
      <c r="F12" s="4">
        <v>849</v>
      </c>
    </row>
    <row r="13" ht="45" customHeight="1">
      <c r="A13" s="4" t="str">
        <v>AOW01: Consumers and Food Environments</v>
      </c>
      <c r="B13" s="4" t="str">
        <v>Bioversity (Alliance)</v>
      </c>
      <c r="C13" s="4" t="str">
        <v>Honduras</v>
      </c>
      <c r="D13" s="4" t="str">
        <v>country</v>
      </c>
      <c r="E13" s="5">
        <v>0</v>
      </c>
      <c r="F13" s="4">
        <v>852</v>
      </c>
    </row>
    <row r="14" ht="45" customHeight="1">
      <c r="A14" s="4" t="str">
        <v>AOW01: Consumers and Food Environments</v>
      </c>
      <c r="B14" s="4" t="str">
        <v>Bioversity (Alliance)</v>
      </c>
      <c r="C14" s="4" t="str">
        <v>Kenya</v>
      </c>
      <c r="D14" s="4" t="str">
        <v>country</v>
      </c>
      <c r="E14" s="5">
        <v>30</v>
      </c>
      <c r="F14" s="4">
        <v>854</v>
      </c>
    </row>
    <row r="15" ht="45" customHeight="1">
      <c r="A15" s="4" t="str">
        <v>AOW01: Consumers and Food Environments</v>
      </c>
      <c r="B15" s="4" t="str">
        <v>Bioversity (Alliance)</v>
      </c>
      <c r="C15" s="4" t="str">
        <v>The Socialist Republic of Viet Nam</v>
      </c>
      <c r="D15" s="4" t="str">
        <v>country</v>
      </c>
      <c r="E15" s="5">
        <v>30</v>
      </c>
      <c r="F15" s="4">
        <v>851</v>
      </c>
    </row>
    <row r="16" ht="45" customHeight="1">
      <c r="A16" s="8" t="str">
        <v>AOW02: Market Systems</v>
      </c>
      <c r="B16" s="4" t="str">
        <v>Bioversity (Alliance)</v>
      </c>
      <c r="C16" s="4" t="str">
        <v>Ethiopia</v>
      </c>
      <c r="D16" s="4" t="str">
        <v>country</v>
      </c>
      <c r="E16" s="5">
        <v>0</v>
      </c>
      <c r="F16" s="4">
        <v>855</v>
      </c>
    </row>
    <row r="17" ht="45" customHeight="1">
      <c r="A17" s="4" t="str">
        <v>AOW02: Market Systems</v>
      </c>
      <c r="B17" s="4" t="str">
        <v>Bioversity (Alliance)</v>
      </c>
      <c r="C17" s="4" t="str">
        <v>Honduras</v>
      </c>
      <c r="D17" s="4" t="str">
        <v>country</v>
      </c>
      <c r="E17" s="5">
        <v>25</v>
      </c>
      <c r="F17" s="4">
        <v>1039</v>
      </c>
    </row>
    <row r="18" ht="45" customHeight="1">
      <c r="A18" s="4" t="str">
        <v>AOW02: Market Systems</v>
      </c>
      <c r="B18" s="4" t="str">
        <v>Bioversity (Alliance)</v>
      </c>
      <c r="C18" s="4" t="str">
        <v>Kenya</v>
      </c>
      <c r="D18" s="4" t="str">
        <v>country</v>
      </c>
      <c r="E18" s="5">
        <v>25</v>
      </c>
      <c r="F18" s="4">
        <v>857</v>
      </c>
    </row>
    <row r="19" ht="45" customHeight="1">
      <c r="A19" s="4" t="str">
        <v>AOW02: Market Systems</v>
      </c>
      <c r="B19" s="4" t="str">
        <v>Bioversity (Alliance)</v>
      </c>
      <c r="C19" s="4" t="str">
        <v>Tanzania</v>
      </c>
      <c r="D19" s="4" t="str">
        <v>country</v>
      </c>
      <c r="E19" s="5">
        <v>25</v>
      </c>
      <c r="F19" s="4">
        <v>1040</v>
      </c>
    </row>
    <row r="20" ht="45" customHeight="1">
      <c r="A20" s="4" t="str">
        <v>AOW02: Market Systems</v>
      </c>
      <c r="B20" s="4" t="str">
        <v>Bioversity (Alliance)</v>
      </c>
      <c r="C20" s="4" t="str">
        <v>Uganda</v>
      </c>
      <c r="D20" s="4" t="str">
        <v>country</v>
      </c>
      <c r="E20" s="5">
        <v>25</v>
      </c>
      <c r="F20" s="4">
        <v>856</v>
      </c>
    </row>
    <row r="21" ht="45" customHeight="1">
      <c r="A21" s="8" t="str">
        <v>AOW06: Transformative leadership</v>
      </c>
      <c r="B21" s="4" t="str">
        <v>Bioversity (Alliance)</v>
      </c>
      <c r="C21" s="4" t="str">
        <v>Global</v>
      </c>
      <c r="D21" s="4" t="str">
        <v>global</v>
      </c>
      <c r="E21" s="5">
        <v>55</v>
      </c>
      <c r="F21" s="4">
        <v>859</v>
      </c>
    </row>
    <row r="22" ht="45" customHeight="1">
      <c r="A22" s="4" t="str">
        <v>AOW06: Transformative leadership</v>
      </c>
      <c r="B22" s="4" t="str">
        <v>Bioversity (Alliance)</v>
      </c>
      <c r="C22" s="4" t="str">
        <v>Africa</v>
      </c>
      <c r="D22" s="4" t="str">
        <v>region</v>
      </c>
      <c r="E22" s="5">
        <v>15</v>
      </c>
      <c r="F22" s="4">
        <v>860</v>
      </c>
    </row>
    <row r="23" ht="45" customHeight="1">
      <c r="A23" s="4" t="str">
        <v>AOW06: Transformative leadership</v>
      </c>
      <c r="B23" s="4" t="str">
        <v>Bioversity (Alliance)</v>
      </c>
      <c r="C23" s="4" t="str">
        <v>Asia</v>
      </c>
      <c r="D23" s="4" t="str">
        <v>region</v>
      </c>
      <c r="E23" s="5">
        <v>15</v>
      </c>
      <c r="F23" s="4">
        <v>861</v>
      </c>
    </row>
    <row r="24" ht="45" customHeight="1">
      <c r="A24" s="4" t="str">
        <v>AOW06: Transformative leadership</v>
      </c>
      <c r="B24" s="4" t="str">
        <v>Bioversity (Alliance)</v>
      </c>
      <c r="C24" s="4" t="str">
        <v>Latin America and the Caribbean</v>
      </c>
      <c r="D24" s="4" t="str">
        <v>region</v>
      </c>
      <c r="E24" s="5">
        <v>15</v>
      </c>
      <c r="F24" s="4">
        <v>862</v>
      </c>
    </row>
  </sheetData>
  <mergeCells count="4">
    <mergeCell ref="A2:A8"/>
    <mergeCell ref="A9:A15"/>
    <mergeCell ref="A16:A20"/>
    <mergeCell ref="A21:A24"/>
  </mergeCells>
  <ignoredErrors>
    <ignoredError numberStoredAsText="1" sqref="A1:F24"/>
  </ignoredErrors>
</worksheet>
</file>

<file path=xl/worksheets/sheet10.xml><?xml version="1.0" encoding="utf-8"?>
<worksheet xmlns="http://schemas.openxmlformats.org/spreadsheetml/2006/main" xmlns:r="http://schemas.openxmlformats.org/officeDocument/2006/relationships">
  <dimension ref="A1:E1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Consumers and Food Environments</v>
      </c>
      <c r="B2" s="4" t="str">
        <v xml:space="preserve">Digital Transformation </v>
      </c>
      <c r="C2" s="4" t="str">
        <v>Suite of solutions focused on consumers that promote consumption of sustainable heathy diets co-developed, tested, and scaled with technical support and country engagement</v>
      </c>
      <c r="D2" s="4" t="str">
        <v xml:space="preserve">Our program will collaborate with the Digital Transformation Accelerator on use of the Diet Quality Questionnaire (DQQ) administered via a digital platform in Guatemala, which will build the body of evidence on rapid dietary intake assessment tools collected through digital platforms that measure progress toward impact on MDDW and other diet-related indicators of interest to the entire CGIAR portfolio. </v>
      </c>
      <c r="E2" s="4">
        <v>994</v>
      </c>
    </row>
    <row r="3" ht="60" customHeight="1">
      <c r="A3" s="4" t="str">
        <v>AOW01: Consumers and Food Environments</v>
      </c>
      <c r="B3" s="4" t="str">
        <v>Food Frontiers and Security</v>
      </c>
      <c r="C3" s="4" t="str">
        <v>Suite of solutions focused on consumers that promote consumption of sustainable heathy diets co-developed, tested, and scaled with technical support and country engagement</v>
      </c>
      <c r="D3" s="4" t="str">
        <v>Our program will collaborate with Food Frontiers on the development and testing of a food safety perception scale in three countries. In 2026, this will include work to finalize the scale, a user guide, and scientific manuscripts.</v>
      </c>
      <c r="E3" s="4">
        <v>995</v>
      </c>
    </row>
    <row r="4" ht="60" customHeight="1">
      <c r="A4" s="8" t="str">
        <v>AOW02: Market Systems</v>
      </c>
      <c r="B4" s="4" t="str">
        <v>Policy Innovations</v>
      </c>
      <c r="C4" s="4" t="str">
        <v>Tested solutions to increase access to finance to farm input dealers, food traders, processors, and/or retailers to increase growth in market systems for healthy foods</v>
      </c>
      <c r="D4" s="4" t="str">
        <v xml:space="preserve">Through a group of researchers working in both Policy Innovations and Better Diets and Nutrition, lessons learned from work from this program on impacts of inclusive finance innovations in market systems for healthy foods will be shared with Policy Innovations to inform relevant policy messages/recommendations. In 2026, this will also include work on testing an asset-based financing product for use in Bangladesh and research to characterize availability of and demand for insurance products for nutrient-dense foods in Viet Nam and the Philippines. </v>
      </c>
      <c r="E4" s="4">
        <v>996</v>
      </c>
    </row>
    <row r="5" ht="60" customHeight="1">
      <c r="A5" s="4" t="str">
        <v>AOW02: Market Systems</v>
      </c>
      <c r="B5" s="4" t="str">
        <v>Scaling for Impact</v>
      </c>
      <c r="C5" s="4" t="str">
        <v>Suite of solutions focused on farm input dealers, food traders, processors, and/or retailers that promote food quality and safety, reduce food loss, improve efficiency, and/or facilitate intermediation developed and tested with technical support and country engagement</v>
      </c>
      <c r="D5" s="4" t="str">
        <v xml:space="preserve">Our program will invite experts from Scaling for Impact to contribute experiences on climate finance to inform our work on documenting proposed metrics and indicators for assessing reach and performance of climate and/or other innovative forms of financing related to market systems and consumers. In 2026, this work will include a scoping report on monitoring, reporting, and verification (MRV) targets for nutrition and diets being used by other agricultural funds review of metrics and framework for evaluating inclusive financing for MSMEs in market systems for healthy diets.  </v>
      </c>
      <c r="E5" s="4">
        <v>997</v>
      </c>
    </row>
    <row r="6" ht="60" customHeight="1">
      <c r="A6" s="4" t="str">
        <v>AOW02: Market Systems</v>
      </c>
      <c r="B6" s="4" t="str">
        <v xml:space="preserve">Sustainable Animal and Aquatic Foods </v>
      </c>
      <c r="C6" s="4" t="str">
        <v>Suite of solutions focused on farm input dealers, food traders, processors, and/or retailers that promote food quality and safety, reduce food loss, improve efficiency, and/or facilitate intermediation developed and tested with technical support and country engagement</v>
      </c>
      <c r="D6" s="4" t="str">
        <v xml:space="preserve">Our program will work with SAAF on evidence generation and synthesis around food safety. In 2026, this will include research on understanding attitudes towards meat decontamination, a potential innovation to improve food safety, in Kenya and Ethiopia. </v>
      </c>
      <c r="E6" s="4">
        <v>998</v>
      </c>
    </row>
    <row r="7" ht="60" customHeight="1">
      <c r="A7" s="8" t="str">
        <v>AOW03: End-to-end Solutions</v>
      </c>
      <c r="B7" s="4" t="str">
        <v>Food Frontiers and Security</v>
      </c>
      <c r="C7" s="4" t="str">
        <v>Suite of end-to-end solutions for fruit and vegetable producers, traders, processors, and vendors/retailers that promote food quality and safety, reduce food loss, and increase profits co-developed, tested, and scaled</v>
      </c>
      <c r="D7"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the Philippines. </v>
      </c>
      <c r="E7" s="4">
        <v>999</v>
      </c>
    </row>
    <row r="8" ht="60" customHeight="1">
      <c r="A8" s="4" t="str">
        <v>AOW03: End-to-end Solutions</v>
      </c>
      <c r="B8" s="4" t="str">
        <v xml:space="preserve">Sustainable Animal and Aquatic Foods </v>
      </c>
      <c r="C8" s="4" t="str">
        <v xml:space="preserve"> Suite of integrated end-to-end solutions for food producers, traders, processors, and vendors/retailers that promote  food quality and safety, reduce food loss, and increase profits co-developed, tested, and scaled</v>
      </c>
      <c r="D8"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8" s="4">
        <v>1000</v>
      </c>
    </row>
    <row r="9" ht="60" customHeight="1">
      <c r="A9" s="4" t="str">
        <v>AOW03: End-to-end Solutions</v>
      </c>
      <c r="B9" s="4" t="str">
        <v xml:space="preserve">Sustainable Animal and Aquatic Foods </v>
      </c>
      <c r="C9" s="4" t="str">
        <v xml:space="preserve"> Suite of end-to-end solutions for terrestrial animal-source food producers, traders, processors, and vendors/retailers that promote  food quality and safety, reduce food loss,and increase profits co-developed, tested, and scaled</v>
      </c>
      <c r="D9" s="4" t="str">
        <v xml:space="preserve">Sustainable Animal and Aquatic Foods will contribute to the production and market related solutions and will contribute to the evaluation plan for testing of end to end solutions. In 2026, this will include inputs that contribute to the impact evaluation of the end-to-end approach in Tanzania. </v>
      </c>
      <c r="E9" s="4">
        <v>1001</v>
      </c>
    </row>
    <row r="10" ht="60" customHeight="1">
      <c r="A10" s="4" t="str">
        <v>AOW03: End-to-end Solutions</v>
      </c>
      <c r="B10" s="4" t="str">
        <v>Food Frontiers and Security</v>
      </c>
      <c r="C10" s="4" t="str">
        <v>Suite of end-to-end solutions for aquatic food producers, traders, processors, and vendors/retailers that promote food quality and safety, reduce food loss,and increase profits co-developed, tested, and scaled</v>
      </c>
      <c r="D10" s="4" t="str">
        <v xml:space="preserve">Our program will collaborate with Food Frontiers where there are opportunities to examine the impact of end-to-end approaches on increasing dietary intake of nutrient-dense foods in urban, fragile or island settings. In 2026, this will include work on end-to-end approaches in Tanzania. </v>
      </c>
      <c r="E10" s="4">
        <v>1002</v>
      </c>
    </row>
    <row r="11" ht="60" customHeight="1">
      <c r="A11" s="8" t="str">
        <v>AOW04: Biofortified and Health-enhancing Staples</v>
      </c>
      <c r="B11" s="4" t="str">
        <v>Scaling for Impact</v>
      </c>
      <c r="C11" s="4" t="str">
        <v>Suite of solutions for producers and processors that address constraints to sustainable healthy diets co-developed, tested, and scaled with technical support and country engagement</v>
      </c>
      <c r="D11" s="4" t="str">
        <v>Shared scaling activities through TAAT Program</v>
      </c>
      <c r="E11" s="4">
        <v>1003</v>
      </c>
    </row>
    <row r="12" ht="60" customHeight="1">
      <c r="A12" s="4" t="str">
        <v>AOW04: Biofortified and Health-enhancing Staples</v>
      </c>
      <c r="B12" s="4" t="str">
        <v>Breeding for Tomorrow</v>
      </c>
      <c r="C12" s="4" t="str">
        <v>Framework for embedding nutrition into breeding pipelines and processes.</v>
      </c>
      <c r="D12" s="4" t="str">
        <v>Breeding for Tomorrow, AoW1 on Market Intelligence, currently led by Demont, Matty and endorsed by the latter. Linkage between both Programs is embedded in the ToC through the HLO "Framework for embedding nutrition into breeding pipelines and processes" which connects to Market Intelligence HLOs, TARGET and INVEST.</v>
      </c>
      <c r="E12" s="4">
        <v>1004</v>
      </c>
    </row>
    <row r="13" ht="60" customHeight="1">
      <c r="A13" s="4" t="str">
        <v>AOW04: Biofortified and Health-enhancing Staples</v>
      </c>
      <c r="B13" s="4" t="str">
        <v>Breeding for Tomorrow</v>
      </c>
      <c r="C13" s="4" t="str">
        <v>Suite of solutions to support consumers awareness, preference, affordability and utilization of biofortified and health-enhancing crops in their diets</v>
      </c>
      <c r="D13" s="4" t="str">
        <v>AoW1 on Market Intelligence, currently led by Demont, Matty. Linkage between both Programs is embedded in the ToC through the HLO "Framework for embedding nutrition into breeding pipelines and processes" which connects to Market Intelligence HLOs STEER, TARGET and INVEST.</v>
      </c>
      <c r="E13" s="4">
        <v>1005</v>
      </c>
    </row>
    <row r="14" ht="60" customHeight="1">
      <c r="A14" s="4" t="str">
        <v>AOW04: Biofortified and Health-enhancing Staples</v>
      </c>
      <c r="B14" s="4" t="str">
        <v xml:space="preserve">Gender Equality and Inclusion </v>
      </c>
      <c r="C14" s="4" t="str">
        <v>Suite of solutions to support consumers awareness, preference, affordability and utilization of biofortified and health-enhancing crops in their diets</v>
      </c>
      <c r="D14" s="4" t="str">
        <v>AoW1 Accelerating Solutions for Impact, endorsed by Sub AoW1.2 lead Gaudiose.</v>
      </c>
      <c r="E14" s="4">
        <v>1006</v>
      </c>
    </row>
  </sheetData>
  <mergeCells count="4">
    <mergeCell ref="A2:A3"/>
    <mergeCell ref="A4:A6"/>
    <mergeCell ref="A7:A10"/>
    <mergeCell ref="A11:A14"/>
  </mergeCells>
  <ignoredErrors>
    <ignoredError numberStoredAsText="1" sqref="A1:E14"/>
  </ignoredErrors>
</worksheet>
</file>

<file path=xl/worksheets/sheet11.xml><?xml version="1.0" encoding="utf-8"?>
<worksheet xmlns="http://schemas.openxmlformats.org/spreadsheetml/2006/main" xmlns:r="http://schemas.openxmlformats.org/officeDocument/2006/relationships">
  <dimension ref="A1:G32"/>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Food producers, traders, processors, and/or retailers adopt evidence-based solutions to improve food safety and quality in target markets​</v>
      </c>
      <c r="C2" s="4" t="str">
        <v/>
      </c>
      <c r="D2" s="4" t="str">
        <v>Innovation Use</v>
      </c>
      <c r="E2" s="4" t="str">
        <v>Country: Benin, Ethiopia, Honduras, Kenya, Philippines, Sri Lanka, Tanzania, United Republic, Uganda</v>
      </c>
      <c r="F2" s="5">
        <v>3</v>
      </c>
      <c r="G2" s="4">
        <v>573</v>
      </c>
    </row>
    <row r="3" ht="60" customHeight="1">
      <c r="A3" s="4" t="str">
        <v>AOW00: Cross Cutting</v>
      </c>
      <c r="B3" s="4" t="str">
        <v>Consumers demand and consume sustainable healthy diets</v>
      </c>
      <c r="C3" s="4" t="str">
        <v/>
      </c>
      <c r="D3" s="4" t="str">
        <v xml:space="preserve"> Other outcome</v>
      </c>
      <c r="E3" s="4" t="str">
        <v>Country: Bangladesh, Ethiopia, Honduras, Philippines, Tanzania, United Republic, The Socialist Republic of Viet Nam</v>
      </c>
      <c r="F3" s="5">
        <v>0</v>
      </c>
      <c r="G3" s="4">
        <v>594</v>
      </c>
    </row>
    <row r="4" ht="60" customHeight="1">
      <c r="A4" s="4" t="str">
        <v>AOW00: Cross Cutting</v>
      </c>
      <c r="B4" s="4" t="str">
        <v>Consumers demand and consume sustainable healthy diets</v>
      </c>
      <c r="C4" s="4" t="str">
        <v/>
      </c>
      <c r="D4" s="4" t="str">
        <v xml:space="preserve"> Other outcome</v>
      </c>
      <c r="E4" s="4" t="str">
        <v>Country: Bangladesh, Ethiopia, Honduras, Philippines, Tanzania, United Republic, The Socialist Republic of Viet Nam</v>
      </c>
      <c r="F4" s="5">
        <v>0</v>
      </c>
      <c r="G4" s="4">
        <v>594</v>
      </c>
    </row>
    <row r="5" ht="60" customHeight="1">
      <c r="A5" s="4" t="str">
        <v>AOW00: Cross Cutting</v>
      </c>
      <c r="B5" s="4" t="str">
        <v>Food traders, processors, and/or retailers adopt effective components of bundled solutions to reduce food loss and waste</v>
      </c>
      <c r="C5" s="4" t="str">
        <v/>
      </c>
      <c r="D5" s="4" t="str">
        <v>Innovation Use</v>
      </c>
      <c r="E5" s="4" t="str">
        <v>Country: Benin, Philippines, Sri Lanka, Tanzania, United Republic, Uganda</v>
      </c>
      <c r="F5" s="5">
        <v>0</v>
      </c>
      <c r="G5" s="4">
        <v>604</v>
      </c>
    </row>
    <row r="6" ht="60" customHeight="1">
      <c r="A6" s="8" t="str">
        <v>AOW01: Consumers and Food Environments</v>
      </c>
      <c r="B6" s="4" t="str">
        <v>Policymakers enact policies and regulations, through the FST-NAP and other policy processes, that align with evidence and recommendations</v>
      </c>
      <c r="C6" s="4" t="str">
        <v/>
      </c>
      <c r="D6" s="4" t="str">
        <v>Number of Policy (Policy Change)</v>
      </c>
      <c r="E6" s="4" t="str">
        <v>Country: Bangladesh, Ethiopia, Honduras, The Socialist Republic of Viet Nam</v>
      </c>
      <c r="F6" s="5">
        <v>2</v>
      </c>
      <c r="G6" s="4">
        <v>593</v>
      </c>
    </row>
    <row r="7" ht="60" customHeight="1">
      <c r="A7" s="4" t="str">
        <v>AOW01: Consumers and Food Environments</v>
      </c>
      <c r="B7" s="4" t="str">
        <v>Decisionmakers, through new governance mechanisms, align priorities across the public sector and private sector and civil society that support food systems transformation for sustainable healthy diets</v>
      </c>
      <c r="C7" s="4" t="str">
        <v/>
      </c>
      <c r="D7" s="4" t="str">
        <v>Number of Policy (Policy Change)</v>
      </c>
      <c r="E7" s="4" t="str">
        <v>Country: Bangladesh, Ethiopia, Honduras, The Socialist Republic of Viet Nam</v>
      </c>
      <c r="F7" s="5">
        <v>3</v>
      </c>
      <c r="G7" s="4">
        <v>595</v>
      </c>
    </row>
    <row r="8" ht="60" customHeight="1">
      <c r="A8" s="4" t="str">
        <v>AOW01: Consumers and Food Environments</v>
      </c>
      <c r="B8" s="4" t="str">
        <v>Government actors implement and enforce consumer-oriented solutions that change consumer desirability and agency to improve the consumption of sustainable healthy diets and/or limit the consumption of unhealthy food</v>
      </c>
      <c r="C8" s="4" t="str">
        <v/>
      </c>
      <c r="D8" s="4" t="str">
        <v>Innovation Use</v>
      </c>
      <c r="E8" s="4" t="str">
        <v>Country: Bangladesh, Ethiopia, Ghana, Honduras, The Socialist Republic of Viet Nam</v>
      </c>
      <c r="F8" s="5">
        <v>0</v>
      </c>
      <c r="G8" s="4">
        <v>596</v>
      </c>
    </row>
    <row r="9" ht="60" customHeight="1">
      <c r="A9" s="4" t="str">
        <v>AOW01: Consumers and Food Environments</v>
      </c>
      <c r="B9" s="4" t="str">
        <v>Government actors implement and enforce MSME and informal actor-oriented solutions that overcome constraints inhibiting the affordability and accessibility of sustainable nutritious foods, help grow demand for sustainable nutritious foods and grow decent employment among MSMEs selling those foods.</v>
      </c>
      <c r="C9" s="4" t="str">
        <v/>
      </c>
      <c r="D9" s="4" t="str">
        <v>Innovation Use</v>
      </c>
      <c r="E9" s="4" t="str">
        <v>Country: Bangladesh, Ethiopia, Honduras, The Socialist Republic of Viet Nam</v>
      </c>
      <c r="F9" s="5">
        <v>1</v>
      </c>
      <c r="G9" s="4">
        <v>597</v>
      </c>
    </row>
    <row r="10" ht="60" customHeight="1">
      <c r="A10" s="8" t="str">
        <v>AOW02: Market Systems</v>
      </c>
      <c r="B10" s="4" t="str">
        <v xml:space="preserve">Food traders and retailers adopt methods of differentiating food products by quality dimensions </v>
      </c>
      <c r="C10" s="4" t="str">
        <v/>
      </c>
      <c r="D10" s="4" t="str">
        <v>Innovation Use</v>
      </c>
      <c r="E10" s="4" t="str">
        <v>Country: Bangladesh, Nigeria, Uganda</v>
      </c>
      <c r="F10" s="5">
        <v>0</v>
      </c>
      <c r="G10" s="4">
        <v>598</v>
      </c>
    </row>
    <row r="11" ht="60" customHeight="1">
      <c r="A11" s="4" t="str">
        <v>AOW02: Market Systems</v>
      </c>
      <c r="B11" s="4" t="str">
        <v>Policymakers actors endorse evidence-based solutions to improve food safety</v>
      </c>
      <c r="C11" s="4" t="str">
        <v/>
      </c>
      <c r="D11" s="4" t="str">
        <v>Number of Policy (Policy Change)</v>
      </c>
      <c r="E11" s="4" t="str">
        <v>Country: Kenya</v>
      </c>
      <c r="F11" s="5">
        <v>0</v>
      </c>
      <c r="G11" s="4">
        <v>599</v>
      </c>
    </row>
    <row r="12" ht="60" customHeight="1">
      <c r="A12" s="4" t="str">
        <v>AOW02: Market Systems</v>
      </c>
      <c r="B12" s="4" t="str">
        <v>Food traders, processors, and retailers adopt effective components of bundled solutions to reduce transaction costs</v>
      </c>
      <c r="C12" s="4" t="str">
        <v/>
      </c>
      <c r="D12" s="4" t="str">
        <v>Innovation Use</v>
      </c>
      <c r="E12" s="4" t="str">
        <v>Country: Bangladesh, Nigeria, Uganda</v>
      </c>
      <c r="F12" s="5">
        <v>0</v>
      </c>
      <c r="G12" s="4">
        <v>600</v>
      </c>
    </row>
    <row r="13" ht="60" customHeight="1">
      <c r="A13" s="4" t="str">
        <v>AOW02: Market Systems</v>
      </c>
      <c r="B13" s="4" t="str">
        <v>Farm input dealers, food traders, processors, and/or retailers adopt solutions that offer increased access to agricultural finance ​</v>
      </c>
      <c r="C13" s="4" t="str">
        <v/>
      </c>
      <c r="D13" s="4" t="str">
        <v>Innovation Use</v>
      </c>
      <c r="E13" s="4" t="str">
        <v>Country: Bangladesh, Nigeria, Uganda</v>
      </c>
      <c r="F13" s="5">
        <v>30</v>
      </c>
      <c r="G13" s="4">
        <v>601</v>
      </c>
    </row>
    <row r="14" ht="60" customHeight="1">
      <c r="A14" s="4" t="str">
        <v>AOW02: Market Systems</v>
      </c>
      <c r="B14" s="4" t="str">
        <v>Government actors endorse evidence for their trade and health policy strategies that promote sustainable healthy diets​</v>
      </c>
      <c r="C14" s="4" t="str">
        <v/>
      </c>
      <c r="D14" s="4" t="str">
        <v>Number of Policy (Policy Change)</v>
      </c>
      <c r="E14" s="4" t="str">
        <v>Country: Benin, Ethiopia, India, Tanzania, United Republic</v>
      </c>
      <c r="F14" s="5">
        <v>2</v>
      </c>
      <c r="G14" s="4">
        <v>602</v>
      </c>
    </row>
    <row r="15" ht="60" customHeight="1">
      <c r="A15" s="4" t="str">
        <v>AOW02: Market Systems</v>
      </c>
      <c r="B15" s="4" t="str">
        <v>Farm input dealers, food traders, processors, and/or retailers grow their businesses, leading to availability and affordability of sustainable nutrition food and increased employment opportunities</v>
      </c>
      <c r="C15" s="4" t="str">
        <v/>
      </c>
      <c r="D15" s="4" t="str">
        <v xml:space="preserve"> % of targeted actors reporting increased revenues</v>
      </c>
      <c r="E15" s="4" t="str">
        <v>Country: Bangladesh, Nigeria, Uganda</v>
      </c>
      <c r="F15" s="5">
        <v>0</v>
      </c>
      <c r="G15" s="4">
        <v>603</v>
      </c>
    </row>
    <row r="16" ht="60" customHeight="1">
      <c r="A16" s="8" t="str">
        <v>AOW03: End-to-end Solutions</v>
      </c>
      <c r="B16" s="4" t="str">
        <v xml:space="preserve">Food systems actors (producers, traders, vendors, policy makers) adopt sustainable/profitable end-to-end solution approaches   </v>
      </c>
      <c r="C16" s="4" t="str">
        <v/>
      </c>
      <c r="D16" s="4" t="str">
        <v>Innovation Use</v>
      </c>
      <c r="E16" s="4" t="str">
        <v>Country: Benin, Philippines, Sri Lanka, Tanzania, United Republic, Uganda</v>
      </c>
      <c r="F16" s="5">
        <v>0</v>
      </c>
      <c r="G16" s="4">
        <v>587</v>
      </c>
    </row>
    <row r="17" ht="60" customHeight="1">
      <c r="A17" s="4" t="str">
        <v>AOW03: End-to-end Solutions</v>
      </c>
      <c r="B17" s="4" t="str">
        <v xml:space="preserve">Policymakers at national and sub-national levels prioritize fruits and vegetables aquatic foods, and other nutrient-dense foods​ </v>
      </c>
      <c r="C17" s="4" t="str">
        <v/>
      </c>
      <c r="D17" s="4" t="str">
        <v>Number of Policy (Policy Change)</v>
      </c>
      <c r="E17" s="4" t="str">
        <v>Country: Benin, Philippines, Sri Lanka, Tanzania, United Republic, Uganda</v>
      </c>
      <c r="F17" s="5">
        <v>2</v>
      </c>
      <c r="G17" s="4">
        <v>588</v>
      </c>
    </row>
    <row r="18" ht="60" customHeight="1">
      <c r="A18" s="4" t="str">
        <v>AOW03: End-to-end Solutions</v>
      </c>
      <c r="B18" s="4" t="str">
        <v xml:space="preserve">Consumers in the implementation sites in the target countries consume fruit and vegetables, aquatic and terrestrial animal sources </v>
      </c>
      <c r="C18" s="4" t="str">
        <v/>
      </c>
      <c r="D18" s="4" t="str">
        <v>Innovation Use</v>
      </c>
      <c r="E18" s="4" t="str">
        <v>Country: Benin, Philippines, Sri Lanka, Tanzania, United Republic, Uganda</v>
      </c>
      <c r="F18" s="5">
        <v>0</v>
      </c>
      <c r="G18" s="4">
        <v>589</v>
      </c>
    </row>
    <row r="19" ht="60" customHeight="1">
      <c r="A19" s="4" t="str">
        <v>AOW03: End-to-end Solutions</v>
      </c>
      <c r="B19" s="4" t="str">
        <v xml:space="preserve">Consumers substitute nutrient-poor foods with nutrient-dense foods improving diet quality </v>
      </c>
      <c r="C19" s="4" t="str">
        <v/>
      </c>
      <c r="D19" s="4" t="str">
        <v>Innovation Use</v>
      </c>
      <c r="E19" s="4" t="str">
        <v>Country: Benin, Philippines, Sri Lanka, Tanzania, United Republic, Uganda</v>
      </c>
      <c r="F19" s="5">
        <v>20</v>
      </c>
      <c r="G19" s="4">
        <v>590</v>
      </c>
    </row>
    <row r="20" ht="60" customHeight="1">
      <c r="A20" s="4" t="str">
        <v>AOW03: End-to-end Solutions</v>
      </c>
      <c r="B20" s="4" t="str">
        <v>Aquatic food, fruits and vegetables producers adopt solutions that increase production</v>
      </c>
      <c r="C20" s="4" t="str">
        <v/>
      </c>
      <c r="D20" s="4" t="str">
        <v>Innovation Use</v>
      </c>
      <c r="E20" s="4" t="str">
        <v>Country: Benin, Philippines, Sri Lanka, Tanzania, United Republic, Uganda</v>
      </c>
      <c r="F20" s="5">
        <v>0</v>
      </c>
      <c r="G20" s="4">
        <v>591</v>
      </c>
    </row>
    <row r="21" ht="60" customHeight="1">
      <c r="A21" s="4" t="str">
        <v>AOW03: End-to-end Solutions</v>
      </c>
      <c r="B21" s="4" t="str">
        <v>Consumers purchases of fruit and vegetable, aquatic and terrestrial animal source foods</v>
      </c>
      <c r="C21" s="4" t="str">
        <v/>
      </c>
      <c r="D21" s="4" t="str">
        <v>Innovation Use</v>
      </c>
      <c r="E21" s="4" t="str">
        <v>Country: Benin, Philippines, Sri Lanka, Tanzania, United Republic, Uganda</v>
      </c>
      <c r="F21" s="5">
        <v>0</v>
      </c>
      <c r="G21" s="4">
        <v>592</v>
      </c>
    </row>
    <row r="22" ht="60" customHeight="1">
      <c r="A22" s="8" t="str">
        <v>AOW04: Biofortified and Health-enhancing Staples</v>
      </c>
      <c r="B22" s="4" t="str">
        <v xml:space="preserve">Policymakers implement protocols to measure quality assurance, and monitor nutritional content and product quality for biofortified and health-enhancing crops into existing protocols </v>
      </c>
      <c r="C22" s="4" t="str">
        <v/>
      </c>
      <c r="D22" s="4" t="str">
        <v>Number of Policy (Policy Change)</v>
      </c>
      <c r="E22" s="4" t="str">
        <v>Country: Bangladesh, Ethiopia, Guatemala, India, Kenya, Malawi, Nigeria, Philippines, Uganda</v>
      </c>
      <c r="F22" s="5">
        <v>0</v>
      </c>
      <c r="G22" s="4">
        <v>581</v>
      </c>
    </row>
    <row r="23" ht="60" customHeight="1">
      <c r="A23" s="4" t="str">
        <v>AOW04: Biofortified and Health-enhancing Staples</v>
      </c>
      <c r="B23" s="4" t="str">
        <v xml:space="preserve">Policymakers integrate biofortified and health-enhancing crops into national policies  </v>
      </c>
      <c r="C23" s="4" t="str">
        <v/>
      </c>
      <c r="D23" s="4" t="str">
        <v>Innovation Use</v>
      </c>
      <c r="E23" s="4" t="str">
        <v>Country: Bangladesh, Ethiopia, Guatemala, India, Kenya, Malawi, Nigeria, Philippines, Uganda</v>
      </c>
      <c r="F23" s="5">
        <v>1</v>
      </c>
      <c r="G23" s="4">
        <v>582</v>
      </c>
    </row>
    <row r="24" ht="60" customHeight="1">
      <c r="A24" s="4" t="str">
        <v>AOW04: Biofortified and Health-enhancing Staples</v>
      </c>
      <c r="B24" s="4" t="str">
        <v>Traders and vendors include biofortified and health-enhancing crops, raw materials or products derived from biofortified or health-enhancing crops in their inventories</v>
      </c>
      <c r="C24" s="4" t="str">
        <v/>
      </c>
      <c r="D24" s="4" t="str">
        <v>Innovation Use</v>
      </c>
      <c r="E24" s="4" t="str">
        <v>Country: Bangladesh, Ethiopia, Guatemala, India, Kenya, Malawi, Nigeria, Philippines, Uganda</v>
      </c>
      <c r="F24" s="5">
        <v>20</v>
      </c>
      <c r="G24" s="4">
        <v>583</v>
      </c>
    </row>
    <row r="25" ht="60" customHeight="1">
      <c r="A25" s="4" t="str">
        <v>AOW04: Biofortified and Health-enhancing Staples</v>
      </c>
      <c r="B25" s="4" t="str">
        <v>Processors use biofortified and health-enhancing crops as raw materials or ingredients for commercial products</v>
      </c>
      <c r="C25" s="4" t="str">
        <v/>
      </c>
      <c r="D25" s="4" t="str">
        <v>Innovation Use</v>
      </c>
      <c r="E25" s="4" t="str">
        <v>Country: Bangladesh, Ethiopia, Guatemala, India, Kenya, Malawi, Nigeria, Philippines, Uganda</v>
      </c>
      <c r="F25" s="5">
        <v>20</v>
      </c>
      <c r="G25" s="4">
        <v>584</v>
      </c>
    </row>
    <row r="26" ht="60" customHeight="1">
      <c r="A26" s="4" t="str">
        <v>AOW04: Biofortified and Health-enhancing Staples</v>
      </c>
      <c r="B26" s="4" t="str">
        <v>Producers and processors adopt and scale biofortified and health-enhancing crops</v>
      </c>
      <c r="C26" s="4" t="str">
        <v/>
      </c>
      <c r="D26" s="4" t="str">
        <v>Innovation Use</v>
      </c>
      <c r="E26" s="4" t="str">
        <v>Country: Bangladesh, Ethiopia, Guatemala, India, Kenya, Malawi, Nigeria, Philippines, Uganda</v>
      </c>
      <c r="F26" s="5">
        <v>20</v>
      </c>
      <c r="G26" s="4">
        <v>585</v>
      </c>
    </row>
    <row r="27" ht="60" customHeight="1">
      <c r="A27" s="4" t="str">
        <v>AOW04: Biofortified and Health-enhancing Staples</v>
      </c>
      <c r="B27" s="4" t="str">
        <v>CGIAR-NARS product design researchers include traits for biofortified and health-enhancing crops for incorporation into breeding programs</v>
      </c>
      <c r="C27" s="4" t="str">
        <v/>
      </c>
      <c r="D27" s="4" t="str">
        <v>Innovation Use</v>
      </c>
      <c r="E27" s="4" t="str">
        <v>Global</v>
      </c>
      <c r="F27" s="5">
        <v>10</v>
      </c>
      <c r="G27" s="4">
        <v>586</v>
      </c>
    </row>
    <row r="28" ht="60" customHeight="1">
      <c r="A28" s="4" t="str">
        <v>AOW05: Multisectoral systems</v>
      </c>
      <c r="B28" s="4" t="str">
        <v>Government and non-government organizations in diverse sectors integrate evidence on strategies to address determinants of poor diets into policies and programs​</v>
      </c>
      <c r="C28" s="4" t="str">
        <v/>
      </c>
      <c r="D28" s="4" t="str">
        <v>Number of Policy (Policy Change)</v>
      </c>
      <c r="E28" s="4" t="str">
        <v>Country: Bangladesh, Ethiopia, Honduras, The Socialist Republic of Viet Nam</v>
      </c>
      <c r="F28" s="5">
        <v>0</v>
      </c>
      <c r="G28" s="4">
        <v>580</v>
      </c>
    </row>
    <row r="29" ht="60" customHeight="1">
      <c r="A29" s="8" t="str">
        <v>AOW06: Transformative leadership</v>
      </c>
      <c r="B29" s="4" t="str">
        <v>Global multilateral governance platforms (e.g., COP processes under climate and biodiversity conventions) incorporate systems thinking on diets and nutrition into convergence agendas</v>
      </c>
      <c r="C29" s="4" t="str">
        <v/>
      </c>
      <c r="D29" s="4" t="str">
        <v>Number of official policy statements</v>
      </c>
      <c r="E29" s="4" t="str">
        <v>Global</v>
      </c>
      <c r="F29" s="5">
        <v>2</v>
      </c>
      <c r="G29" s="4">
        <v>574</v>
      </c>
    </row>
    <row r="30" ht="60" customHeight="1">
      <c r="A30" s="4" t="str">
        <v>AOW06: Transformative leadership</v>
      </c>
      <c r="B30" s="4" t="str">
        <v>CGIAR Research Programs and Accelerators apply diet-centred aproaches to foster nutrition sensitive agricultural principles for better diets and nutrition</v>
      </c>
      <c r="C30" s="4" t="str">
        <v/>
      </c>
      <c r="D30" s="4" t="str">
        <v>Innovation Use</v>
      </c>
      <c r="E30" s="4" t="str">
        <v>Global</v>
      </c>
      <c r="F30" s="5">
        <v>2</v>
      </c>
      <c r="G30" s="4">
        <v>575</v>
      </c>
    </row>
    <row r="31" ht="60" customHeight="1">
      <c r="A31" s="4" t="str">
        <v>AOW06: Transformative leadership</v>
      </c>
      <c r="B31" s="4" t="str">
        <v xml:space="preserve">International and regional stakeholder coalitions/platforms (UN, networks like SUN, CAADP, ASEAN etc), and CGIAR SP/A build a shared food systems transformation agenda that maximizes shared benefits and minimizes tradeoffs on diet and nutrition impacts </v>
      </c>
      <c r="C31" s="4" t="str">
        <v/>
      </c>
      <c r="D31" s="4" t="str">
        <v>Number of multi-stakeholder platforms taking system-related decisions or making recommendations based on CGIAR technical support.</v>
      </c>
      <c r="E31" s="4" t="str">
        <v>Region: Africa, Asia, Latin America and the Caribbean</v>
      </c>
      <c r="F31" s="5">
        <v>1</v>
      </c>
      <c r="G31" s="4">
        <v>577</v>
      </c>
    </row>
    <row r="32" ht="60" customHeight="1">
      <c r="A32" s="4" t="str">
        <v>AOW06: Transformative leadership</v>
      </c>
      <c r="B32" s="4" t="str">
        <v>National ​government and NGO use evidence in regional and international discussions on  FST pathways to increase coherence in and across countries to support better diets and nutrition</v>
      </c>
      <c r="C32" s="4" t="str">
        <v/>
      </c>
      <c r="D32" s="4" t="str">
        <v>Number of Policy (Policy Change)</v>
      </c>
      <c r="E32" s="4" t="str">
        <v>Country: Cambodia, Lao People's Democratic Republic, Philippines</v>
      </c>
      <c r="F32" s="5">
        <v>1</v>
      </c>
      <c r="G32" s="4">
        <v>579</v>
      </c>
    </row>
  </sheetData>
  <mergeCells count="8">
    <mergeCell ref="B3:B4"/>
    <mergeCell ref="C3:C4"/>
    <mergeCell ref="A2:A5"/>
    <mergeCell ref="A6:A9"/>
    <mergeCell ref="A10:A15"/>
    <mergeCell ref="A16:A21"/>
    <mergeCell ref="A22:A27"/>
    <mergeCell ref="A29:A32"/>
  </mergeCells>
  <ignoredErrors>
    <ignoredError numberStoredAsText="1" sqref="A1:G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