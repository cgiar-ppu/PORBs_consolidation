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90184</v>
      </c>
      <c r="K4" s="5">
        <v>90184</v>
      </c>
      <c r="L4" s="5">
        <v>0</v>
      </c>
      <c r="M4" s="5">
        <v>0</v>
      </c>
      <c r="N4" s="4">
        <v>206</v>
      </c>
    </row>
    <row r="5" ht="20" customHeight="1">
      <c r="A5" s="4" t="str">
        <v>AOW01: Engage and Empower</v>
      </c>
      <c r="B5" s="5">
        <v>2</v>
      </c>
      <c r="C5" s="5">
        <v>100000</v>
      </c>
      <c r="D5" s="5">
        <v>2</v>
      </c>
      <c r="E5" s="5">
        <v>105585</v>
      </c>
      <c r="F5" s="5">
        <v>0</v>
      </c>
      <c r="G5" s="5">
        <v>0</v>
      </c>
      <c r="H5" s="5">
        <v>0</v>
      </c>
      <c r="I5" s="5">
        <v>0</v>
      </c>
      <c r="J5" s="5">
        <v>205585</v>
      </c>
      <c r="K5" s="5">
        <v>205585</v>
      </c>
      <c r="L5" s="5">
        <v>0</v>
      </c>
      <c r="M5" s="5">
        <v>0</v>
      </c>
      <c r="N5" s="4">
        <v>205</v>
      </c>
    </row>
    <row r="6" ht="20" customHeight="1">
      <c r="A6" s="4" t="str">
        <v>AOW02: Grand Challenges and Scaling Flagships</v>
      </c>
      <c r="B6" s="5">
        <v>0</v>
      </c>
      <c r="C6" s="5">
        <v>0</v>
      </c>
      <c r="D6" s="5">
        <v>1</v>
      </c>
      <c r="E6" s="5">
        <v>33000</v>
      </c>
      <c r="F6" s="5">
        <v>0</v>
      </c>
      <c r="G6" s="5">
        <v>0</v>
      </c>
      <c r="H6" s="5">
        <v>0</v>
      </c>
      <c r="I6" s="5">
        <v>0</v>
      </c>
      <c r="J6" s="5">
        <v>33000</v>
      </c>
      <c r="K6" s="5">
        <v>33000</v>
      </c>
      <c r="L6" s="5">
        <v>0</v>
      </c>
      <c r="M6" s="5">
        <v>0</v>
      </c>
      <c r="N6" s="4">
        <v>201</v>
      </c>
    </row>
    <row r="7" ht="20" customHeight="1">
      <c r="A7" s="4" t="str">
        <v>AOW03: Enabling Environment Lab</v>
      </c>
      <c r="B7" s="5">
        <v>0</v>
      </c>
      <c r="C7" s="5">
        <v>0</v>
      </c>
      <c r="D7" s="5">
        <v>30</v>
      </c>
      <c r="E7" s="5">
        <v>60000</v>
      </c>
      <c r="F7" s="5">
        <v>0</v>
      </c>
      <c r="G7" s="5">
        <v>0</v>
      </c>
      <c r="H7" s="5">
        <v>0</v>
      </c>
      <c r="I7" s="5">
        <v>0</v>
      </c>
      <c r="J7" s="5">
        <v>60000</v>
      </c>
      <c r="K7" s="5">
        <v>60000</v>
      </c>
      <c r="L7" s="5">
        <v>0</v>
      </c>
      <c r="M7" s="5">
        <v>0</v>
      </c>
      <c r="N7" s="4">
        <v>203</v>
      </c>
    </row>
    <row r="8" ht="20" customHeight="1">
      <c r="A8" s="4" t="str">
        <v>AOW04: Achieving Impact by Unlocking Finance and Partnerships</v>
      </c>
      <c r="B8" s="5">
        <v>36</v>
      </c>
      <c r="C8" s="5">
        <v>572145</v>
      </c>
      <c r="D8" s="5">
        <v>122</v>
      </c>
      <c r="E8" s="5">
        <v>337273</v>
      </c>
      <c r="F8" s="5">
        <v>16</v>
      </c>
      <c r="G8" s="5">
        <v>208333</v>
      </c>
      <c r="H8" s="5">
        <v>22</v>
      </c>
      <c r="I8" s="5">
        <v>300000</v>
      </c>
      <c r="J8" s="5">
        <v>1417751</v>
      </c>
      <c r="K8" s="5">
        <v>1417751</v>
      </c>
      <c r="L8" s="5">
        <v>0</v>
      </c>
      <c r="M8" s="5">
        <v>0</v>
      </c>
      <c r="N8" s="4">
        <v>202</v>
      </c>
    </row>
    <row r="9" ht="20" customHeight="1">
      <c r="A9" s="4" t="str">
        <v>AOW05: Learning for Impact</v>
      </c>
      <c r="B9" s="5">
        <v>0</v>
      </c>
      <c r="C9" s="5">
        <v>0</v>
      </c>
      <c r="D9" s="5">
        <v>0</v>
      </c>
      <c r="E9" s="5">
        <v>0</v>
      </c>
      <c r="F9" s="5">
        <v>0</v>
      </c>
      <c r="G9" s="5">
        <v>0</v>
      </c>
      <c r="H9" s="5">
        <v>5</v>
      </c>
      <c r="I9" s="5">
        <v>15000</v>
      </c>
      <c r="J9" s="5">
        <v>15000</v>
      </c>
      <c r="K9" s="5">
        <v>15000</v>
      </c>
      <c r="L9" s="5">
        <v>0</v>
      </c>
      <c r="M9" s="5">
        <v>0</v>
      </c>
      <c r="N9" s="4">
        <v>204</v>
      </c>
    </row>
    <row r="10" ht="25" customHeight="1">
      <c r="A10" s="6" t="str">
        <v>Total</v>
      </c>
      <c r="B10" s="7" t="str">
        <v/>
      </c>
      <c r="C10" s="7">
        <v>672145</v>
      </c>
      <c r="D10" s="7" t="str">
        <v/>
      </c>
      <c r="E10" s="7">
        <v>535858</v>
      </c>
      <c r="F10" s="7" t="str">
        <v/>
      </c>
      <c r="G10" s="7">
        <v>208333</v>
      </c>
      <c r="H10" s="7" t="str">
        <v/>
      </c>
      <c r="I10" s="7">
        <v>315000</v>
      </c>
      <c r="J10" s="7">
        <v>1821520</v>
      </c>
      <c r="K10" s="7">
        <v>1821520</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Engage and Empower</v>
      </c>
      <c r="B3" s="4" t="str">
        <v>IITA</v>
      </c>
      <c r="C3" s="4" t="str">
        <v>HLO 1.1.3: Strategies for research and scaling prioritization</v>
      </c>
      <c r="D3" s="4" t="str">
        <v>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v>
      </c>
      <c r="E3" s="4" t="str">
        <v>Number of knowledge products</v>
      </c>
      <c r="F3" s="4" t="str">
        <v>Zambia, Nigeria</v>
      </c>
      <c r="G3" s="5">
        <v>2</v>
      </c>
      <c r="H3" s="5">
        <v>105585</v>
      </c>
      <c r="I3" s="4" t="str">
        <v>2 – Number of CGIAR Annual Country Result Reports published in Nigeria and Zambia.</v>
      </c>
      <c r="J3" s="4">
        <v>5886</v>
      </c>
    </row>
    <row r="4" ht="50" customHeight="1">
      <c r="A4" s="4" t="str">
        <v>AOW01: Engage and Empower</v>
      </c>
      <c r="B4" s="4" t="str">
        <v>IITA</v>
      </c>
      <c r="C4" s="4" t="str">
        <v>HLO 1.1.1: Demand intelligence system</v>
      </c>
      <c r="D4" s="4" t="str">
        <v>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v>
      </c>
      <c r="E4" s="4" t="str">
        <v>Number of innovations (innovation development)</v>
      </c>
      <c r="F4" s="4" t="str">
        <v>Zambia, Nigeria</v>
      </c>
      <c r="G4" s="5">
        <v>2</v>
      </c>
      <c r="H4" s="5">
        <v>100000</v>
      </c>
      <c r="I4" s="4" t="str">
        <v xml:space="preserve">2 – Two fully operational country-level Demand Intelligence Portals (Nigeria and Zambia) linked to the global CGIAR-DID platform and used for national research and scaling prioritization by the end of 2026. </v>
      </c>
      <c r="J4" s="4">
        <v>5981</v>
      </c>
    </row>
    <row r="5" ht="25" customHeight="1">
      <c r="C5" s="9" t="str">
        <v>HLO budget subtotal</v>
      </c>
      <c r="H5" s="9">
        <v>205585</v>
      </c>
      <c r="J5" s="9" t="str">
        <v/>
      </c>
    </row>
    <row r="6" ht="50" customHeight="1" xml:space="preserve">
      <c r="A6" s="8" t="str">
        <v>AOW02: Grand Challenges and Scaling Flagships</v>
      </c>
      <c r="B6" s="4" t="str">
        <v>IITA</v>
      </c>
      <c r="C6" s="4" t="str">
        <v>HLO 2.2.3: Market, policy and behavior change innovations</v>
      </c>
      <c r="D6" s="4" t="str" xml:space="preserve">
        <v xml:space="preserve">A2P21.1 PoD Name: Biofortification Coordination Team — S4I Scaling Pathway Engagement. Lead Center: IITA HLO: AoW 2 — Grand Challenge 3: Driving Demand, Shaping Behavior, and Activating Policy for Nutrition/ KPI Title: 2027–2030 operational framework for Biofortification 2.0 delivered
PoD KPI: 1 — One concise 2027–2030 operational framework for Biofortification 2.0, grounded in evidence generated through 2026 coordination, review, and consultation activities, and delivered by end of 2026. Suggested Disaggregation: Not applicable. Indicator type: Knowledge Product. Unit: Number of knowledge products. Target: 1. PoD Description: This package finances S4I's engagement in the CGIAR Biofortification Coordination Team (BCT), a cross-Science Program coordination mechanism established under the Chief Scientist's Office. S4I contributes scaling design expertise for varietal deployment, partnership identification, and the linkage of biofortification pipelines to delivery pathways, in direct response to Grand Challenge 3. In 2026, the package translates the BCT Terms of Reference into a demand-driven workplan that aligns breeding, nutrition, scaling, seed systems, farming systems, policy engagement, and market delivery pathways across CGIAR. Core activities include the development of a unified micronutrient trait and target-setting framework; a crop-country-market prioritization and operational framework for 2027–2030; reviews of phenotyping capacity and scaling lessons identifying conditions under which biofortification scaling has succeeded or faltered; a Biofortification Mainstreaming Consultation Workshop producing an agreed five-year research and scaling agenda and shared monitoring framework; partner engagement and MOU templates; an investment-case template; policy and donor engagement materials; and a webinar series with stakeholder mapping. These activities collectively generate the evidence base, decision criteria, and coordination architecture required to produce the 2027–2030 Biofortification 2.0 operational framework. The $33,000 committed by Scaling for Impact represents the Program's direct contribution; additional resources are expected from other contributing Science Programs. Accountable Center leading this PoD: IITA. KPI Owner: Lungaho, Mercy. Anticipated partners: Not applicable. Partner modality: Not applicable. Countries of implementation: Global. Location of benefit: Global; all six CGIAR regions. Budget (USD): 33,000. Partner Budget (USD): 0. MELIA Budget (USD): 0. Total Budget (USD): 33,000. MELIA: Monitoring, evaluation, and learning plans will be developed in early 2026 in cooperation with the S4I PMU and/or AoW 2, and where needed will include baseline assessments and indicator tracking and reporting in line with Program and CGIAR guidelines."
</v>
      </c>
      <c r="E6" s="4" t="str">
        <v>Number of knowledge products</v>
      </c>
      <c r="F6" s="4" t="str">
        <v>Nigeria</v>
      </c>
      <c r="G6" s="5">
        <v>1</v>
      </c>
      <c r="H6" s="5">
        <v>33000</v>
      </c>
      <c r="I6" s="4" t="str">
        <v xml:space="preserve"> 1 — One concise 2027–2030 operational framework for Biofortification 2.0, grounded in evidence generated through 2026 coordination, review, and consultation activities, and delivered by the end of 2026.</v>
      </c>
      <c r="J6" s="4">
        <v>8115</v>
      </c>
    </row>
    <row r="7" ht="25" customHeight="1">
      <c r="C7" s="9" t="str">
        <v>HLO budget subtotal</v>
      </c>
      <c r="H7" s="9">
        <v>33000</v>
      </c>
      <c r="J7" s="9" t="str">
        <v/>
      </c>
    </row>
    <row r="8" ht="50" customHeight="1" xml:space="preserve">
      <c r="A8" s="8" t="str">
        <v>AOW03: Enabling Environment Lab</v>
      </c>
      <c r="B8" s="4" t="str">
        <v>IITA</v>
      </c>
      <c r="C8" s="4" t="str">
        <v xml:space="preserve">HLO 3.3.2: Scaling support services for enabling environment and institutions </v>
      </c>
      <c r="D8" s="4" t="str" xml:space="preserve">
        <v xml:space="preserve">A3P9.6: PoD name: Mainstreaming Inclusive and Responsible Scaling_IITA. Lead Center: IITA. PoD KPI: 30- Thirty CGIAR staff and scaling partners targeted in AoW2 solution track on Scaling Inclusive Mechanization through Rural Entrepreneurship and Financial Innovation in Zambia through a capacity-strengthening workshop on responsible and inclusive scaling for business and investment acceleration in Zambia; and one (1) technical report completed and disseminated by the end of 2026, documenting how responsible and inclusive scaling strategies, informed by the adapted GenderUp methodology, have been integrated into AoW2 CIMMYT-led solution track on Scaling Inclusive Mechanization through Rural Entrepreneurship and Financial Innovation scaling models and partner practices in Zambia. Suggested Disaggregation: Not applicable (indicator tracks number of reports and organization-level KPI focused on number of CGIAR staff and partners trained). Indicator type: Knowledge product. Unit: Number of reports. PoD Description: Many CGIAR innovations have strong technical potential but lack systematic support to ensure that scaling processes are socially inclusive, gender-responsive, and environmentally sustainable. As a result, promising solutions often reach scale without sufficient attention to who benefits, who is left behind, and how trade-offs are managed. Addressing this gap is critical to achieving equitable transformation across agri-food systems. This package responds to that gap by strengthening CGIAR’s capacity to embed responsible and inclusive scaling practices within program design, implementation, and learning. It will strengthen CGIAR’s capacity to apply and institutionalize responsible scaling practices through deep drive assessment, inclusive analytics, and cross-program learning systems. It builds on CGIAR experience in Scaling Readiness and GenderUp methodologies for innovation scaling. The package is implemented collaboratively by CGIAR Scaling Readiness community of practice, GenderUp experts, and program-level scaling leads. By 2028, CGIAR and partner projects will apply these approaches and tools to design and manage scaling processes that deliver more inclusive, equitable, and resilient impact. Deliverable Description: IITA is mandated to conduct capacity-strengthening session for staff and partners of AoW2 CIMMYT-led solution track on Scaling Inclusive Mechanization through Rural Entrepreneurship and Financial Innovation on responsible and inclusive scaling for business and investment acceleration; and implement dedicated inclusive scaling interventions towards meeting the needs of women, youth and marginalized groups in Zambia. Accountable Center leading this PoD: IITA. Anticipated partners: IWMI; Responsible Innovations Firm that co-developed the GenderUp methodology; and national and regional scaling partners in Zambia engaged in AoW2 CIMMYT-led solution track on Scaling Inclusive Mechanization through Rural Entrepreneurship and Financial Innovation. MELIA: Monitoring, evaluation, and learning plans will be developed in early 2026 in cooperation with the S4I PMU and/or AoW‑5, and where needed will include baseline assessments and indicator tracking and reporting in line with Program and CGIAR guidelines.
"</v>
      </c>
      <c r="E8" s="4" t="str">
        <v>Number of knowledge products</v>
      </c>
      <c r="F8" s="4" t="str">
        <v>Zambia</v>
      </c>
      <c r="G8" s="5">
        <v>30</v>
      </c>
      <c r="H8" s="5">
        <v>60000</v>
      </c>
      <c r="I8" s="4" t="str">
        <v>30- Thirty CGIAR staff and scaling partners targeted in AoW2 solution track on Scaling Inclusive Mechanization through Rural Entrepreneurship and Financial Innovation in Zambia through a capacity-strengthening workshop on responsible and inclusive scaling for business and investment acceleration in Zambia; and one (1) technical report completed and disseminated by the end of 2026</v>
      </c>
      <c r="J8" s="4">
        <v>6016</v>
      </c>
    </row>
    <row r="9" ht="25" customHeight="1">
      <c r="C9" s="9" t="str">
        <v>HLO budget subtotal</v>
      </c>
      <c r="H9" s="9">
        <v>60000</v>
      </c>
      <c r="J9" s="9" t="str">
        <v/>
      </c>
    </row>
    <row r="10" ht="50" customHeight="1">
      <c r="A10" s="8" t="str">
        <v>AOW04: Achieving Impact by Unlocking Finance and Partnerships</v>
      </c>
      <c r="B10" s="4" t="str">
        <v>IITA</v>
      </c>
      <c r="C10" s="4" t="str">
        <v>HLO 4.4.1: Technical assistance for financing for innovation scaling</v>
      </c>
      <c r="D10" s="4" t="str">
        <v>A4P4.3: PoD name: Global Coordinated Clearinghouse developed: New Frontier. Lead Center: IITA. PoD KPI: One-1 Innovation (8 investment projects incorporating CGIAR innovations and implementation assistance from CGIAR centers) that contribute to achieving eight hundred twenty million U.S. dollars in cumulative investment influenced by the end of 2026 through the operational global Clearinghouse, which connects CGIAR innovations to IFI and government investment portfolios, strengthens blended finance mechanisms, and ensures long-term sustainability. Suggested Disaggregation: Not applicable; KPI measures investment value rather than numbers of individuals. Indicator type: Innovation Development. Unit: Number of Innovations. PoD Description: This package focuses on developing a globally coordinated CGIAR Clearinghouse, partnering with international financial institutions (IFIs) like the World Bank (WB), IFAD, IsDB, AfDB, the Development Bank of Latin America, and the Caribbean Development Bank. It provides support to the newly established regional Clearinghouse in the Asian Development Bank (hosted by IRRI) and other emerging regional Clearinghouses with IsDB (to be hosted by ICARDA) and the Caribbean Development Bank. Key activities include sourcing and vetting ready-to-scale CGIAR innovations aligned with PRMS, marketing these innovations through CGIAR’s e-catalogue, and mobilizing finance from blended sources. The Asian Development Bank Clearinghouse will focus on developing innovation catalogues, integrating lessons from TAAT, and ensuring the integration of CGIAR innovations in future investments. This work contributes directly to the 2030 outcomes by helping to leverage US$1.46 billion in investment from IFIs, the private sector, and other development partners.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v>
      </c>
      <c r="E10" s="4" t="str">
        <v>Number of innovations (innovation development)</v>
      </c>
      <c r="F10" s="4" t="str">
        <v>Central African Republic, Guinea, Somalia, Comoros, Rwanda, Sierra Leone, Kenya, Nigeria, Ethiopia, Côte d'Ivoire</v>
      </c>
      <c r="G10" s="5">
        <v>1</v>
      </c>
      <c r="H10" s="5">
        <v>50000</v>
      </c>
      <c r="I10" s="4" t="str">
        <v>One-1 Innovation (8 investment projects incorporating CGIAR innovations and implementation assistance from CGIAR centers) that contribute to achieving eight hundred twenty million U.S. dollars in cumulative investment influenced by the end of 2026</v>
      </c>
      <c r="J10" s="4">
        <v>6039</v>
      </c>
    </row>
    <row r="11" ht="50" customHeight="1" xml:space="preserve">
      <c r="B11" s="4" t="str">
        <v>IITA</v>
      </c>
      <c r="D11" s="4" t="str" xml:space="preserve">
        <v xml:space="preserve">A4P4.4: PoD name: Global Coordinated Clearinghouse developed: New Frontier. Lead Center: IITA. PoD KPI: Ten (10) engagements with IFIs and development finance institutions to identify and assess IFI-funded projects for integration of CGIAR innovations that contribute to achieving eight hundred twenty million U.S. dollars in cumulative investment are influenced by the end of 2026 through the operational global Clearinghouse, which connects CGIAR innovations to IFI and government investment portfolios, strengthens blended finance mechanisms, and ensures long-term sustainability. Suggested Disaggregation: Not applicable; KPI measures investment value rather than numbers of individuals. Indicator type: Other output. Unit: Number of workshops/meetings . PoD Description: This package focuses on developing a globally coordinated CGIAR Clearinghouse, partnering with international financial institutions (IFIs) like the World Bank (WB), IFAD, IsDB, AfDB, the Development Bank of Latin America, and the Caribbean Development Bank. It provides support to the newly established regional Clearinghouse in the Asian Development Bank (hosted by IRRI) and other emerging regional Clearinghouses with IsDB (to be hosted by ICARDA) and the Caribbean Development Bank. Key activities include sourcing and vetting ready-to-scale CGIAR innovations aligned with PRMS, marketing these innovations through CGIAR’s e-catalogue, and mobilizing finance from blended sources. The Asian Development Bank Clearinghouse will focus on developing innovation catalogues, integrating lessons from TAAT, and ensuring the integration of CGIAR innovations in future investments. This work contributes directly to the 2030 outcomes by helping to leverage US$1.46 billion in investment from IFIs, the private sector, and other development partners.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and Gates Foundation. MELIA: Monitoring, evaluation, and learning plans will be developed in early 2026 in cooperation with the S4I PMU and/or AoW‑5 and, where needed, will include baseline assessments and indicator tracking and reporting in line with Program and CGIAR guidelines
</v>
      </c>
      <c r="E11" s="4" t="str">
        <v>custom</v>
      </c>
      <c r="F11" s="4" t="str">
        <v>Somalia, Guinea, Comoros, Sierra Leone, Central African Republic, Kenya, Côte d'Ivoire, Ethiopia, Zambia, Nigeria</v>
      </c>
      <c r="G11" s="5">
        <v>10</v>
      </c>
      <c r="H11" s="5">
        <v>50000</v>
      </c>
      <c r="I11" s="4" t="str">
        <v>Ten (10) engagements with IFIs and development finance institutions to identify and assess IFI-funded projects for integration of CGIAR innovations that contribute to achieving eight hundred twenty million U.S. dollars in cumulative investment are influenced by the end of 2026</v>
      </c>
      <c r="J11" s="4">
        <v>6040</v>
      </c>
    </row>
    <row r="12" ht="50" customHeight="1">
      <c r="B12" s="4" t="str">
        <v>IITA</v>
      </c>
      <c r="D12" s="4" t="str">
        <v>A4P5.1: PoD name: Integrating CGIAR innovations in public large-scale investments. Lead Center: IITA. PoD KPI: 18 – Eighteen cumulative cases of ready-to-scale CGIAR innovations and technical asssitance by CGIAR centers integrated completed by the end of 2026 across regional and national programs in the Sahel and Zambezi Basin, embedding CGIAR innovations within approved IFI-financed projects. Suggested Disaggregation: Not applicable; KPI counts strategies and technical engagements rather than individuals. Indicator type: Knowledge Product. Unit: Number of  innovations. PoD Description: This package focuses on leveraging IFI-financed public large-scale agricultural investment projects to integrate ready-to-scale CGIAR innovations and technologies, including digital solutions and advisory services, aligned with government priorities in the Sahel, Central, East, Coastal West Africa, and Southern Africa. Upon receiving invitations from IFIs, the Clearinghouse scaling team will engage with government decision-makers and provide technical assistance in the design of six new and restructured regional and national projects. These projects will integrate CGIAR innovations into large-scale agricultural investments, impacting approximately 3.4 million smallholder farmers across the regions. This package aims to leverage US$1.46 billion in investments from IFIs and development partners, contributing directly to the 2030 outcomes by improving smallholder resilience, incomes, and access to healthy diets. Accountable Center leading this PoD: IITA. Anticipated partners: Ministère de l’Agriculture (Guinea), Ministère de l’Agriculture et des Aménagements Hydrauliques (Burkina Faso), Institut Senegalais de Recherche Agricole, Ministries of Agriculture and Rural Development in target countries, African Development Group, Islamic Development Bank, and other local government ministries and research institutes. MELIA: Monitoring, evaluation, and learning plans will be developed in early 2026 in cooperation with the S4I PMU and/or AoW‑5, and where needed will include baseline assessments and indicator tracking and reporting in line with Program and CGIAR guidelines.</v>
      </c>
      <c r="E12" s="4" t="str">
        <v>Number of innovations (innovation development)</v>
      </c>
      <c r="F12" s="4" t="str">
        <v>Central African Republic, Niger, Somalia, Comoros, Rwanda, Côte d'Ivoire</v>
      </c>
      <c r="G12" s="5">
        <v>18</v>
      </c>
      <c r="H12" s="5">
        <v>166667</v>
      </c>
      <c r="I12" s="4" t="str">
        <v>18 – Eighteen cumulative strategies and technical assistance engagements completed by the end of 2026</v>
      </c>
      <c r="J12" s="4">
        <v>6041</v>
      </c>
    </row>
    <row r="13" ht="50" customHeight="1">
      <c r="B13" s="4" t="str">
        <v>IITA</v>
      </c>
      <c r="D13" s="4" t="str">
        <v>A4P5.2: PoD name: Integrating CGIAR innovations in public large-scale investments. Lead Center: IITA. PoD KPI: 12 – Twelve cumulative cases of ready-to-scale CGIAR innovations and technical asssitance by CGIAR centers integrated by the end of 2026 across national agricultural investment projects in Coastal West Africa (Nigeria, Benin, Sierra Leone, and Togo), embedding CGIAR innovations into approved IFI-financed public investment portfolios. Suggested Disaggregation: Not applicable; KPI measures strategies and technical engagements rather than individuals. Indicator type: Knowledge Product. Unit: Number of innovations PoD Description: This package focuses on leveraging IFI-financed public large-scale agricultural investment projects to integrate ready-to-scale CGIAR innovations and technologies (including digital solutions) and advisory services aligned with government needs and priorities across the Sahel, Central, East, Coastal West Africa, and Southern Africa. By mid-2026, the Clearinghouse scaling team will engage with government decision-makers to provide technical assistance and design missions for six  three new and restructured regional and national projects to integrate CGIAR solutions into IFI-financed large-scale agricultural investments. The integration will affect 3.4 million smallholder farmers, directly contributing to the 2030 outcomes by helping leverage US$1.46 billion in investments from IFI-financed agricultural projects. These investments aim to improve smallholder resilience, incomes, and access to healthy diets. Accountable Center leading this PoD: IITA. Anticipated partners: Ministère de l’Environnement, de l’assainissement et du Développement Durable (Mali); Institut National de Recherche Agricole du Benin; Sierra Leone Agricultural Research Institute; Institut Togolais des Recherches Agronomiques; Federal Ministry of Agriculture and Rural Development (Nigeria); and other government and IFI partners involved in the design of national and regional agricultural investment projects. MELIA: Monitoring, evaluation, and learning plans will be developed in early 2026 in cooperation with the S4I PMU and/or AoW‑5, and where needed will include baseline assessments and indicator tracking and reporting in line with Program and CGIAR guidelines.</v>
      </c>
      <c r="E13" s="4" t="str">
        <v>Number of innovations (innovation development)</v>
      </c>
      <c r="F13" s="4" t="str">
        <v>Ghana, Sierra Leone, Togo, Liberia, Benin, Nigeria</v>
      </c>
      <c r="G13" s="5">
        <v>12</v>
      </c>
      <c r="H13" s="5">
        <v>200000</v>
      </c>
      <c r="I13" s="4" t="str">
        <v>12 – Twelve cumulative strategies and technical assistance engagements completed by the end of 2026</v>
      </c>
      <c r="J13" s="4">
        <v>6042</v>
      </c>
    </row>
    <row r="14" ht="50" customHeight="1">
      <c r="B14" s="4" t="str">
        <v>IITA</v>
      </c>
      <c r="D14" s="4" t="str">
        <v>A4P5.3: PoD name: Integrating CGIAR innovations in public large-scale investments. Lead Center: IITA. PoD KPI: Six-6 technical assistance engagements delivered by the Clearinghouse to governments and IFIs to support project design or restructuring in Sahelian, Central, and South Africa countries that contribute to acheive four hundred ninety-five million U.S. dollars in cumulative investment influenced by the end of 2026, through technical assistance and the integration of CGIAR innovations into large-scale public agricultural investments across the Sahel, Central, and Southern Africa. Suggested Disaggregation: Not applicable; KPI measures investment value rather than individuals. Indicator type: Other output. Unit: Number of workshops/meetings . PoD Description: This package focuses on leveraging IFI-financed large-scale public agricultural investment projects to deploy ready-to-scale CGIAR innovations, including digital solutions and advisory services, in alignment with government priorities in the Sahel, Central, East, Coastal West Africa, and Southern Africa. By mid-2026, the Clearinghouse scaling team will engage with government decision-makers and provide technical assistance during the design missions for six new and restructured regional and national projects, incorporating CGIAR innovations into large-scale agricultural investments. This initiative will impact approximately 3.4 million smallholder farmers and contribute directly to the 2030 outcomes by leveraging US$1.46 billion in investments from IFI-financed agricultural projects. The package aims to improve resilience, incomes, and access to healthy diets for smallholder farmers. Accountable Center leading this PoD: IITA. Anticipated partners: Ministère de l’Agriculture (Guinea), Ministère de l’Agriculture et des Aménagements Hydrauliques (Burkina Faso), Institut Sénégalais de Recherche Agricole, Ministries of Agriculture and Rural Development in target countries, African Development Group, Islamic Development Bank, and other local government ministries and research institutes. MELIA: Monitoring, evaluation, and learning plans will be developed in early 2026 in cooperation with the S4I PMU and/or AoW‑5 and, where needed, will include baseline assessments and indicator tracking and reporting in line with Program and CGIAR guidelines.</v>
      </c>
      <c r="E14" s="4" t="str">
        <v>custom</v>
      </c>
      <c r="F14" s="4" t="str">
        <v>Central African Republic, Somalia, Rwanda, Côte d'Ivoire, Comoros, Niger</v>
      </c>
      <c r="G14" s="5">
        <v>6</v>
      </c>
      <c r="H14" s="5">
        <v>150000</v>
      </c>
      <c r="I14" s="4" t="str">
        <v>Six-6 technical assistance engagements delivered by the Clearinghouse to governments and IFIs to support project design or restructuring in Sahelian, Central, and South Africa countries that contribute to acheive four hundred ninety-five million U.S. dollars in cumulative investment influenced by the end of 2026</v>
      </c>
      <c r="J14" s="4">
        <v>6043</v>
      </c>
    </row>
    <row r="15" ht="50" customHeight="1">
      <c r="B15" s="4" t="str">
        <v>IITA</v>
      </c>
      <c r="D15" s="4" t="str">
        <v>A4P5.4: PoD name: Integrating CGIAR innovations in public large-scale investments. Lead Center: IITA. PoD KPI: Ten-10 Trainings conducted (For ten large‑scale national and regional IFI‑financed investment projects leveraged to scale CGIAR innovations (e.g., training of trainers, demonstrations, etc.)) that contribute to acheive one million, three hundred twenty thousand individuals applying CGIAR-linked innovations through IFI-financed agricultural investment projects by the end of 2026. Suggested Disaggregation: Not applicable; the KPI measures the number of individuals rather than a breakdown by specific groups. Indicator type: Capacity Sharing. Unit: Number of trainings . PoD Description: This package focuses on leveraging IFI-financed public large-scale agricultural investment projects to deploy ready-to-scale CGIAR technologies and innovations, including digital solutions and advisory services, that are aligned with government priorities in the Sahel, Central, East, Coastal West Africa, and Southern Africa. The Clearinghouse scaling team will engage with government decision-makers and provide technical assistance to integrate CGIAR innovations into the design of six regional and national projects. These efforts will reach 3.4 million smallholder farmers across the regions, contributing directly to the 2030 outcomes by leveraging US$1.46 billion from IFI-financed agricultural investment projects. This initiative is aimed at enhancing smallholder resilience, incomes, and access to healthy diets. Accountable Center leading this PoD: IITA. Anticipated partners: Ministries of Agriculture and national agricultural organizations across the target countries (Zambia, DR Congo, Malawi, Tanzania) and IFI partners. MELIA: Monitoring, evaluation, and learning plans will be developed in early 2026 in cooperation with the S4I PMU and/or AoW‑5, and where needed will include baseline assessments and indicator tracking and reporting in line with Program and CGIAR guidelines.</v>
      </c>
      <c r="E15" s="4" t="str">
        <v>Number of people trained (capacity sharing for development)</v>
      </c>
      <c r="F15" s="4" t="str">
        <v>Guinea-Bissau, Burkina Faso, Mali, Guinea, Ethiopia, Central African Republic, Mozambique, Angola, Chad, Gambia, Senegal, Rwanda, Malawi, The Democratic Republic of the Congo, Tanzania, United Republic, Zambia</v>
      </c>
      <c r="G15" s="5">
        <v>10</v>
      </c>
      <c r="H15" s="5">
        <v>125000</v>
      </c>
      <c r="I15" s="4" t="str">
        <v xml:space="preserve">Ten-10 Trainings conducted (For ten large‑scale national and regional IFI‑financed investment projects leveraged to scale CGIAR innovations (e.g., training of trainers, demonstrations, etc.)) that contribute to acheive one million, three hundred twenty thousand individuals applying CGIAR-linked innovations through IFI-financed agricultural investment projects by the end of 2026. </v>
      </c>
      <c r="J15" s="4">
        <v>6044</v>
      </c>
    </row>
    <row r="16" ht="50" customHeight="1">
      <c r="B16" s="4" t="str">
        <v>IITA</v>
      </c>
      <c r="D16" s="4" t="str">
        <v>A4P5.5: PoD name: Integrating CGIAR innovations in public large-scale investments. Lead Center: IITA. PoD KPI: Six-6 investment projects integrating CGIAR innovations and technical assistance from CGIAR centers that contributes to acheive 440 million – Cumulative value of IFI-financed agricultural investment that enhance productivity, climate resilience, and inclusivity in national programs. Suggested Disaggregation: None provided for this KPI, as the focus is on financial leverage. Indicator type: Other output. Unit: Number of projects. PoD Description: This package focuses on leveraging IFI-financed public large-scale agricultural investment projects to deploy ready-to-scale CGIAR technologies and innovations (digital solutions) and advisory services aligned with government needs and priorities in the Sahel, Central, East, Coastal West Africa, and Southern Africa. Upon invitation received from IFIs, the Clearinghouse scaling team will engage with government decision-makers and provide technical assistance in the design missions of six new and restructured regional and national projects to integrate CGIAR ready-to-scale innovations into large-scale agricultural investments financed by IFIs. With the approval of these IFI-financed projects, the deployment of CGIAR innovations in project-implementing countries will reach 3.4 million smallholder farmers. This package directly contributes to the outcomes targets of 2030 by leveraging US$ 1.46 billion from IFI-financed large-scale agricultural investment projects in 2026, which impacts smallholder farmers’ resilience, incomes, and access to healthy diets. Accountable Center leading this PoD: IITA. Anticipated partners: Ministries of Agriculture in several African countries, African Development Bank, Islamic Development Bank, Gates Foundation, and more. MELIA: Monitoring, evaluation, and learning plans will be developed in early 2026 in cooperation with the S4I PMU and/or AoW‑5, and where needed will include baseline assessments and indicator tracking and reporting in line with Program and CGIAR guidelines.</v>
      </c>
      <c r="E16" s="4" t="str">
        <v>custom</v>
      </c>
      <c r="F16" s="4" t="str">
        <v>Sierra Leone, Togo, Liberia, Benin, Ghana, Nigeria</v>
      </c>
      <c r="G16" s="5">
        <v>6</v>
      </c>
      <c r="H16" s="5">
        <v>100000</v>
      </c>
      <c r="I16" s="4" t="str">
        <v>6 investment projects integrating CGIAR innovations and technical assistance from CGIAR centers that contributes to acheive 440 million – Cumulative value of IFI-financed agricultural investment that enhance productivity, climate resilience, and inclusivity in national programs.v</v>
      </c>
      <c r="J16" s="4">
        <v>6045</v>
      </c>
    </row>
    <row r="17" ht="50" customHeight="1">
      <c r="B17" s="4" t="str">
        <v>IITA</v>
      </c>
      <c r="D17" s="4" t="str">
        <v>A4P5.6: PoD name: Integrating CGIAR innovations in public large-scale investments Lead Center: IITA, PoD KPI: Six-6 technical assistance activities delivered to national and regional IFI‑financed investment projects to support scaling of CGIAR innovations (e.g., training of trainers, demonstrations, etc.) that contributes to acheive eight hundred thousand individuals adopting CGIAR-linked innovations or benefiting from their integration into IFI-financed projects co-designed with IITA and government partners in Nigeria and Coastal West Africa by the end of 2026. Suggested Disaggregation: 320,000 women and youth (40%), 80,000 marginalized individuals (10%), and 400,000 others (50%). Indicator type: Capacity Sharing. Unit: Number of trainings . PoD Description: This package provides technical assistance to design missions for six new and restructured regional and national agricultural investment projects financed by International Financial Institutions (IFIs). It delivers the integration of ready-to-scale CGIAR technologies, digital solutions, and advisory services into large-scale public investments by 2026. The work targets Coastal West Africa, specifically Nigeria, Benin, Sierra Leone, and Togo, focusing on government priorities to enhance smallholder farmer resilience, incomes, and access to healthy diets. Accountable Center leading this PoD: IITA Anticipated partners: Ministère de l’Environnement, de l’assainissement et du Développement Durable (Mali); Institut National de Recherche Agricole du Benin; Sierra Leone Agricultural Research Institute; Institut Togolais des Recherches Agronomiques;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v>
      </c>
      <c r="E17" s="4" t="str">
        <v>Number of people trained (capacity sharing for development)</v>
      </c>
      <c r="F17" s="4" t="str">
        <v>Liberia, Togo, Ghana, Benin, Sierra Leone, Nigeria</v>
      </c>
      <c r="G17" s="5">
        <v>6</v>
      </c>
      <c r="H17" s="5">
        <v>83333</v>
      </c>
      <c r="I17" s="4" t="str">
        <v>6 technical assistance activities delivered to national and regional IFI‑financed investment projects to support scaling of CGIAR innovations</v>
      </c>
      <c r="J17" s="4">
        <v>6046</v>
      </c>
    </row>
    <row r="18" ht="50" customHeight="1">
      <c r="B18" s="4" t="str">
        <v>IITA</v>
      </c>
      <c r="D18" s="4" t="str">
        <v>CRITICAL CAPABILITY: A4IITA-CC-1-PoD name: Marketing Game-Changing CGIAR Innovations Through Global E-Catalogs. Lead Center: IITA. PoD KPI: 60 – Sixty new CGIAR innovations cumulative, profiled, quality-checked, and integrated into the upgraded global e-catalogs by the end of 2026 across Asia, Africa, Latin America, and the Caribbean. Suggested Disaggregation: Not applicable, as the KPI counts innovations, not individuals. Indicator type: Innovation Development. Unit: Number of innovations. PoD Description: This package delivers a fully functioning global e-catalog facility that expands CGIAR’s visibility, accessibility, and alignment with investment partners by profiling ready-to-scale innovations for governments, private-sector actors, and development partners. The package extends e-catalog geographic coverage to Asia, Latin America, and the Caribbean through upgraded maps, regional classifications, and agro-ecological zone layers; integrates the platform with PRMS to ensure seamless flow of innovations from the profiling pipeline; introduces automated multilingual translation; improves the user interface to support the IRRI/ADB Clearinghouse profiling team; and provides recruitment, training, mentoring, and technical backstopping for the new Asia-based profiling team. These upgrades strengthen the Global Clearinghouse mandate by supporting profiling quality, enhancing interoperability with CGIAR’s investment-oriented tools, and enabling tailored presentation of innovations to decision makers preparing large-scale agricultural investment projects. By 2026, the platform will facilitate coordinated engagement across Centers, accelerating adoption of CGIAR innovations in public and private investment pipelines and strengthening the Scaling for Impact Program’s finance-mobilization objectives. Accountable Center leading this PoD: IITA. Anticipated partners: IRRI; ICARDA; Alliance of Bioversity and CIAT; regional profiling teams; and the TAAT Clearinghouse Transition Project funded by the Gates Foundation. MELIA: Monitoring, evaluation, and learning plans will be developed in early 2026 in cooperation with the S4I PMU and/or AoW‑5, and where needed will include baseline assessments and indicator tracking and reporting in line with Program and CGIAR guidelines.</v>
      </c>
      <c r="E18" s="4" t="str">
        <v>Number of knowledge products</v>
      </c>
      <c r="F18" s="4" t="str">
        <v>Angola, Zambia, Malawi, Ghana</v>
      </c>
      <c r="G18" s="5">
        <v>60</v>
      </c>
      <c r="H18" s="5">
        <v>100000</v>
      </c>
      <c r="I18" s="4" t="str">
        <v>75 – Seventy five new CGIAR innovations cumulative, profiled, quality-checked, and integrated into the upgraded global e-catalogs by the end of 2026</v>
      </c>
      <c r="J18" s="4">
        <v>6056</v>
      </c>
    </row>
    <row r="19" ht="50" customHeight="1">
      <c r="B19" s="4" t="str">
        <v>IITA</v>
      </c>
      <c r="D19" s="4" t="str">
        <v>CRITICAL CAPABILITY: A4IITA-CC-2-PoD name: Strengthening National Seed Systems for Deploying CGIAR Ready-to-Scale Innovations. Lead Center: IITA. PoD KPI: Five-5 validated seed roadmaps and investment priorities for scaling CGIAR innovations in Zimbabwe, Malawi, Angola, Tanzania, and Rwanda that contribute to reach 251,100 individuals cumulatively applying CGIAR-linked innovations through national seed-system investments catalyzed by Seed Summits and seed roadmaps in Zimbabwe, Malawi, Angola, Tanzania, and Rwanda by the end of 2026. Suggested Disaggregation: women and youth (40%), marginalized groups (10%), other individuals (50%). Indicator type: Innovation Development. Unit: Number of innovations. PoD Description: This package works with national governments and seed-sector stakeholders to organize high-level Seed Investment Summits that generate national seed roadmaps and investment plans for priority value chains in  Zimbabwe, Malawi, Angola, Tanzania, and Rwanda . By convening national seed authorities, policy makers, seed companies, agrodealers, farmers’ organizations, NARES, and development partners, the package will co-develop actionable pathways for scaling early-generation and certified seeds of CGIAR climate-resilient varieties, improved animal breeds, and fish species. Seed roadmaps will diagnose constraints affecting farmers’ access to quality seed and outline policy, regulatory, institutional, production, capacity-building, marketing, distribution, and adoption-related measures required to strengthen seed systems. The summits will mobilize political and financial commitments and catalyze large-scale agricultural investment programs to deliver improved seeds to farmers, with the potential to reach hundreds of thousands of users. Through these efforts, the package will expand the adoption of CGIAR innovations, strengthen national seed systems, and support progress toward 2030 productivity, resilience, and nutrition outcomes. Accountable Center leading this PoD: IITA. Anticipated partners: Ministries of Agriculture and Fisheries; national seed authorities; NARES institutions such as CRI and CSIR; seed companies; agrodealers; farmers’ organizations; the World Bank; IFAD; the European Union; the African Development Bank; the Islamic Development Bank; and the African Seed Trade Association. MELIA: Monitoring, evaluation, and learning plans will be developed in early 2026 in cooperation with the S4I PMU and/or AoW‑5, and where needed will include baseline assessments and indicator tracking and reporting in line with Program and CGIAR guidelines.</v>
      </c>
      <c r="E19" s="4" t="str">
        <v>Number of innovations (innovation development)</v>
      </c>
      <c r="F19" s="4" t="str">
        <v>Zimbabwe, Tanzania, United Republic, Rwanda, Angola, Malawi</v>
      </c>
      <c r="G19" s="5">
        <v>5</v>
      </c>
      <c r="H19" s="5">
        <v>155478</v>
      </c>
      <c r="I19" s="4" t="str">
        <v>5 validated seed roadmaps and investment priorities for scaling CGIAR innovations in Zimbabwe, Malawi, Angola, Tanzania, and Rwanda that contribute to reach 251,100 individuals</v>
      </c>
      <c r="J19" s="4">
        <v>6057</v>
      </c>
    </row>
    <row r="20" ht="50" customHeight="1">
      <c r="B20" s="4" t="str">
        <v>IITA</v>
      </c>
      <c r="D20" s="4" t="str">
        <v>A4P4.1 – Jointly delivered by ICARDA &amp; IITA: PoD name: Global Coordinated Clearinghouse developed: New Frontier. Lead Centers: ICARDA and IITA (IITA accountable). PoD KPI: 60 – Sixty 60 CGIAR innovations vetted, profiled, validated, and published in the CGIAR global e-catalogues by the end of 2026 across regional and global Clearinghouses (Asia, MENA, Africa, and Latin America), supported by formalized technical assistance agreements with IFIs and blended-finance partnerships under AoW 4 CoA 4.2. Suggested Disaggregation: Not applicable; KPI measures the number of innovations integrated rather than individuals. Indicator type: Innovation Development. Unit: Number of reports. PoD Description: This package focuses on developing a globally coordinated CGIAR Clearinghouse that connects ready-to-scale CGIAR innovations with investment pipelines of international financial institutions (IFIs) and other partners. By mid-2026, it will source, vet, and profile forty CGIAR innovations aligned with PRMS, marketing them to public and private sector partners through CGIAR’s e-catalogue and initiating technical assistance agreements with IFIs. The package will also support the newly established Asian Development Bank (ADB)-hosted Clearinghouse, develop innovation catalogues, and integrate lessons from TAAT. The work directly contributes to the 2030 outcomes by leveraging investments of US$1.46 billion from IFIs, the private sector, and other development partners. Accountable Center: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v>
      </c>
      <c r="E20" s="4" t="str">
        <v>Number of knowledge products</v>
      </c>
      <c r="F20" s="4" t="str">
        <v>India, Ethiopia, Bangladesh, Kenya</v>
      </c>
      <c r="G20" s="5">
        <v>60</v>
      </c>
      <c r="H20" s="5">
        <v>125000</v>
      </c>
      <c r="I20" s="4" t="str">
        <v>60 CGIAR innovations vetted, profiled, validated, and published in the CGIAR global e-catalogues by the end of 2026 across regional and global Clearinghouses (Asia, MENA, Africa, and Latin America)</v>
      </c>
      <c r="J20" s="4">
        <v>8001</v>
      </c>
    </row>
    <row r="21" ht="50" customHeight="1">
      <c r="B21" s="4" t="str">
        <v>IITA</v>
      </c>
      <c r="D21" s="4" t="str">
        <v>A4P4.2 – Jointly delivered by ICARDA &amp; IITA: PoD name: Global Coordinated Clearinghouse developed: New Frontier. Lead Centers: ICARDA and IITA (IITA accountable). PoD KPI: One (1) knowledge product (strategic support provided to at least 2 regional Clearinghouses e.g., ADB, IsDB for development of operational strategies) that contributes to achieve eight hundred twenty million U.S. dollars in cumulative investment influenced by the end of 2026 through globally coordinated Clearinghouses operational across Asia, MENA, Africa, and Latin America, embedding CGIAR innovations in IFI portfolios and strengthening institutional mechanisms for scaling science through finance under AoW 4 CoA 4.2. Suggested Disaggregation: Not applicable; KPI measures total investment value leveraged rather than numbers of individuals. Indicator type: Knowledge Product. Unit: Number of strategies. PoD Description: This package develops a globally coordinated CGIAR Clearinghouse that connects ready-to-scale CGIAR innovations with investment pipelines of international financial institutions (IFIs), governments, and development partners, partnering with IFIs including the World Bank, IFAD, IsDB, AfDB, the Development Bank of Latin America, and the Caribbean Development Bank. By the end of 2026, it will support the Asian Development Bank’s regional Clearinghouse (hosted by IRRI) and lay the groundwork for emerging regional Clearinghouses with the Islamic Development Bank (to be hosted by ICARDA) and the Caribbean Development Bank, while advancing a framework for a MENA regional Clearinghouse. Core functions include sourcing and vetting innovations aligned with PRMS, profiling them through CGIAR e-catalogues, supporting CGIAR Centers to integrate their innovations into future ADB and other IFI operations, forming cross-Center committees for technical assistance in ADB countries, integrating lessons from TAAT, and mobilizing blended finance to sustain regional and global Clearinghouse operations. Collectively, these efforts will help leverage substantial IFI and partner investments (targeting US$820 million) and embed CGIAR science in development finance across Asia, MENA, Africa, and Latin America.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v>
      </c>
      <c r="E21" s="4" t="str">
        <v>Number of knowledge products</v>
      </c>
      <c r="F21" s="4" t="str">
        <v>Comoros, Somalia, Guinea, Rwanda, Sierra Leone, Central African Republic, Guatemala, Ethiopia, Nigeria, Kenya, Bangladesh, India, Côte d'Ivoire</v>
      </c>
      <c r="G21" s="5">
        <v>1</v>
      </c>
      <c r="H21" s="5">
        <v>50000</v>
      </c>
      <c r="I21" s="4" t="str">
        <v>One (1) knowledge product (strategic support provided to at least 2 regional Clearinghouses e.g., ADB, IsDB for development of operational strategies) that contributes to achieve eight hundred twenty million U.S. dollars in cumulative investment influenced by the end of 2026</v>
      </c>
      <c r="J21" s="4">
        <v>8002</v>
      </c>
    </row>
    <row r="22" ht="50" customHeight="1">
      <c r="B22" s="4" t="str">
        <v>IITA</v>
      </c>
      <c r="D22" s="4" t="str">
        <v>A4P13.1 PoD name: AoW 4 Finance and Investment Partnership Engagement: Annual Recommendations Synthesis. KPI Title: Annual recommendations synthesis for improved AoW 4 functioning and 2027 budget design delivered. Lead Center: IITA. PoD KPI: 1 — One annual recommendations synthesis delivered by end-2026. This PoD enables the AoW 4 lead and Center teams to plan and implement technical workshops and structured engagements with CGIAR Science Programs, international financing institutions, TAAT, and development partners on innovation investment embedding and clearinghouse functions. It responds to Risk 2 in the Scaling for Impact Risk Register — funding reductions and the need to diversify and strengthen investment partnerships — by ensuring sustained technical engagement with CGIAR Science Programs and financing partners to maintain and expand the investment pipeline. Learnings from IFI engagement, clearinghouse development, and partnership brokering are consolidated into a set of recommendations for improved design and functioning of AoW 4 to inform the 2027 budget and planning cycle. KPI type: Knowledge product. Unit: Number of knowledge products. Target: 1. Geographic location: Global. Countries of implementation: Benin. Responsible Center: IITA. KPI Owner: [AoW 4 Lead]. Partners: None. Partner modality: Not applicable. Budget (USD): 62,907. Partner Budget (USD): 0. Total Budget (USD): 62,907. MELIA: Monitoring, evaluation, and learning plans will be developed in early 2026 in cooperation with the S4I PMU and/or AoW-5, and where needed will include baseline assessments and indicator tracking and reporting in line with Program and CGIAR guidelines.</v>
      </c>
      <c r="E22" s="4" t="str">
        <v>Number of knowledge products</v>
      </c>
      <c r="F22" s="4" t="str">
        <v>Benin</v>
      </c>
      <c r="G22" s="5">
        <v>1</v>
      </c>
      <c r="H22" s="5">
        <v>62273</v>
      </c>
      <c r="I22" s="4" t="str">
        <v>One annual recommendations synthesis delivered by the end of 2026</v>
      </c>
      <c r="J22" s="4">
        <v>8116</v>
      </c>
    </row>
    <row r="23" ht="25" customHeight="1">
      <c r="C23" s="9" t="str">
        <v>HLO budget subtotal</v>
      </c>
      <c r="H23" s="9">
        <v>1417751</v>
      </c>
      <c r="J23" s="9" t="str">
        <v/>
      </c>
    </row>
    <row r="24" ht="50" customHeight="1">
      <c r="A24" s="8" t="str">
        <v>AOW05: Learning for Impact</v>
      </c>
      <c r="B24" s="4" t="str">
        <v>IITA</v>
      </c>
      <c r="C24" s="4" t="str">
        <v xml:space="preserve">HLO 5.5.1: Scaling science for societal impact </v>
      </c>
      <c r="D24" s="4" t="str">
        <v>A5P2.1: PoD name: Scaling Bridges: The South–South Learning Networks. Lead Center: IITA. PoD KPI: 5 – Five organizational partnerships established and applying scaling science frameworks by end-2026. Suggested Disaggregation: 2 NARES institutions (40%), 2 universities (40%), 1 TVET partner (20%). Indicator type: Capacity Sharing. Unit: Number of organizations. PoD Description: This PoD strengthens inclusive and responsible scaling through South–South collaboration, focusing on building actionable learning networks across CGIAR Flagships under S4I. Through the Scaling Champions initiative, IITA works with NARES partners and universities to identify, document, and promote innovators—particularly youth, women, and local leaders—who drive change in their systems. These champions serve as focal points for peer learning, policy dialogue, and capacity development. The PoD co-develops curriculum content on scaling science and systems transformation with universities and TVETs, embeds CGIAR scaling frameworks into institutional programs, and produces digital toolkits and training materials. By 2026, 5 organizations (including NARES and university partners) will be actively applying CGIAR scaling frameworks and running South–South learning exchanges. Accountable Center: IITA. Partners: NARES (ZARI, MwAPATA Institute), ASARECA, CCARDESA, private sector and university partners. Partner modality: In-kind collaboration for toolkit development, capacity building, and training delivery; no direct fund transfer. MELIA: Monitoring, evaluation, and learning plans will be developed in early 2026 in cooperation with the S4I PMU and/or AoW‑5, and where needed will include baseline assessments and indicator tracking and reporting in line with Program and CGIAR guidelines.</v>
      </c>
      <c r="E24" s="4" t="str">
        <v>custom</v>
      </c>
      <c r="F24" s="4" t="str">
        <v>Nigeria</v>
      </c>
      <c r="G24" s="5">
        <v>5</v>
      </c>
      <c r="H24" s="5">
        <v>15000</v>
      </c>
      <c r="I24" s="4" t="str">
        <v>5 – Five organizational partnerships established and applying scaling science frameworks by end-2026</v>
      </c>
      <c r="J24" s="4">
        <v>6065</v>
      </c>
    </row>
    <row r="25" ht="25" customHeight="1">
      <c r="C25" s="9" t="str">
        <v>HLO budget subtotal</v>
      </c>
      <c r="H25" s="9">
        <v>15000</v>
      </c>
      <c r="J25" s="9" t="str">
        <v/>
      </c>
    </row>
  </sheetData>
  <mergeCells count="17">
    <mergeCell ref="A1:A2"/>
    <mergeCell ref="B1:B2"/>
    <mergeCell ref="C1:C2"/>
    <mergeCell ref="D1:H1"/>
    <mergeCell ref="I1:I2"/>
    <mergeCell ref="J1:J2"/>
    <mergeCell ref="C5:G5"/>
    <mergeCell ref="A3:A5"/>
    <mergeCell ref="C7:G7"/>
    <mergeCell ref="A6:A7"/>
    <mergeCell ref="C9:G9"/>
    <mergeCell ref="A8:A9"/>
    <mergeCell ref="C10:C22"/>
    <mergeCell ref="C23:G23"/>
    <mergeCell ref="A10:A23"/>
    <mergeCell ref="C25:G25"/>
    <mergeCell ref="A24:A25"/>
  </mergeCells>
  <ignoredErrors>
    <ignoredError numberStoredAsText="1" sqref="A1:J25"/>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7"/>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IITA</v>
      </c>
      <c r="B2" s="4" t="str">
        <v>T-PJ-003517: Chicken, Fish and Pigs Feed and Organic Fertilizer Value Chain Development Using BSF-Based Urban Biowaste Processing in Ghana, Mali, Niger and the Democratic Republic of Congo</v>
      </c>
      <c r="C2" s="4" t="str">
        <v>HLO 2.2.3: Market, policy and behavior change innovations</v>
      </c>
      <c r="D2" s="5">
        <v>695710</v>
      </c>
      <c r="E2" s="4" t="str">
        <v>As per W3 and Bilateral mapping dashboard</v>
      </c>
      <c r="F2" s="4">
        <v>1161</v>
      </c>
    </row>
    <row r="3" ht="60" customHeight="1">
      <c r="A3" s="4" t="str">
        <v>IITA</v>
      </c>
      <c r="B3" s="4" t="str">
        <v>T-PJ-003763-IITA Accelerated Innovation Delivery Initiative</v>
      </c>
      <c r="C3" s="4" t="str">
        <v>HLO 2.2.2: Business models and market-led solutions</v>
      </c>
      <c r="D3" s="5">
        <v>0</v>
      </c>
      <c r="E3" s="4" t="str">
        <v/>
      </c>
      <c r="F3" s="4">
        <v>1154</v>
      </c>
    </row>
    <row r="4" ht="60" customHeight="1">
      <c r="A4" s="4" t="str">
        <v>IITA</v>
      </c>
      <c r="B4" s="4" t="str">
        <v>T-PJ-003772-TAAT Clearinghouse: Re-invest to Accelerate Innovation Adoption</v>
      </c>
      <c r="C4" s="4" t="str">
        <v>HLO 4.4.1: Technical assistance for financing for innovation scaling</v>
      </c>
      <c r="D4" s="5">
        <v>0</v>
      </c>
      <c r="E4" s="4" t="str">
        <v/>
      </c>
      <c r="F4" s="4">
        <v>1169</v>
      </c>
    </row>
    <row r="5" ht="60" customHeight="1">
      <c r="A5" s="4" t="str">
        <v>IITA</v>
      </c>
      <c r="B5" s="4" t="str">
        <v>T-PJ-003801-Cassava Value Chain Development to Support Food Security and the Bread Industry in DRC</v>
      </c>
      <c r="C5" s="4" t="str">
        <v>HLO 2.2.3: Market, policy and behavior change innovations</v>
      </c>
      <c r="D5" s="5">
        <v>769623</v>
      </c>
      <c r="E5" s="4" t="str">
        <v>As per W3 and Bilateral mapping dashboard</v>
      </c>
      <c r="F5" s="4">
        <v>1156</v>
      </c>
    </row>
    <row r="6" ht="60" customHeight="1">
      <c r="A6" s="4" t="str">
        <v>IITA</v>
      </c>
      <c r="B6" s="4" t="str">
        <v>T-PJ-003942-IITA Accelerated Innovation Delivery Initiative (AID-I) for Mozambique</v>
      </c>
      <c r="C6" s="4" t="str">
        <v>HLO 2.2.2: Business models and market-led solutions</v>
      </c>
      <c r="D6" s="5">
        <v>243649</v>
      </c>
      <c r="E6" s="4" t="str">
        <v>As per W3 and Bilateral mapping dashboard</v>
      </c>
      <c r="F6" s="4">
        <v>1155</v>
      </c>
    </row>
    <row r="7" ht="25" customHeight="1">
      <c r="B7" s="9" t="str">
        <v>W3/Bilateral budget subtotal</v>
      </c>
      <c r="D7" s="9">
        <v>1708982</v>
      </c>
      <c r="E7" s="9" t="str">
        <v/>
      </c>
      <c r="F7" s="9" t="str">
        <v/>
      </c>
    </row>
  </sheetData>
  <mergeCells count="2">
    <mergeCell ref="B7:C7"/>
    <mergeCell ref="A2:A7"/>
  </mergeCells>
  <ignoredErrors>
    <ignoredError numberStoredAsText="1" sqref="A1:F7"/>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IITA</v>
      </c>
      <c r="C2" s="4" t="str">
        <v>Area of Work Leads</v>
      </c>
      <c r="D2" s="5">
        <v>90184</v>
      </c>
      <c r="E2" s="4" t="str">
        <v>Q1 2026 FTE costs for Transitional Area of Work (AoW) Leaders at $6000 per leader and AoW4 Lead</v>
      </c>
      <c r="F2" s="4">
        <v>176</v>
      </c>
      <c r="G2" s="4">
        <v>3</v>
      </c>
    </row>
    <row r="3" ht="25" customHeight="1">
      <c r="C3" s="9" t="str">
        <v>Cross-cutting budget subtotal</v>
      </c>
      <c r="D3" s="9">
        <v>90184</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90184</v>
      </c>
      <c r="C2" s="5">
        <v>130000</v>
      </c>
      <c r="D2" s="5">
        <v>22000</v>
      </c>
      <c r="E2" s="5">
        <v>40635</v>
      </c>
      <c r="F2" s="5">
        <v>1070451</v>
      </c>
      <c r="G2" s="5">
        <v>15000</v>
      </c>
      <c r="H2" s="5">
        <f>=SUM(B2:G2)</f>
        <v>0</v>
      </c>
    </row>
    <row r="3" ht="20" customHeight="1">
      <c r="A3" s="4" t="str">
        <v>Operations (supplies, consultants, travels, workshops, other)</v>
      </c>
      <c r="B3" s="5">
        <v>0</v>
      </c>
      <c r="C3" s="5">
        <v>75585</v>
      </c>
      <c r="D3" s="5">
        <v>11000</v>
      </c>
      <c r="E3" s="5">
        <v>19365</v>
      </c>
      <c r="F3" s="5">
        <v>347300</v>
      </c>
      <c r="G3" s="5">
        <v>0</v>
      </c>
      <c r="H3" s="5">
        <f>=SUM(B3:G3)</f>
        <v>0</v>
      </c>
    </row>
    <row r="4" ht="20" customHeight="1">
      <c r="A4" s="6" t="str">
        <v>Subtotal</v>
      </c>
      <c r="B4" s="7">
        <f>=SUM(B2:B3)</f>
        <v>0</v>
      </c>
      <c r="C4" s="7">
        <f>=SUM(C2:C3)</f>
        <v>0</v>
      </c>
      <c r="D4" s="7">
        <f>=SUM(D2:D3)</f>
        <v>0</v>
      </c>
      <c r="E4" s="7">
        <f>=SUM(E2:E3)</f>
        <v>0</v>
      </c>
      <c r="F4" s="7">
        <f>=SUM(F2:F3)</f>
        <v>0</v>
      </c>
      <c r="G4" s="7">
        <f>=SUM(G2:G3)</f>
        <v>0</v>
      </c>
      <c r="H4" s="7">
        <f>=SUM(H2:H3)</f>
        <v>0</v>
      </c>
    </row>
  </sheetData>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E39"/>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IITA</v>
      </c>
      <c r="C2" s="4" t="str">
        <v>Benin</v>
      </c>
      <c r="D2" s="5">
        <v>100</v>
      </c>
      <c r="E2" s="4">
        <v>3067</v>
      </c>
    </row>
    <row r="3" ht="45" customHeight="1">
      <c r="A3" s="8" t="str">
        <v>AOW01: Engage and Empower</v>
      </c>
      <c r="B3" s="4" t="str">
        <v>IITA</v>
      </c>
      <c r="C3" s="4" t="str">
        <v>Nigeria</v>
      </c>
      <c r="D3" s="5">
        <v>50</v>
      </c>
      <c r="E3" s="4">
        <v>95</v>
      </c>
    </row>
    <row r="4" ht="45" customHeight="1">
      <c r="A4" s="4" t="str">
        <v>AOW01: Engage and Empower</v>
      </c>
      <c r="B4" s="4" t="str">
        <v>IITA</v>
      </c>
      <c r="C4" s="4" t="str">
        <v>Zambia</v>
      </c>
      <c r="D4" s="5">
        <v>50</v>
      </c>
      <c r="E4" s="4">
        <v>96</v>
      </c>
    </row>
    <row r="5" ht="45" customHeight="1">
      <c r="A5" s="8" t="str">
        <v>AOW02: Grand Challenges and Scaling Flagships</v>
      </c>
      <c r="B5" s="4" t="str">
        <v>IITA</v>
      </c>
      <c r="C5" s="4" t="str">
        <v>Nigeria</v>
      </c>
      <c r="D5" s="5">
        <v>100</v>
      </c>
      <c r="E5" s="4">
        <v>3070</v>
      </c>
    </row>
    <row r="6" ht="45" customHeight="1">
      <c r="A6" s="8" t="str">
        <v>AOW03: Enabling Environment Lab</v>
      </c>
      <c r="B6" s="4" t="str">
        <v>IITA</v>
      </c>
      <c r="C6" s="4" t="str">
        <v>Zambia</v>
      </c>
      <c r="D6" s="5">
        <v>100</v>
      </c>
      <c r="E6" s="4">
        <v>1225</v>
      </c>
    </row>
    <row r="7" ht="45" customHeight="1">
      <c r="A7" s="8" t="str">
        <v>AOW04: Achieving Impact by Unlocking Finance and Partnerships</v>
      </c>
      <c r="B7" s="4" t="str">
        <v>IITA</v>
      </c>
      <c r="C7" s="4" t="str">
        <v>Angola</v>
      </c>
      <c r="D7" s="5">
        <v>3</v>
      </c>
      <c r="E7" s="4">
        <v>1782</v>
      </c>
    </row>
    <row r="8" ht="45" customHeight="1">
      <c r="A8" s="4" t="str">
        <v>AOW04: Achieving Impact by Unlocking Finance and Partnerships</v>
      </c>
      <c r="B8" s="4" t="str">
        <v>IITA</v>
      </c>
      <c r="C8" s="4" t="str">
        <v>Bangladesh</v>
      </c>
      <c r="D8" s="5">
        <v>3</v>
      </c>
      <c r="E8" s="4">
        <v>1783</v>
      </c>
    </row>
    <row r="9" ht="45" customHeight="1">
      <c r="A9" s="4" t="str">
        <v>AOW04: Achieving Impact by Unlocking Finance and Partnerships</v>
      </c>
      <c r="B9" s="4" t="str">
        <v>IITA</v>
      </c>
      <c r="C9" s="4" t="str">
        <v>Benin</v>
      </c>
      <c r="D9" s="5">
        <v>3</v>
      </c>
      <c r="E9" s="4">
        <v>1785</v>
      </c>
    </row>
    <row r="10" ht="45" customHeight="1">
      <c r="A10" s="4" t="str">
        <v>AOW04: Achieving Impact by Unlocking Finance and Partnerships</v>
      </c>
      <c r="B10" s="4" t="str">
        <v>IITA</v>
      </c>
      <c r="C10" s="4" t="str">
        <v>Burkina Faso</v>
      </c>
      <c r="D10" s="5">
        <v>3</v>
      </c>
      <c r="E10" s="4">
        <v>1784</v>
      </c>
    </row>
    <row r="11" ht="45" customHeight="1">
      <c r="A11" s="4" t="str">
        <v>AOW04: Achieving Impact by Unlocking Finance and Partnerships</v>
      </c>
      <c r="B11" s="4" t="str">
        <v>IITA</v>
      </c>
      <c r="C11" s="4" t="str">
        <v>Central African Republic</v>
      </c>
      <c r="D11" s="5">
        <v>3</v>
      </c>
      <c r="E11" s="4">
        <v>1786</v>
      </c>
    </row>
    <row r="12" ht="45" customHeight="1">
      <c r="A12" s="4" t="str">
        <v>AOW04: Achieving Impact by Unlocking Finance and Partnerships</v>
      </c>
      <c r="B12" s="4" t="str">
        <v>IITA</v>
      </c>
      <c r="C12" s="4" t="str">
        <v>Chad</v>
      </c>
      <c r="D12" s="5">
        <v>3</v>
      </c>
      <c r="E12" s="4">
        <v>1787</v>
      </c>
    </row>
    <row r="13" ht="45" customHeight="1">
      <c r="A13" s="4" t="str">
        <v>AOW04: Achieving Impact by Unlocking Finance and Partnerships</v>
      </c>
      <c r="B13" s="4" t="str">
        <v>IITA</v>
      </c>
      <c r="C13" s="4" t="str">
        <v>Comoros</v>
      </c>
      <c r="D13" s="5">
        <v>3</v>
      </c>
      <c r="E13" s="4">
        <v>1788</v>
      </c>
    </row>
    <row r="14" ht="45" customHeight="1">
      <c r="A14" s="4" t="str">
        <v>AOW04: Achieving Impact by Unlocking Finance and Partnerships</v>
      </c>
      <c r="B14" s="4" t="str">
        <v>IITA</v>
      </c>
      <c r="C14" s="4" t="str">
        <v>Côte d'Ivoire</v>
      </c>
      <c r="D14" s="5">
        <v>3</v>
      </c>
      <c r="E14" s="4">
        <v>1789</v>
      </c>
    </row>
    <row r="15" ht="45" customHeight="1">
      <c r="A15" s="4" t="str">
        <v>AOW04: Achieving Impact by Unlocking Finance and Partnerships</v>
      </c>
      <c r="B15" s="4" t="str">
        <v>IITA</v>
      </c>
      <c r="C15" s="4" t="str">
        <v>Ethiopia</v>
      </c>
      <c r="D15" s="5">
        <v>3</v>
      </c>
      <c r="E15" s="4">
        <v>1790</v>
      </c>
    </row>
    <row r="16" ht="45" customHeight="1">
      <c r="A16" s="4" t="str">
        <v>AOW04: Achieving Impact by Unlocking Finance and Partnerships</v>
      </c>
      <c r="B16" s="4" t="str">
        <v>IITA</v>
      </c>
      <c r="C16" s="4" t="str">
        <v>Gambia</v>
      </c>
      <c r="D16" s="5">
        <v>3</v>
      </c>
      <c r="E16" s="4">
        <v>1791</v>
      </c>
    </row>
    <row r="17" ht="45" customHeight="1">
      <c r="A17" s="4" t="str">
        <v>AOW04: Achieving Impact by Unlocking Finance and Partnerships</v>
      </c>
      <c r="B17" s="4" t="str">
        <v>IITA</v>
      </c>
      <c r="C17" s="4" t="str">
        <v>Ghana</v>
      </c>
      <c r="D17" s="5">
        <v>3</v>
      </c>
      <c r="E17" s="4">
        <v>1792</v>
      </c>
    </row>
    <row r="18" ht="45" customHeight="1">
      <c r="A18" s="4" t="str">
        <v>AOW04: Achieving Impact by Unlocking Finance and Partnerships</v>
      </c>
      <c r="B18" s="4" t="str">
        <v>IITA</v>
      </c>
      <c r="C18" s="4" t="str">
        <v>Guatemala</v>
      </c>
      <c r="D18" s="5">
        <v>3</v>
      </c>
      <c r="E18" s="4">
        <v>1793</v>
      </c>
    </row>
    <row r="19" ht="45" customHeight="1">
      <c r="A19" s="4" t="str">
        <v>AOW04: Achieving Impact by Unlocking Finance and Partnerships</v>
      </c>
      <c r="B19" s="4" t="str">
        <v>IITA</v>
      </c>
      <c r="C19" s="4" t="str">
        <v>Guinea</v>
      </c>
      <c r="D19" s="5">
        <v>3</v>
      </c>
      <c r="E19" s="4">
        <v>1794</v>
      </c>
    </row>
    <row r="20" ht="45" customHeight="1">
      <c r="A20" s="4" t="str">
        <v>AOW04: Achieving Impact by Unlocking Finance and Partnerships</v>
      </c>
      <c r="B20" s="4" t="str">
        <v>IITA</v>
      </c>
      <c r="C20" s="4" t="str">
        <v>Guinea-Bissau</v>
      </c>
      <c r="D20" s="5">
        <v>3</v>
      </c>
      <c r="E20" s="4">
        <v>1795</v>
      </c>
    </row>
    <row r="21" ht="45" customHeight="1">
      <c r="A21" s="4" t="str">
        <v>AOW04: Achieving Impact by Unlocking Finance and Partnerships</v>
      </c>
      <c r="B21" s="4" t="str">
        <v>IITA</v>
      </c>
      <c r="C21" s="4" t="str">
        <v>India</v>
      </c>
      <c r="D21" s="5">
        <v>3</v>
      </c>
      <c r="E21" s="4">
        <v>1796</v>
      </c>
    </row>
    <row r="22" ht="45" customHeight="1">
      <c r="A22" s="4" t="str">
        <v>AOW04: Achieving Impact by Unlocking Finance and Partnerships</v>
      </c>
      <c r="B22" s="4" t="str">
        <v>IITA</v>
      </c>
      <c r="C22" s="4" t="str">
        <v>Kenya</v>
      </c>
      <c r="D22" s="5">
        <v>3</v>
      </c>
      <c r="E22" s="4">
        <v>1797</v>
      </c>
    </row>
    <row r="23" ht="45" customHeight="1">
      <c r="A23" s="4" t="str">
        <v>AOW04: Achieving Impact by Unlocking Finance and Partnerships</v>
      </c>
      <c r="B23" s="4" t="str">
        <v>IITA</v>
      </c>
      <c r="C23" s="4" t="str">
        <v>Liberia</v>
      </c>
      <c r="D23" s="5">
        <v>3</v>
      </c>
      <c r="E23" s="4">
        <v>1798</v>
      </c>
    </row>
    <row r="24" ht="45" customHeight="1">
      <c r="A24" s="4" t="str">
        <v>AOW04: Achieving Impact by Unlocking Finance and Partnerships</v>
      </c>
      <c r="B24" s="4" t="str">
        <v>IITA</v>
      </c>
      <c r="C24" s="4" t="str">
        <v>Malawi</v>
      </c>
      <c r="D24" s="5">
        <v>3</v>
      </c>
      <c r="E24" s="4">
        <v>1799</v>
      </c>
    </row>
    <row r="25" ht="45" customHeight="1">
      <c r="A25" s="4" t="str">
        <v>AOW04: Achieving Impact by Unlocking Finance and Partnerships</v>
      </c>
      <c r="B25" s="4" t="str">
        <v>IITA</v>
      </c>
      <c r="C25" s="4" t="str">
        <v>Mali</v>
      </c>
      <c r="D25" s="5">
        <v>3</v>
      </c>
      <c r="E25" s="4">
        <v>1800</v>
      </c>
    </row>
    <row r="26" ht="45" customHeight="1">
      <c r="A26" s="4" t="str">
        <v>AOW04: Achieving Impact by Unlocking Finance and Partnerships</v>
      </c>
      <c r="B26" s="4" t="str">
        <v>IITA</v>
      </c>
      <c r="C26" s="4" t="str">
        <v>Mozambique</v>
      </c>
      <c r="D26" s="5">
        <v>3</v>
      </c>
      <c r="E26" s="4">
        <v>1801</v>
      </c>
    </row>
    <row r="27" ht="45" customHeight="1">
      <c r="A27" s="4" t="str">
        <v>AOW04: Achieving Impact by Unlocking Finance and Partnerships</v>
      </c>
      <c r="B27" s="4" t="str">
        <v>IITA</v>
      </c>
      <c r="C27" s="4" t="str">
        <v>Niger</v>
      </c>
      <c r="D27" s="5">
        <v>3</v>
      </c>
      <c r="E27" s="4">
        <v>1802</v>
      </c>
    </row>
    <row r="28" ht="45" customHeight="1">
      <c r="A28" s="4" t="str">
        <v>AOW04: Achieving Impact by Unlocking Finance and Partnerships</v>
      </c>
      <c r="B28" s="4" t="str">
        <v>IITA</v>
      </c>
      <c r="C28" s="4" t="str">
        <v>Nigeria</v>
      </c>
      <c r="D28" s="5">
        <v>3</v>
      </c>
      <c r="E28" s="4">
        <v>1803</v>
      </c>
    </row>
    <row r="29" ht="45" customHeight="1">
      <c r="A29" s="4" t="str">
        <v>AOW04: Achieving Impact by Unlocking Finance and Partnerships</v>
      </c>
      <c r="B29" s="4" t="str">
        <v>IITA</v>
      </c>
      <c r="C29" s="4" t="str">
        <v>Rwanda</v>
      </c>
      <c r="D29" s="5">
        <v>3</v>
      </c>
      <c r="E29" s="4">
        <v>1804</v>
      </c>
    </row>
    <row r="30" ht="45" customHeight="1">
      <c r="A30" s="4" t="str">
        <v>AOW04: Achieving Impact by Unlocking Finance and Partnerships</v>
      </c>
      <c r="B30" s="4" t="str">
        <v>IITA</v>
      </c>
      <c r="C30" s="4" t="str">
        <v>Senegal</v>
      </c>
      <c r="D30" s="5">
        <v>3</v>
      </c>
      <c r="E30" s="4">
        <v>1805</v>
      </c>
    </row>
    <row r="31" ht="45" customHeight="1">
      <c r="A31" s="4" t="str">
        <v>AOW04: Achieving Impact by Unlocking Finance and Partnerships</v>
      </c>
      <c r="B31" s="4" t="str">
        <v>IITA</v>
      </c>
      <c r="C31" s="4" t="str">
        <v>Sierra Leone</v>
      </c>
      <c r="D31" s="5">
        <v>3</v>
      </c>
      <c r="E31" s="4">
        <v>1806</v>
      </c>
    </row>
    <row r="32" ht="45" customHeight="1">
      <c r="A32" s="4" t="str">
        <v>AOW04: Achieving Impact by Unlocking Finance and Partnerships</v>
      </c>
      <c r="B32" s="4" t="str">
        <v>IITA</v>
      </c>
      <c r="C32" s="4" t="str">
        <v>Somalia</v>
      </c>
      <c r="D32" s="5">
        <v>3</v>
      </c>
      <c r="E32" s="4">
        <v>1807</v>
      </c>
    </row>
    <row r="33" ht="45" customHeight="1">
      <c r="A33" s="4" t="str">
        <v>AOW04: Achieving Impact by Unlocking Finance and Partnerships</v>
      </c>
      <c r="B33" s="4" t="str">
        <v>IITA</v>
      </c>
      <c r="C33" s="4" t="str">
        <v>Tanzania</v>
      </c>
      <c r="D33" s="5">
        <v>3</v>
      </c>
      <c r="E33" s="4">
        <v>1808</v>
      </c>
    </row>
    <row r="34" ht="45" customHeight="1">
      <c r="A34" s="4" t="str">
        <v>AOW04: Achieving Impact by Unlocking Finance and Partnerships</v>
      </c>
      <c r="B34" s="4" t="str">
        <v>IITA</v>
      </c>
      <c r="C34" s="4" t="str">
        <v>The Democratic Republic of the Congo</v>
      </c>
      <c r="D34" s="5">
        <v>3</v>
      </c>
      <c r="E34" s="4">
        <v>1809</v>
      </c>
    </row>
    <row r="35" ht="45" customHeight="1">
      <c r="A35" s="4" t="str">
        <v>AOW04: Achieving Impact by Unlocking Finance and Partnerships</v>
      </c>
      <c r="B35" s="4" t="str">
        <v>IITA</v>
      </c>
      <c r="C35" s="4" t="str">
        <v>Togo</v>
      </c>
      <c r="D35" s="5">
        <v>4</v>
      </c>
      <c r="E35" s="4">
        <v>1810</v>
      </c>
    </row>
    <row r="36" ht="45" customHeight="1">
      <c r="A36" s="4" t="str">
        <v>AOW04: Achieving Impact by Unlocking Finance and Partnerships</v>
      </c>
      <c r="B36" s="4" t="str">
        <v>IITA</v>
      </c>
      <c r="C36" s="4" t="str">
        <v>United Republic</v>
      </c>
      <c r="D36" s="5">
        <v>4</v>
      </c>
      <c r="E36" s="4">
        <v>1811</v>
      </c>
    </row>
    <row r="37" ht="45" customHeight="1">
      <c r="A37" s="4" t="str">
        <v>AOW04: Achieving Impact by Unlocking Finance and Partnerships</v>
      </c>
      <c r="B37" s="4" t="str">
        <v>IITA</v>
      </c>
      <c r="C37" s="4" t="str">
        <v>Zambia</v>
      </c>
      <c r="D37" s="5">
        <v>4</v>
      </c>
      <c r="E37" s="4">
        <v>1812</v>
      </c>
    </row>
    <row r="38" ht="45" customHeight="1">
      <c r="A38" s="4" t="str">
        <v>AOW04: Achieving Impact by Unlocking Finance and Partnerships</v>
      </c>
      <c r="B38" s="4" t="str">
        <v>IITA</v>
      </c>
      <c r="C38" s="4" t="str">
        <v>Zimbabwe</v>
      </c>
      <c r="D38" s="5">
        <v>4</v>
      </c>
      <c r="E38" s="4">
        <v>1813</v>
      </c>
    </row>
    <row r="39" ht="45" customHeight="1">
      <c r="A39" s="8" t="str">
        <v>AOW05: Learning for Impact</v>
      </c>
      <c r="B39" s="4" t="str">
        <v>IITA</v>
      </c>
      <c r="C39" s="4" t="str">
        <v>Nigeria</v>
      </c>
      <c r="D39" s="5">
        <v>100</v>
      </c>
      <c r="E39" s="4">
        <v>1589</v>
      </c>
    </row>
  </sheetData>
  <mergeCells count="6">
    <mergeCell ref="A2"/>
    <mergeCell ref="A3:A4"/>
    <mergeCell ref="A5"/>
    <mergeCell ref="A6"/>
    <mergeCell ref="A7:A38"/>
    <mergeCell ref="A39"/>
  </mergeCells>
  <ignoredErrors>
    <ignoredError numberStoredAsText="1" sqref="A1:E39"/>
  </ignoredErrors>
</worksheet>
</file>

<file path=xl/worksheets/sheet9.xml><?xml version="1.0" encoding="utf-8"?>
<worksheet xmlns="http://schemas.openxmlformats.org/spreadsheetml/2006/main" xmlns:r="http://schemas.openxmlformats.org/officeDocument/2006/relationships">
  <dimension ref="A1:F9"/>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IITA</v>
      </c>
      <c r="C2" s="4" t="str">
        <v>Global</v>
      </c>
      <c r="D2" s="4" t="str">
        <v>global</v>
      </c>
      <c r="E2" s="5">
        <v>70</v>
      </c>
      <c r="F2" s="4">
        <v>1208</v>
      </c>
    </row>
    <row r="3" ht="45" customHeight="1">
      <c r="A3" s="4" t="str">
        <v>AOW00: Cross Cutting</v>
      </c>
      <c r="B3" s="4" t="str">
        <v>IITA</v>
      </c>
      <c r="C3" s="4" t="str">
        <v>Benin</v>
      </c>
      <c r="D3" s="4" t="str">
        <v>country</v>
      </c>
      <c r="E3" s="5">
        <v>30</v>
      </c>
      <c r="F3" s="4">
        <v>1209</v>
      </c>
    </row>
    <row r="4" ht="45" customHeight="1">
      <c r="A4" s="8" t="str">
        <v>AOW01: Engage and Empower</v>
      </c>
      <c r="B4" s="4" t="str">
        <v>IITA</v>
      </c>
      <c r="C4" s="4" t="str">
        <v>Niger</v>
      </c>
      <c r="D4" s="4" t="str">
        <v>country</v>
      </c>
      <c r="E4" s="5">
        <v>50</v>
      </c>
      <c r="F4" s="4">
        <v>106</v>
      </c>
    </row>
    <row r="5" ht="45" customHeight="1">
      <c r="A5" s="4" t="str">
        <v>AOW01: Engage and Empower</v>
      </c>
      <c r="B5" s="4" t="str">
        <v>IITA</v>
      </c>
      <c r="C5" s="4" t="str">
        <v>Zambia</v>
      </c>
      <c r="D5" s="4" t="str">
        <v>country</v>
      </c>
      <c r="E5" s="5">
        <v>50</v>
      </c>
      <c r="F5" s="4">
        <v>107</v>
      </c>
    </row>
    <row r="6" ht="45" customHeight="1">
      <c r="A6" s="8" t="str">
        <v>AOW02: Grand Challenges and Scaling Flagships</v>
      </c>
      <c r="B6" s="4" t="str">
        <v>IITA</v>
      </c>
      <c r="C6" s="4" t="str">
        <v>Nigeria</v>
      </c>
      <c r="D6" s="4" t="str">
        <v>country</v>
      </c>
      <c r="E6" s="5">
        <v>100</v>
      </c>
      <c r="F6" s="4">
        <v>1210</v>
      </c>
    </row>
    <row r="7" ht="45" customHeight="1">
      <c r="A7" s="8" t="str">
        <v>AOW03: Enabling Environment Lab</v>
      </c>
      <c r="B7" s="4" t="str">
        <v>IITA</v>
      </c>
      <c r="C7" s="4" t="str">
        <v>Zambia</v>
      </c>
      <c r="D7" s="4" t="str">
        <v>country</v>
      </c>
      <c r="E7" s="5">
        <v>100</v>
      </c>
      <c r="F7" s="4">
        <v>427</v>
      </c>
    </row>
    <row r="8" ht="45" customHeight="1">
      <c r="A8" s="8" t="str">
        <v>AOW04: Achieving Impact by Unlocking Finance and Partnerships</v>
      </c>
      <c r="B8" s="4" t="str">
        <v>IITA</v>
      </c>
      <c r="C8" s="4" t="str">
        <v>Global</v>
      </c>
      <c r="D8" s="4" t="str">
        <v>global</v>
      </c>
      <c r="E8" s="5">
        <v>100</v>
      </c>
      <c r="F8" s="4">
        <v>637</v>
      </c>
    </row>
    <row r="9" ht="45" customHeight="1">
      <c r="A9" s="8" t="str">
        <v>AOW05: Learning for Impact</v>
      </c>
      <c r="B9" s="4" t="str">
        <v>IITA</v>
      </c>
      <c r="C9" s="4" t="str">
        <v>Global</v>
      </c>
      <c r="D9" s="4" t="str">
        <v>global</v>
      </c>
      <c r="E9" s="5">
        <v>100</v>
      </c>
      <c r="F9" s="4">
        <v>563</v>
      </c>
    </row>
  </sheetData>
  <mergeCells count="6">
    <mergeCell ref="A2:A3"/>
    <mergeCell ref="A4:A5"/>
    <mergeCell ref="A6"/>
    <mergeCell ref="A7"/>
    <mergeCell ref="A8"/>
    <mergeCell ref="A9"/>
  </mergeCells>
  <ignoredErrors>
    <ignoredError numberStoredAsText="1" sqref="A1:F9"/>
  </ignoredErrors>
</worksheet>
</file>

<file path=xl/worksheets/sheet10.xml><?xml version="1.0" encoding="utf-8"?>
<worksheet xmlns="http://schemas.openxmlformats.org/spreadsheetml/2006/main" xmlns:r="http://schemas.openxmlformats.org/officeDocument/2006/relationships">
  <dimension ref="A1:E108"/>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Engage and Empower</v>
      </c>
      <c r="B2" s="4" t="str">
        <v xml:space="preserve">Sustainable Farming </v>
      </c>
      <c r="C2" s="4" t="str">
        <v>HLO 1.1.2: Data and guidance for adaptive management</v>
      </c>
      <c r="D2" s="4" t="str">
        <v>Collaboration to develop relevant stakeholder feedback and evidence to strengthen adaptive management of research and scaling activities across the CGIAR Portfolio</v>
      </c>
      <c r="E2" s="4">
        <v>1077</v>
      </c>
    </row>
    <row r="3" ht="60" customHeight="1">
      <c r="A3" s="4" t="str">
        <v>AOW01: Engage and Empower</v>
      </c>
      <c r="B3" s="4" t="str">
        <v>Policy Innovations</v>
      </c>
      <c r="C3" s="4" t="str">
        <v>HLO 1.1.2: Data and guidance for adaptive management</v>
      </c>
      <c r="D3" s="4" t="str">
        <v>Collaboration to develop relevant stakeholder feedback and evidence to strengthen adaptive management of research and scaling activities across the CGIAR Portfolio</v>
      </c>
      <c r="E3" s="4">
        <v>1078</v>
      </c>
    </row>
    <row r="4" ht="60" customHeight="1">
      <c r="A4" s="4" t="str">
        <v>AOW01: Engage and Empower</v>
      </c>
      <c r="B4" s="4" t="str">
        <v>Capacity Sharing</v>
      </c>
      <c r="C4" s="4" t="str">
        <v>HLO 1.1.2: Data and guidance for adaptive management</v>
      </c>
      <c r="D4" s="4" t="str">
        <v>Collaboration to develop relevant stakeholder feedback and evidence to strengthen adaptive management of research and scaling activities across the CGIAR Portfolio</v>
      </c>
      <c r="E4" s="4">
        <v>1079</v>
      </c>
    </row>
    <row r="5" ht="60" customHeight="1">
      <c r="A5" s="4" t="str">
        <v>AOW01: Engage and Empower</v>
      </c>
      <c r="B5" s="4" t="str">
        <v>Capacity Sharing</v>
      </c>
      <c r="C5" s="4" t="str">
        <v>HLO 1.1.2: Data and guidance for adaptive management</v>
      </c>
      <c r="D5" s="4" t="str">
        <v>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v>
      </c>
      <c r="E5" s="4">
        <v>1080</v>
      </c>
    </row>
    <row r="6" ht="60" customHeight="1">
      <c r="A6" s="4" t="str">
        <v>AOW01: Engage and Empower</v>
      </c>
      <c r="B6" s="4" t="str">
        <v>Policy Innovations</v>
      </c>
      <c r="C6" s="4" t="str">
        <v>HLO 1.1.3: Strategies for research and scaling prioritization</v>
      </c>
      <c r="D6" s="4" t="str">
        <v>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6" s="4">
        <v>1081</v>
      </c>
    </row>
    <row r="7" ht="60" customHeight="1">
      <c r="A7" s="4" t="str">
        <v>AOW01: Engage and Empower</v>
      </c>
      <c r="B7" s="4" t="str">
        <v xml:space="preserve">Sustainable Farming </v>
      </c>
      <c r="C7" s="4" t="str">
        <v>HLO 1.1.2: Data and guidance for adaptive management</v>
      </c>
      <c r="D7" s="4" t="str">
        <v>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v>
      </c>
      <c r="E7" s="4">
        <v>1082</v>
      </c>
    </row>
    <row r="8" ht="60" customHeight="1">
      <c r="A8" s="4" t="str">
        <v>AOW01: Engage and Empower</v>
      </c>
      <c r="B8" s="4" t="str">
        <v xml:space="preserve">Sustainable Farming </v>
      </c>
      <c r="C8" s="4" t="str">
        <v>HLO 1.1.3: Strategies for research and scaling prioritization</v>
      </c>
      <c r="D8" s="4" t="str">
        <v>Joint inputs to improve regional and country strategies for stronger alignment and coordination.</v>
      </c>
      <c r="E8" s="4">
        <v>1083</v>
      </c>
    </row>
    <row r="9" ht="60" customHeight="1">
      <c r="A9" s="4" t="str">
        <v>AOW01: Engage and Empower</v>
      </c>
      <c r="B9" s="4" t="str">
        <v>Policy Innovations</v>
      </c>
      <c r="C9" s="4" t="str">
        <v>HLO 1.1.3: Strategies for research and scaling prioritization</v>
      </c>
      <c r="D9" s="4" t="str">
        <v>Joint inputs to improve regional and country strategies for stronger alignment and coordination.</v>
      </c>
      <c r="E9" s="4">
        <v>1084</v>
      </c>
    </row>
    <row r="10" ht="60" customHeight="1">
      <c r="A10" s="4" t="str">
        <v>AOW01: Engage and Empower</v>
      </c>
      <c r="B10" s="4" t="str">
        <v>Policy Innovations</v>
      </c>
      <c r="C10" s="4" t="str">
        <v>HLO 1.1.3: Strategies for research and scaling prioritization</v>
      </c>
      <c r="D10" s="4" t="str">
        <v>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v>
      </c>
      <c r="E10" s="4">
        <v>1085</v>
      </c>
    </row>
    <row r="11" ht="60" customHeight="1">
      <c r="A11" s="4" t="str">
        <v>AOW01: Engage and Empower</v>
      </c>
      <c r="B11" s="4" t="str">
        <v>Policy Innovations</v>
      </c>
      <c r="C11" s="4" t="str">
        <v>HLO 1.1.3: Strategies for research and scaling prioritization</v>
      </c>
      <c r="D11" s="4" t="str">
        <v>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v>
      </c>
      <c r="E11" s="4">
        <v>1086</v>
      </c>
    </row>
    <row r="12" ht="60" customHeight="1">
      <c r="A12" s="4" t="str">
        <v>AOW01: Engage and Empower</v>
      </c>
      <c r="B12" s="4" t="str">
        <v>Policy Innovations</v>
      </c>
      <c r="C12" s="4" t="str">
        <v>HLO 1.1.3: Strategies for research and scaling prioritization</v>
      </c>
      <c r="D12" s="4" t="str">
        <v>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v>
      </c>
      <c r="E12" s="4">
        <v>1087</v>
      </c>
    </row>
    <row r="13" ht="60" customHeight="1">
      <c r="A13" s="4" t="str">
        <v>AOW01: Engage and Empower</v>
      </c>
      <c r="B13" s="4" t="str">
        <v>Policy Innovations</v>
      </c>
      <c r="C13" s="4" t="str">
        <v>HLO 1.1.1: Demand intelligence system</v>
      </c>
      <c r="D13" s="4" t="str">
        <v>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13" s="4">
        <v>1088</v>
      </c>
    </row>
    <row r="14" ht="60" customHeight="1">
      <c r="A14" s="4" t="str">
        <v>AOW01: Engage and Empower</v>
      </c>
      <c r="B14" s="4" t="str">
        <v>Policy Innovations</v>
      </c>
      <c r="C14" s="4" t="str">
        <v>HLO 1.1.1: Demand intelligence system</v>
      </c>
      <c r="D14" s="4" t="str">
        <v>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4" s="4">
        <v>1089</v>
      </c>
    </row>
    <row r="15" ht="60" customHeight="1">
      <c r="A15" s="4" t="str">
        <v>AOW01: Engage and Empower</v>
      </c>
      <c r="B15" s="4" t="str">
        <v>Policy Innovations</v>
      </c>
      <c r="C15" s="4" t="str">
        <v>HLO 1.1.3: Strategies for research and scaling prioritization</v>
      </c>
      <c r="D15" s="4" t="str">
        <v>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5" s="4">
        <v>1090</v>
      </c>
    </row>
    <row r="16" ht="60" customHeight="1">
      <c r="A16" s="4" t="str">
        <v>AOW01: Engage and Empower</v>
      </c>
      <c r="B16" s="4" t="str">
        <v>Policy Innovations</v>
      </c>
      <c r="C16" s="4" t="str">
        <v>HLO 1.1.3: Strategies for research and scaling prioritization</v>
      </c>
      <c r="D16" s="4" t="str">
        <v>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6" s="4">
        <v>1091</v>
      </c>
    </row>
    <row r="17" ht="60" customHeight="1">
      <c r="A17" s="4" t="str">
        <v>AOW01: Engage and Empower</v>
      </c>
      <c r="B17" s="4" t="str">
        <v>Policy Innovations</v>
      </c>
      <c r="C17" s="4" t="str">
        <v>HLO 1.1.1: Demand intelligence system</v>
      </c>
      <c r="D17" s="4" t="str">
        <v>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7" s="4">
        <v>1092</v>
      </c>
    </row>
    <row r="18" ht="60" customHeight="1">
      <c r="A18" s="4" t="str">
        <v>AOW01: Engage and Empower</v>
      </c>
      <c r="B18" s="4" t="str">
        <v xml:space="preserve">Sustainable Farming </v>
      </c>
      <c r="C18" s="4" t="str">
        <v>HLO 1.1.1: Demand intelligence system</v>
      </c>
      <c r="D18" s="4" t="str">
        <v>Collaboration to provide insights and country evidence that sharpen tools and demand articulation dashboards and similar products for identifying stakeholder priorities.</v>
      </c>
      <c r="E18" s="4">
        <v>1120</v>
      </c>
    </row>
    <row r="19" ht="60" customHeight="1">
      <c r="A19" s="4" t="str">
        <v>AOW01: Engage and Empower</v>
      </c>
      <c r="B19" s="4" t="str">
        <v>Policy Innovations</v>
      </c>
      <c r="C19" s="4" t="str">
        <v>HLO 1.1.1: Demand intelligence system</v>
      </c>
      <c r="D19" s="4" t="str">
        <v>Collaboration to provide insights and country evidence that sharpen tools and demand articulation dashboards and similar products for identifying stakeholder priorities.</v>
      </c>
      <c r="E19" s="4">
        <v>1121</v>
      </c>
    </row>
    <row r="20" ht="60" customHeight="1">
      <c r="A20" s="4" t="str">
        <v>AOW01: Engage and Empower</v>
      </c>
      <c r="B20" s="4" t="str">
        <v xml:space="preserve">Digital Transformation </v>
      </c>
      <c r="C20" s="4" t="str">
        <v>HLO 1.1.1: Demand intelligence system</v>
      </c>
      <c r="D20" s="4" t="str">
        <v>Collaboration to provide insights and country evidence that sharpen tools and demand articulation dashboards and similar products for identifying stakeholder priorities.</v>
      </c>
      <c r="E20" s="4">
        <v>1122</v>
      </c>
    </row>
    <row r="21" ht="60" customHeight="1">
      <c r="A21" s="4" t="str">
        <v>AOW01: Engage and Empower</v>
      </c>
      <c r="B21" s="4" t="str">
        <v>Breeding for Tomorrow</v>
      </c>
      <c r="C21" s="4" t="str">
        <v>HLO 1.1.1: Demand intelligence system</v>
      </c>
      <c r="D21" s="4" t="str">
        <v>Collaboration to provide insights and country evidence that sharpen tools and demand articulation dashboards and similar products for identifying stakeholder priorities.</v>
      </c>
      <c r="E21" s="4">
        <v>1123</v>
      </c>
    </row>
    <row r="22" ht="60" customHeight="1">
      <c r="A22" s="4" t="str">
        <v>AOW01: Engage and Empower</v>
      </c>
      <c r="B22" s="4" t="str">
        <v>Better Diets and Nutrition</v>
      </c>
      <c r="C22" s="4" t="str">
        <v>HLO 1.1.1: Demand intelligence system</v>
      </c>
      <c r="D22" s="4" t="str">
        <v>Collaboration to provide insights and country evidence that sharpen tools and demand articulation dashboards and similar products for identifying stakeholder priorities.</v>
      </c>
      <c r="E22" s="4">
        <v>1124</v>
      </c>
    </row>
    <row r="23" ht="60" customHeight="1" xml:space="preserve">
      <c r="A23" s="4" t="str">
        <v>AOW01: Engage and Empower</v>
      </c>
      <c r="B23" s="4" t="str">
        <v xml:space="preserve">Digital Transformation </v>
      </c>
      <c r="C23" s="4" t="str">
        <v>HLO 1.1.1: Demand intelligence system</v>
      </c>
      <c r="D23" s="4" t="str" xml:space="preserve">
        <v xml:space="preserve">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v>
      </c>
      <c r="E23" s="4">
        <v>1125</v>
      </c>
    </row>
    <row r="24" ht="60" customHeight="1">
      <c r="A24" s="4" t="str">
        <v>AOW01: Engage and Empower</v>
      </c>
      <c r="B24" s="4" t="str">
        <v xml:space="preserve">Digital Transformation </v>
      </c>
      <c r="C24" s="4" t="str">
        <v>HLO 1.1.1: Demand intelligence system</v>
      </c>
      <c r="D24" s="4" t="str">
        <v>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v>
      </c>
      <c r="E24" s="4">
        <v>1126</v>
      </c>
    </row>
    <row r="25" ht="60" customHeight="1" xml:space="preserve">
      <c r="A25" s="4" t="str">
        <v>AOW01: Engage and Empower</v>
      </c>
      <c r="B25" s="4" t="str">
        <v xml:space="preserve">Digital Transformation </v>
      </c>
      <c r="C25" s="4" t="str">
        <v>HLO 1.1.1: Demand intelligence system</v>
      </c>
      <c r="D25" s="4" t="str" xml:space="preserve">
        <v xml:space="preserve">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v>
      </c>
      <c r="E25" s="4">
        <v>1127</v>
      </c>
    </row>
    <row r="26" ht="60" customHeight="1">
      <c r="A26" s="4" t="str">
        <v>AOW01: Engage and Empower</v>
      </c>
      <c r="B26" s="4" t="str">
        <v>Policy Innovations</v>
      </c>
      <c r="C26" s="4" t="str">
        <v>HLO 1.1.1: Demand intelligence system</v>
      </c>
      <c r="D26" s="4" t="str">
        <v>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v>
      </c>
      <c r="E26" s="4">
        <v>1128</v>
      </c>
    </row>
    <row r="27" ht="60" customHeight="1">
      <c r="A27" s="4" t="str">
        <v>AOW01: Engage and Empower</v>
      </c>
      <c r="B27" s="4" t="str">
        <v>Policy Innovations</v>
      </c>
      <c r="C27" s="4" t="str">
        <v>HLO 1.1.3: Strategies for research and scaling prioritization</v>
      </c>
      <c r="D27" s="4" t="str">
        <v>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v>
      </c>
      <c r="E27" s="4">
        <v>1129</v>
      </c>
    </row>
    <row r="28" ht="60" customHeight="1">
      <c r="A28" s="4" t="str">
        <v>AOW01: Engage and Empower</v>
      </c>
      <c r="B28" s="4" t="str">
        <v>Policy Innovations</v>
      </c>
      <c r="C28" s="4" t="str">
        <v>HLO 1.1.3: Strategies for research and scaling prioritization</v>
      </c>
      <c r="D28" s="4" t="str">
        <v>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v>
      </c>
      <c r="E28" s="4">
        <v>1130</v>
      </c>
    </row>
    <row r="29" ht="60" customHeight="1">
      <c r="A29" s="4" t="str">
        <v>AOW01: Engage and Empower</v>
      </c>
      <c r="B29" s="4" t="str">
        <v>Breeding for Tomorrow</v>
      </c>
      <c r="C29" s="4" t="str">
        <v>HLO 1.1.1: Demand intelligence system</v>
      </c>
      <c r="D29" s="4" t="str">
        <v>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v>
      </c>
      <c r="E29" s="4">
        <v>1131</v>
      </c>
    </row>
    <row r="30" ht="60" customHeight="1">
      <c r="A30" s="4" t="str">
        <v>AOW01: Engage and Empower</v>
      </c>
      <c r="B30" s="4" t="str">
        <v xml:space="preserve">Sustainable Farming </v>
      </c>
      <c r="C30" s="4" t="str">
        <v>HLO 1.1.1: Demand intelligence system</v>
      </c>
      <c r="D30" s="4" t="str">
        <v>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v>
      </c>
      <c r="E30" s="4">
        <v>1132</v>
      </c>
    </row>
    <row r="31" ht="60" customHeight="1" xml:space="preserve">
      <c r="A31" s="4" t="str">
        <v>AOW01: Engage and Empower</v>
      </c>
      <c r="B31" s="4" t="str">
        <v>Policy Innovations</v>
      </c>
      <c r="C31" s="4" t="str">
        <v>HLO 1.1.3: Strategies for research and scaling prioritization</v>
      </c>
      <c r="D31" s="4" t="str" xml:space="preserve">
        <v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v>
      </c>
      <c r="E31" s="4">
        <v>1133</v>
      </c>
    </row>
    <row r="32" ht="60" customHeight="1">
      <c r="A32" s="4" t="str">
        <v>AOW01: Engage and Empower</v>
      </c>
      <c r="B32" s="4" t="str">
        <v>Policy Innovations</v>
      </c>
      <c r="C32" s="4" t="str">
        <v>HLO 1.1.3: Strategies for research and scaling prioritization</v>
      </c>
      <c r="D32" s="4" t="str">
        <v>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v>
      </c>
      <c r="E32" s="4">
        <v>1134</v>
      </c>
    </row>
    <row r="33" ht="60" customHeight="1">
      <c r="A33" s="4" t="str">
        <v>AOW01: Engage and Empower</v>
      </c>
      <c r="B33" s="4" t="str">
        <v>Policy Innovations</v>
      </c>
      <c r="C33" s="4" t="str">
        <v>HLO 1.1.1: Demand intelligence system</v>
      </c>
      <c r="D33" s="4" t="str">
        <v>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v>
      </c>
      <c r="E33" s="4">
        <v>1135</v>
      </c>
    </row>
    <row r="34" ht="60" customHeight="1">
      <c r="A34" s="4" t="str">
        <v>AOW01: Engage and Empower</v>
      </c>
      <c r="B34" s="4" t="str">
        <v>Policy Innovations</v>
      </c>
      <c r="C34" s="4" t="str">
        <v>HLO 1.1.1: Demand intelligence system</v>
      </c>
      <c r="D34" s="4" t="str">
        <v>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v>
      </c>
      <c r="E34" s="4">
        <v>1136</v>
      </c>
    </row>
    <row r="35" ht="60" customHeight="1">
      <c r="A35" s="4" t="str">
        <v>AOW01: Engage and Empower</v>
      </c>
      <c r="B35" s="4" t="str">
        <v>Policy Innovations</v>
      </c>
      <c r="C35" s="4" t="str">
        <v>HLO 1.1.1: Demand intelligence system</v>
      </c>
      <c r="D35" s="4" t="str">
        <v>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v>
      </c>
      <c r="E35" s="4">
        <v>1137</v>
      </c>
    </row>
    <row r="36" ht="60" customHeight="1">
      <c r="A36" s="4" t="str">
        <v>AOW01: Engage and Empower</v>
      </c>
      <c r="B36" s="4" t="str">
        <v>Policy Innovations</v>
      </c>
      <c r="C36" s="4" t="str">
        <v>HLO 1.1.1: Demand intelligence system</v>
      </c>
      <c r="D36" s="4" t="str">
        <v>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36" s="4">
        <v>1138</v>
      </c>
    </row>
    <row r="37" ht="60" customHeight="1">
      <c r="A37" s="4" t="str">
        <v>AOW01: Engage and Empower</v>
      </c>
      <c r="B37" s="4" t="str">
        <v>Policy Innovations</v>
      </c>
      <c r="C37" s="4" t="str">
        <v>HLO 1.1.1: Demand intelligence system</v>
      </c>
      <c r="D37" s="4" t="str">
        <v>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v>
      </c>
      <c r="E37" s="4">
        <v>1139</v>
      </c>
    </row>
    <row r="38" ht="60" customHeight="1">
      <c r="A38" s="8" t="str">
        <v>AOW02: Grand Challenges and Scaling Flagships</v>
      </c>
      <c r="B38" s="4" t="str">
        <v>Breeding for Tomorrow</v>
      </c>
      <c r="C38" s="4" t="str">
        <v>HLO 2.2.1: Climate smart innovations</v>
      </c>
      <c r="D38" s="4" t="str">
        <v>Collaboration on scaling strategies and shared partners to expand the reach and use of climate and water advisory tools.</v>
      </c>
      <c r="E38" s="4">
        <v>1093</v>
      </c>
    </row>
    <row r="39" ht="60" customHeight="1">
      <c r="A39" s="4" t="str">
        <v>AOW02: Grand Challenges and Scaling Flagships</v>
      </c>
      <c r="B39" s="4" t="str">
        <v xml:space="preserve">Gender Equality and Inclusion </v>
      </c>
      <c r="C39" s="4" t="str">
        <v>HLO 2.2.1: Climate smart innovations</v>
      </c>
      <c r="D39" s="4" t="str">
        <v>Collaboration on scaling strategies and shared partners to expand the reach and use of climate and water advisory tools.</v>
      </c>
      <c r="E39" s="4">
        <v>1094</v>
      </c>
    </row>
    <row r="40" ht="60" customHeight="1">
      <c r="A40" s="4" t="str">
        <v>AOW02: Grand Challenges and Scaling Flagships</v>
      </c>
      <c r="B40" s="4" t="str">
        <v xml:space="preserve">Digital Transformation </v>
      </c>
      <c r="C40" s="4" t="str">
        <v>HLO 2.2.1: Climate smart innovations</v>
      </c>
      <c r="D40" s="4" t="str">
        <v>Collaboration on scaling strategies and shared partners to expand the reach and use of climate and water advisory tools.</v>
      </c>
      <c r="E40" s="4">
        <v>1095</v>
      </c>
    </row>
    <row r="41" ht="60" customHeight="1">
      <c r="A41" s="4" t="str">
        <v>AOW02: Grand Challenges and Scaling Flagships</v>
      </c>
      <c r="B41" s="4" t="str">
        <v>Climate Action</v>
      </c>
      <c r="C41" s="4" t="str">
        <v>HLO 2.2.1: Climate smart innovations</v>
      </c>
      <c r="D41" s="4" t="str">
        <v>Collaboration on scaling strategies and shared partners to expand the reach and use of climate and water advisory tools.</v>
      </c>
      <c r="E41" s="4">
        <v>1096</v>
      </c>
    </row>
    <row r="42" ht="60" customHeight="1">
      <c r="A42" s="4" t="str">
        <v>AOW02: Grand Challenges and Scaling Flagships</v>
      </c>
      <c r="B42" s="4" t="str">
        <v>Policy Innovations</v>
      </c>
      <c r="C42" s="4" t="str">
        <v>HLO 2.2.1: Climate smart innovations</v>
      </c>
      <c r="D42" s="4" t="str">
        <v>Collaboration on scaling strategies and shared partners to expand the reach and use of climate and water advisory tools.</v>
      </c>
      <c r="E42" s="4">
        <v>1097</v>
      </c>
    </row>
    <row r="43" ht="60" customHeight="1">
      <c r="A43" s="4" t="str">
        <v>AOW02: Grand Challenges and Scaling Flagships</v>
      </c>
      <c r="B43" s="4" t="str">
        <v xml:space="preserve">Multifunctional Landscapes </v>
      </c>
      <c r="C43" s="4" t="str">
        <v>HLO 2.2.1: Climate smart innovations</v>
      </c>
      <c r="D43" s="4" t="str">
        <v>Collaboration on scaling strategies and shared partners to expand the reach and use of climate and water advisory tools.</v>
      </c>
      <c r="E43" s="4">
        <v>1098</v>
      </c>
    </row>
    <row r="44" ht="60" customHeight="1">
      <c r="A44" s="4" t="str">
        <v>AOW02: Grand Challenges and Scaling Flagships</v>
      </c>
      <c r="B44" s="4" t="str">
        <v xml:space="preserve">Sustainable Animal and Aquatic Foods </v>
      </c>
      <c r="C44" s="4" t="str">
        <v>HLO 2.2.1: Climate smart innovations</v>
      </c>
      <c r="D44" s="4" t="str">
        <v>Collaboration on scaling strategies and shared partners to expand the reach and use of climate and water advisory tools.</v>
      </c>
      <c r="E44" s="4">
        <v>1099</v>
      </c>
    </row>
    <row r="45" ht="60" customHeight="1">
      <c r="A45" s="4" t="str">
        <v>AOW02: Grand Challenges and Scaling Flagships</v>
      </c>
      <c r="B45" s="4" t="str">
        <v xml:space="preserve">Sustainable Farming </v>
      </c>
      <c r="C45" s="4" t="str">
        <v>HLO 2.2.1: Climate smart innovations</v>
      </c>
      <c r="D45" s="4" t="str">
        <v>Collaboration on scaling strategies and shared partners to expand the reach and use of climate and water advisory tools.</v>
      </c>
      <c r="E45" s="4">
        <v>1100</v>
      </c>
    </row>
    <row r="46" ht="60" customHeight="1">
      <c r="A46" s="4" t="str">
        <v>AOW02: Grand Challenges and Scaling Flagships</v>
      </c>
      <c r="B46" s="4" t="str">
        <v xml:space="preserve">Sustainable Farming </v>
      </c>
      <c r="C46" s="4" t="str">
        <v>HLO 2.2.2: Business models and market-led solutions</v>
      </c>
      <c r="D46" s="4" t="str">
        <v>Coordinated work on shared impact pathways and delivery partners to scale bundled innovations for seed, mechanization, and fertility management.</v>
      </c>
      <c r="E46" s="4">
        <v>1101</v>
      </c>
    </row>
    <row r="47" ht="60" customHeight="1">
      <c r="A47" s="4" t="str">
        <v>AOW02: Grand Challenges and Scaling Flagships</v>
      </c>
      <c r="B47" s="4" t="str">
        <v>Policy Innovations</v>
      </c>
      <c r="C47" s="4" t="str">
        <v>HLO 2.2.2: Business models and market-led solutions</v>
      </c>
      <c r="D47" s="4" t="str">
        <v>Coordinated work on shared impact pathways and delivery partners to scale bundled innovations for seed, mechanization, and fertility management.</v>
      </c>
      <c r="E47" s="4">
        <v>1102</v>
      </c>
    </row>
    <row r="48" ht="60" customHeight="1">
      <c r="A48" s="4" t="str">
        <v>AOW02: Grand Challenges and Scaling Flagships</v>
      </c>
      <c r="B48" s="4" t="str">
        <v xml:space="preserve">Gender Equality and Inclusion </v>
      </c>
      <c r="C48" s="4" t="str">
        <v>HLO 2.2.2: Business models and market-led solutions</v>
      </c>
      <c r="D48" s="4" t="str">
        <v>Coordinated work on shared impact pathways and delivery partners to scale bundled innovations for seed, mechanization, and fertility management.</v>
      </c>
      <c r="E48" s="4">
        <v>1103</v>
      </c>
    </row>
    <row r="49" ht="60" customHeight="1">
      <c r="A49" s="4" t="str">
        <v>AOW02: Grand Challenges and Scaling Flagships</v>
      </c>
      <c r="B49" s="4" t="str">
        <v xml:space="preserve">Digital Transformation </v>
      </c>
      <c r="C49" s="4" t="str">
        <v>HLO 2.2.2: Business models and market-led solutions</v>
      </c>
      <c r="D49" s="4" t="str">
        <v>Coordinated work on shared impact pathways and delivery partners to scale bundled innovations for seed, mechanization, and fertility management.</v>
      </c>
      <c r="E49" s="4">
        <v>1104</v>
      </c>
    </row>
    <row r="50" ht="60" customHeight="1">
      <c r="A50" s="4" t="str">
        <v>AOW02: Grand Challenges and Scaling Flagships</v>
      </c>
      <c r="B50" s="4" t="str">
        <v>Climate Action</v>
      </c>
      <c r="C50" s="4" t="str">
        <v>HLO 2.2.2: Business models and market-led solutions</v>
      </c>
      <c r="D50" s="4" t="str">
        <v>Coordinated work on shared impact pathways and delivery partners to scale bundled innovations for seed, mechanization, and fertility management.</v>
      </c>
      <c r="E50" s="4">
        <v>1105</v>
      </c>
    </row>
    <row r="51" ht="60" customHeight="1">
      <c r="A51" s="4" t="str">
        <v>AOW02: Grand Challenges and Scaling Flagships</v>
      </c>
      <c r="B51" s="4" t="str">
        <v>Breeding for Tomorrow</v>
      </c>
      <c r="C51" s="4" t="str">
        <v>HLO 2.2.2: Business models and market-led solutions</v>
      </c>
      <c r="D51" s="4" t="str">
        <v>Coordinated work on shared impact pathways and delivery partners to scale bundled innovations for seed, mechanization, and fertility management.</v>
      </c>
      <c r="E51" s="4">
        <v>1106</v>
      </c>
    </row>
    <row r="52" ht="60" customHeight="1">
      <c r="A52" s="4" t="str">
        <v>AOW02: Grand Challenges and Scaling Flagships</v>
      </c>
      <c r="B52" s="4" t="str">
        <v xml:space="preserve">Sustainable Farming </v>
      </c>
      <c r="C52" s="4" t="str">
        <v>HLO 2.2.2: Business models and market-led solutions</v>
      </c>
      <c r="D52" s="4" t="str">
        <v>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2" s="4">
        <v>1107</v>
      </c>
    </row>
    <row r="53" ht="60" customHeight="1">
      <c r="A53" s="4" t="str">
        <v>AOW02: Grand Challenges and Scaling Flagships</v>
      </c>
      <c r="B53" s="4" t="str">
        <v xml:space="preserve">Sustainable Farming </v>
      </c>
      <c r="C53" s="4" t="str">
        <v>HLO 2.2.2: Business models and market-led solutions</v>
      </c>
      <c r="D53" s="4" t="str">
        <v>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3" s="4">
        <v>1108</v>
      </c>
    </row>
    <row r="54" ht="60" customHeight="1">
      <c r="A54" s="4" t="str">
        <v>AOW02: Grand Challenges and Scaling Flagships</v>
      </c>
      <c r="B54" s="4" t="str">
        <v xml:space="preserve">Sustainable Farming </v>
      </c>
      <c r="C54" s="4" t="str">
        <v>HLO 2.2.2: Business models and market-led solutions</v>
      </c>
      <c r="D54" s="4" t="str">
        <v>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4" s="4">
        <v>1109</v>
      </c>
    </row>
    <row r="55" ht="60" customHeight="1">
      <c r="A55" s="4" t="str">
        <v>AOW02: Grand Challenges and Scaling Flagships</v>
      </c>
      <c r="B55" s="4" t="str">
        <v xml:space="preserve">Sustainable Farming </v>
      </c>
      <c r="C55" s="4" t="str">
        <v>HLO 2.2.2: Business models and market-led solutions</v>
      </c>
      <c r="D55" s="4" t="str">
        <v>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5" s="4">
        <v>1110</v>
      </c>
    </row>
    <row r="56" ht="60" customHeight="1">
      <c r="A56" s="4" t="str">
        <v>AOW02: Grand Challenges and Scaling Flagships</v>
      </c>
      <c r="B56" s="4" t="str">
        <v xml:space="preserve">Sustainable Farming </v>
      </c>
      <c r="C56" s="4" t="str">
        <v>HLO 2.2.2: Business models and market-led solutions</v>
      </c>
      <c r="D56" s="4" t="str">
        <v>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6" s="4">
        <v>1111</v>
      </c>
    </row>
    <row r="57" ht="60" customHeight="1" xml:space="preserve">
      <c r="A57" s="4" t="str">
        <v>AOW02: Grand Challenges and Scaling Flagships</v>
      </c>
      <c r="B57" s="4" t="str">
        <v xml:space="preserve">Sustainable Farming </v>
      </c>
      <c r="C57" s="4" t="str">
        <v>HLO 2.2.2: Business models and market-led solutions</v>
      </c>
      <c r="D57" s="4" t="str" xml:space="preserve">
        <v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v>
      </c>
      <c r="E57" s="4">
        <v>1112</v>
      </c>
    </row>
    <row r="58" ht="60" customHeight="1" xml:space="preserve">
      <c r="A58" s="4" t="str">
        <v>AOW02: Grand Challenges and Scaling Flagships</v>
      </c>
      <c r="B58" s="4" t="str">
        <v>Breeding for Tomorrow</v>
      </c>
      <c r="C58" s="4" t="str">
        <v>HLO 2.2.2: Business models and market-led solutions</v>
      </c>
      <c r="D58" s="4" t="str" xml:space="preserve">
        <v xml:space="preserve">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v>
      </c>
      <c r="E58" s="4">
        <v>1113</v>
      </c>
    </row>
    <row r="59" ht="60" customHeight="1">
      <c r="A59" s="4" t="str">
        <v>AOW02: Grand Challenges and Scaling Flagships</v>
      </c>
      <c r="B59" s="4" t="str">
        <v>Better Diets and Nutrition</v>
      </c>
      <c r="C59" s="4" t="str">
        <v>HLO 2.2.3: Market, policy and behavior change innovations</v>
      </c>
      <c r="D59" s="4" t="str">
        <v>Joint work with shared scaling partners to advance polices and behavioral change to advance diverse, safe, and affordable diets.</v>
      </c>
      <c r="E59" s="4">
        <v>1114</v>
      </c>
    </row>
    <row r="60" ht="60" customHeight="1">
      <c r="A60" s="4" t="str">
        <v>AOW02: Grand Challenges and Scaling Flagships</v>
      </c>
      <c r="B60" s="4" t="str">
        <v>Breeding for Tomorrow</v>
      </c>
      <c r="C60" s="4" t="str">
        <v>HLO 2.2.3: Market, policy and behavior change innovations</v>
      </c>
      <c r="D60" s="4" t="str">
        <v>Joint work with shared scaling partners to advance polices and behavioral change to advance diverse, safe, and affordable diets.</v>
      </c>
      <c r="E60" s="4">
        <v>1115</v>
      </c>
    </row>
    <row r="61" ht="60" customHeight="1">
      <c r="A61" s="4" t="str">
        <v>AOW02: Grand Challenges and Scaling Flagships</v>
      </c>
      <c r="B61" s="4" t="str">
        <v xml:space="preserve">Gender Equality and Inclusion </v>
      </c>
      <c r="C61" s="4" t="str">
        <v>HLO 2.2.3: Market, policy and behavior change innovations</v>
      </c>
      <c r="D61" s="4" t="str">
        <v>Joint work with shared scaling partners to advance polices and behavioral change to advance diverse, safe, and affordable diets.</v>
      </c>
      <c r="E61" s="4">
        <v>1116</v>
      </c>
    </row>
    <row r="62" ht="60" customHeight="1">
      <c r="A62" s="4" t="str">
        <v>AOW02: Grand Challenges and Scaling Flagships</v>
      </c>
      <c r="B62" s="4" t="str">
        <v>Policy Innovations</v>
      </c>
      <c r="C62" s="4" t="str">
        <v>HLO 2.2.3: Market, policy and behavior change innovations</v>
      </c>
      <c r="D62" s="4" t="str">
        <v>Joint work with shared scaling partners to advance polices and behavioral change to advance diverse, safe, and affordable diets.</v>
      </c>
      <c r="E62" s="4">
        <v>1117</v>
      </c>
    </row>
    <row r="63" ht="60" customHeight="1">
      <c r="A63" s="4" t="str">
        <v>AOW02: Grand Challenges and Scaling Flagships</v>
      </c>
      <c r="B63" s="4" t="str">
        <v xml:space="preserve">Sustainable Animal and Aquatic Foods </v>
      </c>
      <c r="C63" s="4" t="str">
        <v>HLO 2.2.3: Market, policy and behavior change innovations</v>
      </c>
      <c r="D63" s="4" t="str">
        <v>Joint work with shared scaling partners to advance polices and behavioral change to advance diverse, safe, and affordable diets.</v>
      </c>
      <c r="E63" s="4">
        <v>1118</v>
      </c>
    </row>
    <row r="64" ht="60" customHeight="1">
      <c r="A64" s="4" t="str">
        <v>AOW02: Grand Challenges and Scaling Flagships</v>
      </c>
      <c r="B64" s="4" t="str">
        <v xml:space="preserve">Sustainable Farming </v>
      </c>
      <c r="C64" s="4" t="str">
        <v>HLO 2.2.3: Market, policy and behavior change innovations</v>
      </c>
      <c r="D64" s="4" t="str">
        <v>Joint work with shared scaling partners to advance polices and behavioral change to advance diverse, safe, and affordable diets.</v>
      </c>
      <c r="E64" s="4">
        <v>1119</v>
      </c>
    </row>
    <row r="65" ht="60" customHeight="1">
      <c r="A65" s="8" t="str">
        <v>AOW03: Enabling Environment Lab</v>
      </c>
      <c r="B65" s="4" t="str">
        <v xml:space="preserve">Sustainable Farming </v>
      </c>
      <c r="C65" s="4" t="str">
        <v xml:space="preserve">HLO 3.3.1: Enabling environment tools and diagnostics </v>
      </c>
      <c r="D65" s="4" t="str">
        <v>Collaboration to supply policy and institutional insights that improve diagnostics relevant to overcoming scaling bottlenecks</v>
      </c>
      <c r="E65" s="4">
        <v>1140</v>
      </c>
    </row>
    <row r="66" ht="60" customHeight="1">
      <c r="A66" s="4" t="str">
        <v>AOW03: Enabling Environment Lab</v>
      </c>
      <c r="B66" s="4" t="str">
        <v xml:space="preserve">Sustainable Animal and Aquatic Foods </v>
      </c>
      <c r="C66" s="4" t="str">
        <v xml:space="preserve">HLO 3.3.1: Enabling environment tools and diagnostics </v>
      </c>
      <c r="D66" s="4" t="str">
        <v>Collaboration to supply policy and institutional insights that improve diagnostics relevant to overcoming scaling bottlenecks</v>
      </c>
      <c r="E66" s="4">
        <v>1141</v>
      </c>
    </row>
    <row r="67" ht="60" customHeight="1">
      <c r="A67" s="4" t="str">
        <v>AOW03: Enabling Environment Lab</v>
      </c>
      <c r="B67" s="4" t="str">
        <v>Policy Innovations</v>
      </c>
      <c r="C67" s="4" t="str">
        <v xml:space="preserve">HLO 3.3.1: Enabling environment tools and diagnostics </v>
      </c>
      <c r="D67" s="4" t="str">
        <v>Collaboration to supply policy and institutional insights that improve diagnostics relevant to overcoming scaling bottlenecks</v>
      </c>
      <c r="E67" s="4">
        <v>1142</v>
      </c>
    </row>
    <row r="68" ht="60" customHeight="1">
      <c r="A68" s="4" t="str">
        <v>AOW03: Enabling Environment Lab</v>
      </c>
      <c r="B68" s="4" t="str">
        <v>Climate Action</v>
      </c>
      <c r="C68" s="4" t="str">
        <v xml:space="preserve">HLO 3.3.1: Enabling environment tools and diagnostics </v>
      </c>
      <c r="D68" s="4" t="str">
        <v>Collaboration to supply policy and institutional insights that improve diagnostics relevant to overcoming scaling bottlenecks</v>
      </c>
      <c r="E68" s="4">
        <v>1143</v>
      </c>
    </row>
    <row r="69" ht="60" customHeight="1" xml:space="preserve">
      <c r="A69" s="4" t="str">
        <v>AOW03: Enabling Environment Lab</v>
      </c>
      <c r="B69" s="4" t="str">
        <v>Breeding for Tomorrow</v>
      </c>
      <c r="C69" s="4" t="str">
        <v xml:space="preserve">HLO 3.3.1: Enabling environment tools and diagnostics </v>
      </c>
      <c r="D69" s="4" t="str" xml:space="preserve">
        <v xml:space="preserve">Collaboration to supply policy and institutional insights that improve diagnostics relevant to overcoming scaling bottlenecks
</v>
      </c>
      <c r="E69" s="4">
        <v>1144</v>
      </c>
    </row>
    <row r="70" ht="60" customHeight="1">
      <c r="A70" s="4" t="str">
        <v>AOW03: Enabling Environment Lab</v>
      </c>
      <c r="B70" s="4" t="str">
        <v xml:space="preserve">Sustainable Animal and Aquatic Foods </v>
      </c>
      <c r="C70" s="4" t="str">
        <v xml:space="preserve">HLO 3.3.2: Scaling support services for enabling environment and institutions </v>
      </c>
      <c r="D70" s="4" t="str">
        <v>Joint capacity-sharing to strengthen institutional systems required for scaling.</v>
      </c>
      <c r="E70" s="4">
        <v>1145</v>
      </c>
    </row>
    <row r="71" ht="60" customHeight="1">
      <c r="A71" s="4" t="str">
        <v>AOW03: Enabling Environment Lab</v>
      </c>
      <c r="B71" s="4" t="str">
        <v>Policy Innovations</v>
      </c>
      <c r="C71" s="4" t="str">
        <v xml:space="preserve">HLO 3.3.2: Scaling support services for enabling environment and institutions </v>
      </c>
      <c r="D71" s="4" t="str">
        <v>Joint capacity-sharing to strengthen institutional systems required for scaling.</v>
      </c>
      <c r="E71" s="4">
        <v>1146</v>
      </c>
    </row>
    <row r="72" ht="60" customHeight="1">
      <c r="A72" s="4" t="str">
        <v>AOW03: Enabling Environment Lab</v>
      </c>
      <c r="B72" s="4" t="str">
        <v xml:space="preserve">Multifunctional Landscapes </v>
      </c>
      <c r="C72" s="4" t="str">
        <v xml:space="preserve">HLO 3.3.2: Scaling support services for enabling environment and institutions </v>
      </c>
      <c r="D72" s="4" t="str">
        <v>Joint capacity-sharing to strengthen institutional systems required for scaling.</v>
      </c>
      <c r="E72" s="4">
        <v>1147</v>
      </c>
    </row>
    <row r="73" ht="60" customHeight="1">
      <c r="A73" s="4" t="str">
        <v>AOW03: Enabling Environment Lab</v>
      </c>
      <c r="B73" s="4" t="str">
        <v xml:space="preserve">Gender Equality and Inclusion </v>
      </c>
      <c r="C73" s="4" t="str">
        <v xml:space="preserve">HLO 3.3.2: Scaling support services for enabling environment and institutions </v>
      </c>
      <c r="D73" s="4" t="str">
        <v>Joint capacity-sharing to strengthen institutional systems required for scaling.</v>
      </c>
      <c r="E73" s="4">
        <v>1148</v>
      </c>
    </row>
    <row r="74" ht="60" customHeight="1">
      <c r="A74" s="4" t="str">
        <v>AOW03: Enabling Environment Lab</v>
      </c>
      <c r="B74" s="4" t="str">
        <v xml:space="preserve">Sustainable Animal and Aquatic Foods </v>
      </c>
      <c r="C74" s="4" t="str">
        <v xml:space="preserve">HLO 3.3.3: Science-policy networks and partnerships for scaling </v>
      </c>
      <c r="D74" s="4" t="str">
        <v>Co-engagement with policy actors and producer groups to reinforce partnerships for scaling.</v>
      </c>
      <c r="E74" s="4">
        <v>1149</v>
      </c>
    </row>
    <row r="75" ht="60" customHeight="1">
      <c r="A75" s="4" t="str">
        <v>AOW03: Enabling Environment Lab</v>
      </c>
      <c r="B75" s="4" t="str">
        <v xml:space="preserve">Digital Transformation </v>
      </c>
      <c r="C75" s="4" t="str">
        <v xml:space="preserve">HLO 3.3.3: Science-policy networks and partnerships for scaling </v>
      </c>
      <c r="D75" s="4" t="str">
        <v>Co-engagement with policy actors and producer groups to reinforce partnerships for scaling.</v>
      </c>
      <c r="E75" s="4">
        <v>1150</v>
      </c>
    </row>
    <row r="76" ht="60" customHeight="1">
      <c r="A76" s="8" t="str">
        <v>AOW04: Achieving Impact by Unlocking Finance and Partnerships</v>
      </c>
      <c r="B76" s="4" t="str">
        <v xml:space="preserve">Multifunctional Landscapes </v>
      </c>
      <c r="C76" s="4" t="str">
        <v>HLO 4.4.1: Technical assistance for financing for innovation scaling</v>
      </c>
      <c r="D76" s="4" t="str">
        <v>Collaboration to ensure that relevant CGIAR innovations are included in e-catalogues and IFI investment plans</v>
      </c>
      <c r="E76" s="4">
        <v>1151</v>
      </c>
    </row>
    <row r="77" ht="60" customHeight="1">
      <c r="A77" s="4" t="str">
        <v>AOW04: Achieving Impact by Unlocking Finance and Partnerships</v>
      </c>
      <c r="B77" s="4" t="str">
        <v xml:space="preserve">Sustainable Farming </v>
      </c>
      <c r="C77" s="4" t="str">
        <v>HLO 4.4.1: Technical assistance for financing for innovation scaling</v>
      </c>
      <c r="D77" s="4" t="str">
        <v>Collaboration to ensure that relevant CGIAR innovations are included in e-catalogues and IFI investment plans</v>
      </c>
      <c r="E77" s="4">
        <v>1152</v>
      </c>
    </row>
    <row r="78" ht="60" customHeight="1">
      <c r="A78" s="4" t="str">
        <v>AOW04: Achieving Impact by Unlocking Finance and Partnerships</v>
      </c>
      <c r="B78" s="4" t="str">
        <v xml:space="preserve">Sustainable Animal and Aquatic Foods </v>
      </c>
      <c r="C78" s="4" t="str">
        <v>HLO 4.4.1: Technical assistance for financing for innovation scaling</v>
      </c>
      <c r="D78" s="4" t="str">
        <v>Collaboration to ensure that relevant CGIAR innovations are included in e-catalogues and IFI investment plans</v>
      </c>
      <c r="E78" s="4">
        <v>1153</v>
      </c>
    </row>
    <row r="79" ht="60" customHeight="1">
      <c r="A79" s="4" t="str">
        <v>AOW04: Achieving Impact by Unlocking Finance and Partnerships</v>
      </c>
      <c r="B79" s="4" t="str">
        <v>Policy Innovations</v>
      </c>
      <c r="C79" s="4" t="str">
        <v>HLO 4.4.1: Technical assistance for financing for innovation scaling</v>
      </c>
      <c r="D79" s="4" t="str">
        <v>Collaboration to ensure that relevant CGIAR innovations are included in e-catalogues and IFI investment plans</v>
      </c>
      <c r="E79" s="4">
        <v>1154</v>
      </c>
    </row>
    <row r="80" ht="60" customHeight="1">
      <c r="A80" s="4" t="str">
        <v>AOW04: Achieving Impact by Unlocking Finance and Partnerships</v>
      </c>
      <c r="B80" s="4" t="str">
        <v>Better Diets and Nutrition</v>
      </c>
      <c r="C80" s="4" t="str">
        <v>HLO 4.4.1: Technical assistance for financing for innovation scaling</v>
      </c>
      <c r="D80" s="4" t="str">
        <v>Collaboration to ensure that relevant CGIAR innovations are included in e-catalogues and IFI investment plans</v>
      </c>
      <c r="E80" s="4">
        <v>1155</v>
      </c>
    </row>
    <row r="81" ht="60" customHeight="1">
      <c r="A81" s="4" t="str">
        <v>AOW04: Achieving Impact by Unlocking Finance and Partnerships</v>
      </c>
      <c r="B81" s="4" t="str">
        <v>Breeding for Tomorrow</v>
      </c>
      <c r="C81" s="4" t="str">
        <v>HLO 4.4.1: Technical assistance for financing for innovation scaling</v>
      </c>
      <c r="D81" s="4" t="str">
        <v>Collaboration to ensure that relevant CGIAR innovations are included in e-catalogues and IFI investment plans</v>
      </c>
      <c r="E81" s="4">
        <v>1156</v>
      </c>
    </row>
    <row r="82" ht="60" customHeight="1">
      <c r="A82" s="4" t="str">
        <v>AOW04: Achieving Impact by Unlocking Finance and Partnerships</v>
      </c>
      <c r="B82" s="4" t="str">
        <v>Capacity Sharing</v>
      </c>
      <c r="C82" s="4" t="str">
        <v>HLO 4.4.1: Technical assistance for financing for innovation scaling</v>
      </c>
      <c r="D82" s="4" t="str">
        <v>Collaboration to ensure that relevant CGIAR innovations are included in e-catalogues and IFI investment plans</v>
      </c>
      <c r="E82" s="4">
        <v>1157</v>
      </c>
    </row>
    <row r="83" ht="60" customHeight="1">
      <c r="A83" s="4" t="str">
        <v>AOW04: Achieving Impact by Unlocking Finance and Partnerships</v>
      </c>
      <c r="B83" s="4" t="str">
        <v>Climate Action</v>
      </c>
      <c r="C83" s="4" t="str">
        <v>HLO 4.4.1: Technical assistance for financing for innovation scaling</v>
      </c>
      <c r="D83" s="4" t="str">
        <v>Collaboration to ensure that relevant CGIAR innovations are included in e-catalogues and IFI investment plans</v>
      </c>
      <c r="E83" s="4">
        <v>1158</v>
      </c>
    </row>
    <row r="84" ht="60" customHeight="1">
      <c r="A84" s="4" t="str">
        <v>AOW04: Achieving Impact by Unlocking Finance and Partnerships</v>
      </c>
      <c r="B84" s="4" t="str">
        <v xml:space="preserve">Digital Transformation </v>
      </c>
      <c r="C84" s="4" t="str">
        <v>HLO 4.4.1: Technical assistance for financing for innovation scaling</v>
      </c>
      <c r="D84" s="4" t="str">
        <v>Collaboration to ensure that relevant CGIAR innovations are included in e-catalogues and IFI investment plans</v>
      </c>
      <c r="E84" s="4">
        <v>1159</v>
      </c>
    </row>
    <row r="85" ht="60" customHeight="1">
      <c r="A85" s="4" t="str">
        <v>AOW04: Achieving Impact by Unlocking Finance and Partnerships</v>
      </c>
      <c r="B85" s="4" t="str">
        <v>Food Frontiers and Security</v>
      </c>
      <c r="C85" s="4" t="str">
        <v>HLO 4.4.1: Technical assistance for financing for innovation scaling</v>
      </c>
      <c r="D85" s="4" t="str">
        <v>Collaboration to ensure that relevant CGIAR innovations are included in e-catalogues and IFI investment plans</v>
      </c>
      <c r="E85" s="4">
        <v>1160</v>
      </c>
    </row>
    <row r="86" ht="60" customHeight="1">
      <c r="A86" s="4" t="str">
        <v>AOW04: Achieving Impact by Unlocking Finance and Partnerships</v>
      </c>
      <c r="B86" s="4" t="str">
        <v xml:space="preserve">Gender Equality and Inclusion </v>
      </c>
      <c r="C86" s="4" t="str">
        <v>HLO 4.4.1: Technical assistance for financing for innovation scaling</v>
      </c>
      <c r="D86" s="4" t="str">
        <v>Collaboration to ensure that relevant CGIAR innovations are included in e-catalogues and IFI investment plans</v>
      </c>
      <c r="E86" s="4">
        <v>1161</v>
      </c>
    </row>
    <row r="87" ht="60" customHeight="1">
      <c r="A87" s="4" t="str">
        <v>AOW04: Achieving Impact by Unlocking Finance and Partnerships</v>
      </c>
      <c r="B87" s="4" t="str">
        <v>Genebank</v>
      </c>
      <c r="C87" s="4" t="str">
        <v>HLO 4.4.1: Technical assistance for financing for innovation scaling</v>
      </c>
      <c r="D87" s="4" t="str">
        <v>Collaboration to ensure that relevant CGIAR innovations are included in e-catalogues and IFI investment plans</v>
      </c>
      <c r="E87" s="4">
        <v>1162</v>
      </c>
    </row>
    <row r="88" ht="60" customHeight="1">
      <c r="A88" s="4" t="str">
        <v>AOW04: Achieving Impact by Unlocking Finance and Partnerships</v>
      </c>
      <c r="B88" s="4" t="str">
        <v xml:space="preserve">Sustainable Farming </v>
      </c>
      <c r="C88" s="4" t="str">
        <v>HLO 4.4.2: Partnerships and institutional arrangements for unlocking blended financing</v>
      </c>
      <c r="D88" s="4" t="str">
        <v>Shared data and delivery experience to strengthen portfolio tools including use of Innovation Packages and Scaling Readiness (IPSR) metrics to improve scaling strategies.</v>
      </c>
      <c r="E88" s="4">
        <v>1163</v>
      </c>
    </row>
    <row r="89" ht="60" customHeight="1">
      <c r="A89" s="4" t="str">
        <v>AOW04: Achieving Impact by Unlocking Finance and Partnerships</v>
      </c>
      <c r="B89" s="4" t="str">
        <v xml:space="preserve">Sustainable Animal and Aquatic Foods </v>
      </c>
      <c r="C89" s="4" t="str">
        <v>HLO 4.4.2: Partnerships and institutional arrangements for unlocking blended financing</v>
      </c>
      <c r="D89" s="4" t="str">
        <v>Shared data and delivery experience to strengthen portfolio tools including use of Innovation Packages and Scaling Readiness (IPSR) metrics to improve scaling strategies.</v>
      </c>
      <c r="E89" s="4">
        <v>1164</v>
      </c>
    </row>
    <row r="90" ht="60" customHeight="1">
      <c r="A90" s="4" t="str">
        <v>AOW04: Achieving Impact by Unlocking Finance and Partnerships</v>
      </c>
      <c r="B90" s="4" t="str">
        <v xml:space="preserve">Gender Equality and Inclusion </v>
      </c>
      <c r="C90" s="4" t="str">
        <v>HLO 4.4.2: Partnerships and institutional arrangements for unlocking blended financing</v>
      </c>
      <c r="D90" s="4" t="str">
        <v>Shared data and delivery experience to strengthen portfolio tools including use of Innovation Packages and Scaling Readiness (IPSR) metrics to improve scaling strategies.</v>
      </c>
      <c r="E90" s="4">
        <v>1165</v>
      </c>
    </row>
    <row r="91" ht="60" customHeight="1">
      <c r="A91" s="4" t="str">
        <v>AOW04: Achieving Impact by Unlocking Finance and Partnerships</v>
      </c>
      <c r="B91" s="4" t="str">
        <v>Climate Action</v>
      </c>
      <c r="C91" s="4" t="str">
        <v>HLO 4.4.2: Partnerships and institutional arrangements for unlocking blended financing</v>
      </c>
      <c r="D91" s="4" t="str">
        <v>Shared data and delivery experience to strengthen portfolio tools including use of Innovation Packages and Scaling Readiness (IPSR) metrics to improve scaling strategies.</v>
      </c>
      <c r="E91" s="4">
        <v>1166</v>
      </c>
    </row>
    <row r="92" ht="60" customHeight="1">
      <c r="A92" s="8" t="str">
        <v>AOW05: Learning for Impact</v>
      </c>
      <c r="B92" s="4" t="str">
        <v>Capacity Sharing</v>
      </c>
      <c r="C92" s="4" t="str">
        <v xml:space="preserve">HLO 5.5.1: Scaling science for societal impact </v>
      </c>
      <c r="D92" s="4" t="str">
        <v>Collaboration on scaling science research and innovation system analyses relevant to other Areas of Work</v>
      </c>
      <c r="E92" s="4">
        <v>1167</v>
      </c>
    </row>
    <row r="93" ht="60" customHeight="1">
      <c r="A93" s="4" t="str">
        <v>AOW05: Learning for Impact</v>
      </c>
      <c r="B93" s="4" t="str">
        <v>Climate Action</v>
      </c>
      <c r="C93" s="4" t="str">
        <v xml:space="preserve">HLO 5.5.1: Scaling science for societal impact </v>
      </c>
      <c r="D93" s="4" t="str">
        <v>Collaboration on scaling science research and innovation system analyses relevant to other Areas of Work</v>
      </c>
      <c r="E93" s="4">
        <v>1168</v>
      </c>
    </row>
    <row r="94" ht="60" customHeight="1">
      <c r="A94" s="4" t="str">
        <v>AOW05: Learning for Impact</v>
      </c>
      <c r="B94" s="4" t="str">
        <v xml:space="preserve">Digital Transformation </v>
      </c>
      <c r="C94" s="4" t="str">
        <v xml:space="preserve">HLO 5.5.1: Scaling science for societal impact </v>
      </c>
      <c r="D94" s="4" t="str">
        <v>Collaboration on scaling science research and innovation system analyses relevant to other Areas of Work</v>
      </c>
      <c r="E94" s="4">
        <v>1169</v>
      </c>
    </row>
    <row r="95" ht="60" customHeight="1">
      <c r="A95" s="4" t="str">
        <v>AOW05: Learning for Impact</v>
      </c>
      <c r="B95" s="4" t="str">
        <v xml:space="preserve">Gender Equality and Inclusion </v>
      </c>
      <c r="C95" s="4" t="str">
        <v xml:space="preserve">HLO 5.5.1: Scaling science for societal impact </v>
      </c>
      <c r="D95" s="4" t="str">
        <v>Collaboration on scaling science research and innovation system analyses relevant to other Areas of Work</v>
      </c>
      <c r="E95" s="4">
        <v>1170</v>
      </c>
    </row>
    <row r="96" ht="60" customHeight="1">
      <c r="A96" s="4" t="str">
        <v>AOW05: Learning for Impact</v>
      </c>
      <c r="B96" s="4" t="str">
        <v xml:space="preserve">Sustainable Animal and Aquatic Foods </v>
      </c>
      <c r="C96" s="4" t="str">
        <v xml:space="preserve">HLO 5.5.1: Scaling science for societal impact </v>
      </c>
      <c r="D96" s="4" t="str">
        <v>Collaboration on scaling science research and innovation system analyses relevant to other Areas of Work</v>
      </c>
      <c r="E96" s="4">
        <v>1171</v>
      </c>
    </row>
    <row r="97" ht="60" customHeight="1">
      <c r="A97" s="4" t="str">
        <v>AOW05: Learning for Impact</v>
      </c>
      <c r="B97" s="4" t="str">
        <v xml:space="preserve">Digital Transformation </v>
      </c>
      <c r="C97" s="4" t="str">
        <v>HLO 5.5.2: Evidence-based evaluation and dynamic learning insights</v>
      </c>
      <c r="D97" s="4" t="str">
        <v>Collaboration on MELIA functions and dynamic learning to improve scaling and adaptive management decisions</v>
      </c>
      <c r="E97" s="4">
        <v>1172</v>
      </c>
    </row>
    <row r="98" ht="60" customHeight="1">
      <c r="A98" s="4" t="str">
        <v>AOW05: Learning for Impact</v>
      </c>
      <c r="B98" s="4" t="str">
        <v xml:space="preserve">Sustainable Farming </v>
      </c>
      <c r="C98" s="4" t="str">
        <v>HLO 5.5.3: Innovation portfolio analytics and decision support tools</v>
      </c>
      <c r="D98" s="4" t="str">
        <v>Co-curation of innovation bundles and packages as part of Innovation Packages and Scaling Readiness (IPSR) and Innovation Portfolio management for the CGIAR’s Programs and Accelerators</v>
      </c>
      <c r="E98" s="4">
        <v>1173</v>
      </c>
    </row>
    <row r="99" ht="60" customHeight="1">
      <c r="A99" s="4" t="str">
        <v>AOW05: Learning for Impact</v>
      </c>
      <c r="B99" s="4" t="str">
        <v xml:space="preserve">Sustainable Animal and Aquatic Foods </v>
      </c>
      <c r="C99" s="4" t="str">
        <v>HLO 5.5.3: Innovation portfolio analytics and decision support tools</v>
      </c>
      <c r="D99" s="4" t="str">
        <v>Co-curation of innovation bundles and packages as part of Innovation Packages and Scaling Readiness (IPSR) and Innovation Portfolio management for the CGIAR’s Programs and Accelerators</v>
      </c>
      <c r="E99" s="4">
        <v>1174</v>
      </c>
    </row>
    <row r="100" ht="60" customHeight="1">
      <c r="A100" s="4" t="str">
        <v>AOW05: Learning for Impact</v>
      </c>
      <c r="B100" s="4" t="str">
        <v>Policy Innovations</v>
      </c>
      <c r="C100" s="4" t="str">
        <v>HLO 5.5.3: Innovation portfolio analytics and decision support tools</v>
      </c>
      <c r="D100" s="4" t="str">
        <v>Co-curation of innovation bundles and packages as part of Innovation Packages and Scaling Readiness (IPSR) and Innovation Portfolio management for the CGIAR’s Programs and Accelerators</v>
      </c>
      <c r="E100" s="4">
        <v>1175</v>
      </c>
    </row>
    <row r="101" ht="60" customHeight="1">
      <c r="A101" s="4" t="str">
        <v>AOW05: Learning for Impact</v>
      </c>
      <c r="B101" s="4" t="str">
        <v xml:space="preserve">Multifunctional Landscapes </v>
      </c>
      <c r="C101" s="4" t="str">
        <v>HLO 5.5.3: Innovation portfolio analytics and decision support tools</v>
      </c>
      <c r="D101" s="4" t="str">
        <v>Co-curation of innovation bundles and packages as part of Innovation Packages and Scaling Readiness (IPSR) and Innovation Portfolio management for the CGIAR’s Programs and Accelerators</v>
      </c>
      <c r="E101" s="4">
        <v>1176</v>
      </c>
    </row>
    <row r="102" ht="60" customHeight="1">
      <c r="A102" s="4" t="str">
        <v>AOW05: Learning for Impact</v>
      </c>
      <c r="B102" s="4" t="str">
        <v>Genebank</v>
      </c>
      <c r="C102" s="4" t="str">
        <v>HLO 5.5.3: Innovation portfolio analytics and decision support tools</v>
      </c>
      <c r="D102" s="4" t="str">
        <v>Co-curation of innovation bundles and packages as part of Innovation Packages and Scaling Readiness (IPSR) and Innovation Portfolio management for the CGIAR’s Programs and Accelerators</v>
      </c>
      <c r="E102" s="4">
        <v>1177</v>
      </c>
    </row>
    <row r="103" ht="60" customHeight="1">
      <c r="A103" s="4" t="str">
        <v>AOW05: Learning for Impact</v>
      </c>
      <c r="B103" s="4" t="str">
        <v xml:space="preserve">Gender Equality and Inclusion </v>
      </c>
      <c r="C103" s="4" t="str">
        <v>HLO 5.5.3: Innovation portfolio analytics and decision support tools</v>
      </c>
      <c r="D103" s="4" t="str">
        <v>Co-curation of innovation bundles and packages as part of Innovation Packages and Scaling Readiness (IPSR) and Innovation Portfolio management for the CGIAR’s Programs and Accelerators</v>
      </c>
      <c r="E103" s="4">
        <v>1178</v>
      </c>
    </row>
    <row r="104" ht="60" customHeight="1">
      <c r="A104" s="4" t="str">
        <v>AOW05: Learning for Impact</v>
      </c>
      <c r="B104" s="4" t="str">
        <v>Food Frontiers and Security</v>
      </c>
      <c r="C104" s="4" t="str">
        <v>HLO 5.5.3: Innovation portfolio analytics and decision support tools</v>
      </c>
      <c r="D104" s="4" t="str">
        <v>Co-curation of innovation bundles and packages as part of Innovation Packages and Scaling Readiness (IPSR) and Innovation Portfolio management for the CGIAR’s Programs and Accelerators</v>
      </c>
      <c r="E104" s="4">
        <v>1179</v>
      </c>
    </row>
    <row r="105" ht="60" customHeight="1">
      <c r="A105" s="4" t="str">
        <v>AOW05: Learning for Impact</v>
      </c>
      <c r="B105" s="4" t="str">
        <v xml:space="preserve">Digital Transformation </v>
      </c>
      <c r="C105" s="4" t="str">
        <v>HLO 5.5.3: Innovation portfolio analytics and decision support tools</v>
      </c>
      <c r="D105" s="4" t="str">
        <v>Co-curation of innovation bundles and packages as part of Innovation Packages and Scaling Readiness (IPSR) and Innovation Portfolio management for the CGIAR’s Programs and Accelerators</v>
      </c>
      <c r="E105" s="4">
        <v>1180</v>
      </c>
    </row>
    <row r="106" ht="60" customHeight="1">
      <c r="A106" s="4" t="str">
        <v>AOW05: Learning for Impact</v>
      </c>
      <c r="B106" s="4" t="str">
        <v>Climate Action</v>
      </c>
      <c r="C106" s="4" t="str">
        <v>HLO 5.5.3: Innovation portfolio analytics and decision support tools</v>
      </c>
      <c r="D106" s="4" t="str">
        <v>Co-curation of innovation bundles and packages as part of Innovation Packages and Scaling Readiness (IPSR) and Innovation Portfolio management for the CGIAR’s Programs and Accelerators</v>
      </c>
      <c r="E106" s="4">
        <v>1181</v>
      </c>
    </row>
    <row r="107" ht="60" customHeight="1">
      <c r="A107" s="4" t="str">
        <v>AOW05: Learning for Impact</v>
      </c>
      <c r="B107" s="4" t="str">
        <v>Breeding for Tomorrow</v>
      </c>
      <c r="C107" s="4" t="str">
        <v>HLO 5.5.3: Innovation portfolio analytics and decision support tools</v>
      </c>
      <c r="D107" s="4" t="str">
        <v>Co-curation of innovation bundles and packages as part of Innovation Packages and Scaling Readiness (IPSR) and Innovation Portfolio management for the CGIAR’s Programs and Accelerators</v>
      </c>
      <c r="E107" s="4">
        <v>1182</v>
      </c>
    </row>
    <row r="108" ht="60" customHeight="1">
      <c r="A108" s="4" t="str">
        <v>AOW05: Learning for Impact</v>
      </c>
      <c r="B108" s="4" t="str">
        <v>Better Diets and Nutrition</v>
      </c>
      <c r="C108" s="4" t="str">
        <v>HLO 5.5.3: Innovation portfolio analytics and decision support tools</v>
      </c>
      <c r="D108" s="4" t="str">
        <v>Co-curation of innovation bundles and packages as part of Innovation Packages and Scaling Readiness (IPSR) and Innovation Portfolio management for the CGIAR’s Programs and Accelerators</v>
      </c>
      <c r="E108" s="4">
        <v>1183</v>
      </c>
    </row>
  </sheetData>
  <mergeCells count="5">
    <mergeCell ref="A2:A37"/>
    <mergeCell ref="A38:A64"/>
    <mergeCell ref="A65:A75"/>
    <mergeCell ref="A76:A91"/>
    <mergeCell ref="A92:A108"/>
  </mergeCells>
  <ignoredErrors>
    <ignoredError numberStoredAsText="1" sqref="A1:E108"/>
  </ignoredErrors>
</worksheet>
</file>

<file path=xl/worksheets/sheet11.xml><?xml version="1.0" encoding="utf-8"?>
<worksheet xmlns="http://schemas.openxmlformats.org/spreadsheetml/2006/main" xmlns:r="http://schemas.openxmlformats.org/officeDocument/2006/relationships">
  <dimension ref="A1:G4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 Farmers adapt and adopt sustainable practices</v>
      </c>
      <c r="C2" s="4" t="str">
        <v/>
      </c>
      <c r="D2" s="4" t="str">
        <v>Innovation Use</v>
      </c>
      <c r="E2" s="4" t="str">
        <v>Global</v>
      </c>
      <c r="F2" s="5">
        <v>500000</v>
      </c>
      <c r="G2" s="4">
        <v>645</v>
      </c>
    </row>
    <row r="3" ht="60" customHeight="1">
      <c r="A3" s="4" t="str">
        <v>AOW00: Cross Cutting</v>
      </c>
      <c r="B3" s="4" t="str">
        <v>5. Partners use science for scaling</v>
      </c>
      <c r="C3" s="4" t="str">
        <v/>
      </c>
      <c r="D3" s="4" t="str">
        <v>Innovation Use</v>
      </c>
      <c r="E3" s="4" t="str">
        <v>Global</v>
      </c>
      <c r="F3" s="5">
        <v>20</v>
      </c>
      <c r="G3" s="4">
        <v>646</v>
      </c>
    </row>
    <row r="4" ht="60" customHeight="1">
      <c r="A4" s="4" t="str">
        <v>AOW00: Cross Cutting</v>
      </c>
      <c r="B4" s="4" t="str">
        <v>4. CGIAR influences investments for innovation scaling</v>
      </c>
      <c r="C4" s="4" t="str">
        <v/>
      </c>
      <c r="D4" s="4" t="str">
        <v>Number of Policy (Policy Change)</v>
      </c>
      <c r="E4" s="4" t="str">
        <v>Global</v>
      </c>
      <c r="F4" s="5">
        <v>500000000</v>
      </c>
      <c r="G4" s="4">
        <v>647</v>
      </c>
    </row>
    <row r="5" ht="60" customHeight="1">
      <c r="A5" s="4" t="str">
        <v>AOW00: Cross Cutting</v>
      </c>
      <c r="B5" s="4" t="str">
        <v>4. CGIAR influences investments for innovation scaling</v>
      </c>
      <c r="C5" s="4" t="str">
        <v/>
      </c>
      <c r="D5" s="4" t="str">
        <v>Innovation Use</v>
      </c>
      <c r="E5" s="4" t="str">
        <v>Global</v>
      </c>
      <c r="F5" s="5">
        <v>1500000</v>
      </c>
      <c r="G5" s="4">
        <v>647</v>
      </c>
    </row>
    <row r="6" ht="60" customHeight="1">
      <c r="A6" s="4" t="str">
        <v>AOW00: Cross Cutting</v>
      </c>
      <c r="B6" s="4" t="str">
        <v>3. Policy and market actors implement new or adjsuted policies and interventions</v>
      </c>
      <c r="C6" s="4" t="str">
        <v/>
      </c>
      <c r="D6" s="4" t="str">
        <v>Innovation Use</v>
      </c>
      <c r="E6" s="4" t="str">
        <v>Global</v>
      </c>
      <c r="F6" s="5">
        <v>1000000</v>
      </c>
      <c r="G6" s="4">
        <v>648</v>
      </c>
    </row>
    <row r="7" ht="60" customHeight="1">
      <c r="A7" s="4" t="str">
        <v>AOW00: Cross Cutting</v>
      </c>
      <c r="B7" s="4" t="str">
        <v>3. Policy and market actors implement new or adjsuted policies and interventions</v>
      </c>
      <c r="C7" s="4" t="str">
        <v/>
      </c>
      <c r="D7" s="4" t="str">
        <v>Number of Policy (Policy Change)</v>
      </c>
      <c r="E7" s="4" t="str">
        <v>Global</v>
      </c>
      <c r="F7" s="5">
        <v>5</v>
      </c>
      <c r="G7" s="4">
        <v>648</v>
      </c>
    </row>
    <row r="8" ht="60" customHeight="1">
      <c r="A8" s="4" t="str">
        <v>AOW00: Cross Cutting</v>
      </c>
      <c r="B8" s="4" t="str">
        <v>3. Policy and market actors implement new or adjsuted policies and interventions</v>
      </c>
      <c r="C8" s="4" t="str">
        <v/>
      </c>
      <c r="D8" s="4" t="str">
        <v>Number of Policy (Policy Change)</v>
      </c>
      <c r="E8" s="4" t="str">
        <v>Global</v>
      </c>
      <c r="F8" s="5">
        <v>4000000</v>
      </c>
      <c r="G8" s="4">
        <v>648</v>
      </c>
    </row>
    <row r="9" ht="60" customHeight="1">
      <c r="A9" s="4" t="str">
        <v>AOW00: Cross Cutting</v>
      </c>
      <c r="B9" s="4" t="str">
        <v>2. Scaling partners enable access to agrifood solutions</v>
      </c>
      <c r="C9" s="4" t="str">
        <v/>
      </c>
      <c r="D9" s="4" t="str">
        <v>Innovation Use</v>
      </c>
      <c r="E9" s="4" t="str">
        <v>Global</v>
      </c>
      <c r="F9" s="5">
        <v>1500000</v>
      </c>
      <c r="G9" s="4">
        <v>649</v>
      </c>
    </row>
    <row r="10" ht="60" customHeight="1">
      <c r="A10" s="4" t="str">
        <v>AOW00: Cross Cutting</v>
      </c>
      <c r="B10" s="4" t="str">
        <v>2. Scaling partners enable access to agrifood solutions</v>
      </c>
      <c r="C10" s="4" t="str">
        <v/>
      </c>
      <c r="D10" s="4" t="str">
        <v>Innovation Use</v>
      </c>
      <c r="E10" s="4" t="str">
        <v>Global</v>
      </c>
      <c r="F10" s="5">
        <v>250000</v>
      </c>
      <c r="G10" s="4">
        <v>649</v>
      </c>
    </row>
    <row r="11" ht="60" customHeight="1">
      <c r="A11" s="8" t="str">
        <v>AOW01: Engage and Empower</v>
      </c>
      <c r="B11" s="4" t="str">
        <v>I-OC 1.1: Access and interaction with stakeholder demand information</v>
      </c>
      <c r="C11" s="4" t="str">
        <v/>
      </c>
      <c r="D11" s="4" t="str">
        <v>Innovation Use</v>
      </c>
      <c r="E11" s="4" t="str">
        <v>Global</v>
      </c>
      <c r="F11" s="5">
        <v>50</v>
      </c>
      <c r="G11" s="4">
        <v>657</v>
      </c>
    </row>
    <row r="12" ht="60" customHeight="1">
      <c r="A12" s="4" t="str">
        <v>AOW01: Engage and Empower</v>
      </c>
      <c r="B12" s="4" t="str">
        <v>I-OC 1.1: Access and interaction with stakeholder demand information</v>
      </c>
      <c r="C12" s="4" t="str">
        <v/>
      </c>
      <c r="D12" s="4" t="str">
        <v>Innovation Use</v>
      </c>
      <c r="E12" s="4" t="str">
        <v>Global</v>
      </c>
      <c r="F12" s="5">
        <v>3</v>
      </c>
      <c r="G12" s="4">
        <v>657</v>
      </c>
    </row>
    <row r="13" ht="60" customHeight="1">
      <c r="A13" s="4" t="str">
        <v>AOW01: Engage and Empower</v>
      </c>
      <c r="B13" s="4" t="str">
        <v>I-OC 1.1: Access and interaction with stakeholder demand information</v>
      </c>
      <c r="C13" s="4" t="str">
        <v/>
      </c>
      <c r="D13" s="4" t="str">
        <v>Innovation Use</v>
      </c>
      <c r="E13" s="4" t="str">
        <v>Global</v>
      </c>
      <c r="F13" s="5">
        <v>3</v>
      </c>
      <c r="G13" s="4">
        <v>657</v>
      </c>
    </row>
    <row r="14" ht="60" customHeight="1">
      <c r="A14" s="4" t="str">
        <v>AOW01: Engage and Empower</v>
      </c>
      <c r="B14" s="4" t="str">
        <v>I-OC 1.3: Alignment of CGIAR research and scaling to stakeholder demand</v>
      </c>
      <c r="C14" s="4" t="str">
        <v/>
      </c>
      <c r="D14" s="4" t="str">
        <v>Number of Policy (Policy Change)</v>
      </c>
      <c r="E14" s="4" t="str">
        <v>Global</v>
      </c>
      <c r="F14" s="5">
        <v>1</v>
      </c>
      <c r="G14" s="4">
        <v>658</v>
      </c>
    </row>
    <row r="15" ht="60" customHeight="1">
      <c r="A15" s="4" t="str">
        <v>AOW01: Engage and Empower</v>
      </c>
      <c r="B15" s="4" t="str">
        <v>I-OC 1.3: Alignment of CGIAR research and scaling to stakeholder demand</v>
      </c>
      <c r="C15" s="4" t="str">
        <v/>
      </c>
      <c r="D15" s="4" t="str">
        <v>Number of Policy (Policy Change)</v>
      </c>
      <c r="E15" s="4" t="str">
        <v>Global</v>
      </c>
      <c r="F15" s="5">
        <v>1</v>
      </c>
      <c r="G15" s="4">
        <v>658</v>
      </c>
    </row>
    <row r="16" ht="60" customHeight="1">
      <c r="A16" s="4" t="str">
        <v>AOW01: Engage and Empower</v>
      </c>
      <c r="B16" s="4" t="str">
        <v>I-OC 1.2: Use of adaptive management methods</v>
      </c>
      <c r="C16" s="4" t="str">
        <v/>
      </c>
      <c r="D16" s="4" t="str">
        <v>Number of Policy (Policy Change)</v>
      </c>
      <c r="E16" s="4" t="str">
        <v>Global</v>
      </c>
      <c r="F16" s="5">
        <v>1</v>
      </c>
      <c r="G16" s="4">
        <v>659</v>
      </c>
    </row>
    <row r="17" ht="60" customHeight="1">
      <c r="A17" s="4" t="str">
        <v>AOW01: Engage and Empower</v>
      </c>
      <c r="B17" s="4" t="str">
        <v>I-OC 1.2: Use of adaptive management methods</v>
      </c>
      <c r="C17" s="4" t="str">
        <v/>
      </c>
      <c r="D17" s="4" t="str">
        <v>Number of Policy (Policy Change)</v>
      </c>
      <c r="E17" s="4" t="str">
        <v>Global</v>
      </c>
      <c r="F17" s="5">
        <v>1</v>
      </c>
      <c r="G17" s="4">
        <v>659</v>
      </c>
    </row>
    <row r="18" ht="60" customHeight="1">
      <c r="A18" s="8" t="str">
        <v>AOW02: Grand Challenges and Scaling Flagships</v>
      </c>
      <c r="B18" s="4" t="str">
        <v>I-OC 2.1: Support for scaling of climate-smart innovations</v>
      </c>
      <c r="C18" s="4" t="str">
        <v/>
      </c>
      <c r="D18" s="4" t="str">
        <v>Number of Policy (Policy Change)</v>
      </c>
      <c r="E18" s="4" t="str">
        <v>Global</v>
      </c>
      <c r="F18" s="5">
        <v>10</v>
      </c>
      <c r="G18" s="4">
        <v>662</v>
      </c>
    </row>
    <row r="19" ht="60" customHeight="1">
      <c r="A19" s="4" t="str">
        <v>AOW02: Grand Challenges and Scaling Flagships</v>
      </c>
      <c r="B19" s="4" t="str">
        <v>I-OC 2.1: Support for scaling of climate-smart innovations</v>
      </c>
      <c r="C19" s="4" t="str">
        <v/>
      </c>
      <c r="D19" s="4" t="str">
        <v>Innovation Use</v>
      </c>
      <c r="E19" s="4" t="str">
        <v>Global</v>
      </c>
      <c r="F19" s="5">
        <v>1000000</v>
      </c>
      <c r="G19" s="4">
        <v>662</v>
      </c>
    </row>
    <row r="20" ht="60" customHeight="1">
      <c r="A20" s="4" t="str">
        <v>AOW02: Grand Challenges and Scaling Flagships</v>
      </c>
      <c r="B20" s="4" t="str">
        <v>I-OC 2.2: Adoption and adaptation of business models and market-led solutions</v>
      </c>
      <c r="C20" s="4" t="str">
        <v/>
      </c>
      <c r="D20" s="4" t="str">
        <v>Innovation Use</v>
      </c>
      <c r="E20" s="4" t="str">
        <v>Global</v>
      </c>
      <c r="F20" s="5">
        <v>30</v>
      </c>
      <c r="G20" s="4">
        <v>663</v>
      </c>
    </row>
    <row r="21" ht="60" customHeight="1">
      <c r="A21" s="4" t="str">
        <v>AOW02: Grand Challenges and Scaling Flagships</v>
      </c>
      <c r="B21" s="4" t="str">
        <v>I-OC 2.2: Adoption and adaptation of business models and market-led solutions</v>
      </c>
      <c r="C21" s="4" t="str">
        <v/>
      </c>
      <c r="D21" s="4" t="str">
        <v>Innovation Use</v>
      </c>
      <c r="E21" s="4" t="str">
        <v>Global</v>
      </c>
      <c r="F21" s="5">
        <v>500000</v>
      </c>
      <c r="G21" s="4">
        <v>663</v>
      </c>
    </row>
    <row r="22" ht="60" customHeight="1">
      <c r="A22" s="4" t="str">
        <v>AOW02: Grand Challenges and Scaling Flagships</v>
      </c>
      <c r="B22" s="4" t="str">
        <v>I-OC 2.3: Partners' implementation of market, policy, and behavior change innovations</v>
      </c>
      <c r="C22" s="4" t="str">
        <v/>
      </c>
      <c r="D22" s="4" t="str">
        <v>Innovation Use</v>
      </c>
      <c r="E22" s="4" t="str">
        <v>Global</v>
      </c>
      <c r="F22" s="5">
        <v>1</v>
      </c>
      <c r="G22" s="4">
        <v>664</v>
      </c>
    </row>
    <row r="23" ht="60" customHeight="1">
      <c r="A23" s="4" t="str">
        <v>AOW02: Grand Challenges and Scaling Flagships</v>
      </c>
      <c r="B23" s="4" t="str">
        <v>I-OC 2.3: Partners' implementation of market, policy, and behavior change innovations</v>
      </c>
      <c r="C23" s="4" t="str">
        <v/>
      </c>
      <c r="D23" s="4" t="str">
        <v>Innovation Use</v>
      </c>
      <c r="E23" s="4" t="str">
        <v>Global</v>
      </c>
      <c r="F23" s="5">
        <v>1</v>
      </c>
      <c r="G23" s="4">
        <v>664</v>
      </c>
    </row>
    <row r="24" ht="60" customHeight="1">
      <c r="A24" s="8" t="str">
        <v>AOW03: Enabling Environment Lab</v>
      </c>
      <c r="B24" s="4" t="str">
        <v>I-OC 3.2: Improved capacity for policy, market and coordination mechanisms for inclusive scaling</v>
      </c>
      <c r="C24" s="4" t="str">
        <v/>
      </c>
      <c r="D24" s="4" t="str">
        <v xml:space="preserve"> </v>
      </c>
      <c r="E24" s="4" t="str">
        <v>Global</v>
      </c>
      <c r="F24" s="5">
        <v>2</v>
      </c>
      <c r="G24" s="4">
        <v>644</v>
      </c>
    </row>
    <row r="25" ht="60" customHeight="1">
      <c r="A25" s="4" t="str">
        <v>AOW03: Enabling Environment Lab</v>
      </c>
      <c r="B25" s="4" t="str">
        <v>I-OC 3.2: Improved capacity for policy, market and coordination mechanisms for inclusive scaling</v>
      </c>
      <c r="C25" s="4" t="str">
        <v/>
      </c>
      <c r="D25" s="4" t="str">
        <v xml:space="preserve"> </v>
      </c>
      <c r="E25" s="4" t="str">
        <v>Global</v>
      </c>
      <c r="F25" s="5">
        <v>50</v>
      </c>
      <c r="G25" s="4">
        <v>644</v>
      </c>
    </row>
    <row r="26" ht="60" customHeight="1">
      <c r="A26" s="4" t="str">
        <v>AOW03: Enabling Environment Lab</v>
      </c>
      <c r="B26" s="4" t="str">
        <v>I-OC 3.2: Improved capacity for policy, market and coordination mechanisms for inclusive scaling</v>
      </c>
      <c r="C26" s="4" t="str">
        <v/>
      </c>
      <c r="D26" s="4" t="str">
        <v xml:space="preserve"> </v>
      </c>
      <c r="E26" s="4" t="str">
        <v>Global</v>
      </c>
      <c r="F26" s="5">
        <v>10</v>
      </c>
      <c r="G26" s="4">
        <v>644</v>
      </c>
    </row>
    <row r="27" ht="60" customHeight="1">
      <c r="A27" s="4" t="str">
        <v>AOW03: Enabling Environment Lab</v>
      </c>
      <c r="B27" s="4" t="str">
        <v xml:space="preserve">I-OC 3.3: Coordination support for inclusive scaling through </v>
      </c>
      <c r="C27" s="4" t="str">
        <v/>
      </c>
      <c r="D27" s="4" t="str">
        <v xml:space="preserve"> </v>
      </c>
      <c r="E27" s="4" t="str">
        <v>Global</v>
      </c>
      <c r="F27" s="5">
        <v>200</v>
      </c>
      <c r="G27" s="4">
        <v>655</v>
      </c>
    </row>
    <row r="28" ht="60" customHeight="1">
      <c r="A28" s="4" t="str">
        <v>AOW03: Enabling Environment Lab</v>
      </c>
      <c r="B28" s="4" t="str">
        <v>I-OC 3.1: Use of CGIAR co-developed enabling environment tools, diagnostics, and action plans</v>
      </c>
      <c r="C28" s="4" t="str">
        <v/>
      </c>
      <c r="D28" s="4" t="str">
        <v>Innovation Use</v>
      </c>
      <c r="E28" s="4" t="str">
        <v>Global</v>
      </c>
      <c r="F28" s="5">
        <v>2</v>
      </c>
      <c r="G28" s="4">
        <v>665</v>
      </c>
    </row>
    <row r="29" ht="60" customHeight="1">
      <c r="A29" s="4" t="str">
        <v>AOW03: Enabling Environment Lab</v>
      </c>
      <c r="B29" s="4" t="str">
        <v>I-OC 3.1: Use of CGIAR co-developed enabling environment tools, diagnostics, and action plans</v>
      </c>
      <c r="C29" s="4" t="str">
        <v/>
      </c>
      <c r="D29" s="4" t="str">
        <v>Innovation Use</v>
      </c>
      <c r="E29" s="4" t="str">
        <v>Global</v>
      </c>
      <c r="F29" s="5">
        <v>50</v>
      </c>
      <c r="G29" s="4">
        <v>665</v>
      </c>
    </row>
    <row r="30" ht="60" customHeight="1">
      <c r="A30" s="4" t="str">
        <v>AOW03: Enabling Environment Lab</v>
      </c>
      <c r="B30" s="4" t="str">
        <v>I-OC 3.1: Use of CGIAR co-developed enabling environment tools, diagnostics, and action plans</v>
      </c>
      <c r="C30" s="4" t="str">
        <v/>
      </c>
      <c r="D30" s="4" t="str">
        <v>Innovation Use</v>
      </c>
      <c r="E30" s="4" t="str">
        <v>Global</v>
      </c>
      <c r="F30" s="5">
        <v>10</v>
      </c>
      <c r="G30" s="4">
        <v>665</v>
      </c>
    </row>
    <row r="31" ht="60" customHeight="1">
      <c r="A31" s="8" t="str">
        <v>AOW04: Achieving Impact by Unlocking Finance and Partnerships</v>
      </c>
      <c r="B31" s="4" t="str">
        <v>I-OC 4.2: Private sector financing and investment for innovation scaling</v>
      </c>
      <c r="C31" s="4" t="str">
        <v/>
      </c>
      <c r="D31" s="4" t="str">
        <v>Number of Policy (Policy Change)</v>
      </c>
      <c r="E31" s="4" t="str">
        <v>Global</v>
      </c>
      <c r="F31" s="5">
        <v>2</v>
      </c>
      <c r="G31" s="4">
        <v>653</v>
      </c>
    </row>
    <row r="32" ht="60" customHeight="1">
      <c r="A32" s="4" t="str">
        <v>AOW04: Achieving Impact by Unlocking Finance and Partnerships</v>
      </c>
      <c r="B32" s="4" t="str">
        <v>I-OC 4.1: IFI and government financing and investment for  innovation scaling</v>
      </c>
      <c r="C32" s="4" t="str">
        <v/>
      </c>
      <c r="D32" s="4" t="str">
        <v>Number of Policy (Policy Change)</v>
      </c>
      <c r="E32" s="4" t="str">
        <v>Global</v>
      </c>
      <c r="F32" s="5">
        <v>11</v>
      </c>
      <c r="G32" s="4">
        <v>654</v>
      </c>
    </row>
    <row r="33" ht="60" customHeight="1">
      <c r="A33" s="4" t="str">
        <v>AOW04: Achieving Impact by Unlocking Finance and Partnerships</v>
      </c>
      <c r="B33" s="4" t="str">
        <v>I-OC 4.3. Partners embed responsible scaling approaches for innovation scaling</v>
      </c>
      <c r="C33" s="4" t="str">
        <v/>
      </c>
      <c r="D33" s="4" t="str">
        <v>Number of Policy (Policy Change)</v>
      </c>
      <c r="E33" s="4" t="str">
        <v>Global</v>
      </c>
      <c r="F33" s="5">
        <v>1</v>
      </c>
      <c r="G33" s="4">
        <v>724</v>
      </c>
    </row>
    <row r="34" ht="60" customHeight="1">
      <c r="A34" s="4" t="str">
        <v>AOW04: Achieving Impact by Unlocking Finance and Partnerships</v>
      </c>
      <c r="B34" s="4" t="str">
        <v>I-OC 4.3. Partners embed responsible scaling approaches for innovation scaling</v>
      </c>
      <c r="C34" s="4" t="str">
        <v/>
      </c>
      <c r="D34" s="4" t="str">
        <v>Number of Policy (Policy Change)</v>
      </c>
      <c r="E34" s="4" t="str">
        <v>Global</v>
      </c>
      <c r="F34" s="5">
        <v>2</v>
      </c>
      <c r="G34" s="4">
        <v>724</v>
      </c>
    </row>
    <row r="35" ht="60" customHeight="1">
      <c r="A35" s="4" t="str">
        <v>AOW04: Achieving Impact by Unlocking Finance and Partnerships</v>
      </c>
      <c r="B35" s="4" t="str">
        <v>I-OC 4.3. Partners embed responsible scaling approaches for innovation scaling</v>
      </c>
      <c r="C35" s="4" t="str">
        <v/>
      </c>
      <c r="D35" s="4" t="str">
        <v>Number of Policy (Policy Change)</v>
      </c>
      <c r="E35" s="4" t="str">
        <v>Global</v>
      </c>
      <c r="F35" s="5">
        <v>3</v>
      </c>
      <c r="G35" s="4">
        <v>724</v>
      </c>
    </row>
    <row r="36" ht="60" customHeight="1">
      <c r="A36" s="8" t="str">
        <v>AOW05: Learning for Impact</v>
      </c>
      <c r="B36" s="4" t="str">
        <v>I-OC 5.3: Use of innovation portfolio management tools</v>
      </c>
      <c r="C36" s="4" t="str">
        <v/>
      </c>
      <c r="D36" s="4" t="str">
        <v>Innovation Use</v>
      </c>
      <c r="E36" s="4" t="str">
        <v>Global</v>
      </c>
      <c r="F36" s="5">
        <v>10</v>
      </c>
      <c r="G36" s="4">
        <v>650</v>
      </c>
    </row>
    <row r="37" ht="60" customHeight="1">
      <c r="A37" s="4" t="str">
        <v>AOW05: Learning for Impact</v>
      </c>
      <c r="B37" s="4" t="str">
        <v>I-OC 5.3: Use of innovation portfolio management tools</v>
      </c>
      <c r="C37" s="4" t="str">
        <v/>
      </c>
      <c r="D37" s="4" t="str">
        <v>Innovation Use</v>
      </c>
      <c r="E37" s="4" t="str">
        <v>Global</v>
      </c>
      <c r="F37" s="5">
        <v>2</v>
      </c>
      <c r="G37" s="4">
        <v>650</v>
      </c>
    </row>
    <row r="38" ht="60" customHeight="1">
      <c r="A38" s="4" t="str">
        <v>AOW05: Learning for Impact</v>
      </c>
      <c r="B38" s="4" t="str">
        <v>I-OC 5.3: Use of innovation portfolio management tools</v>
      </c>
      <c r="C38" s="4" t="str">
        <v/>
      </c>
      <c r="D38" s="4" t="str">
        <v>Innovation Use</v>
      </c>
      <c r="E38" s="4" t="str">
        <v>Global</v>
      </c>
      <c r="F38" s="5">
        <v>3</v>
      </c>
      <c r="G38" s="4">
        <v>650</v>
      </c>
    </row>
    <row r="39" ht="60" customHeight="1">
      <c r="A39" s="4" t="str">
        <v>AOW05: Learning for Impact</v>
      </c>
      <c r="B39" s="4" t="str">
        <v>I-OC 5.2: Application of dynamic learning insights and evaluation findings</v>
      </c>
      <c r="C39" s="4" t="str">
        <v/>
      </c>
      <c r="D39" s="4" t="str">
        <v>Number of Policy (Policy Change)</v>
      </c>
      <c r="E39" s="4" t="str">
        <v>Global</v>
      </c>
      <c r="F39" s="5">
        <v>5</v>
      </c>
      <c r="G39" s="4">
        <v>651</v>
      </c>
    </row>
    <row r="40" ht="60" customHeight="1">
      <c r="A40" s="4" t="str">
        <v>AOW05: Learning for Impact</v>
      </c>
      <c r="B40" s="4" t="str">
        <v>I-OC 5.1: Adoption of scaling science approaches</v>
      </c>
      <c r="C40" s="4" t="str">
        <v/>
      </c>
      <c r="D40" s="4" t="str">
        <v>Innovation Use</v>
      </c>
      <c r="E40" s="4" t="str">
        <v>Global</v>
      </c>
      <c r="F40" s="5">
        <v>10</v>
      </c>
      <c r="G40" s="4">
        <v>652</v>
      </c>
    </row>
    <row r="41" ht="60" customHeight="1">
      <c r="A41" s="4" t="str">
        <v>AOW05: Learning for Impact</v>
      </c>
      <c r="B41" s="4" t="str">
        <v>I-OC 5.1: Adoption of scaling science approaches</v>
      </c>
      <c r="C41" s="4" t="str">
        <v/>
      </c>
      <c r="D41" s="4" t="str">
        <v>Innovation Use</v>
      </c>
      <c r="E41" s="4" t="str">
        <v>Global</v>
      </c>
      <c r="F41" s="5">
        <v>2</v>
      </c>
      <c r="G41" s="4">
        <v>652</v>
      </c>
    </row>
    <row r="42" ht="60" customHeight="1">
      <c r="A42" s="4" t="str">
        <v>AOW05: Learning for Impact</v>
      </c>
      <c r="B42" s="4" t="str">
        <v>I-OC 5.1: Adoption of scaling science approaches</v>
      </c>
      <c r="C42" s="4" t="str">
        <v/>
      </c>
      <c r="D42" s="4" t="str">
        <v>Innovation Use</v>
      </c>
      <c r="E42" s="4" t="str">
        <v>Global</v>
      </c>
      <c r="F42" s="5">
        <v>3</v>
      </c>
      <c r="G42" s="4">
        <v>652</v>
      </c>
    </row>
  </sheetData>
  <mergeCells count="34">
    <mergeCell ref="B4:B5"/>
    <mergeCell ref="C4:C5"/>
    <mergeCell ref="B6:B8"/>
    <mergeCell ref="C6:C8"/>
    <mergeCell ref="B9:B10"/>
    <mergeCell ref="C9:C10"/>
    <mergeCell ref="A2:A10"/>
    <mergeCell ref="B11:B13"/>
    <mergeCell ref="C11:C13"/>
    <mergeCell ref="B14:B15"/>
    <mergeCell ref="C14:C15"/>
    <mergeCell ref="B16:B17"/>
    <mergeCell ref="C16:C17"/>
    <mergeCell ref="A11:A17"/>
    <mergeCell ref="B18:B19"/>
    <mergeCell ref="C18:C19"/>
    <mergeCell ref="B20:B21"/>
    <mergeCell ref="C20:C21"/>
    <mergeCell ref="B22:B23"/>
    <mergeCell ref="C22:C23"/>
    <mergeCell ref="A18:A23"/>
    <mergeCell ref="B24:B26"/>
    <mergeCell ref="C24:C26"/>
    <mergeCell ref="B28:B30"/>
    <mergeCell ref="C28:C30"/>
    <mergeCell ref="A24:A30"/>
    <mergeCell ref="B33:B35"/>
    <mergeCell ref="C33:C35"/>
    <mergeCell ref="A31:A35"/>
    <mergeCell ref="B36:B38"/>
    <mergeCell ref="C36:C38"/>
    <mergeCell ref="B40:B42"/>
    <mergeCell ref="C40:C42"/>
    <mergeCell ref="A36:A42"/>
  </mergeCells>
  <ignoredErrors>
    <ignoredError numberStoredAsText="1" sqref="A1:G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