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206</v>
      </c>
    </row>
    <row r="5" ht="20" customHeight="1">
      <c r="A5" s="4" t="str">
        <v>AOW01: Engage and Empower</v>
      </c>
      <c r="B5" s="5">
        <v>0</v>
      </c>
      <c r="C5" s="5">
        <v>0</v>
      </c>
      <c r="D5" s="5">
        <v>0</v>
      </c>
      <c r="E5" s="5">
        <v>0</v>
      </c>
      <c r="F5" s="5">
        <v>0</v>
      </c>
      <c r="G5" s="5">
        <v>0</v>
      </c>
      <c r="H5" s="5">
        <v>0</v>
      </c>
      <c r="I5" s="5">
        <v>0</v>
      </c>
      <c r="J5" s="5">
        <v>0</v>
      </c>
      <c r="K5" s="5">
        <v>0</v>
      </c>
      <c r="L5" s="5">
        <v>0</v>
      </c>
      <c r="M5" s="5">
        <v>0</v>
      </c>
      <c r="N5" s="4">
        <v>205</v>
      </c>
    </row>
    <row r="6" ht="20" customHeight="1">
      <c r="A6" s="4" t="str">
        <v>AOW02: Grand Challenges and Scaling Flagships</v>
      </c>
      <c r="B6" s="5">
        <v>0</v>
      </c>
      <c r="C6" s="5">
        <v>0</v>
      </c>
      <c r="D6" s="5">
        <v>0</v>
      </c>
      <c r="E6" s="5">
        <v>0</v>
      </c>
      <c r="F6" s="5">
        <v>0</v>
      </c>
      <c r="G6" s="5">
        <v>0</v>
      </c>
      <c r="H6" s="5">
        <v>0</v>
      </c>
      <c r="I6" s="5">
        <v>0</v>
      </c>
      <c r="J6" s="5">
        <v>0</v>
      </c>
      <c r="K6" s="5">
        <v>0</v>
      </c>
      <c r="L6" s="5">
        <v>0</v>
      </c>
      <c r="M6" s="5">
        <v>0</v>
      </c>
      <c r="N6" s="4">
        <v>201</v>
      </c>
    </row>
    <row r="7" ht="20" customHeight="1">
      <c r="A7" s="4" t="str">
        <v>AOW03: Enabling Environment Lab</v>
      </c>
      <c r="B7" s="5">
        <v>0</v>
      </c>
      <c r="C7" s="5">
        <v>0</v>
      </c>
      <c r="D7" s="5">
        <v>0</v>
      </c>
      <c r="E7" s="5">
        <v>0</v>
      </c>
      <c r="F7" s="5">
        <v>0</v>
      </c>
      <c r="G7" s="5">
        <v>0</v>
      </c>
      <c r="H7" s="5">
        <v>0</v>
      </c>
      <c r="I7" s="5">
        <v>0</v>
      </c>
      <c r="J7" s="5">
        <v>0</v>
      </c>
      <c r="K7" s="5">
        <v>0</v>
      </c>
      <c r="L7" s="5">
        <v>0</v>
      </c>
      <c r="M7" s="5">
        <v>0</v>
      </c>
      <c r="N7" s="4">
        <v>203</v>
      </c>
    </row>
    <row r="8" ht="20" customHeight="1">
      <c r="A8" s="4" t="str">
        <v>AOW04: Achieving Impact by Unlocking Finance and Partnerships</v>
      </c>
      <c r="B8" s="5">
        <v>0</v>
      </c>
      <c r="C8" s="5">
        <v>0</v>
      </c>
      <c r="D8" s="5">
        <v>0</v>
      </c>
      <c r="E8" s="5">
        <v>0</v>
      </c>
      <c r="F8" s="5">
        <v>0</v>
      </c>
      <c r="G8" s="5">
        <v>0</v>
      </c>
      <c r="H8" s="5">
        <v>0</v>
      </c>
      <c r="I8" s="5">
        <v>0</v>
      </c>
      <c r="J8" s="5">
        <v>0</v>
      </c>
      <c r="K8" s="5">
        <v>0</v>
      </c>
      <c r="L8" s="5">
        <v>0</v>
      </c>
      <c r="M8" s="5">
        <v>0</v>
      </c>
      <c r="N8" s="4">
        <v>202</v>
      </c>
    </row>
    <row r="9" ht="20" customHeight="1">
      <c r="A9" s="4" t="str">
        <v>AOW05: Learning for Impact</v>
      </c>
      <c r="B9" s="5">
        <v>150</v>
      </c>
      <c r="C9" s="5">
        <v>43000</v>
      </c>
      <c r="D9" s="5">
        <v>2</v>
      </c>
      <c r="E9" s="5">
        <v>12838</v>
      </c>
      <c r="F9" s="5">
        <v>30</v>
      </c>
      <c r="G9" s="5">
        <v>48382</v>
      </c>
      <c r="H9" s="5">
        <v>0</v>
      </c>
      <c r="I9" s="5">
        <v>0</v>
      </c>
      <c r="J9" s="5">
        <v>104220</v>
      </c>
      <c r="K9" s="5">
        <v>104220</v>
      </c>
      <c r="L9" s="5">
        <v>10000</v>
      </c>
      <c r="M9" s="5">
        <v>0</v>
      </c>
      <c r="N9" s="4">
        <v>204</v>
      </c>
    </row>
    <row r="10" ht="25" customHeight="1">
      <c r="A10" s="6" t="str">
        <v>Total</v>
      </c>
      <c r="B10" s="7" t="str">
        <v/>
      </c>
      <c r="C10" s="7">
        <v>43000</v>
      </c>
      <c r="D10" s="7" t="str">
        <v/>
      </c>
      <c r="E10" s="7">
        <v>12838</v>
      </c>
      <c r="F10" s="7" t="str">
        <v/>
      </c>
      <c r="G10" s="7">
        <v>48382</v>
      </c>
      <c r="H10" s="7" t="str">
        <v/>
      </c>
      <c r="I10" s="7">
        <v>0</v>
      </c>
      <c r="J10" s="7">
        <v>104220</v>
      </c>
      <c r="K10" s="7">
        <v>104220</v>
      </c>
      <c r="L10" s="7">
        <v>10000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AOW05: Learning for Impact</v>
      </c>
      <c r="B3" s="4" t="str">
        <v>ICRISAT</v>
      </c>
      <c r="C3" s="4" t="str">
        <v xml:space="preserve">HLO 5.5.1: Scaling science for societal impact </v>
      </c>
      <c r="D3" s="4" t="str">
        <v>A5ICRISAT-CC-1.1: PoD name: Leveraging South–South Cooperation and Learning to Accelerate Scaling for Impact. Lead Center: ICRISAT. PoD KPI: 2 – Two global webinars (expecting 2 reports from 2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v>
      </c>
      <c r="E3" s="4" t="str">
        <v>Number of knowledge products</v>
      </c>
      <c r="F3" s="4" t="str">
        <v>India, Kenya</v>
      </c>
      <c r="G3" s="5">
        <v>2</v>
      </c>
      <c r="H3" s="5">
        <v>12838</v>
      </c>
      <c r="I3" s="4" t="str">
        <v>2 – Two global webinars on scaling practice and learning conducted by the end of 2026 with participation from external partners integrating scaling science into their innovation processes, governance frameworks, or scaling mechanisms.</v>
      </c>
      <c r="J3" s="4">
        <v>6089</v>
      </c>
    </row>
    <row r="4" ht="50" customHeight="1">
      <c r="B4" s="4" t="str">
        <v>ICRISAT</v>
      </c>
      <c r="D4" s="4" t="str">
        <v>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v>
      </c>
      <c r="E4" s="4" t="str">
        <v>Number of innovations (innovation development)</v>
      </c>
      <c r="F4" s="4" t="str">
        <v>Kenya, India</v>
      </c>
      <c r="G4" s="5">
        <v>150</v>
      </c>
      <c r="H4" s="5">
        <v>43000</v>
      </c>
      <c r="I4" s="4" t="str">
        <v xml:space="preserve"> 150 – One hundred fifty CGIAR/NARS validated innovation packages uploaded with standardized metadata in interactive dashboards by the end of 2026.</v>
      </c>
      <c r="J4" s="4">
        <v>6090</v>
      </c>
    </row>
    <row r="5" ht="50" customHeight="1">
      <c r="B5" s="4" t="str">
        <v>ICRISAT</v>
      </c>
      <c r="D5" s="4" t="str">
        <v>CRITICAL CAPABILITY: A5ICRISAT-CC-1.3: PoD name: Leveraging South–South Cooperation and Learning to Accelerate Scaling for Impact. Lead Center: ICRISAT. PoD KPI: 30 – Thirty representatives from 30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organizations.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v>
      </c>
      <c r="E5" s="4" t="str">
        <v>Number of people trained (capacity sharing for development)</v>
      </c>
      <c r="F5" s="4" t="str">
        <v>Kenya, India</v>
      </c>
      <c r="G5" s="5">
        <v>30</v>
      </c>
      <c r="H5" s="5">
        <v>48382</v>
      </c>
      <c r="I5" s="4" t="str">
        <v>30 – Thirty external partners trained on scaling readiness, responsible scaling, pathways to scaling, and policy engagement for scaling by the end of 2026.</v>
      </c>
      <c r="J5" s="4">
        <v>6091</v>
      </c>
    </row>
    <row r="6" ht="25" customHeight="1">
      <c r="C6" s="9" t="str">
        <v>HLO budget subtotal</v>
      </c>
      <c r="H6" s="9">
        <v>104220</v>
      </c>
      <c r="J6" s="9" t="str">
        <v/>
      </c>
    </row>
  </sheetData>
  <mergeCells count="9">
    <mergeCell ref="A1:A2"/>
    <mergeCell ref="B1:B2"/>
    <mergeCell ref="C1:C2"/>
    <mergeCell ref="D1:H1"/>
    <mergeCell ref="I1:I2"/>
    <mergeCell ref="J1:J2"/>
    <mergeCell ref="C3:C5"/>
    <mergeCell ref="C6:G6"/>
    <mergeCell ref="A3:A6"/>
  </mergeCells>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AOW05: Learning for Impact</v>
      </c>
      <c r="B2" s="4" t="str">
        <v>Unknown Center</v>
      </c>
      <c r="C2" s="4" t="str">
        <v>ICRISAT</v>
      </c>
      <c r="D2" s="4" t="str">
        <v>India, Kenya</v>
      </c>
      <c r="E2" s="5">
        <v>10000</v>
      </c>
      <c r="F2" s="4" t="str">
        <v xml:space="preserve">Unkown Partner in India and Kenya </v>
      </c>
      <c r="G2" s="4">
        <v>362</v>
      </c>
    </row>
    <row r="3" ht="25" customHeight="1">
      <c r="B3" s="9" t="str">
        <v>Contracted partners subtotal</v>
      </c>
      <c r="E3" s="9">
        <v>10000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Landscape resource management for augmenting groundwater recharge and sustainable intensification of farming systems and building resilience for improved livelihoods of farmers in dryland of Maharashtra, India</v>
      </c>
      <c r="C2" s="4" t="str">
        <v xml:space="preserve">HLO 3.3.1: Enabling environment tools and diagnostics </v>
      </c>
      <c r="D2" s="5">
        <v>0</v>
      </c>
      <c r="E2" s="4" t="str">
        <v/>
      </c>
      <c r="F2" s="4">
        <v>1163</v>
      </c>
    </row>
    <row r="3" ht="60" customHeight="1">
      <c r="A3" s="4" t="str">
        <v>ICRISAT</v>
      </c>
      <c r="B3" s="4" t="str">
        <v>Scaling Commercialization of Drought Tolerant Crops (DTC) Technologies to Secure Dignified and Fulfilling Work for 120,000 Youth in Rural Kenya</v>
      </c>
      <c r="C3" s="4" t="str">
        <v>HLO 2.2.1: Climate smart innovations</v>
      </c>
      <c r="D3" s="5">
        <v>138920</v>
      </c>
      <c r="E3" s="4" t="str">
        <v>As per W3 and Bilateral mapping dashboard</v>
      </c>
      <c r="F3" s="4">
        <v>1143</v>
      </c>
    </row>
    <row r="4" ht="60" customHeight="1">
      <c r="A4" s="4" t="str">
        <v>ICRISAT</v>
      </c>
      <c r="B4" s="4" t="str">
        <v>Technologies for African Agricultural Transformation Phase II (TAAT II)</v>
      </c>
      <c r="C4" s="4" t="str">
        <v>HLO 4.4.1: Technical assistance for financing for innovation scaling</v>
      </c>
      <c r="D4" s="5">
        <v>356258</v>
      </c>
      <c r="E4" s="4" t="str">
        <v>As per W3 and Bilateral mapping dashboard</v>
      </c>
      <c r="F4" s="4">
        <v>1173</v>
      </c>
    </row>
    <row r="5" ht="25" customHeight="1">
      <c r="B5" s="9" t="str">
        <v>W3/Bilateral budget subtotal</v>
      </c>
      <c r="D5" s="9">
        <v>495178</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0</v>
      </c>
      <c r="D2" s="5">
        <v>0</v>
      </c>
      <c r="E2" s="5">
        <v>0</v>
      </c>
      <c r="F2" s="5">
        <v>0</v>
      </c>
      <c r="G2" s="5">
        <v>74220</v>
      </c>
      <c r="H2" s="5">
        <f>=SUM(B2:G2)</f>
        <v>0</v>
      </c>
    </row>
    <row r="3" ht="20" customHeight="1">
      <c r="A3" s="4" t="str">
        <v>Operations (supplies, consultants, travels, workshops, other)</v>
      </c>
      <c r="B3" s="5">
        <v>0</v>
      </c>
      <c r="C3" s="5">
        <v>0</v>
      </c>
      <c r="D3" s="5">
        <v>0</v>
      </c>
      <c r="E3" s="5">
        <v>0</v>
      </c>
      <c r="F3" s="5">
        <v>0</v>
      </c>
      <c r="G3" s="5">
        <v>20000</v>
      </c>
      <c r="H3" s="5">
        <f>=SUM(B3:G3)</f>
        <v>0</v>
      </c>
    </row>
    <row r="4" ht="20" customHeight="1">
      <c r="A4" s="4" t="str">
        <v>Collaborators non-CGIAR centers</v>
      </c>
      <c r="B4" s="5">
        <v>0</v>
      </c>
      <c r="C4" s="5">
        <v>0</v>
      </c>
      <c r="D4" s="5">
        <v>0</v>
      </c>
      <c r="E4" s="5">
        <v>0</v>
      </c>
      <c r="F4" s="5">
        <v>0</v>
      </c>
      <c r="G4" s="5">
        <v>10000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AOW05: Learning for Impact</v>
      </c>
      <c r="B2" s="4" t="str">
        <v>ICRISAT</v>
      </c>
      <c r="C2" s="4" t="str">
        <v>India</v>
      </c>
      <c r="D2" s="5">
        <v>50</v>
      </c>
      <c r="E2" s="4">
        <v>1585</v>
      </c>
    </row>
    <row r="3" ht="45" customHeight="1">
      <c r="A3" s="4" t="str">
        <v>AOW05: Learning for Impact</v>
      </c>
      <c r="B3" s="4" t="str">
        <v>ICRISAT</v>
      </c>
      <c r="C3" s="4" t="str">
        <v>Kenya</v>
      </c>
      <c r="D3" s="5">
        <v>50</v>
      </c>
      <c r="E3" s="4">
        <v>1586</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AOW05: Learning for Impact</v>
      </c>
      <c r="B2" s="4" t="str">
        <v>ICRISAT</v>
      </c>
      <c r="C2" s="4" t="str">
        <v>Global</v>
      </c>
      <c r="D2" s="4" t="str">
        <v>global</v>
      </c>
      <c r="E2" s="5">
        <v>0</v>
      </c>
      <c r="F2" s="4">
        <v>560</v>
      </c>
    </row>
    <row r="3" ht="45" customHeight="1">
      <c r="A3" s="4" t="str">
        <v>AOW05: Learning for Impact</v>
      </c>
      <c r="B3" s="4" t="str">
        <v>ICRISAT</v>
      </c>
      <c r="C3" s="4" t="str">
        <v>India</v>
      </c>
      <c r="D3" s="4" t="str">
        <v>country</v>
      </c>
      <c r="E3" s="5">
        <v>50</v>
      </c>
      <c r="F3" s="4">
        <v>559</v>
      </c>
    </row>
    <row r="4" ht="45" customHeight="1">
      <c r="A4" s="4" t="str">
        <v>AOW05: Learning for Impact</v>
      </c>
      <c r="B4" s="4" t="str">
        <v>ICRISAT</v>
      </c>
      <c r="C4" s="4" t="str">
        <v>Kenya</v>
      </c>
      <c r="D4" s="4" t="str">
        <v>country</v>
      </c>
      <c r="E4" s="5">
        <v>50</v>
      </c>
      <c r="F4" s="4">
        <v>561</v>
      </c>
    </row>
  </sheetData>
  <mergeCells count="1">
    <mergeCell ref="A2: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