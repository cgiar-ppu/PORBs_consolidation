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6000</v>
      </c>
      <c r="K4" s="5">
        <v>6000</v>
      </c>
      <c r="L4" s="5">
        <v>0</v>
      </c>
      <c r="M4" s="5">
        <v>0</v>
      </c>
      <c r="N4" s="4">
        <v>206</v>
      </c>
    </row>
    <row r="5" ht="20" customHeight="1">
      <c r="A5" s="4" t="str">
        <v>AOW01: Engage and Empower</v>
      </c>
      <c r="B5" s="5">
        <v>0</v>
      </c>
      <c r="C5" s="5">
        <v>0</v>
      </c>
      <c r="D5" s="5">
        <v>1</v>
      </c>
      <c r="E5" s="5">
        <v>60000</v>
      </c>
      <c r="F5" s="5">
        <v>0</v>
      </c>
      <c r="G5" s="5">
        <v>0</v>
      </c>
      <c r="H5" s="5">
        <v>0</v>
      </c>
      <c r="I5" s="5">
        <v>0</v>
      </c>
      <c r="J5" s="5">
        <v>60000</v>
      </c>
      <c r="K5" s="5">
        <v>60000</v>
      </c>
      <c r="L5" s="5">
        <v>0</v>
      </c>
      <c r="M5" s="5">
        <v>0</v>
      </c>
      <c r="N5" s="4">
        <v>205</v>
      </c>
    </row>
    <row r="6" ht="20" customHeight="1">
      <c r="A6" s="4" t="str">
        <v>AOW02: Grand Challenges and Scaling Flagships</v>
      </c>
      <c r="B6" s="5">
        <v>7</v>
      </c>
      <c r="C6" s="5">
        <v>177095</v>
      </c>
      <c r="D6" s="5">
        <v>10</v>
      </c>
      <c r="E6" s="5">
        <v>252060</v>
      </c>
      <c r="F6" s="5">
        <v>2253</v>
      </c>
      <c r="G6" s="5">
        <v>220237</v>
      </c>
      <c r="H6" s="5">
        <v>107</v>
      </c>
      <c r="I6" s="5">
        <v>262769</v>
      </c>
      <c r="J6" s="5">
        <v>912161</v>
      </c>
      <c r="K6" s="5">
        <v>912161</v>
      </c>
      <c r="L6" s="5">
        <v>302812</v>
      </c>
      <c r="M6" s="5">
        <v>0</v>
      </c>
      <c r="N6" s="4">
        <v>201</v>
      </c>
    </row>
    <row r="7" ht="20" customHeight="1">
      <c r="A7" s="4" t="str">
        <v>AOW03: Enabling Environment Lab</v>
      </c>
      <c r="B7" s="5">
        <v>0</v>
      </c>
      <c r="C7" s="5">
        <v>0</v>
      </c>
      <c r="D7" s="5">
        <v>4</v>
      </c>
      <c r="E7" s="5">
        <v>175000</v>
      </c>
      <c r="F7" s="5">
        <v>3</v>
      </c>
      <c r="G7" s="5">
        <v>100000</v>
      </c>
      <c r="H7" s="5">
        <v>0</v>
      </c>
      <c r="I7" s="5">
        <v>0</v>
      </c>
      <c r="J7" s="5">
        <v>275000</v>
      </c>
      <c r="K7" s="5">
        <v>275000</v>
      </c>
      <c r="L7" s="5">
        <v>20000</v>
      </c>
      <c r="M7" s="5">
        <v>0</v>
      </c>
      <c r="N7" s="4">
        <v>203</v>
      </c>
    </row>
    <row r="8" ht="20" customHeight="1">
      <c r="A8" s="4" t="str">
        <v>AOW04: Achieving Impact by Unlocking Finance and Partnerships</v>
      </c>
      <c r="B8" s="5">
        <v>0</v>
      </c>
      <c r="C8" s="5">
        <v>0</v>
      </c>
      <c r="D8" s="5">
        <v>9</v>
      </c>
      <c r="E8" s="5">
        <v>168585</v>
      </c>
      <c r="F8" s="5">
        <v>0</v>
      </c>
      <c r="G8" s="5">
        <v>0</v>
      </c>
      <c r="H8" s="5">
        <v>0</v>
      </c>
      <c r="I8" s="5">
        <v>0</v>
      </c>
      <c r="J8" s="5">
        <v>168585</v>
      </c>
      <c r="K8" s="5">
        <v>168585</v>
      </c>
      <c r="L8" s="5">
        <v>0</v>
      </c>
      <c r="M8" s="5">
        <v>0</v>
      </c>
      <c r="N8" s="4">
        <v>202</v>
      </c>
    </row>
    <row r="9" ht="20" customHeight="1">
      <c r="A9" s="4" t="str">
        <v>AOW05: Learning for Impact</v>
      </c>
      <c r="B9" s="5">
        <v>2</v>
      </c>
      <c r="C9" s="5">
        <v>20000</v>
      </c>
      <c r="D9" s="5">
        <v>2</v>
      </c>
      <c r="E9" s="5">
        <v>260000</v>
      </c>
      <c r="F9" s="5">
        <v>0</v>
      </c>
      <c r="G9" s="5">
        <v>0</v>
      </c>
      <c r="H9" s="5">
        <v>0</v>
      </c>
      <c r="I9" s="5">
        <v>0</v>
      </c>
      <c r="J9" s="5">
        <v>280000</v>
      </c>
      <c r="K9" s="5">
        <v>280000</v>
      </c>
      <c r="L9" s="5">
        <v>194915</v>
      </c>
      <c r="M9" s="5">
        <v>85085</v>
      </c>
      <c r="N9" s="4">
        <v>204</v>
      </c>
    </row>
    <row r="10" ht="25" customHeight="1">
      <c r="A10" s="6" t="str">
        <v>Total</v>
      </c>
      <c r="B10" s="7" t="str">
        <v/>
      </c>
      <c r="C10" s="7">
        <v>197095</v>
      </c>
      <c r="D10" s="7" t="str">
        <v/>
      </c>
      <c r="E10" s="7">
        <v>915645</v>
      </c>
      <c r="F10" s="7" t="str">
        <v/>
      </c>
      <c r="G10" s="7">
        <v>320237</v>
      </c>
      <c r="H10" s="7" t="str">
        <v/>
      </c>
      <c r="I10" s="7">
        <v>262769</v>
      </c>
      <c r="J10" s="7">
        <v>1701746</v>
      </c>
      <c r="K10" s="7">
        <v>1701746</v>
      </c>
      <c r="L10" s="7">
        <v>517727</v>
      </c>
      <c r="M10" s="7">
        <v>85085</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35"/>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Engage and Empower</v>
      </c>
      <c r="B3" s="4" t="str">
        <v>IFPRI</v>
      </c>
      <c r="C3" s="4" t="str">
        <v>HLO 1.1.3: Strategies for research and scaling prioritization</v>
      </c>
      <c r="D3"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 s="4" t="str">
        <v>Number of knowledge products</v>
      </c>
      <c r="F3" s="4" t="str">
        <v>India</v>
      </c>
      <c r="G3" s="5">
        <v>1</v>
      </c>
      <c r="H3" s="5">
        <v>60000</v>
      </c>
      <c r="I3" s="4" t="str">
        <v xml:space="preserve"> 1—one CGIAR Innovation Demand. Note finalized and disseminated by the end of 2026, developed through structured national consultations engaging at least 15 organizations to identify priority policy levers and research needs for scaling healthy diets.</v>
      </c>
      <c r="J3" s="4">
        <v>8299</v>
      </c>
    </row>
    <row r="4" ht="25" customHeight="1">
      <c r="C4" s="9" t="str">
        <v>HLO budget subtotal</v>
      </c>
      <c r="H4" s="9">
        <v>60000</v>
      </c>
      <c r="J4" s="9" t="str">
        <v/>
      </c>
    </row>
    <row r="5" ht="50" customHeight="1">
      <c r="A5" s="8" t="str">
        <v>AOW02: Grand Challenges and Scaling Flagships</v>
      </c>
      <c r="B5" s="4" t="str">
        <v>IFPRI</v>
      </c>
      <c r="C5" s="4" t="str">
        <v>HLO 2.2.1: Climate smart innovations</v>
      </c>
      <c r="D5" s="4" t="str">
        <v>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5" s="4" t="str">
        <v>Number of innovations (innovation development)</v>
      </c>
      <c r="F5" s="4" t="str">
        <v>Kenya</v>
      </c>
      <c r="G5" s="5">
        <v>1</v>
      </c>
      <c r="H5" s="5">
        <v>26617</v>
      </c>
      <c r="I5" s="4" t="str">
        <v>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v>
      </c>
      <c r="J5" s="4">
        <v>5895</v>
      </c>
    </row>
    <row r="6" ht="50" customHeight="1" xml:space="preserve">
      <c r="B6" s="4" t="str">
        <v>IFPRI</v>
      </c>
      <c r="D6" s="4" t="str">
        <v>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6" s="4" t="str">
        <v>Number of knowledge products</v>
      </c>
      <c r="F6" s="4" t="str">
        <v>India, Kenya</v>
      </c>
      <c r="G6" s="5">
        <v>3</v>
      </c>
      <c r="H6" s="5">
        <v>103933</v>
      </c>
      <c r="I6" s="4" t="str" xml:space="preserve">
        <v xml:space="preserve">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15,210 	Top-off to Lead centre first KPI
</v>
      </c>
      <c r="J6" s="4">
        <v>5898</v>
      </c>
    </row>
    <row r="7" ht="50" customHeight="1">
      <c r="B7" s="4" t="str">
        <v>IFPRI</v>
      </c>
      <c r="D7" s="4" t="str">
        <v>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7" s="4" t="str">
        <v>Number of innovations (innovation development)</v>
      </c>
      <c r="F7" s="4" t="str">
        <v>India, Kenya</v>
      </c>
      <c r="G7" s="5">
        <v>2</v>
      </c>
      <c r="H7" s="5">
        <v>88723</v>
      </c>
      <c r="I7" s="4" t="str">
        <v>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v>
      </c>
      <c r="J7" s="4">
        <v>5900</v>
      </c>
    </row>
    <row r="8" ht="50" customHeight="1">
      <c r="B8" s="4" t="str">
        <v>IFPRI</v>
      </c>
      <c r="D8" s="4" t="str">
        <v>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8" s="4" t="str">
        <v>Number of knowledge products</v>
      </c>
      <c r="F8" s="4" t="str">
        <v>India, Bangladesh, Nigeria, Kenya, Ethiopia</v>
      </c>
      <c r="G8" s="5">
        <v>3</v>
      </c>
      <c r="H8" s="5">
        <v>29574</v>
      </c>
      <c r="I8" s="4" t="str">
        <v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v>
      </c>
      <c r="J8" s="4">
        <v>5904</v>
      </c>
    </row>
    <row r="9" ht="50" customHeight="1">
      <c r="B9" s="4" t="str">
        <v>IFPRI</v>
      </c>
      <c r="D9" s="4" t="str">
        <v>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9" s="4" t="str">
        <v>Number of people trained (capacity sharing for development)</v>
      </c>
      <c r="F9" s="4" t="str">
        <v>Kenya</v>
      </c>
      <c r="G9" s="5">
        <v>1150</v>
      </c>
      <c r="H9" s="5">
        <v>26617</v>
      </c>
      <c r="I9" s="4" t="str">
        <v>1,150 trained extension agents and agripreneurs delivering climate advisories; 500,000 smallholder farmers receiving automated SMS/USSD/IVR advisories through KAOP by 2026.</v>
      </c>
      <c r="J9" s="4">
        <v>5908</v>
      </c>
    </row>
    <row r="10" ht="50" customHeight="1">
      <c r="B10" s="4" t="str">
        <v>IFPRI</v>
      </c>
      <c r="D10" s="4" t="str">
        <v>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0" s="4" t="str">
        <v>custom</v>
      </c>
      <c r="F10" s="4" t="str">
        <v>India, Kenya</v>
      </c>
      <c r="G10" s="5">
        <v>2</v>
      </c>
      <c r="H10" s="5">
        <v>88723</v>
      </c>
      <c r="I10" s="4" t="str">
        <v>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v>
      </c>
      <c r="J10" s="4">
        <v>7841</v>
      </c>
    </row>
    <row r="11" ht="50" customHeight="1">
      <c r="B11" s="4" t="str">
        <v>IFPRI</v>
      </c>
      <c r="D11" s="4" t="str">
        <v>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1" s="4" t="str">
        <v>Number of innovations (innovation development)</v>
      </c>
      <c r="F11" s="4" t="str">
        <v>Kenya, India, Bangladesh, Nigeria, Ethiopia</v>
      </c>
      <c r="G11" s="5">
        <v>1</v>
      </c>
      <c r="H11" s="5">
        <v>29574</v>
      </c>
      <c r="I11" s="4" t="str">
        <v>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v>
      </c>
      <c r="J11" s="4">
        <v>7856</v>
      </c>
    </row>
    <row r="12" ht="50" customHeight="1">
      <c r="B12" s="4" t="str">
        <v>IFPRI</v>
      </c>
      <c r="D12" s="4" t="str">
        <v>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2" s="4" t="str">
        <v>Number of people trained (capacity sharing for development)</v>
      </c>
      <c r="F12" s="4" t="str">
        <v>Kenya, Ethiopia, Bangladesh, Nigeria, India</v>
      </c>
      <c r="G12" s="5">
        <v>3</v>
      </c>
      <c r="H12" s="5">
        <v>29574</v>
      </c>
      <c r="I12" s="4" t="str">
        <v>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v>
      </c>
      <c r="J12" s="4">
        <v>7857</v>
      </c>
    </row>
    <row r="13" ht="50" customHeight="1">
      <c r="A13" s="4" t="str">
        <v>AOW02: Grand Challenges and Scaling Flagships</v>
      </c>
      <c r="B13" s="4" t="str">
        <v>IFPRI</v>
      </c>
      <c r="C13" s="4" t="str">
        <v>HLO 2.2.3: Market, policy and behavior change innovations</v>
      </c>
      <c r="D13" s="4" t="str">
        <v>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3" s="4" t="str">
        <v>Number of knowledge products</v>
      </c>
      <c r="F13" s="4" t="str">
        <v>Bangladesh</v>
      </c>
      <c r="G13" s="5">
        <v>1</v>
      </c>
      <c r="H13" s="5">
        <v>22181</v>
      </c>
      <c r="I13" s="4" t="str">
        <v>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v>
      </c>
      <c r="J13" s="4">
        <v>5959</v>
      </c>
    </row>
    <row r="14" ht="50" customHeight="1">
      <c r="B14" s="4" t="str">
        <v>IFPRI</v>
      </c>
      <c r="D14" s="4" t="str">
        <v>A2P19.2: PoD name: Scaling the Integration of Micro and Small Enterprises and Smallholder Farmers into School Meals Programs (SMPs) to Strengthen Healthy and Sustainable SMP Food Systems in Kenya. Lead Center: IFPRI. PoD KPI: 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Capacity Sharing.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4" s="4" t="str">
        <v>Number of people trained (capacity sharing for development)</v>
      </c>
      <c r="F14" s="4" t="str">
        <v>Kenya</v>
      </c>
      <c r="G14" s="5">
        <v>500</v>
      </c>
      <c r="H14" s="5">
        <v>141865</v>
      </c>
      <c r="I14" s="4" t="str">
        <v>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v>
      </c>
      <c r="J14" s="4">
        <v>5971</v>
      </c>
    </row>
    <row r="15" ht="50" customHeight="1" xml:space="preserve">
      <c r="B15" s="4" t="str">
        <v>IFPRI</v>
      </c>
      <c r="D15" s="4" t="str">
        <v>A2P19.1: PoD name: Scaling the Integration of Micro and Small Enterprises and Smallholder Farmers into School Meals Programs (SMPs) to Strengthen Healthy and Sustainable SMP Food Systems in Kenya. Lead Center: IFPRI. PoD KPI: 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Knowledege Products. Unit: Number of reports.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5" s="4" t="str">
        <v>Number of knowledge products</v>
      </c>
      <c r="F15" s="4" t="str">
        <v>Kenya</v>
      </c>
      <c r="G15" s="5">
        <v>2</v>
      </c>
      <c r="H15" s="5">
        <v>86372</v>
      </c>
      <c r="I15" s="4" t="str" xml:space="preserve">
        <v xml:space="preserve">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15,210 	Top-off to Lead centre first KPI
</v>
      </c>
      <c r="J15" s="4">
        <v>5972</v>
      </c>
    </row>
    <row r="16" ht="50" customHeight="1">
      <c r="B16" s="4" t="str">
        <v>IFPRI</v>
      </c>
      <c r="D16" s="4" t="str">
        <v>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6" s="4" t="str">
        <v>Number of innovations (innovation development)</v>
      </c>
      <c r="F16" s="4" t="str">
        <v>Bangladesh</v>
      </c>
      <c r="G16" s="5">
        <v>2</v>
      </c>
      <c r="H16" s="5">
        <v>22181</v>
      </c>
      <c r="I16" s="4" t="str">
        <v xml:space="preserve"> 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v>
      </c>
      <c r="J16" s="4">
        <v>7775</v>
      </c>
    </row>
    <row r="17" ht="50" customHeight="1">
      <c r="B17" s="4" t="str">
        <v>IFPRI</v>
      </c>
      <c r="D17" s="4" t="str">
        <v>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7" s="4" t="str">
        <v>Number of people trained (capacity sharing for development)</v>
      </c>
      <c r="F17" s="4" t="str">
        <v>Bangladesh</v>
      </c>
      <c r="G17" s="5">
        <v>600</v>
      </c>
      <c r="H17" s="5">
        <v>22181</v>
      </c>
      <c r="I17" s="4" t="str">
        <v>600+ delivery actors trained that contribute for 130,000 aquaculture farmers (≥30% women and youth) in Bangladesh adopting improved fish genetics and input systems through decentralized SeedCompacts and digital traceability by end-2026</v>
      </c>
      <c r="J17" s="4">
        <v>7777</v>
      </c>
    </row>
    <row r="18" ht="50" customHeight="1">
      <c r="B18" s="4" t="str">
        <v>IFPRI</v>
      </c>
      <c r="D18" s="4" t="str">
        <v>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8" s="4" t="str">
        <v>custom</v>
      </c>
      <c r="F18" s="4" t="str">
        <v>Bangladesh</v>
      </c>
      <c r="G18" s="5">
        <v>25</v>
      </c>
      <c r="H18" s="5">
        <v>22181</v>
      </c>
      <c r="I18" s="4" t="str">
        <v>25 -Meetings (At least 25 structured stakeholder engagement meetings conducted) that contribute for 130,000 aquaculture farmers (≥30% women and youth) in Bangladesh adopting improved fish genetics and input systems through decentralized SeedCompacts and digital traceability by end-2026.</v>
      </c>
      <c r="J18" s="4">
        <v>7780</v>
      </c>
    </row>
    <row r="19" ht="50" customHeight="1">
      <c r="B19" s="4" t="str">
        <v>IFPRI</v>
      </c>
      <c r="D19" s="4" t="str">
        <v>A2P19.3: PoD name: Scaling the Integration of Micro and Small Enterprises and Smallholder Farmers into School Meals Programs (SMPs) to Strengthen Healthy and Sustainable SMP Food Systems in Kenya. Lead Center: IFPRI. PoD KPI: 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Other outputs.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9" s="4" t="str">
        <v>custom</v>
      </c>
      <c r="F19" s="4" t="str">
        <v>Kenya</v>
      </c>
      <c r="G19" s="5">
        <v>60</v>
      </c>
      <c r="H19" s="5">
        <v>141865</v>
      </c>
      <c r="I19" s="4" t="str">
        <v>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v>
      </c>
      <c r="J19" s="4">
        <v>7808</v>
      </c>
    </row>
    <row r="20" ht="50" customHeight="1" xml:space="preserve">
      <c r="B20" s="4" t="str">
        <v>IFPRI</v>
      </c>
      <c r="D20" s="4" t="str">
        <v>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0" s="4" t="str">
        <v>Number of knowledge products</v>
      </c>
      <c r="F20" s="4" t="str">
        <v>Egypt</v>
      </c>
      <c r="G20" s="5">
        <v>1</v>
      </c>
      <c r="H20" s="5">
        <v>10000</v>
      </c>
      <c r="I20" s="4" t="str" xml:space="preserve">
        <v xml:space="preserve">30K moved from ICARDA to IFPRI for this PoD A2P18—This KPI is part of that PoD. It is a shared target with ICARDA
1 Knowledge products (At least one scaling strategy or innovation packaging or scaling plan co‑designed with partners ) that contribute for One million five hundred thousand consumers benefiting from barley flour integration in the Balady bread system by end-2026.</v>
      </c>
      <c r="J20" s="4">
        <v>8337</v>
      </c>
    </row>
    <row r="21" ht="50" customHeight="1" xml:space="preserve">
      <c r="B21" s="4" t="str">
        <v>IFPRI</v>
      </c>
      <c r="D21" s="4" t="str">
        <v>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1" s="4" t="str">
        <v>Number of innovations (innovation development)</v>
      </c>
      <c r="F21" s="4" t="str">
        <v>Egypt</v>
      </c>
      <c r="G21" s="5">
        <v>1</v>
      </c>
      <c r="H21" s="5">
        <v>10000</v>
      </c>
      <c r="I21" s="4" t="str" xml:space="preserve">
        <v xml:space="preserve">30K moved from ICARDA to IFPRI for this PoD A2P18—This KPI is part of that PoD. It is a shared target with ICARDA
One -1 Innovation developed (Barley flour integration in the Balady bread system) that contribute for One million five hundred thousand consumers benefiting from barley flour integration in the Balady bread system by end-2026</v>
      </c>
      <c r="J21" s="4">
        <v>8338</v>
      </c>
    </row>
    <row r="22" ht="50" customHeight="1" xml:space="preserve">
      <c r="B22" s="4" t="str">
        <v>IFPRI</v>
      </c>
      <c r="D22" s="4" t="str">
        <v>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2" s="4" t="str">
        <v>custom</v>
      </c>
      <c r="F22" s="4" t="str">
        <v>Egypt</v>
      </c>
      <c r="G22" s="5">
        <v>20</v>
      </c>
      <c r="H22" s="5">
        <v>10000</v>
      </c>
      <c r="I22" s="4" t="str" xml:space="preserve">
        <v xml:space="preserve">30K moved from ICARDA to IFPRI for this PoD A2P18—This KPI is part of that PoD. It is a shared target with ICARDA
20 -Engagement meetings (20 field demonstrations) that contribute for One million five hundred thousand consumers benefiting from barley flour integration in the Balady bread system by end-2026</v>
      </c>
      <c r="J22" s="4">
        <v>8339</v>
      </c>
    </row>
    <row r="23" ht="25" customHeight="1">
      <c r="C23" s="9" t="str">
        <v>HLO budget subtotal</v>
      </c>
      <c r="H23" s="9">
        <v>912161</v>
      </c>
      <c r="J23" s="9" t="str">
        <v/>
      </c>
    </row>
    <row r="24" ht="50" customHeight="1">
      <c r="A24" s="8" t="str">
        <v>AOW03: Enabling Environment Lab</v>
      </c>
      <c r="B24" s="4" t="str">
        <v>IFPRI</v>
      </c>
      <c r="C24" s="4" t="str">
        <v xml:space="preserve">HLO 3.3.1: Enabling environment tools and diagnostics </v>
      </c>
      <c r="D24" s="4" t="str">
        <v>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quality assurance, digital traceability,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including gaps related to seed quality assurance and digital traceability systems. Through targeted policy analysis, institutional mapping, and stakeholder consultations, the work will identify practical reforms for licensing, quality assurance, digital traceability, and investment mechanisms that improve accountability and competitiveness along the aquatic seed chain. The package will translate these findings into guidance for policy makers, regulators, and investors and provide evidence that can inform good-practice recommendations and operational guidance for improved management of hatchery, nursery, and seed distribution systems,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v>
      </c>
      <c r="E24" s="4" t="str">
        <v>Number of knowledge products</v>
      </c>
      <c r="F24" s="4" t="str">
        <v>Bangladesh, Kenya</v>
      </c>
      <c r="G24" s="5">
        <v>2</v>
      </c>
      <c r="H24" s="5">
        <v>75000</v>
      </c>
      <c r="I24" s="4" t="str">
        <v>2 – Two comprehensive institutional appraisal reports completed by the end of 2026</v>
      </c>
      <c r="J24" s="4">
        <v>6000</v>
      </c>
    </row>
    <row r="25" ht="50" customHeight="1">
      <c r="A25" s="4" t="str">
        <v>AOW03: Enabling Environment Lab</v>
      </c>
      <c r="B25" s="4" t="str">
        <v>IFPRI</v>
      </c>
      <c r="C25" s="4" t="str">
        <v xml:space="preserve">HLO 3.3.2: Scaling support services for enabling environment and institutions </v>
      </c>
      <c r="D25" s="4" t="str">
        <v>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Knowledge Product. Unit: Number of policy documented.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and Harvest Plus Solutions. MELIA: Monitoring, evaluation, and learning plans will be developed in early 2026 in cooperation with the S4I PMU and/or AoW‑5, and where needed will include baseline assessments and indicator tracking and reporting in line with Program and CGIAR guidelines.</v>
      </c>
      <c r="E25" s="4" t="str">
        <v>Number of knowledge products</v>
      </c>
      <c r="F25" s="4" t="str">
        <v>Nigeria</v>
      </c>
      <c r="G25" s="5">
        <v>2</v>
      </c>
      <c r="H25" s="5">
        <v>100000</v>
      </c>
      <c r="I25" s="4" t="str">
        <v xml:space="preserve">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v>
      </c>
      <c r="J25" s="4">
        <v>6013</v>
      </c>
    </row>
    <row r="26" ht="50" customHeight="1">
      <c r="B26" s="4" t="str">
        <v>IFPRI</v>
      </c>
      <c r="D26" s="4" t="str">
        <v>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Harvest Plus Solutions;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v>
      </c>
      <c r="E26" s="4" t="str">
        <v>Number of people trained (capacity sharing for development)</v>
      </c>
      <c r="F26" s="4" t="str">
        <v>Nigeria</v>
      </c>
      <c r="G26" s="5">
        <v>3</v>
      </c>
      <c r="H26" s="5">
        <v>100000</v>
      </c>
      <c r="I26" s="4" t="str">
        <v>3 – Three cumulative organizations (federal and state-level agencies and WFP) applying co-created enabling environment diagnostics and capacity tools to strengthen the design and implementation of Nigeria’s Renewed Hope National Home-Grown School Feeding Programme by end-2026.</v>
      </c>
      <c r="J26" s="4">
        <v>6023</v>
      </c>
    </row>
    <row r="27" ht="25" customHeight="1">
      <c r="C27" s="9" t="str">
        <v>HLO budget subtotal</v>
      </c>
      <c r="H27" s="9">
        <v>275000</v>
      </c>
      <c r="J27" s="9" t="str">
        <v/>
      </c>
    </row>
    <row r="28" ht="50" customHeight="1">
      <c r="A28" s="8" t="str">
        <v>AOW04: Achieving Impact by Unlocking Finance and Partnerships</v>
      </c>
      <c r="B28" s="4" t="str">
        <v>IFPRI</v>
      </c>
      <c r="C28" s="4" t="str">
        <v>HLO 4.4.1: Technical assistance for financing for innovation scaling</v>
      </c>
      <c r="D28" s="4" t="str">
        <v>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Knowledge Product.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v>
      </c>
      <c r="E28" s="4" t="str">
        <v>Number of knowledge products</v>
      </c>
      <c r="F28" s="4" t="str">
        <v>Kenya, Nigeria</v>
      </c>
      <c r="G28" s="5">
        <v>2</v>
      </c>
      <c r="H28" s="5">
        <v>97825</v>
      </c>
      <c r="I28" s="4" t="str">
        <v>2 – Two Investment Prospectuses finalized and disseminated by the end of 2026 targeting East and West Africa, each providing detailed, data-driven designs for inn</v>
      </c>
      <c r="J28" s="4">
        <v>6036</v>
      </c>
    </row>
    <row r="29" ht="50" customHeight="1" xml:space="preserve">
      <c r="B29" s="4" t="str">
        <v>IFPRI</v>
      </c>
      <c r="D29" s="4" t="str" xml:space="preserve">
        <v xml:space="preserve">A4P2.1: PoD name: ADB Clearinghouse Linkages Lead Center: IFPRI, PoD KPI: Three- 3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Knowledge Product. Unit: Number of reports.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
</v>
      </c>
      <c r="E29" s="4" t="str">
        <v>Number of knowledge products</v>
      </c>
      <c r="F29" s="4" t="str">
        <v>India</v>
      </c>
      <c r="G29" s="5">
        <v>3</v>
      </c>
      <c r="H29" s="5">
        <v>40760</v>
      </c>
      <c r="I29" s="4" t="str">
        <v>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v>
      </c>
      <c r="J29" s="4">
        <v>6048</v>
      </c>
    </row>
    <row r="30" ht="50" customHeight="1">
      <c r="B30" s="4" t="str">
        <v>IFPRI</v>
      </c>
      <c r="D30" s="4" t="str">
        <v>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v>
      </c>
      <c r="E30" s="4" t="str">
        <v>Number of knowledge products</v>
      </c>
      <c r="F30" s="4" t="str">
        <v>Bangladesh</v>
      </c>
      <c r="G30" s="5">
        <v>4</v>
      </c>
      <c r="H30" s="5">
        <v>30000</v>
      </c>
      <c r="I30" s="4" t="str">
        <v xml:space="preserve">Four strategic knowledge products (one per center) documenting candidate innovations and center-level contribution strategies for integration into ADB agricultural and food systems investment programs by end-2026 </v>
      </c>
      <c r="J30" s="4">
        <v>8156</v>
      </c>
    </row>
    <row r="31" ht="25" customHeight="1">
      <c r="C31" s="9" t="str">
        <v>HLO budget subtotal</v>
      </c>
      <c r="H31" s="9">
        <v>168585</v>
      </c>
      <c r="J31" s="9" t="str">
        <v/>
      </c>
    </row>
    <row r="32" ht="50" customHeight="1">
      <c r="A32" s="8" t="str">
        <v>AOW05: Learning for Impact</v>
      </c>
      <c r="B32" s="4" t="str">
        <v>IFPRI</v>
      </c>
      <c r="C32" s="4" t="str">
        <v>HLO 5.5.2: Evidence-based evaluation and dynamic learning insights</v>
      </c>
      <c r="D32" s="4" t="str">
        <v>A5P8.8: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Reports.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v>
      </c>
      <c r="E32" s="4" t="str">
        <v>Number of knowledge products</v>
      </c>
      <c r="F32" s="4" t="str">
        <v>United States of America</v>
      </c>
      <c r="G32" s="5">
        <v>1</v>
      </c>
      <c r="H32" s="5">
        <v>30000</v>
      </c>
      <c r="I32" s="4" t="str">
        <v>1 – One finalized toolkit for adaptive MELIA produced and validated by the end of 2026, piloted in at least one scaling pathway across AoW2 and AoW5.</v>
      </c>
      <c r="J32" s="4">
        <v>6093</v>
      </c>
    </row>
    <row r="33" ht="50" customHeight="1">
      <c r="B33" s="4" t="str">
        <v>IFPRI</v>
      </c>
      <c r="D33" s="4" t="str">
        <v>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innovation.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v>
      </c>
      <c r="E33" s="4" t="str">
        <v>Number of knowledge products</v>
      </c>
      <c r="F33" s="4" t="str">
        <v>Kenya</v>
      </c>
      <c r="G33" s="5">
        <v>1</v>
      </c>
      <c r="H33" s="5">
        <v>230000</v>
      </c>
      <c r="I33" s="4" t="str">
        <v xml:space="preserve"> 1 – One final evaluation report and policy brief produced by the end of 2026, summarizing evidence from A/B testing and providing recommendations for scaling AI-based advisory models in Kenya.</v>
      </c>
      <c r="J33" s="4">
        <v>6095</v>
      </c>
    </row>
    <row r="34" ht="50" customHeight="1" xml:space="preserve">
      <c r="B34" s="4" t="str">
        <v>IFPRI</v>
      </c>
      <c r="D34" s="4" t="str" xml:space="preserve">
        <v xml:space="preserve">A5P12.4 PoD Name: Dynamic Learning and Adaptive Management Strategy — IFPRI S4I Scaling Pathway Engagement: KPI Title: Dynamic Learning IPSR Workshop Documentation and MEL Strategy for Digital Finance and School Feeding Solution Tracks
PoD KPI: 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IFPRI-led solution tracks in AoW2 — specifically scaling bundled digital financial services for smallholder farmers to foster agricultural technology adoption, and scaling the integration of micro and small enterprises and smallholder farmers into school meals programs (SMPs) to strengthen healthy and sustainable SMP food systems in Kenya.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IFPRI. PoD Owner: Iddo Dror. KPI Owner: B.Kramer@cgiar.org; n.karachiwalla@cgiar.org. Anticipated partners: Not applicable. Partner modality: Not applicable. Countries of implementation: Kenya. Location of benefit: Kenya.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v>
      </c>
      <c r="E34" s="4" t="str">
        <v>Number of innovations (innovation development)</v>
      </c>
      <c r="F34" s="4" t="str">
        <v>Kenya, India</v>
      </c>
      <c r="G34" s="5">
        <v>2</v>
      </c>
      <c r="H34" s="5">
        <v>20000</v>
      </c>
      <c r="I34" s="4" t="str">
        <v>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v>
      </c>
      <c r="J34" s="4">
        <v>8105</v>
      </c>
    </row>
    <row r="35" ht="25" customHeight="1">
      <c r="C35" s="9" t="str">
        <v>HLO budget subtotal</v>
      </c>
      <c r="H35" s="9">
        <v>280000</v>
      </c>
      <c r="J35" s="9" t="str">
        <v/>
      </c>
    </row>
  </sheetData>
  <mergeCells count="21">
    <mergeCell ref="A1:A2"/>
    <mergeCell ref="B1:B2"/>
    <mergeCell ref="C1:C2"/>
    <mergeCell ref="D1:H1"/>
    <mergeCell ref="I1:I2"/>
    <mergeCell ref="J1:J2"/>
    <mergeCell ref="C4:G4"/>
    <mergeCell ref="A3:A4"/>
    <mergeCell ref="C5:C12"/>
    <mergeCell ref="C13:C22"/>
    <mergeCell ref="C23:G23"/>
    <mergeCell ref="A5:A23"/>
    <mergeCell ref="C25:C26"/>
    <mergeCell ref="C27:G27"/>
    <mergeCell ref="A24:A27"/>
    <mergeCell ref="C28:C30"/>
    <mergeCell ref="C31:G31"/>
    <mergeCell ref="A28:A31"/>
    <mergeCell ref="C32:C34"/>
    <mergeCell ref="C35:G35"/>
    <mergeCell ref="A32:A35"/>
  </mergeCells>
  <ignoredErrors>
    <ignoredError numberStoredAsText="1" sqref="A1:J35"/>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Grand Challenges and Scaling Flagships</v>
      </c>
      <c r="B2" s="4" t="str">
        <v>African Population and Health Research Centre</v>
      </c>
      <c r="C2" s="4" t="str">
        <v>IFPRI</v>
      </c>
      <c r="D2" s="4" t="str">
        <v>Kenya</v>
      </c>
      <c r="E2" s="5">
        <v>70703</v>
      </c>
      <c r="F2" s="4" t="str">
        <v>A2P19.1: PoD name: Scaling the Integration of Micro and Small Enterprises and Smallholder Farmers into School Meals Programs (SMPs) to Strengthen Healthy and Sustainable SMP Food Systems in Kenya</v>
      </c>
      <c r="G2" s="4">
        <v>192</v>
      </c>
    </row>
    <row r="3" ht="50" customHeight="1">
      <c r="A3" s="4" t="str">
        <v>AOW02: Grand Challenges and Scaling Flagships</v>
      </c>
      <c r="B3" s="4" t="str">
        <v>Unknown Center</v>
      </c>
      <c r="C3" s="4" t="str">
        <v>IFPRI</v>
      </c>
      <c r="D3" s="4" t="str">
        <v>Bangladesh, Ethiopia, Kenya, Nigeria</v>
      </c>
      <c r="E3" s="5">
        <v>232109</v>
      </c>
      <c r="F3" s="4" t="str">
        <v>Unknown partners</v>
      </c>
      <c r="G3" s="4">
        <v>363</v>
      </c>
    </row>
    <row r="4" ht="25" customHeight="1">
      <c r="B4" s="9" t="str">
        <v>Contracted partners subtotal</v>
      </c>
      <c r="E4" s="9">
        <v>302812</v>
      </c>
      <c r="F4" s="9" t="str">
        <v/>
      </c>
      <c r="G4" s="9" t="str">
        <v/>
      </c>
    </row>
    <row r="5" ht="50" customHeight="1">
      <c r="A5" s="8" t="str">
        <v>AOW03: Enabling Environment Lab</v>
      </c>
      <c r="B5" s="4" t="str">
        <v>Unknown Center</v>
      </c>
      <c r="C5" s="4" t="str">
        <v>IFPRI</v>
      </c>
      <c r="D5" s="4" t="str">
        <v>Nigeria</v>
      </c>
      <c r="E5" s="5">
        <v>20000</v>
      </c>
      <c r="F5" s="4" t="str">
        <v>Unknown Partners</v>
      </c>
      <c r="G5" s="4">
        <v>364</v>
      </c>
    </row>
    <row r="6" ht="25" customHeight="1">
      <c r="B6" s="9" t="str">
        <v>Contracted partners subtotal</v>
      </c>
      <c r="E6" s="9">
        <v>20000</v>
      </c>
      <c r="F6" s="9" t="str">
        <v/>
      </c>
      <c r="G6" s="9" t="str">
        <v/>
      </c>
    </row>
    <row r="7" ht="50" customHeight="1">
      <c r="A7" s="8" t="str">
        <v>AOW05: Learning for Impact</v>
      </c>
      <c r="B7" s="4" t="str">
        <v>Unknown Center</v>
      </c>
      <c r="C7" s="4" t="str">
        <v>IFPRI</v>
      </c>
      <c r="D7" s="4" t="str">
        <v>Kenya</v>
      </c>
      <c r="E7" s="5">
        <v>194915</v>
      </c>
      <c r="F7" s="4" t="str">
        <v>A5P10.1: PoD name (Lead Center: IFPRI): Evaluating the Reach and Impact of AI-Powered Advisory Services: FarmerChat in Kenya</v>
      </c>
      <c r="G7" s="4">
        <v>193</v>
      </c>
    </row>
    <row r="8" ht="25" customHeight="1">
      <c r="B8" s="9" t="str">
        <v>Contracted partners subtotal</v>
      </c>
      <c r="E8" s="9">
        <v>194915</v>
      </c>
      <c r="F8" s="9" t="str">
        <v/>
      </c>
      <c r="G8" s="9" t="str">
        <v/>
      </c>
    </row>
  </sheetData>
  <mergeCells count="6">
    <mergeCell ref="B4:D4"/>
    <mergeCell ref="A2:A4"/>
    <mergeCell ref="B6:D6"/>
    <mergeCell ref="A5:A6"/>
    <mergeCell ref="B8:D8"/>
    <mergeCell ref="A7: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IFPRI</v>
      </c>
      <c r="B2" s="4" t="str">
        <v>N-606015-BIO-FORTIFICATION DEPLOYM</v>
      </c>
      <c r="C2" s="4" t="str">
        <v>HLO 2.2.3: Market, policy and behavior change innovations</v>
      </c>
      <c r="D2" s="5">
        <v>441662</v>
      </c>
      <c r="E2" s="4" t="str">
        <v>As per W3 and Bilateral mapping dashboard</v>
      </c>
      <c r="F2" s="4">
        <v>1159</v>
      </c>
    </row>
    <row r="3" ht="60" customHeight="1">
      <c r="A3" s="4" t="str">
        <v>IFPRI</v>
      </c>
      <c r="B3" s="4" t="str">
        <v>N-644H12 - NUTRIHARVEST</v>
      </c>
      <c r="C3" s="4" t="str">
        <v>HLO 2.2.1: Climate smart innovations</v>
      </c>
      <c r="D3" s="5">
        <v>590005</v>
      </c>
      <c r="E3" s="4" t="str">
        <v>As per W3 and Bilateral mapping dashboard</v>
      </c>
      <c r="F3" s="4">
        <v>1136</v>
      </c>
    </row>
    <row r="4" ht="25" customHeight="1">
      <c r="B4" s="9" t="str">
        <v>W3/Bilateral budget subtotal</v>
      </c>
      <c r="D4" s="9">
        <v>1031667</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IFPRI</v>
      </c>
      <c r="C2" s="4" t="str">
        <v>A5P12.4 PoD Name: Dynamic Learning and Adaptive Management Strategy — IFPRI S4I Scaling Pathway Engagement</v>
      </c>
      <c r="D2" s="4" t="str">
        <v>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v>
      </c>
      <c r="E2" s="4" t="str">
        <v>N/A</v>
      </c>
      <c r="F2" s="5">
        <v>0</v>
      </c>
      <c r="G2" s="4" t="str">
        <v/>
      </c>
      <c r="H2" s="4">
        <v>515</v>
      </c>
    </row>
    <row r="3" ht="25" customHeight="1">
      <c r="C3" s="9" t="str">
        <v>MELIA budget subtotal</v>
      </c>
      <c r="F3" s="9">
        <v>0</v>
      </c>
      <c r="G3" s="9" t="str">
        <v/>
      </c>
      <c r="H3" s="9" t="str">
        <v/>
      </c>
    </row>
    <row r="4" ht="60" customHeight="1">
      <c r="A4" s="8" t="str">
        <v>AOW02: Grand Challenges and Scaling Flagships</v>
      </c>
      <c r="B4" s="4" t="str">
        <v>IFPRI</v>
      </c>
      <c r="C4" s="4" t="str">
        <v>A5P12.4 PoD Name: Dynamic Learning and Adaptive Management Strategy — IFPRI S4I Scaling Pathway Engagement</v>
      </c>
      <c r="D4" s="4" t="str">
        <v>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v>
      </c>
      <c r="E4" s="4" t="str">
        <v>N/A</v>
      </c>
      <c r="F4" s="5">
        <v>0</v>
      </c>
      <c r="G4" s="4" t="str">
        <v/>
      </c>
      <c r="H4" s="4">
        <v>514</v>
      </c>
    </row>
    <row r="5" ht="25" customHeight="1">
      <c r="C5" s="9" t="str">
        <v>MELIA budget subtotal</v>
      </c>
      <c r="F5" s="9">
        <v>0</v>
      </c>
      <c r="G5" s="9" t="str">
        <v/>
      </c>
      <c r="H5" s="9" t="str">
        <v/>
      </c>
    </row>
    <row r="6" ht="60" customHeight="1" xml:space="preserve">
      <c r="A6" s="8" t="str">
        <v>AOW05: Learning for Impact</v>
      </c>
      <c r="B6" s="4" t="str">
        <v>IFPRI</v>
      </c>
      <c r="C6" s="4" t="str">
        <v>A5P10.1: PoD name (Lead Center: IFPRI): Evaluating the Reach and Impact of AI-Powered Advisory Services: FarmerChat in Kenya.</v>
      </c>
      <c r="D6" s="4" t="str">
        <v>HLO 5.5.2: Evidence-based evaluation and dynamic learning insights</v>
      </c>
      <c r="E6" s="4" t="str">
        <v>N/A</v>
      </c>
      <c r="F6" s="5">
        <v>35085</v>
      </c>
      <c r="G6" s="4" t="str" xml:space="preserve">
        <v xml:space="preserve">MELIA study	Supported outcomes	Total budget (USD)
A5P10.1: PoD name (Lead Center: IFPRI): Evaluating the Reach and Impact of AI-Powered Advisory Services: FarmerChat in Kenya.</v>
      </c>
      <c r="H6" s="4">
        <v>468</v>
      </c>
    </row>
    <row r="7" ht="60" customHeight="1">
      <c r="A7" s="4" t="str">
        <v>AOW05: Learning for Impact</v>
      </c>
      <c r="B7" s="4" t="str">
        <v>IFPRI</v>
      </c>
      <c r="C7" s="4" t="str">
        <v>A5P12.4 PoD Name: Dynamic Learning and Adaptive Management Strategy — IFPRI S4I Scaling Pathway Engagement</v>
      </c>
      <c r="D7" s="4" t="str">
        <v>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v>
      </c>
      <c r="E7" s="4" t="str">
        <v>N/A</v>
      </c>
      <c r="F7" s="5">
        <v>20000</v>
      </c>
      <c r="G7" s="4" t="str">
        <v>A5P12.4 PoD Name: Dynamic Learning and Adaptive Management Strategy — IFPRI S4I Scaling Pathway Engagement</v>
      </c>
      <c r="H7" s="4">
        <v>513</v>
      </c>
    </row>
    <row r="8" ht="60" customHeight="1">
      <c r="A8" s="4" t="str">
        <v>AOW05: Learning for Impact</v>
      </c>
      <c r="B8" s="4" t="str">
        <v>IFPRI</v>
      </c>
      <c r="C8" s="4" t="str">
        <v>A5P8.8: PoD name (Lead Center: IFPRI): Causal Impact Evaluation Tools for Scaling.</v>
      </c>
      <c r="D8" s="4" t="str">
        <v>HLO 5.5.2: Evidence-based evaluation and dynamic learning insights</v>
      </c>
      <c r="E8" s="4" t="str">
        <v>N/A</v>
      </c>
      <c r="F8" s="5">
        <v>30000</v>
      </c>
      <c r="G8" s="4" t="str">
        <v>A5P8.8: PoD name (Lead Center: IFPRI): Causal Impact Evaluation Tools for Scaling.</v>
      </c>
      <c r="H8" s="4">
        <v>535</v>
      </c>
    </row>
    <row r="9" ht="25" customHeight="1">
      <c r="C9" s="9" t="str">
        <v>MELIA budget subtotal</v>
      </c>
      <c r="F9" s="9">
        <v>85085</v>
      </c>
      <c r="G9" s="9" t="str">
        <v/>
      </c>
      <c r="H9" s="9" t="str">
        <v/>
      </c>
    </row>
  </sheetData>
  <mergeCells count="6">
    <mergeCell ref="C3:E3"/>
    <mergeCell ref="A2:A3"/>
    <mergeCell ref="C5:E5"/>
    <mergeCell ref="A4:A5"/>
    <mergeCell ref="C9:E9"/>
    <mergeCell ref="A6:A9"/>
  </mergeCells>
  <ignoredErrors>
    <ignoredError numberStoredAsText="1" sqref="A1:H9"/>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IFPRI</v>
      </c>
      <c r="C2" s="4" t="str">
        <v>Area of Work Leads</v>
      </c>
      <c r="D2" s="5">
        <v>6000</v>
      </c>
      <c r="E2" s="4" t="str">
        <v>Q1 2026 FTE costs for Transitional Area of Work (AoW) Leaders at $6000 per leader</v>
      </c>
      <c r="F2" s="4">
        <v>174</v>
      </c>
      <c r="G2" s="4">
        <v>3</v>
      </c>
    </row>
    <row r="3" ht="25" customHeight="1">
      <c r="C3" s="9" t="str">
        <v>Cross-cutting budget subtotal</v>
      </c>
      <c r="D3" s="9">
        <v>6000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6000</v>
      </c>
      <c r="C2" s="5">
        <v>52465</v>
      </c>
      <c r="D2" s="5">
        <v>445683</v>
      </c>
      <c r="E2" s="5">
        <v>180021</v>
      </c>
      <c r="F2" s="5">
        <v>158585</v>
      </c>
      <c r="G2" s="5">
        <v>0</v>
      </c>
      <c r="H2" s="5">
        <f>=SUM(B2:G2)</f>
        <v>0</v>
      </c>
    </row>
    <row r="3" ht="20" customHeight="1">
      <c r="A3" s="4" t="str">
        <v>Operations (supplies, consultants, travels, workshops, other)</v>
      </c>
      <c r="B3" s="5">
        <v>0</v>
      </c>
      <c r="C3" s="5">
        <v>7535</v>
      </c>
      <c r="D3" s="5">
        <v>163666</v>
      </c>
      <c r="E3" s="5">
        <v>74979</v>
      </c>
      <c r="F3" s="5">
        <v>10000</v>
      </c>
      <c r="G3" s="5">
        <v>85085</v>
      </c>
      <c r="H3" s="5">
        <f>=SUM(B3:G3)</f>
        <v>0</v>
      </c>
    </row>
    <row r="4" ht="20" customHeight="1">
      <c r="A4" s="4" t="str">
        <v>Collaborators non-CGIAR centers</v>
      </c>
      <c r="B4" s="5">
        <v>0</v>
      </c>
      <c r="C4" s="5">
        <v>0</v>
      </c>
      <c r="D4" s="5">
        <v>302812</v>
      </c>
      <c r="E4" s="5">
        <v>20000</v>
      </c>
      <c r="F4" s="5">
        <v>0</v>
      </c>
      <c r="G4" s="5">
        <v>194915</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1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IFPRI</v>
      </c>
      <c r="C2" s="4" t="str">
        <v>Nigeria</v>
      </c>
      <c r="D2" s="5">
        <v>100</v>
      </c>
      <c r="E2" s="4">
        <v>3240</v>
      </c>
    </row>
    <row r="3" ht="45" customHeight="1">
      <c r="A3" s="8" t="str">
        <v>AOW01: Engage and Empower</v>
      </c>
      <c r="B3" s="4" t="str">
        <v>IFPRI</v>
      </c>
      <c r="C3" s="4" t="str">
        <v>India</v>
      </c>
      <c r="D3" s="5">
        <v>100</v>
      </c>
      <c r="E3" s="4">
        <v>94</v>
      </c>
    </row>
    <row r="4" ht="45" customHeight="1">
      <c r="A4" s="8" t="str">
        <v>AOW02: Grand Challenges and Scaling Flagships</v>
      </c>
      <c r="B4" s="4" t="str">
        <v>IFPRI</v>
      </c>
      <c r="C4" s="4" t="str">
        <v>Bangladesh</v>
      </c>
      <c r="D4" s="5">
        <v>12.5</v>
      </c>
      <c r="E4" s="4">
        <v>3064</v>
      </c>
    </row>
    <row r="5" ht="45" customHeight="1">
      <c r="A5" s="4" t="str">
        <v>AOW02: Grand Challenges and Scaling Flagships</v>
      </c>
      <c r="B5" s="4" t="str">
        <v>IFPRI</v>
      </c>
      <c r="C5" s="4" t="str">
        <v>Ethiopia</v>
      </c>
      <c r="D5" s="5">
        <v>2.07</v>
      </c>
      <c r="E5" s="4">
        <v>3066</v>
      </c>
    </row>
    <row r="6" ht="45" customHeight="1">
      <c r="A6" s="4" t="str">
        <v>AOW02: Grand Challenges and Scaling Flagships</v>
      </c>
      <c r="B6" s="4" t="str">
        <v>IFPRI</v>
      </c>
      <c r="C6" s="4" t="str">
        <v>India</v>
      </c>
      <c r="D6" s="5">
        <v>19.45</v>
      </c>
      <c r="E6" s="4">
        <v>3063</v>
      </c>
    </row>
    <row r="7" ht="45" customHeight="1">
      <c r="A7" s="4" t="str">
        <v>AOW02: Grand Challenges and Scaling Flagships</v>
      </c>
      <c r="B7" s="4" t="str">
        <v>IFPRI</v>
      </c>
      <c r="C7" s="4" t="str">
        <v>Kenya</v>
      </c>
      <c r="D7" s="5">
        <v>63.9</v>
      </c>
      <c r="E7" s="4">
        <v>3062</v>
      </c>
    </row>
    <row r="8" ht="45" customHeight="1">
      <c r="A8" s="4" t="str">
        <v>AOW02: Grand Challenges and Scaling Flagships</v>
      </c>
      <c r="B8" s="4" t="str">
        <v>IFPRI</v>
      </c>
      <c r="C8" s="4" t="str">
        <v>Nigeria</v>
      </c>
      <c r="D8" s="5">
        <v>2.08</v>
      </c>
      <c r="E8" s="4">
        <v>3065</v>
      </c>
    </row>
    <row r="9" ht="45" customHeight="1">
      <c r="A9" s="8" t="str">
        <v>AOW03: Enabling Environment Lab</v>
      </c>
      <c r="B9" s="4" t="str">
        <v>IFPRI</v>
      </c>
      <c r="C9" s="4" t="str">
        <v>Bangladesh</v>
      </c>
      <c r="D9" s="5">
        <v>25</v>
      </c>
      <c r="E9" s="4">
        <v>1223</v>
      </c>
    </row>
    <row r="10" ht="45" customHeight="1">
      <c r="A10" s="4" t="str">
        <v>AOW03: Enabling Environment Lab</v>
      </c>
      <c r="B10" s="4" t="str">
        <v>IFPRI</v>
      </c>
      <c r="C10" s="4" t="str">
        <v>Kenya</v>
      </c>
      <c r="D10" s="5">
        <v>2</v>
      </c>
      <c r="E10" s="4">
        <v>1224</v>
      </c>
    </row>
    <row r="11" ht="45" customHeight="1">
      <c r="A11" s="4" t="str">
        <v>AOW03: Enabling Environment Lab</v>
      </c>
      <c r="B11" s="4" t="str">
        <v>IFPRI</v>
      </c>
      <c r="C11" s="4" t="str">
        <v>Nigeria</v>
      </c>
      <c r="D11" s="5">
        <v>73</v>
      </c>
      <c r="E11" s="4">
        <v>1222</v>
      </c>
    </row>
    <row r="12" ht="45" customHeight="1">
      <c r="A12" s="8" t="str">
        <v>AOW04: Achieving Impact by Unlocking Finance and Partnerships</v>
      </c>
      <c r="B12" s="4" t="str">
        <v>IFPRI</v>
      </c>
      <c r="C12" s="4" t="str">
        <v>India</v>
      </c>
      <c r="D12" s="5">
        <v>100</v>
      </c>
      <c r="E12" s="4">
        <v>1766</v>
      </c>
    </row>
    <row r="13" ht="45" customHeight="1">
      <c r="A13" s="8" t="str">
        <v>AOW05: Learning for Impact</v>
      </c>
      <c r="B13" s="4" t="str">
        <v>IFPRI</v>
      </c>
      <c r="C13" s="4" t="str">
        <v>Kenya</v>
      </c>
      <c r="D13" s="5">
        <v>88.46</v>
      </c>
      <c r="E13" s="4">
        <v>1587</v>
      </c>
    </row>
    <row r="14" ht="45" customHeight="1">
      <c r="A14" s="4" t="str">
        <v>AOW05: Learning for Impact</v>
      </c>
      <c r="B14" s="4" t="str">
        <v>IFPRI</v>
      </c>
      <c r="C14" s="4" t="str">
        <v>United States of America</v>
      </c>
      <c r="D14" s="5">
        <v>11.54</v>
      </c>
      <c r="E14" s="4">
        <v>1588</v>
      </c>
    </row>
  </sheetData>
  <mergeCells count="6">
    <mergeCell ref="A2"/>
    <mergeCell ref="A3"/>
    <mergeCell ref="A4:A8"/>
    <mergeCell ref="A9:A11"/>
    <mergeCell ref="A12"/>
    <mergeCell ref="A13:A14"/>
  </mergeCells>
  <ignoredErrors>
    <ignoredError numberStoredAsText="1" sqref="A1:E14"/>
  </ignoredErrors>
</worksheet>
</file>

<file path=xl/worksheets/sheet9.xml><?xml version="1.0" encoding="utf-8"?>
<worksheet xmlns="http://schemas.openxmlformats.org/spreadsheetml/2006/main" xmlns:r="http://schemas.openxmlformats.org/officeDocument/2006/relationships">
  <dimension ref="A1:F1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IFPRI</v>
      </c>
      <c r="C2" s="4" t="str">
        <v>Global</v>
      </c>
      <c r="D2" s="4" t="str">
        <v>global</v>
      </c>
      <c r="E2" s="5">
        <v>100</v>
      </c>
      <c r="F2" s="4">
        <v>1477</v>
      </c>
    </row>
    <row r="3" ht="45" customHeight="1">
      <c r="A3" s="8" t="str">
        <v>AOW01: Engage and Empower</v>
      </c>
      <c r="B3" s="4" t="str">
        <v>IFPRI</v>
      </c>
      <c r="C3" s="4" t="str">
        <v>India</v>
      </c>
      <c r="D3" s="4" t="str">
        <v>country</v>
      </c>
      <c r="E3" s="5">
        <v>100</v>
      </c>
      <c r="F3" s="4">
        <v>100</v>
      </c>
    </row>
    <row r="4" ht="45" customHeight="1">
      <c r="A4" s="8" t="str">
        <v>AOW02: Grand Challenges and Scaling Flagships</v>
      </c>
      <c r="B4" s="4" t="str">
        <v>IFPRI</v>
      </c>
      <c r="C4" s="4" t="str">
        <v>Bangladesh</v>
      </c>
      <c r="D4" s="4" t="str">
        <v>country</v>
      </c>
      <c r="E4" s="5">
        <v>12.5</v>
      </c>
      <c r="F4" s="4">
        <v>1203</v>
      </c>
    </row>
    <row r="5" ht="45" customHeight="1">
      <c r="A5" s="4" t="str">
        <v>AOW02: Grand Challenges and Scaling Flagships</v>
      </c>
      <c r="B5" s="4" t="str">
        <v>IFPRI</v>
      </c>
      <c r="C5" s="4" t="str">
        <v>Ethiopia</v>
      </c>
      <c r="D5" s="4" t="str">
        <v>country</v>
      </c>
      <c r="E5" s="5">
        <v>2.07</v>
      </c>
      <c r="F5" s="4">
        <v>1205</v>
      </c>
    </row>
    <row r="6" ht="45" customHeight="1">
      <c r="A6" s="4" t="str">
        <v>AOW02: Grand Challenges and Scaling Flagships</v>
      </c>
      <c r="B6" s="4" t="str">
        <v>IFPRI</v>
      </c>
      <c r="C6" s="4" t="str">
        <v>India</v>
      </c>
      <c r="D6" s="4" t="str">
        <v>country</v>
      </c>
      <c r="E6" s="5">
        <v>19.45</v>
      </c>
      <c r="F6" s="4">
        <v>1206</v>
      </c>
    </row>
    <row r="7" ht="45" customHeight="1">
      <c r="A7" s="4" t="str">
        <v>AOW02: Grand Challenges and Scaling Flagships</v>
      </c>
      <c r="B7" s="4" t="str">
        <v>IFPRI</v>
      </c>
      <c r="C7" s="4" t="str">
        <v>Kenya</v>
      </c>
      <c r="D7" s="4" t="str">
        <v>country</v>
      </c>
      <c r="E7" s="5">
        <v>63.9</v>
      </c>
      <c r="F7" s="4">
        <v>1204</v>
      </c>
    </row>
    <row r="8" ht="45" customHeight="1">
      <c r="A8" s="4" t="str">
        <v>AOW02: Grand Challenges and Scaling Flagships</v>
      </c>
      <c r="B8" s="4" t="str">
        <v>IFPRI</v>
      </c>
      <c r="C8" s="4" t="str">
        <v>Nigeria</v>
      </c>
      <c r="D8" s="4" t="str">
        <v>country</v>
      </c>
      <c r="E8" s="5">
        <v>2.08</v>
      </c>
      <c r="F8" s="4">
        <v>1207</v>
      </c>
    </row>
    <row r="9" ht="45" customHeight="1">
      <c r="A9" s="8" t="str">
        <v>AOW03: Enabling Environment Lab</v>
      </c>
      <c r="B9" s="4" t="str">
        <v>IFPRI</v>
      </c>
      <c r="C9" s="4" t="str">
        <v>Bangladesh</v>
      </c>
      <c r="D9" s="4" t="str">
        <v>country</v>
      </c>
      <c r="E9" s="5">
        <v>24</v>
      </c>
      <c r="F9" s="4">
        <v>425</v>
      </c>
    </row>
    <row r="10" ht="45" customHeight="1">
      <c r="A10" s="4" t="str">
        <v>AOW03: Enabling Environment Lab</v>
      </c>
      <c r="B10" s="4" t="str">
        <v>IFPRI</v>
      </c>
      <c r="C10" s="4" t="str">
        <v>Kenya</v>
      </c>
      <c r="D10" s="4" t="str">
        <v>country</v>
      </c>
      <c r="E10" s="5">
        <v>3</v>
      </c>
      <c r="F10" s="4">
        <v>426</v>
      </c>
    </row>
    <row r="11" ht="45" customHeight="1">
      <c r="A11" s="4" t="str">
        <v>AOW03: Enabling Environment Lab</v>
      </c>
      <c r="B11" s="4" t="str">
        <v>IFPRI</v>
      </c>
      <c r="C11" s="4" t="str">
        <v>Nigeria</v>
      </c>
      <c r="D11" s="4" t="str">
        <v>country</v>
      </c>
      <c r="E11" s="5">
        <v>73</v>
      </c>
      <c r="F11" s="4">
        <v>424</v>
      </c>
    </row>
    <row r="12" ht="45" customHeight="1">
      <c r="A12" s="8" t="str">
        <v>AOW04: Achieving Impact by Unlocking Finance and Partnerships</v>
      </c>
      <c r="B12" s="4" t="str">
        <v>IFPRI</v>
      </c>
      <c r="C12" s="4" t="str">
        <v>Global</v>
      </c>
      <c r="D12" s="4" t="str">
        <v>global</v>
      </c>
      <c r="E12" s="5">
        <v>71</v>
      </c>
      <c r="F12" s="4">
        <v>624</v>
      </c>
    </row>
    <row r="13" ht="45" customHeight="1">
      <c r="A13" s="4" t="str">
        <v>AOW04: Achieving Impact by Unlocking Finance and Partnerships</v>
      </c>
      <c r="B13" s="4" t="str">
        <v>IFPRI</v>
      </c>
      <c r="C13" s="4" t="str">
        <v>India</v>
      </c>
      <c r="D13" s="4" t="str">
        <v>country</v>
      </c>
      <c r="E13" s="5">
        <v>29</v>
      </c>
      <c r="F13" s="4">
        <v>623</v>
      </c>
    </row>
    <row r="14" ht="45" customHeight="1">
      <c r="A14" s="8" t="str">
        <v>AOW05: Learning for Impact</v>
      </c>
      <c r="B14" s="4" t="str">
        <v>IFPRI</v>
      </c>
      <c r="C14" s="4" t="str">
        <v>Global</v>
      </c>
      <c r="D14" s="4" t="str">
        <v>global</v>
      </c>
      <c r="E14" s="5">
        <v>100</v>
      </c>
      <c r="F14" s="4">
        <v>562</v>
      </c>
    </row>
  </sheetData>
  <mergeCells count="6">
    <mergeCell ref="A2"/>
    <mergeCell ref="A3"/>
    <mergeCell ref="A4:A8"/>
    <mergeCell ref="A9:A11"/>
    <mergeCell ref="A12:A13"/>
    <mergeCell ref="A14"/>
  </mergeCells>
  <ignoredErrors>
    <ignoredError numberStoredAsText="1" sqref="A1:F14"/>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