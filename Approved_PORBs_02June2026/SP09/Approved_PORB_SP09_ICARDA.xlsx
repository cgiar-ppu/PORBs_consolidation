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6000</v>
      </c>
      <c r="K4" s="5">
        <v>6000</v>
      </c>
      <c r="L4" s="5">
        <v>0</v>
      </c>
      <c r="M4" s="5">
        <v>0</v>
      </c>
      <c r="N4" s="4">
        <v>206</v>
      </c>
    </row>
    <row r="5" ht="20" customHeight="1">
      <c r="A5" s="4" t="str">
        <v>AOW01: Engage and Empower</v>
      </c>
      <c r="B5" s="5">
        <v>0</v>
      </c>
      <c r="C5" s="5">
        <v>0</v>
      </c>
      <c r="D5" s="5">
        <v>0</v>
      </c>
      <c r="E5" s="5">
        <v>0</v>
      </c>
      <c r="F5" s="5">
        <v>0</v>
      </c>
      <c r="G5" s="5">
        <v>0</v>
      </c>
      <c r="H5" s="5">
        <v>0</v>
      </c>
      <c r="I5" s="5">
        <v>0</v>
      </c>
      <c r="J5" s="5">
        <v>0</v>
      </c>
      <c r="K5" s="5">
        <v>0</v>
      </c>
      <c r="L5" s="5">
        <v>0</v>
      </c>
      <c r="M5" s="5">
        <v>0</v>
      </c>
      <c r="N5" s="4">
        <v>205</v>
      </c>
    </row>
    <row r="6" ht="20" customHeight="1">
      <c r="A6" s="4" t="str">
        <v>AOW02: Grand Challenges and Scaling Flagships</v>
      </c>
      <c r="B6" s="5">
        <v>3</v>
      </c>
      <c r="C6" s="5">
        <v>226596</v>
      </c>
      <c r="D6" s="5">
        <v>2</v>
      </c>
      <c r="E6" s="5">
        <v>257014</v>
      </c>
      <c r="F6" s="5">
        <v>20</v>
      </c>
      <c r="G6" s="5">
        <v>118297</v>
      </c>
      <c r="H6" s="5">
        <v>20</v>
      </c>
      <c r="I6" s="5">
        <v>108297</v>
      </c>
      <c r="J6" s="5">
        <v>710204</v>
      </c>
      <c r="K6" s="5">
        <v>710204</v>
      </c>
      <c r="L6" s="5">
        <v>70975</v>
      </c>
      <c r="M6" s="5">
        <v>0</v>
      </c>
      <c r="N6" s="4">
        <v>201</v>
      </c>
    </row>
    <row r="7" ht="20" customHeight="1">
      <c r="A7" s="4" t="str">
        <v>AOW03: Enabling Environment Lab</v>
      </c>
      <c r="B7" s="5">
        <v>0</v>
      </c>
      <c r="C7" s="5">
        <v>0</v>
      </c>
      <c r="D7" s="5">
        <v>2</v>
      </c>
      <c r="E7" s="5">
        <v>175000</v>
      </c>
      <c r="F7" s="5">
        <v>3000</v>
      </c>
      <c r="G7" s="5">
        <v>15000</v>
      </c>
      <c r="H7" s="5">
        <v>0</v>
      </c>
      <c r="I7" s="5">
        <v>0</v>
      </c>
      <c r="J7" s="5">
        <v>190000</v>
      </c>
      <c r="K7" s="5">
        <v>190000</v>
      </c>
      <c r="L7" s="5">
        <v>19000</v>
      </c>
      <c r="M7" s="5">
        <v>0</v>
      </c>
      <c r="N7" s="4">
        <v>203</v>
      </c>
    </row>
    <row r="8" ht="20" customHeight="1">
      <c r="A8" s="4" t="str">
        <v>AOW04: Achieving Impact by Unlocking Finance and Partnerships</v>
      </c>
      <c r="B8" s="5">
        <v>6</v>
      </c>
      <c r="C8" s="5">
        <v>61141</v>
      </c>
      <c r="D8" s="5">
        <v>64</v>
      </c>
      <c r="E8" s="5">
        <v>78260</v>
      </c>
      <c r="F8" s="5">
        <v>0</v>
      </c>
      <c r="G8" s="5">
        <v>0</v>
      </c>
      <c r="H8" s="5">
        <v>0</v>
      </c>
      <c r="I8" s="5">
        <v>0</v>
      </c>
      <c r="J8" s="5">
        <v>139401</v>
      </c>
      <c r="K8" s="5">
        <v>139401</v>
      </c>
      <c r="L8" s="5">
        <v>0</v>
      </c>
      <c r="M8" s="5">
        <v>0</v>
      </c>
      <c r="N8" s="4">
        <v>202</v>
      </c>
    </row>
    <row r="9" ht="20" customHeight="1">
      <c r="A9" s="4" t="str">
        <v>AOW05: Learning for Impact</v>
      </c>
      <c r="B9" s="5">
        <v>2</v>
      </c>
      <c r="C9" s="5">
        <v>20000</v>
      </c>
      <c r="D9" s="5">
        <v>0</v>
      </c>
      <c r="E9" s="5">
        <v>0</v>
      </c>
      <c r="F9" s="5">
        <v>0</v>
      </c>
      <c r="G9" s="5">
        <v>0</v>
      </c>
      <c r="H9" s="5">
        <v>0</v>
      </c>
      <c r="I9" s="5">
        <v>0</v>
      </c>
      <c r="J9" s="5">
        <v>20000</v>
      </c>
      <c r="K9" s="5">
        <v>20000</v>
      </c>
      <c r="L9" s="5">
        <v>0</v>
      </c>
      <c r="M9" s="5">
        <v>20000</v>
      </c>
      <c r="N9" s="4">
        <v>204</v>
      </c>
    </row>
    <row r="10" ht="25" customHeight="1">
      <c r="A10" s="6" t="str">
        <v>Total</v>
      </c>
      <c r="B10" s="7" t="str">
        <v/>
      </c>
      <c r="C10" s="7">
        <v>307737</v>
      </c>
      <c r="D10" s="7" t="str">
        <v/>
      </c>
      <c r="E10" s="7">
        <v>510274</v>
      </c>
      <c r="F10" s="7" t="str">
        <v/>
      </c>
      <c r="G10" s="7">
        <v>133297</v>
      </c>
      <c r="H10" s="7" t="str">
        <v/>
      </c>
      <c r="I10" s="7">
        <v>108297</v>
      </c>
      <c r="J10" s="7">
        <v>1065605</v>
      </c>
      <c r="K10" s="7">
        <v>1065605</v>
      </c>
      <c r="L10" s="7">
        <v>89975</v>
      </c>
      <c r="M10" s="7">
        <v>20000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Grand Challenges and Scaling Flagships</v>
      </c>
      <c r="B3" s="4" t="str">
        <v>ICARDA</v>
      </c>
      <c r="C3" s="4" t="str">
        <v>HLO 2.2.2: Business models and market-led solutions</v>
      </c>
      <c r="D3" s="4" t="str">
        <v>A2P9.2: PoD name: Scaling Conservation Agriculture to One Million Hectares in Morocco: Building Climate Resilience and Employment for Rural Youth. Lead Center: ICARDA. PoD KPI:  Two -2 Innovations Developed ( Early‑generation seed production: Support 20 ha of G1/G2 seed production to strengthen the CA seed system and Mechanization deployment: Support the government in enabling access to ~235 no‑till seeders with youth‑led service provision systems  )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Innovation Devolopment. Unit: Number of innovations.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3" s="4" t="str">
        <v>Number of innovations (innovation development)</v>
      </c>
      <c r="F3" s="4" t="str">
        <v>Morocco</v>
      </c>
      <c r="G3" s="5">
        <v>2</v>
      </c>
      <c r="H3" s="5">
        <v>118298</v>
      </c>
      <c r="I3" s="4" t="str">
        <v>Two -2 Innovations Developed ( Early‑generation seed production: Support 20 ha of G1/G2 seed production to strengthen the CA seed system and Mechanization deployment: Support the government in enabling access to ~235 no‑till seeders with youth‑led service provision systems ) that contribute for 40,000 farmers and youth entrepreneurs applying CGIAR-linked Conservation Agriculture innovations by end-2026</v>
      </c>
      <c r="J3" s="4">
        <v>5923</v>
      </c>
    </row>
    <row r="4" ht="50" customHeight="1" xml:space="preserve">
      <c r="B4" s="4" t="str">
        <v>ICARDA</v>
      </c>
      <c r="D4" s="4" t="str">
        <v>A2P9.1: PoD name: Scaling Conservation Agriculture to One Million Hectares in Morocco: Building Climate Resilience and Employment for Rural Youth. Lead Center: ICARDA. PoD KPI:  One -1 Knowledge product (at least one scaling strategy or innovation packaging or scaling plan co‑designed with partners  )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Knowledege Products. Unit: Number of strategies.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4" s="4" t="str">
        <v>Number of knowledge products</v>
      </c>
      <c r="F4" s="4" t="str">
        <v>Morocco</v>
      </c>
      <c r="G4" s="5">
        <v>1</v>
      </c>
      <c r="H4" s="5">
        <v>133507</v>
      </c>
      <c r="I4" s="4" t="str" xml:space="preserve">
        <v xml:space="preserve">1 Knowledge product (at least one scaling strategy or innovation packaging or scaling plan co‑designed with partners ) that contribute for 40,000 farmers and youth entrepreneurs applying CGIAR-linked Conservation Agriculture innovations by end-2026
 15,210 	Top-off to Lead centre first KPI
</v>
      </c>
      <c r="J4" s="4">
        <v>5924</v>
      </c>
    </row>
    <row r="5" ht="50" customHeight="1">
      <c r="B5" s="4" t="str">
        <v>ICARDA</v>
      </c>
      <c r="D5" s="4" t="str">
        <v>A2P9.3: PoD name: Scaling Conservation Agriculture to One Million Hectares in Morocco: Building Climate Resilience and Employment for Rural Youth. Lead Center: ICARDA. PoD KPI:  20 Trainigs (Organize field demonstrations, awareness campaigns, and training for farmers, service providers and extensionists to support national targets reaching up to 250,000 ha under CA in 2026)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Capacity Sharing. Unit: Number of trainings.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5" s="4" t="str">
        <v>Number of people trained (capacity sharing for development)</v>
      </c>
      <c r="F5" s="4" t="str">
        <v>Morocco</v>
      </c>
      <c r="G5" s="5">
        <v>20</v>
      </c>
      <c r="H5" s="5">
        <v>118297</v>
      </c>
      <c r="I5" s="4" t="str">
        <v xml:space="preserve">20 Trainigs (Organize field demonstrations, awareness campaigns, and training for farmers, service providers and extensionists to support national targets reaching up to 250,000 ha under CA in 2026) that contribute for 40,000 farmers and youth entrepreneurs applying CGIAR-linked Conservation Agriculture innovations by end-2026 </v>
      </c>
      <c r="J5" s="4">
        <v>7881</v>
      </c>
    </row>
    <row r="6" ht="50" customHeight="1" xml:space="preserve">
      <c r="A6" s="4" t="str">
        <v>AOW02: Grand Challenges and Scaling Flagships</v>
      </c>
      <c r="B6" s="4" t="str">
        <v>ICARDA</v>
      </c>
      <c r="C6" s="4" t="str">
        <v>HLO 2.2.3: Market, policy and behavior change innovations</v>
      </c>
      <c r="D6" s="4" t="str">
        <v>A2P18.1: PoD name: Barley Enriched Balady Bread for a Climate-Resilient Approach to Nutrition and Food Sufficiency in Egypt. Lead Center: ICARDA (IFPRI also contributes to this KPI). PoD KPI: One -1 Knowledge products (At least one scaling strategy or innovation packaging or scaling plan co‑designed with partners ) that contribute for  One million five hundred thousand consumers benefiting from barley flour integration in the Balady bread system by end-2026. Suggested Disaggregation: 750,000 women (50%), 450,000 youth (30%), 300,000 others (20%). Indicator type: Knowledege Products. Unit: Number of strategies.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6" s="4" t="str">
        <v>Number of knowledge products</v>
      </c>
      <c r="F6" s="4" t="str">
        <v>Egypt</v>
      </c>
      <c r="G6" s="5">
        <v>1</v>
      </c>
      <c r="H6" s="5">
        <v>123507</v>
      </c>
      <c r="I6" s="4" t="str" xml:space="preserve">
        <v xml:space="preserve">One -1 Knowledge products (At least one scaling strategy or innovation packaging or scaling plan co‑designed with partners ) that contribute for One million five hundred thousand consumers benefiting from barley flour integration in the Balady bread system by end-2026.
15,210 	Top-off to Lead centre first KPI
30K moved from ICARDA to IFPRI for this KPI</v>
      </c>
      <c r="J6" s="4">
        <v>5970</v>
      </c>
    </row>
    <row r="7" ht="50" customHeight="1">
      <c r="B7" s="4" t="str">
        <v>ICARDA</v>
      </c>
      <c r="D7" s="4" t="str">
        <v>A2P18.2: PoD name: Barley Enriched Balady Bread for a Climate-Resilient Approach to Nutrition and Food Sufficiency in Egypt. Lead Center: ICARDA (IFPRI also contributes to this KPI). PoD KPI: One -1 Innovation developed (Barley flour integration in the Balady bread system) that contribute for  One million five hundred thousand consumers benefiting from barley flour integration in the Balady bread system by end-2026. Suggested Disaggregation: 750,000 women (50%), 450,000 youth (30%), 300,000 others (20%). Indicator type: Innovation Devolopment. Unit: Number of innovations.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7" s="4" t="str">
        <v>Number of innovations (innovation development)</v>
      </c>
      <c r="F7" s="4" t="str">
        <v>Egypt</v>
      </c>
      <c r="G7" s="5">
        <v>1</v>
      </c>
      <c r="H7" s="5">
        <v>108298</v>
      </c>
      <c r="I7" s="4" t="str">
        <v xml:space="preserve">One -1 Innovation developed (Barley flour integration in the Balady bread system) that contribute for One million five hundred thousand consumers benefiting from barley flour integration in the Balady bread system by end-2026. </v>
      </c>
      <c r="J7" s="4">
        <v>7798</v>
      </c>
    </row>
    <row r="8" ht="50" customHeight="1">
      <c r="B8" s="4" t="str">
        <v>ICARDA</v>
      </c>
      <c r="D8" s="4" t="str">
        <v>A2P18.3: PoD name: Barley Enriched Balady Bread for a Climate-Resilient Approach to Nutrition and Food Sufficiency in Egypt. Lead Center: ICARDA (IFPRI also contributes to this KPI). PoD KPI: 20 -Engagement meetings (20 field demonstrations) that contribute for  One million five hundred thousand consumers benefiting from barley flour integration in the Balady bread system by end-2026. Suggested Disaggregation: 750,000 women (50%), 450,000 youth (30%), 300,000 others (20%). Indicator type: Other outputs. Unit: Number of meetings.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8" s="4" t="str">
        <v>custom</v>
      </c>
      <c r="F8" s="4" t="str">
        <v>Egypt</v>
      </c>
      <c r="G8" s="5">
        <v>20</v>
      </c>
      <c r="H8" s="5">
        <v>108297</v>
      </c>
      <c r="I8" s="4" t="str">
        <v xml:space="preserve">20 -Engagement meetings (20 field demonstrations) that contribute for One million five hundred thousand consumers benefiting from barley flour integration in the Balady bread system by end-2026. </v>
      </c>
      <c r="J8" s="4">
        <v>7800</v>
      </c>
    </row>
    <row r="9" ht="25" customHeight="1">
      <c r="C9" s="9" t="str">
        <v>HLO budget subtotal</v>
      </c>
      <c r="H9" s="9">
        <v>710204</v>
      </c>
      <c r="J9" s="9" t="str">
        <v/>
      </c>
    </row>
    <row r="10" ht="50" customHeight="1">
      <c r="A10" s="8" t="str">
        <v>AOW03: Enabling Environment Lab</v>
      </c>
      <c r="B10" s="4" t="str">
        <v>ICARDA</v>
      </c>
      <c r="C10" s="4" t="str">
        <v xml:space="preserve">HLO 3.3.1: Enabling environment tools and diagnostics </v>
      </c>
      <c r="D10" s="4" t="str">
        <v>A3P4.2: PoD name: EE support to Flagship 2.1. Lead Center: ICARDA. PoD KPI: 1 – One country-level report (Ethiopia)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the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national seed councils; and seed sector associations in Ethiopia. MELIA: Monitoring, evaluation, and learning plans will be developed in early 2026 in cooperation with the S4I PMU and/or AoW‑5 and, where needed, will include baseline assessments and indicator tracking and reporting in line with program and CGIAR guidelines.</v>
      </c>
      <c r="E10" s="4" t="str">
        <v>Number of knowledge products</v>
      </c>
      <c r="F10" s="4" t="str">
        <v>Ethiopia</v>
      </c>
      <c r="G10" s="5">
        <v>1</v>
      </c>
      <c r="H10" s="5">
        <v>75000</v>
      </c>
      <c r="I10" s="4" t="str">
        <v>1 – One country-level report (Ethiopia) finalized and validated by the end of 2026,</v>
      </c>
      <c r="J10" s="4">
        <v>5995</v>
      </c>
    </row>
    <row r="11" ht="50" customHeight="1">
      <c r="B11" s="4" t="str">
        <v>ICARDA</v>
      </c>
      <c r="D11" s="4" t="str">
        <v>A3P4.1: PoD name: EE support to Flagship 2.1. Lead Center: ICARDA. PoD KPI: 1 – One validated regional policy output  endorsed by Ethiopia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peer-review paper.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national seed councils and seed regulatory authorities; private seed associations and related seed-system stakeholders in Ethiopia. MELIA: Monitoring, evaluation, and learning plans will be developed in early 2026 in cooperation with the S4I PMU and/or AoW‑5, and where needed will include baseline assessments and indicator tracking and reporting in line with Program and CGIAR guidelines.</v>
      </c>
      <c r="E11" s="4" t="str">
        <v>Number of knowledge products</v>
      </c>
      <c r="F11" s="4" t="str">
        <v>Ethiopia</v>
      </c>
      <c r="G11" s="5">
        <v>1</v>
      </c>
      <c r="H11" s="5">
        <v>100000</v>
      </c>
      <c r="I11" s="4" t="str">
        <v>1 – One validated regional policy output endorsed by Ethiopia by the end of 2026,</v>
      </c>
      <c r="J11" s="4">
        <v>5996</v>
      </c>
    </row>
    <row r="12" ht="50" customHeight="1">
      <c r="A12" s="4" t="str">
        <v>AOW03: Enabling Environment Lab</v>
      </c>
      <c r="B12" s="4" t="str">
        <v>ICARDA</v>
      </c>
      <c r="C12" s="4" t="str">
        <v xml:space="preserve">HLO 3.3.2: Scaling support services for enabling environment and institutions </v>
      </c>
      <c r="D12" s="4" t="str">
        <v>A3P9.3 PoD name: Inclusive Pathways for Transformative Innovation. Lead Centers: IWMI (accountable) and ICARDA (collaborating). PoD Description: This package will mainstream inclusive and responsible scaling practices across AoW2 selected flagships and bilateral projects by working with partners in Morocco, Malawi, and Zambia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PoD KPI (IWMI): 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 contributing to institutional and community-level transformation in agrifood innovation systems. PoD KPI (ICARDA): 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 contributing to institutional and community-level transformation in agrifood innovation systems. Suggested Disaggregation (IWMI): At least 1,280 women (≥50%), at least 1,024 youth (≥40%), and up to 70 other individuals from institutions reached through inclusive scaling processes and capacity-strengthening activities. Targets will be drawn from communities in Zambia and Malawi for bilateral as well as from solution tracks, and 2 institutions in each country as a transformative lever for embedding responsible approaches. Suggested Disaggregation (ICARDA): At least 220 women (≥50%), at least 176 youth (≥40%), and up to 44 other individuals from institutions reached through inclusive scaling processes and capacity-strengthening activities. Targets will be drawn from communities in Morocco under bilateral and solution tracks, as well as from 2 institutions as a transformative lever for embedding responsible approaches. Indicator type: Capacity Sharing. Unit: Number of individuals. Accountable Center leading this PoD: IWMI (ICARDA as collaborating Center). Anticipated partners: National and local institutions on the NUSTALGIC bilateral project in Morocco and solution tracks in Morocco, Zambia, and Malawi,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v>
      </c>
      <c r="E12" s="4" t="str">
        <v>Number of people trained (capacity sharing for development)</v>
      </c>
      <c r="F12" s="4" t="str">
        <v>Morocco, Zambia, Malawi</v>
      </c>
      <c r="G12" s="5">
        <v>3000</v>
      </c>
      <c r="H12" s="5">
        <v>15000</v>
      </c>
      <c r="I12" s="4" t="str">
        <v>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v>
      </c>
      <c r="J12" s="4">
        <v>8303</v>
      </c>
    </row>
    <row r="13" ht="25" customHeight="1">
      <c r="C13" s="9" t="str">
        <v>HLO budget subtotal</v>
      </c>
      <c r="H13" s="9">
        <v>190000</v>
      </c>
      <c r="J13" s="9" t="str">
        <v/>
      </c>
    </row>
    <row r="14" ht="50" customHeight="1">
      <c r="A14" s="8" t="str">
        <v>AOW04: Achieving Impact by Unlocking Finance and Partnerships</v>
      </c>
      <c r="B14" s="4" t="str">
        <v>ICARDA</v>
      </c>
      <c r="C14" s="4" t="str">
        <v>HLO 4.4.1: Technical assistance for financing for innovation scaling</v>
      </c>
      <c r="D14" s="4" t="str">
        <v>A4P4.1 – Jointly delivered by ICARDA &amp; IITA: PoD name: Global Coordinated Clearinghouse developed: New Frontier. Lead Centers: ICARDA and IITA (IITA accountable). PoD KPI: 60 – Sixty 60 CGIAR innovations vetted, profiled, validated, and published in the CGIAR global e-catalogues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reports.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v>
      </c>
      <c r="E14" s="4" t="str">
        <v>Number of knowledge products</v>
      </c>
      <c r="F14" s="4" t="str">
        <v>India, Ethiopia, Bangladesh, Kenya</v>
      </c>
      <c r="G14" s="5">
        <v>60</v>
      </c>
      <c r="H14" s="5">
        <v>8152</v>
      </c>
      <c r="I14" s="4" t="str">
        <v>60 – Sixty 60 CGIAR innovations vetted, profiled, validated, and published in the CGIAR global e-catalogues by the end of 2026 across regional and global Clearinghouses (Asia, MENA, Africa, and Latin America)</v>
      </c>
      <c r="J14" s="4">
        <v>6037</v>
      </c>
    </row>
    <row r="15" ht="50" customHeight="1">
      <c r="B15" s="4" t="str">
        <v>ICARDA</v>
      </c>
      <c r="D15" s="4" t="str">
        <v>A4P4.2 – Jointly delivered by ICARDA &amp; IITA: PoD name: Global Coordinated Clearinghouse developed: New Frontier. Lead Centers: ICARDA and IITA (IITA accountable). PoD KPI: One (1) knowledge product (strategic support provided to at least 2 regional Clearinghouses e.g., ADB, IsDB for development of operational strategies) that contributes to achieve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Knowledge Product. Unit: Number of strategies. PoD Description: This package develops a globally coordinated CGIAR Clearinghouse that connects ready-to-scale CGIAR innovations with investment pipelines of international financial institutions (IFIs), governments, and development partners, partnering with IFIs including the World Bank, IFAD, IsDB, AfDB, the Development Bank of Latin America, and the Caribbean Development Bank. By the end of 2026, it will support the Asian Development Bank’s regional Clearinghouse (hosted by IRRI) and lay the groundwork for emerging regional Clearinghouses with the Islamic Development Bank (to be hosted by ICARDA)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integrating lessons from TAAT, and mobilizing blended finance to sustain regional and global Clearinghouse operations. Collectively, these efforts will help leverage substantial IFI and partner investments (targeting US$820 million) and embed CGIAR science in development finance across Asia, MENA, Africa, and Latin America.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v>
      </c>
      <c r="E15" s="4" t="str">
        <v>Number of knowledge products</v>
      </c>
      <c r="F15" s="4" t="str">
        <v>Comoros, Somalia, Guinea, Rwanda, Sierra Leone, Central African Republic, Guatemala, Ethiopia, Nigeria, Kenya, Bangladesh, India, Côte d'Ivoire</v>
      </c>
      <c r="G15" s="5">
        <v>1</v>
      </c>
      <c r="H15" s="5">
        <v>8967</v>
      </c>
      <c r="I15" s="4" t="str">
        <v xml:space="preserve">One (1) knowledge product (strategic support provided to at least 2 regional Clearinghouses e.g., ADB, IsDB for development of operational strategies) that contributes to achieve eight hundred twenty million U.S. dollars in cumulative investment influenced by the end of 2026 </v>
      </c>
      <c r="J15" s="4">
        <v>6038</v>
      </c>
    </row>
    <row r="16" ht="50" customHeight="1">
      <c r="B16" s="4" t="str">
        <v>ICARDA</v>
      </c>
      <c r="D16" s="4" t="str">
        <v>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v>
      </c>
      <c r="E16" s="4" t="str">
        <v>Number of knowledge products</v>
      </c>
      <c r="F16" s="4" t="str">
        <v>Bangladesh, Morocco, Egypt</v>
      </c>
      <c r="G16" s="5">
        <v>3</v>
      </c>
      <c r="H16" s="5">
        <v>61141</v>
      </c>
      <c r="I16" s="4" t="str">
        <v>3 – Three finalized country diagnostics and investment briefs (Egypt, Morocco, Bangladesh) validated with IsDB and government partners, establishing entry points for CGIAR innovation integration and investment design by the end of 2026</v>
      </c>
      <c r="J16" s="4">
        <v>6052</v>
      </c>
    </row>
    <row r="17" ht="50" customHeight="1">
      <c r="B17" s="4" t="str">
        <v>ICARDA</v>
      </c>
      <c r="D17" s="4" t="str">
        <v>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v>
      </c>
      <c r="E17" s="4" t="str">
        <v>Number of innovations (innovation development)</v>
      </c>
      <c r="F17" s="4" t="str">
        <v>Morocco, Egypt, Bangladesh</v>
      </c>
      <c r="G17" s="5">
        <v>6</v>
      </c>
      <c r="H17" s="5">
        <v>61141</v>
      </c>
      <c r="I17" s="4" t="str">
        <v>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v>
      </c>
      <c r="J17" s="4">
        <v>8033</v>
      </c>
    </row>
    <row r="18" ht="25" customHeight="1">
      <c r="C18" s="9" t="str">
        <v>HLO budget subtotal</v>
      </c>
      <c r="H18" s="9">
        <v>139401</v>
      </c>
      <c r="J18" s="9" t="str">
        <v/>
      </c>
    </row>
    <row r="19" ht="50" customHeight="1" xml:space="preserve">
      <c r="A19" s="8" t="str">
        <v>AOW05: Learning for Impact</v>
      </c>
      <c r="B19" s="4" t="str">
        <v>ICARDA</v>
      </c>
      <c r="C19" s="4" t="str">
        <v>HLO 5.5.2: Evidence-based evaluation and dynamic learning insights</v>
      </c>
      <c r="D19" s="4" t="str" xml:space="preserve">
        <v xml:space="preserve">A5P12.5 PoD Name: Dynamic Learning and Adaptive Management Strategy — ICARDA S4I Scaling Pathway Engagement: KPI Title: Dynamic Learning IPSR Workshop Documentation and MEL Strategy for Conservation Agriculture in 1M Ha and Barley Bread Solution Tracks
PoD KPI: 2 — Two completed Innovation Package Scaling Readiness (IPSR) assessments uploaded to PRMS, one per ICARDA-led AoW2 Flagship Solution Track (scaling conservation agriculture to one million hectares in Morocco to build climate resilience and employment for rural youth; and scaling barley-enriched Balady bread as a climate-resilient approach to nutrition and food sufficiency in Egypt),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ICARDA-led solution tracks in AoW2 — specifically scaling conservation agriculture to one million hectares in Morocco to build climate resilience and employment for rural youth, and scaling barley-enriched Balady bread as a climate-resilient approach to nutrition and food sufficiency in Egypt.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ICARDA. PoD Owner: Iddo Dror. KPI Owner: r.moussadek@cgiar.org; a.visioni@cgiar.org. Anticipated partners: Not applicable. Partner modality: Not applicable. Countries of implementation: Morocco, Egypt. Location of benefit: Morocco, Egypt.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
"</v>
      </c>
      <c r="E19" s="4" t="str">
        <v>Number of innovations (innovation development)</v>
      </c>
      <c r="F19" s="4" t="str">
        <v>Egypt, Morocco</v>
      </c>
      <c r="G19" s="5">
        <v>2</v>
      </c>
      <c r="H19" s="5">
        <v>20000</v>
      </c>
      <c r="I19" s="4" t="str">
        <v>2 — Two completed Innovation Package Scaling Readiness (IPSR) assessments uploaded to PRMS, one per ICARDA-led AoW2 Flagship Solution Track (scaling conservation agriculture to one million hectares in Morocco to build climate resilience and employment for rural youth; and scaling barley-enriched Balady bread as a climate-resilient approach to nutrition and food sufficiency in Egypt), delivered by end of 2026.</v>
      </c>
      <c r="J19" s="4">
        <v>8106</v>
      </c>
    </row>
    <row r="20" ht="25" customHeight="1">
      <c r="C20" s="9" t="str">
        <v>HLO budget subtotal</v>
      </c>
      <c r="H20" s="9">
        <v>20000</v>
      </c>
      <c r="J20" s="9" t="str">
        <v/>
      </c>
    </row>
  </sheetData>
  <mergeCells count="18">
    <mergeCell ref="A1:A2"/>
    <mergeCell ref="B1:B2"/>
    <mergeCell ref="C1:C2"/>
    <mergeCell ref="D1:H1"/>
    <mergeCell ref="I1:I2"/>
    <mergeCell ref="J1:J2"/>
    <mergeCell ref="C3:C5"/>
    <mergeCell ref="C6:C8"/>
    <mergeCell ref="C9:G9"/>
    <mergeCell ref="A3:A9"/>
    <mergeCell ref="C10:C11"/>
    <mergeCell ref="C13:G13"/>
    <mergeCell ref="A10:A13"/>
    <mergeCell ref="C14:C17"/>
    <mergeCell ref="C18:G18"/>
    <mergeCell ref="A14:A18"/>
    <mergeCell ref="C20:G20"/>
    <mergeCell ref="A19:A20"/>
  </mergeCells>
  <ignoredErrors>
    <ignoredError numberStoredAsText="1" sqref="A1:J20"/>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Grand Challenges and Scaling Flagships</v>
      </c>
      <c r="B2" s="4" t="str">
        <v>Institut National de la Recherche Agronomique</v>
      </c>
      <c r="C2" s="4" t="str">
        <v>ICARDA</v>
      </c>
      <c r="D2" s="4" t="str">
        <v>Morocco</v>
      </c>
      <c r="E2" s="5">
        <v>34000</v>
      </c>
      <c r="F2" s="4" t="str">
        <v>PoD name: Scaling Conservation Agriculture to One Million Hectares in Morocco</v>
      </c>
      <c r="G2" s="4">
        <v>189</v>
      </c>
    </row>
    <row r="3" ht="50" customHeight="1">
      <c r="A3" s="4" t="str">
        <v>AOW02: Grand Challenges and Scaling Flagships</v>
      </c>
      <c r="B3" s="4" t="str">
        <v>Agricultural Research Center (Egypt)</v>
      </c>
      <c r="C3" s="4" t="str">
        <v>ICARDA</v>
      </c>
      <c r="D3" s="4" t="str">
        <v>Egypt</v>
      </c>
      <c r="E3" s="5">
        <v>36975</v>
      </c>
      <c r="F3" s="4" t="str">
        <v xml:space="preserve">A2P18.1: PoD name: Barley Enriched Balady Bread for a Climate-Resilient Approach to Nutrition and Food Sufficiency in Egypt. </v>
      </c>
      <c r="G3" s="4">
        <v>190</v>
      </c>
    </row>
    <row r="4" ht="25" customHeight="1">
      <c r="B4" s="9" t="str">
        <v>Contracted partners subtotal</v>
      </c>
      <c r="E4" s="9">
        <v>70975</v>
      </c>
      <c r="F4" s="9" t="str">
        <v/>
      </c>
      <c r="G4" s="9" t="str">
        <v/>
      </c>
    </row>
    <row r="5" ht="50" customHeight="1" xml:space="preserve">
      <c r="A5" s="8" t="str">
        <v>AOW03: Enabling Environment Lab</v>
      </c>
      <c r="B5" s="4" t="str">
        <v>Ethiopian Institute of Agricultural Research (EIAR)</v>
      </c>
      <c r="C5" s="4" t="str">
        <v>ICARDA</v>
      </c>
      <c r="D5" s="4" t="str">
        <v>Ethiopia</v>
      </c>
      <c r="E5" s="5">
        <v>19000</v>
      </c>
      <c r="F5" s="4" t="str" xml:space="preserve">
        <v xml:space="preserve">Ethiopian Institute of Agricultural Research (EIAR) and associated centers/institutes
</v>
      </c>
      <c r="G5" s="4">
        <v>181</v>
      </c>
    </row>
    <row r="6" ht="25" customHeight="1">
      <c r="B6" s="9" t="str">
        <v>Contracted partners subtotal</v>
      </c>
      <c r="E6" s="9">
        <v>19000</v>
      </c>
      <c r="F6" s="9" t="str">
        <v/>
      </c>
      <c r="G6" s="9" t="str">
        <v/>
      </c>
    </row>
  </sheetData>
  <mergeCells count="4">
    <mergeCell ref="B4:D4"/>
    <mergeCell ref="A2:A4"/>
    <mergeCell ref="B6:D6"/>
    <mergeCell ref="A5:A6"/>
  </mergeCells>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ICARDA</v>
      </c>
      <c r="B2" s="4" t="str">
        <v>D-100867-PRIMA: Lost and found: Neglected and Underutilized Species (NUS) and water harvesting for building climate change resilience, soil fertility, dietary diversity, and women’s empowerment</v>
      </c>
      <c r="C2" s="4" t="str">
        <v>HLO 2.2.3: Market, policy and behavior change innovations</v>
      </c>
      <c r="D2" s="5">
        <v>68652</v>
      </c>
      <c r="E2" s="4" t="str">
        <v>As per W3 and Bilateral mapping dashboard</v>
      </c>
      <c r="F2" s="4">
        <v>1158</v>
      </c>
    </row>
    <row r="3" ht="60" customHeight="1">
      <c r="A3" s="4" t="str">
        <v>ICARDA</v>
      </c>
      <c r="B3" s="4" t="str">
        <v>D-200358-Enhancing Food Security and Climate Resilience in Morocco and Tunisia</v>
      </c>
      <c r="C3" s="4" t="str">
        <v>HLO 4.4.1: Technical assistance for financing for innovation scaling</v>
      </c>
      <c r="D3" s="5">
        <v>66176</v>
      </c>
      <c r="E3" s="4" t="str">
        <v>As per W3 and Bilateral mapping dashboard</v>
      </c>
      <c r="F3" s="4">
        <v>1168</v>
      </c>
    </row>
    <row r="4" ht="25" customHeight="1">
      <c r="B4" s="9" t="str">
        <v>W3/Bilateral budget subtotal</v>
      </c>
      <c r="D4" s="9">
        <v>134828</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ICARDA</v>
      </c>
      <c r="C2" s="4" t="str">
        <v>A5P12.5 PoD Name: Dynamic Learning and Adaptive Management Strategy — ICARDA S4I Scaling Pathway Engagement</v>
      </c>
      <c r="D2" s="4" t="str">
        <v>1. Farmers adapt and adopt sustainable practices Gender Equality, Youth and Social Inclusion Nutrition, Health and Food Security 5. Partners use science for scaling 2. Scaling partners enable access to agrifood solutions Poverty Reduction, Livelihoods and Jobs</v>
      </c>
      <c r="E2" s="4" t="str">
        <v>N/A</v>
      </c>
      <c r="F2" s="5">
        <v>0</v>
      </c>
      <c r="G2" s="4" t="str">
        <v/>
      </c>
      <c r="H2" s="4">
        <v>518</v>
      </c>
    </row>
    <row r="3" ht="25" customHeight="1">
      <c r="C3" s="9" t="str">
        <v>MELIA budget subtotal</v>
      </c>
      <c r="F3" s="9">
        <v>0</v>
      </c>
      <c r="G3" s="9" t="str">
        <v/>
      </c>
      <c r="H3" s="9" t="str">
        <v/>
      </c>
    </row>
    <row r="4" ht="60" customHeight="1">
      <c r="A4" s="8" t="str">
        <v>AOW02: Grand Challenges and Scaling Flagships</v>
      </c>
      <c r="B4" s="4" t="str">
        <v>ICARDA</v>
      </c>
      <c r="C4" s="4" t="str">
        <v>A5P12.5 PoD Name: Dynamic Learning and Adaptive Management Strategy — ICARDA S4I Scaling Pathway Engagement</v>
      </c>
      <c r="D4" s="4" t="str">
        <v>1. Farmers adapt and adopt sustainable practices Gender Equality, Youth and Social Inclusion Nutrition, Health and Food Security 5. Partners use science for scaling 2. Scaling partners enable access to agrifood solutions Poverty Reduction, Livelihoods and Jobs</v>
      </c>
      <c r="E4" s="4" t="str">
        <v>N/A</v>
      </c>
      <c r="F4" s="5">
        <v>0</v>
      </c>
      <c r="G4" s="4" t="str">
        <v/>
      </c>
      <c r="H4" s="4">
        <v>517</v>
      </c>
    </row>
    <row r="5" ht="25" customHeight="1">
      <c r="C5" s="9" t="str">
        <v>MELIA budget subtotal</v>
      </c>
      <c r="F5" s="9">
        <v>0</v>
      </c>
      <c r="G5" s="9" t="str">
        <v/>
      </c>
      <c r="H5" s="9" t="str">
        <v/>
      </c>
    </row>
    <row r="6" ht="60" customHeight="1">
      <c r="A6" s="8" t="str">
        <v>AOW05: Learning for Impact</v>
      </c>
      <c r="B6" s="4" t="str">
        <v>ICARDA</v>
      </c>
      <c r="C6" s="4" t="str">
        <v>A5P12.5 PoD Name: Dynamic Learning and Adaptive Management Strategy — ICARDA S4I Scaling Pathway Engagement</v>
      </c>
      <c r="D6" s="4" t="str">
        <v>1. Farmers adapt and adopt sustainable practices Gender Equality, Youth and Social Inclusion Nutrition, Health and Food Security 5. Partners use science for scaling 2. Scaling partners enable access to agrifood solutions Poverty Reduction, Livelihoods and Jobs</v>
      </c>
      <c r="E6" s="4" t="str">
        <v>N/A</v>
      </c>
      <c r="F6" s="5">
        <v>20000</v>
      </c>
      <c r="G6" s="4" t="str">
        <v>A5P12.5 PoD Name: Dynamic Learning and Adaptive Management Strategy — ICARDA S4I Scaling Pathway Engagement</v>
      </c>
      <c r="H6" s="4">
        <v>516</v>
      </c>
    </row>
    <row r="7" ht="25" customHeight="1">
      <c r="C7" s="9" t="str">
        <v>MELIA budget subtotal</v>
      </c>
      <c r="F7" s="9">
        <v>20000</v>
      </c>
      <c r="G7" s="9" t="str">
        <v/>
      </c>
      <c r="H7" s="9" t="str">
        <v/>
      </c>
    </row>
  </sheetData>
  <mergeCells count="6">
    <mergeCell ref="C3:E3"/>
    <mergeCell ref="A2:A3"/>
    <mergeCell ref="C5:E5"/>
    <mergeCell ref="A4:A5"/>
    <mergeCell ref="C7:E7"/>
    <mergeCell ref="A6:A7"/>
  </mergeCells>
  <ignoredErrors>
    <ignoredError numberStoredAsText="1" sqref="A1:H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ICARDA</v>
      </c>
      <c r="C2" s="4" t="str">
        <v>Area of Work Leads</v>
      </c>
      <c r="D2" s="5">
        <v>6000</v>
      </c>
      <c r="E2" s="4" t="str">
        <v>Q1 2026 FTE costs for Transitional Area of Work (AoW) Leaders at $6000 per leader</v>
      </c>
      <c r="F2" s="4">
        <v>172</v>
      </c>
      <c r="G2" s="4">
        <v>3</v>
      </c>
    </row>
    <row r="3" ht="25" customHeight="1">
      <c r="C3" s="9" t="str">
        <v>Cross-cutting budget subtotal</v>
      </c>
      <c r="D3" s="9">
        <v>6000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6000</v>
      </c>
      <c r="C2" s="5">
        <v>0</v>
      </c>
      <c r="D2" s="5">
        <v>437586</v>
      </c>
      <c r="E2" s="5">
        <v>125250</v>
      </c>
      <c r="F2" s="5">
        <v>97581</v>
      </c>
      <c r="G2" s="5">
        <v>0</v>
      </c>
      <c r="H2" s="5">
        <f>=SUM(B2:G2)</f>
        <v>0</v>
      </c>
    </row>
    <row r="3" ht="20" customHeight="1">
      <c r="A3" s="4" t="str">
        <v>Operations (supplies, consultants, travels, workshops, other)</v>
      </c>
      <c r="B3" s="5">
        <v>0</v>
      </c>
      <c r="C3" s="5">
        <v>0</v>
      </c>
      <c r="D3" s="5">
        <v>201643</v>
      </c>
      <c r="E3" s="5">
        <v>45750</v>
      </c>
      <c r="F3" s="5">
        <v>41820</v>
      </c>
      <c r="G3" s="5">
        <v>20000</v>
      </c>
      <c r="H3" s="5">
        <f>=SUM(B3:G3)</f>
        <v>0</v>
      </c>
    </row>
    <row r="4" ht="20" customHeight="1">
      <c r="A4" s="4" t="str">
        <v>Collaborators non-CGIAR centers</v>
      </c>
      <c r="B4" s="5">
        <v>0</v>
      </c>
      <c r="C4" s="5">
        <v>0</v>
      </c>
      <c r="D4" s="5">
        <v>70975</v>
      </c>
      <c r="E4" s="5">
        <v>19000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ICARDA</v>
      </c>
      <c r="C2" s="4" t="str">
        <v>Morocco</v>
      </c>
      <c r="D2" s="5">
        <v>100</v>
      </c>
      <c r="E2" s="4">
        <v>3052</v>
      </c>
    </row>
    <row r="3" ht="45" customHeight="1">
      <c r="A3" s="8" t="str">
        <v>AOW02: Grand Challenges and Scaling Flagships</v>
      </c>
      <c r="B3" s="4" t="str">
        <v>ICARDA</v>
      </c>
      <c r="C3" s="4" t="str">
        <v>Egypt</v>
      </c>
      <c r="D3" s="5">
        <v>50</v>
      </c>
      <c r="E3" s="4">
        <v>1583</v>
      </c>
    </row>
    <row r="4" ht="45" customHeight="1">
      <c r="A4" s="4" t="str">
        <v>AOW02: Grand Challenges and Scaling Flagships</v>
      </c>
      <c r="B4" s="4" t="str">
        <v>ICARDA</v>
      </c>
      <c r="C4" s="4" t="str">
        <v>Morocco</v>
      </c>
      <c r="D4" s="5">
        <v>50</v>
      </c>
      <c r="E4" s="4">
        <v>1584</v>
      </c>
    </row>
    <row r="5" ht="45" customHeight="1">
      <c r="A5" s="8" t="str">
        <v>AOW03: Enabling Environment Lab</v>
      </c>
      <c r="B5" s="4" t="str">
        <v>ICARDA</v>
      </c>
      <c r="C5" s="4" t="str">
        <v>Ethiopia</v>
      </c>
      <c r="D5" s="5">
        <v>100</v>
      </c>
      <c r="E5" s="4">
        <v>1221</v>
      </c>
    </row>
    <row r="6" ht="45" customHeight="1">
      <c r="A6" s="8" t="str">
        <v>AOW04: Achieving Impact by Unlocking Finance and Partnerships</v>
      </c>
      <c r="B6" s="4" t="str">
        <v>ICARDA</v>
      </c>
      <c r="C6" s="4" t="str">
        <v>Bangladesh</v>
      </c>
      <c r="D6" s="5">
        <v>33</v>
      </c>
      <c r="E6" s="4">
        <v>1757</v>
      </c>
    </row>
    <row r="7" ht="45" customHeight="1">
      <c r="A7" s="4" t="str">
        <v>AOW04: Achieving Impact by Unlocking Finance and Partnerships</v>
      </c>
      <c r="B7" s="4" t="str">
        <v>ICARDA</v>
      </c>
      <c r="C7" s="4" t="str">
        <v>Egypt</v>
      </c>
      <c r="D7" s="5">
        <v>29</v>
      </c>
      <c r="E7" s="4">
        <v>1761</v>
      </c>
    </row>
    <row r="8" ht="45" customHeight="1">
      <c r="A8" s="4" t="str">
        <v>AOW04: Achieving Impact by Unlocking Finance and Partnerships</v>
      </c>
      <c r="B8" s="4" t="str">
        <v>ICARDA</v>
      </c>
      <c r="C8" s="4" t="str">
        <v>Ethiopia</v>
      </c>
      <c r="D8" s="5">
        <v>3</v>
      </c>
      <c r="E8" s="4">
        <v>1759</v>
      </c>
    </row>
    <row r="9" ht="45" customHeight="1">
      <c r="A9" s="4" t="str">
        <v>AOW04: Achieving Impact by Unlocking Finance and Partnerships</v>
      </c>
      <c r="B9" s="4" t="str">
        <v>ICARDA</v>
      </c>
      <c r="C9" s="4" t="str">
        <v>India</v>
      </c>
      <c r="D9" s="5">
        <v>3</v>
      </c>
      <c r="E9" s="4">
        <v>1758</v>
      </c>
    </row>
    <row r="10" ht="45" customHeight="1">
      <c r="A10" s="4" t="str">
        <v>AOW04: Achieving Impact by Unlocking Finance and Partnerships</v>
      </c>
      <c r="B10" s="4" t="str">
        <v>ICARDA</v>
      </c>
      <c r="C10" s="4" t="str">
        <v>Kenya</v>
      </c>
      <c r="D10" s="5">
        <v>3</v>
      </c>
      <c r="E10" s="4">
        <v>1760</v>
      </c>
    </row>
    <row r="11" ht="45" customHeight="1">
      <c r="A11" s="4" t="str">
        <v>AOW04: Achieving Impact by Unlocking Finance and Partnerships</v>
      </c>
      <c r="B11" s="4" t="str">
        <v>ICARDA</v>
      </c>
      <c r="C11" s="4" t="str">
        <v>Morocco</v>
      </c>
      <c r="D11" s="5">
        <v>29</v>
      </c>
      <c r="E11" s="4">
        <v>1762</v>
      </c>
    </row>
    <row r="12" ht="45" customHeight="1">
      <c r="A12" s="8" t="str">
        <v>AOW05: Learning for Impact</v>
      </c>
      <c r="B12" s="4" t="str">
        <v>ICARDA</v>
      </c>
      <c r="C12" s="4" t="str">
        <v>Egypt</v>
      </c>
      <c r="D12" s="5">
        <v>50</v>
      </c>
      <c r="E12" s="4">
        <v>3058</v>
      </c>
    </row>
    <row r="13" ht="45" customHeight="1">
      <c r="A13" s="4" t="str">
        <v>AOW05: Learning for Impact</v>
      </c>
      <c r="B13" s="4" t="str">
        <v>ICARDA</v>
      </c>
      <c r="C13" s="4" t="str">
        <v>Morocco</v>
      </c>
      <c r="D13" s="5">
        <v>50</v>
      </c>
      <c r="E13" s="4">
        <v>3059</v>
      </c>
    </row>
  </sheetData>
  <mergeCells count="5">
    <mergeCell ref="A2"/>
    <mergeCell ref="A3:A4"/>
    <mergeCell ref="A5"/>
    <mergeCell ref="A6:A11"/>
    <mergeCell ref="A12:A13"/>
  </mergeCells>
  <ignoredErrors>
    <ignoredError numberStoredAsText="1" sqref="A1:E13"/>
  </ignoredErrors>
</worksheet>
</file>

<file path=xl/worksheets/sheet9.xml><?xml version="1.0" encoding="utf-8"?>
<worksheet xmlns="http://schemas.openxmlformats.org/spreadsheetml/2006/main" xmlns:r="http://schemas.openxmlformats.org/officeDocument/2006/relationships">
  <dimension ref="A1:F1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ICARDA</v>
      </c>
      <c r="C2" s="4" t="str">
        <v>Global</v>
      </c>
      <c r="D2" s="4" t="str">
        <v>global</v>
      </c>
      <c r="E2" s="5">
        <v>0</v>
      </c>
      <c r="F2" s="4">
        <v>1199</v>
      </c>
    </row>
    <row r="3" ht="45" customHeight="1">
      <c r="A3" s="4" t="str">
        <v>AOW00: Cross Cutting</v>
      </c>
      <c r="B3" s="4" t="str">
        <v>ICARDA</v>
      </c>
      <c r="C3" s="4" t="str">
        <v>Morocco</v>
      </c>
      <c r="D3" s="4" t="str">
        <v>country</v>
      </c>
      <c r="E3" s="5">
        <v>100</v>
      </c>
      <c r="F3" s="4">
        <v>1200</v>
      </c>
    </row>
    <row r="4" ht="45" customHeight="1">
      <c r="A4" s="8" t="str">
        <v>AOW02: Grand Challenges and Scaling Flagships</v>
      </c>
      <c r="B4" s="4" t="str">
        <v>ICARDA</v>
      </c>
      <c r="C4" s="4" t="str">
        <v>Egypt</v>
      </c>
      <c r="D4" s="4" t="str">
        <v>country</v>
      </c>
      <c r="E4" s="5">
        <v>50</v>
      </c>
      <c r="F4" s="4">
        <v>557</v>
      </c>
    </row>
    <row r="5" ht="45" customHeight="1">
      <c r="A5" s="4" t="str">
        <v>AOW02: Grand Challenges and Scaling Flagships</v>
      </c>
      <c r="B5" s="4" t="str">
        <v>ICARDA</v>
      </c>
      <c r="C5" s="4" t="str">
        <v>Morocco</v>
      </c>
      <c r="D5" s="4" t="str">
        <v>country</v>
      </c>
      <c r="E5" s="5">
        <v>50</v>
      </c>
      <c r="F5" s="4">
        <v>558</v>
      </c>
    </row>
    <row r="6" ht="45" customHeight="1">
      <c r="A6" s="8" t="str">
        <v>AOW03: Enabling Environment Lab</v>
      </c>
      <c r="B6" s="4" t="str">
        <v>ICARDA</v>
      </c>
      <c r="C6" s="4" t="str">
        <v>Ethiopia</v>
      </c>
      <c r="D6" s="4" t="str">
        <v>country</v>
      </c>
      <c r="E6" s="5">
        <v>100</v>
      </c>
      <c r="F6" s="4">
        <v>423</v>
      </c>
    </row>
    <row r="7" ht="45" customHeight="1">
      <c r="A7" s="8" t="str">
        <v>AOW04: Achieving Impact by Unlocking Finance and Partnerships</v>
      </c>
      <c r="B7" s="4" t="str">
        <v>ICARDA</v>
      </c>
      <c r="C7" s="4" t="str">
        <v>Bangladesh</v>
      </c>
      <c r="D7" s="4" t="str">
        <v>country</v>
      </c>
      <c r="E7" s="5">
        <v>33</v>
      </c>
      <c r="F7" s="4">
        <v>616</v>
      </c>
    </row>
    <row r="8" ht="45" customHeight="1">
      <c r="A8" s="4" t="str">
        <v>AOW04: Achieving Impact by Unlocking Finance and Partnerships</v>
      </c>
      <c r="B8" s="4" t="str">
        <v>ICARDA</v>
      </c>
      <c r="C8" s="4" t="str">
        <v>Egypt</v>
      </c>
      <c r="D8" s="4" t="str">
        <v>country</v>
      </c>
      <c r="E8" s="5">
        <v>29</v>
      </c>
      <c r="F8" s="4">
        <v>618</v>
      </c>
    </row>
    <row r="9" ht="45" customHeight="1">
      <c r="A9" s="4" t="str">
        <v>AOW04: Achieving Impact by Unlocking Finance and Partnerships</v>
      </c>
      <c r="B9" s="4" t="str">
        <v>ICARDA</v>
      </c>
      <c r="C9" s="4" t="str">
        <v>Ethiopia</v>
      </c>
      <c r="D9" s="4" t="str">
        <v>country</v>
      </c>
      <c r="E9" s="5">
        <v>3</v>
      </c>
      <c r="F9" s="4">
        <v>615</v>
      </c>
    </row>
    <row r="10" ht="45" customHeight="1">
      <c r="A10" s="4" t="str">
        <v>AOW04: Achieving Impact by Unlocking Finance and Partnerships</v>
      </c>
      <c r="B10" s="4" t="str">
        <v>ICARDA</v>
      </c>
      <c r="C10" s="4" t="str">
        <v>India</v>
      </c>
      <c r="D10" s="4" t="str">
        <v>country</v>
      </c>
      <c r="E10" s="5">
        <v>3</v>
      </c>
      <c r="F10" s="4">
        <v>614</v>
      </c>
    </row>
    <row r="11" ht="45" customHeight="1">
      <c r="A11" s="4" t="str">
        <v>AOW04: Achieving Impact by Unlocking Finance and Partnerships</v>
      </c>
      <c r="B11" s="4" t="str">
        <v>ICARDA</v>
      </c>
      <c r="C11" s="4" t="str">
        <v>Kenya</v>
      </c>
      <c r="D11" s="4" t="str">
        <v>country</v>
      </c>
      <c r="E11" s="5">
        <v>3</v>
      </c>
      <c r="F11" s="4">
        <v>617</v>
      </c>
    </row>
    <row r="12" ht="45" customHeight="1">
      <c r="A12" s="4" t="str">
        <v>AOW04: Achieving Impact by Unlocking Finance and Partnerships</v>
      </c>
      <c r="B12" s="4" t="str">
        <v>ICARDA</v>
      </c>
      <c r="C12" s="4" t="str">
        <v>Morocco</v>
      </c>
      <c r="D12" s="4" t="str">
        <v>country</v>
      </c>
      <c r="E12" s="5">
        <v>29</v>
      </c>
      <c r="F12" s="4">
        <v>619</v>
      </c>
    </row>
    <row r="13" ht="45" customHeight="1">
      <c r="A13" s="8" t="str">
        <v>AOW05: Learning for Impact</v>
      </c>
      <c r="B13" s="4" t="str">
        <v>ICARDA</v>
      </c>
      <c r="C13" s="4" t="str">
        <v>Egypt</v>
      </c>
      <c r="D13" s="4" t="str">
        <v>country</v>
      </c>
      <c r="E13" s="5">
        <v>50</v>
      </c>
      <c r="F13" s="4">
        <v>1202</v>
      </c>
    </row>
    <row r="14" ht="45" customHeight="1">
      <c r="A14" s="4" t="str">
        <v>AOW05: Learning for Impact</v>
      </c>
      <c r="B14" s="4" t="str">
        <v>ICARDA</v>
      </c>
      <c r="C14" s="4" t="str">
        <v>Morocco</v>
      </c>
      <c r="D14" s="4" t="str">
        <v>country</v>
      </c>
      <c r="E14" s="5">
        <v>50</v>
      </c>
      <c r="F14" s="4">
        <v>1201</v>
      </c>
    </row>
  </sheetData>
  <mergeCells count="5">
    <mergeCell ref="A2:A3"/>
    <mergeCell ref="A4:A5"/>
    <mergeCell ref="A6"/>
    <mergeCell ref="A7:A12"/>
    <mergeCell ref="A13:A14"/>
  </mergeCells>
  <ignoredErrors>
    <ignoredError numberStoredAsText="1" sqref="A1:F14"/>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