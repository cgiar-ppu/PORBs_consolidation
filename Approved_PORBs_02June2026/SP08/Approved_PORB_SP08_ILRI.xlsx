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35433</v>
      </c>
      <c r="K4" s="5">
        <v>35433</v>
      </c>
      <c r="L4" s="5">
        <v>0</v>
      </c>
      <c r="M4" s="5">
        <v>0</v>
      </c>
      <c r="N4" s="4">
        <v>230</v>
      </c>
    </row>
    <row r="5" ht="20" customHeight="1">
      <c r="A5" s="4" t="str">
        <v>AOW01: Future Food Systems Lab</v>
      </c>
      <c r="B5" s="5">
        <v>0</v>
      </c>
      <c r="C5" s="5">
        <v>0</v>
      </c>
      <c r="D5" s="5">
        <v>2</v>
      </c>
      <c r="E5" s="5">
        <v>132500</v>
      </c>
      <c r="F5" s="5">
        <v>50</v>
      </c>
      <c r="G5" s="5">
        <v>40000</v>
      </c>
      <c r="H5" s="5">
        <v>0</v>
      </c>
      <c r="I5" s="5">
        <v>0</v>
      </c>
      <c r="J5" s="5">
        <v>172500</v>
      </c>
      <c r="K5" s="5">
        <v>172500</v>
      </c>
      <c r="L5" s="5">
        <v>0</v>
      </c>
      <c r="M5" s="5">
        <v>0</v>
      </c>
      <c r="N5" s="4">
        <v>226</v>
      </c>
    </row>
    <row r="6" ht="20" customHeight="1">
      <c r="A6" s="4" t="str">
        <v>AOW02: Fragile and Conflict-affected Food Systems</v>
      </c>
      <c r="B6" s="5">
        <v>0</v>
      </c>
      <c r="C6" s="5">
        <v>0</v>
      </c>
      <c r="D6" s="5">
        <v>3</v>
      </c>
      <c r="E6" s="5">
        <v>250000</v>
      </c>
      <c r="F6" s="5">
        <v>0</v>
      </c>
      <c r="G6" s="5">
        <v>0</v>
      </c>
      <c r="H6" s="5">
        <v>0</v>
      </c>
      <c r="I6" s="5">
        <v>0</v>
      </c>
      <c r="J6" s="5">
        <v>250000</v>
      </c>
      <c r="K6" s="5">
        <v>250000</v>
      </c>
      <c r="L6" s="5">
        <v>0</v>
      </c>
      <c r="M6" s="5">
        <v>0</v>
      </c>
      <c r="N6" s="4">
        <v>228</v>
      </c>
    </row>
    <row r="7" ht="20" customHeight="1">
      <c r="A7" s="4" t="str">
        <v>AOW03: Urban Food Systems</v>
      </c>
      <c r="B7" s="5">
        <v>0</v>
      </c>
      <c r="C7" s="5">
        <v>0</v>
      </c>
      <c r="D7" s="5">
        <v>2</v>
      </c>
      <c r="E7" s="5">
        <v>210000</v>
      </c>
      <c r="F7" s="5">
        <v>0</v>
      </c>
      <c r="G7" s="5">
        <v>0</v>
      </c>
      <c r="H7" s="5">
        <v>0</v>
      </c>
      <c r="I7" s="5">
        <v>0</v>
      </c>
      <c r="J7" s="5">
        <v>210000</v>
      </c>
      <c r="K7" s="5">
        <v>210000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0</v>
      </c>
      <c r="D9" s="7" t="str">
        <v/>
      </c>
      <c r="E9" s="7">
        <v>592500</v>
      </c>
      <c r="F9" s="7" t="str">
        <v/>
      </c>
      <c r="G9" s="7">
        <v>40000</v>
      </c>
      <c r="H9" s="7" t="str">
        <v/>
      </c>
      <c r="I9" s="7">
        <v>0</v>
      </c>
      <c r="J9" s="7">
        <v>667933</v>
      </c>
      <c r="K9" s="7">
        <v>667933</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1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ILRI</v>
      </c>
      <c r="C3" s="4" t="str">
        <v>1.1.1 Envisioning Food System Futures</v>
      </c>
      <c r="D3" s="4" t="str">
        <v>AW1P7: FCAS Operational Strategy- CGIAR FCAS Operational Strategy (2026–2030): KPI- Develop and disseminate a minimum of 1 FCAS portfolio case studies demonstrating context-specific approaches to conflict sensitivity, partnerships, and delivery, with documented use of findings to inform operational strategy.</v>
      </c>
      <c r="E3" s="4" t="str">
        <v>Number of knowledge products</v>
      </c>
      <c r="F3" s="4" t="str">
        <v>Pakistan, Timor-Leste, Nigeria, Solomon Islands, Philippines, Mozambique, Ethiopia, Ghana, Yemen, Jamaica, Mali, Kenya, The Republic of the Sudan, Jordan, Bangladesh, Papua New Guinea, Somalia, Burkina Faso, Peru</v>
      </c>
      <c r="G3" s="5">
        <v>1</v>
      </c>
      <c r="H3" s="5">
        <v>112500</v>
      </c>
      <c r="I3" s="4" t="str">
        <v>Costing covers staff time to co-develop and write the FCAS Operational Strategy with partners across 19 countries (including Somalia), plus operational budget for consultations, workshops, and producing the final knowledge product.</v>
      </c>
      <c r="J3" s="4">
        <v>7708</v>
      </c>
    </row>
    <row r="4" ht="50" customHeight="1">
      <c r="B4" s="4" t="str">
        <v>ILRI</v>
      </c>
      <c r="D4" s="4" t="str">
        <v>AW1P7: FCAS Operational Strategy- KPI- Produce a consolidated analysis of inputs from FCAS experts and partners, including consultations with staff from at least 15 organizations across priority geographies, capturing perspectives and practices that inform the FCAS Operational Strategy, align CGIAR approaches with partner priorities, and strengthen ways of working, with AoW2 engagement ensuring relevance to implementation and delivery.</v>
      </c>
      <c r="E4" s="4" t="str">
        <v>Number of knowledge products</v>
      </c>
      <c r="F4" s="4" t="str">
        <v>Ghana, Jordan, Mali, Somalia, Yemen, Bangladesh, The Republic of the Sudan, Peru, Solomon Islands, Jamaica, Kenya, Philippines, Timor-Leste, Ethiopia, Burkina Faso, Pakistan, Papua New Guinea, Mozambique, Nigeria</v>
      </c>
      <c r="G4" s="5">
        <v>1</v>
      </c>
      <c r="H4" s="5">
        <v>20000</v>
      </c>
      <c r="I4" s="4" t="str">
        <v>Costing covers staff time to co-develop and write the FCAS Operational Strategy with partners across 19 countries (including Somalia), plus operational budget for consultations, workshops, and producing the final knowledge product.</v>
      </c>
      <c r="J4" s="4">
        <v>7710</v>
      </c>
    </row>
    <row r="5" ht="50" customHeight="1">
      <c r="A5" s="4" t="str">
        <v>AOW01: Future Food Systems Lab</v>
      </c>
      <c r="B5" s="4" t="str">
        <v>ILRI</v>
      </c>
      <c r="C5" s="4" t="str">
        <v>1.2.2 Evidence Synthesis and Adaptive Learning</v>
      </c>
      <c r="D5" s="4" t="str">
        <v>Synthesis of internal CGIAR consultations: Consolidated analysis of inputs from cross-Center dialogues involving staff from all 15 CGIAR Centers, with each Center represented by staff from at least two geographies and office locations, capturing operational experience, challenges, and lessons from FCAS engagement to inform the FCAS Operational Strategy and validate practical ways of working.</v>
      </c>
      <c r="E5" s="4" t="str">
        <v>Number of people trained (capacity sharing for development)</v>
      </c>
      <c r="F5" s="4" t="str">
        <v>Papua New Guinea, Timor-Leste, Ethiopia, Somalia, Pakistan, Bangladesh, Jordan, Mali, Philippines, Kenya, The Republic of the Sudan, Solomon Islands, Yemen, Peru, Jamaica, Burkina Faso, Nigeria, Mozambique, Ghana</v>
      </c>
      <c r="G5" s="5">
        <v>50</v>
      </c>
      <c r="H5" s="5">
        <v>40000</v>
      </c>
      <c r="I5" s="4" t="str">
        <v>Staff time to identify, document, and write case studies from CGIAR's FCAS work and compile, edit, and publish the final knowledge product with actionable evidence for the FCAS Operational Strategy.</v>
      </c>
      <c r="J5" s="4">
        <v>7723</v>
      </c>
    </row>
    <row r="6" ht="25" customHeight="1">
      <c r="C6" s="9" t="str">
        <v>HLO budget subtotal</v>
      </c>
      <c r="H6" s="9">
        <v>172500</v>
      </c>
      <c r="J6" s="9" t="str">
        <v/>
      </c>
    </row>
    <row r="7" ht="50" customHeight="1">
      <c r="A7" s="8" t="str">
        <v>AOW02: Fragile and Conflict-affected Food Systems</v>
      </c>
      <c r="B7" s="4" t="str">
        <v>ILRI</v>
      </c>
      <c r="C7" s="4" t="str">
        <v>2.1.1 Prevent</v>
      </c>
      <c r="D7" s="4" t="str">
        <v>Produce and share at least 3 co-designed knowledge products developed with stakeholders and partners, with documented validation and dissemination.</v>
      </c>
      <c r="E7" s="4" t="str">
        <v>Number of knowledge products</v>
      </c>
      <c r="F7" s="4" t="str">
        <v>Nigeria, Ethiopia, Kenya</v>
      </c>
      <c r="G7" s="5">
        <v>3</v>
      </c>
      <c r="H7" s="5">
        <v>250000</v>
      </c>
      <c r="I7" s="4" t="str">
        <v>Costing covers staff time to co-design three knowledge products, strategic plans, or investment priorities with stakeholders in Nigeria, Ethiopia, and Kenya, plus operational budget for multi-stakeholder workshops, travel, translation, and dissemination materials to ensure shared outputs are practical and actionable.</v>
      </c>
      <c r="J7" s="4">
        <v>7341</v>
      </c>
    </row>
    <row r="8" ht="50" customHeight="1">
      <c r="A8" s="4" t="str">
        <v>AOW02: Fragile and Conflict-affected Food Systems</v>
      </c>
      <c r="B8" s="4" t="str">
        <v>ILRI</v>
      </c>
      <c r="C8" s="4" t="str">
        <v>2.2.2 Respond</v>
      </c>
      <c r="D8" s="4" t="str">
        <v>Produce and share at least 3 co-designed knowledge products developed with stakeholders and partners, with documented validation and dissemination.</v>
      </c>
      <c r="E8" s="4" t="str">
        <v>Number of knowledge products</v>
      </c>
      <c r="F8" s="4" t="str">
        <v>Nigeria, Ethiopia, Kenya</v>
      </c>
      <c r="G8" s="5">
        <v>3</v>
      </c>
      <c r="H8" s="5">
        <v>0</v>
      </c>
      <c r="I8" s="4" t="str">
        <v/>
      </c>
      <c r="J8" s="4">
        <v>8232</v>
      </c>
    </row>
    <row r="9" ht="50" customHeight="1">
      <c r="A9" s="4" t="str">
        <v>AOW02: Fragile and Conflict-affected Food Systems</v>
      </c>
      <c r="B9" s="4" t="str">
        <v>ILRI</v>
      </c>
      <c r="C9" s="4" t="str">
        <v>2.3.3 Recover</v>
      </c>
      <c r="D9" s="4" t="str">
        <v>By December 2026, at least 3 countries or institutions adopt and apply evidence from AoW-supported research, including the structured evidence and market landscape review of camel value chains in the Horn of Africa, as demonstrated by its integration into policies, programs, or investment decisions</v>
      </c>
      <c r="E9" s="4" t="str">
        <v>Number of knowledge products</v>
      </c>
      <c r="F9" s="4" t="str">
        <v>Somalia, Kenya</v>
      </c>
      <c r="G9" s="5">
        <v>1</v>
      </c>
      <c r="H9" s="5">
        <v>0</v>
      </c>
      <c r="I9" s="4" t="str">
        <v/>
      </c>
      <c r="J9" s="4">
        <v>8332</v>
      </c>
    </row>
    <row r="10" ht="50" customHeight="1">
      <c r="B10" s="4" t="str">
        <v>ILRI</v>
      </c>
      <c r="D10" s="4" t="str">
        <v>Convene a community of practice workshop with at least 30 participants to facilitate knowledge sharing on camel research priorities, constraints, capacity needs, and strategies for supporting informal food markets in FCAS contexts, with documented participation and key outcomes.</v>
      </c>
      <c r="E10" s="4" t="str">
        <v>Number of people trained (capacity sharing for development)</v>
      </c>
      <c r="F10" s="4" t="str">
        <v>Kenya, Ethiopia</v>
      </c>
      <c r="G10" s="5">
        <v>30</v>
      </c>
      <c r="H10" s="5">
        <v>0</v>
      </c>
      <c r="I10" s="4" t="str">
        <v/>
      </c>
      <c r="J10" s="4">
        <v>8333</v>
      </c>
    </row>
    <row r="11" ht="50" customHeight="1">
      <c r="B11" s="4" t="str">
        <v>ILRI</v>
      </c>
      <c r="D11" s="4" t="str">
        <v>Convene a three-day cross-border Camel Caravan in Moyale engaging at least 100 pastoralists, local community members, leaders, and regional stakeholders in dialogue and knowledge exchange on peacebuilding, environmental conservation, resilient livelihoods, and countering violent extremism, with documented participation and action outcomes.</v>
      </c>
      <c r="E11" s="4" t="str">
        <v>Number of people trained (capacity sharing for development)</v>
      </c>
      <c r="F11" s="4" t="str">
        <v>Kenya, Ethiopia</v>
      </c>
      <c r="G11" s="5">
        <v>100</v>
      </c>
      <c r="H11" s="5">
        <v>0</v>
      </c>
      <c r="I11" s="4" t="str">
        <v/>
      </c>
      <c r="J11" s="4">
        <v>8334</v>
      </c>
    </row>
    <row r="12" ht="25" customHeight="1">
      <c r="C12" s="9" t="str">
        <v>HLO budget subtotal</v>
      </c>
      <c r="H12" s="9">
        <v>250000</v>
      </c>
      <c r="J12" s="9" t="str">
        <v/>
      </c>
    </row>
    <row r="13" ht="50" customHeight="1">
      <c r="A13" s="8" t="str">
        <v>AOW03: Urban Food Systems</v>
      </c>
      <c r="B13" s="4" t="str">
        <v>ILRI</v>
      </c>
      <c r="C13" s="4" t="str">
        <v>3.3.3 Informal food markets</v>
      </c>
      <c r="D13" s="4" t="str">
        <v>Produce and share at least 1 co-designed knowledge products developed with stakeholders and partners, with documented validation and dissemination.</v>
      </c>
      <c r="E13" s="4" t="str">
        <v>Number of knowledge products</v>
      </c>
      <c r="F13" s="4" t="str">
        <v>Kenya, Philippines</v>
      </c>
      <c r="G13" s="5">
        <v>1</v>
      </c>
      <c r="H13" s="5">
        <v>0</v>
      </c>
      <c r="I13" s="4" t="str">
        <v/>
      </c>
      <c r="J13" s="4">
        <v>7336</v>
      </c>
    </row>
    <row r="14" ht="50" customHeight="1">
      <c r="B14" s="4" t="str">
        <v>ILRI</v>
      </c>
      <c r="D14" s="4" t="str">
        <v>Number of knowledge products documenting guidelines, innovations, and evidence-based business models for inclusive informal food markets</v>
      </c>
      <c r="E14" s="4" t="str">
        <v>Number of knowledge products</v>
      </c>
      <c r="F14" s="4" t="str">
        <v>Kenya</v>
      </c>
      <c r="G14" s="5">
        <v>1</v>
      </c>
      <c r="H14" s="5">
        <v>0</v>
      </c>
      <c r="I14" s="4" t="str">
        <v/>
      </c>
      <c r="J14" s="4">
        <v>7338</v>
      </c>
    </row>
    <row r="15" ht="50" customHeight="1">
      <c r="B15" s="4" t="str">
        <v>ILRI</v>
      </c>
      <c r="D15" s="4" t="str">
        <v>Number of knowledge products documenting guidelines, innovations, and evidence-based business models for inclusive informal food markets</v>
      </c>
      <c r="E15" s="4" t="str">
        <v>Number of knowledge products</v>
      </c>
      <c r="F15" s="4" t="str">
        <v>Kenya</v>
      </c>
      <c r="G15" s="5">
        <v>2</v>
      </c>
      <c r="H15" s="5">
        <v>0</v>
      </c>
      <c r="I15" s="4" t="str">
        <v/>
      </c>
      <c r="J15" s="4">
        <v>7339</v>
      </c>
    </row>
    <row r="16" ht="50" customHeight="1">
      <c r="B16" s="4" t="str">
        <v>ILRI</v>
      </c>
      <c r="D16" s="4" t="str">
        <v>AW3P3: Pull-push approaches: improving food safety for healthier urban food systems- Publication on results from field eficacy trials of handheld pasteurization control unit (SAFI) to decrease milk contamination at vendor-consumer level</v>
      </c>
      <c r="E16" s="4" t="str">
        <v>Number of knowledge products</v>
      </c>
      <c r="F16" s="4" t="str">
        <v>Kenya</v>
      </c>
      <c r="G16" s="5">
        <v>1</v>
      </c>
      <c r="H16" s="5">
        <v>150000</v>
      </c>
      <c r="I16" s="4" t="str">
        <v>Publications budget</v>
      </c>
      <c r="J16" s="4">
        <v>7788</v>
      </c>
    </row>
    <row r="17" ht="50" customHeight="1">
      <c r="B17" s="4" t="str">
        <v>ILRI</v>
      </c>
      <c r="D17" s="4" t="str">
        <v>AW3P3: Pull-push approaches: improving food safety for healthier urban food systems- Data from at least 2 household surveys using a CGIAR developed scale to measure food safety perceptions of consumers and how this could be used to leverage demand for safer food and better food choices.</v>
      </c>
      <c r="E17" s="4" t="str">
        <v>Number of knowledge products</v>
      </c>
      <c r="F17" s="4" t="str">
        <v>Kenya</v>
      </c>
      <c r="G17" s="5">
        <v>1</v>
      </c>
      <c r="H17" s="5">
        <v>60000</v>
      </c>
      <c r="I17" s="4" t="str">
        <v>Survey's budget</v>
      </c>
      <c r="J17" s="4">
        <v>7790</v>
      </c>
    </row>
    <row r="18" ht="25" customHeight="1">
      <c r="C18" s="9" t="str">
        <v>HLO budget subtotal</v>
      </c>
      <c r="H18" s="9">
        <v>210000</v>
      </c>
      <c r="J18" s="9" t="str">
        <v/>
      </c>
    </row>
  </sheetData>
  <mergeCells count="15">
    <mergeCell ref="A1:A2"/>
    <mergeCell ref="B1:B2"/>
    <mergeCell ref="C1:C2"/>
    <mergeCell ref="D1:H1"/>
    <mergeCell ref="I1:I2"/>
    <mergeCell ref="J1:J2"/>
    <mergeCell ref="C3:C4"/>
    <mergeCell ref="C6:G6"/>
    <mergeCell ref="A3:A6"/>
    <mergeCell ref="C9:C11"/>
    <mergeCell ref="C12:G12"/>
    <mergeCell ref="A7:A12"/>
    <mergeCell ref="C13:C17"/>
    <mergeCell ref="C18:G18"/>
    <mergeCell ref="A13:A18"/>
  </mergeCells>
  <ignoredErrors>
    <ignoredError numberStoredAsText="1" sqref="A1:J18"/>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ILRI</v>
      </c>
      <c r="C2" s="4" t="str">
        <v>PMU, CGIAR Program Finance Support and associated Allocation</v>
      </c>
      <c r="D2" s="5">
        <v>34594</v>
      </c>
      <c r="E2" s="4" t="str">
        <v>MELIA Focal point staff budget</v>
      </c>
      <c r="F2" s="4">
        <v>90</v>
      </c>
      <c r="G2" s="4">
        <v>2</v>
      </c>
    </row>
    <row r="3" ht="45" customHeight="1">
      <c r="A3" s="4" t="str">
        <v>AOW00: Cross Cutting</v>
      </c>
      <c r="B3" s="4" t="str">
        <v>ILRI</v>
      </c>
      <c r="C3" s="4" t="str">
        <v>Operations</v>
      </c>
      <c r="D3" s="5">
        <v>839</v>
      </c>
      <c r="E3" s="4" t="str">
        <v xml:space="preserve">Pause and Reflect reimbursement </v>
      </c>
      <c r="F3" s="4">
        <v>91</v>
      </c>
      <c r="G3" s="4">
        <v>4</v>
      </c>
    </row>
    <row r="4" ht="25" customHeight="1">
      <c r="C4" s="9" t="str">
        <v>Cross-cutting budget subtotal</v>
      </c>
      <c r="D4" s="9">
        <v>35433</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34594</v>
      </c>
      <c r="C2" s="5">
        <v>152500</v>
      </c>
      <c r="D2" s="5">
        <v>162500</v>
      </c>
      <c r="E2" s="5">
        <v>168000</v>
      </c>
      <c r="F2" s="5">
        <v>0</v>
      </c>
      <c r="G2" s="5">
        <f>=SUM(B2:F2)</f>
        <v>0</v>
      </c>
    </row>
    <row r="3" ht="20" customHeight="1">
      <c r="A3" s="4" t="str">
        <v>Operations (supplies, consultants, travels, workshops, other)</v>
      </c>
      <c r="B3" s="5">
        <v>839</v>
      </c>
      <c r="C3" s="5">
        <v>20000</v>
      </c>
      <c r="D3" s="5">
        <v>87500</v>
      </c>
      <c r="E3" s="5">
        <v>42000</v>
      </c>
      <c r="F3" s="5">
        <v>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ILRI</v>
      </c>
      <c r="C2" s="4" t="str">
        <v>Kenya</v>
      </c>
      <c r="D2" s="5">
        <v>100</v>
      </c>
      <c r="E2" s="4">
        <v>2601</v>
      </c>
    </row>
    <row r="3" ht="45" customHeight="1">
      <c r="A3" s="8" t="str">
        <v>AOW01: Future Food Systems Lab</v>
      </c>
      <c r="B3" s="4" t="str">
        <v>ILRI</v>
      </c>
      <c r="C3" s="4" t="str">
        <v>Kenya</v>
      </c>
      <c r="D3" s="5">
        <v>100</v>
      </c>
      <c r="E3" s="4">
        <v>953</v>
      </c>
    </row>
    <row r="4" ht="45" customHeight="1">
      <c r="A4" s="8" t="str">
        <v>AOW02: Fragile and Conflict-affected Food Systems</v>
      </c>
      <c r="B4" s="4" t="str">
        <v>ILRI</v>
      </c>
      <c r="C4" s="4" t="str">
        <v>Ethiopia</v>
      </c>
      <c r="D4" s="5">
        <v>33</v>
      </c>
      <c r="E4" s="4">
        <v>1160</v>
      </c>
    </row>
    <row r="5" ht="45" customHeight="1">
      <c r="A5" s="4" t="str">
        <v>AOW02: Fragile and Conflict-affected Food Systems</v>
      </c>
      <c r="B5" s="4" t="str">
        <v>ILRI</v>
      </c>
      <c r="C5" s="4" t="str">
        <v>Kenya</v>
      </c>
      <c r="D5" s="5">
        <v>34</v>
      </c>
      <c r="E5" s="4">
        <v>1161</v>
      </c>
    </row>
    <row r="6" ht="45" customHeight="1">
      <c r="A6" s="4" t="str">
        <v>AOW02: Fragile and Conflict-affected Food Systems</v>
      </c>
      <c r="B6" s="4" t="str">
        <v>ILRI</v>
      </c>
      <c r="C6" s="4" t="str">
        <v>Nigeria</v>
      </c>
      <c r="D6" s="5">
        <v>33</v>
      </c>
      <c r="E6" s="4">
        <v>1162</v>
      </c>
    </row>
    <row r="7" ht="45" customHeight="1">
      <c r="A7" s="8" t="str">
        <v>AOW03: Urban Food Systems</v>
      </c>
      <c r="B7" s="4" t="str">
        <v>ILRI</v>
      </c>
      <c r="C7" s="4" t="str">
        <v>Kenya</v>
      </c>
      <c r="D7" s="5">
        <v>100</v>
      </c>
      <c r="E7" s="4">
        <v>975</v>
      </c>
    </row>
  </sheetData>
  <mergeCells count="4">
    <mergeCell ref="A2"/>
    <mergeCell ref="A3"/>
    <mergeCell ref="A4:A6"/>
    <mergeCell ref="A7"/>
  </mergeCells>
  <ignoredErrors>
    <ignoredError numberStoredAsText="1" sqref="A1:E7"/>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ILRI</v>
      </c>
      <c r="C2" s="4" t="str">
        <v>Global</v>
      </c>
      <c r="D2" s="4" t="str">
        <v>global</v>
      </c>
      <c r="E2" s="5">
        <v>100</v>
      </c>
      <c r="F2" s="4">
        <v>922</v>
      </c>
    </row>
    <row r="3" ht="45" customHeight="1">
      <c r="A3" s="8" t="str">
        <v>AOW01: Future Food Systems Lab</v>
      </c>
      <c r="B3" s="4" t="str">
        <v>ILRI</v>
      </c>
      <c r="C3" s="4" t="str">
        <v>Global</v>
      </c>
      <c r="D3" s="4" t="str">
        <v>global</v>
      </c>
      <c r="E3" s="5">
        <v>100</v>
      </c>
      <c r="F3" s="4">
        <v>272</v>
      </c>
    </row>
    <row r="4" ht="45" customHeight="1">
      <c r="A4" s="8" t="str">
        <v>AOW02: Fragile and Conflict-affected Food Systems</v>
      </c>
      <c r="B4" s="4" t="str">
        <v>ILRI</v>
      </c>
      <c r="C4" s="4" t="str">
        <v>Global</v>
      </c>
      <c r="D4" s="4" t="str">
        <v>global</v>
      </c>
      <c r="E4" s="5">
        <v>100</v>
      </c>
      <c r="F4" s="4">
        <v>394</v>
      </c>
    </row>
    <row r="5" ht="45" customHeight="1">
      <c r="A5" s="8" t="str">
        <v>AOW03: Urban Food Systems</v>
      </c>
      <c r="B5" s="4" t="str">
        <v>ILRI</v>
      </c>
      <c r="C5" s="4" t="str">
        <v>Global</v>
      </c>
      <c r="D5" s="4" t="str">
        <v>global</v>
      </c>
      <c r="E5" s="5">
        <v>100</v>
      </c>
      <c r="F5" s="4">
        <v>290</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