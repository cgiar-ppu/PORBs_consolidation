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200386</v>
      </c>
      <c r="K4" s="5">
        <v>200386</v>
      </c>
      <c r="L4" s="5">
        <v>0</v>
      </c>
      <c r="M4" s="5">
        <v>0</v>
      </c>
      <c r="N4" s="4">
        <v>230</v>
      </c>
    </row>
    <row r="5" ht="20" customHeight="1">
      <c r="A5" s="4" t="str">
        <v>AOW01: Future Food Systems Lab</v>
      </c>
      <c r="B5" s="5">
        <v>0</v>
      </c>
      <c r="C5" s="5">
        <v>0</v>
      </c>
      <c r="D5" s="5">
        <v>1</v>
      </c>
      <c r="E5" s="5">
        <v>20000</v>
      </c>
      <c r="F5" s="5">
        <v>0</v>
      </c>
      <c r="G5" s="5">
        <v>0</v>
      </c>
      <c r="H5" s="5">
        <v>0</v>
      </c>
      <c r="I5" s="5">
        <v>0</v>
      </c>
      <c r="J5" s="5">
        <v>20000</v>
      </c>
      <c r="K5" s="5">
        <v>20000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14</v>
      </c>
      <c r="E7" s="5">
        <v>1100000</v>
      </c>
      <c r="F7" s="5">
        <v>20</v>
      </c>
      <c r="G7" s="5">
        <v>50000</v>
      </c>
      <c r="H7" s="5">
        <v>0</v>
      </c>
      <c r="I7" s="5">
        <v>0</v>
      </c>
      <c r="J7" s="5">
        <v>1150000</v>
      </c>
      <c r="K7" s="5">
        <v>1150000</v>
      </c>
      <c r="L7" s="5">
        <v>12000</v>
      </c>
      <c r="M7" s="5">
        <v>0</v>
      </c>
      <c r="N7" s="4">
        <v>227</v>
      </c>
    </row>
    <row r="8" ht="20" customHeight="1">
      <c r="A8" s="4" t="str">
        <v>AOW04: Island Food Systems</v>
      </c>
      <c r="B8" s="5">
        <v>0</v>
      </c>
      <c r="C8" s="5">
        <v>0</v>
      </c>
      <c r="D8" s="5">
        <v>0</v>
      </c>
      <c r="E8" s="5">
        <v>0</v>
      </c>
      <c r="F8" s="5">
        <v>3</v>
      </c>
      <c r="G8" s="5">
        <v>57683</v>
      </c>
      <c r="H8" s="5">
        <v>0</v>
      </c>
      <c r="I8" s="5">
        <v>0</v>
      </c>
      <c r="J8" s="5">
        <v>57683</v>
      </c>
      <c r="K8" s="5">
        <v>57683</v>
      </c>
      <c r="L8" s="5">
        <v>0</v>
      </c>
      <c r="M8" s="5">
        <v>0</v>
      </c>
      <c r="N8" s="4">
        <v>229</v>
      </c>
    </row>
    <row r="9" ht="25" customHeight="1">
      <c r="A9" s="6" t="str">
        <v>Total</v>
      </c>
      <c r="B9" s="7" t="str">
        <v/>
      </c>
      <c r="C9" s="7">
        <v>0</v>
      </c>
      <c r="D9" s="7" t="str">
        <v/>
      </c>
      <c r="E9" s="7">
        <v>1120000</v>
      </c>
      <c r="F9" s="7" t="str">
        <v/>
      </c>
      <c r="G9" s="7">
        <v>107683</v>
      </c>
      <c r="H9" s="7" t="str">
        <v/>
      </c>
      <c r="I9" s="7">
        <v>0</v>
      </c>
      <c r="J9" s="7">
        <v>1428069</v>
      </c>
      <c r="K9" s="7">
        <v>1428069</v>
      </c>
      <c r="L9" s="7">
        <v>12000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CIP</v>
      </c>
      <c r="C3" s="4" t="str">
        <v>1.2.2 Evidence Synthesis and Adaptive Learning</v>
      </c>
      <c r="D3" s="4" t="str">
        <v>Produce one knowledge product on a structured overview of innovations across fragile, urban, and island food systems, assessing their scaling readiness and investability to inform prioritization, enhance visibility, and attract funding and partnerships.</v>
      </c>
      <c r="E3" s="4" t="str">
        <v>Number of knowledge products</v>
      </c>
      <c r="F3" s="4" t="str">
        <v>Pakistan, Philippines, Kenya, Peru, Ghana, Ethiopia, Nigeria, The Republic of the Sudan, Burkina Faso, Mali, Jordan, Papua New Guinea, Mozambique, Bangladesh</v>
      </c>
      <c r="G3" s="5">
        <v>1</v>
      </c>
      <c r="H3" s="5">
        <v>0</v>
      </c>
      <c r="I3" s="4" t="str">
        <v/>
      </c>
      <c r="J3" s="4">
        <v>6865</v>
      </c>
    </row>
    <row r="4" ht="50" customHeight="1">
      <c r="A4" s="4" t="str">
        <v>AOW01: Future Food Systems Lab</v>
      </c>
      <c r="B4" s="4" t="str">
        <v>CIP</v>
      </c>
      <c r="C4" s="4" t="str">
        <v>1.1.1 Envisioning Food System Futures</v>
      </c>
      <c r="D4"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4" s="4" t="str">
        <v>Number of knowledge products</v>
      </c>
      <c r="F4" s="4" t="str">
        <v>Nigeria, Mali, Yemen, Pakistan, Jordan, Kenya, Ethiopia, Philippines, Mozambique, Burkina Faso, Jamaica, Solomon Islands, Somalia, The Republic of the Sudan, Timor-Leste, Peru, Papua New Guinea, Bangladesh, Ghana</v>
      </c>
      <c r="G4" s="5">
        <v>1</v>
      </c>
      <c r="H4" s="5">
        <v>20000</v>
      </c>
      <c r="I4" s="4" t="str">
        <v>Staff time to identify, document, and write case studies from CGIAR's FCAS work and compile, edit, and publish the final knowledge product with actionable evidence for the FCAS Operational Strategy.</v>
      </c>
      <c r="J4" s="4">
        <v>7715</v>
      </c>
    </row>
    <row r="5" ht="25" customHeight="1">
      <c r="C5" s="9" t="str">
        <v>HLO budget subtotal</v>
      </c>
      <c r="H5" s="9">
        <v>20000</v>
      </c>
      <c r="J5" s="9" t="str">
        <v/>
      </c>
    </row>
    <row r="6" ht="50" customHeight="1">
      <c r="A6" s="8" t="str">
        <v>AOW03: Urban Food Systems</v>
      </c>
      <c r="B6" s="4" t="str">
        <v>CIP</v>
      </c>
      <c r="C6" s="4" t="str">
        <v>3.3.3 Informal food markets</v>
      </c>
      <c r="D6" s="4" t="str">
        <v>Sustainable business plan for the community food bank model and Digital platform for traceability and logistics management of rescued produce from farms</v>
      </c>
      <c r="E6" s="4" t="str">
        <v>Number of knowledge products</v>
      </c>
      <c r="F6" s="4" t="str">
        <v>Peru</v>
      </c>
      <c r="G6" s="5">
        <v>2</v>
      </c>
      <c r="H6" s="5">
        <v>200000</v>
      </c>
      <c r="I6" s="4" t="str">
        <v>Staff costs and partners budget</v>
      </c>
      <c r="J6" s="4">
        <v>6928</v>
      </c>
    </row>
    <row r="7" ht="50" customHeight="1">
      <c r="B7" s="4" t="str">
        <v>CIP</v>
      </c>
      <c r="D7" s="4" t="str">
        <v>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v>
      </c>
      <c r="E7" s="4" t="str">
        <v>Number of knowledge products</v>
      </c>
      <c r="F7" s="4" t="str">
        <v>Philippines</v>
      </c>
      <c r="G7" s="5">
        <v>1</v>
      </c>
      <c r="H7" s="5">
        <v>60000</v>
      </c>
      <c r="I7" s="4" t="str">
        <v>Budget for KP's on VBS deliverable to support staff time and operations</v>
      </c>
      <c r="J7" s="4">
        <v>7797</v>
      </c>
    </row>
    <row r="8" ht="50" customHeight="1">
      <c r="B8" s="4" t="str">
        <v>CIP</v>
      </c>
      <c r="D8" s="4" t="str">
        <v>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v>
      </c>
      <c r="E8" s="4" t="str">
        <v>Number of knowledge products</v>
      </c>
      <c r="F8" s="4" t="str">
        <v>Philippines</v>
      </c>
      <c r="G8" s="5">
        <v>1</v>
      </c>
      <c r="H8" s="5">
        <v>60000</v>
      </c>
      <c r="I8" s="4" t="str">
        <v>Budget for KP's on VBS deliverable to support staff time and operations</v>
      </c>
      <c r="J8" s="4">
        <v>7799</v>
      </c>
    </row>
    <row r="9" ht="50" customHeight="1">
      <c r="B9" s="4" t="str">
        <v>CIP</v>
      </c>
      <c r="D9" s="4" t="str">
        <v>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v>
      </c>
      <c r="E9" s="4" t="str">
        <v>Number of knowledge products</v>
      </c>
      <c r="F9" s="4" t="str">
        <v>Philippines</v>
      </c>
      <c r="G9" s="5">
        <v>1</v>
      </c>
      <c r="H9" s="5">
        <v>80000</v>
      </c>
      <c r="I9" s="4" t="str">
        <v>Budget for KP's on VBS deliverable to support staff time and operations</v>
      </c>
      <c r="J9" s="4">
        <v>7801</v>
      </c>
    </row>
    <row r="10" ht="50" customHeight="1">
      <c r="A10" s="4" t="str">
        <v>AOW03: Urban Food Systems</v>
      </c>
      <c r="B10" s="4" t="str">
        <v>CIP</v>
      </c>
      <c r="C10" s="4" t="str">
        <v>3.4.4 Healthy diets</v>
      </c>
      <c r="D10" s="4" t="str">
        <v>Qualitative case study on the role of community kitchens in improving diet quality for vulnerable urban consumers</v>
      </c>
      <c r="E10" s="4" t="str">
        <v>Number of knowledge products</v>
      </c>
      <c r="F10" s="4" t="str">
        <v>Peru</v>
      </c>
      <c r="G10" s="5">
        <v>2</v>
      </c>
      <c r="H10" s="5">
        <v>0</v>
      </c>
      <c r="I10" s="4" t="str">
        <v/>
      </c>
      <c r="J10" s="4">
        <v>6929</v>
      </c>
    </row>
    <row r="11" ht="50" customHeight="1">
      <c r="B11" s="4" t="str">
        <v>CIP</v>
      </c>
      <c r="D11" s="4" t="str">
        <v>AW3P6: Urban nutrition and food environment interventions- Operational framework for integrating supply-demand RTB related interventions to combat urban malnutrition</v>
      </c>
      <c r="E11" s="4" t="str">
        <v>Number of knowledge products</v>
      </c>
      <c r="F11" s="4" t="str">
        <v>Kenya</v>
      </c>
      <c r="G11" s="5">
        <v>1</v>
      </c>
      <c r="H11" s="5">
        <v>50000</v>
      </c>
      <c r="I11" s="4" t="str">
        <v>Costing covers staff time to design and write an operational framework linking roots, tubers, and bananas supply and demand, plus operational budget for stakeholder workshops and validation meetings, and staff time to finalize and share the framework</v>
      </c>
      <c r="J11" s="4">
        <v>7807</v>
      </c>
    </row>
    <row r="12" ht="50" customHeight="1">
      <c r="B12" s="4" t="str">
        <v>CIP</v>
      </c>
      <c r="D12" s="4" t="str">
        <v>AW3P6: Urban nutrition and food environment interventions- Audio-visual learning toolkit for promoting healthy diets integrated within existing community systems</v>
      </c>
      <c r="E12" s="4" t="str">
        <v>Number of knowledge products</v>
      </c>
      <c r="F12" s="4" t="str">
        <v>Kenya</v>
      </c>
      <c r="G12" s="5">
        <v>1</v>
      </c>
      <c r="H12" s="5">
        <v>100000</v>
      </c>
      <c r="I12" s="4" t="str">
        <v>Costing covers staff time to develop audio-visual content and learning materials, plus operational budget for video production, translation, and community testing, and staff time to package and distribute the toolkit.</v>
      </c>
      <c r="J12" s="4">
        <v>7809</v>
      </c>
    </row>
    <row r="13" ht="50" customHeight="1">
      <c r="B13" s="4" t="str">
        <v>CIP</v>
      </c>
      <c r="D13" s="4" t="str">
        <v xml:space="preserve">AW3P6: Urban nutrition and food environment interventions- Rapid assessment of RTB availability, vendor practices, and consumer perceptions in urban settlements </v>
      </c>
      <c r="E13" s="4" t="str">
        <v>Number of knowledge products</v>
      </c>
      <c r="F13" s="4" t="str">
        <v>Kenya</v>
      </c>
      <c r="G13" s="5">
        <v>1</v>
      </c>
      <c r="H13" s="5">
        <v>50000</v>
      </c>
      <c r="I13" s="4" t="str">
        <v>Costing covers staff time to design and write an operational framework linking roots, tubers, and bananas supply and demand, plus operational budget for stakeholder workshops and validation meetings, and staff time to finalize and share the framework.</v>
      </c>
      <c r="J13" s="4">
        <v>7815</v>
      </c>
    </row>
    <row r="14" ht="50" customHeight="1" xml:space="preserve">
      <c r="A14" s="4" t="str">
        <v>AOW03: Urban Food Systems</v>
      </c>
      <c r="B14" s="4" t="str">
        <v>CIP</v>
      </c>
      <c r="C14" s="4" t="str">
        <v>3.5.5 Urban food systems governance</v>
      </c>
      <c r="D14" s="4" t="str" xml:space="preserve">
        <v xml:space="preserve">Policy document for responsible scaling of community food banks for food rescue in Lima and other intermediate cities in Peru.
</v>
      </c>
      <c r="E14" s="4" t="str">
        <v>Number of knowledge products</v>
      </c>
      <c r="F14" s="4" t="str">
        <v>Peru</v>
      </c>
      <c r="G14" s="5">
        <v>1</v>
      </c>
      <c r="H14" s="5">
        <v>50000</v>
      </c>
      <c r="I14" s="4" t="str">
        <v>Costing covers staff time to research and write the policy document on scaling food banks in Lima and other Peruvian cities, plus operational budget for travel, stakeholder meetings, and printing or sharing the final document.</v>
      </c>
      <c r="J14" s="4">
        <v>6930</v>
      </c>
    </row>
    <row r="15" ht="50" customHeight="1">
      <c r="B15" s="4" t="str">
        <v>CIP</v>
      </c>
      <c r="D15" s="4" t="str">
        <v>AW3P5: Food systems governance- Foresight tools and evidence products developed and disseminated to policymakers and partners</v>
      </c>
      <c r="E15" s="4" t="str">
        <v>Number of innovations (innovation development)</v>
      </c>
      <c r="F15" s="4" t="str">
        <v>Kenya</v>
      </c>
      <c r="G15" s="5">
        <v>1</v>
      </c>
      <c r="H15" s="5">
        <v>0</v>
      </c>
      <c r="I15" s="4" t="str">
        <v/>
      </c>
      <c r="J15" s="4">
        <v>7325</v>
      </c>
    </row>
    <row r="16" ht="50" customHeight="1" xml:space="preserve">
      <c r="B16" s="4" t="str">
        <v>CIP</v>
      </c>
      <c r="D16" s="4" t="str" xml:space="preserve">
        <v xml:space="preserve">AW3P5: Food systems governance- Foresight tools and evidence products developed and disseminated to policymakers and partners
</v>
      </c>
      <c r="E16" s="4" t="str">
        <v>Number of knowledge products</v>
      </c>
      <c r="F16" s="4" t="str">
        <v>Kenya</v>
      </c>
      <c r="G16" s="5">
        <v>1</v>
      </c>
      <c r="H16" s="5">
        <v>150000</v>
      </c>
      <c r="I16" s="4" t="str">
        <v>study on Foresight tools and evidence products developed and disseminated to policymakers and partners</v>
      </c>
      <c r="J16" s="4">
        <v>7806</v>
      </c>
    </row>
    <row r="17" ht="50" customHeight="1">
      <c r="B17" s="4" t="str">
        <v>CIP</v>
      </c>
      <c r="D17" s="4" t="str">
        <v>AW3P6: Urban nutrition and food environment interventions- Policy brief to support   healthy diets approaches within urban counties/communities</v>
      </c>
      <c r="E17" s="4" t="str">
        <v>Number of knowledge products</v>
      </c>
      <c r="F17" s="4" t="str">
        <v>Kenya</v>
      </c>
      <c r="G17" s="5">
        <v>1</v>
      </c>
      <c r="H17" s="5">
        <v>100000</v>
      </c>
      <c r="I17" s="4" t="str">
        <v>covers staff time to synthesize evidence and draft policy recommendations, plus operational budget for stakeholder consultations and graphic design, and staff time to print and disseminate the policy brief to county officials.</v>
      </c>
      <c r="J17" s="4">
        <v>7816</v>
      </c>
    </row>
    <row r="18" ht="50" customHeight="1">
      <c r="B18" s="4" t="str">
        <v>CIP</v>
      </c>
      <c r="D18" s="4" t="str">
        <v>AW3P8: Inclusive Governance of Informal Urban Markets for Safer Food and Reduced Losses: KPI-Develop an innovation and stakeholder mapping, with an initial engagement plan identifying relevant SMEs, NGOs, and innovations to improve informal food markets in Nairobi.</v>
      </c>
      <c r="E18" s="4" t="str">
        <v>Number of knowledge products</v>
      </c>
      <c r="F18" s="4" t="str">
        <v>Kenya</v>
      </c>
      <c r="G18" s="5">
        <v>1</v>
      </c>
      <c r="H18" s="5">
        <v>50000</v>
      </c>
      <c r="I18" s="4" t="str">
        <v>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v>
      </c>
      <c r="J18" s="4">
        <v>8329</v>
      </c>
    </row>
    <row r="19" ht="50" customHeight="1">
      <c r="B19" s="4" t="str">
        <v>CIP</v>
      </c>
      <c r="D19" s="4" t="str">
        <v>AW3P8: Inclusive Governance of Informal Urban Markets for Safer Food and Reduced Losses: KPI-</v>
      </c>
      <c r="E19" s="4" t="str">
        <v>Number of knowledge products</v>
      </c>
      <c r="F19" s="4" t="str">
        <v>Kenya</v>
      </c>
      <c r="G19" s="5">
        <v>1</v>
      </c>
      <c r="H19" s="5">
        <v>50000</v>
      </c>
      <c r="I19" s="4" t="str">
        <v>Costing covers staff time and operational budget to produce one knowledge product on inclusive governance of informal urban markets in Nairobi.</v>
      </c>
      <c r="J19" s="4">
        <v>8330</v>
      </c>
    </row>
    <row r="20" ht="50" customHeight="1">
      <c r="B20" s="4" t="str">
        <v>CIP</v>
      </c>
      <c r="D20" s="4" t="str">
        <v>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v>
      </c>
      <c r="E20" s="4" t="str">
        <v>Number of people trained (capacity sharing for development)</v>
      </c>
      <c r="F20" s="4" t="str">
        <v>Kenya</v>
      </c>
      <c r="G20" s="5">
        <v>20</v>
      </c>
      <c r="H20" s="5">
        <v>50000</v>
      </c>
      <c r="I20" s="4" t="str">
        <v>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v>
      </c>
      <c r="J20" s="4">
        <v>8331</v>
      </c>
    </row>
    <row r="21" ht="50" customHeight="1">
      <c r="A21" s="4" t="str">
        <v>AOW03: Urban Food Systems</v>
      </c>
      <c r="B21" s="4" t="str">
        <v>CIP</v>
      </c>
      <c r="C21" s="4" t="str">
        <v>3.1.1 Safe urban food production</v>
      </c>
      <c r="D21" s="4" t="str">
        <v>AW3P8: Inclusive Governance of Informal Urban Markets for Safer Food and Reduced Losses: KPI- Produce a diagnostic report on informal food markets in Nairobi, assessing youth participation, food safety, food loss and waste, and governance gaps.</v>
      </c>
      <c r="E21" s="4" t="str">
        <v>Number of knowledge products</v>
      </c>
      <c r="F21" s="4" t="str">
        <v>Kenya</v>
      </c>
      <c r="G21" s="5">
        <v>1</v>
      </c>
      <c r="H21" s="5">
        <v>100000</v>
      </c>
      <c r="I21" s="4" t="str">
        <v>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v>
      </c>
      <c r="J21" s="4">
        <v>8328</v>
      </c>
    </row>
    <row r="22" ht="25" customHeight="1">
      <c r="C22" s="9" t="str">
        <v>HLO budget subtotal</v>
      </c>
      <c r="H22" s="9">
        <v>1150000</v>
      </c>
      <c r="J22" s="9" t="str">
        <v/>
      </c>
    </row>
    <row r="23" ht="50" customHeight="1">
      <c r="A23" s="8" t="str">
        <v>AOW04: Island Food Systems</v>
      </c>
      <c r="B23" s="4" t="str">
        <v>CIP</v>
      </c>
      <c r="C23" s="4" t="str">
        <v>4.1.1 SUSTAINABILITY</v>
      </c>
      <c r="D23" s="4" t="str">
        <v>AW4P1: Sustainable Food Production- Strengthened conservation capacity of SPC–CePaCT through demand-driven training and technical support on long-term conservation of vegetatively propagated genetic resources in the Pacific islands.</v>
      </c>
      <c r="E23" s="4" t="str">
        <v>Number of people trained (capacity sharing for development)</v>
      </c>
      <c r="F23" s="4" t="str">
        <v>Solomon Islands, Papua New Guinea, Timor-Leste</v>
      </c>
      <c r="G23" s="5">
        <v>3</v>
      </c>
      <c r="H23" s="5">
        <v>57683</v>
      </c>
      <c r="I23" s="4" t="str">
        <v>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v>
      </c>
      <c r="J23" s="4">
        <v>8089</v>
      </c>
    </row>
    <row r="24" ht="25" customHeight="1">
      <c r="C24" s="9" t="str">
        <v>HLO budget subtotal</v>
      </c>
      <c r="H24" s="9">
        <v>57683</v>
      </c>
      <c r="J24" s="9" t="str">
        <v/>
      </c>
    </row>
  </sheetData>
  <mergeCells count="15">
    <mergeCell ref="A1:A2"/>
    <mergeCell ref="B1:B2"/>
    <mergeCell ref="C1:C2"/>
    <mergeCell ref="D1:H1"/>
    <mergeCell ref="I1:I2"/>
    <mergeCell ref="J1:J2"/>
    <mergeCell ref="C5:G5"/>
    <mergeCell ref="A3:A5"/>
    <mergeCell ref="C6:C9"/>
    <mergeCell ref="C10:C13"/>
    <mergeCell ref="C14:C20"/>
    <mergeCell ref="C22:G22"/>
    <mergeCell ref="A6:A22"/>
    <mergeCell ref="C24:G24"/>
    <mergeCell ref="A23: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Urban Food Systems</v>
      </c>
      <c r="B2" s="4" t="str">
        <v>Consortium for Health, Environment, and Development / Consorcio por la Salud, Ambiente y Desarrollo</v>
      </c>
      <c r="C2" s="4" t="str">
        <v>CIP</v>
      </c>
      <c r="D2" s="4" t="str">
        <v>Peru</v>
      </c>
      <c r="E2" s="5">
        <v>12000</v>
      </c>
      <c r="F2" s="4" t="str">
        <v>Partner will support Sustainable business plan for the community food bank model</v>
      </c>
      <c r="G2" s="4">
        <v>83</v>
      </c>
    </row>
    <row r="3" ht="25" customHeight="1">
      <c r="B3" s="9" t="str">
        <v>Contracted partners subtotal</v>
      </c>
      <c r="E3" s="9">
        <v>12000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AOW03: Urban Food Systems</v>
      </c>
      <c r="B2" s="4" t="str">
        <v>CIP</v>
      </c>
      <c r="C2" s="4" t="str">
        <v>Community Food Banks by Community Kitchens outcome stores (LIMA)</v>
      </c>
      <c r="D2" s="4" t="str">
        <v>3.3 Informal food markets</v>
      </c>
      <c r="E2" s="4" t="str">
        <v>N/A</v>
      </c>
      <c r="F2" s="5">
        <v>0</v>
      </c>
      <c r="G2" s="4" t="str">
        <v/>
      </c>
      <c r="H2" s="4">
        <v>427</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120415</v>
      </c>
      <c r="E2" s="4" t="str">
        <v>AoW3 Lead staffing costs</v>
      </c>
      <c r="F2" s="4">
        <v>85</v>
      </c>
      <c r="G2" s="4">
        <v>3</v>
      </c>
    </row>
    <row r="3" ht="45" customHeight="1">
      <c r="A3" s="4" t="str">
        <v>AOW00: Cross Cutting</v>
      </c>
      <c r="B3" s="4" t="str">
        <v>CIP</v>
      </c>
      <c r="C3" s="4" t="str">
        <v>PMU, CGIAR Program Finance Support and associated Allocation</v>
      </c>
      <c r="D3" s="5">
        <v>26330</v>
      </c>
      <c r="E3" s="4" t="str">
        <v xml:space="preserve">Communications focal point costs </v>
      </c>
      <c r="F3" s="4">
        <v>86</v>
      </c>
      <c r="G3" s="4">
        <v>2</v>
      </c>
    </row>
    <row r="4" ht="45" customHeight="1">
      <c r="A4" s="4" t="str">
        <v>AOW00: Cross Cutting</v>
      </c>
      <c r="B4" s="4" t="str">
        <v>CIP</v>
      </c>
      <c r="C4" s="4" t="str">
        <v>Operations</v>
      </c>
      <c r="D4" s="5">
        <v>51141</v>
      </c>
      <c r="E4" s="4" t="str">
        <v>AoW3 Lead operational budget for travel, engagements, consultants etc. AND Pause and reflect reimbursement and PNG travel budget USD 9,230</v>
      </c>
      <c r="F4" s="4">
        <v>87</v>
      </c>
      <c r="G4" s="4">
        <v>4</v>
      </c>
    </row>
    <row r="5" ht="45" customHeight="1">
      <c r="A5" s="4" t="str">
        <v>AOW00: Cross Cutting</v>
      </c>
      <c r="B5" s="4" t="str">
        <v>CIP</v>
      </c>
      <c r="C5" s="4" t="str">
        <v>Communication/Knowledge management</v>
      </c>
      <c r="D5" s="5">
        <v>2500</v>
      </c>
      <c r="E5" s="4" t="str">
        <v>Comm's focal point IEC material and Berlin travel</v>
      </c>
      <c r="F5" s="4">
        <v>120</v>
      </c>
      <c r="G5" s="4">
        <v>5</v>
      </c>
    </row>
    <row r="6" ht="25" customHeight="1">
      <c r="C6" s="9" t="str">
        <v>Cross-cutting budget subtotal</v>
      </c>
      <c r="D6" s="9">
        <v>200386</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146745</v>
      </c>
      <c r="C2" s="5">
        <v>20000</v>
      </c>
      <c r="D2" s="5">
        <v>0</v>
      </c>
      <c r="E2" s="5">
        <v>893000</v>
      </c>
      <c r="F2" s="5">
        <v>33560</v>
      </c>
      <c r="G2" s="5">
        <f>=SUM(B2:F2)</f>
        <v>0</v>
      </c>
    </row>
    <row r="3" ht="20" customHeight="1">
      <c r="A3" s="4" t="str">
        <v>Operations (supplies, consultants, travels, workshops, other)</v>
      </c>
      <c r="B3" s="5">
        <v>53641</v>
      </c>
      <c r="C3" s="5">
        <v>0</v>
      </c>
      <c r="D3" s="5">
        <v>0</v>
      </c>
      <c r="E3" s="5">
        <v>245000</v>
      </c>
      <c r="F3" s="5">
        <v>24123</v>
      </c>
      <c r="G3" s="5">
        <f>=SUM(B3:F3)</f>
        <v>0</v>
      </c>
    </row>
    <row r="4" ht="20" customHeight="1">
      <c r="A4" s="4" t="str">
        <v>Collaborators non-CGIAR centers</v>
      </c>
      <c r="B4" s="5">
        <v>0</v>
      </c>
      <c r="C4" s="5">
        <v>0</v>
      </c>
      <c r="D4" s="5">
        <v>0</v>
      </c>
      <c r="E4" s="5">
        <v>12000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Kenya</v>
      </c>
      <c r="D2" s="5">
        <v>100</v>
      </c>
      <c r="E2" s="4">
        <v>3366</v>
      </c>
    </row>
    <row r="3" ht="45" customHeight="1">
      <c r="A3" s="8" t="str">
        <v>AOW01: Future Food Systems Lab</v>
      </c>
      <c r="B3" s="4" t="str">
        <v>CIP</v>
      </c>
      <c r="C3" s="4" t="str">
        <v>Kenya</v>
      </c>
      <c r="D3" s="5">
        <v>100</v>
      </c>
      <c r="E3" s="4">
        <v>951</v>
      </c>
    </row>
    <row r="4" ht="45" customHeight="1">
      <c r="A4" s="4" t="str">
        <v>AOW01: Future Food Systems Lab</v>
      </c>
      <c r="B4" s="4" t="str">
        <v>CIP</v>
      </c>
      <c r="C4" s="4" t="str">
        <v>Nigeria</v>
      </c>
      <c r="D4" s="5">
        <v>0</v>
      </c>
      <c r="E4" s="4">
        <v>13</v>
      </c>
    </row>
    <row r="5" ht="45" customHeight="1">
      <c r="A5" s="8" t="str">
        <v>AOW03: Urban Food Systems</v>
      </c>
      <c r="B5" s="4" t="str">
        <v>CIP</v>
      </c>
      <c r="C5" s="4" t="str">
        <v>Kenya</v>
      </c>
      <c r="D5" s="5">
        <v>30</v>
      </c>
      <c r="E5" s="4">
        <v>879</v>
      </c>
    </row>
    <row r="6" ht="45" customHeight="1">
      <c r="A6" s="4" t="str">
        <v>AOW03: Urban Food Systems</v>
      </c>
      <c r="B6" s="4" t="str">
        <v>CIP</v>
      </c>
      <c r="C6" s="4" t="str">
        <v>Peru</v>
      </c>
      <c r="D6" s="5">
        <v>50</v>
      </c>
      <c r="E6" s="4">
        <v>878</v>
      </c>
    </row>
    <row r="7" ht="45" customHeight="1">
      <c r="A7" s="4" t="str">
        <v>AOW03: Urban Food Systems</v>
      </c>
      <c r="B7" s="4" t="str">
        <v>CIP</v>
      </c>
      <c r="C7" s="4" t="str">
        <v>Philippines</v>
      </c>
      <c r="D7" s="5">
        <v>20</v>
      </c>
      <c r="E7" s="4">
        <v>2573</v>
      </c>
    </row>
    <row r="8" ht="45" customHeight="1">
      <c r="A8" s="8" t="str">
        <v>AOW04: Island Food Systems</v>
      </c>
      <c r="B8" s="4" t="str">
        <v>CIP</v>
      </c>
      <c r="C8" s="4" t="str">
        <v>Papua New Guinea</v>
      </c>
      <c r="D8" s="5">
        <v>33</v>
      </c>
      <c r="E8" s="4">
        <v>968</v>
      </c>
    </row>
    <row r="9" ht="45" customHeight="1">
      <c r="A9" s="4" t="str">
        <v>AOW04: Island Food Systems</v>
      </c>
      <c r="B9" s="4" t="str">
        <v>CIP</v>
      </c>
      <c r="C9" s="4" t="str">
        <v>Solomon Islands</v>
      </c>
      <c r="D9" s="5">
        <v>33</v>
      </c>
      <c r="E9" s="4">
        <v>969</v>
      </c>
    </row>
    <row r="10" ht="45" customHeight="1">
      <c r="A10" s="4" t="str">
        <v>AOW04: Island Food Systems</v>
      </c>
      <c r="B10" s="4" t="str">
        <v>CIP</v>
      </c>
      <c r="C10" s="4" t="str">
        <v>Timor-Leste</v>
      </c>
      <c r="D10" s="5">
        <v>34</v>
      </c>
      <c r="E10" s="4">
        <v>970</v>
      </c>
    </row>
  </sheetData>
  <mergeCells count="4">
    <mergeCell ref="A2"/>
    <mergeCell ref="A3:A4"/>
    <mergeCell ref="A5:A7"/>
    <mergeCell ref="A8: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1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1679</v>
      </c>
    </row>
    <row r="3" ht="45" customHeight="1">
      <c r="A3" s="8" t="str">
        <v>AOW01: Future Food Systems Lab</v>
      </c>
      <c r="B3" s="4" t="str">
        <v>CIP</v>
      </c>
      <c r="C3" s="4" t="str">
        <v>Global</v>
      </c>
      <c r="D3" s="4" t="str">
        <v>global</v>
      </c>
      <c r="E3" s="5">
        <v>100</v>
      </c>
      <c r="F3" s="4">
        <v>268</v>
      </c>
    </row>
    <row r="4" ht="45" customHeight="1">
      <c r="A4" s="4" t="str">
        <v>AOW01: Future Food Systems Lab</v>
      </c>
      <c r="B4" s="4" t="str">
        <v>CIP</v>
      </c>
      <c r="C4" s="4" t="str">
        <v>Kenya</v>
      </c>
      <c r="D4" s="4" t="str">
        <v>country</v>
      </c>
      <c r="E4" s="5">
        <v>0</v>
      </c>
      <c r="F4" s="4">
        <v>5</v>
      </c>
    </row>
    <row r="5" ht="45" customHeight="1">
      <c r="A5" s="8" t="str">
        <v>AOW03: Urban Food Systems</v>
      </c>
      <c r="B5" s="4" t="str">
        <v>CIP</v>
      </c>
      <c r="C5" s="4" t="str">
        <v>Global</v>
      </c>
      <c r="D5" s="4" t="str">
        <v>global</v>
      </c>
      <c r="E5" s="5">
        <v>100</v>
      </c>
      <c r="F5" s="4">
        <v>291</v>
      </c>
    </row>
    <row r="6" ht="45" customHeight="1">
      <c r="A6" s="4" t="str">
        <v>AOW03: Urban Food Systems</v>
      </c>
      <c r="B6" s="4" t="str">
        <v>CIP</v>
      </c>
      <c r="C6" s="4" t="str">
        <v>Bangladesh</v>
      </c>
      <c r="D6" s="4" t="str">
        <v>country</v>
      </c>
      <c r="E6" s="5">
        <v>0</v>
      </c>
      <c r="F6" s="4">
        <v>237</v>
      </c>
    </row>
    <row r="7" ht="45" customHeight="1">
      <c r="A7" s="4" t="str">
        <v>AOW03: Urban Food Systems</v>
      </c>
      <c r="B7" s="4" t="str">
        <v>CIP</v>
      </c>
      <c r="C7" s="4" t="str">
        <v>Kenya</v>
      </c>
      <c r="D7" s="4" t="str">
        <v>country</v>
      </c>
      <c r="E7" s="5">
        <v>0</v>
      </c>
      <c r="F7" s="4">
        <v>238</v>
      </c>
    </row>
    <row r="8" ht="45" customHeight="1">
      <c r="A8" s="4" t="str">
        <v>AOW03: Urban Food Systems</v>
      </c>
      <c r="B8" s="4" t="str">
        <v>CIP</v>
      </c>
      <c r="C8" s="4" t="str">
        <v>Peru</v>
      </c>
      <c r="D8" s="4" t="str">
        <v>country</v>
      </c>
      <c r="E8" s="5">
        <v>0</v>
      </c>
      <c r="F8" s="4">
        <v>236</v>
      </c>
    </row>
    <row r="9" ht="45" customHeight="1">
      <c r="A9" s="4" t="str">
        <v>AOW03: Urban Food Systems</v>
      </c>
      <c r="B9" s="4" t="str">
        <v>CIP</v>
      </c>
      <c r="C9" s="4" t="str">
        <v>Philippines</v>
      </c>
      <c r="D9" s="4" t="str">
        <v>country</v>
      </c>
      <c r="E9" s="5">
        <v>0</v>
      </c>
      <c r="F9" s="4">
        <v>239</v>
      </c>
    </row>
    <row r="10" ht="45" customHeight="1">
      <c r="A10" s="8" t="str">
        <v>AOW04: Island Food Systems</v>
      </c>
      <c r="B10" s="4" t="str">
        <v>CIP</v>
      </c>
      <c r="C10" s="4" t="str">
        <v>Global</v>
      </c>
      <c r="D10" s="4" t="str">
        <v>global</v>
      </c>
      <c r="E10" s="5">
        <v>100</v>
      </c>
      <c r="F10" s="4">
        <v>284</v>
      </c>
    </row>
  </sheetData>
  <mergeCells count="4">
    <mergeCell ref="A2"/>
    <mergeCell ref="A3:A4"/>
    <mergeCell ref="A5:A9"/>
    <mergeCell ref="A10"/>
  </mergeCells>
  <ignoredErrors>
    <ignoredError numberStoredAsText="1" sqref="A1:F10"/>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