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182294</v>
      </c>
      <c r="K4" s="5">
        <v>182294</v>
      </c>
      <c r="L4" s="5">
        <v>0</v>
      </c>
      <c r="M4" s="5">
        <v>0</v>
      </c>
      <c r="N4" s="4">
        <v>230</v>
      </c>
    </row>
    <row r="5" ht="20" customHeight="1">
      <c r="A5" s="4" t="str">
        <v>AOW01: Future Food Systems Lab</v>
      </c>
      <c r="B5" s="5">
        <v>0</v>
      </c>
      <c r="C5" s="5">
        <v>0</v>
      </c>
      <c r="D5" s="5">
        <v>6</v>
      </c>
      <c r="E5" s="5">
        <v>320000</v>
      </c>
      <c r="F5" s="5">
        <v>0</v>
      </c>
      <c r="G5" s="5">
        <v>0</v>
      </c>
      <c r="H5" s="5">
        <v>0</v>
      </c>
      <c r="I5" s="5">
        <v>0</v>
      </c>
      <c r="J5" s="5">
        <v>320000</v>
      </c>
      <c r="K5" s="5">
        <v>320000</v>
      </c>
      <c r="L5" s="5">
        <v>0</v>
      </c>
      <c r="M5" s="5">
        <v>0</v>
      </c>
      <c r="N5" s="4">
        <v>226</v>
      </c>
    </row>
    <row r="6" ht="20" customHeight="1">
      <c r="A6" s="4" t="str">
        <v>AOW02: Fragile and Conflict-affected Food Systems</v>
      </c>
      <c r="B6" s="5">
        <v>5</v>
      </c>
      <c r="C6" s="5">
        <v>85000</v>
      </c>
      <c r="D6" s="5">
        <v>1</v>
      </c>
      <c r="E6" s="5">
        <v>65000</v>
      </c>
      <c r="F6" s="5">
        <v>0</v>
      </c>
      <c r="G6" s="5">
        <v>0</v>
      </c>
      <c r="H6" s="5">
        <v>0</v>
      </c>
      <c r="I6" s="5">
        <v>0</v>
      </c>
      <c r="J6" s="5">
        <v>150000</v>
      </c>
      <c r="K6" s="5">
        <v>150000</v>
      </c>
      <c r="L6" s="5">
        <v>0</v>
      </c>
      <c r="M6" s="5">
        <v>0</v>
      </c>
      <c r="N6" s="4">
        <v>228</v>
      </c>
    </row>
    <row r="7" ht="20" customHeight="1">
      <c r="A7" s="4" t="str">
        <v>AOW03: Urban Food Systems</v>
      </c>
      <c r="B7" s="5">
        <v>0</v>
      </c>
      <c r="C7" s="5">
        <v>0</v>
      </c>
      <c r="D7" s="5">
        <v>0</v>
      </c>
      <c r="E7" s="5">
        <v>0</v>
      </c>
      <c r="F7" s="5">
        <v>0</v>
      </c>
      <c r="G7" s="5">
        <v>0</v>
      </c>
      <c r="H7" s="5">
        <v>0</v>
      </c>
      <c r="I7" s="5">
        <v>0</v>
      </c>
      <c r="J7" s="5">
        <v>0</v>
      </c>
      <c r="K7" s="5">
        <v>0</v>
      </c>
      <c r="L7" s="5">
        <v>0</v>
      </c>
      <c r="M7" s="5">
        <v>0</v>
      </c>
      <c r="N7" s="4">
        <v>227</v>
      </c>
    </row>
    <row r="8" ht="20" customHeight="1">
      <c r="A8" s="4" t="str">
        <v>AOW04: Island Food Systems</v>
      </c>
      <c r="B8" s="5">
        <v>5</v>
      </c>
      <c r="C8" s="5">
        <v>230000</v>
      </c>
      <c r="D8" s="5">
        <v>16</v>
      </c>
      <c r="E8" s="5">
        <v>917500</v>
      </c>
      <c r="F8" s="5">
        <v>299</v>
      </c>
      <c r="G8" s="5">
        <v>690894</v>
      </c>
      <c r="H8" s="5">
        <v>3</v>
      </c>
      <c r="I8" s="5">
        <v>50000</v>
      </c>
      <c r="J8" s="5">
        <v>1888394</v>
      </c>
      <c r="K8" s="5">
        <v>1888394</v>
      </c>
      <c r="L8" s="5">
        <v>602400</v>
      </c>
      <c r="M8" s="5">
        <v>0</v>
      </c>
      <c r="N8" s="4">
        <v>229</v>
      </c>
    </row>
    <row r="9" ht="25" customHeight="1">
      <c r="A9" s="6" t="str">
        <v>Total</v>
      </c>
      <c r="B9" s="7" t="str">
        <v/>
      </c>
      <c r="C9" s="7">
        <v>315000</v>
      </c>
      <c r="D9" s="7" t="str">
        <v/>
      </c>
      <c r="E9" s="7">
        <v>1302500</v>
      </c>
      <c r="F9" s="7" t="str">
        <v/>
      </c>
      <c r="G9" s="7">
        <v>690894</v>
      </c>
      <c r="H9" s="7" t="str">
        <v/>
      </c>
      <c r="I9" s="7">
        <v>50000</v>
      </c>
      <c r="J9" s="7">
        <v>2540688</v>
      </c>
      <c r="K9" s="7">
        <v>2540688</v>
      </c>
      <c r="L9" s="7">
        <v>602400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68"/>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Future Food Systems Lab</v>
      </c>
      <c r="B3" s="4" t="str">
        <v>WorldFish</v>
      </c>
      <c r="C3" s="4" t="str">
        <v>1.2.2 Evidence Synthesis and Adaptive Learning</v>
      </c>
      <c r="D3" s="4" t="str">
        <v>Identify key alternative food production systems and assess their impacts on food systems, including small-scale agriculturalists, pastoralists, and fisherfolk. Conduct internal CGIAR dialogues to analyze alignment with CGIAR impact areas and define strategies for building future research capacity on frontier foods.</v>
      </c>
      <c r="E3" s="4" t="str">
        <v>Number of knowledge products</v>
      </c>
      <c r="F3" s="4" t="str">
        <v>The Republic of the Sudan, Jordan, Nigeria, Kenya, Timor-Leste, Pakistan, Mali, Ethiopia, Papua New Guinea, Somalia, Yemen, Solomon Islands, Jamaica, Mozambique, Philippines, Bangladesh, Peru, Burkina Faso, Ghana</v>
      </c>
      <c r="G3" s="5">
        <v>2</v>
      </c>
      <c r="H3" s="5">
        <v>0</v>
      </c>
      <c r="I3" s="4" t="str">
        <v/>
      </c>
      <c r="J3" s="4">
        <v>6863</v>
      </c>
    </row>
    <row r="4" ht="50" customHeight="1">
      <c r="A4" s="4" t="str">
        <v>AOW01: Future Food Systems Lab</v>
      </c>
      <c r="B4" s="4" t="str">
        <v>WorldFish</v>
      </c>
      <c r="C4" s="4" t="str">
        <v>1.1.1 Envisioning Food System Futures</v>
      </c>
      <c r="D4" s="4" t="str">
        <v>AW1P9: Framing food frontiers in the global development and food system challenge- KPI- Deliver an analysis that situates Frontier food systems within the global food systems transformation agenda</v>
      </c>
      <c r="E4" s="4" t="str">
        <v>Number of knowledge products</v>
      </c>
      <c r="F4" s="4" t="str">
        <v>Bangladesh, Ghana, Jamaica, Burkina Faso, Solomon Islands, Peru, Kenya, Timor-Leste, Papua New Guinea, Pakistan, Ethiopia, Yemen, Somalia, Jordan, The Republic of the Sudan, Nigeria, Philippines, Mali, Mozambique</v>
      </c>
      <c r="G4" s="5">
        <v>2</v>
      </c>
      <c r="H4" s="5">
        <v>100000</v>
      </c>
      <c r="I4" s="4" t="str">
        <v>Costing covers staff time to write and complete the journal article, work with partner centres to develop the frontier food systems framework, and cover publication or open-access fees and dissemination.</v>
      </c>
      <c r="J4" s="4">
        <v>7395</v>
      </c>
    </row>
    <row r="5" ht="50" customHeight="1">
      <c r="B5" s="4" t="str">
        <v>WorldFish</v>
      </c>
      <c r="D5" s="4" t="str">
        <v>AW1P9: Framing food frontiers in the global development and food system challenge- Foods of tomorrow for lower-income, nutritionally vulnerable people: The tensions between ‘value addition’ and ‘nutrition taken away’</v>
      </c>
      <c r="E5" s="4" t="str">
        <v>Number of knowledge products</v>
      </c>
      <c r="F5" s="4" t="str">
        <v>Ethiopia, Timor-Leste, The Republic of the Sudan, Jamaica, Somalia, Papua New Guinea, Mali, Yemen, Solomon Islands, Bangladesh, Peru, Ghana, Philippines, Burkina Faso, Nigeria, Mozambique, Kenya</v>
      </c>
      <c r="G5" s="5">
        <v>2</v>
      </c>
      <c r="H5" s="5">
        <v>110000</v>
      </c>
      <c r="I5" s="4" t="str">
        <v>Costing covers cost to study how value addition affects nutrition for low-income people across many countries, gather and analyze data from those places, and write and share the final knowledge product.</v>
      </c>
      <c r="J5" s="4">
        <v>7397</v>
      </c>
    </row>
    <row r="6" ht="50" customHeight="1">
      <c r="B6" s="4" t="str">
        <v>WorldFish</v>
      </c>
      <c r="D6" s="4" t="str">
        <v>AW1P9: Framing food frontiers in the global development and food system challenge- Foods of tomorrow and agrarian change:   do proposals for ‘farmless foods’* challenge or embed existing food system inequalities?</v>
      </c>
      <c r="E6" s="4" t="str">
        <v>Number of knowledge products</v>
      </c>
      <c r="F6" s="4" t="str">
        <v>Ethiopia, Burkina Faso, Jordan, Peru, Papua New Guinea, Ghana, Solomon Islands, Philippines, Jamaica, The Republic of the Sudan, Kenya, Mozambique, Pakistan, Yemen, Nigeria, Bangladesh, Timor-Leste, Somalia, Mali</v>
      </c>
      <c r="G6" s="5">
        <v>2</v>
      </c>
      <c r="H6" s="5">
        <v>110000</v>
      </c>
      <c r="I6" s="4" t="str">
        <v>Costing covers staff time to study whether farmless foods reduce or worsen food inequalities, plus operational budget for data access, travel, or workshops, and producing and sharing the final knowledge product.</v>
      </c>
      <c r="J6" s="4">
        <v>7398</v>
      </c>
    </row>
    <row r="7" ht="25" customHeight="1">
      <c r="C7" s="9" t="str">
        <v>HLO budget subtotal</v>
      </c>
      <c r="H7" s="9">
        <v>320000</v>
      </c>
      <c r="J7" s="9" t="str">
        <v/>
      </c>
    </row>
    <row r="8" ht="50" customHeight="1">
      <c r="A8" s="8" t="str">
        <v>AOW02: Fragile and Conflict-affected Food Systems</v>
      </c>
      <c r="B8" s="4" t="str">
        <v>WorldFish</v>
      </c>
      <c r="C8" s="4" t="str">
        <v>2.3.3 Recover</v>
      </c>
      <c r="D8" s="4" t="str">
        <v>AW2P11 Fragile and Conflict-affected Food Systems-Aquaponics models co-designed and piloted with local stakeholders for FCAS settings across C-PEACE geographies (Ethiopia, Kenya, Ghana)</v>
      </c>
      <c r="E8" s="4" t="str">
        <v>Number of innovations (innovation development)</v>
      </c>
      <c r="F8" s="4" t="str">
        <v>Ethiopia, Ghana, Kenya</v>
      </c>
      <c r="G8" s="5">
        <v>3</v>
      </c>
      <c r="H8" s="5">
        <v>35000</v>
      </c>
      <c r="I8" s="4" t="str">
        <v>Costing covers staff time to co-design and pilot three aquaponics models with local stakeholders in FCAS settings, plus operational budget for materials, pilot site setup, travel, and community workshops across all three countries, and staff time to document each model as an innovation output.</v>
      </c>
      <c r="J8" s="4">
        <v>7613</v>
      </c>
    </row>
    <row r="9" ht="50" customHeight="1">
      <c r="B9" s="4" t="str">
        <v>WorldFish</v>
      </c>
      <c r="D9" s="4" t="str">
        <v>AW2P11 Fragile and Conflict-affected Food Systems- Assessment and scaling framework for integrating aquaponics innovations into FCAS across C-PEACE geographies (Ethiopia, Kenya, Ghana)</v>
      </c>
      <c r="E9" s="4" t="str">
        <v>Number of knowledge products</v>
      </c>
      <c r="F9" s="4" t="str">
        <v>Kenya, Ghana, Ethiopia</v>
      </c>
      <c r="G9" s="5">
        <v>1</v>
      </c>
      <c r="H9" s="5">
        <v>65000</v>
      </c>
      <c r="I9" s="4" t="str">
        <v>(Assessment and scaling framework for integrating aquaponics innovations into FCAS across Ethiopia, Kenya, Ghana – 1 knowledge product): Costing covers staff time to assess pilot results and develop a scaling framework for aquaponics in fragile contexts, plus operational budget for cross-country learning events, stakeholder validation, and design, and staff time to produce and share the final knowledge product.</v>
      </c>
      <c r="J9" s="4">
        <v>7614</v>
      </c>
    </row>
    <row r="10" ht="50" customHeight="1">
      <c r="A10" s="4" t="str">
        <v>AOW02: Fragile and Conflict-affected Food Systems</v>
      </c>
      <c r="B10" s="4" t="str">
        <v>WorldFish</v>
      </c>
      <c r="C10" s="4" t="str">
        <v>2.2.2 Respond</v>
      </c>
      <c r="D10" s="4" t="str">
        <v>AW2P12 Food Systems Under Siege - Gaza- Assessment of aquaponics potential within Gaza’s crisis-affected food system, examining technical feasibility, resource constraints and identifying entry points for integrating aquaponics with practical implementation modalities, including resource requirements, and context-appropriate delivery approaches under constrained and volatile conditions.</v>
      </c>
      <c r="E10" s="4" t="str">
        <v>Number of innovations (innovation development)</v>
      </c>
      <c r="F10" s="4" t="str">
        <v>State of Palestine</v>
      </c>
      <c r="G10" s="5">
        <v>2</v>
      </c>
      <c r="H10" s="5">
        <v>50000</v>
      </c>
      <c r="I10" s="4" t="str">
        <v>Costing covers staff time to assess aquaponics technical feasibility, resource constraints, and implementation modalities in Gaza’s crisis setting, plus operational budget for remote data collection, local consultations, security-related access costs, and producing the innovation assessment as a knowledge product</v>
      </c>
      <c r="J10" s="4">
        <v>7624</v>
      </c>
    </row>
    <row r="11" ht="25" customHeight="1">
      <c r="C11" s="9" t="str">
        <v>HLO budget subtotal</v>
      </c>
      <c r="H11" s="9">
        <v>150000</v>
      </c>
      <c r="J11" s="9" t="str">
        <v/>
      </c>
    </row>
    <row r="12" ht="50" customHeight="1">
      <c r="A12" s="8" t="str">
        <v>AOW04: Island Food Systems</v>
      </c>
      <c r="B12" s="4" t="str">
        <v>WorldFish</v>
      </c>
      <c r="C12" s="4" t="str">
        <v>4.1.1 SUSTAINABILITY</v>
      </c>
      <c r="D12" s="4" t="str">
        <v>AW4P1: Sustainable Food Production- By December 2026, train at least 23 participants through capacity-strengthening activities with Centre for Pacific Crops and Trees to improve skills in conserving and rescuing plant genetic resources in Pacific Island contexts</v>
      </c>
      <c r="E12" s="4" t="str">
        <v>Number of people trained (capacity sharing for development)</v>
      </c>
      <c r="F12" s="4" t="str">
        <v>Timor-Leste, Solomon Islands, Papua New Guinea</v>
      </c>
      <c r="G12" s="5">
        <v>23</v>
      </c>
      <c r="H12" s="5">
        <v>0</v>
      </c>
      <c r="I12" s="4" t="str">
        <v/>
      </c>
      <c r="J12" s="4">
        <v>6901</v>
      </c>
    </row>
    <row r="13" ht="50" customHeight="1">
      <c r="B13" s="4" t="str">
        <v>WorldFish</v>
      </c>
      <c r="D13" s="4" t="str">
        <v>AW4P4: Innovation Hubs for Islands Food Systems- Report on Island future fellows impacts and lessons learned for immersive curriculums in the Pacific</v>
      </c>
      <c r="E13" s="4" t="str">
        <v>Number of knowledge products</v>
      </c>
      <c r="F13" s="4" t="str">
        <v>Solomon Islands</v>
      </c>
      <c r="G13" s="5">
        <v>1</v>
      </c>
      <c r="H13" s="5">
        <v>50000</v>
      </c>
      <c r="I13" s="4" t="str">
        <v xml:space="preserve">Budget to support one report </v>
      </c>
      <c r="J13" s="4">
        <v>6902</v>
      </c>
    </row>
    <row r="14" ht="50" customHeight="1">
      <c r="B14" s="4" t="str">
        <v>WorldFish</v>
      </c>
      <c r="D14" s="4" t="str">
        <v>AW4P4: Innovation Hubs for Islands Food Systems- Community members, including youth, trained on practices that support resilient island food systems</v>
      </c>
      <c r="E14" s="4" t="str">
        <v>Number of people trained (capacity sharing for development)</v>
      </c>
      <c r="F14" s="4" t="str">
        <v>Solomon Islands</v>
      </c>
      <c r="G14" s="5">
        <v>200</v>
      </c>
      <c r="H14" s="5">
        <v>80000</v>
      </c>
      <c r="I14" s="4" t="str">
        <v>Budget for training 200 men, women and youth</v>
      </c>
      <c r="J14" s="4">
        <v>6903</v>
      </c>
    </row>
    <row r="15" ht="50" customHeight="1">
      <c r="B15" s="4" t="str">
        <v>WorldFish</v>
      </c>
      <c r="D15" s="4" t="str">
        <v>AW4P4: Innovation Hubs for Islands Food Systems- Expanded demonstration sites and facilities at Nusatupe to support SINU fellowships and community trainings for building resilient island food systems</v>
      </c>
      <c r="E15" s="4" t="str">
        <v>Number of innovations (innovation development)</v>
      </c>
      <c r="F15" s="4" t="str">
        <v>Solomon Islands</v>
      </c>
      <c r="G15" s="5">
        <v>3</v>
      </c>
      <c r="H15" s="5">
        <v>80000</v>
      </c>
      <c r="I15" s="4" t="str">
        <v>Budget for 3 New innovations/demonstrations</v>
      </c>
      <c r="J15" s="4">
        <v>6904</v>
      </c>
    </row>
    <row r="16" ht="50" customHeight="1">
      <c r="B16" s="4" t="str">
        <v>WorldFish</v>
      </c>
      <c r="D16" s="4" t="str">
        <v>AW4P4: Innovation Hubs for Islands Food Systems- complete 1 evaluation study documenting training impacts, participant outcomes, and lessons learned from the Island Future Fellows program to improve immersive curriculum design in the Pacific.</v>
      </c>
      <c r="E16" s="4" t="str">
        <v>Number of people trained (capacity sharing for development)</v>
      </c>
      <c r="F16" s="4" t="str">
        <v>Solomon Islands</v>
      </c>
      <c r="G16" s="5">
        <v>20</v>
      </c>
      <c r="H16" s="5">
        <v>0</v>
      </c>
      <c r="I16" s="4" t="str">
        <v/>
      </c>
      <c r="J16" s="4">
        <v>6905</v>
      </c>
    </row>
    <row r="17" ht="50" customHeight="1">
      <c r="B17" s="4" t="str">
        <v>WorldFish</v>
      </c>
      <c r="D17" s="4" t="str">
        <v>AW4P4: Innovation Hubs for Islands Food Systems- Complete 1 evaluation study documenting training impacts, participant outcomes, and lessons learned from the Island Future Fellows program to improve immersive curriculum design in the Pacific.</v>
      </c>
      <c r="E17" s="4" t="str">
        <v>Number of knowledge products</v>
      </c>
      <c r="F17" s="4" t="str">
        <v>Solomon Islands</v>
      </c>
      <c r="G17" s="5">
        <v>2</v>
      </c>
      <c r="H17" s="5">
        <v>120000</v>
      </c>
      <c r="I17" s="4" t="str">
        <v>20 Island future fellows</v>
      </c>
      <c r="J17" s="4">
        <v>6906</v>
      </c>
    </row>
    <row r="18" ht="50" customHeight="1">
      <c r="B18" s="4" t="str">
        <v>WorldFish</v>
      </c>
      <c r="D18" s="4" t="str">
        <v>AW4P3: Healthy Diets and Nutrition- Hold at least 3 multi-sector training events and workshops on nutrition-sensitive fisheries, agriculture extension services, and school meal programming, resulting in improved knowledge and capacity for implementation.</v>
      </c>
      <c r="E18" s="4" t="str">
        <v>custom</v>
      </c>
      <c r="F18" s="4" t="str">
        <v>Timor-Leste</v>
      </c>
      <c r="G18" s="5">
        <v>3</v>
      </c>
      <c r="H18" s="5">
        <v>50000</v>
      </c>
      <c r="I18" s="4" t="str">
        <v>3 Events and workshops</v>
      </c>
      <c r="J18" s="4">
        <v>6907</v>
      </c>
    </row>
    <row r="19" ht="50" customHeight="1">
      <c r="B19" s="4" t="str">
        <v>WorldFish</v>
      </c>
      <c r="D19" s="4" t="str">
        <v>AW4P3: Healthy Diets and Nutrition- KPI- Produce 2 policy-oriented knowledge products that synthesize evidence and provide actionable recommendations to accelerate policy innovation for healthy diets and food system resilience in Pacific Island contexts.</v>
      </c>
      <c r="E19" s="4" t="str">
        <v>Number of knowledge products</v>
      </c>
      <c r="F19" s="4" t="str">
        <v>Timor-Leste, Solomon Islands</v>
      </c>
      <c r="G19" s="5">
        <v>2</v>
      </c>
      <c r="H19" s="5">
        <v>60000</v>
      </c>
      <c r="I19" s="4" t="str">
        <v>2 Knowledge products (DevPolicy blog, SPC Bulletin)</v>
      </c>
      <c r="J19" s="4">
        <v>6908</v>
      </c>
    </row>
    <row r="20" ht="50" customHeight="1">
      <c r="B20" s="4" t="str">
        <v>WorldFish</v>
      </c>
      <c r="D20" s="4" t="str">
        <v xml:space="preserve"> AW4P3: Healthy Diets and Nutrition- Building coalitions to counter island food system transitions with Indigenous tok stori sessions and island food council event</v>
      </c>
      <c r="E20" s="4" t="str">
        <v>Number of people trained (capacity sharing for development)</v>
      </c>
      <c r="F20" s="4" t="str">
        <v>Solomon Islands</v>
      </c>
      <c r="G20" s="5">
        <v>15</v>
      </c>
      <c r="H20" s="5">
        <v>80000</v>
      </c>
      <c r="I20" s="4" t="str">
        <v>Budget for capacity training</v>
      </c>
      <c r="J20" s="4">
        <v>6909</v>
      </c>
    </row>
    <row r="21" ht="50" customHeight="1">
      <c r="B21" s="4" t="str">
        <v>WorldFish</v>
      </c>
      <c r="D21" s="4" t="str">
        <v>AW4P1: Sustainable Food Production- KPI: Produce 1 knowledge product that synthesizes evidence on linking biodiversity to diets in island food systems, providing actionable recommendations to strengthen food system resilience.</v>
      </c>
      <c r="E21" s="4" t="str">
        <v>Number of knowledge products</v>
      </c>
      <c r="F21" s="4" t="str">
        <v>Fiji, Papua New Guinea</v>
      </c>
      <c r="G21" s="5">
        <v>1</v>
      </c>
      <c r="H21" s="5">
        <v>100000</v>
      </c>
      <c r="I21" s="4" t="str">
        <v>Budget for [WF-&gt; WV] Linking biodiversity to diets for island food system resilience</v>
      </c>
      <c r="J21" s="4">
        <v>6914</v>
      </c>
    </row>
    <row r="22" ht="50" customHeight="1">
      <c r="B22" s="4" t="str">
        <v>WorldFish</v>
      </c>
      <c r="D22" s="4" t="str">
        <v>By December 2026, train at least 23 participants through capacity-strengthening activities with Centre for Pacific Crops and Trees to improve skills in conserving and rescuing plant genetic resources in Pacific Island contexts</v>
      </c>
      <c r="E22" s="4" t="str">
        <v>Number of people trained (capacity sharing for development)</v>
      </c>
      <c r="F22" s="4" t="str">
        <v>Papua New Guinea, Timor-Leste, Solomon Islands</v>
      </c>
      <c r="G22" s="5">
        <v>23</v>
      </c>
      <c r="H22" s="5">
        <v>100000</v>
      </c>
      <c r="I22" s="4" t="str">
        <v xml:space="preserve">Budget for Trainings, Plan for 2027 accessions of 23 vegetable varieties </v>
      </c>
      <c r="J22" s="4">
        <v>6916</v>
      </c>
    </row>
    <row r="23" ht="50" customHeight="1">
      <c r="B23" s="4" t="str">
        <v>WorldFish</v>
      </c>
      <c r="D23" s="4" t="str">
        <v>AW4P1: Sustainable Food Production- More sustainable and resilient island food system planning through comparative analyses of community-based resource management in Solomon Islands and Timor-Lest</v>
      </c>
      <c r="E23" s="4" t="str">
        <v>Number of knowledge products</v>
      </c>
      <c r="F23" s="4" t="str">
        <v>Timor-Leste, Solomon Islands</v>
      </c>
      <c r="G23" s="5">
        <v>2</v>
      </c>
      <c r="H23" s="5">
        <v>100000</v>
      </c>
      <c r="I23" s="4" t="str">
        <v>Budget for 3 Knowledge products: 1 brief on CBRM contributing to island food systems;  2 country-specific briefs distilling policy implications; 1 draft journal article prepared for publication in 2027 (not for 2026 reporting)</v>
      </c>
      <c r="J23" s="4">
        <v>6917</v>
      </c>
    </row>
    <row r="24" ht="50" customHeight="1">
      <c r="B24" s="4" t="str">
        <v>WorldFish</v>
      </c>
      <c r="D24" s="4" t="str">
        <v>AW4P1: Sustainable Food Production- Strengthened integration with SPC for sustainable and resilient production and diverse diets in Pacific island food systems</v>
      </c>
      <c r="E24" s="4" t="str">
        <v>Number of knowledge products</v>
      </c>
      <c r="F24" s="4" t="str">
        <v>Timor-Leste, Solomon Islands, Papua New Guinea</v>
      </c>
      <c r="G24" s="5">
        <v>3</v>
      </c>
      <c r="H24" s="5">
        <v>200000</v>
      </c>
      <c r="I24" s="4" t="str">
        <v xml:space="preserve">Budget for 1 Knowledge product 2030 Strategy for CGIAR - SPC-LRD collaboration; 1. Knowledge product as a brief on piloting CGIAR - SPC-LRD research (WF, CIP, WV, SPC-LRD) </v>
      </c>
      <c r="J24" s="4">
        <v>6918</v>
      </c>
    </row>
    <row r="25" ht="50" customHeight="1">
      <c r="B25" s="4" t="str">
        <v>WorldFish</v>
      </c>
      <c r="D25" s="4" t="str">
        <v xml:space="preserve"> AW4P4: Innovation Hubs for Islands Food Systems- Strengthening evidence and planning for sustainable sourcing of aquatic foods in Timor-Leste's school meal program</v>
      </c>
      <c r="E25" s="4" t="str">
        <v>Number of knowledge products</v>
      </c>
      <c r="F25" s="4" t="str">
        <v>Timor-Leste</v>
      </c>
      <c r="G25" s="5">
        <v>1</v>
      </c>
      <c r="H25" s="5">
        <v>50000</v>
      </c>
      <c r="I25" s="4" t="str">
        <v>Budget is allocated to deliver one knowledge product supporting the school meal program</v>
      </c>
      <c r="J25" s="4">
        <v>7905</v>
      </c>
    </row>
    <row r="26" ht="50" customHeight="1">
      <c r="A26" s="4" t="str">
        <v>AOW04: Island Food Systems</v>
      </c>
      <c r="B26" s="4" t="str">
        <v>WorldFish</v>
      </c>
      <c r="C26" s="4" t="str">
        <v>4.3.2 PROGRAMMING</v>
      </c>
      <c r="D26" s="4" t="str">
        <v>AW4P5:  Diagnosing Island Food System Resilience- National island food system assessment and template for future assessments</v>
      </c>
      <c r="E26" s="4" t="str">
        <v>Number of knowledge products</v>
      </c>
      <c r="F26" s="4" t="str">
        <v>Solomon Islands, Timor-Leste</v>
      </c>
      <c r="G26" s="5">
        <v>2</v>
      </c>
      <c r="H26" s="5">
        <v>110000</v>
      </c>
      <c r="I26" s="4" t="str">
        <v>Staff and operational budget to 1 Journal article + 1 synthesis report</v>
      </c>
      <c r="J26" s="4">
        <v>6919</v>
      </c>
    </row>
    <row r="27" ht="50" customHeight="1">
      <c r="B27" s="4" t="str">
        <v>WorldFish</v>
      </c>
      <c r="D27" s="4" t="str">
        <v xml:space="preserve"> AW4P5: Diagnosing Island Food System Resilience- Strengthening analytical foundations for harmonized island food system assessments and precision development advice</v>
      </c>
      <c r="E27" s="4" t="str">
        <v>Number of innovations (innovation development)</v>
      </c>
      <c r="F27" s="4" t="str">
        <v>Solomon Islands, Timor-Leste</v>
      </c>
      <c r="G27" s="5">
        <v>2</v>
      </c>
      <c r="H27" s="5">
        <v>150000</v>
      </c>
      <c r="I27" s="4" t="str">
        <v>1 Frameworks + 1 Database developed</v>
      </c>
      <c r="J27" s="4">
        <v>6920</v>
      </c>
    </row>
    <row r="28" ht="50" customHeight="1">
      <c r="B28" s="4" t="str">
        <v>WorldFish</v>
      </c>
      <c r="D28" s="4" t="str">
        <v>AW4P5: Diagnosing Island Food System Resilience- Develop and operationalize 1 Pacific Island food system data and analytics interface that synthesizes resilience indicators and provides decision-support insights for policymakers and stakeholders.</v>
      </c>
      <c r="E28" s="4" t="str">
        <v>Number of people trained (capacity sharing for development)</v>
      </c>
      <c r="F28" s="4" t="str">
        <v>Fiji, New Caledonia, Solomon Islands</v>
      </c>
      <c r="G28" s="5">
        <v>50</v>
      </c>
      <c r="H28" s="5">
        <v>200000</v>
      </c>
      <c r="I28" s="4" t="str">
        <v>budget to support 50 National statistics officers reached</v>
      </c>
      <c r="J28" s="4">
        <v>6921</v>
      </c>
    </row>
    <row r="29" ht="50" customHeight="1">
      <c r="B29" s="4" t="str">
        <v>WorldFish</v>
      </c>
      <c r="D29" s="4" t="str">
        <v>AW4P7: Island-to-island exchange and research integration- Strengthening regional scientific capacity with early career scientists int he Pacific</v>
      </c>
      <c r="E29" s="4" t="str">
        <v>Number of people trained (capacity sharing for development)</v>
      </c>
      <c r="F29" s="4" t="str">
        <v>Solomon Islands</v>
      </c>
      <c r="G29" s="5">
        <v>10</v>
      </c>
      <c r="H29" s="5">
        <v>127500</v>
      </c>
      <c r="I29" s="4" t="str">
        <v xml:space="preserve">Budget to support 1 Pacific Capacity Strengthening Strategy; 3 Early Career Scientsist on placement and accessing grants; 1 Granting mechanism to support Pacific Early Career Scientists to particpate in Regional Research SYmposium </v>
      </c>
      <c r="J29" s="4">
        <v>7772</v>
      </c>
    </row>
    <row r="30" ht="50" customHeight="1">
      <c r="B30" s="4" t="str">
        <v>WorldFish</v>
      </c>
      <c r="D30" s="4" t="str">
        <v>AW4P4: Innovation Hubs for Islands Food Systems- Report on Island future fellows impacts and lessons learned for immersive curriculums in the Pacific</v>
      </c>
      <c r="E30" s="4" t="str">
        <v>Number of knowledge products</v>
      </c>
      <c r="F30" s="4" t="str">
        <v>Solomon Islands</v>
      </c>
      <c r="G30" s="5">
        <v>1</v>
      </c>
      <c r="H30" s="5">
        <v>0</v>
      </c>
      <c r="I30" s="4" t="str">
        <v/>
      </c>
      <c r="J30" s="4">
        <v>8249</v>
      </c>
    </row>
    <row r="31" ht="50" customHeight="1">
      <c r="B31" s="4" t="str">
        <v>WorldFish</v>
      </c>
      <c r="D31" s="4" t="str">
        <v>AW4P4: Innovation Hubs for Islands Food Systems- Community members, including youth, trained on practices that support resilient island food systems</v>
      </c>
      <c r="E31" s="4" t="str">
        <v>Number of people trained (capacity sharing for development)</v>
      </c>
      <c r="F31" s="4" t="str">
        <v>Solomon Islands</v>
      </c>
      <c r="G31" s="5">
        <v>200</v>
      </c>
      <c r="H31" s="5">
        <v>0</v>
      </c>
      <c r="I31" s="4" t="str">
        <v/>
      </c>
      <c r="J31" s="4">
        <v>8250</v>
      </c>
    </row>
    <row r="32" ht="50" customHeight="1">
      <c r="B32" s="4" t="str">
        <v>WorldFish</v>
      </c>
      <c r="D32" s="4" t="str">
        <v>AW4P4: Innovation Hubs for Islands Food Systems- Expanded demonstration sites and facilities at Nusatupe to support SINU fellowships and community trainings for building resilient island food systems</v>
      </c>
      <c r="E32" s="4" t="str">
        <v>Number of innovations (innovation development)</v>
      </c>
      <c r="F32" s="4" t="str">
        <v>Solomon Islands</v>
      </c>
      <c r="G32" s="5">
        <v>3</v>
      </c>
      <c r="H32" s="5">
        <v>0</v>
      </c>
      <c r="I32" s="4" t="str">
        <v/>
      </c>
      <c r="J32" s="4">
        <v>8251</v>
      </c>
    </row>
    <row r="33" ht="50" customHeight="1">
      <c r="B33" s="4" t="str">
        <v>WorldFish</v>
      </c>
      <c r="D33" s="4" t="str">
        <v>AW4P4: Innovation Hubs for Islands Food Systems- complete 1 evaluation study documenting training impacts, participant outcomes, and lessons learned from the Island Future Fellows program to improve immersive curriculum design in the Pacific.</v>
      </c>
      <c r="E33" s="4" t="str">
        <v>Number of people trained (capacity sharing for development)</v>
      </c>
      <c r="F33" s="4" t="str">
        <v>Solomon Islands</v>
      </c>
      <c r="G33" s="5">
        <v>20</v>
      </c>
      <c r="H33" s="5">
        <v>0</v>
      </c>
      <c r="I33" s="4" t="str">
        <v/>
      </c>
      <c r="J33" s="4">
        <v>8252</v>
      </c>
    </row>
    <row r="34" ht="50" customHeight="1">
      <c r="B34" s="4" t="str">
        <v>WorldFish</v>
      </c>
      <c r="D34" s="4" t="str">
        <v>AW4P4: Innovation Hubs for Islands Food Systems- Complete 1 evaluation study documenting training impacts, participant outcomes, and lessons learned from the Island Future Fellows program to improve immersive curriculum design in the Pacific.</v>
      </c>
      <c r="E34" s="4" t="str">
        <v>Number of knowledge products</v>
      </c>
      <c r="F34" s="4" t="str">
        <v>Solomon Islands</v>
      </c>
      <c r="G34" s="5">
        <v>2</v>
      </c>
      <c r="H34" s="5">
        <v>0</v>
      </c>
      <c r="I34" s="4" t="str">
        <v/>
      </c>
      <c r="J34" s="4">
        <v>8253</v>
      </c>
    </row>
    <row r="35" ht="50" customHeight="1">
      <c r="B35" s="4" t="str">
        <v>WorldFish</v>
      </c>
      <c r="D35" s="4" t="str">
        <v>AW4P3: Healthy Diets and Nutrition- Hold at least 3 multi-sector training events and workshops on nutrition-sensitive fisheries, agriculture extension services, and school meal programming, resulting in improved knowledge and capacity for implementation.</v>
      </c>
      <c r="E35" s="4" t="str">
        <v>custom</v>
      </c>
      <c r="F35" s="4" t="str">
        <v>Timor-Leste</v>
      </c>
      <c r="G35" s="5">
        <v>3</v>
      </c>
      <c r="H35" s="5">
        <v>0</v>
      </c>
      <c r="I35" s="4" t="str">
        <v/>
      </c>
      <c r="J35" s="4">
        <v>8254</v>
      </c>
    </row>
    <row r="36" ht="50" customHeight="1">
      <c r="B36" s="4" t="str">
        <v>WorldFish</v>
      </c>
      <c r="D36" s="4" t="str">
        <v>AW4P3: Healthy Diets and Nutrition- KPI- Produce 2 policy-oriented knowledge products that synthesize evidence and provide actionable recommendations to accelerate policy innovation for healthy diets and food system resilience in Pacific Island contexts.</v>
      </c>
      <c r="E36" s="4" t="str">
        <v>Number of knowledge products</v>
      </c>
      <c r="F36" s="4" t="str">
        <v>Timor-Leste, Solomon Islands</v>
      </c>
      <c r="G36" s="5">
        <v>2</v>
      </c>
      <c r="H36" s="5">
        <v>0</v>
      </c>
      <c r="I36" s="4" t="str">
        <v/>
      </c>
      <c r="J36" s="4">
        <v>8255</v>
      </c>
    </row>
    <row r="37" ht="50" customHeight="1">
      <c r="B37" s="4" t="str">
        <v>WorldFish</v>
      </c>
      <c r="D37" s="4" t="str">
        <v xml:space="preserve"> AW4P3: Healthy Diets and Nutrition- Building coalitions to counter island food system transitions with Indigenous tok stori sessions and island food council event</v>
      </c>
      <c r="E37" s="4" t="str">
        <v>Number of people trained (capacity sharing for development)</v>
      </c>
      <c r="F37" s="4" t="str">
        <v>Solomon Islands</v>
      </c>
      <c r="G37" s="5">
        <v>15</v>
      </c>
      <c r="H37" s="5">
        <v>0</v>
      </c>
      <c r="I37" s="4" t="str">
        <v/>
      </c>
      <c r="J37" s="4">
        <v>8256</v>
      </c>
    </row>
    <row r="38" ht="50" customHeight="1">
      <c r="A38" s="4" t="str">
        <v>AOW04: Island Food Systems</v>
      </c>
      <c r="B38" s="4" t="str">
        <v>WorldFish</v>
      </c>
      <c r="C38" s="4" t="str">
        <v>4.2.3 NETWORKS</v>
      </c>
      <c r="D38" s="4" t="str">
        <v xml:space="preserve"> Enable and coordinate regional Pacific – Caribbean professional exchange</v>
      </c>
      <c r="E38" s="4" t="str">
        <v>custom</v>
      </c>
      <c r="F38" s="4" t="str">
        <v>Solomon Islands, Timor-Leste, Jamaica</v>
      </c>
      <c r="G38" s="5">
        <v>1</v>
      </c>
      <c r="H38" s="5">
        <v>0</v>
      </c>
      <c r="I38" s="4" t="str">
        <v/>
      </c>
      <c r="J38" s="4">
        <v>6922</v>
      </c>
    </row>
    <row r="39" ht="50" customHeight="1">
      <c r="B39" s="4" t="str">
        <v>WorldFish</v>
      </c>
      <c r="D39" s="4" t="str">
        <v>AW4P6: Research Integration (CC)- Conduct 1 capacity-sharing event with at least 50 participants to strengthen stakeholder capacity to integrate food systems into global island resilience and innovation planning processes.</v>
      </c>
      <c r="E39" s="4" t="str">
        <v>Number of people trained (capacity sharing for development)</v>
      </c>
      <c r="F39" s="4" t="str">
        <v>Solomon Islands, Timor-Leste</v>
      </c>
      <c r="G39" s="5">
        <v>1</v>
      </c>
      <c r="H39" s="5">
        <v>103394</v>
      </c>
      <c r="I39" s="4" t="str">
        <v>1 Regional roundtable co-arranged with SPC</v>
      </c>
      <c r="J39" s="4">
        <v>6923</v>
      </c>
    </row>
    <row r="40" ht="50" customHeight="1">
      <c r="B40" s="4" t="str">
        <v>WorldFish</v>
      </c>
      <c r="D40" s="4" t="str">
        <v>Co-development and hosting of Provincial Fisheries Officers Conference</v>
      </c>
      <c r="E40" s="4" t="str">
        <v>custom</v>
      </c>
      <c r="F40" s="4" t="str">
        <v>Solomon Islands, Timor-Leste</v>
      </c>
      <c r="G40" s="5">
        <v>1</v>
      </c>
      <c r="H40" s="5">
        <v>0</v>
      </c>
      <c r="I40" s="4" t="str">
        <v/>
      </c>
      <c r="J40" s="4">
        <v>6924</v>
      </c>
    </row>
    <row r="41" ht="50" customHeight="1">
      <c r="B41" s="4" t="str">
        <v>WorldFish</v>
      </c>
      <c r="D41" s="4" t="str">
        <v>conduct 1 capacity-sharing event that trains at least 50 participants, resulting in improved knowledge and skills, as measured by the number of people trained.</v>
      </c>
      <c r="E41" s="4" t="str">
        <v>Number of people trained (capacity sharing for development)</v>
      </c>
      <c r="F41" s="4" t="str">
        <v>New Caledonia, Jamaica, Fiji, Timor-Leste, Solomon Islands</v>
      </c>
      <c r="G41" s="5">
        <v>50</v>
      </c>
      <c r="H41" s="5">
        <v>0</v>
      </c>
      <c r="I41" s="4" t="str">
        <v/>
      </c>
      <c r="J41" s="4">
        <v>7386</v>
      </c>
    </row>
    <row r="42" ht="50" customHeight="1">
      <c r="B42" s="4" t="str">
        <v>WorldFish</v>
      </c>
      <c r="D42" s="4" t="str">
        <v>AW4P1: Sustainable Food Production- By December 2026, train at least 23 participants through capacity-strengthening activities with Centre for Pacific Crops and Trees to improve skills in conserving and rescuing plant genetic resources in Pacific Island contexts</v>
      </c>
      <c r="E42" s="4" t="str">
        <v>Number of people trained (capacity sharing for development)</v>
      </c>
      <c r="F42" s="4" t="str">
        <v>Timor-Leste, Solomon Islands, Papua New Guinea</v>
      </c>
      <c r="G42" s="5">
        <v>23</v>
      </c>
      <c r="H42" s="5">
        <v>0</v>
      </c>
      <c r="I42" s="4" t="str">
        <v/>
      </c>
      <c r="J42" s="4">
        <v>8257</v>
      </c>
    </row>
    <row r="43" ht="50" customHeight="1">
      <c r="B43" s="4" t="str">
        <v>WorldFish</v>
      </c>
      <c r="D43" s="4" t="str">
        <v>AW4P4: Innovation Hubs for Islands Food Systems- Complete 1 evaluation study documenting training impacts, participant outcomes, and lessons learned from the Island Future Fellows program to improve immersive curriculum design in the Pacific.</v>
      </c>
      <c r="E43" s="4" t="str">
        <v>Number of knowledge products</v>
      </c>
      <c r="F43" s="4" t="str">
        <v>Solomon Islands</v>
      </c>
      <c r="G43" s="5">
        <v>2</v>
      </c>
      <c r="H43" s="5">
        <v>0</v>
      </c>
      <c r="I43" s="4" t="str">
        <v/>
      </c>
      <c r="J43" s="4">
        <v>8258</v>
      </c>
    </row>
    <row r="44" ht="50" customHeight="1">
      <c r="B44" s="4" t="str">
        <v>WorldFish</v>
      </c>
      <c r="D44" s="4" t="str">
        <v>AW4P3: Healthy Diets and Nutrition- Hold at least 3 multi-sector training events and workshops on nutrition-sensitive fisheries, agriculture extension services, and school meal programming, resulting in improved knowledge and capacity for implementation.</v>
      </c>
      <c r="E44" s="4" t="str">
        <v>custom</v>
      </c>
      <c r="F44" s="4" t="str">
        <v>Timor-Leste</v>
      </c>
      <c r="G44" s="5">
        <v>3</v>
      </c>
      <c r="H44" s="5">
        <v>0</v>
      </c>
      <c r="I44" s="4" t="str">
        <v/>
      </c>
      <c r="J44" s="4">
        <v>8259</v>
      </c>
    </row>
    <row r="45" ht="50" customHeight="1">
      <c r="B45" s="4" t="str">
        <v>WorldFish</v>
      </c>
      <c r="D45" s="4" t="str">
        <v>AW4P3: Healthy Diets and Nutrition- KPI- Produce 2 policy-oriented knowledge products that synthesize evidence and provide actionable recommendations to accelerate policy innovation for healthy diets and food system resilience in Pacific Island contexts.</v>
      </c>
      <c r="E45" s="4" t="str">
        <v>Number of knowledge products</v>
      </c>
      <c r="F45" s="4" t="str">
        <v>Timor-Leste, Solomon Islands</v>
      </c>
      <c r="G45" s="5">
        <v>2</v>
      </c>
      <c r="H45" s="5">
        <v>0</v>
      </c>
      <c r="I45" s="4" t="str">
        <v/>
      </c>
      <c r="J45" s="4">
        <v>8260</v>
      </c>
    </row>
    <row r="46" ht="50" customHeight="1">
      <c r="B46" s="4" t="str">
        <v>WorldFish</v>
      </c>
      <c r="D46" s="4" t="str">
        <v xml:space="preserve"> AW4P3: Healthy Diets and Nutrition- Building coalitions to counter island food system transitions with Indigenous tok stori sessions and island food council event</v>
      </c>
      <c r="E46" s="4" t="str">
        <v>Number of people trained (capacity sharing for development)</v>
      </c>
      <c r="F46" s="4" t="str">
        <v>Solomon Islands</v>
      </c>
      <c r="G46" s="5">
        <v>15</v>
      </c>
      <c r="H46" s="5">
        <v>0</v>
      </c>
      <c r="I46" s="4" t="str">
        <v/>
      </c>
      <c r="J46" s="4">
        <v>8261</v>
      </c>
    </row>
    <row r="47" ht="50" customHeight="1">
      <c r="B47" s="4" t="str">
        <v>WorldFish</v>
      </c>
      <c r="D47" s="4" t="str">
        <v>AW4P1: Sustainable Food Production- KPI: Produce 1 knowledge product that synthesizes evidence on linking biodiversity to diets in island food systems, providing actionable recommendations to strengthen food system resilience.</v>
      </c>
      <c r="E47" s="4" t="str">
        <v>Number of knowledge products</v>
      </c>
      <c r="F47" s="4" t="str">
        <v>Fiji, Papua New Guinea</v>
      </c>
      <c r="G47" s="5">
        <v>1</v>
      </c>
      <c r="H47" s="5">
        <v>0</v>
      </c>
      <c r="I47" s="4" t="str">
        <v/>
      </c>
      <c r="J47" s="4">
        <v>8262</v>
      </c>
    </row>
    <row r="48" ht="50" customHeight="1">
      <c r="B48" s="4" t="str">
        <v>WorldFish</v>
      </c>
      <c r="D48" s="4" t="str">
        <v>By December 2026, train at least 23 participants through capacity-strengthening activities with Centre for Pacific Crops and Trees to improve skills in conserving and rescuing plant genetic resources in Pacific Island contexts</v>
      </c>
      <c r="E48" s="4" t="str">
        <v>Number of people trained (capacity sharing for development)</v>
      </c>
      <c r="F48" s="4" t="str">
        <v>Papua New Guinea, Timor-Leste, Solomon Islands</v>
      </c>
      <c r="G48" s="5">
        <v>23</v>
      </c>
      <c r="H48" s="5">
        <v>0</v>
      </c>
      <c r="I48" s="4" t="str">
        <v/>
      </c>
      <c r="J48" s="4">
        <v>8263</v>
      </c>
    </row>
    <row r="49" ht="50" customHeight="1">
      <c r="B49" s="4" t="str">
        <v>WorldFish</v>
      </c>
      <c r="D49" s="4" t="str">
        <v>AW4P1: Sustainable Food Production- More sustainable and resilient island food system planning through comparative analyses of community-based resource management in Solomon Islands and Timor-Lest</v>
      </c>
      <c r="E49" s="4" t="str">
        <v>Number of knowledge products</v>
      </c>
      <c r="F49" s="4" t="str">
        <v>Timor-Leste, Solomon Islands</v>
      </c>
      <c r="G49" s="5">
        <v>2</v>
      </c>
      <c r="H49" s="5">
        <v>0</v>
      </c>
      <c r="I49" s="4" t="str">
        <v/>
      </c>
      <c r="J49" s="4">
        <v>8264</v>
      </c>
    </row>
    <row r="50" ht="50" customHeight="1">
      <c r="B50" s="4" t="str">
        <v>WorldFish</v>
      </c>
      <c r="D50" s="4" t="str">
        <v>AW4P1: Sustainable Food Production- Strengthened integration with SPC for sustainable and resilient production and diverse diets in Pacific island food systems</v>
      </c>
      <c r="E50" s="4" t="str">
        <v>Number of knowledge products</v>
      </c>
      <c r="F50" s="4" t="str">
        <v>Timor-Leste, Solomon Islands, Papua New Guinea</v>
      </c>
      <c r="G50" s="5">
        <v>3</v>
      </c>
      <c r="H50" s="5">
        <v>0</v>
      </c>
      <c r="I50" s="4" t="str">
        <v/>
      </c>
      <c r="J50" s="4">
        <v>8265</v>
      </c>
    </row>
    <row r="51" ht="50" customHeight="1">
      <c r="A51" s="4" t="str">
        <v>AOW04: Island Food Systems</v>
      </c>
      <c r="B51" s="4" t="str">
        <v>WorldFish</v>
      </c>
      <c r="C51" s="4" t="str">
        <v>4.3.5 DIAGNOSTICS</v>
      </c>
      <c r="D51" s="4" t="str">
        <v>AW4P7: Island-to-island exchange and research integration- KPI- Produce 2 knowledge products cataloguing aquatic food genetic diversity in island food systems, providing a structured evidence base to support research, conservation, and policy decisions.</v>
      </c>
      <c r="E51" s="4" t="str">
        <v>Number of knowledge products</v>
      </c>
      <c r="F51" s="4" t="str">
        <v>Solomon Islands, Timor-Leste</v>
      </c>
      <c r="G51" s="5">
        <v>2</v>
      </c>
      <c r="H51" s="5">
        <v>127500</v>
      </c>
      <c r="I51" s="4" t="str">
        <v>Budget will support 3 National consultations; 1 HoF endorsed species catalog ; 1 Scientific paper</v>
      </c>
      <c r="J51" s="4">
        <v>7773</v>
      </c>
    </row>
    <row r="52" ht="50" customHeight="1">
      <c r="B52" s="4" t="str">
        <v>WorldFish</v>
      </c>
      <c r="D52" s="4" t="str">
        <v>AW4P7: Island-to-island exchange and research integration- Strengthening regional scientific capacity with early career scientists int he Pacific</v>
      </c>
      <c r="E52" s="4" t="str">
        <v>Number of people trained (capacity sharing for development)</v>
      </c>
      <c r="F52" s="4" t="str">
        <v>Solomon Islands</v>
      </c>
      <c r="G52" s="5">
        <v>10</v>
      </c>
      <c r="H52" s="5">
        <v>0</v>
      </c>
      <c r="I52" s="4" t="str">
        <v/>
      </c>
      <c r="J52" s="4">
        <v>8276</v>
      </c>
    </row>
    <row r="53" ht="50" customHeight="1">
      <c r="B53" s="4" t="str">
        <v>WorldFish</v>
      </c>
      <c r="D53" s="4" t="str">
        <v xml:space="preserve"> Enable and coordinate regional Pacific – Caribbean professional exchange</v>
      </c>
      <c r="E53" s="4" t="str">
        <v>custom</v>
      </c>
      <c r="F53" s="4" t="str">
        <v>Solomon Islands, Timor-Leste, Jamaica</v>
      </c>
      <c r="G53" s="5">
        <v>1</v>
      </c>
      <c r="H53" s="5">
        <v>0</v>
      </c>
      <c r="I53" s="4" t="str">
        <v/>
      </c>
      <c r="J53" s="4">
        <v>8278</v>
      </c>
    </row>
    <row r="54" ht="50" customHeight="1">
      <c r="B54" s="4" t="str">
        <v>WorldFish</v>
      </c>
      <c r="D54" s="4" t="str">
        <v>AW4P6: Research Integration (CC)- Conduct 1 capacity-sharing event with at least 50 participants to strengthen stakeholder capacity to integrate food systems into global island resilience and innovation planning processes.</v>
      </c>
      <c r="E54" s="4" t="str">
        <v>Number of people trained (capacity sharing for development)</v>
      </c>
      <c r="F54" s="4" t="str">
        <v>Solomon Islands, Timor-Leste</v>
      </c>
      <c r="G54" s="5">
        <v>1</v>
      </c>
      <c r="H54" s="5">
        <v>0</v>
      </c>
      <c r="I54" s="4" t="str">
        <v/>
      </c>
      <c r="J54" s="4">
        <v>8279</v>
      </c>
    </row>
    <row r="55" ht="50" customHeight="1">
      <c r="B55" s="4" t="str">
        <v>WorldFish</v>
      </c>
      <c r="D55" s="4" t="str">
        <v>Co-development and hosting of Provincial Fisheries Officers Conference</v>
      </c>
      <c r="E55" s="4" t="str">
        <v>custom</v>
      </c>
      <c r="F55" s="4" t="str">
        <v>Solomon Islands, Timor-Leste</v>
      </c>
      <c r="G55" s="5">
        <v>1</v>
      </c>
      <c r="H55" s="5">
        <v>0</v>
      </c>
      <c r="I55" s="4" t="str">
        <v/>
      </c>
      <c r="J55" s="4">
        <v>8280</v>
      </c>
    </row>
    <row r="56" ht="50" customHeight="1">
      <c r="B56" s="4" t="str">
        <v>WorldFish</v>
      </c>
      <c r="D56" s="4" t="str">
        <v>AW4P5:  Diagnosing Island Food System Resilience- National island food system assessment and template for future assessments</v>
      </c>
      <c r="E56" s="4" t="str">
        <v>Number of knowledge products</v>
      </c>
      <c r="F56" s="4" t="str">
        <v>Solomon Islands, Timor-Leste</v>
      </c>
      <c r="G56" s="5">
        <v>2</v>
      </c>
      <c r="H56" s="5">
        <v>0</v>
      </c>
      <c r="I56" s="4" t="str">
        <v/>
      </c>
      <c r="J56" s="4">
        <v>8281</v>
      </c>
    </row>
    <row r="57" ht="50" customHeight="1">
      <c r="B57" s="4" t="str">
        <v>WorldFish</v>
      </c>
      <c r="D57" s="4" t="str">
        <v xml:space="preserve"> AW4P5: Diagnosing Island Food System Resilience- Strengthening analytical foundations for harmonized island food system assessments and precision development advice</v>
      </c>
      <c r="E57" s="4" t="str">
        <v>Number of innovations (innovation development)</v>
      </c>
      <c r="F57" s="4" t="str">
        <v>Solomon Islands, Timor-Leste</v>
      </c>
      <c r="G57" s="5">
        <v>2</v>
      </c>
      <c r="H57" s="5">
        <v>0</v>
      </c>
      <c r="I57" s="4" t="str">
        <v/>
      </c>
      <c r="J57" s="4">
        <v>8282</v>
      </c>
    </row>
    <row r="58" ht="50" customHeight="1">
      <c r="B58" s="4" t="str">
        <v>WorldFish</v>
      </c>
      <c r="D58" s="4" t="str">
        <v>AW4P5: Diagnosing Island Food System Resilience- Develop and operationalize 1 Pacific Island food system data and analytics interface that synthesizes resilience indicators and provides decision-support insights for policymakers and stakeholders.</v>
      </c>
      <c r="E58" s="4" t="str">
        <v>Number of people trained (capacity sharing for development)</v>
      </c>
      <c r="F58" s="4" t="str">
        <v>Fiji, New Caledonia, Solomon Islands</v>
      </c>
      <c r="G58" s="5">
        <v>50</v>
      </c>
      <c r="H58" s="5">
        <v>0</v>
      </c>
      <c r="I58" s="4" t="str">
        <v/>
      </c>
      <c r="J58" s="4">
        <v>8283</v>
      </c>
    </row>
    <row r="59" ht="50" customHeight="1">
      <c r="A59" s="4" t="str">
        <v>AOW04: Island Food Systems</v>
      </c>
      <c r="B59" s="4" t="str">
        <v>WorldFish</v>
      </c>
      <c r="C59" s="4" t="str">
        <v>4.1.4 CAPACITY</v>
      </c>
      <c r="D59" s="4" t="str">
        <v>AW4P1: Sustainable Food Production- By December 2026, train at least 23 participants through capacity-strengthening activities with Centre for Pacific Crops and Trees to improve skills in conserving and rescuing plant genetic resources in Pacific Island contexts</v>
      </c>
      <c r="E59" s="4" t="str">
        <v>Number of people trained (capacity sharing for development)</v>
      </c>
      <c r="F59" s="4" t="str">
        <v>Timor-Leste, Solomon Islands, Papua New Guinea</v>
      </c>
      <c r="G59" s="5">
        <v>23</v>
      </c>
      <c r="H59" s="5">
        <v>0</v>
      </c>
      <c r="I59" s="4" t="str">
        <v/>
      </c>
      <c r="J59" s="4">
        <v>8267</v>
      </c>
    </row>
    <row r="60" ht="50" customHeight="1">
      <c r="B60" s="4" t="str">
        <v>WorldFish</v>
      </c>
      <c r="D60" s="4" t="str">
        <v>AW4P4: Innovation Hubs for Islands Food Systems- Report on Island future fellows impacts and lessons learned for immersive curriculums in the Pacific</v>
      </c>
      <c r="E60" s="4" t="str">
        <v>Number of knowledge products</v>
      </c>
      <c r="F60" s="4" t="str">
        <v>Solomon Islands</v>
      </c>
      <c r="G60" s="5">
        <v>1</v>
      </c>
      <c r="H60" s="5">
        <v>0</v>
      </c>
      <c r="I60" s="4" t="str">
        <v/>
      </c>
      <c r="J60" s="4">
        <v>8268</v>
      </c>
    </row>
    <row r="61" ht="50" customHeight="1">
      <c r="B61" s="4" t="str">
        <v>WorldFish</v>
      </c>
      <c r="D61" s="4" t="str">
        <v>AW4P4: Innovation Hubs for Islands Food Systems- Community members, including youth, trained on practices that support resilient island food systems</v>
      </c>
      <c r="E61" s="4" t="str">
        <v>Number of people trained (capacity sharing for development)</v>
      </c>
      <c r="F61" s="4" t="str">
        <v>Solomon Islands</v>
      </c>
      <c r="G61" s="5">
        <v>200</v>
      </c>
      <c r="H61" s="5">
        <v>0</v>
      </c>
      <c r="I61" s="4" t="str">
        <v/>
      </c>
      <c r="J61" s="4">
        <v>8269</v>
      </c>
    </row>
    <row r="62" ht="50" customHeight="1">
      <c r="B62" s="4" t="str">
        <v>WorldFish</v>
      </c>
      <c r="D62" s="4" t="str">
        <v>AW4P4: Innovation Hubs for Islands Food Systems- Expanded demonstration sites and facilities at Nusatupe to support SINU fellowships and community trainings for building resilient island food systems</v>
      </c>
      <c r="E62" s="4" t="str">
        <v>Number of innovations (innovation development)</v>
      </c>
      <c r="F62" s="4" t="str">
        <v>Solomon Islands</v>
      </c>
      <c r="G62" s="5">
        <v>3</v>
      </c>
      <c r="H62" s="5">
        <v>0</v>
      </c>
      <c r="I62" s="4" t="str">
        <v/>
      </c>
      <c r="J62" s="4">
        <v>8270</v>
      </c>
    </row>
    <row r="63" ht="50" customHeight="1">
      <c r="B63" s="4" t="str">
        <v>WorldFish</v>
      </c>
      <c r="D63" s="4" t="str">
        <v>AW4P4: Innovation Hubs for Islands Food Systems- complete 1 evaluation study documenting training impacts, participant outcomes, and lessons learned from the Island Future Fellows program to improve immersive curriculum design in the Pacific.</v>
      </c>
      <c r="E63" s="4" t="str">
        <v>Number of people trained (capacity sharing for development)</v>
      </c>
      <c r="F63" s="4" t="str">
        <v>Solomon Islands</v>
      </c>
      <c r="G63" s="5">
        <v>20</v>
      </c>
      <c r="H63" s="5">
        <v>0</v>
      </c>
      <c r="I63" s="4" t="str">
        <v/>
      </c>
      <c r="J63" s="4">
        <v>8271</v>
      </c>
    </row>
    <row r="64" ht="50" customHeight="1">
      <c r="B64" s="4" t="str">
        <v>WorldFish</v>
      </c>
      <c r="D64" s="4" t="str">
        <v>AW4P1: Sustainable Food Production- KPI: Produce 1 knowledge product that synthesizes evidence on linking biodiversity to diets in island food systems, providing actionable recommendations to strengthen food system resilience.</v>
      </c>
      <c r="E64" s="4" t="str">
        <v>Number of knowledge products</v>
      </c>
      <c r="F64" s="4" t="str">
        <v>Fiji, Papua New Guinea</v>
      </c>
      <c r="G64" s="5">
        <v>1</v>
      </c>
      <c r="H64" s="5">
        <v>0</v>
      </c>
      <c r="I64" s="4" t="str">
        <v/>
      </c>
      <c r="J64" s="4">
        <v>8272</v>
      </c>
    </row>
    <row r="65" ht="50" customHeight="1">
      <c r="B65" s="4" t="str">
        <v>WorldFish</v>
      </c>
      <c r="D65" s="4" t="str">
        <v>By December 2026, train at least 23 participants through capacity-strengthening activities with Centre for Pacific Crops and Trees to improve skills in conserving and rescuing plant genetic resources in Pacific Island contexts</v>
      </c>
      <c r="E65" s="4" t="str">
        <v>Number of people trained (capacity sharing for development)</v>
      </c>
      <c r="F65" s="4" t="str">
        <v>Papua New Guinea, Timor-Leste, Solomon Islands</v>
      </c>
      <c r="G65" s="5">
        <v>23</v>
      </c>
      <c r="H65" s="5">
        <v>0</v>
      </c>
      <c r="I65" s="4" t="str">
        <v/>
      </c>
      <c r="J65" s="4">
        <v>8273</v>
      </c>
    </row>
    <row r="66" ht="50" customHeight="1">
      <c r="B66" s="4" t="str">
        <v>WorldFish</v>
      </c>
      <c r="D66" s="4" t="str">
        <v>AW4P1: Sustainable Food Production- More sustainable and resilient island food system planning through comparative analyses of community-based resource management in Solomon Islands and Timor-Lest</v>
      </c>
      <c r="E66" s="4" t="str">
        <v>Number of knowledge products</v>
      </c>
      <c r="F66" s="4" t="str">
        <v>Timor-Leste, Solomon Islands</v>
      </c>
      <c r="G66" s="5">
        <v>2</v>
      </c>
      <c r="H66" s="5">
        <v>0</v>
      </c>
      <c r="I66" s="4" t="str">
        <v/>
      </c>
      <c r="J66" s="4">
        <v>8274</v>
      </c>
    </row>
    <row r="67" ht="50" customHeight="1">
      <c r="B67" s="4" t="str">
        <v>WorldFish</v>
      </c>
      <c r="D67" s="4" t="str">
        <v>AW4P1: Sustainable Food Production- Strengthened integration with SPC for sustainable and resilient production and diverse diets in Pacific island food systems</v>
      </c>
      <c r="E67" s="4" t="str">
        <v>Number of knowledge products</v>
      </c>
      <c r="F67" s="4" t="str">
        <v>Timor-Leste, Solomon Islands, Papua New Guinea</v>
      </c>
      <c r="G67" s="5">
        <v>3</v>
      </c>
      <c r="H67" s="5">
        <v>0</v>
      </c>
      <c r="I67" s="4" t="str">
        <v/>
      </c>
      <c r="J67" s="4">
        <v>8275</v>
      </c>
    </row>
    <row r="68" ht="25" customHeight="1">
      <c r="C68" s="9" t="str">
        <v>HLO budget subtotal</v>
      </c>
      <c r="H68" s="9">
        <v>1888394</v>
      </c>
      <c r="J68" s="9" t="str">
        <v/>
      </c>
    </row>
  </sheetData>
  <mergeCells count="19">
    <mergeCell ref="A1:A2"/>
    <mergeCell ref="B1:B2"/>
    <mergeCell ref="C1:C2"/>
    <mergeCell ref="D1:H1"/>
    <mergeCell ref="I1:I2"/>
    <mergeCell ref="J1:J2"/>
    <mergeCell ref="C4:C6"/>
    <mergeCell ref="C7:G7"/>
    <mergeCell ref="A3:A7"/>
    <mergeCell ref="C8:C9"/>
    <mergeCell ref="C11:G11"/>
    <mergeCell ref="A8:A11"/>
    <mergeCell ref="C12:C25"/>
    <mergeCell ref="C26:C37"/>
    <mergeCell ref="C38:C50"/>
    <mergeCell ref="C51:C58"/>
    <mergeCell ref="C59:C67"/>
    <mergeCell ref="C68:G68"/>
    <mergeCell ref="A12:A68"/>
  </mergeCells>
  <ignoredErrors>
    <ignoredError numberStoredAsText="1" sqref="A1:J68"/>
  </ignoredErrors>
</worksheet>
</file>

<file path=xl/worksheets/sheet3.xml><?xml version="1.0" encoding="utf-8"?>
<worksheet xmlns="http://schemas.openxmlformats.org/spreadsheetml/2006/main" xmlns:r="http://schemas.openxmlformats.org/officeDocument/2006/relationships">
  <dimension ref="A1:G8"/>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AOW04: Island Food Systems</v>
      </c>
      <c r="B2" s="4" t="str">
        <v xml:space="preserve"> Kastom Gaden Association</v>
      </c>
      <c r="C2" s="4" t="str">
        <v>WorldFish</v>
      </c>
      <c r="D2" s="4" t="str">
        <v>Solomon Islands</v>
      </c>
      <c r="E2" s="5">
        <v>20000</v>
      </c>
      <c r="F2" s="4" t="str">
        <v>Support delivery of outputs</v>
      </c>
      <c r="G2" s="4">
        <v>133</v>
      </c>
    </row>
    <row r="3" ht="50" customHeight="1">
      <c r="A3" s="4" t="str">
        <v>AOW04: Island Food Systems</v>
      </c>
      <c r="B3" s="4" t="str">
        <v>SPC- Land Resource Division</v>
      </c>
      <c r="C3" s="4" t="str">
        <v>WorldFish</v>
      </c>
      <c r="D3" s="4" t="str">
        <v>Solomon Islands, Timor-Leste</v>
      </c>
      <c r="E3" s="5">
        <v>142000</v>
      </c>
      <c r="F3" s="4" t="str">
        <v>Support delivery of outputs</v>
      </c>
      <c r="G3" s="4">
        <v>451</v>
      </c>
    </row>
    <row r="4" ht="50" customHeight="1">
      <c r="A4" s="4" t="str">
        <v>AOW04: Island Food Systems</v>
      </c>
      <c r="B4" s="4" t="str">
        <v>SINU- Center for Island Futures</v>
      </c>
      <c r="C4" s="4" t="str">
        <v>WorldFish</v>
      </c>
      <c r="D4" s="4" t="str">
        <v>Solomon Islands, Timor-Leste</v>
      </c>
      <c r="E4" s="5">
        <v>62400</v>
      </c>
      <c r="F4" s="4" t="str">
        <v>Support delivery of outputs</v>
      </c>
      <c r="G4" s="4">
        <v>452</v>
      </c>
    </row>
    <row r="5" ht="50" customHeight="1">
      <c r="A5" s="4" t="str">
        <v>AOW04: Island Food Systems</v>
      </c>
      <c r="B5" s="4" t="str">
        <v>University of Wollongong- ANCORS</v>
      </c>
      <c r="C5" s="4" t="str">
        <v>WorldFish</v>
      </c>
      <c r="D5" s="4" t="str">
        <v>Solomon Islands, Timor-Leste</v>
      </c>
      <c r="E5" s="5">
        <v>138000</v>
      </c>
      <c r="F5" s="4" t="str">
        <v>Support delivery of outputs</v>
      </c>
      <c r="G5" s="4">
        <v>453</v>
      </c>
    </row>
    <row r="6" ht="50" customHeight="1">
      <c r="A6" s="4" t="str">
        <v>AOW04: Island Food Systems</v>
      </c>
      <c r="B6" s="4" t="str">
        <v>The World Vegetable Center</v>
      </c>
      <c r="C6" s="4" t="str">
        <v>WorldFish</v>
      </c>
      <c r="D6" s="4" t="str">
        <v>Solomon Islands, Timor-Leste, Papua New Guinea</v>
      </c>
      <c r="E6" s="5">
        <v>150000</v>
      </c>
      <c r="F6" s="4" t="str">
        <v>Support delivery of outputs</v>
      </c>
      <c r="G6" s="4">
        <v>454</v>
      </c>
    </row>
    <row r="7" ht="50" customHeight="1">
      <c r="A7" s="4" t="str">
        <v>AOW04: Island Food Systems</v>
      </c>
      <c r="B7" s="4" t="str">
        <v>Pacific Community</v>
      </c>
      <c r="C7" s="4" t="str">
        <v>WorldFish</v>
      </c>
      <c r="D7" s="4" t="str">
        <v>Solomon Islands, Timor-Leste</v>
      </c>
      <c r="E7" s="5">
        <v>90000</v>
      </c>
      <c r="F7" s="4" t="str">
        <v xml:space="preserve">SPC-The Statistics for Development Division - current status is - Under Negotiation </v>
      </c>
      <c r="G7" s="4">
        <v>455</v>
      </c>
    </row>
    <row r="8" ht="25" customHeight="1">
      <c r="B8" s="9" t="str">
        <v>Contracted partners subtotal</v>
      </c>
      <c r="E8" s="9">
        <v>602400</v>
      </c>
      <c r="F8" s="9" t="str">
        <v/>
      </c>
      <c r="G8" s="9" t="str">
        <v/>
      </c>
    </row>
  </sheetData>
  <mergeCells count="2">
    <mergeCell ref="B8:D8"/>
    <mergeCell ref="A2:A8"/>
  </mergeCells>
  <ignoredErrors>
    <ignoredError numberStoredAsText="1" sqref="A1:G8"/>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WorldFish</v>
      </c>
      <c r="C2" s="4" t="str">
        <v>Area of Work Leads</v>
      </c>
      <c r="D2" s="5">
        <v>136184</v>
      </c>
      <c r="E2" s="4" t="str">
        <v>AoW4 Lead staff cost</v>
      </c>
      <c r="F2" s="4">
        <v>88</v>
      </c>
      <c r="G2" s="4">
        <v>3</v>
      </c>
    </row>
    <row r="3" ht="45" customHeight="1">
      <c r="A3" s="4" t="str">
        <v>AOW00: Cross Cutting</v>
      </c>
      <c r="B3" s="4" t="str">
        <v>WorldFish</v>
      </c>
      <c r="C3" s="4" t="str">
        <v>Operations</v>
      </c>
      <c r="D3" s="5">
        <v>46110</v>
      </c>
      <c r="E3" s="4" t="str">
        <v>AoW 4 LEAD Operational budget for travel, engagement, consultancy ect AND PNG Travel costs USD 6,110</v>
      </c>
      <c r="F3" s="4">
        <v>89</v>
      </c>
      <c r="G3" s="4">
        <v>4</v>
      </c>
    </row>
    <row r="4" ht="25" customHeight="1">
      <c r="C4" s="9" t="str">
        <v>Cross-cutting budget subtotal</v>
      </c>
      <c r="D4" s="9">
        <v>182294</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176059</v>
      </c>
      <c r="C2" s="5">
        <v>150000</v>
      </c>
      <c r="D2" s="5">
        <v>120000</v>
      </c>
      <c r="E2" s="5">
        <v>0</v>
      </c>
      <c r="F2" s="5">
        <v>960237</v>
      </c>
      <c r="G2" s="5">
        <f>=SUM(B2:F2)</f>
        <v>0</v>
      </c>
    </row>
    <row r="3" ht="20" customHeight="1">
      <c r="A3" s="4" t="str">
        <v>Operations (supplies, consultants, travels, workshops, other)</v>
      </c>
      <c r="B3" s="5">
        <v>6235</v>
      </c>
      <c r="C3" s="5">
        <v>170000</v>
      </c>
      <c r="D3" s="5">
        <v>30000</v>
      </c>
      <c r="E3" s="5">
        <v>0</v>
      </c>
      <c r="F3" s="5">
        <v>325757</v>
      </c>
      <c r="G3" s="5">
        <f>=SUM(B3:F3)</f>
        <v>0</v>
      </c>
    </row>
    <row r="4" ht="20" customHeight="1">
      <c r="A4" s="4" t="str">
        <v>Collaborators non-CGIAR centers</v>
      </c>
      <c r="B4" s="5">
        <v>0</v>
      </c>
      <c r="C4" s="5">
        <v>0</v>
      </c>
      <c r="D4" s="5">
        <v>0</v>
      </c>
      <c r="E4" s="5">
        <v>0</v>
      </c>
      <c r="F4" s="5">
        <v>602400</v>
      </c>
      <c r="G4" s="5">
        <f>=SUM(B4:F4)</f>
        <v>0</v>
      </c>
    </row>
    <row r="5" ht="20" customHeight="1">
      <c r="A5" s="6" t="str">
        <v>Subtotal</v>
      </c>
      <c r="B5" s="7">
        <f>=SUM(B2:B4)</f>
        <v>0</v>
      </c>
      <c r="C5" s="7">
        <f>=SUM(C2:C4)</f>
        <v>0</v>
      </c>
      <c r="D5" s="7">
        <f>=SUM(D2:D4)</f>
        <v>0</v>
      </c>
      <c r="E5" s="7">
        <f>=SUM(E2:E4)</f>
        <v>0</v>
      </c>
      <c r="F5" s="7">
        <f>=SUM(F2:F4)</f>
        <v>0</v>
      </c>
      <c r="G5" s="7">
        <f>=SUM(G2:G4)</f>
        <v>0</v>
      </c>
    </row>
  </sheetData>
  <ignoredErrors>
    <ignoredError numberStoredAsText="1" sqref="A1:G5"/>
  </ignoredErrors>
</worksheet>
</file>

<file path=xl/worksheets/sheet8.xml><?xml version="1.0" encoding="utf-8"?>
<worksheet xmlns="http://schemas.openxmlformats.org/spreadsheetml/2006/main" xmlns:r="http://schemas.openxmlformats.org/officeDocument/2006/relationships">
  <dimension ref="A1:E3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WorldFish</v>
      </c>
      <c r="C2" s="4" t="str">
        <v>Solomon Islands</v>
      </c>
      <c r="D2" s="5">
        <v>100</v>
      </c>
      <c r="E2" s="4">
        <v>3368</v>
      </c>
    </row>
    <row r="3" ht="45" customHeight="1">
      <c r="A3" s="8" t="str">
        <v>AOW01: Future Food Systems Lab</v>
      </c>
      <c r="B3" s="4" t="str">
        <v>WorldFish</v>
      </c>
      <c r="C3" s="4" t="str">
        <v>Bangladesh</v>
      </c>
      <c r="D3" s="5">
        <v>5</v>
      </c>
      <c r="E3" s="4">
        <v>843</v>
      </c>
    </row>
    <row r="4" ht="45" customHeight="1">
      <c r="A4" s="4" t="str">
        <v>AOW01: Future Food Systems Lab</v>
      </c>
      <c r="B4" s="4" t="str">
        <v>WorldFish</v>
      </c>
      <c r="C4" s="4" t="str">
        <v>Burkina Faso</v>
      </c>
      <c r="D4" s="5">
        <v>5</v>
      </c>
      <c r="E4" s="4">
        <v>844</v>
      </c>
    </row>
    <row r="5" ht="45" customHeight="1">
      <c r="A5" s="4" t="str">
        <v>AOW01: Future Food Systems Lab</v>
      </c>
      <c r="B5" s="4" t="str">
        <v>WorldFish</v>
      </c>
      <c r="C5" s="4" t="str">
        <v>Ethiopia</v>
      </c>
      <c r="D5" s="5">
        <v>5</v>
      </c>
      <c r="E5" s="4">
        <v>845</v>
      </c>
    </row>
    <row r="6" ht="45" customHeight="1">
      <c r="A6" s="4" t="str">
        <v>AOW01: Future Food Systems Lab</v>
      </c>
      <c r="B6" s="4" t="str">
        <v>WorldFish</v>
      </c>
      <c r="C6" s="4" t="str">
        <v>Ghana</v>
      </c>
      <c r="D6" s="5">
        <v>5</v>
      </c>
      <c r="E6" s="4">
        <v>846</v>
      </c>
    </row>
    <row r="7" ht="45" customHeight="1">
      <c r="A7" s="4" t="str">
        <v>AOW01: Future Food Systems Lab</v>
      </c>
      <c r="B7" s="4" t="str">
        <v>WorldFish</v>
      </c>
      <c r="C7" s="4" t="str">
        <v>Jamaica</v>
      </c>
      <c r="D7" s="5">
        <v>5</v>
      </c>
      <c r="E7" s="4">
        <v>847</v>
      </c>
    </row>
    <row r="8" ht="45" customHeight="1">
      <c r="A8" s="4" t="str">
        <v>AOW01: Future Food Systems Lab</v>
      </c>
      <c r="B8" s="4" t="str">
        <v>WorldFish</v>
      </c>
      <c r="C8" s="4" t="str">
        <v>Jordan</v>
      </c>
      <c r="D8" s="5">
        <v>5</v>
      </c>
      <c r="E8" s="4">
        <v>848</v>
      </c>
    </row>
    <row r="9" ht="45" customHeight="1">
      <c r="A9" s="4" t="str">
        <v>AOW01: Future Food Systems Lab</v>
      </c>
      <c r="B9" s="4" t="str">
        <v>WorldFish</v>
      </c>
      <c r="C9" s="4" t="str">
        <v>Kenya</v>
      </c>
      <c r="D9" s="5">
        <v>5</v>
      </c>
      <c r="E9" s="4">
        <v>849</v>
      </c>
    </row>
    <row r="10" ht="45" customHeight="1">
      <c r="A10" s="4" t="str">
        <v>AOW01: Future Food Systems Lab</v>
      </c>
      <c r="B10" s="4" t="str">
        <v>WorldFish</v>
      </c>
      <c r="C10" s="4" t="str">
        <v>Mali</v>
      </c>
      <c r="D10" s="5">
        <v>5</v>
      </c>
      <c r="E10" s="4">
        <v>850</v>
      </c>
    </row>
    <row r="11" ht="45" customHeight="1">
      <c r="A11" s="4" t="str">
        <v>AOW01: Future Food Systems Lab</v>
      </c>
      <c r="B11" s="4" t="str">
        <v>WorldFish</v>
      </c>
      <c r="C11" s="4" t="str">
        <v>Mozambique</v>
      </c>
      <c r="D11" s="5">
        <v>5</v>
      </c>
      <c r="E11" s="4">
        <v>851</v>
      </c>
    </row>
    <row r="12" ht="45" customHeight="1">
      <c r="A12" s="4" t="str">
        <v>AOW01: Future Food Systems Lab</v>
      </c>
      <c r="B12" s="4" t="str">
        <v>WorldFish</v>
      </c>
      <c r="C12" s="4" t="str">
        <v>Nigeria</v>
      </c>
      <c r="D12" s="5">
        <v>5</v>
      </c>
      <c r="E12" s="4">
        <v>14</v>
      </c>
    </row>
    <row r="13" ht="45" customHeight="1">
      <c r="A13" s="4" t="str">
        <v>AOW01: Future Food Systems Lab</v>
      </c>
      <c r="B13" s="4" t="str">
        <v>WorldFish</v>
      </c>
      <c r="C13" s="4" t="str">
        <v>Pakistan</v>
      </c>
      <c r="D13" s="5">
        <v>5</v>
      </c>
      <c r="E13" s="4">
        <v>852</v>
      </c>
    </row>
    <row r="14" ht="45" customHeight="1">
      <c r="A14" s="4" t="str">
        <v>AOW01: Future Food Systems Lab</v>
      </c>
      <c r="B14" s="4" t="str">
        <v>WorldFish</v>
      </c>
      <c r="C14" s="4" t="str">
        <v>Papua New Guinea</v>
      </c>
      <c r="D14" s="5">
        <v>5</v>
      </c>
      <c r="E14" s="4">
        <v>853</v>
      </c>
    </row>
    <row r="15" ht="45" customHeight="1">
      <c r="A15" s="4" t="str">
        <v>AOW01: Future Food Systems Lab</v>
      </c>
      <c r="B15" s="4" t="str">
        <v>WorldFish</v>
      </c>
      <c r="C15" s="4" t="str">
        <v>Peru</v>
      </c>
      <c r="D15" s="5">
        <v>5</v>
      </c>
      <c r="E15" s="4">
        <v>854</v>
      </c>
    </row>
    <row r="16" ht="45" customHeight="1">
      <c r="A16" s="4" t="str">
        <v>AOW01: Future Food Systems Lab</v>
      </c>
      <c r="B16" s="4" t="str">
        <v>WorldFish</v>
      </c>
      <c r="C16" s="4" t="str">
        <v>Philippines</v>
      </c>
      <c r="D16" s="5">
        <v>5</v>
      </c>
      <c r="E16" s="4">
        <v>855</v>
      </c>
    </row>
    <row r="17" ht="45" customHeight="1">
      <c r="A17" s="4" t="str">
        <v>AOW01: Future Food Systems Lab</v>
      </c>
      <c r="B17" s="4" t="str">
        <v>WorldFish</v>
      </c>
      <c r="C17" s="4" t="str">
        <v>Solomon Islands</v>
      </c>
      <c r="D17" s="5">
        <v>10</v>
      </c>
      <c r="E17" s="4">
        <v>856</v>
      </c>
    </row>
    <row r="18" ht="45" customHeight="1">
      <c r="A18" s="4" t="str">
        <v>AOW01: Future Food Systems Lab</v>
      </c>
      <c r="B18" s="4" t="str">
        <v>WorldFish</v>
      </c>
      <c r="C18" s="4" t="str">
        <v>Somalia</v>
      </c>
      <c r="D18" s="5">
        <v>5</v>
      </c>
      <c r="E18" s="4">
        <v>857</v>
      </c>
    </row>
    <row r="19" ht="45" customHeight="1">
      <c r="A19" s="4" t="str">
        <v>AOW01: Future Food Systems Lab</v>
      </c>
      <c r="B19" s="4" t="str">
        <v>WorldFish</v>
      </c>
      <c r="C19" s="4" t="str">
        <v>The Republic of the Sudan</v>
      </c>
      <c r="D19" s="5">
        <v>5</v>
      </c>
      <c r="E19" s="4">
        <v>858</v>
      </c>
    </row>
    <row r="20" ht="45" customHeight="1">
      <c r="A20" s="4" t="str">
        <v>AOW01: Future Food Systems Lab</v>
      </c>
      <c r="B20" s="4" t="str">
        <v>WorldFish</v>
      </c>
      <c r="C20" s="4" t="str">
        <v>Timor-Leste</v>
      </c>
      <c r="D20" s="5">
        <v>5</v>
      </c>
      <c r="E20" s="4">
        <v>859</v>
      </c>
    </row>
    <row r="21" ht="45" customHeight="1">
      <c r="A21" s="4" t="str">
        <v>AOW01: Future Food Systems Lab</v>
      </c>
      <c r="B21" s="4" t="str">
        <v>WorldFish</v>
      </c>
      <c r="C21" s="4" t="str">
        <v>Yemen</v>
      </c>
      <c r="D21" s="5">
        <v>5</v>
      </c>
      <c r="E21" s="4">
        <v>860</v>
      </c>
    </row>
    <row r="22" ht="45" customHeight="1">
      <c r="A22" s="8" t="str">
        <v>AOW02: Fragile and Conflict-affected Food Systems</v>
      </c>
      <c r="B22" s="4" t="str">
        <v>WorldFish</v>
      </c>
      <c r="C22" s="4" t="str">
        <v>Ethiopia</v>
      </c>
      <c r="D22" s="5">
        <v>25</v>
      </c>
      <c r="E22" s="4">
        <v>1170</v>
      </c>
    </row>
    <row r="23" ht="45" customHeight="1">
      <c r="A23" s="4" t="str">
        <v>AOW02: Fragile and Conflict-affected Food Systems</v>
      </c>
      <c r="B23" s="4" t="str">
        <v>WorldFish</v>
      </c>
      <c r="C23" s="4" t="str">
        <v>Ghana</v>
      </c>
      <c r="D23" s="5">
        <v>25</v>
      </c>
      <c r="E23" s="4">
        <v>1169</v>
      </c>
    </row>
    <row r="24" ht="45" customHeight="1">
      <c r="A24" s="4" t="str">
        <v>AOW02: Fragile and Conflict-affected Food Systems</v>
      </c>
      <c r="B24" s="4" t="str">
        <v>WorldFish</v>
      </c>
      <c r="C24" s="4" t="str">
        <v>Kenya</v>
      </c>
      <c r="D24" s="5">
        <v>25</v>
      </c>
      <c r="E24" s="4">
        <v>1168</v>
      </c>
    </row>
    <row r="25" ht="45" customHeight="1">
      <c r="A25" s="4" t="str">
        <v>AOW02: Fragile and Conflict-affected Food Systems</v>
      </c>
      <c r="B25" s="4" t="str">
        <v>WorldFish</v>
      </c>
      <c r="C25" s="4" t="str">
        <v>State of Palestine</v>
      </c>
      <c r="D25" s="5">
        <v>25</v>
      </c>
      <c r="E25" s="4">
        <v>1166</v>
      </c>
    </row>
    <row r="26" ht="45" customHeight="1">
      <c r="A26" s="8" t="str">
        <v>AOW04: Island Food Systems</v>
      </c>
      <c r="B26" s="4" t="str">
        <v>WorldFish</v>
      </c>
      <c r="C26" s="4" t="str">
        <v>Fiji</v>
      </c>
      <c r="D26" s="5">
        <v>5</v>
      </c>
      <c r="E26" s="4">
        <v>2620</v>
      </c>
    </row>
    <row r="27" ht="45" customHeight="1">
      <c r="A27" s="4" t="str">
        <v>AOW04: Island Food Systems</v>
      </c>
      <c r="B27" s="4" t="str">
        <v>WorldFish</v>
      </c>
      <c r="C27" s="4" t="str">
        <v>Jamaica</v>
      </c>
      <c r="D27" s="5">
        <v>2</v>
      </c>
      <c r="E27" s="4">
        <v>2625</v>
      </c>
    </row>
    <row r="28" ht="45" customHeight="1">
      <c r="A28" s="4" t="str">
        <v>AOW04: Island Food Systems</v>
      </c>
      <c r="B28" s="4" t="str">
        <v>WorldFish</v>
      </c>
      <c r="C28" s="4" t="str">
        <v>New Caledonia</v>
      </c>
      <c r="D28" s="5">
        <v>2</v>
      </c>
      <c r="E28" s="4">
        <v>2624</v>
      </c>
    </row>
    <row r="29" ht="45" customHeight="1">
      <c r="A29" s="4" t="str">
        <v>AOW04: Island Food Systems</v>
      </c>
      <c r="B29" s="4" t="str">
        <v>WorldFish</v>
      </c>
      <c r="C29" s="4" t="str">
        <v>Papua New Guinea</v>
      </c>
      <c r="D29" s="5">
        <v>8</v>
      </c>
      <c r="E29" s="4">
        <v>2623</v>
      </c>
    </row>
    <row r="30" ht="45" customHeight="1">
      <c r="A30" s="4" t="str">
        <v>AOW04: Island Food Systems</v>
      </c>
      <c r="B30" s="4" t="str">
        <v>WorldFish</v>
      </c>
      <c r="C30" s="4" t="str">
        <v>Solomon Islands</v>
      </c>
      <c r="D30" s="5">
        <v>49</v>
      </c>
      <c r="E30" s="4">
        <v>2621</v>
      </c>
    </row>
    <row r="31" ht="45" customHeight="1">
      <c r="A31" s="4" t="str">
        <v>AOW04: Island Food Systems</v>
      </c>
      <c r="B31" s="4" t="str">
        <v>WorldFish</v>
      </c>
      <c r="C31" s="4" t="str">
        <v>Timor-Leste</v>
      </c>
      <c r="D31" s="5">
        <v>34</v>
      </c>
      <c r="E31" s="4">
        <v>2622</v>
      </c>
    </row>
  </sheetData>
  <mergeCells count="4">
    <mergeCell ref="A2"/>
    <mergeCell ref="A3:A21"/>
    <mergeCell ref="A22:A25"/>
    <mergeCell ref="A26:A31"/>
  </mergeCells>
  <ignoredErrors>
    <ignoredError numberStoredAsText="1" sqref="A1:E31"/>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WorldFish</v>
      </c>
      <c r="C2" s="4" t="str">
        <v>Global</v>
      </c>
      <c r="D2" s="4" t="str">
        <v>global</v>
      </c>
      <c r="E2" s="5">
        <v>100</v>
      </c>
      <c r="F2" s="4">
        <v>287</v>
      </c>
    </row>
    <row r="3" ht="45" customHeight="1">
      <c r="A3" s="8" t="str">
        <v>AOW01: Future Food Systems Lab</v>
      </c>
      <c r="B3" s="4" t="str">
        <v>WorldFish</v>
      </c>
      <c r="C3" s="4" t="str">
        <v>Global</v>
      </c>
      <c r="D3" s="4" t="str">
        <v>global</v>
      </c>
      <c r="E3" s="5">
        <v>100</v>
      </c>
      <c r="F3" s="4">
        <v>6</v>
      </c>
    </row>
    <row r="4" ht="45" customHeight="1">
      <c r="A4" s="8" t="str">
        <v>AOW02: Fragile and Conflict-affected Food Systems</v>
      </c>
      <c r="B4" s="4" t="str">
        <v>WorldFish</v>
      </c>
      <c r="C4" s="4" t="str">
        <v>Global</v>
      </c>
      <c r="D4" s="4" t="str">
        <v>global</v>
      </c>
      <c r="E4" s="5">
        <v>100</v>
      </c>
      <c r="F4" s="4">
        <v>399</v>
      </c>
    </row>
    <row r="5" ht="45" customHeight="1">
      <c r="A5" s="8" t="str">
        <v>AOW04: Island Food Systems</v>
      </c>
      <c r="B5" s="4" t="str">
        <v>WorldFish</v>
      </c>
      <c r="C5" s="4" t="str">
        <v>Global</v>
      </c>
      <c r="D5" s="4" t="str">
        <v>global</v>
      </c>
      <c r="E5" s="5">
        <v>0</v>
      </c>
      <c r="F5" s="4">
        <v>283</v>
      </c>
    </row>
    <row r="6" ht="45" customHeight="1">
      <c r="A6" s="4" t="str">
        <v>AOW04: Island Food Systems</v>
      </c>
      <c r="B6" s="4" t="str">
        <v>WorldFish</v>
      </c>
      <c r="C6" s="4" t="str">
        <v>Oceania</v>
      </c>
      <c r="D6" s="4" t="str">
        <v>region</v>
      </c>
      <c r="E6" s="5">
        <v>100</v>
      </c>
      <c r="F6" s="4">
        <v>925</v>
      </c>
    </row>
  </sheetData>
  <mergeCells count="4">
    <mergeCell ref="A2"/>
    <mergeCell ref="A3"/>
    <mergeCell ref="A4"/>
    <mergeCell ref="A5: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Future Food Systems Lab</v>
      </c>
      <c r="B2" s="4" t="str">
        <v>Policy Innovations</v>
      </c>
      <c r="C2" s="4" t="str">
        <v>1.1.1 Envisioning Food System Futures</v>
      </c>
      <c r="D2" s="4" t="str">
        <v>Foresight and Rapid Response Modeling System - Critical Capability</v>
      </c>
      <c r="E2" s="4">
        <v>1264</v>
      </c>
    </row>
    <row r="3" ht="60" customHeight="1">
      <c r="A3" s="4" t="str">
        <v>AOW01: Future Food Systems Lab</v>
      </c>
      <c r="B3" s="4" t="str">
        <v>Policy Innovations</v>
      </c>
      <c r="C3" s="4" t="str">
        <v>1.1.1 Envisioning Food System Futures</v>
      </c>
      <c r="D3" s="4" t="str">
        <v>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v>
      </c>
      <c r="E3" s="4">
        <v>1265</v>
      </c>
    </row>
    <row r="4" ht="60" customHeight="1">
      <c r="A4" s="4" t="str">
        <v>AOW01: Future Food Systems Lab</v>
      </c>
      <c r="B4" s="4" t="str">
        <v>Climate Action</v>
      </c>
      <c r="C4" s="4" t="str">
        <v>1.1.1 Envisioning Food System Futures</v>
      </c>
      <c r="D4" s="4" t="str">
        <v>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v>
      </c>
      <c r="E4" s="4">
        <v>1266</v>
      </c>
    </row>
    <row r="5" ht="60" customHeight="1">
      <c r="A5" s="4" t="str">
        <v>AOW01: Future Food Systems Lab</v>
      </c>
      <c r="B5" s="4" t="str">
        <v>Policy Innovations</v>
      </c>
      <c r="C5" s="4" t="str">
        <v>1.2.2 Evidence Synthesis and Adaptive Learning</v>
      </c>
      <c r="D5" s="4" t="str">
        <v>During development of knowledge products, engagement with the P/As will be maintained. There are also key potential synergies with the policy and nutrition science SPs.</v>
      </c>
      <c r="E5" s="4">
        <v>1267</v>
      </c>
    </row>
    <row r="6" ht="60" customHeight="1">
      <c r="A6" s="4" t="str">
        <v>AOW01: Future Food Systems Lab</v>
      </c>
      <c r="B6" s="4" t="str">
        <v xml:space="preserve">Multifunctional Landscapes </v>
      </c>
      <c r="C6" s="4" t="str">
        <v>1.2.2 Evidence Synthesis and Adaptive Learning</v>
      </c>
      <c r="D6" s="4" t="str">
        <v>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v>
      </c>
      <c r="E6" s="4">
        <v>1268</v>
      </c>
    </row>
    <row r="7" ht="60" customHeight="1">
      <c r="A7" s="4" t="str">
        <v>AOW01: Future Food Systems Lab</v>
      </c>
      <c r="B7" s="4" t="str">
        <v xml:space="preserve">Gender Equality and Inclusion </v>
      </c>
      <c r="C7" s="4" t="str">
        <v>1.2.2 Evidence Synthesis and Adaptive Learning</v>
      </c>
      <c r="D7" s="4" t="str">
        <v>FLEX series connects with the Gender Accelerator, spotlighting women-led innovations and gender-responsive approaches.</v>
      </c>
      <c r="E7" s="4">
        <v>1269</v>
      </c>
    </row>
    <row r="8" ht="60" customHeight="1">
      <c r="A8" s="4" t="str">
        <v>AOW01: Future Food Systems Lab</v>
      </c>
      <c r="B8" s="4" t="str">
        <v>Capacity Sharing</v>
      </c>
      <c r="C8" s="4" t="str">
        <v>1.2.2 Evidence Synthesis and Adaptive Learning</v>
      </c>
      <c r="D8" s="4" t="str">
        <v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v>
      </c>
      <c r="E8" s="4">
        <v>1270</v>
      </c>
    </row>
    <row r="9" ht="60" customHeight="1">
      <c r="A9" s="4" t="str">
        <v>AOW01: Future Food Systems Lab</v>
      </c>
      <c r="B9" s="4" t="str">
        <v>Scaling for Impact</v>
      </c>
      <c r="C9" s="4" t="str">
        <v>1.2.2 Evidence Synthesis and Adaptive Learning</v>
      </c>
      <c r="D9" s="4" t="str">
        <v>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v>
      </c>
      <c r="E9" s="4">
        <v>1271</v>
      </c>
    </row>
    <row r="10" ht="60" customHeight="1">
      <c r="A10" s="8" t="str">
        <v>AOW02: Fragile and Conflict-affected Food Systems</v>
      </c>
      <c r="B10" s="4" t="str">
        <v xml:space="preserve">Digital Transformation </v>
      </c>
      <c r="C10" s="4" t="str">
        <v>2.1.1 Prevent</v>
      </c>
      <c r="D10" s="4" t="str">
        <v>Together with DTA AA we will integrate innovations, tools and big data to monitor, assess and anticipate human mobility in times of crises globally and with a specific focus on FCAs.</v>
      </c>
      <c r="E10" s="4">
        <v>1272</v>
      </c>
    </row>
    <row r="11" ht="60" customHeight="1">
      <c r="A11" s="4" t="str">
        <v>AOW02: Fragile and Conflict-affected Food Systems</v>
      </c>
      <c r="B11" s="4" t="str">
        <v xml:space="preserve">Gender Equality and Inclusion </v>
      </c>
      <c r="C11" s="4" t="str">
        <v>2.1.1 Prevent</v>
      </c>
      <c r="D11" s="4" t="str">
        <v>This is a critical piece of work with strong demand for UNHCR. It will be carried out in collaboration with the Climate Action AoW1 and GEI, linking with the new Climate Data Hub and scaling data/processes/tools to FCAs.</v>
      </c>
      <c r="E11" s="4">
        <v>1273</v>
      </c>
    </row>
    <row r="12" ht="60" customHeight="1">
      <c r="A12" s="4" t="str">
        <v>AOW02: Fragile and Conflict-affected Food Systems</v>
      </c>
      <c r="B12" s="4" t="str">
        <v>Climate Action</v>
      </c>
      <c r="C12" s="4" t="str">
        <v>2.1.1 Prevent</v>
      </c>
      <c r="D12" s="4" t="str">
        <v>Will work with AoW2 of Climate Action to leverage and tailor EWS and AA to FCAs. It will help scaling CGIAR innovations into FCAs in a conflict sensitive and peace positive way.</v>
      </c>
      <c r="E12" s="4">
        <v>1274</v>
      </c>
    </row>
    <row r="13" ht="60" customHeight="1">
      <c r="A13" s="4" t="str">
        <v>AOW02: Fragile and Conflict-affected Food Systems</v>
      </c>
      <c r="B13" s="4" t="str">
        <v xml:space="preserve">Digital Transformation </v>
      </c>
      <c r="C13" s="4" t="str">
        <v>2.2.2 Respond</v>
      </c>
      <c r="D13" s="4" t="str">
        <v>Together we will develop an innovative dashboard to anticipate food security crises using underutilized data.</v>
      </c>
      <c r="E13" s="4">
        <v>1275</v>
      </c>
    </row>
    <row r="14" ht="60" customHeight="1">
      <c r="A14" s="4" t="str">
        <v>AOW02: Fragile and Conflict-affected Food Systems</v>
      </c>
      <c r="B14" s="4" t="str">
        <v xml:space="preserve">Multifunctional Landscapes </v>
      </c>
      <c r="C14" s="4" t="str">
        <v>2.3.3 Recover</v>
      </c>
      <c r="D14" s="4" t="str">
        <v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v>
      </c>
      <c r="E14" s="4">
        <v>1276</v>
      </c>
    </row>
    <row r="15" ht="60" customHeight="1">
      <c r="A15" s="8" t="str">
        <v>AOW03: Urban Food Systems</v>
      </c>
      <c r="B15" s="4" t="str">
        <v xml:space="preserve">Digital Transformation </v>
      </c>
      <c r="C15" s="4" t="str">
        <v>3.3.3 Informal food markets</v>
      </c>
      <c r="D15" s="4" t="str">
        <v>Building digital platform for traceability and logistics management of rescued produce from farms</v>
      </c>
      <c r="E15" s="4">
        <v>1278</v>
      </c>
    </row>
    <row r="16" ht="60" customHeight="1">
      <c r="A16" s="4" t="str">
        <v>AOW03: Urban Food Systems</v>
      </c>
      <c r="B16" s="4" t="str">
        <v>Scaling for Impact</v>
      </c>
      <c r="C16" s="4" t="str">
        <v>3.3.3 Informal food markets</v>
      </c>
      <c r="D16" s="4" t="str">
        <v>Working on sustainable business plan for the community food bank model</v>
      </c>
      <c r="E16" s="4">
        <v>1279</v>
      </c>
    </row>
    <row r="17" ht="60" customHeight="1">
      <c r="A17" s="4" t="str">
        <v>AOW03: Urban Food Systems</v>
      </c>
      <c r="B17" s="4" t="str">
        <v>Scaling for Impact</v>
      </c>
      <c r="C17" s="4" t="str">
        <v>3.4.4 Healthy diets</v>
      </c>
      <c r="D17" s="4" t="str">
        <v>Building business models for inclusive informal food markets</v>
      </c>
      <c r="E17" s="4">
        <v>1280</v>
      </c>
    </row>
    <row r="18" ht="60" customHeight="1">
      <c r="A18" s="4" t="str">
        <v>AOW03: Urban Food Systems</v>
      </c>
      <c r="B18" s="4" t="str">
        <v>Policy Innovations</v>
      </c>
      <c r="C18" s="4" t="str">
        <v>3.5.5 Urban food systems governance</v>
      </c>
      <c r="D18" s="4" t="str">
        <v>Working on a policy document for responsible scaling of community food banks for food rescue in Lima and other intermediate cities in Peru.</v>
      </c>
      <c r="E18" s="4">
        <v>1281</v>
      </c>
    </row>
    <row r="19" ht="60" customHeight="1">
      <c r="A19" s="4" t="str">
        <v>AOW04: Island Food Systems</v>
      </c>
      <c r="B19" s="4" t="str">
        <v>Genebank</v>
      </c>
      <c r="C19" s="4" t="str">
        <v>4.1.1 SUSTAINABILITY</v>
      </c>
      <c r="D19" s="4" t="str">
        <v>Resourcing of World Vegetable Centre capacity sharing for SPC genebanks and land resources division engagement. This work connects with the Genebanks program and its engagement with Pacific institutions</v>
      </c>
      <c r="E19" s="4">
        <v>1277</v>
      </c>
    </row>
  </sheetData>
  <mergeCells count="3">
    <mergeCell ref="A2:A9"/>
    <mergeCell ref="A10:A14"/>
    <mergeCell ref="A15:A18"/>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3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xml:space="preserve">
      <c r="A2" s="8" t="str">
        <v>AOW00: Cross Cutting</v>
      </c>
      <c r="B2" s="4" t="str" xml:space="preserve">
        <v xml:space="preserve">Stakeholders scale innovations for strengthening the resilience of frontier food systems.
</v>
      </c>
      <c r="C2" s="4" t="str">
        <v/>
      </c>
      <c r="D2" s="4" t="str">
        <v>Innovation Use</v>
      </c>
      <c r="E2" s="4" t="str">
        <v>Country: Bangladesh, Ethiopia, Kenya, Kiribati, Papua New Guinea, Peru, Philippines, Solomon Islands, Timor-Leste, Tonga, Vanuatu</v>
      </c>
      <c r="F2" s="5">
        <v>0</v>
      </c>
      <c r="G2" s="4">
        <v>711</v>
      </c>
    </row>
    <row r="3" ht="60" customHeight="1">
      <c r="A3" s="4" t="str">
        <v>AOW00: Cross Cutting</v>
      </c>
      <c r="B3" s="4" t="str">
        <v>Policymakers create targeted policies to strengthen the resilience of frontier food systems.</v>
      </c>
      <c r="C3" s="4" t="str">
        <v/>
      </c>
      <c r="D3" s="4" t="str">
        <v>Number of Policy (Policy Change)</v>
      </c>
      <c r="E3" s="4" t="str">
        <v>Country: Bangladesh, Kenya, Peru, Philippines, Solomon Islands, Timor-Leste</v>
      </c>
      <c r="F3" s="5">
        <v>0</v>
      </c>
      <c r="G3" s="4">
        <v>712</v>
      </c>
    </row>
    <row r="4" ht="60" customHeight="1">
      <c r="A4" s="4" t="str">
        <v>AOW00: Cross Cutting</v>
      </c>
      <c r="B4" s="4" t="str">
        <v>Food system actors adopt new tools, innovations, evidence and witness improved livelihoods, health and environments.</v>
      </c>
      <c r="C4" s="4" t="str">
        <v/>
      </c>
      <c r="D4" s="4" t="str">
        <v xml:space="preserve">  Number of men, women and youth adopting tools, innovations and evidence</v>
      </c>
      <c r="E4" s="4" t="str">
        <v>Country: Bangladesh, Ghana, Kenya, Philippines, Solomon Islands, Timor-Leste</v>
      </c>
      <c r="F4" s="5">
        <v>0</v>
      </c>
      <c r="G4" s="4">
        <v>713</v>
      </c>
    </row>
    <row r="5" ht="60" customHeight="1">
      <c r="A5" s="4" t="str">
        <v>AOW00: Cross Cutting</v>
      </c>
      <c r="B5" s="4" t="str">
        <v>Partners and donors use evidence to invest in frontier food systems.</v>
      </c>
      <c r="C5" s="4" t="str">
        <v/>
      </c>
      <c r="D5" s="4" t="str">
        <v xml:space="preserve"> Number of funders and partners that have invested in strengthening frontier food systems</v>
      </c>
      <c r="E5" s="4" t="str">
        <v>Country: Kenya</v>
      </c>
      <c r="F5" s="5">
        <v>0</v>
      </c>
      <c r="G5" s="4">
        <v>716</v>
      </c>
    </row>
    <row r="6" ht="60" customHeight="1">
      <c r="A6" s="8" t="str">
        <v>AOW01: Future Food Systems Lab</v>
      </c>
      <c r="B6" s="4" t="str">
        <v xml:space="preserve">1.1 Scenarios and foresight </v>
      </c>
      <c r="C6" s="4" t="str">
        <v/>
      </c>
      <c r="D6" s="4" t="str">
        <v>Number of Policy (Policy Change)</v>
      </c>
      <c r="E6" s="4" t="str">
        <v>Country: Kenya</v>
      </c>
      <c r="F6" s="5">
        <v>3</v>
      </c>
      <c r="G6" s="4">
        <v>706</v>
      </c>
    </row>
    <row r="7" ht="60" customHeight="1">
      <c r="A7" s="4" t="str">
        <v>AOW01: Future Food Systems Lab</v>
      </c>
      <c r="B7" s="4" t="str">
        <v>1.2 Evidence-informed priorities</v>
      </c>
      <c r="C7" s="4" t="str">
        <v/>
      </c>
      <c r="D7" s="4" t="str">
        <v xml:space="preserve"> </v>
      </c>
      <c r="E7" s="4" t="str">
        <v>Country: Ghana, Kenya, Peru</v>
      </c>
      <c r="F7" s="5">
        <v>3</v>
      </c>
      <c r="G7" s="4">
        <v>714</v>
      </c>
    </row>
    <row r="8" ht="60" customHeight="1">
      <c r="A8" s="4" t="str">
        <v>AOW01: Future Food Systems Lab</v>
      </c>
      <c r="B8" s="4" t="str">
        <v>1.3 Entrepreneur-led scaling</v>
      </c>
      <c r="C8" s="4" t="str">
        <v/>
      </c>
      <c r="D8" s="4" t="str">
        <v xml:space="preserve"> </v>
      </c>
      <c r="E8" s="4" t="str">
        <v>Country: Ethiopia, Ghana, Kenya</v>
      </c>
      <c r="F8" s="5">
        <v>1000</v>
      </c>
      <c r="G8" s="4">
        <v>715</v>
      </c>
    </row>
    <row r="9" ht="60" customHeight="1">
      <c r="A9" s="8" t="str">
        <v>AOW02: Fragile and Conflict-affected Food Systems</v>
      </c>
      <c r="B9" s="4" t="str">
        <v>2.1 Strategies and programs to prevent and mitigate the effects of crises in fragile settings</v>
      </c>
      <c r="C9" s="4" t="str">
        <v/>
      </c>
      <c r="D9" s="4" t="str">
        <v>Number of multi-stakeholder platforms taking system-related decisions or making recommendations based on CGIAR technical support.</v>
      </c>
      <c r="E9" s="4" t="str">
        <v>Country: Ethiopia, Kenya, Nigeria</v>
      </c>
      <c r="F9" s="5">
        <v>25000</v>
      </c>
      <c r="G9" s="4">
        <v>707</v>
      </c>
    </row>
    <row r="10" ht="60" customHeight="1">
      <c r="A10" s="4" t="str">
        <v>AOW02: Fragile and Conflict-affected Food Systems</v>
      </c>
      <c r="B10" s="4" t="str">
        <v>2.1 Strategies and programs to prevent and mitigate the effects of crises in fragile settings</v>
      </c>
      <c r="C10" s="4" t="str">
        <v/>
      </c>
      <c r="D10" s="4" t="str">
        <v>Number of Policy (Policy Change)</v>
      </c>
      <c r="E10" s="4" t="str">
        <v>Country: Ethiopia, Jordan, Mali, Nepal, Nigeria, Uganda</v>
      </c>
      <c r="F10" s="5">
        <v>4</v>
      </c>
      <c r="G10" s="4">
        <v>707</v>
      </c>
    </row>
    <row r="11" ht="60" customHeight="1">
      <c r="A11" s="4" t="str">
        <v>AOW02: Fragile and Conflict-affected Food Systems</v>
      </c>
      <c r="B11" s="4" t="str">
        <v>2.2 Better designed emergency response in fragile settings</v>
      </c>
      <c r="C11" s="4" t="str">
        <v/>
      </c>
      <c r="D11" s="4" t="str">
        <v>Number of Policy (Policy Change)</v>
      </c>
      <c r="E11" s="4" t="str">
        <v>Country: Ethiopia, Guatemala, Honduras, Jordan, Kenya, Malawi, Mali, Mozambique, Nigeria, The Republic of the Sudan, Zimbabwe</v>
      </c>
      <c r="F11" s="5">
        <v>4</v>
      </c>
      <c r="G11" s="4">
        <v>710</v>
      </c>
    </row>
    <row r="12" ht="60" customHeight="1">
      <c r="A12" s="4" t="str">
        <v>AOW02: Fragile and Conflict-affected Food Systems</v>
      </c>
      <c r="B12" s="4" t="str">
        <v>2.2 Better designed emergency response in fragile settings</v>
      </c>
      <c r="C12" s="4" t="str">
        <v/>
      </c>
      <c r="D12" s="4" t="str">
        <v>Innovation Use</v>
      </c>
      <c r="E12" s="4" t="str">
        <v>Country: Ethiopia, Guatemala, Honduras, Jordan, Kenya, Malawi, Mali, Mozambique, Nigeria, The Republic of the Sudan, Zimbabwe</v>
      </c>
      <c r="F12" s="5">
        <v>3</v>
      </c>
      <c r="G12" s="4">
        <v>710</v>
      </c>
    </row>
    <row r="13" ht="60" customHeight="1">
      <c r="A13" s="4" t="str">
        <v>AOW02: Fragile and Conflict-affected Food Systems</v>
      </c>
      <c r="B13" s="4" t="str">
        <v>2.3 Programs and policies to promote recovery and stabilize livelihoods in fragile settings</v>
      </c>
      <c r="C13" s="4" t="str">
        <v/>
      </c>
      <c r="D13" s="4" t="str">
        <v>Number of Policy (Policy Change)</v>
      </c>
      <c r="E13" s="4" t="str">
        <v>Country: Burkina Faso, Ethiopia, Honduras, Jordan, Kenya, Mali, Nigeria, Somalia, Tajikistan, Yemen</v>
      </c>
      <c r="F13" s="5">
        <v>4</v>
      </c>
      <c r="G13" s="4">
        <v>717</v>
      </c>
    </row>
    <row r="14" ht="60" customHeight="1">
      <c r="A14" s="8" t="str">
        <v>AOW03: Urban Food Systems</v>
      </c>
      <c r="B14" s="4" t="str">
        <v>3.1 Safe urban food production</v>
      </c>
      <c r="C14" s="4" t="str">
        <v/>
      </c>
      <c r="D14" s="4" t="str">
        <v/>
      </c>
      <c r="E14" s="4" t="str">
        <v/>
      </c>
      <c r="F14" s="5">
        <v>0</v>
      </c>
      <c r="G14" s="4">
        <v>708</v>
      </c>
    </row>
    <row r="15" ht="60" customHeight="1">
      <c r="A15" s="4" t="str">
        <v>AOW03: Urban Food Systems</v>
      </c>
      <c r="B15" s="4" t="str">
        <v>3.2 Circular bioeconomy</v>
      </c>
      <c r="C15" s="4" t="str">
        <v/>
      </c>
      <c r="D15" s="4" t="str">
        <v/>
      </c>
      <c r="E15" s="4" t="str">
        <v>Country: Bangladesh, Ghana, Kenya</v>
      </c>
      <c r="F15" s="5">
        <v>20</v>
      </c>
      <c r="G15" s="4">
        <v>718</v>
      </c>
    </row>
    <row r="16" ht="60" customHeight="1">
      <c r="A16" s="4" t="str">
        <v>AOW03: Urban Food Systems</v>
      </c>
      <c r="B16" s="4" t="str">
        <v>3.2 Circular bioeconomy</v>
      </c>
      <c r="C16" s="4" t="str">
        <v/>
      </c>
      <c r="D16" s="4" t="str">
        <v/>
      </c>
      <c r="E16" s="4" t="str">
        <v>Country: Ethiopia, Ghana, Nepal, Sri Lanka</v>
      </c>
      <c r="F16" s="5">
        <v>250</v>
      </c>
      <c r="G16" s="4">
        <v>718</v>
      </c>
    </row>
    <row r="17" ht="60" customHeight="1">
      <c r="A17" s="4" t="str">
        <v>AOW03: Urban Food Systems</v>
      </c>
      <c r="B17" s="4" t="str">
        <v>3.2 Circular bioeconomy</v>
      </c>
      <c r="C17" s="4" t="str">
        <v/>
      </c>
      <c r="D17" s="4" t="str">
        <v/>
      </c>
      <c r="E17" s="4" t="str">
        <v>Country: Ethiopia, Ghana, Nepal, Sri Lanka</v>
      </c>
      <c r="F17" s="5">
        <v>100</v>
      </c>
      <c r="G17" s="4">
        <v>718</v>
      </c>
    </row>
    <row r="18" ht="60" customHeight="1">
      <c r="A18" s="4" t="str">
        <v>AOW03: Urban Food Systems</v>
      </c>
      <c r="B18" s="4" t="str">
        <v>3.5 Urban food systems governance</v>
      </c>
      <c r="C18" s="4" t="str">
        <v/>
      </c>
      <c r="D18" s="4" t="str">
        <v>Number of partners implementing CGIAR-supported innovations.</v>
      </c>
      <c r="E18" s="4" t="str">
        <v>Country: Kenya</v>
      </c>
      <c r="F18" s="5">
        <v>1</v>
      </c>
      <c r="G18" s="4">
        <v>719</v>
      </c>
    </row>
    <row r="19" ht="60" customHeight="1">
      <c r="A19" s="4" t="str">
        <v>AOW03: Urban Food Systems</v>
      </c>
      <c r="B19" s="4" t="str">
        <v>3.5 Urban food systems governance</v>
      </c>
      <c r="C19" s="4" t="str">
        <v/>
      </c>
      <c r="D19" s="4" t="str">
        <v>Number of Policy (Policy Change)</v>
      </c>
      <c r="E19" s="4" t="str">
        <v>Country: Bangladesh, Kenya, Peru, Philippines</v>
      </c>
      <c r="F19" s="5">
        <v>2</v>
      </c>
      <c r="G19" s="4">
        <v>719</v>
      </c>
    </row>
    <row r="20" ht="60" customHeight="1">
      <c r="A20" s="4" t="str">
        <v>AOW03: Urban Food Systems</v>
      </c>
      <c r="B20" s="4" t="str">
        <v>3.5 Urban food systems governance</v>
      </c>
      <c r="C20" s="4" t="str">
        <v/>
      </c>
      <c r="D20" s="4" t="str">
        <v>Innovation Use</v>
      </c>
      <c r="E20" s="4" t="str">
        <v>Country: Bangladesh, Kenya, Peru, Philippines</v>
      </c>
      <c r="F20" s="5">
        <v>2</v>
      </c>
      <c r="G20" s="4">
        <v>719</v>
      </c>
    </row>
    <row r="21" ht="60" customHeight="1">
      <c r="A21" s="4" t="str">
        <v>AOW03: Urban Food Systems</v>
      </c>
      <c r="B21" s="4" t="str">
        <v xml:space="preserve">  3.3 Informal food markets</v>
      </c>
      <c r="C21" s="4" t="str">
        <v/>
      </c>
      <c r="D21" s="4" t="str">
        <v>Number of Policy (Policy Change)</v>
      </c>
      <c r="E21" s="4" t="str">
        <v>Country: Kenya, Philippines</v>
      </c>
      <c r="F21" s="5">
        <v>6</v>
      </c>
      <c r="G21" s="4">
        <v>720</v>
      </c>
    </row>
    <row r="22" ht="60" customHeight="1">
      <c r="A22" s="4" t="str">
        <v>AOW03: Urban Food Systems</v>
      </c>
      <c r="B22" s="4" t="str">
        <v xml:space="preserve">  3.3 Informal food markets</v>
      </c>
      <c r="C22" s="4" t="str">
        <v/>
      </c>
      <c r="D22" s="4" t="str">
        <v>Number of Policy (Policy Change)</v>
      </c>
      <c r="E22" s="4" t="str">
        <v>Country: Kenya, Philippines</v>
      </c>
      <c r="F22" s="5">
        <v>1</v>
      </c>
      <c r="G22" s="4">
        <v>720</v>
      </c>
    </row>
    <row r="23" ht="60" customHeight="1">
      <c r="A23" s="4" t="str">
        <v>AOW03: Urban Food Systems</v>
      </c>
      <c r="B23" s="4" t="str">
        <v xml:space="preserve">  3.3 Informal food markets</v>
      </c>
      <c r="C23" s="4" t="str">
        <v/>
      </c>
      <c r="D23" s="4" t="str">
        <v>Number of new or revised government strategies, policies, legal acts regulations or programs using CGIAR research.</v>
      </c>
      <c r="E23" s="4" t="str">
        <v>Country: Philippines</v>
      </c>
      <c r="F23" s="5">
        <v>1</v>
      </c>
      <c r="G23" s="4">
        <v>720</v>
      </c>
    </row>
    <row r="24" ht="60" customHeight="1">
      <c r="A24" s="4" t="str">
        <v>AOW03: Urban Food Systems</v>
      </c>
      <c r="B24" s="4" t="str">
        <v xml:space="preserve">  3.3 Informal food markets</v>
      </c>
      <c r="C24" s="4" t="str">
        <v/>
      </c>
      <c r="D24" s="4" t="str">
        <v/>
      </c>
      <c r="E24" s="4" t="str">
        <v>Country: Bangladesh, Egypt, Kenya, Peru, Philippines</v>
      </c>
      <c r="F24" s="5">
        <v>75</v>
      </c>
      <c r="G24" s="4">
        <v>720</v>
      </c>
    </row>
    <row r="25" ht="60" customHeight="1">
      <c r="A25" s="4" t="str">
        <v>AOW03: Urban Food Systems</v>
      </c>
      <c r="B25" s="4" t="str">
        <v xml:space="preserve">  3.3 Informal food markets</v>
      </c>
      <c r="C25" s="4" t="str">
        <v/>
      </c>
      <c r="D25" s="4" t="str">
        <v/>
      </c>
      <c r="E25" s="4" t="str">
        <v>Country: Bangladesh, Egypt, Kenya, Peru, Philippines</v>
      </c>
      <c r="F25" s="5">
        <v>100</v>
      </c>
      <c r="G25" s="4">
        <v>720</v>
      </c>
    </row>
    <row r="26" ht="60" customHeight="1">
      <c r="A26" s="4" t="str">
        <v>AOW03: Urban Food Systems</v>
      </c>
      <c r="B26" s="4" t="str">
        <v xml:space="preserve">  3.3 Informal food markets</v>
      </c>
      <c r="C26" s="4" t="str">
        <v/>
      </c>
      <c r="D26" s="4" t="str">
        <v>Number of Policy (Policy Change)</v>
      </c>
      <c r="E26" s="4" t="str">
        <v>Country: Bangladesh, Egypt, Kenya, Peru, Philippines</v>
      </c>
      <c r="F26" s="5">
        <v>2</v>
      </c>
      <c r="G26" s="4">
        <v>720</v>
      </c>
    </row>
    <row r="27" ht="60" customHeight="1">
      <c r="A27" s="4" t="str">
        <v>AOW03: Urban Food Systems</v>
      </c>
      <c r="B27" s="4" t="str">
        <v xml:space="preserve">  3.3 Informal food markets</v>
      </c>
      <c r="C27" s="4" t="str">
        <v/>
      </c>
      <c r="D27" s="4" t="str">
        <v/>
      </c>
      <c r="E27" s="4" t="str">
        <v>Country: Bangladesh, Egypt, Kenya, Peru, Philippines</v>
      </c>
      <c r="F27" s="5">
        <v>750</v>
      </c>
      <c r="G27" s="4">
        <v>720</v>
      </c>
    </row>
    <row r="28" ht="60" customHeight="1">
      <c r="A28" s="4" t="str">
        <v>AOW03: Urban Food Systems</v>
      </c>
      <c r="B28" s="4" t="str">
        <v xml:space="preserve">  3.3 Informal food markets</v>
      </c>
      <c r="C28" s="4" t="str">
        <v/>
      </c>
      <c r="D28" s="4" t="str">
        <v>Number of Policy (Policy Change)</v>
      </c>
      <c r="E28" s="4" t="str">
        <v>Country: Bangladesh, Egypt, Kenya, Peru, Philippines</v>
      </c>
      <c r="F28" s="5">
        <v>5</v>
      </c>
      <c r="G28" s="4">
        <v>720</v>
      </c>
    </row>
    <row r="29" ht="60" customHeight="1">
      <c r="A29" s="4" t="str">
        <v>AOW03: Urban Food Systems</v>
      </c>
      <c r="B29" s="4" t="str">
        <v>3.4 Healthy Diets</v>
      </c>
      <c r="C29" s="4" t="str">
        <v/>
      </c>
      <c r="D29" s="4" t="str">
        <v/>
      </c>
      <c r="E29" s="4" t="str">
        <v>Global</v>
      </c>
      <c r="F29" s="5">
        <v>750</v>
      </c>
      <c r="G29" s="4">
        <v>721</v>
      </c>
    </row>
    <row r="30" ht="60" customHeight="1">
      <c r="A30" s="4" t="str">
        <v>AOW03: Urban Food Systems</v>
      </c>
      <c r="B30" s="4" t="str">
        <v>3.4 Healthy Diets</v>
      </c>
      <c r="C30" s="4" t="str">
        <v/>
      </c>
      <c r="D30" s="4" t="str">
        <v/>
      </c>
      <c r="E30" s="4" t="str">
        <v>Country: Bangladesh, Kenya, Philippines</v>
      </c>
      <c r="F30" s="5">
        <v>2</v>
      </c>
      <c r="G30" s="4">
        <v>721</v>
      </c>
    </row>
    <row r="31" ht="60" customHeight="1">
      <c r="A31" s="8" t="str">
        <v>AOW04: Island Food Systems</v>
      </c>
      <c r="B31" s="4" t="str">
        <v>4.1 ACTORS</v>
      </c>
      <c r="C31" s="4" t="str">
        <v/>
      </c>
      <c r="D31" s="4" t="str">
        <v>Innovation Use</v>
      </c>
      <c r="E31" s="4" t="str">
        <v>Country: Solomon Islands, Timor-Leste</v>
      </c>
      <c r="F31" s="5">
        <v>100</v>
      </c>
      <c r="G31" s="4">
        <v>709</v>
      </c>
    </row>
    <row r="32" ht="60" customHeight="1">
      <c r="A32" s="4" t="str">
        <v>AOW04: Island Food Systems</v>
      </c>
      <c r="B32" s="4" t="str">
        <v>4.2 NETWORKS</v>
      </c>
      <c r="C32" s="4" t="str">
        <v/>
      </c>
      <c r="D32" s="4" t="str">
        <v xml:space="preserve"> </v>
      </c>
      <c r="E32" s="4" t="str">
        <v>Country: Solomon Islands, Timor-Leste</v>
      </c>
      <c r="F32" s="5">
        <v>1</v>
      </c>
      <c r="G32" s="4">
        <v>722</v>
      </c>
    </row>
    <row r="33" ht="60" customHeight="1">
      <c r="A33" s="4" t="str">
        <v>AOW04: Island Food Systems</v>
      </c>
      <c r="B33" s="4" t="str">
        <v>4.2 NETWORKS</v>
      </c>
      <c r="C33" s="4" t="str">
        <v/>
      </c>
      <c r="D33" s="4" t="str">
        <v>Number of Policy (Policy Change)</v>
      </c>
      <c r="E33" s="4" t="str">
        <v>Country: Solomon Islands, Timor-Leste</v>
      </c>
      <c r="F33" s="5">
        <v>1</v>
      </c>
      <c r="G33" s="4">
        <v>722</v>
      </c>
    </row>
    <row r="34" ht="60" customHeight="1">
      <c r="A34" s="4" t="str">
        <v>AOW04: Island Food Systems</v>
      </c>
      <c r="B34" s="4" t="str">
        <v>4.2 NETWORKS</v>
      </c>
      <c r="C34" s="4" t="str">
        <v/>
      </c>
      <c r="D34" s="4" t="str">
        <v/>
      </c>
      <c r="E34" s="4" t="str">
        <v>Country: Kiribati, Papua New Guinea, Solomon Islands, Timor-Leste, Tonga, Vanuatu</v>
      </c>
      <c r="F34" s="5">
        <v>2000</v>
      </c>
      <c r="G34" s="4">
        <v>722</v>
      </c>
    </row>
    <row r="35" ht="60" customHeight="1">
      <c r="A35" s="4" t="str">
        <v>AOW04: Island Food Systems</v>
      </c>
      <c r="B35" s="4" t="str">
        <v>4.3 PARTNERS</v>
      </c>
      <c r="C35" s="4" t="str">
        <v/>
      </c>
      <c r="D35" s="4" t="str">
        <v>Number of Policy (Policy Change)</v>
      </c>
      <c r="E35" s="4" t="str">
        <v>Country: Solomon Islands, Timor-Leste</v>
      </c>
      <c r="F35" s="5">
        <v>3</v>
      </c>
      <c r="G35" s="4">
        <v>723</v>
      </c>
    </row>
  </sheetData>
  <mergeCells count="19">
    <mergeCell ref="A2:A5"/>
    <mergeCell ref="A6:A8"/>
    <mergeCell ref="B9:B10"/>
    <mergeCell ref="C9:C10"/>
    <mergeCell ref="B11:B12"/>
    <mergeCell ref="C11:C12"/>
    <mergeCell ref="A9:A13"/>
    <mergeCell ref="B15:B17"/>
    <mergeCell ref="C15:C17"/>
    <mergeCell ref="B18:B20"/>
    <mergeCell ref="C18:C20"/>
    <mergeCell ref="B21:B28"/>
    <mergeCell ref="C21:C28"/>
    <mergeCell ref="B29:B30"/>
    <mergeCell ref="C29:C30"/>
    <mergeCell ref="A14:A30"/>
    <mergeCell ref="B32:B34"/>
    <mergeCell ref="C32:C34"/>
    <mergeCell ref="A31:A35"/>
  </mergeCells>
  <ignoredErrors>
    <ignoredError numberStoredAsText="1" sqref="A1:G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