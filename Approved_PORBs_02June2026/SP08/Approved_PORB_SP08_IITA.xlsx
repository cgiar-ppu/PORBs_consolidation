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1</v>
      </c>
      <c r="E5" s="5">
        <v>20000</v>
      </c>
      <c r="F5" s="5">
        <v>0</v>
      </c>
      <c r="G5" s="5">
        <v>0</v>
      </c>
      <c r="H5" s="5">
        <v>0</v>
      </c>
      <c r="I5" s="5">
        <v>0</v>
      </c>
      <c r="J5" s="5">
        <v>20000</v>
      </c>
      <c r="K5" s="5">
        <v>20000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1</v>
      </c>
      <c r="C7" s="5">
        <v>75000</v>
      </c>
      <c r="D7" s="5">
        <v>8</v>
      </c>
      <c r="E7" s="5">
        <v>375000</v>
      </c>
      <c r="F7" s="5">
        <v>30</v>
      </c>
      <c r="G7" s="5">
        <v>120000</v>
      </c>
      <c r="H7" s="5">
        <v>0</v>
      </c>
      <c r="I7" s="5">
        <v>0</v>
      </c>
      <c r="J7" s="5">
        <v>570000</v>
      </c>
      <c r="K7" s="5">
        <v>570000</v>
      </c>
      <c r="L7" s="5">
        <v>175000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75000</v>
      </c>
      <c r="D9" s="7" t="str">
        <v/>
      </c>
      <c r="E9" s="7">
        <v>395000</v>
      </c>
      <c r="F9" s="7" t="str">
        <v/>
      </c>
      <c r="G9" s="7">
        <v>120000</v>
      </c>
      <c r="H9" s="7" t="str">
        <v/>
      </c>
      <c r="I9" s="7">
        <v>0</v>
      </c>
      <c r="J9" s="7">
        <v>590000</v>
      </c>
      <c r="K9" s="7">
        <v>590000</v>
      </c>
      <c r="L9" s="7">
        <v>175000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IITA</v>
      </c>
      <c r="C3" s="4" t="str">
        <v>1.1.1 Envisioning Food System Futures</v>
      </c>
      <c r="D3"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3" s="4" t="str">
        <v>Number of knowledge products</v>
      </c>
      <c r="F3" s="4" t="str">
        <v>Jordan, Peru, Mozambique, Ethiopia, The Republic of the Sudan, Philippines, Jamaica, Somalia, Yemen, Bangladesh, Ghana, Timor-Leste, Pakistan, Burkina Faso, Solomon Islands, Mali, Papua New Guinea, Kenya, Nigeria</v>
      </c>
      <c r="G3" s="5">
        <v>1</v>
      </c>
      <c r="H3" s="5">
        <v>20000</v>
      </c>
      <c r="I3" s="4" t="str">
        <v>Staff time to identify, document, and write case studies from CGIAR's FCAS work and compile, edit, and publish the final knowledge product with actionable evidence for the FCAS Operational Strategy.</v>
      </c>
      <c r="J3" s="4">
        <v>7721</v>
      </c>
    </row>
    <row r="4" ht="25" customHeight="1">
      <c r="C4" s="9" t="str">
        <v>HLO budget subtotal</v>
      </c>
      <c r="H4" s="9">
        <v>20000</v>
      </c>
      <c r="J4" s="9" t="str">
        <v/>
      </c>
    </row>
    <row r="5" ht="50" customHeight="1">
      <c r="A5" s="8" t="str">
        <v>AOW03: Urban Food Systems</v>
      </c>
      <c r="B5" s="4" t="str">
        <v>IITA</v>
      </c>
      <c r="C5" s="4" t="str">
        <v>3.2.2 Circular bioeconomy</v>
      </c>
      <c r="D5" s="4" t="str">
        <v xml:space="preserve"> By December 2026, at least 10 urban residential schemes implement adapted waste disposal systems integrating BSF technology, including household-level waste sorting and BSF-based organic waste processing.</v>
      </c>
      <c r="E5" s="4" t="str">
        <v>Number of people trained (capacity sharing for development)</v>
      </c>
      <c r="F5" s="4" t="str">
        <v>Kenya</v>
      </c>
      <c r="G5" s="5">
        <v>30</v>
      </c>
      <c r="H5" s="5">
        <v>120000</v>
      </c>
      <c r="I5" s="4" t="str">
        <v>Costing covers staff time to train 30 people in Kenya on using Black Soldier Fly for waste management, plus operational budget for training venue, materials, travel, and food for participants.</v>
      </c>
      <c r="J5" s="4">
        <v>6926</v>
      </c>
    </row>
    <row r="6" ht="50" customHeight="1">
      <c r="B6" s="4" t="str">
        <v>IITA</v>
      </c>
      <c r="D6" s="4" t="str">
        <v>Develop and disseminate 3 technical knowledge products documenting the design, adaptation, performance assessment, and suitability of small-scale Black Soldier Fly (BSF) systems for schools, residential blocks, and urban residential schemes.</v>
      </c>
      <c r="E6" s="4" t="str">
        <v>Number of knowledge products</v>
      </c>
      <c r="F6" s="4" t="str">
        <v>Kenya</v>
      </c>
      <c r="G6" s="5">
        <v>3</v>
      </c>
      <c r="H6" s="5">
        <v>80000</v>
      </c>
      <c r="I6" s="4" t="str">
        <v>Costing covers staff time to adapt and test small-scale Black Soldier Fly systems for schools and housing blocks in Kenya, plus operational budget for materials, equipment, and field trials, and producing three knowledge products documenting the results</v>
      </c>
      <c r="J6" s="4">
        <v>6927</v>
      </c>
    </row>
    <row r="7" ht="50" customHeight="1">
      <c r="A7" s="4" t="str">
        <v>AOW03: Urban Food Systems</v>
      </c>
      <c r="B7" s="4" t="str">
        <v>IITA</v>
      </c>
      <c r="C7" s="4" t="str">
        <v>3.1.1 Safe urban food production</v>
      </c>
      <c r="D7" s="4" t="str">
        <v>AW3P7: Improved productivity of safe, nutritious food in urban and peri-urban systems- KPI - Develop and deploy 1 innovation comprising a mobile application and improved supply and distribution system that increases access to quality seedlings among urban propagators and growers.</v>
      </c>
      <c r="E7" s="4" t="str">
        <v>Number of innovations (innovation development)</v>
      </c>
      <c r="F7" s="4" t="str">
        <v>Tanzania, United Republic, Kenya</v>
      </c>
      <c r="G7" s="5">
        <v>1</v>
      </c>
      <c r="H7" s="5">
        <v>75000</v>
      </c>
      <c r="I7" s="4" t="str">
        <v>KP budget</v>
      </c>
      <c r="J7" s="4">
        <v>7873</v>
      </c>
    </row>
    <row r="8" ht="50" customHeight="1" xml:space="preserve">
      <c r="B8" s="4" t="str">
        <v>IITA</v>
      </c>
      <c r="D8" s="4" t="str">
        <v>AW3P7: Improved productivity of safe, nutritious food in urban and peri-urban systems- Evidence of improved productivity and safety of nutritious perishable food in urban areas using Good Agricultural Practices (GAP) packages assessed and demonstrated to growers</v>
      </c>
      <c r="E8" s="4" t="str">
        <v>Number of knowledge products</v>
      </c>
      <c r="F8" s="4" t="str">
        <v>Kenya, Tanzania, United Republic</v>
      </c>
      <c r="G8" s="5">
        <v>1</v>
      </c>
      <c r="H8" s="5">
        <v>75000</v>
      </c>
      <c r="I8" s="4" t="str" xml:space="preserve">
        <v xml:space="preserve">Costing covers staff time to assess and demonstrate Good Agricultural Practices (GAP) packages for nutritious perishable foods with growers in urban Kenya and Tanzania, plus operational budget for field trials, grower meetings, and data collection, and staff time to produce one knowledge product presenting evidence on improved productivity and food safety.
</v>
      </c>
      <c r="J8" s="4">
        <v>7874</v>
      </c>
    </row>
    <row r="9" ht="50" customHeight="1">
      <c r="B9" s="4" t="str">
        <v>IITA</v>
      </c>
      <c r="D9" s="4" t="str">
        <v>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v>
      </c>
      <c r="E9" s="4" t="str">
        <v>Number of knowledge products</v>
      </c>
      <c r="F9" s="4" t="str">
        <v>Tanzania, United Republic, Kenya</v>
      </c>
      <c r="G9" s="5">
        <v>1</v>
      </c>
      <c r="H9" s="5">
        <v>50000</v>
      </c>
      <c r="I9" s="4" t="str">
        <v>kp budget</v>
      </c>
      <c r="J9" s="4">
        <v>7875</v>
      </c>
    </row>
    <row r="10" ht="50" customHeight="1">
      <c r="B10" s="4" t="str">
        <v>IITA</v>
      </c>
      <c r="D10" s="4" t="str">
        <v>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v>
      </c>
      <c r="E10" s="4" t="str">
        <v>Number of knowledge products</v>
      </c>
      <c r="F10" s="4" t="str">
        <v>Tanzania, United Republic, Kenya</v>
      </c>
      <c r="G10" s="5">
        <v>1</v>
      </c>
      <c r="H10" s="5">
        <v>0</v>
      </c>
      <c r="I10" s="4" t="str">
        <v/>
      </c>
      <c r="J10" s="4">
        <v>7878</v>
      </c>
    </row>
    <row r="11" ht="50" customHeight="1">
      <c r="B11" s="4" t="str">
        <v>IITA</v>
      </c>
      <c r="D11" s="4" t="str">
        <v>AW3P7: Improved productivity of safe, nutritious food in urban and peri-urban systems- Evidence for the impact of school gardens in urban areas, including the social, student knowledge, nutritive and financial aspects, through various formats of assessment</v>
      </c>
      <c r="E11" s="4" t="str">
        <v>Number of knowledge products</v>
      </c>
      <c r="F11" s="4" t="str">
        <v>Tanzania, United Republic, Kenya</v>
      </c>
      <c r="G11" s="5">
        <v>1</v>
      </c>
      <c r="H11" s="5">
        <v>50000</v>
      </c>
      <c r="I11" s="4" t="str">
        <v>Costing covers staff time to assess the social, educational, nutritional, and financial impacts of school gardens in urban areas of Tanzania and Kenya, plus operational budget for school surveys, focus groups, data collection, and analysis, and staff time to produce and share the final knowledge product with evidence from various assessment formats.</v>
      </c>
      <c r="J11" s="4">
        <v>7879</v>
      </c>
    </row>
    <row r="12" ht="50" customHeight="1">
      <c r="B12" s="4" t="str">
        <v>IITA</v>
      </c>
      <c r="D12" s="4" t="str">
        <v>AW3P7: Improved productivity of safe, nutritious food in urban and peri-urban systems- Number of knowledge products documenting evidence and methods of safe nutritious and climate-resilient urban food production using byproducts from waste management systems</v>
      </c>
      <c r="E12" s="4" t="str">
        <v>Number of knowledge products</v>
      </c>
      <c r="F12" s="4" t="str">
        <v>Peru, Kenya</v>
      </c>
      <c r="G12" s="5">
        <v>2</v>
      </c>
      <c r="H12" s="5">
        <v>120000</v>
      </c>
      <c r="I12" s="4" t="str">
        <v>Costing covers staff time to study waste-to-food methods in Peru and Kenya, plus operational budget for field visits, lab tests or data collection, and producing two knowledge products on safe, climate-resilient urban farming.</v>
      </c>
      <c r="J12" s="4">
        <v>7926</v>
      </c>
    </row>
    <row r="13" ht="50" customHeight="1">
      <c r="B13" s="4" t="str">
        <v>IITA</v>
      </c>
      <c r="D13" s="4" t="str">
        <v>AW3P7: Improved productivity of safe, nutritious food in urban and peri-urban systems- KPI- Increase access to and availability of quality seedlings in urban areas through strengthened engagement of propagators, increased uptake by growers, and improved supply and distribution systems, including deployment and use of a mobile application.</v>
      </c>
      <c r="E13" s="4" t="str">
        <v>Number of people trained (capacity sharing for development)</v>
      </c>
      <c r="F13" s="4" t="str">
        <v>Kenya</v>
      </c>
      <c r="G13" s="5">
        <v>200</v>
      </c>
      <c r="H13" s="5">
        <v>0</v>
      </c>
      <c r="I13" s="4" t="str">
        <v/>
      </c>
      <c r="J13" s="4">
        <v>8324</v>
      </c>
    </row>
    <row r="14" ht="50" customHeight="1">
      <c r="B14" s="4" t="str">
        <v>IITA</v>
      </c>
      <c r="D14" s="4" t="str">
        <v>AW3P7: Improved productivity of safe, nutritious food in urban and peri-urban systems: Generate and document evidence of improved productivity and safety of nutritious perishable foods in urban areas through the assessment and demonstration of Good Agricultural Practices (GAP) packages to growers.</v>
      </c>
      <c r="E14" s="4" t="str">
        <v>Number of knowledge products</v>
      </c>
      <c r="F14" s="4" t="str">
        <v>Kenya</v>
      </c>
      <c r="G14" s="5">
        <v>3</v>
      </c>
      <c r="H14" s="5">
        <v>0</v>
      </c>
      <c r="I14" s="4" t="str">
        <v/>
      </c>
      <c r="J14" s="4">
        <v>8325</v>
      </c>
    </row>
    <row r="15" ht="50" customHeight="1">
      <c r="B15" s="4" t="str">
        <v>IITA</v>
      </c>
      <c r="D15" s="4" t="str">
        <v>AW3P7: Improved productivity of safe, nutritious food in urban and peri-urban systems: KPI- Identify and document alternative production systems suitable for urban settings, including vertical, water- and nutrient-efficient systems, and climate-responsive crops and varieties adapted to confined conditions.</v>
      </c>
      <c r="E15" s="4" t="str">
        <v>Number of knowledge products</v>
      </c>
      <c r="F15" s="4" t="str">
        <v>Kenya</v>
      </c>
      <c r="G15" s="5">
        <v>2</v>
      </c>
      <c r="H15" s="5">
        <v>0</v>
      </c>
      <c r="I15" s="4" t="str">
        <v/>
      </c>
      <c r="J15" s="4">
        <v>8326</v>
      </c>
    </row>
    <row r="16" ht="50" customHeight="1">
      <c r="B16" s="4" t="str">
        <v>IITA</v>
      </c>
      <c r="D16" s="4" t="str">
        <v>AW3P7: Improved productivity of safe, nutritious food in urban and peri-urban systems- KPI: Assess urban school garden interventions using mixed methods, with documented improvements in student knowledge, nutrition, social outcomes, and financial benefits.</v>
      </c>
      <c r="E16" s="4" t="str">
        <v>Number of knowledge products</v>
      </c>
      <c r="F16" s="4" t="str">
        <v>Kenya</v>
      </c>
      <c r="G16" s="5">
        <v>3</v>
      </c>
      <c r="H16" s="5">
        <v>0</v>
      </c>
      <c r="I16" s="4" t="str">
        <v/>
      </c>
      <c r="J16" s="4">
        <v>8327</v>
      </c>
    </row>
    <row r="17" ht="25" customHeight="1">
      <c r="C17" s="9" t="str">
        <v>HLO budget subtotal</v>
      </c>
      <c r="H17" s="9">
        <v>570000</v>
      </c>
      <c r="J17" s="9" t="str">
        <v/>
      </c>
    </row>
  </sheetData>
  <mergeCells count="12">
    <mergeCell ref="A1:A2"/>
    <mergeCell ref="B1:B2"/>
    <mergeCell ref="C1:C2"/>
    <mergeCell ref="D1:H1"/>
    <mergeCell ref="I1:I2"/>
    <mergeCell ref="J1:J2"/>
    <mergeCell ref="C4:G4"/>
    <mergeCell ref="A3:A4"/>
    <mergeCell ref="C5:C6"/>
    <mergeCell ref="C7:C16"/>
    <mergeCell ref="C17:G17"/>
    <mergeCell ref="A5:A17"/>
  </mergeCells>
  <ignoredErrors>
    <ignoredError numberStoredAsText="1" sqref="A1:J17"/>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AOW03: Urban Food Systems</v>
      </c>
      <c r="B2" s="4" t="str">
        <v>The World Vegetable Center</v>
      </c>
      <c r="C2" s="4" t="str">
        <v>IITA</v>
      </c>
      <c r="D2" s="4" t="str">
        <v>Taiwan (Province of China)</v>
      </c>
      <c r="E2" s="5">
        <v>100000</v>
      </c>
      <c r="F2" s="4" t="str">
        <v>pARTNER WILL SUPPORT DELIVERABLES</v>
      </c>
      <c r="G2" s="4">
        <v>84</v>
      </c>
    </row>
    <row r="3" ht="50" customHeight="1">
      <c r="A3" s="4" t="str">
        <v>AOW03: Urban Food Systems</v>
      </c>
      <c r="B3" s="4" t="str">
        <v>Unknown Partner 1</v>
      </c>
      <c r="C3" s="4" t="str">
        <v>IITA</v>
      </c>
      <c r="D3" s="4" t="str">
        <v>Kenya</v>
      </c>
      <c r="E3" s="5">
        <v>15000</v>
      </c>
      <c r="F3" s="4" t="str">
        <v>TBC</v>
      </c>
      <c r="G3" s="4">
        <v>142</v>
      </c>
    </row>
    <row r="4" ht="50" customHeight="1">
      <c r="A4" s="4" t="str">
        <v>AOW03: Urban Food Systems</v>
      </c>
      <c r="B4" s="4" t="str">
        <v>Unknown Partner 2</v>
      </c>
      <c r="C4" s="4" t="str">
        <v>IITA</v>
      </c>
      <c r="D4" s="4" t="str">
        <v>Kenya</v>
      </c>
      <c r="E4" s="5">
        <v>60000</v>
      </c>
      <c r="F4" s="4" t="str">
        <v xml:space="preserve">ICIPE - Partner will be contracted to support deliverables </v>
      </c>
      <c r="G4" s="4">
        <v>260</v>
      </c>
    </row>
    <row r="5" ht="25" customHeight="1">
      <c r="B5" s="9" t="str">
        <v>Contracted partners subtotal</v>
      </c>
      <c r="E5" s="9">
        <v>175000</v>
      </c>
      <c r="F5" s="9" t="str">
        <v/>
      </c>
      <c r="G5" s="9" t="str">
        <v/>
      </c>
    </row>
  </sheetData>
  <mergeCells count="2">
    <mergeCell ref="B5:D5"/>
    <mergeCell ref="A2: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T-PJ-003812-ETH/IITA - CITY REGIONS FOOD SYSTEMS, RUNRES (TH</v>
      </c>
      <c r="C2" s="4" t="str">
        <v>3.2.2 Circular bioeconomy</v>
      </c>
      <c r="D2" s="5">
        <v>2047797</v>
      </c>
      <c r="E2" s="4" t="str">
        <v>TBC</v>
      </c>
      <c r="F2" s="4">
        <v>1254</v>
      </c>
    </row>
    <row r="3" ht="25" customHeight="1">
      <c r="B3" s="9" t="str">
        <v>W3/Bilateral budget subtotal</v>
      </c>
      <c r="D3" s="9">
        <v>2047797</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20000</v>
      </c>
      <c r="D2" s="5">
        <v>0</v>
      </c>
      <c r="E2" s="5">
        <v>359712</v>
      </c>
      <c r="F2" s="5">
        <v>0</v>
      </c>
      <c r="G2" s="5">
        <f>=SUM(B2:F2)</f>
        <v>0</v>
      </c>
    </row>
    <row r="3" ht="20" customHeight="1">
      <c r="A3" s="4" t="str">
        <v>Operations (supplies, consultants, travels, workshops, other)</v>
      </c>
      <c r="B3" s="5">
        <v>0</v>
      </c>
      <c r="C3" s="5">
        <v>0</v>
      </c>
      <c r="D3" s="5">
        <v>0</v>
      </c>
      <c r="E3" s="5">
        <v>35288</v>
      </c>
      <c r="F3" s="5">
        <v>0</v>
      </c>
      <c r="G3" s="5">
        <f>=SUM(B3:F3)</f>
        <v>0</v>
      </c>
    </row>
    <row r="4" ht="20" customHeight="1">
      <c r="A4" s="4" t="str">
        <v>Collaborators non-CGIAR centers</v>
      </c>
      <c r="B4" s="5">
        <v>0</v>
      </c>
      <c r="C4" s="5">
        <v>0</v>
      </c>
      <c r="D4" s="5">
        <v>0</v>
      </c>
      <c r="E4" s="5">
        <v>175000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Future Food Systems Lab</v>
      </c>
      <c r="B2" s="4" t="str">
        <v>IITA</v>
      </c>
      <c r="C2" s="4" t="str">
        <v>Nigeria</v>
      </c>
      <c r="D2" s="5">
        <v>100</v>
      </c>
      <c r="E2" s="4">
        <v>952</v>
      </c>
    </row>
    <row r="3" ht="45" customHeight="1">
      <c r="A3" s="8" t="str">
        <v>AOW03: Urban Food Systems</v>
      </c>
      <c r="B3" s="4" t="str">
        <v>IITA</v>
      </c>
      <c r="C3" s="4" t="str">
        <v>Kenya</v>
      </c>
      <c r="D3" s="5">
        <v>50</v>
      </c>
      <c r="E3" s="4">
        <v>1000</v>
      </c>
    </row>
    <row r="4" ht="45" customHeight="1">
      <c r="A4" s="4" t="str">
        <v>AOW03: Urban Food Systems</v>
      </c>
      <c r="B4" s="4" t="str">
        <v>IITA</v>
      </c>
      <c r="C4" s="4" t="str">
        <v>Peru</v>
      </c>
      <c r="D4" s="5">
        <v>20</v>
      </c>
      <c r="E4" s="4">
        <v>1002</v>
      </c>
    </row>
    <row r="5" ht="45" customHeight="1">
      <c r="A5" s="4" t="str">
        <v>AOW03: Urban Food Systems</v>
      </c>
      <c r="B5" s="4" t="str">
        <v>IITA</v>
      </c>
      <c r="C5" s="4" t="str">
        <v>Tanzania</v>
      </c>
      <c r="D5" s="5">
        <v>30</v>
      </c>
      <c r="E5" s="4">
        <v>1003</v>
      </c>
    </row>
  </sheetData>
  <mergeCells count="2">
    <mergeCell ref="A2"/>
    <mergeCell ref="A3:A5"/>
  </mergeCells>
  <ignoredErrors>
    <ignoredError numberStoredAsText="1" sqref="A1:E5"/>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Future Food Systems Lab</v>
      </c>
      <c r="B2" s="4" t="str">
        <v>IITA</v>
      </c>
      <c r="C2" s="4" t="str">
        <v>Global</v>
      </c>
      <c r="D2" s="4" t="str">
        <v>global</v>
      </c>
      <c r="E2" s="5">
        <v>100</v>
      </c>
      <c r="F2" s="4">
        <v>271</v>
      </c>
    </row>
    <row r="3" ht="45" customHeight="1">
      <c r="A3" s="8" t="str">
        <v>AOW03: Urban Food Systems</v>
      </c>
      <c r="B3" s="4" t="str">
        <v>IITA</v>
      </c>
      <c r="C3" s="4" t="str">
        <v>Global</v>
      </c>
      <c r="D3" s="4" t="str">
        <v>global</v>
      </c>
      <c r="E3" s="5">
        <v>100</v>
      </c>
      <c r="F3" s="4">
        <v>301</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