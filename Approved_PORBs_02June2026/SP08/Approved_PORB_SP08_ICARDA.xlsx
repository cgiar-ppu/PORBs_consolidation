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230</v>
      </c>
    </row>
    <row r="5" ht="20" customHeight="1">
      <c r="A5" s="4" t="str">
        <v>AOW01: Future Food Systems Lab</v>
      </c>
      <c r="B5" s="5">
        <v>0</v>
      </c>
      <c r="C5" s="5">
        <v>0</v>
      </c>
      <c r="D5" s="5">
        <v>1</v>
      </c>
      <c r="E5" s="5">
        <v>20000</v>
      </c>
      <c r="F5" s="5">
        <v>0</v>
      </c>
      <c r="G5" s="5">
        <v>0</v>
      </c>
      <c r="H5" s="5">
        <v>0</v>
      </c>
      <c r="I5" s="5">
        <v>0</v>
      </c>
      <c r="J5" s="5">
        <v>20000</v>
      </c>
      <c r="K5" s="5">
        <v>20000</v>
      </c>
      <c r="L5" s="5">
        <v>0</v>
      </c>
      <c r="M5" s="5">
        <v>0</v>
      </c>
      <c r="N5" s="4">
        <v>226</v>
      </c>
    </row>
    <row r="6" ht="20" customHeight="1">
      <c r="A6" s="4" t="str">
        <v>AOW02: Fragile and Conflict-affected Food Systems</v>
      </c>
      <c r="B6" s="5">
        <v>0</v>
      </c>
      <c r="C6" s="5">
        <v>0</v>
      </c>
      <c r="D6" s="5">
        <v>0</v>
      </c>
      <c r="E6" s="5">
        <v>0</v>
      </c>
      <c r="F6" s="5">
        <v>0</v>
      </c>
      <c r="G6" s="5">
        <v>0</v>
      </c>
      <c r="H6" s="5">
        <v>0</v>
      </c>
      <c r="I6" s="5">
        <v>0</v>
      </c>
      <c r="J6" s="5">
        <v>0</v>
      </c>
      <c r="K6" s="5">
        <v>0</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0</v>
      </c>
      <c r="D9" s="7" t="str">
        <v/>
      </c>
      <c r="E9" s="7">
        <v>20000</v>
      </c>
      <c r="F9" s="7" t="str">
        <v/>
      </c>
      <c r="G9" s="7">
        <v>0</v>
      </c>
      <c r="H9" s="7" t="str">
        <v/>
      </c>
      <c r="I9" s="7">
        <v>0</v>
      </c>
      <c r="J9" s="7">
        <v>20000</v>
      </c>
      <c r="K9" s="7">
        <v>20000</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ICARDA</v>
      </c>
      <c r="C3" s="4" t="str">
        <v>1.1.1 Envisioning Food System Futures</v>
      </c>
      <c r="D3" s="4" t="str">
        <v>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v>
      </c>
      <c r="E3" s="4" t="str">
        <v>Number of knowledge products</v>
      </c>
      <c r="F3" s="4" t="str">
        <v>Jamaica, Papua New Guinea, The Republic of the Sudan, Kenya, Peru, Somalia, Philippines, Burkina Faso, Solomon Islands, Jordan, Ghana, Mali, Bangladesh, Ethiopia, Nigeria, Yemen, Timor-Leste, Mozambique, Pakistan</v>
      </c>
      <c r="G3" s="5">
        <v>1</v>
      </c>
      <c r="H3" s="5">
        <v>20000</v>
      </c>
      <c r="I3" s="4" t="str">
        <v>Staff time to identify, document, and write case studies from CGIAR's FCAS work and compile, edit, and publish the final knowledge product with actionable evidence for the FCAS Operational Strategy.</v>
      </c>
      <c r="J3" s="4">
        <v>7722</v>
      </c>
    </row>
    <row r="4" ht="25" customHeight="1">
      <c r="C4" s="9" t="str">
        <v>HLO budget subtotal</v>
      </c>
      <c r="H4" s="9">
        <v>20000</v>
      </c>
      <c r="J4" s="9" t="str">
        <v/>
      </c>
    </row>
    <row r="5" ht="50" customHeight="1">
      <c r="A5" s="8" t="str">
        <v>AOW02: Fragile and Conflict-affected Food Systems</v>
      </c>
      <c r="B5" s="4" t="str">
        <v>ICARDA</v>
      </c>
      <c r="C5" s="4" t="str">
        <v>2.3.3 Recover</v>
      </c>
      <c r="D5" s="4" t="str">
        <v>AW2P11-Fragile and Conflict-affected Food Systems: KPI-Develop and disseminate 1 national-scale assessment report and decision-support dataset on water and land resources in Syria, providing evidence on water availability, scarcity trends, rainwater harvesting potential, and land degradation hotspots to inform investment prioritization and rehabilitation planning.</v>
      </c>
      <c r="E5" s="4" t="str">
        <v>Number of knowledge products</v>
      </c>
      <c r="F5" s="4" t="str">
        <v>Syrian Arab Republic</v>
      </c>
      <c r="G5" s="5">
        <v>3</v>
      </c>
      <c r="H5" s="5">
        <v>0</v>
      </c>
      <c r="I5" s="4" t="str">
        <v/>
      </c>
      <c r="J5" s="4">
        <v>8343</v>
      </c>
    </row>
    <row r="6" ht="50" customHeight="1">
      <c r="B6" s="4" t="str">
        <v>ICARDA</v>
      </c>
      <c r="D6" s="4" t="str">
        <v>AW2P11 Fragile and Conflict-affected Food Systems: KPI- Conduct at least 3 capacity development events reaching a minimum of 100 Syrian farmers, government representatives, and development partners to strengthen understanding and application of modelling scenarios, suitability maps, and research outputs for agricultural recovery and planning</v>
      </c>
      <c r="E6" s="4" t="str">
        <v>Number of people trained (capacity sharing for development)</v>
      </c>
      <c r="F6" s="4" t="str">
        <v>Syrian Arab Republic</v>
      </c>
      <c r="G6" s="5">
        <v>125</v>
      </c>
      <c r="H6" s="5">
        <v>0</v>
      </c>
      <c r="I6" s="4" t="str">
        <v/>
      </c>
      <c r="J6" s="4">
        <v>8346</v>
      </c>
    </row>
    <row r="7" ht="25" customHeight="1">
      <c r="C7" s="9" t="str">
        <v>HLO budget subtotal</v>
      </c>
      <c r="H7" s="9">
        <v>0</v>
      </c>
      <c r="J7" s="9" t="str">
        <v/>
      </c>
    </row>
  </sheetData>
  <mergeCells count="11">
    <mergeCell ref="A1:A2"/>
    <mergeCell ref="B1:B2"/>
    <mergeCell ref="C1:C2"/>
    <mergeCell ref="D1:H1"/>
    <mergeCell ref="I1:I2"/>
    <mergeCell ref="J1:J2"/>
    <mergeCell ref="C4:G4"/>
    <mergeCell ref="A3:A4"/>
    <mergeCell ref="C5:C6"/>
    <mergeCell ref="C7:G7"/>
    <mergeCell ref="A5:A7"/>
  </mergeCells>
  <ignoredErrors>
    <ignoredError numberStoredAsText="1" sqref="A1:J7"/>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20000</v>
      </c>
      <c r="D2" s="5">
        <v>0</v>
      </c>
      <c r="E2" s="5">
        <v>0</v>
      </c>
      <c r="F2" s="5">
        <v>0</v>
      </c>
      <c r="G2" s="5">
        <f>=SUM(B2:F2)</f>
        <v>0</v>
      </c>
    </row>
    <row r="3" ht="20" customHeight="1">
      <c r="A3" s="6" t="str">
        <v>Subtotal</v>
      </c>
      <c r="B3" s="7">
        <f>=SUM(B2:B2)</f>
        <v>0</v>
      </c>
      <c r="C3" s="7">
        <f>=SUM(C2:C2)</f>
        <v>0</v>
      </c>
      <c r="D3" s="7">
        <f>=SUM(D2:D2)</f>
        <v>0</v>
      </c>
      <c r="E3" s="7">
        <f>=SUM(E2:E2)</f>
        <v>0</v>
      </c>
      <c r="F3" s="7">
        <f>=SUM(F2:F2)</f>
        <v>0</v>
      </c>
      <c r="G3" s="7">
        <f>=SUM(G2:G2)</f>
        <v>0</v>
      </c>
    </row>
  </sheetData>
  <ignoredErrors>
    <ignoredError numberStoredAsText="1" sqref="A1:G3"/>
  </ignoredErrors>
</worksheet>
</file>

<file path=xl/worksheets/sheet8.xml><?xml version="1.0" encoding="utf-8"?>
<worksheet xmlns="http://schemas.openxmlformats.org/spreadsheetml/2006/main" xmlns:r="http://schemas.openxmlformats.org/officeDocument/2006/relationships">
  <dimension ref="A1:E2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Future Food Systems Lab</v>
      </c>
      <c r="B2" s="4" t="str">
        <v>ICARDA</v>
      </c>
      <c r="C2" s="4" t="str">
        <v>Bangladesh</v>
      </c>
      <c r="D2" s="5">
        <v>5.26</v>
      </c>
      <c r="E2" s="4">
        <v>2577</v>
      </c>
    </row>
    <row r="3" ht="45" customHeight="1">
      <c r="A3" s="4" t="str">
        <v>AOW01: Future Food Systems Lab</v>
      </c>
      <c r="B3" s="4" t="str">
        <v>ICARDA</v>
      </c>
      <c r="C3" s="4" t="str">
        <v>Burkina Faso</v>
      </c>
      <c r="D3" s="5">
        <v>5.26</v>
      </c>
      <c r="E3" s="4">
        <v>2583</v>
      </c>
    </row>
    <row r="4" ht="45" customHeight="1">
      <c r="A4" s="4" t="str">
        <v>AOW01: Future Food Systems Lab</v>
      </c>
      <c r="B4" s="4" t="str">
        <v>ICARDA</v>
      </c>
      <c r="C4" s="4" t="str">
        <v>Ethiopia</v>
      </c>
      <c r="D4" s="5">
        <v>5.26</v>
      </c>
      <c r="E4" s="4">
        <v>2575</v>
      </c>
    </row>
    <row r="5" ht="45" customHeight="1">
      <c r="A5" s="4" t="str">
        <v>AOW01: Future Food Systems Lab</v>
      </c>
      <c r="B5" s="4" t="str">
        <v>ICARDA</v>
      </c>
      <c r="C5" s="4" t="str">
        <v>Ghana</v>
      </c>
      <c r="D5" s="5">
        <v>5.26</v>
      </c>
      <c r="E5" s="4">
        <v>2579</v>
      </c>
    </row>
    <row r="6" ht="45" customHeight="1">
      <c r="A6" s="4" t="str">
        <v>AOW01: Future Food Systems Lab</v>
      </c>
      <c r="B6" s="4" t="str">
        <v>ICARDA</v>
      </c>
      <c r="C6" s="4" t="str">
        <v>Jamaica</v>
      </c>
      <c r="D6" s="5">
        <v>5.26</v>
      </c>
      <c r="E6" s="4">
        <v>2592</v>
      </c>
    </row>
    <row r="7" ht="45" customHeight="1">
      <c r="A7" s="4" t="str">
        <v>AOW01: Future Food Systems Lab</v>
      </c>
      <c r="B7" s="4" t="str">
        <v>ICARDA</v>
      </c>
      <c r="C7" s="4" t="str">
        <v>Jordan</v>
      </c>
      <c r="D7" s="5">
        <v>5.29</v>
      </c>
      <c r="E7" s="4">
        <v>2586</v>
      </c>
    </row>
    <row r="8" ht="45" customHeight="1">
      <c r="A8" s="4" t="str">
        <v>AOW01: Future Food Systems Lab</v>
      </c>
      <c r="B8" s="4" t="str">
        <v>ICARDA</v>
      </c>
      <c r="C8" s="4" t="str">
        <v>Kenya</v>
      </c>
      <c r="D8" s="5">
        <v>5.26</v>
      </c>
      <c r="E8" s="4">
        <v>2576</v>
      </c>
    </row>
    <row r="9" ht="45" customHeight="1">
      <c r="A9" s="4" t="str">
        <v>AOW01: Future Food Systems Lab</v>
      </c>
      <c r="B9" s="4" t="str">
        <v>ICARDA</v>
      </c>
      <c r="C9" s="4" t="str">
        <v>Mali</v>
      </c>
      <c r="D9" s="5">
        <v>5.26</v>
      </c>
      <c r="E9" s="4">
        <v>2582</v>
      </c>
    </row>
    <row r="10" ht="45" customHeight="1">
      <c r="A10" s="4" t="str">
        <v>AOW01: Future Food Systems Lab</v>
      </c>
      <c r="B10" s="4" t="str">
        <v>ICARDA</v>
      </c>
      <c r="C10" s="4" t="str">
        <v>Mozambique</v>
      </c>
      <c r="D10" s="5">
        <v>5.26</v>
      </c>
      <c r="E10" s="4">
        <v>2584</v>
      </c>
    </row>
    <row r="11" ht="45" customHeight="1">
      <c r="A11" s="4" t="str">
        <v>AOW01: Future Food Systems Lab</v>
      </c>
      <c r="B11" s="4" t="str">
        <v>ICARDA</v>
      </c>
      <c r="C11" s="4" t="str">
        <v>Nigeria</v>
      </c>
      <c r="D11" s="5">
        <v>5.26</v>
      </c>
      <c r="E11" s="4">
        <v>2578</v>
      </c>
    </row>
    <row r="12" ht="45" customHeight="1">
      <c r="A12" s="4" t="str">
        <v>AOW01: Future Food Systems Lab</v>
      </c>
      <c r="B12" s="4" t="str">
        <v>ICARDA</v>
      </c>
      <c r="C12" s="4" t="str">
        <v>Pakistan</v>
      </c>
      <c r="D12" s="5">
        <v>5.26</v>
      </c>
      <c r="E12" s="4">
        <v>2581</v>
      </c>
    </row>
    <row r="13" ht="45" customHeight="1">
      <c r="A13" s="4" t="str">
        <v>AOW01: Future Food Systems Lab</v>
      </c>
      <c r="B13" s="4" t="str">
        <v>ICARDA</v>
      </c>
      <c r="C13" s="4" t="str">
        <v>Papua New Guinea</v>
      </c>
      <c r="D13" s="5">
        <v>5.26</v>
      </c>
      <c r="E13" s="4">
        <v>2585</v>
      </c>
    </row>
    <row r="14" ht="45" customHeight="1">
      <c r="A14" s="4" t="str">
        <v>AOW01: Future Food Systems Lab</v>
      </c>
      <c r="B14" s="4" t="str">
        <v>ICARDA</v>
      </c>
      <c r="C14" s="4" t="str">
        <v>Peru</v>
      </c>
      <c r="D14" s="5">
        <v>5.26</v>
      </c>
      <c r="E14" s="4">
        <v>2574</v>
      </c>
    </row>
    <row r="15" ht="45" customHeight="1">
      <c r="A15" s="4" t="str">
        <v>AOW01: Future Food Systems Lab</v>
      </c>
      <c r="B15" s="4" t="str">
        <v>ICARDA</v>
      </c>
      <c r="C15" s="4" t="str">
        <v>Philippines</v>
      </c>
      <c r="D15" s="5">
        <v>5.26</v>
      </c>
      <c r="E15" s="4">
        <v>2580</v>
      </c>
    </row>
    <row r="16" ht="45" customHeight="1">
      <c r="A16" s="4" t="str">
        <v>AOW01: Future Food Systems Lab</v>
      </c>
      <c r="B16" s="4" t="str">
        <v>ICARDA</v>
      </c>
      <c r="C16" s="4" t="str">
        <v>Solomon Islands</v>
      </c>
      <c r="D16" s="5">
        <v>5.26</v>
      </c>
      <c r="E16" s="4">
        <v>2587</v>
      </c>
    </row>
    <row r="17" ht="45" customHeight="1">
      <c r="A17" s="4" t="str">
        <v>AOW01: Future Food Systems Lab</v>
      </c>
      <c r="B17" s="4" t="str">
        <v>ICARDA</v>
      </c>
      <c r="C17" s="4" t="str">
        <v>Somalia</v>
      </c>
      <c r="D17" s="5">
        <v>5.26</v>
      </c>
      <c r="E17" s="4">
        <v>2588</v>
      </c>
    </row>
    <row r="18" ht="45" customHeight="1">
      <c r="A18" s="4" t="str">
        <v>AOW01: Future Food Systems Lab</v>
      </c>
      <c r="B18" s="4" t="str">
        <v>ICARDA</v>
      </c>
      <c r="C18" s="4" t="str">
        <v>The Republic of the Sudan</v>
      </c>
      <c r="D18" s="5">
        <v>5.26</v>
      </c>
      <c r="E18" s="4">
        <v>2589</v>
      </c>
    </row>
    <row r="19" ht="45" customHeight="1">
      <c r="A19" s="4" t="str">
        <v>AOW01: Future Food Systems Lab</v>
      </c>
      <c r="B19" s="4" t="str">
        <v>ICARDA</v>
      </c>
      <c r="C19" s="4" t="str">
        <v>Timor-Leste</v>
      </c>
      <c r="D19" s="5">
        <v>5.27</v>
      </c>
      <c r="E19" s="4">
        <v>2590</v>
      </c>
    </row>
    <row r="20" ht="45" customHeight="1">
      <c r="A20" s="4" t="str">
        <v>AOW01: Future Food Systems Lab</v>
      </c>
      <c r="B20" s="4" t="str">
        <v>ICARDA</v>
      </c>
      <c r="C20" s="4" t="str">
        <v>Yemen</v>
      </c>
      <c r="D20" s="5">
        <v>5.28</v>
      </c>
      <c r="E20" s="4">
        <v>2591</v>
      </c>
    </row>
  </sheetData>
  <mergeCells count="1">
    <mergeCell ref="A2:A20"/>
  </mergeCells>
  <ignoredErrors>
    <ignoredError numberStoredAsText="1" sqref="A1:E20"/>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Future Food Systems Lab</v>
      </c>
      <c r="B2" s="4" t="str">
        <v>ICARDA</v>
      </c>
      <c r="C2" s="4" t="str">
        <v>Global</v>
      </c>
      <c r="D2" s="4" t="str">
        <v>global</v>
      </c>
      <c r="E2" s="5">
        <v>100</v>
      </c>
      <c r="F2" s="4">
        <v>270</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