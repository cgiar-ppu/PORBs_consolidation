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309303</v>
      </c>
      <c r="K4" s="5">
        <v>309303</v>
      </c>
      <c r="L4" s="5">
        <v>0</v>
      </c>
      <c r="M4" s="5">
        <v>0</v>
      </c>
      <c r="N4" s="4">
        <v>230</v>
      </c>
    </row>
    <row r="5" ht="20" customHeight="1">
      <c r="A5" s="4" t="str">
        <v>AOW01: Future Food Systems Lab</v>
      </c>
      <c r="B5" s="5">
        <v>0</v>
      </c>
      <c r="C5" s="5">
        <v>0</v>
      </c>
      <c r="D5" s="5">
        <v>7</v>
      </c>
      <c r="E5" s="5">
        <v>281674</v>
      </c>
      <c r="F5" s="5">
        <v>1410</v>
      </c>
      <c r="G5" s="5">
        <v>397086</v>
      </c>
      <c r="H5" s="5">
        <v>0</v>
      </c>
      <c r="I5" s="5">
        <v>0</v>
      </c>
      <c r="J5" s="5">
        <v>678760</v>
      </c>
      <c r="K5" s="5">
        <v>678760</v>
      </c>
      <c r="L5" s="5">
        <v>0</v>
      </c>
      <c r="M5" s="5">
        <v>0</v>
      </c>
      <c r="N5" s="4">
        <v>226</v>
      </c>
    </row>
    <row r="6" ht="20" customHeight="1">
      <c r="A6" s="4" t="str">
        <v>AOW02: Fragile and Conflict-affected Food Systems</v>
      </c>
      <c r="B6" s="5">
        <v>8</v>
      </c>
      <c r="C6" s="5">
        <v>320673</v>
      </c>
      <c r="D6" s="5">
        <v>15</v>
      </c>
      <c r="E6" s="5">
        <v>628191</v>
      </c>
      <c r="F6" s="5">
        <v>680</v>
      </c>
      <c r="G6" s="5">
        <v>273030</v>
      </c>
      <c r="H6" s="5">
        <v>0</v>
      </c>
      <c r="I6" s="5">
        <v>0</v>
      </c>
      <c r="J6" s="5">
        <v>1221894</v>
      </c>
      <c r="K6" s="5">
        <v>1221894</v>
      </c>
      <c r="L6" s="5">
        <v>265000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2</v>
      </c>
      <c r="C8" s="5">
        <v>132990</v>
      </c>
      <c r="D8" s="5">
        <v>2</v>
      </c>
      <c r="E8" s="5">
        <v>101530</v>
      </c>
      <c r="F8" s="5">
        <v>0</v>
      </c>
      <c r="G8" s="5">
        <v>0</v>
      </c>
      <c r="H8" s="5">
        <v>0</v>
      </c>
      <c r="I8" s="5">
        <v>0</v>
      </c>
      <c r="J8" s="5">
        <v>234520</v>
      </c>
      <c r="K8" s="5">
        <v>234520</v>
      </c>
      <c r="L8" s="5">
        <v>0</v>
      </c>
      <c r="M8" s="5">
        <v>0</v>
      </c>
      <c r="N8" s="4">
        <v>229</v>
      </c>
    </row>
    <row r="9" ht="25" customHeight="1">
      <c r="A9" s="6" t="str">
        <v>Total</v>
      </c>
      <c r="B9" s="7" t="str">
        <v/>
      </c>
      <c r="C9" s="7">
        <v>453663</v>
      </c>
      <c r="D9" s="7" t="str">
        <v/>
      </c>
      <c r="E9" s="7">
        <v>1011395</v>
      </c>
      <c r="F9" s="7" t="str">
        <v/>
      </c>
      <c r="G9" s="7">
        <v>670116</v>
      </c>
      <c r="H9" s="7" t="str">
        <v/>
      </c>
      <c r="I9" s="7">
        <v>0</v>
      </c>
      <c r="J9" s="7">
        <v>2444477</v>
      </c>
      <c r="K9" s="7">
        <v>2444477</v>
      </c>
      <c r="L9" s="7">
        <v>265000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IWMI</v>
      </c>
      <c r="C3" s="4" t="str">
        <v>1.1.1 Envisioning Food System Futures</v>
      </c>
      <c r="D3" s="4" t="str">
        <v>AW1P5: CIRCLAB (Circularity Innovation Lab)- Critical Capability_IWMI: Analytical Toolkit and CIRCLAB (Circularity Innovation Lab) Roadmap for integrating CBE solutions into adaptation and investment strategies across food, land, and water systems in frontier food systems.</v>
      </c>
      <c r="E3" s="4" t="str">
        <v>Number of knowledge products</v>
      </c>
      <c r="F3" s="4" t="str">
        <v>Ghana, Solomon Islands, Ethiopia</v>
      </c>
      <c r="G3" s="5">
        <v>2</v>
      </c>
      <c r="H3" s="5">
        <v>119674</v>
      </c>
      <c r="I3" s="4" t="str">
        <v>Budget will support development of KP's through Strong engagement strategy and alignment with national agendas</v>
      </c>
      <c r="J3" s="4">
        <v>6860</v>
      </c>
    </row>
    <row r="4" ht="50" customHeight="1">
      <c r="B4" s="4" t="str">
        <v>IWMI</v>
      </c>
      <c r="D4" s="4" t="str">
        <v>Assessment report outlining results of envisioning needs in frontiers geographies</v>
      </c>
      <c r="E4" s="4" t="str">
        <v>Number of knowledge products</v>
      </c>
      <c r="F4" s="4" t="str">
        <v>Ghana, Solomon Islands</v>
      </c>
      <c r="G4" s="5">
        <v>1</v>
      </c>
      <c r="H4" s="5">
        <v>0</v>
      </c>
      <c r="I4" s="4" t="str">
        <v/>
      </c>
      <c r="J4" s="4">
        <v>7413</v>
      </c>
    </row>
    <row r="5" ht="50" customHeight="1">
      <c r="B5" s="4" t="str">
        <v>IWMI</v>
      </c>
      <c r="D5" s="4" t="str">
        <v>Number of people and organizations participating in the food system envisioning process</v>
      </c>
      <c r="E5" s="4" t="str">
        <v>Number of people trained (capacity sharing for development)</v>
      </c>
      <c r="F5" s="4" t="str">
        <v>Solomon Islands, Ghana</v>
      </c>
      <c r="G5" s="5">
        <v>100</v>
      </c>
      <c r="H5" s="5">
        <v>0</v>
      </c>
      <c r="I5" s="4" t="str">
        <v/>
      </c>
      <c r="J5" s="4">
        <v>7417</v>
      </c>
    </row>
    <row r="6" ht="50" customHeight="1">
      <c r="B6" s="4" t="str">
        <v>IWMI</v>
      </c>
      <c r="D6" s="4" t="str">
        <v>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v>
      </c>
      <c r="E6" s="4" t="str">
        <v>Number of knowledge products</v>
      </c>
      <c r="F6" s="4" t="str">
        <v>Timor-Leste, Ghana</v>
      </c>
      <c r="G6" s="5">
        <v>1</v>
      </c>
      <c r="H6" s="5">
        <v>57000</v>
      </c>
      <c r="I6" s="4" t="str">
        <v>Costing covers staff time to assess where envisioning workshops add the most value in Timor-Leste and Ghana, plus operational budget for travel, stakeholder meetings, and producing the final assessment report.</v>
      </c>
      <c r="J6" s="4">
        <v>7693</v>
      </c>
    </row>
    <row r="7" ht="50" customHeight="1" xml:space="preserve">
      <c r="B7" s="4" t="str">
        <v>IWMI</v>
      </c>
      <c r="D7" s="4" t="str">
        <v>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v>
      </c>
      <c r="E7" s="4" t="str">
        <v>Number of people trained (capacity sharing for development)</v>
      </c>
      <c r="F7" s="4" t="str">
        <v>Ghana, Timor-Leste</v>
      </c>
      <c r="G7" s="5">
        <v>100</v>
      </c>
      <c r="H7" s="5">
        <v>98000</v>
      </c>
      <c r="I7" s="4" t="str" xml:space="preserve">
        <v xml:space="preserve">Costing covers staff time to plan and run participatory workshops in Ghana and Timor-Leste, plus operational budget for venue, travel, materials, and food for trainees, to train people in foresight methods and create future scenarios.
</v>
      </c>
      <c r="J7" s="4">
        <v>7694</v>
      </c>
    </row>
    <row r="8" ht="50" customHeight="1" xml:space="preserve">
      <c r="B8" s="4" t="str">
        <v>IWMI</v>
      </c>
      <c r="D8" s="4" t="str">
        <v>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v>
      </c>
      <c r="E8" s="4" t="str">
        <v>Number of knowledge products</v>
      </c>
      <c r="F8" s="4" t="str">
        <v>Papua New Guinea, Jordan, Ghana, Nigeria, Mali, Bangladesh, Kenya, Solomon Islands, Peru, Jamaica, Timor-Leste, Ethiopia, Mozambique, Philippines, Yemen, The Republic of the Sudan, Burkina Faso, Pakistan</v>
      </c>
      <c r="G8" s="5">
        <v>1</v>
      </c>
      <c r="H8" s="5">
        <v>35000</v>
      </c>
      <c r="I8" s="4" t="str" xml:space="preserve">
        <v xml:space="preserve">Costing covers staff time to co-develop and write the FCAS Operational Strategy with partners across 18 countries, plus operational budget for consultations, workshops, and producing the final knowledge product.
</v>
      </c>
      <c r="J8" s="4">
        <v>7709</v>
      </c>
    </row>
    <row r="9" ht="50" customHeight="1">
      <c r="B9" s="4" t="str">
        <v>IWMI</v>
      </c>
      <c r="D9"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9" s="4" t="str">
        <v>Number of knowledge products</v>
      </c>
      <c r="F9" s="4" t="str">
        <v>Somalia, Peru, Nigeria, Timor-Leste, Pakistan, The Republic of the Sudan, Philippines, Yemen, Kenya, Burkina Faso, Mozambique, Ethiopia, Jordan, Mali, Bangladesh, Solomon Islands, Ghana, Papua New Guinea, Jamaica</v>
      </c>
      <c r="G9" s="5">
        <v>1</v>
      </c>
      <c r="H9" s="5">
        <v>20000</v>
      </c>
      <c r="I9" s="4" t="str">
        <v>Costing covers staff time to co-develop and write the FCAS Operational Strategy with partners across 19 countries (including Somalia), plus operational budget for consultations, workshops, and producing the final knowledge product.</v>
      </c>
      <c r="J9" s="4">
        <v>7712</v>
      </c>
    </row>
    <row r="10" ht="50" customHeight="1">
      <c r="A10" s="4" t="str">
        <v>AOW01: Future Food Systems Lab</v>
      </c>
      <c r="B10" s="4" t="str">
        <v>IWMI</v>
      </c>
      <c r="C10" s="4" t="str">
        <v>1.2.2 Evidence Synthesis and Adaptive Learning</v>
      </c>
      <c r="D10" s="4" t="str">
        <v>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v>
      </c>
      <c r="E10" s="4" t="str">
        <v>Number of people trained (capacity sharing for development)</v>
      </c>
      <c r="F10" s="4" t="str">
        <v>Papua New Guinea, Yemen, The Republic of the Sudan, Jamaica, Jordan, Mozambique, Timor-Leste, Burkina Faso, Ghana, Kenya, Philippines, Bangladesh, Ethiopia, Solomon Islands, Peru, Nigeria, Somalia, Mali, Pakistan</v>
      </c>
      <c r="G10" s="5">
        <v>100</v>
      </c>
      <c r="H10" s="5">
        <v>50004</v>
      </c>
      <c r="I10" s="4" t="str">
        <v>Costing covers staff time to design, run, and host online sessions across all listed countries, plus operational budget for webinar platforms, facilitators, translation, and materials for peer-learning.</v>
      </c>
      <c r="J10" s="4">
        <v>6864</v>
      </c>
    </row>
    <row r="11" ht="50" customHeight="1">
      <c r="B11" s="4" t="str">
        <v>IWMI</v>
      </c>
      <c r="D11" s="4" t="str">
        <v>Number of people attending knowledge sharing events</v>
      </c>
      <c r="E11" s="4" t="str">
        <v>Number of people trained (capacity sharing for development)</v>
      </c>
      <c r="F11" s="4" t="str">
        <v>Mozambique, Pakistan, Yemen, Somalia, Papua New Guinea, Peru, Philippines, Bangladesh, Jamaica, Kenya, Solomon Islands, Jordan, Mali, The Republic of the Sudan, Ghana, Timor-Leste, Ethiopia, Burkina Faso, Nigeria</v>
      </c>
      <c r="G11" s="5">
        <v>500</v>
      </c>
      <c r="H11" s="5">
        <v>0</v>
      </c>
      <c r="I11" s="4" t="str">
        <v/>
      </c>
      <c r="J11" s="4">
        <v>7400</v>
      </c>
    </row>
    <row r="12" ht="50" customHeight="1">
      <c r="B12" s="4" t="str">
        <v>IWMI</v>
      </c>
      <c r="D12" s="4" t="str">
        <v>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v>
      </c>
      <c r="E12" s="4" t="str">
        <v>Number of people trained (capacity sharing for development)</v>
      </c>
      <c r="F12" s="4" t="str">
        <v>Solomon Islands, Timor-Leste, Bangladesh, Jamaica, Nigeria, Ghana, Yemen, Jordan, Ethiopia, Peru, The Republic of the Sudan, Papua New Guinea, Burkina Faso, Kenya, Pakistan, Mozambique, Mali, Philippines, Somalia</v>
      </c>
      <c r="G12" s="5">
        <v>500</v>
      </c>
      <c r="H12" s="5">
        <v>99082</v>
      </c>
      <c r="I12" s="4" t="str">
        <v>Costing covers training of 200 people across 19 countries and help them adopt evidence from AoW, plus operational budget for travel, training venues, materials, and follow-up support.</v>
      </c>
      <c r="J12" s="4">
        <v>7403</v>
      </c>
    </row>
    <row r="13" ht="50" customHeight="1">
      <c r="B13" s="4" t="str">
        <v>IWMI</v>
      </c>
      <c r="D13" s="4" t="str">
        <v>Number of knowledge products, strategic plans, and innovation/investment priorities co-designed and shared with stakeholders and partners</v>
      </c>
      <c r="E13" s="4" t="str">
        <v>Number of knowledge products</v>
      </c>
      <c r="F13" s="4" t="str">
        <v>Mali, Bangladesh, Papua New Guinea, Mozambique, Jordan, Pakistan, Burkina Faso, Nigeria, Yemen, The Republic of the Sudan, Kenya, Timor-Leste, Somalia, Solomon Islands, Jamaica, Philippines, Ghana, Peru</v>
      </c>
      <c r="G13" s="5">
        <v>2</v>
      </c>
      <c r="H13" s="5">
        <v>50000</v>
      </c>
      <c r="I13" s="4" t="str">
        <v>covers work with partners across 18 countries to co-design two knowledge products, strategic plans, and investment priorities, plus operational budget for workshops, travel, and sharing materials.</v>
      </c>
      <c r="J13" s="4">
        <v>7410</v>
      </c>
    </row>
    <row r="14" ht="50" customHeight="1">
      <c r="B14" s="4" t="str">
        <v>IWMI</v>
      </c>
      <c r="D14" s="4" t="str">
        <v>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v>
      </c>
      <c r="E14" s="4" t="str">
        <v>Number of people trained (capacity sharing for development)</v>
      </c>
      <c r="F14" s="4" t="str">
        <v>Jamaica, Burkina Faso, Bangladesh, Solomon Islands, Mozambique, Pakistan, Ghana, Philippines, Mali, Peru, Kenya, Ethiopia, The Republic of the Sudan, Papua New Guinea, Nigeria, Somalia, Jordan, Timor-Leste</v>
      </c>
      <c r="G14" s="5">
        <v>200</v>
      </c>
      <c r="H14" s="5">
        <v>0</v>
      </c>
      <c r="I14" s="4" t="str">
        <v/>
      </c>
      <c r="J14" s="4">
        <v>7684</v>
      </c>
    </row>
    <row r="15" ht="50" customHeight="1">
      <c r="B15" s="4" t="str">
        <v>IWMI</v>
      </c>
      <c r="D15" s="4" t="str">
        <v>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v>
      </c>
      <c r="E15" s="4" t="str">
        <v>Number of people trained (capacity sharing for development)</v>
      </c>
      <c r="F15" s="4" t="str">
        <v>Burkina Faso, Peru, Mali, Jamaica, Papua New Guinea, Nigeria, Ethiopia, Bangladesh, Ghana, Solomon Islands, Somalia, The Republic of the Sudan, Philippines, Jordan, Yemen, Timor-Leste, Pakistan, Mozambique</v>
      </c>
      <c r="G15" s="5">
        <v>100</v>
      </c>
      <c r="H15" s="5">
        <v>0</v>
      </c>
      <c r="I15" s="4" t="str">
        <v/>
      </c>
      <c r="J15" s="4">
        <v>7685</v>
      </c>
    </row>
    <row r="16" ht="50" customHeight="1">
      <c r="B16" s="4" t="str">
        <v>IWMI</v>
      </c>
      <c r="D16" s="4" t="str">
        <v>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v>
      </c>
      <c r="E16" s="4" t="str">
        <v>Number of people trained (capacity sharing for development)</v>
      </c>
      <c r="F16" s="4" t="str">
        <v>Mali, Timor-Leste, Yemen, Bangladesh, Jamaica, Jordan, Peru, Solomon Islands, Kenya, Ethiopia, Pakistan, Philippines, Papua New Guinea, Nigeria, Somalia, Mozambique, Ghana, Burkina Faso</v>
      </c>
      <c r="G16" s="5">
        <v>200</v>
      </c>
      <c r="H16" s="5">
        <v>0</v>
      </c>
      <c r="I16" s="4" t="str">
        <v/>
      </c>
      <c r="J16" s="4">
        <v>7687</v>
      </c>
    </row>
    <row r="17" ht="50" customHeight="1">
      <c r="B17" s="4" t="str">
        <v>IWMI</v>
      </c>
      <c r="D17" s="4" t="str">
        <v>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v>
      </c>
      <c r="E17" s="4" t="str">
        <v>Number of knowledge products</v>
      </c>
      <c r="F17" s="4" t="str">
        <v>Jordan, Jamaica, Bangladesh, Timor-Leste, Burkina Faso, Pakistan, Kenya, Ethiopia, Mali, Somalia, Philippines, Nigeria, Yemen, Ghana, Mozambique, Solomon Islands, Papua New Guinea, The Republic of the Sudan, Peru</v>
      </c>
      <c r="G17" s="5">
        <v>2</v>
      </c>
      <c r="H17" s="5">
        <v>0</v>
      </c>
      <c r="I17" s="4" t="str">
        <v/>
      </c>
      <c r="J17" s="4">
        <v>7692</v>
      </c>
    </row>
    <row r="18" ht="50" customHeight="1">
      <c r="B18" s="4" t="str">
        <v>IWMI</v>
      </c>
      <c r="D18" s="4" t="str">
        <v>AW1P5: BSF Scaling Pathways- KPI- Number of knowledge products, strategic plans, and innovation/investment priorities co-designed and shared with stakeholders and partners</v>
      </c>
      <c r="E18" s="4" t="str">
        <v>Number of knowledge products</v>
      </c>
      <c r="F18" s="4" t="str">
        <v>Kenya</v>
      </c>
      <c r="G18" s="5">
        <v>1</v>
      </c>
      <c r="H18" s="5">
        <v>0</v>
      </c>
      <c r="I18" s="4" t="str">
        <v/>
      </c>
      <c r="J18" s="4">
        <v>8340</v>
      </c>
    </row>
    <row r="19" ht="50" customHeight="1">
      <c r="B19" s="4" t="str">
        <v>IWMI</v>
      </c>
      <c r="D19" s="4" t="str">
        <v>AW1P5: BSF Scaling Pathways- KPI- Number of knowledge products, strategic plans, and innovation/investment priorities co-designed and shared with stakeholders and partners</v>
      </c>
      <c r="E19" s="4" t="str">
        <v>Number of knowledge products</v>
      </c>
      <c r="F19" s="4" t="str">
        <v>Kenya</v>
      </c>
      <c r="G19" s="5">
        <v>2</v>
      </c>
      <c r="H19" s="5">
        <v>0</v>
      </c>
      <c r="I19" s="4" t="str">
        <v/>
      </c>
      <c r="J19" s="4">
        <v>8341</v>
      </c>
    </row>
    <row r="20" ht="50" customHeight="1">
      <c r="B20" s="4" t="str">
        <v>IWMI</v>
      </c>
      <c r="D20" s="4" t="str">
        <v>AW1P5: BSF Scaling Pathways- KPI- Number of innovators, entrepreneurs, public sector actors and school students receiving training to develop, scale and utilize innovations for resource-constrained food systems</v>
      </c>
      <c r="E20" s="4" t="str">
        <v>Number of people trained (capacity sharing for development)</v>
      </c>
      <c r="F20" s="4" t="str">
        <v>Kenya</v>
      </c>
      <c r="G20" s="5">
        <v>50</v>
      </c>
      <c r="H20" s="5">
        <v>0</v>
      </c>
      <c r="I20" s="4" t="str">
        <v/>
      </c>
      <c r="J20" s="4">
        <v>8342</v>
      </c>
    </row>
    <row r="21" ht="50" customHeight="1">
      <c r="A21" s="4" t="str">
        <v>AOW01: Future Food Systems Lab</v>
      </c>
      <c r="B21" s="4" t="str">
        <v>IWMI</v>
      </c>
      <c r="C21" s="4" t="str">
        <v>1.3.3 Entrepreneurship Support Program</v>
      </c>
      <c r="D21" s="4" t="str">
        <v>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v>
      </c>
      <c r="E21" s="4" t="str">
        <v>Number of people trained (capacity sharing for development)</v>
      </c>
      <c r="F21" s="4" t="str">
        <v>Ghana</v>
      </c>
      <c r="G21" s="5">
        <v>700</v>
      </c>
      <c r="H21" s="5">
        <v>75000</v>
      </c>
      <c r="I21" s="4" t="str">
        <v>Budget for Training 700 people</v>
      </c>
      <c r="J21" s="4">
        <v>7705</v>
      </c>
    </row>
    <row r="22" ht="50" customHeight="1">
      <c r="B22" s="4" t="str">
        <v>IWMI</v>
      </c>
      <c r="D22" s="4" t="str">
        <v>CBE Innovation Challenge: Identify, mentor, and accelerate at least 10 youth-led startups, SMEs, and innovators in Ghana through the CircularEconomy4Ghana program, supporting the development and scaling of waste-to-value solutions for frontier food systems.</v>
      </c>
      <c r="E22" s="4" t="str">
        <v>Number of people trained (capacity sharing for development)</v>
      </c>
      <c r="F22" s="4" t="str">
        <v>Ghana</v>
      </c>
      <c r="G22" s="5">
        <v>10</v>
      </c>
      <c r="H22" s="5">
        <v>75000</v>
      </c>
      <c r="I22" s="4" t="str">
        <v>Costing covers staff time to assess where envisioning workshops add the most value in Timor-Leste and Ghana, plus operational budget for travel, stakeholder meetings, and producing the final assessment report.</v>
      </c>
      <c r="J22" s="4">
        <v>7706</v>
      </c>
    </row>
    <row r="23" ht="25" customHeight="1">
      <c r="C23" s="9" t="str">
        <v>HLO budget subtotal</v>
      </c>
      <c r="H23" s="9">
        <v>678760</v>
      </c>
      <c r="J23" s="9" t="str">
        <v/>
      </c>
    </row>
    <row r="24" ht="50" customHeight="1">
      <c r="A24" s="8" t="str">
        <v>AOW02: Fragile and Conflict-affected Food Systems</v>
      </c>
      <c r="B24" s="4" t="str">
        <v>IWMI</v>
      </c>
      <c r="C24" s="4" t="str">
        <v>2.1.1 Prevent</v>
      </c>
      <c r="D24" s="4" t="str">
        <v>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v>
      </c>
      <c r="E24" s="4" t="str">
        <v>Number of knowledge products</v>
      </c>
      <c r="F24" s="4" t="str">
        <v>Bangladesh, Nigeria, The Republic of the Sudan</v>
      </c>
      <c r="G24" s="5">
        <v>3</v>
      </c>
      <c r="H24" s="5">
        <v>97021</v>
      </c>
      <c r="I24"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24" s="4">
        <v>6885</v>
      </c>
    </row>
    <row r="25" ht="50" customHeight="1">
      <c r="A25" s="4" t="str">
        <v>AOW02: Fragile and Conflict-affected Food Systems</v>
      </c>
      <c r="B25" s="4" t="str">
        <v>IWMI</v>
      </c>
      <c r="C25" s="4" t="str">
        <v>2.2.2 Respond</v>
      </c>
      <c r="D25" s="4" t="str">
        <v>RENEW. Publish 1 analytical report on the economic performance and scaling potential of selected Nature-Based Solutions (NBS), providing decision-support evidence for policymakers and investors.</v>
      </c>
      <c r="E25" s="4" t="str">
        <v>Number of knowledge products</v>
      </c>
      <c r="F25" s="4" t="str">
        <v>Mali, Mozambique, Burkina Faso, Jordan, Kenya, Nigeria, Philippines, Bangladesh, Pakistan</v>
      </c>
      <c r="G25" s="5">
        <v>1</v>
      </c>
      <c r="H25" s="5">
        <v>179365</v>
      </c>
      <c r="I25"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25" s="4">
        <v>6893</v>
      </c>
    </row>
    <row r="26" ht="50" customHeight="1">
      <c r="B26" s="4" t="str">
        <v>IWMI</v>
      </c>
      <c r="D26" s="4" t="str">
        <v>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v>
      </c>
      <c r="E26" s="4" t="str">
        <v>Number of innovations (innovation development)</v>
      </c>
      <c r="F26" s="4" t="str">
        <v>State of Palestine</v>
      </c>
      <c r="G26" s="5">
        <v>2</v>
      </c>
      <c r="H26" s="5">
        <v>160000</v>
      </c>
      <c r="I26" s="4" t="str">
        <v>Number of CBE models assessed with clear implmentation plan</v>
      </c>
      <c r="J26" s="4">
        <v>7622</v>
      </c>
    </row>
    <row r="27" ht="50" customHeight="1">
      <c r="B27" s="4" t="str">
        <v>IWMI</v>
      </c>
      <c r="D27" s="4" t="str">
        <v>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v>
      </c>
      <c r="E27" s="4" t="str">
        <v>Number of knowledge products</v>
      </c>
      <c r="F27" s="4" t="str">
        <v>Mali, The Republic of the Sudan, Nigeria, Kenya, Mozambique, Bangladesh, Pakistan, Philippines, Burkina Faso, Jordan</v>
      </c>
      <c r="G27" s="5">
        <v>1</v>
      </c>
      <c r="H27" s="5">
        <v>0</v>
      </c>
      <c r="I27" s="4" t="str">
        <v/>
      </c>
      <c r="J27" s="4">
        <v>7680</v>
      </c>
    </row>
    <row r="28" ht="50" customHeight="1">
      <c r="B28" s="4" t="str">
        <v>IWMI</v>
      </c>
      <c r="D28" s="4" t="str">
        <v>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v>
      </c>
      <c r="E28" s="4" t="str">
        <v>Number of innovations (innovation development)</v>
      </c>
      <c r="F28" s="4" t="str">
        <v>State of Palestine</v>
      </c>
      <c r="G28" s="5">
        <v>2</v>
      </c>
      <c r="H28" s="5">
        <v>0</v>
      </c>
      <c r="I28" s="4" t="str">
        <v/>
      </c>
      <c r="J28" s="4">
        <v>7852</v>
      </c>
    </row>
    <row r="29" ht="50" customHeight="1">
      <c r="A29" s="4" t="str">
        <v>AOW02: Fragile and Conflict-affected Food Systems</v>
      </c>
      <c r="B29" s="4" t="str">
        <v>IWMI</v>
      </c>
      <c r="C29" s="4" t="str">
        <v>2.3.3 Recover</v>
      </c>
      <c r="D29" s="4" t="str">
        <v>AW2P6: Nature Positive Solutions for Livelihoods and Peacebuilding- Knowledge, policy and scaling pathway for circular livelihood models and conflict-sensitivity guidance note in refugee hosting landscapes</v>
      </c>
      <c r="E29" s="4" t="str">
        <v>Number of knowledge products</v>
      </c>
      <c r="F29" s="4" t="str">
        <v>Ethiopia, Burkina Faso, Kenya, The Republic of the Sudan</v>
      </c>
      <c r="G29" s="5">
        <v>2</v>
      </c>
      <c r="H29" s="5">
        <v>58192</v>
      </c>
      <c r="I29" s="4" t="str">
        <v>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v>
      </c>
      <c r="J29" s="4">
        <v>6895</v>
      </c>
    </row>
    <row r="30" ht="50" customHeight="1" xml:space="preserve">
      <c r="B30" s="4" t="str">
        <v>IWMI</v>
      </c>
      <c r="D30" s="4" t="str">
        <v>AW2P6: Nature Positive Solutions for Livelihoods and Peacebuilding- Co-design inclusive and sustainable circular livelihood models that enhance social cohesion</v>
      </c>
      <c r="E30" s="4" t="str">
        <v>Number of innovations (innovation development)</v>
      </c>
      <c r="F30" s="4" t="str">
        <v>Ghana, Ethiopia, Kenya</v>
      </c>
      <c r="G30" s="5">
        <v>6</v>
      </c>
      <c r="H30" s="5">
        <v>160673</v>
      </c>
      <c r="I30" s="4" t="str" xml:space="preserve">
        <v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v>
      </c>
      <c r="J30" s="4">
        <v>6896</v>
      </c>
    </row>
    <row r="31" ht="50" customHeight="1">
      <c r="B31" s="4" t="str">
        <v>IWMI</v>
      </c>
      <c r="D31" s="4" t="str">
        <v>AW2P6: Nature Positive Solutions for Livelihoods and Peacebuilding- Train at least 600 refugees, host community members, and humanitarian actors in conflict-sensitive circular bioeconomy solutions, strengthening capacity for sustainable livelihoods and social cohesion.</v>
      </c>
      <c r="E31" s="4" t="str">
        <v>Number of people trained (capacity sharing for development)</v>
      </c>
      <c r="F31" s="4" t="str">
        <v>The Republic of the Sudan, Kenya, Ethiopia, Burkina Faso</v>
      </c>
      <c r="G31" s="5">
        <v>600</v>
      </c>
      <c r="H31" s="5">
        <v>203030</v>
      </c>
      <c r="I31" s="4" t="str">
        <v>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v>
      </c>
      <c r="J31" s="4">
        <v>6897</v>
      </c>
    </row>
    <row r="32" ht="50" customHeight="1">
      <c r="B32" s="4" t="str">
        <v>IWMI</v>
      </c>
      <c r="D32" s="4" t="str">
        <v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v>
      </c>
      <c r="E32" s="4" t="str">
        <v>Number of knowledge products</v>
      </c>
      <c r="F32" s="4" t="str">
        <v>The Republic of the Sudan, Bangladesh, Nigeria</v>
      </c>
      <c r="G32" s="5">
        <v>4</v>
      </c>
      <c r="H32" s="5">
        <v>113822</v>
      </c>
      <c r="I32" s="4" t="str">
        <v>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v>
      </c>
      <c r="J32" s="4">
        <v>6898</v>
      </c>
    </row>
    <row r="33" ht="50" customHeight="1">
      <c r="B33" s="4" t="str">
        <v>IWMI</v>
      </c>
      <c r="D33" s="4" t="str">
        <v>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E33" s="4" t="str">
        <v>Number of knowledge products</v>
      </c>
      <c r="F33" s="4" t="str">
        <v>Bangladesh, Nigeria, The Republic of the Sudan</v>
      </c>
      <c r="G33" s="5">
        <v>4</v>
      </c>
      <c r="H33" s="5">
        <v>149791</v>
      </c>
      <c r="I33"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33" s="4">
        <v>6900</v>
      </c>
    </row>
    <row r="34" ht="50" customHeight="1">
      <c r="B34" s="4" t="str">
        <v>IWMI</v>
      </c>
      <c r="D34" s="4" t="str">
        <v>AW2P11 Fragile and Conflict-affected Food Systems- Capacity strengthening of implementing partners, humanitarian actors and refugees and host communities in aquaponics as a nutrition and livelihood resilience model (Ethiopia, Kenya, Ghana)</v>
      </c>
      <c r="E34" s="4" t="str">
        <v>Number of people trained (capacity sharing for development)</v>
      </c>
      <c r="F34" s="4" t="str">
        <v>Ethiopia, Ghana, Kenya</v>
      </c>
      <c r="G34" s="5">
        <v>80</v>
      </c>
      <c r="H34" s="5">
        <v>70000</v>
      </c>
      <c r="I34" s="4" t="str">
        <v>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v>
      </c>
      <c r="J34" s="4">
        <v>7615</v>
      </c>
    </row>
    <row r="35" ht="50" customHeight="1">
      <c r="B35" s="4" t="str">
        <v>IWMI</v>
      </c>
      <c r="D35" s="4" t="str">
        <v>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v>
      </c>
      <c r="E35" s="4" t="str">
        <v>Number of knowledge products</v>
      </c>
      <c r="F35" s="4" t="str">
        <v>Ghana, Ethiopia, Kenya</v>
      </c>
      <c r="G35" s="5">
        <v>1</v>
      </c>
      <c r="H35" s="5">
        <v>30000</v>
      </c>
      <c r="I35" s="4" t="str">
        <v>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v>
      </c>
      <c r="J35" s="4">
        <v>7616</v>
      </c>
    </row>
    <row r="36" ht="50" customHeight="1">
      <c r="B36" s="4" t="str">
        <v>IWMI</v>
      </c>
      <c r="D36" s="4" t="str">
        <v>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v>
      </c>
      <c r="E36" s="4" t="str">
        <v>Number of innovations (innovation development)</v>
      </c>
      <c r="F36" s="4" t="str">
        <v>Syrian Arab Republic</v>
      </c>
      <c r="G36" s="5">
        <v>1</v>
      </c>
      <c r="H36" s="5">
        <v>0</v>
      </c>
      <c r="I36" s="4" t="str">
        <v/>
      </c>
      <c r="J36" s="4">
        <v>8345</v>
      </c>
    </row>
    <row r="37" ht="50" customHeight="1">
      <c r="B37" s="4" t="str">
        <v>IWMI</v>
      </c>
      <c r="D37" s="4" t="str">
        <v>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v>
      </c>
      <c r="E37" s="4" t="str">
        <v>Number of knowledge products</v>
      </c>
      <c r="F37" s="4" t="str">
        <v>Syrian Arab Republic</v>
      </c>
      <c r="G37" s="5">
        <v>4</v>
      </c>
      <c r="H37" s="5">
        <v>0</v>
      </c>
      <c r="I37" s="4" t="str">
        <v/>
      </c>
      <c r="J37" s="4">
        <v>8347</v>
      </c>
    </row>
    <row r="38" ht="25" customHeight="1">
      <c r="C38" s="9" t="str">
        <v>HLO budget subtotal</v>
      </c>
      <c r="H38" s="9">
        <v>1221894</v>
      </c>
      <c r="J38" s="9" t="str">
        <v/>
      </c>
    </row>
    <row r="39" ht="50" customHeight="1">
      <c r="A39" s="8" t="str">
        <v>AOW04: Island Food Systems</v>
      </c>
      <c r="B39" s="4" t="str">
        <v>IWMI</v>
      </c>
      <c r="C39" s="4" t="str">
        <v>4.1.1 SUSTAINABILITY</v>
      </c>
      <c r="D39" s="4" t="str">
        <v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v>
      </c>
      <c r="E39" s="4" t="str">
        <v>Number of innovations (innovation development)</v>
      </c>
      <c r="F39" s="4" t="str">
        <v>Solomon Islands, Timor-Leste</v>
      </c>
      <c r="G39" s="5">
        <v>2</v>
      </c>
      <c r="H39" s="5">
        <v>132990</v>
      </c>
      <c r="I39" s="4" t="str">
        <v>Budget for Co-designing Circular Economy Innovations</v>
      </c>
      <c r="J39" s="4">
        <v>6912</v>
      </c>
    </row>
    <row r="40" ht="50" customHeight="1">
      <c r="B40" s="4" t="str">
        <v>IWMI</v>
      </c>
      <c r="D40" s="4" t="str">
        <v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0" s="4" t="str">
        <v>Number of knowledge products</v>
      </c>
      <c r="F40" s="4" t="str">
        <v>Solomon Islands, Timor-Leste</v>
      </c>
      <c r="G40" s="5">
        <v>2</v>
      </c>
      <c r="H40" s="5">
        <v>0</v>
      </c>
      <c r="I40" s="4" t="str">
        <v/>
      </c>
      <c r="J40" s="4">
        <v>6913</v>
      </c>
    </row>
    <row r="41" ht="50" customHeight="1">
      <c r="B41" s="4" t="str">
        <v>IWMI</v>
      </c>
      <c r="D41" s="4" t="str">
        <v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1" s="4" t="str">
        <v>Number of knowledge products</v>
      </c>
      <c r="F41" s="4" t="str">
        <v>Timor-Leste, Solomon Islands, Papua New Guinea</v>
      </c>
      <c r="G41" s="5">
        <v>2</v>
      </c>
      <c r="H41" s="5">
        <v>101530</v>
      </c>
      <c r="I41" s="4" t="str">
        <v>Budget for Circular Solution Scoping and Participatory Assessments</v>
      </c>
      <c r="J41" s="4">
        <v>7763</v>
      </c>
    </row>
    <row r="42" ht="50" customHeight="1">
      <c r="A42" s="4" t="str">
        <v>AOW04: Island Food Systems</v>
      </c>
      <c r="B42" s="4" t="str">
        <v>IWMI</v>
      </c>
      <c r="C42" s="4" t="str">
        <v>4.1.4 CAPACITY</v>
      </c>
      <c r="D42" s="4" t="str">
        <v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2" s="4" t="str">
        <v>Number of knowledge products</v>
      </c>
      <c r="F42" s="4" t="str">
        <v>Timor-Leste, Solomon Islands, Papua New Guinea</v>
      </c>
      <c r="G42" s="5">
        <v>2</v>
      </c>
      <c r="H42" s="5">
        <v>0</v>
      </c>
      <c r="I42" s="4" t="str">
        <v/>
      </c>
      <c r="J42" s="4">
        <v>8266</v>
      </c>
    </row>
    <row r="43" ht="25" customHeight="1">
      <c r="C43" s="9" t="str">
        <v>HLO budget subtotal</v>
      </c>
      <c r="H43" s="9">
        <v>234520</v>
      </c>
      <c r="J43" s="9" t="str">
        <v/>
      </c>
    </row>
  </sheetData>
  <mergeCells count="18">
    <mergeCell ref="A1:A2"/>
    <mergeCell ref="B1:B2"/>
    <mergeCell ref="C1:C2"/>
    <mergeCell ref="D1:H1"/>
    <mergeCell ref="I1:I2"/>
    <mergeCell ref="J1:J2"/>
    <mergeCell ref="C3:C9"/>
    <mergeCell ref="C10:C20"/>
    <mergeCell ref="C21:C22"/>
    <mergeCell ref="C23:G23"/>
    <mergeCell ref="A3:A23"/>
    <mergeCell ref="C25:C28"/>
    <mergeCell ref="C29:C37"/>
    <mergeCell ref="C38:G38"/>
    <mergeCell ref="A24:A38"/>
    <mergeCell ref="C39:C41"/>
    <mergeCell ref="C43:G43"/>
    <mergeCell ref="A39:A43"/>
  </mergeCells>
  <ignoredErrors>
    <ignoredError numberStoredAsText="1" sqref="A1:J43"/>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Fragile and Conflict-affected Food Systems</v>
      </c>
      <c r="B2" s="4" t="str">
        <v>Infrastructure Development Company Limited</v>
      </c>
      <c r="C2" s="4" t="str">
        <v>IWMI</v>
      </c>
      <c r="D2" s="4" t="str">
        <v>Bangladesh</v>
      </c>
      <c r="E2" s="5">
        <v>20000</v>
      </c>
      <c r="F2" s="4" t="str">
        <v>tbc</v>
      </c>
      <c r="G2" s="4">
        <v>168</v>
      </c>
    </row>
    <row r="3" ht="50" customHeight="1">
      <c r="A3" s="4" t="str">
        <v>AOW02: Fragile and Conflict-affected Food Systems</v>
      </c>
      <c r="B3" s="4" t="str">
        <v>26c Daraja</v>
      </c>
      <c r="C3" s="4" t="str">
        <v>IWMI</v>
      </c>
      <c r="D3" s="4" t="str">
        <v>The Republic of the Sudan</v>
      </c>
      <c r="E3" s="5">
        <v>30000</v>
      </c>
      <c r="F3" s="4" t="str">
        <v>TBC</v>
      </c>
      <c r="G3" s="4">
        <v>169</v>
      </c>
    </row>
    <row r="4" ht="50" customHeight="1">
      <c r="A4" s="4" t="str">
        <v>AOW02: Fragile and Conflict-affected Food Systems</v>
      </c>
      <c r="B4" s="4" t="str">
        <v>Center for International Forestry Research (CIFOR) and World Agroforestry (ICRAF)</v>
      </c>
      <c r="C4" s="4" t="str">
        <v>IWMI</v>
      </c>
      <c r="D4" s="4" t="str">
        <v>Kenya, Ethiopia</v>
      </c>
      <c r="E4" s="5">
        <v>80000</v>
      </c>
      <c r="F4" s="4" t="str">
        <v>tbc</v>
      </c>
      <c r="G4" s="4">
        <v>170</v>
      </c>
    </row>
    <row r="5" ht="50" customHeight="1">
      <c r="A5" s="4" t="str">
        <v>AOW02: Fragile and Conflict-affected Food Systems</v>
      </c>
      <c r="B5" s="4" t="str">
        <v>Norwegian Church Aid</v>
      </c>
      <c r="C5" s="4" t="str">
        <v>IWMI</v>
      </c>
      <c r="D5" s="4" t="str">
        <v>Ethiopia, Kenya</v>
      </c>
      <c r="E5" s="5">
        <v>40000</v>
      </c>
      <c r="F5" s="4" t="str">
        <v>TBC</v>
      </c>
      <c r="G5" s="4">
        <v>171</v>
      </c>
    </row>
    <row r="6" ht="50" customHeight="1">
      <c r="A6" s="4" t="str">
        <v>AOW02: Fragile and Conflict-affected Food Systems</v>
      </c>
      <c r="B6" s="4" t="str">
        <v>Unknown Partner 2</v>
      </c>
      <c r="C6" s="4" t="str">
        <v>IWMI</v>
      </c>
      <c r="D6" s="4" t="str">
        <v>State of Palestine</v>
      </c>
      <c r="E6" s="5">
        <v>95000</v>
      </c>
      <c r="F6" s="4" t="str">
        <v>tbc</v>
      </c>
      <c r="G6" s="4">
        <v>172</v>
      </c>
    </row>
    <row r="7" ht="25" customHeight="1">
      <c r="B7" s="9" t="str">
        <v>Contracted partners subtotal</v>
      </c>
      <c r="E7" s="9">
        <v>265000</v>
      </c>
      <c r="F7" s="9" t="str">
        <v/>
      </c>
      <c r="G7" s="9" t="str">
        <v/>
      </c>
    </row>
  </sheetData>
  <mergeCells count="2">
    <mergeCell ref="B7:D7"/>
    <mergeCell ref="A2: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W-P-XXX1-Jahez</v>
      </c>
      <c r="C2" s="4" t="str">
        <v>2.1.1 Prevent</v>
      </c>
      <c r="D2" s="5">
        <v>3150000</v>
      </c>
      <c r="E2" s="4" t="str">
        <v>TBC</v>
      </c>
      <c r="F2" s="4">
        <v>1247</v>
      </c>
    </row>
    <row r="3" ht="25" customHeight="1">
      <c r="B3" s="9" t="str">
        <v>W3/Bilateral budget subtotal</v>
      </c>
      <c r="D3" s="9">
        <v>3150000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142156</v>
      </c>
      <c r="E2" s="4" t="str">
        <v>AoW1 AND AOW2 Leads costs</v>
      </c>
      <c r="F2" s="4">
        <v>82</v>
      </c>
      <c r="G2" s="4">
        <v>3</v>
      </c>
    </row>
    <row r="3" ht="45" customHeight="1">
      <c r="A3" s="4" t="str">
        <v>AOW00: Cross Cutting</v>
      </c>
      <c r="B3" s="4" t="str">
        <v>IWMI</v>
      </c>
      <c r="C3" s="4" t="str">
        <v>Operations</v>
      </c>
      <c r="D3" s="5">
        <v>99182</v>
      </c>
      <c r="E3" s="4" t="str">
        <v>AoW1 &amp; AoW2 Leads operational Budget each $40k and Pause and Reflect costs reimbursement AND PNG travel budget USD 15,015</v>
      </c>
      <c r="F3" s="4">
        <v>83</v>
      </c>
      <c r="G3" s="4">
        <v>4</v>
      </c>
    </row>
    <row r="4" ht="45" customHeight="1">
      <c r="A4" s="4" t="str">
        <v>AOW00: Cross Cutting</v>
      </c>
      <c r="B4" s="4" t="str">
        <v>IWMI</v>
      </c>
      <c r="C4" s="4" t="str">
        <v>PMU, CGIAR Program Finance Support and associated Allocation</v>
      </c>
      <c r="D4" s="5">
        <v>67965</v>
      </c>
      <c r="E4" s="4" t="str">
        <v>PMU Coordination Lead</v>
      </c>
      <c r="F4" s="4">
        <v>84</v>
      </c>
      <c r="G4" s="4">
        <v>2</v>
      </c>
    </row>
    <row r="5" ht="25" customHeight="1">
      <c r="C5" s="9" t="str">
        <v>Cross-cutting budget subtotal</v>
      </c>
      <c r="D5" s="9">
        <v>309303</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210121</v>
      </c>
      <c r="C2" s="5">
        <v>487456</v>
      </c>
      <c r="D2" s="5">
        <v>618129</v>
      </c>
      <c r="E2" s="5">
        <v>0</v>
      </c>
      <c r="F2" s="5">
        <v>164164</v>
      </c>
      <c r="G2" s="5">
        <f>=SUM(B2:F2)</f>
        <v>0</v>
      </c>
    </row>
    <row r="3" ht="20" customHeight="1">
      <c r="A3" s="4" t="str">
        <v>Operations (supplies, consultants, travels, workshops, other)</v>
      </c>
      <c r="B3" s="5">
        <v>99182</v>
      </c>
      <c r="C3" s="5">
        <v>191304</v>
      </c>
      <c r="D3" s="5">
        <v>338765</v>
      </c>
      <c r="E3" s="5">
        <v>0</v>
      </c>
      <c r="F3" s="5">
        <v>70356</v>
      </c>
      <c r="G3" s="5">
        <f>=SUM(B3:F3)</f>
        <v>0</v>
      </c>
    </row>
    <row r="4" ht="20" customHeight="1">
      <c r="A4" s="4" t="str">
        <v>Collaborators non-CGIAR centers</v>
      </c>
      <c r="B4" s="5">
        <v>0</v>
      </c>
      <c r="C4" s="5">
        <v>0</v>
      </c>
      <c r="D4" s="5">
        <v>265000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Jordan</v>
      </c>
      <c r="D2" s="5">
        <v>33.4</v>
      </c>
      <c r="E2" s="4">
        <v>3365</v>
      </c>
    </row>
    <row r="3" ht="45" customHeight="1">
      <c r="A3" s="4" t="str">
        <v>AOW00: Cross Cutting</v>
      </c>
      <c r="B3" s="4" t="str">
        <v>IWMI</v>
      </c>
      <c r="C3" s="4" t="str">
        <v>Kenya</v>
      </c>
      <c r="D3" s="5">
        <v>33.3</v>
      </c>
      <c r="E3" s="4">
        <v>3364</v>
      </c>
    </row>
    <row r="4" ht="45" customHeight="1">
      <c r="A4" s="4" t="str">
        <v>AOW00: Cross Cutting</v>
      </c>
      <c r="B4" s="4" t="str">
        <v>IWMI</v>
      </c>
      <c r="C4" s="4" t="str">
        <v>South Africa</v>
      </c>
      <c r="D4" s="5">
        <v>33.3</v>
      </c>
      <c r="E4" s="4">
        <v>3363</v>
      </c>
    </row>
    <row r="5" ht="45" customHeight="1">
      <c r="A5" s="8" t="str">
        <v>AOW01: Future Food Systems Lab</v>
      </c>
      <c r="B5" s="4" t="str">
        <v>IWMI</v>
      </c>
      <c r="C5" s="4" t="str">
        <v>Bangladesh</v>
      </c>
      <c r="D5" s="5">
        <v>5</v>
      </c>
      <c r="E5" s="4">
        <v>861</v>
      </c>
    </row>
    <row r="6" ht="45" customHeight="1">
      <c r="A6" s="4" t="str">
        <v>AOW01: Future Food Systems Lab</v>
      </c>
      <c r="B6" s="4" t="str">
        <v>IWMI</v>
      </c>
      <c r="C6" s="4" t="str">
        <v>Burkina Faso</v>
      </c>
      <c r="D6" s="5">
        <v>5</v>
      </c>
      <c r="E6" s="4">
        <v>862</v>
      </c>
    </row>
    <row r="7" ht="45" customHeight="1">
      <c r="A7" s="4" t="str">
        <v>AOW01: Future Food Systems Lab</v>
      </c>
      <c r="B7" s="4" t="str">
        <v>IWMI</v>
      </c>
      <c r="C7" s="4" t="str">
        <v>Ethiopia</v>
      </c>
      <c r="D7" s="5">
        <v>5</v>
      </c>
      <c r="E7" s="4">
        <v>70</v>
      </c>
    </row>
    <row r="8" ht="45" customHeight="1">
      <c r="A8" s="4" t="str">
        <v>AOW01: Future Food Systems Lab</v>
      </c>
      <c r="B8" s="4" t="str">
        <v>IWMI</v>
      </c>
      <c r="C8" s="4" t="str">
        <v>Ghana</v>
      </c>
      <c r="D8" s="5">
        <v>5</v>
      </c>
      <c r="E8" s="4">
        <v>863</v>
      </c>
    </row>
    <row r="9" ht="45" customHeight="1">
      <c r="A9" s="4" t="str">
        <v>AOW01: Future Food Systems Lab</v>
      </c>
      <c r="B9" s="4" t="str">
        <v>IWMI</v>
      </c>
      <c r="C9" s="4" t="str">
        <v>Jamaica</v>
      </c>
      <c r="D9" s="5">
        <v>5</v>
      </c>
      <c r="E9" s="4">
        <v>864</v>
      </c>
    </row>
    <row r="10" ht="45" customHeight="1">
      <c r="A10" s="4" t="str">
        <v>AOW01: Future Food Systems Lab</v>
      </c>
      <c r="B10" s="4" t="str">
        <v>IWMI</v>
      </c>
      <c r="C10" s="4" t="str">
        <v>Jordan</v>
      </c>
      <c r="D10" s="5">
        <v>5</v>
      </c>
      <c r="E10" s="4">
        <v>865</v>
      </c>
    </row>
    <row r="11" ht="45" customHeight="1">
      <c r="A11" s="4" t="str">
        <v>AOW01: Future Food Systems Lab</v>
      </c>
      <c r="B11" s="4" t="str">
        <v>IWMI</v>
      </c>
      <c r="C11" s="4" t="str">
        <v>Kenya</v>
      </c>
      <c r="D11" s="5">
        <v>5</v>
      </c>
      <c r="E11" s="4">
        <v>866</v>
      </c>
    </row>
    <row r="12" ht="45" customHeight="1">
      <c r="A12" s="4" t="str">
        <v>AOW01: Future Food Systems Lab</v>
      </c>
      <c r="B12" s="4" t="str">
        <v>IWMI</v>
      </c>
      <c r="C12" s="4" t="str">
        <v>Mali</v>
      </c>
      <c r="D12" s="5">
        <v>5</v>
      </c>
      <c r="E12" s="4">
        <v>867</v>
      </c>
    </row>
    <row r="13" ht="45" customHeight="1">
      <c r="A13" s="4" t="str">
        <v>AOW01: Future Food Systems Lab</v>
      </c>
      <c r="B13" s="4" t="str">
        <v>IWMI</v>
      </c>
      <c r="C13" s="4" t="str">
        <v>Mozambique</v>
      </c>
      <c r="D13" s="5">
        <v>5</v>
      </c>
      <c r="E13" s="4">
        <v>868</v>
      </c>
    </row>
    <row r="14" ht="45" customHeight="1">
      <c r="A14" s="4" t="str">
        <v>AOW01: Future Food Systems Lab</v>
      </c>
      <c r="B14" s="4" t="str">
        <v>IWMI</v>
      </c>
      <c r="C14" s="4" t="str">
        <v>Nigeria</v>
      </c>
      <c r="D14" s="5">
        <v>5</v>
      </c>
      <c r="E14" s="4">
        <v>869</v>
      </c>
    </row>
    <row r="15" ht="45" customHeight="1">
      <c r="A15" s="4" t="str">
        <v>AOW01: Future Food Systems Lab</v>
      </c>
      <c r="B15" s="4" t="str">
        <v>IWMI</v>
      </c>
      <c r="C15" s="4" t="str">
        <v>Pakistan</v>
      </c>
      <c r="D15" s="5">
        <v>5</v>
      </c>
      <c r="E15" s="4">
        <v>870</v>
      </c>
    </row>
    <row r="16" ht="45" customHeight="1">
      <c r="A16" s="4" t="str">
        <v>AOW01: Future Food Systems Lab</v>
      </c>
      <c r="B16" s="4" t="str">
        <v>IWMI</v>
      </c>
      <c r="C16" s="4" t="str">
        <v>Papua New Guinea</v>
      </c>
      <c r="D16" s="5">
        <v>5</v>
      </c>
      <c r="E16" s="4">
        <v>871</v>
      </c>
    </row>
    <row r="17" ht="45" customHeight="1">
      <c r="A17" s="4" t="str">
        <v>AOW01: Future Food Systems Lab</v>
      </c>
      <c r="B17" s="4" t="str">
        <v>IWMI</v>
      </c>
      <c r="C17" s="4" t="str">
        <v>Peru</v>
      </c>
      <c r="D17" s="5">
        <v>10</v>
      </c>
      <c r="E17" s="4">
        <v>69</v>
      </c>
    </row>
    <row r="18" ht="45" customHeight="1">
      <c r="A18" s="4" t="str">
        <v>AOW01: Future Food Systems Lab</v>
      </c>
      <c r="B18" s="4" t="str">
        <v>IWMI</v>
      </c>
      <c r="C18" s="4" t="str">
        <v>Philippines</v>
      </c>
      <c r="D18" s="5">
        <v>5</v>
      </c>
      <c r="E18" s="4">
        <v>872</v>
      </c>
    </row>
    <row r="19" ht="45" customHeight="1">
      <c r="A19" s="4" t="str">
        <v>AOW01: Future Food Systems Lab</v>
      </c>
      <c r="B19" s="4" t="str">
        <v>IWMI</v>
      </c>
      <c r="C19" s="4" t="str">
        <v>Solomon Islands</v>
      </c>
      <c r="D19" s="5">
        <v>5</v>
      </c>
      <c r="E19" s="4">
        <v>873</v>
      </c>
    </row>
    <row r="20" ht="45" customHeight="1">
      <c r="A20" s="4" t="str">
        <v>AOW01: Future Food Systems Lab</v>
      </c>
      <c r="B20" s="4" t="str">
        <v>IWMI</v>
      </c>
      <c r="C20" s="4" t="str">
        <v>Somalia</v>
      </c>
      <c r="D20" s="5">
        <v>5</v>
      </c>
      <c r="E20" s="4">
        <v>874</v>
      </c>
    </row>
    <row r="21" ht="45" customHeight="1">
      <c r="A21" s="4" t="str">
        <v>AOW01: Future Food Systems Lab</v>
      </c>
      <c r="B21" s="4" t="str">
        <v>IWMI</v>
      </c>
      <c r="C21" s="4" t="str">
        <v>The Republic of the Sudan</v>
      </c>
      <c r="D21" s="5">
        <v>5</v>
      </c>
      <c r="E21" s="4">
        <v>875</v>
      </c>
    </row>
    <row r="22" ht="45" customHeight="1">
      <c r="A22" s="4" t="str">
        <v>AOW01: Future Food Systems Lab</v>
      </c>
      <c r="B22" s="4" t="str">
        <v>IWMI</v>
      </c>
      <c r="C22" s="4" t="str">
        <v>Timor-Leste</v>
      </c>
      <c r="D22" s="5">
        <v>5</v>
      </c>
      <c r="E22" s="4">
        <v>876</v>
      </c>
    </row>
    <row r="23" ht="45" customHeight="1">
      <c r="A23" s="4" t="str">
        <v>AOW01: Future Food Systems Lab</v>
      </c>
      <c r="B23" s="4" t="str">
        <v>IWMI</v>
      </c>
      <c r="C23" s="4" t="str">
        <v>Yemen</v>
      </c>
      <c r="D23" s="5">
        <v>5</v>
      </c>
      <c r="E23" s="4">
        <v>877</v>
      </c>
    </row>
    <row r="24" ht="45" customHeight="1">
      <c r="A24" s="8" t="str">
        <v>AOW02: Fragile and Conflict-affected Food Systems</v>
      </c>
      <c r="B24" s="4" t="str">
        <v>IWMI</v>
      </c>
      <c r="C24" s="4" t="str">
        <v>Bangladesh</v>
      </c>
      <c r="D24" s="5">
        <v>10</v>
      </c>
      <c r="E24" s="4">
        <v>2606</v>
      </c>
    </row>
    <row r="25" ht="45" customHeight="1">
      <c r="A25" s="4" t="str">
        <v>AOW02: Fragile and Conflict-affected Food Systems</v>
      </c>
      <c r="B25" s="4" t="str">
        <v>IWMI</v>
      </c>
      <c r="C25" s="4" t="str">
        <v>Burkina Faso</v>
      </c>
      <c r="D25" s="5">
        <v>5</v>
      </c>
      <c r="E25" s="4">
        <v>2609</v>
      </c>
    </row>
    <row r="26" ht="45" customHeight="1">
      <c r="A26" s="4" t="str">
        <v>AOW02: Fragile and Conflict-affected Food Systems</v>
      </c>
      <c r="B26" s="4" t="str">
        <v>IWMI</v>
      </c>
      <c r="C26" s="4" t="str">
        <v>Ethiopia</v>
      </c>
      <c r="D26" s="5">
        <v>12</v>
      </c>
      <c r="E26" s="4">
        <v>2605</v>
      </c>
    </row>
    <row r="27" ht="45" customHeight="1">
      <c r="A27" s="4" t="str">
        <v>AOW02: Fragile and Conflict-affected Food Systems</v>
      </c>
      <c r="B27" s="4" t="str">
        <v>IWMI</v>
      </c>
      <c r="C27" s="4" t="str">
        <v>Ghana</v>
      </c>
      <c r="D27" s="5">
        <v>8</v>
      </c>
      <c r="E27" s="4">
        <v>2608</v>
      </c>
    </row>
    <row r="28" ht="45" customHeight="1">
      <c r="A28" s="4" t="str">
        <v>AOW02: Fragile and Conflict-affected Food Systems</v>
      </c>
      <c r="B28" s="4" t="str">
        <v>IWMI</v>
      </c>
      <c r="C28" s="4" t="str">
        <v>Jordan</v>
      </c>
      <c r="D28" s="5">
        <v>10</v>
      </c>
      <c r="E28" s="4">
        <v>2614</v>
      </c>
    </row>
    <row r="29" ht="45" customHeight="1">
      <c r="A29" s="4" t="str">
        <v>AOW02: Fragile and Conflict-affected Food Systems</v>
      </c>
      <c r="B29" s="4" t="str">
        <v>IWMI</v>
      </c>
      <c r="C29" s="4" t="str">
        <v>Kenya</v>
      </c>
      <c r="D29" s="5">
        <v>10</v>
      </c>
      <c r="E29" s="4">
        <v>2603</v>
      </c>
    </row>
    <row r="30" ht="45" customHeight="1">
      <c r="A30" s="4" t="str">
        <v>AOW02: Fragile and Conflict-affected Food Systems</v>
      </c>
      <c r="B30" s="4" t="str">
        <v>IWMI</v>
      </c>
      <c r="C30" s="4" t="str">
        <v>Mali</v>
      </c>
      <c r="D30" s="5">
        <v>1</v>
      </c>
      <c r="E30" s="4">
        <v>2610</v>
      </c>
    </row>
    <row r="31" ht="45" customHeight="1">
      <c r="A31" s="4" t="str">
        <v>AOW02: Fragile and Conflict-affected Food Systems</v>
      </c>
      <c r="B31" s="4" t="str">
        <v>IWMI</v>
      </c>
      <c r="C31" s="4" t="str">
        <v>Mozambique</v>
      </c>
      <c r="D31" s="5">
        <v>1</v>
      </c>
      <c r="E31" s="4">
        <v>2611</v>
      </c>
    </row>
    <row r="32" ht="45" customHeight="1">
      <c r="A32" s="4" t="str">
        <v>AOW02: Fragile and Conflict-affected Food Systems</v>
      </c>
      <c r="B32" s="4" t="str">
        <v>IWMI</v>
      </c>
      <c r="C32" s="4" t="str">
        <v>Nigeria</v>
      </c>
      <c r="D32" s="5">
        <v>10</v>
      </c>
      <c r="E32" s="4">
        <v>2607</v>
      </c>
    </row>
    <row r="33" ht="45" customHeight="1">
      <c r="A33" s="4" t="str">
        <v>AOW02: Fragile and Conflict-affected Food Systems</v>
      </c>
      <c r="B33" s="4" t="str">
        <v>IWMI</v>
      </c>
      <c r="C33" s="4" t="str">
        <v>Pakistan</v>
      </c>
      <c r="D33" s="5">
        <v>1</v>
      </c>
      <c r="E33" s="4">
        <v>2612</v>
      </c>
    </row>
    <row r="34" ht="45" customHeight="1">
      <c r="A34" s="4" t="str">
        <v>AOW02: Fragile and Conflict-affected Food Systems</v>
      </c>
      <c r="B34" s="4" t="str">
        <v>IWMI</v>
      </c>
      <c r="C34" s="4" t="str">
        <v>Philippines</v>
      </c>
      <c r="D34" s="5">
        <v>1</v>
      </c>
      <c r="E34" s="4">
        <v>2613</v>
      </c>
    </row>
    <row r="35" ht="45" customHeight="1">
      <c r="A35" s="4" t="str">
        <v>AOW02: Fragile and Conflict-affected Food Systems</v>
      </c>
      <c r="B35" s="4" t="str">
        <v>IWMI</v>
      </c>
      <c r="C35" s="4" t="str">
        <v>State of Palestine</v>
      </c>
      <c r="D35" s="5">
        <v>17</v>
      </c>
      <c r="E35" s="4">
        <v>2602</v>
      </c>
    </row>
    <row r="36" ht="45" customHeight="1">
      <c r="A36" s="4" t="str">
        <v>AOW02: Fragile and Conflict-affected Food Systems</v>
      </c>
      <c r="B36" s="4" t="str">
        <v>IWMI</v>
      </c>
      <c r="C36" s="4" t="str">
        <v>The Republic of the Sudan</v>
      </c>
      <c r="D36" s="5">
        <v>14</v>
      </c>
      <c r="E36" s="4">
        <v>2604</v>
      </c>
    </row>
    <row r="37" ht="45" customHeight="1">
      <c r="A37" s="8" t="str">
        <v>AOW04: Island Food Systems</v>
      </c>
      <c r="B37" s="4" t="str">
        <v>IWMI</v>
      </c>
      <c r="C37" s="4" t="str">
        <v>Papua New Guinea</v>
      </c>
      <c r="D37" s="5">
        <v>33</v>
      </c>
      <c r="E37" s="4">
        <v>962</v>
      </c>
    </row>
    <row r="38" ht="45" customHeight="1">
      <c r="A38" s="4" t="str">
        <v>AOW04: Island Food Systems</v>
      </c>
      <c r="B38" s="4" t="str">
        <v>IWMI</v>
      </c>
      <c r="C38" s="4" t="str">
        <v>Solomon Islands</v>
      </c>
      <c r="D38" s="5">
        <v>33</v>
      </c>
      <c r="E38" s="4">
        <v>963</v>
      </c>
    </row>
    <row r="39" ht="45" customHeight="1">
      <c r="A39" s="4" t="str">
        <v>AOW04: Island Food Systems</v>
      </c>
      <c r="B39" s="4" t="str">
        <v>IWMI</v>
      </c>
      <c r="C39" s="4" t="str">
        <v>Timor-Leste</v>
      </c>
      <c r="D39" s="5">
        <v>34</v>
      </c>
      <c r="E39" s="4">
        <v>964</v>
      </c>
    </row>
  </sheetData>
  <mergeCells count="4">
    <mergeCell ref="A2:A4"/>
    <mergeCell ref="A5:A23"/>
    <mergeCell ref="A24:A36"/>
    <mergeCell ref="A37:A39"/>
  </mergeCells>
  <ignoredErrors>
    <ignoredError numberStoredAsText="1" sqref="A1:E39"/>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1678</v>
      </c>
    </row>
    <row r="3" ht="45" customHeight="1">
      <c r="A3" s="8" t="str">
        <v>AOW01: Future Food Systems Lab</v>
      </c>
      <c r="B3" s="4" t="str">
        <v>IWMI</v>
      </c>
      <c r="C3" s="4" t="str">
        <v>Global</v>
      </c>
      <c r="D3" s="4" t="str">
        <v>global</v>
      </c>
      <c r="E3" s="5">
        <v>100</v>
      </c>
      <c r="F3" s="4">
        <v>91</v>
      </c>
    </row>
    <row r="4" ht="45" customHeight="1">
      <c r="A4" s="8" t="str">
        <v>AOW02: Fragile and Conflict-affected Food Systems</v>
      </c>
      <c r="B4" s="4" t="str">
        <v>IWMI</v>
      </c>
      <c r="C4" s="4" t="str">
        <v>Global</v>
      </c>
      <c r="D4" s="4" t="str">
        <v>global</v>
      </c>
      <c r="E4" s="5">
        <v>100</v>
      </c>
      <c r="F4" s="4">
        <v>402</v>
      </c>
    </row>
    <row r="5" ht="45" customHeight="1">
      <c r="A5" s="8" t="str">
        <v>AOW04: Island Food Systems</v>
      </c>
      <c r="B5" s="4" t="str">
        <v>IWMI</v>
      </c>
      <c r="C5" s="4" t="str">
        <v>Global</v>
      </c>
      <c r="D5" s="4" t="str">
        <v>global</v>
      </c>
      <c r="E5" s="5">
        <v>100</v>
      </c>
      <c r="F5" s="4">
        <v>280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