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68900</v>
      </c>
      <c r="K4" s="5">
        <v>68900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1</v>
      </c>
      <c r="C5" s="5">
        <v>137312</v>
      </c>
      <c r="D5" s="5">
        <v>6</v>
      </c>
      <c r="E5" s="5">
        <v>472894</v>
      </c>
      <c r="F5" s="5">
        <v>15</v>
      </c>
      <c r="G5" s="5">
        <v>50000</v>
      </c>
      <c r="H5" s="5">
        <v>0</v>
      </c>
      <c r="I5" s="5">
        <v>0</v>
      </c>
      <c r="J5" s="5">
        <v>660206</v>
      </c>
      <c r="K5" s="5">
        <v>660206</v>
      </c>
      <c r="L5" s="5">
        <v>35000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2</v>
      </c>
      <c r="E6" s="5">
        <v>79306</v>
      </c>
      <c r="F6" s="5">
        <v>0</v>
      </c>
      <c r="G6" s="5">
        <v>0</v>
      </c>
      <c r="H6" s="5">
        <v>0</v>
      </c>
      <c r="I6" s="5">
        <v>0</v>
      </c>
      <c r="J6" s="5">
        <v>79306</v>
      </c>
      <c r="K6" s="5">
        <v>79306</v>
      </c>
      <c r="L6" s="5">
        <v>0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3</v>
      </c>
      <c r="E10" s="5">
        <v>44000</v>
      </c>
      <c r="F10" s="5">
        <v>0</v>
      </c>
      <c r="G10" s="5">
        <v>0</v>
      </c>
      <c r="H10" s="5">
        <v>2</v>
      </c>
      <c r="I10" s="5">
        <v>6000</v>
      </c>
      <c r="J10" s="5">
        <v>50000</v>
      </c>
      <c r="K10" s="5">
        <v>50000</v>
      </c>
      <c r="L10" s="5">
        <v>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137312</v>
      </c>
      <c r="D11" s="7" t="str">
        <v/>
      </c>
      <c r="E11" s="7">
        <v>596200</v>
      </c>
      <c r="F11" s="7" t="str">
        <v/>
      </c>
      <c r="G11" s="7">
        <v>50000</v>
      </c>
      <c r="H11" s="7" t="str">
        <v/>
      </c>
      <c r="I11" s="7">
        <v>6000</v>
      </c>
      <c r="J11" s="7">
        <v>858412</v>
      </c>
      <c r="K11" s="7">
        <v>858412</v>
      </c>
      <c r="L11" s="7">
        <v>35000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 xml:space="preserve">AOW01: Foresight and Prioritization </v>
      </c>
      <c r="B3" s="4" t="str">
        <v>Bioversity (Alliance)</v>
      </c>
      <c r="C3" s="4" t="str">
        <v>1.3. Capacity sharing and modeling asset transfers</v>
      </c>
      <c r="D3" s="4" t="str">
        <v>Capacity Sharing: Transferring CGIAR modeling assets and expertise to research institutes in major developing countries with existing modeling experience. Focus is on IFPRI's IMPACT modeling system and related tools.</v>
      </c>
      <c r="E3" s="4" t="str">
        <v>Number of people trained (capacity sharing for development)</v>
      </c>
      <c r="F3" s="4" t="str">
        <v>Brazil, India</v>
      </c>
      <c r="G3" s="5">
        <v>15</v>
      </c>
      <c r="H3" s="5">
        <v>50000</v>
      </c>
      <c r="I3" s="4" t="str" xml:space="preserve">
        <v xml:space="preserve">Underfunded KPI from PORB in 2025. Brazil now included with India
</v>
      </c>
      <c r="J3" s="4">
        <v>4691</v>
      </c>
    </row>
    <row r="4" ht="50" customHeight="1">
      <c r="A4" s="4" t="str">
        <v xml:space="preserve">AOW01: Foresight and Prioritization </v>
      </c>
      <c r="B4" s="4" t="str">
        <v>Bioversity (Alliance)</v>
      </c>
      <c r="C4" s="4" t="str">
        <v xml:space="preserve">1.1 Global and regional outlooks </v>
      </c>
      <c r="D4" s="4" t="str">
        <v xml:space="preserve">Global policy agendas and forums: Spatial analysis downscaling global and regional analysis to national and local contexts to identify where shocks and risks are most pressing, and what local policy responses are needed. </v>
      </c>
      <c r="E4" s="4" t="str">
        <v>Number of knowledge products</v>
      </c>
      <c r="F4" s="4" t="str">
        <v>Egypt, India, Nigeria, Tanzania, United Republic, Rwanda, Malawi, Senegal, Bangladesh, The Democratic Republic of the Congo, Nepal, Kenya, Ethiopia, Ghana, Pakistan, Uganda, Brazil, Papua New Guinea</v>
      </c>
      <c r="G4" s="5">
        <v>2</v>
      </c>
      <c r="H4" s="5">
        <v>137312</v>
      </c>
      <c r="I4" s="4" t="str">
        <v>2026 budget</v>
      </c>
      <c r="J4" s="4">
        <v>4706</v>
      </c>
    </row>
    <row r="5" ht="50" customHeight="1">
      <c r="B5" s="4" t="str">
        <v>Bioversity (Alliance)</v>
      </c>
      <c r="D5" s="4" t="str">
        <v>Global policy agendas and forums: Technical foresight reports analyzing issues identified at global forums (e.g., G7, COP31, CFS) using global modeling and other CGIAR foresight tools. In 2026, includes analysis of biotic and abiotic stresses.</v>
      </c>
      <c r="E5" s="4" t="str">
        <v>Number of knowledge products</v>
      </c>
      <c r="F5" s="4" t="str">
        <v>Ethiopia, Ghana, Egypt, Senegal, Rwanda, Kenya, Nigeria, India, Tanzania, United Republic, The Democratic Republic of the Congo, Bangladesh, Papua New Guinea, Malawi, Pakistan, Brazil, Nepal, Uganda</v>
      </c>
      <c r="G5" s="5">
        <v>2</v>
      </c>
      <c r="H5" s="5">
        <v>127058</v>
      </c>
      <c r="I5" s="4" t="str">
        <v>2026 budget</v>
      </c>
      <c r="J5" s="4">
        <v>4707</v>
      </c>
    </row>
    <row r="6" ht="50" customHeight="1">
      <c r="B6" s="4" t="str">
        <v>Bioversity (Alliance)</v>
      </c>
      <c r="D6" s="4" t="str">
        <v>Global policy agendas and forums: AI tool that automatically tracks and analyzes policy demands and outcomes and enables stakeholders and researchers to efficiently evaluate demand and develop implementation workplans for global foresight analysis.</v>
      </c>
      <c r="E6" s="4" t="str">
        <v>Number of innovations (innovation development)</v>
      </c>
      <c r="F6" s="4" t="str">
        <v>Tanzania, United Republic, Ethiopia, Pakistan, Egypt, Nepal, Rwanda, The Democratic Republic of the Congo, Kenya, Bangladesh, India, Uganda, Brazil, Ghana, Papua New Guinea, Malawi, Nigeria, Senegal</v>
      </c>
      <c r="G6" s="5">
        <v>1</v>
      </c>
      <c r="H6" s="5">
        <v>137312</v>
      </c>
      <c r="I6" s="4" t="str">
        <v>2026 budget</v>
      </c>
      <c r="J6" s="4">
        <v>4708</v>
      </c>
    </row>
    <row r="7" ht="50" customHeight="1" xml:space="preserve">
      <c r="B7" s="4" t="str">
        <v>Bioversity (Alliance)</v>
      </c>
      <c r="D7" s="4" t="str">
        <v>2027 Global Outlook Report: Conduct climate and land-use modeling and write a chapter on animal forages with policy recommendations for the 2027 Global Outlook Report on the Future of Animal-Sourced Foods in a Low-Carbon Food System.</v>
      </c>
      <c r="E7" s="4" t="str">
        <v>Number of knowledge products</v>
      </c>
      <c r="F7" s="4" t="str">
        <v>Kenya, Brazil, Pakistan, India, Papua New Guinea, Malawi, Rwanda, Nepal, Ethiopia, The Democratic Republic of the Congo, Tanzania, United Republic, Nigeria, Uganda, Bangladesh, Egypt, Ghana, Senegal</v>
      </c>
      <c r="G7" s="5">
        <v>1</v>
      </c>
      <c r="H7" s="5">
        <v>133524</v>
      </c>
      <c r="I7" s="4" t="str" xml:space="preserve">
        <v xml:space="preserve">2026 Budget
</v>
      </c>
      <c r="J7" s="4">
        <v>4709</v>
      </c>
    </row>
    <row r="8" ht="50" customHeight="1">
      <c r="B8" s="4" t="str">
        <v>Bioversity (Alliance)</v>
      </c>
      <c r="D8" s="4" t="str">
        <v>Global land-use change, emissions, and biodiversity: Documentation of land-use module for IMPACT+ that can track GHG emissions and agrobiodiversity. Co-developed with Alliance (Biodiversity) for 2027-28 report on cereals and global food security.</v>
      </c>
      <c r="E8" s="4" t="str">
        <v>Number of knowledge products</v>
      </c>
      <c r="F8" s="4" t="str">
        <v>India, Malawi, Tanzania, United Republic, Nepal, Senegal, Uganda, Papua New Guinea, Ghana, Rwanda, Egypt, Brazil, Ethiopia, The Democratic Republic of the Congo, Pakistan, Kenya, Nigeria, Bangladesh</v>
      </c>
      <c r="G8" s="5">
        <v>1</v>
      </c>
      <c r="H8" s="5">
        <v>75000</v>
      </c>
      <c r="I8" s="4" t="str">
        <v>New POD to support future work on cereals global outlook</v>
      </c>
      <c r="J8" s="4">
        <v>7306</v>
      </c>
    </row>
    <row r="9" ht="25" customHeight="1">
      <c r="C9" s="9" t="str">
        <v>HLO budget subtotal</v>
      </c>
      <c r="H9" s="9">
        <v>660206</v>
      </c>
      <c r="J9" s="9" t="str">
        <v/>
      </c>
    </row>
    <row r="10" ht="50" customHeight="1">
      <c r="A10" s="8" t="str">
        <v>AOW02: Market-led Transformation</v>
      </c>
      <c r="B10" s="4" t="str">
        <v>Bioversity (Alliance)</v>
      </c>
      <c r="C10" s="4" t="str">
        <v>2.2.  National Policy Response on agricultural Reforms</v>
      </c>
      <c r="D10" s="4" t="str">
        <v>We deliver a rapid scoping study and targeted policy engagement to identify bottlenecks and unlock more efficient, inclusive, and higher-value banana markets in Kenya.</v>
      </c>
      <c r="E10" s="4" t="str">
        <v>Number of knowledge products</v>
      </c>
      <c r="F10" s="4" t="str">
        <v>Kenya</v>
      </c>
      <c r="G10" s="5">
        <v>2</v>
      </c>
      <c r="H10" s="5">
        <v>79306</v>
      </c>
      <c r="I10" s="4" t="str">
        <v>2026 budget</v>
      </c>
      <c r="J10" s="4">
        <v>7575</v>
      </c>
    </row>
    <row r="11" ht="25" customHeight="1">
      <c r="C11" s="9" t="str">
        <v>HLO budget subtotal</v>
      </c>
      <c r="H11" s="9">
        <v>79306</v>
      </c>
      <c r="J11" s="9" t="str">
        <v/>
      </c>
    </row>
    <row r="12" ht="50" customHeight="1" xml:space="preserve">
      <c r="A12" s="8" t="str">
        <v>AOW06: Social Policy and Employment</v>
      </c>
      <c r="B12" s="4" t="str">
        <v>Bioversity (Alliance)</v>
      </c>
      <c r="C12" s="4" t="str">
        <v>6.3. Local Institutional Capacity sharing to strengthen social and employment policies</v>
      </c>
      <c r="D12" s="4" t="str" xml:space="preserve">
        <v xml:space="preserve">Webinar on ABD in SM article presented in Research Consortium’s Diets &amp; Planetary Health Community of Practice in collaboration with LSHTM’s Centre on Climate and Change &amp; Planetary Health and webinar on ABD in SM in G7
</v>
      </c>
      <c r="E12" s="4" t="str">
        <v>custom</v>
      </c>
      <c r="F12" s="4" t="str">
        <v>Canada, India, France</v>
      </c>
      <c r="G12" s="5">
        <v>2</v>
      </c>
      <c r="H12" s="5">
        <v>6000</v>
      </c>
      <c r="I12" s="4" t="str">
        <v>2026 budget</v>
      </c>
      <c r="J12" s="4">
        <v>4572</v>
      </c>
    </row>
    <row r="13" ht="50" customHeight="1">
      <c r="A13" s="4" t="str">
        <v>AOW06: Social Policy and Employment</v>
      </c>
      <c r="B13" s="4" t="str">
        <v>Bioversity (Alliance)</v>
      </c>
      <c r="C13" s="4" t="str">
        <v>6.2. National Policy response to support Social Policies and Employment/jobs creation</v>
      </c>
      <c r="D13" s="4" t="str">
        <v>CGIAR report for the CG on School Meals and case study on ABD in School Meals in India</v>
      </c>
      <c r="E13" s="4" t="str">
        <v>Number of knowledge products</v>
      </c>
      <c r="F13" s="4" t="str">
        <v>India, France, Canada</v>
      </c>
      <c r="G13" s="5">
        <v>3</v>
      </c>
      <c r="H13" s="5">
        <v>44000</v>
      </c>
      <c r="I13" s="4" t="str">
        <v>2026 budget</v>
      </c>
      <c r="J13" s="4">
        <v>7541</v>
      </c>
    </row>
    <row r="14" ht="25" customHeight="1">
      <c r="C14" s="9" t="str">
        <v>HLO budget subtotal</v>
      </c>
      <c r="H14" s="9">
        <v>50000</v>
      </c>
      <c r="J14" s="9" t="str">
        <v/>
      </c>
    </row>
  </sheetData>
  <mergeCells count="13">
    <mergeCell ref="A1:A2"/>
    <mergeCell ref="B1:B2"/>
    <mergeCell ref="C1:C2"/>
    <mergeCell ref="D1:H1"/>
    <mergeCell ref="I1:I2"/>
    <mergeCell ref="J1:J2"/>
    <mergeCell ref="C4:C8"/>
    <mergeCell ref="C9:G9"/>
    <mergeCell ref="A3:A9"/>
    <mergeCell ref="C11:G11"/>
    <mergeCell ref="A10:A11"/>
    <mergeCell ref="C14:G14"/>
    <mergeCell ref="A12:A14"/>
  </mergeCells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 xml:space="preserve">AOW01: Foresight and Prioritization </v>
      </c>
      <c r="B2" s="4" t="str">
        <v>Empresa Brasileira de Pesquisa Agropecuária</v>
      </c>
      <c r="C2" s="4" t="str">
        <v>Bioversity (Alliance)</v>
      </c>
      <c r="D2" s="4" t="str">
        <v>Brazil</v>
      </c>
      <c r="E2" s="5">
        <v>15000</v>
      </c>
      <c r="F2" s="4" t="str">
        <v>2026 budget</v>
      </c>
      <c r="G2" s="4">
        <v>36</v>
      </c>
    </row>
    <row r="3" ht="50" customHeight="1">
      <c r="A3" s="4" t="str">
        <v xml:space="preserve">AOW01: Foresight and Prioritization </v>
      </c>
      <c r="B3" s="4" t="str">
        <v>Indian Council of Agricultural Research</v>
      </c>
      <c r="C3" s="4" t="str">
        <v>Bioversity (Alliance)</v>
      </c>
      <c r="D3" s="4" t="str">
        <v>India</v>
      </c>
      <c r="E3" s="5">
        <v>20000</v>
      </c>
      <c r="F3" s="4" t="str">
        <v>2026 budget</v>
      </c>
      <c r="G3" s="4">
        <v>120</v>
      </c>
    </row>
    <row r="4" ht="25" customHeight="1">
      <c r="B4" s="9" t="str">
        <v>Contracted partners subtotal</v>
      </c>
      <c r="E4" s="9">
        <v>35000</v>
      </c>
      <c r="F4" s="9" t="str">
        <v/>
      </c>
      <c r="G4" s="9" t="str">
        <v/>
      </c>
    </row>
  </sheetData>
  <mergeCells count="2">
    <mergeCell ref="B4:D4"/>
    <mergeCell ref="A2:A4"/>
  </mergeCells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  <row r="2" ht="60" customHeight="1">
      <c r="A2" s="8" t="str">
        <v>AOW00: Cross Cutting</v>
      </c>
      <c r="B2" s="4" t="str">
        <v>Bioversity (Alliance)</v>
      </c>
      <c r="C2" s="4" t="str">
        <v>Impact of CGIAR foresight analysis on partners' agricultural and climate strategies.</v>
      </c>
      <c r="D2" s="4" t="str">
        <v>Policies Informed</v>
      </c>
      <c r="E2" s="4" t="str">
        <v>N/A</v>
      </c>
      <c r="F2" s="5">
        <v>0</v>
      </c>
      <c r="G2" s="4" t="str">
        <v/>
      </c>
      <c r="H2" s="4">
        <v>285</v>
      </c>
    </row>
    <row r="3" ht="25" customHeight="1">
      <c r="C3" s="9" t="str">
        <v>MELIA budget subtotal</v>
      </c>
      <c r="F3" s="9">
        <v>0</v>
      </c>
      <c r="G3" s="9" t="str">
        <v/>
      </c>
      <c r="H3" s="9" t="str">
        <v/>
      </c>
    </row>
  </sheetData>
  <mergeCells count="2">
    <mergeCell ref="C3:E3"/>
    <mergeCell ref="A2:A3"/>
  </mergeCells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Bioversity (Alliance)</v>
      </c>
      <c r="C2" s="4" t="str">
        <v>Area of Work Leads</v>
      </c>
      <c r="D2" s="5">
        <v>68900</v>
      </c>
      <c r="E2" s="4" t="str">
        <v>AoW Lead</v>
      </c>
      <c r="F2" s="4">
        <v>65</v>
      </c>
      <c r="G2" s="4">
        <v>3</v>
      </c>
    </row>
    <row r="3" ht="25" customHeight="1">
      <c r="C3" s="9" t="str">
        <v>Cross-cutting budget subtotal</v>
      </c>
      <c r="D3" s="9">
        <v>68900</v>
      </c>
      <c r="E3" s="9" t="str">
        <v/>
      </c>
      <c r="F3" s="9" t="str">
        <v/>
      </c>
      <c r="G3" s="9" t="str">
        <v/>
      </c>
    </row>
  </sheetData>
  <mergeCells count="1">
    <mergeCell ref="A2:A3"/>
  </mergeCells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Staffing, Chargebacks and Indirect</v>
      </c>
      <c r="B2" s="5">
        <v>68900</v>
      </c>
      <c r="C2" s="5">
        <v>460978</v>
      </c>
      <c r="D2" s="5">
        <v>53981</v>
      </c>
      <c r="E2" s="5">
        <v>0</v>
      </c>
      <c r="F2" s="5">
        <v>0</v>
      </c>
      <c r="G2" s="5">
        <v>0</v>
      </c>
      <c r="H2" s="5">
        <v>45997</v>
      </c>
      <c r="I2" s="5">
        <f>=SUM(B2:H2)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164228</v>
      </c>
      <c r="D3" s="5">
        <v>25325</v>
      </c>
      <c r="E3" s="5">
        <v>0</v>
      </c>
      <c r="F3" s="5">
        <v>0</v>
      </c>
      <c r="G3" s="5">
        <v>0</v>
      </c>
      <c r="H3" s="5">
        <v>4003</v>
      </c>
      <c r="I3" s="5">
        <f>=SUM(B3:H3)</f>
        <v>0</v>
      </c>
    </row>
    <row r="4" ht="20" customHeight="1">
      <c r="A4" s="4" t="str">
        <v>Collaborators non-CGIAR centers</v>
      </c>
      <c r="B4" s="5">
        <v>0</v>
      </c>
      <c r="C4" s="5">
        <v>35000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f>=SUM(B4:H4)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  <c r="G5" s="7">
        <f>=SUM(G2:G4)</f>
        <v>0</v>
      </c>
      <c r="H5" s="7">
        <f>=SUM(H2:H4)</f>
        <v>0</v>
      </c>
      <c r="I5" s="7">
        <f>=SUM(I2:I4)</f>
        <v>0</v>
      </c>
    </row>
  </sheetData>
  <ignoredErrors>
    <ignoredError numberStoredAsText="1" sqref="A1:I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Bioversity (Alliance)</v>
      </c>
      <c r="C2" s="4" t="str">
        <v>Italy</v>
      </c>
      <c r="D2" s="5">
        <v>100</v>
      </c>
      <c r="E2" s="4">
        <v>202</v>
      </c>
    </row>
    <row r="3" ht="45" customHeight="1">
      <c r="A3" s="8" t="str">
        <v xml:space="preserve">AOW01: Foresight and Prioritization </v>
      </c>
      <c r="B3" s="4" t="str">
        <v>Bioversity (Alliance)</v>
      </c>
      <c r="C3" s="4" t="str">
        <v>Bangladesh</v>
      </c>
      <c r="D3" s="5">
        <v>6</v>
      </c>
      <c r="E3" s="4">
        <v>1088</v>
      </c>
    </row>
    <row r="4" ht="45" customHeight="1">
      <c r="A4" s="4" t="str">
        <v xml:space="preserve">AOW01: Foresight and Prioritization </v>
      </c>
      <c r="B4" s="4" t="str">
        <v>Bioversity (Alliance)</v>
      </c>
      <c r="C4" s="4" t="str">
        <v>Brazil</v>
      </c>
      <c r="D4" s="5">
        <v>6</v>
      </c>
      <c r="E4" s="4">
        <v>1089</v>
      </c>
    </row>
    <row r="5" ht="45" customHeight="1">
      <c r="A5" s="4" t="str">
        <v xml:space="preserve">AOW01: Foresight and Prioritization </v>
      </c>
      <c r="B5" s="4" t="str">
        <v>Bioversity (Alliance)</v>
      </c>
      <c r="C5" s="4" t="str">
        <v>Egypt</v>
      </c>
      <c r="D5" s="5">
        <v>6</v>
      </c>
      <c r="E5" s="4">
        <v>1090</v>
      </c>
    </row>
    <row r="6" ht="45" customHeight="1">
      <c r="A6" s="4" t="str">
        <v xml:space="preserve">AOW01: Foresight and Prioritization </v>
      </c>
      <c r="B6" s="4" t="str">
        <v>Bioversity (Alliance)</v>
      </c>
      <c r="C6" s="4" t="str">
        <v>Ethiopia</v>
      </c>
      <c r="D6" s="5">
        <v>6</v>
      </c>
      <c r="E6" s="4">
        <v>1091</v>
      </c>
    </row>
    <row r="7" ht="45" customHeight="1">
      <c r="A7" s="4" t="str">
        <v xml:space="preserve">AOW01: Foresight and Prioritization </v>
      </c>
      <c r="B7" s="4" t="str">
        <v>Bioversity (Alliance)</v>
      </c>
      <c r="C7" s="4" t="str">
        <v>Ghana</v>
      </c>
      <c r="D7" s="5">
        <v>6</v>
      </c>
      <c r="E7" s="4">
        <v>1092</v>
      </c>
    </row>
    <row r="8" ht="45" customHeight="1">
      <c r="A8" s="4" t="str">
        <v xml:space="preserve">AOW01: Foresight and Prioritization </v>
      </c>
      <c r="B8" s="4" t="str">
        <v>Bioversity (Alliance)</v>
      </c>
      <c r="C8" s="4" t="str">
        <v>India</v>
      </c>
      <c r="D8" s="5">
        <v>6</v>
      </c>
      <c r="E8" s="4">
        <v>1093</v>
      </c>
    </row>
    <row r="9" ht="45" customHeight="1">
      <c r="A9" s="4" t="str">
        <v xml:space="preserve">AOW01: Foresight and Prioritization </v>
      </c>
      <c r="B9" s="4" t="str">
        <v>Bioversity (Alliance)</v>
      </c>
      <c r="C9" s="4" t="str">
        <v>Kenya</v>
      </c>
      <c r="D9" s="5">
        <v>6</v>
      </c>
      <c r="E9" s="4">
        <v>1094</v>
      </c>
    </row>
    <row r="10" ht="45" customHeight="1">
      <c r="A10" s="4" t="str">
        <v xml:space="preserve">AOW01: Foresight and Prioritization </v>
      </c>
      <c r="B10" s="4" t="str">
        <v>Bioversity (Alliance)</v>
      </c>
      <c r="C10" s="4" t="str">
        <v>Malawi</v>
      </c>
      <c r="D10" s="5">
        <v>6</v>
      </c>
      <c r="E10" s="4">
        <v>1095</v>
      </c>
    </row>
    <row r="11" ht="45" customHeight="1">
      <c r="A11" s="4" t="str">
        <v xml:space="preserve">AOW01: Foresight and Prioritization </v>
      </c>
      <c r="B11" s="4" t="str">
        <v>Bioversity (Alliance)</v>
      </c>
      <c r="C11" s="4" t="str">
        <v>Nepal</v>
      </c>
      <c r="D11" s="5">
        <v>6</v>
      </c>
      <c r="E11" s="4">
        <v>1096</v>
      </c>
    </row>
    <row r="12" ht="45" customHeight="1">
      <c r="A12" s="4" t="str">
        <v xml:space="preserve">AOW01: Foresight and Prioritization </v>
      </c>
      <c r="B12" s="4" t="str">
        <v>Bioversity (Alliance)</v>
      </c>
      <c r="C12" s="4" t="str">
        <v>Nigeria</v>
      </c>
      <c r="D12" s="5">
        <v>6</v>
      </c>
      <c r="E12" s="4">
        <v>1097</v>
      </c>
    </row>
    <row r="13" ht="45" customHeight="1">
      <c r="A13" s="4" t="str">
        <v xml:space="preserve">AOW01: Foresight and Prioritization </v>
      </c>
      <c r="B13" s="4" t="str">
        <v>Bioversity (Alliance)</v>
      </c>
      <c r="C13" s="4" t="str">
        <v>Pakistan</v>
      </c>
      <c r="D13" s="5">
        <v>5</v>
      </c>
      <c r="E13" s="4">
        <v>1098</v>
      </c>
    </row>
    <row r="14" ht="45" customHeight="1">
      <c r="A14" s="4" t="str">
        <v xml:space="preserve">AOW01: Foresight and Prioritization </v>
      </c>
      <c r="B14" s="4" t="str">
        <v>Bioversity (Alliance)</v>
      </c>
      <c r="C14" s="4" t="str">
        <v>Papua New Guinea</v>
      </c>
      <c r="D14" s="5">
        <v>5</v>
      </c>
      <c r="E14" s="4">
        <v>1099</v>
      </c>
    </row>
    <row r="15" ht="45" customHeight="1">
      <c r="A15" s="4" t="str">
        <v xml:space="preserve">AOW01: Foresight and Prioritization </v>
      </c>
      <c r="B15" s="4" t="str">
        <v>Bioversity (Alliance)</v>
      </c>
      <c r="C15" s="4" t="str">
        <v>Rwanda</v>
      </c>
      <c r="D15" s="5">
        <v>5</v>
      </c>
      <c r="E15" s="4">
        <v>1100</v>
      </c>
    </row>
    <row r="16" ht="45" customHeight="1">
      <c r="A16" s="4" t="str">
        <v xml:space="preserve">AOW01: Foresight and Prioritization </v>
      </c>
      <c r="B16" s="4" t="str">
        <v>Bioversity (Alliance)</v>
      </c>
      <c r="C16" s="4" t="str">
        <v>Senegal</v>
      </c>
      <c r="D16" s="5">
        <v>5</v>
      </c>
      <c r="E16" s="4">
        <v>1101</v>
      </c>
    </row>
    <row r="17" ht="45" customHeight="1">
      <c r="A17" s="4" t="str">
        <v xml:space="preserve">AOW01: Foresight and Prioritization </v>
      </c>
      <c r="B17" s="4" t="str">
        <v>Bioversity (Alliance)</v>
      </c>
      <c r="C17" s="4" t="str">
        <v>Tanzania</v>
      </c>
      <c r="D17" s="5">
        <v>5</v>
      </c>
      <c r="E17" s="4">
        <v>1102</v>
      </c>
    </row>
    <row r="18" ht="45" customHeight="1">
      <c r="A18" s="4" t="str">
        <v xml:space="preserve">AOW01: Foresight and Prioritization </v>
      </c>
      <c r="B18" s="4" t="str">
        <v>Bioversity (Alliance)</v>
      </c>
      <c r="C18" s="4" t="str">
        <v>The Democratic Republic of the Congo</v>
      </c>
      <c r="D18" s="5">
        <v>5</v>
      </c>
      <c r="E18" s="4">
        <v>1103</v>
      </c>
    </row>
    <row r="19" ht="45" customHeight="1">
      <c r="A19" s="4" t="str">
        <v xml:space="preserve">AOW01: Foresight and Prioritization </v>
      </c>
      <c r="B19" s="4" t="str">
        <v>Bioversity (Alliance)</v>
      </c>
      <c r="C19" s="4" t="str">
        <v>Uganda</v>
      </c>
      <c r="D19" s="5">
        <v>5</v>
      </c>
      <c r="E19" s="4">
        <v>1104</v>
      </c>
    </row>
    <row r="20" ht="45" customHeight="1">
      <c r="A20" s="4" t="str">
        <v xml:space="preserve">AOW01: Foresight and Prioritization </v>
      </c>
      <c r="B20" s="4" t="str">
        <v>Bioversity (Alliance)</v>
      </c>
      <c r="C20" s="4" t="str">
        <v>United Republic</v>
      </c>
      <c r="D20" s="5">
        <v>5</v>
      </c>
      <c r="E20" s="4">
        <v>1105</v>
      </c>
    </row>
    <row r="21" ht="45" customHeight="1">
      <c r="A21" s="8" t="str">
        <v>AOW02: Market-led Transformation</v>
      </c>
      <c r="B21" s="4" t="str">
        <v>Bioversity (Alliance)</v>
      </c>
      <c r="C21" s="4" t="str">
        <v>Kenya</v>
      </c>
      <c r="D21" s="5">
        <v>100</v>
      </c>
      <c r="E21" s="4">
        <v>335</v>
      </c>
    </row>
    <row r="22" ht="45" customHeight="1">
      <c r="A22" s="8" t="str">
        <v>AOW06: Social Policy and Employment</v>
      </c>
      <c r="B22" s="4" t="str">
        <v>Bioversity (Alliance)</v>
      </c>
      <c r="C22" s="4" t="str">
        <v>Canada</v>
      </c>
      <c r="D22" s="5">
        <v>10</v>
      </c>
      <c r="E22" s="4">
        <v>325</v>
      </c>
    </row>
    <row r="23" ht="45" customHeight="1">
      <c r="A23" s="4" t="str">
        <v>AOW06: Social Policy and Employment</v>
      </c>
      <c r="B23" s="4" t="str">
        <v>Bioversity (Alliance)</v>
      </c>
      <c r="C23" s="4" t="str">
        <v>France</v>
      </c>
      <c r="D23" s="5">
        <v>30</v>
      </c>
      <c r="E23" s="4">
        <v>326</v>
      </c>
    </row>
    <row r="24" ht="45" customHeight="1">
      <c r="A24" s="4" t="str">
        <v>AOW06: Social Policy and Employment</v>
      </c>
      <c r="B24" s="4" t="str">
        <v>Bioversity (Alliance)</v>
      </c>
      <c r="C24" s="4" t="str">
        <v>India</v>
      </c>
      <c r="D24" s="5">
        <v>60</v>
      </c>
      <c r="E24" s="4">
        <v>327</v>
      </c>
    </row>
  </sheetData>
  <mergeCells count="4">
    <mergeCell ref="A2"/>
    <mergeCell ref="A3:A20"/>
    <mergeCell ref="A21"/>
    <mergeCell ref="A22:A24"/>
  </mergeCells>
  <ignoredErrors>
    <ignoredError numberStoredAsText="1" sqref="A1:E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Bioversity (Alliance)</v>
      </c>
      <c r="C2" s="4" t="str">
        <v>Global</v>
      </c>
      <c r="D2" s="4" t="str">
        <v>global</v>
      </c>
      <c r="E2" s="5">
        <v>100</v>
      </c>
      <c r="F2" s="4">
        <v>140</v>
      </c>
    </row>
    <row r="3" ht="45" customHeight="1">
      <c r="A3" s="8" t="str">
        <v xml:space="preserve">AOW01: Foresight and Prioritization </v>
      </c>
      <c r="B3" s="4" t="str">
        <v>Bioversity (Alliance)</v>
      </c>
      <c r="C3" s="4" t="str">
        <v>Global</v>
      </c>
      <c r="D3" s="4" t="str">
        <v>global</v>
      </c>
      <c r="E3" s="5">
        <v>100</v>
      </c>
      <c r="F3" s="4">
        <v>361</v>
      </c>
    </row>
    <row r="4" ht="45" customHeight="1">
      <c r="A4" s="8" t="str">
        <v>AOW02: Market-led Transformation</v>
      </c>
      <c r="B4" s="4" t="str">
        <v>Bioversity (Alliance)</v>
      </c>
      <c r="C4" s="4" t="str">
        <v>Kenya</v>
      </c>
      <c r="D4" s="4" t="str">
        <v>country</v>
      </c>
      <c r="E4" s="5">
        <v>100</v>
      </c>
      <c r="F4" s="4">
        <v>182</v>
      </c>
    </row>
    <row r="5" ht="45" customHeight="1">
      <c r="A5" s="8" t="str">
        <v>AOW06: Social Policy and Employment</v>
      </c>
      <c r="B5" s="4" t="str">
        <v>Bioversity (Alliance)</v>
      </c>
      <c r="C5" s="4" t="str">
        <v>Global</v>
      </c>
      <c r="D5" s="4" t="str">
        <v>global</v>
      </c>
      <c r="E5" s="5">
        <v>100</v>
      </c>
      <c r="F5" s="4">
        <v>172</v>
      </c>
    </row>
  </sheetData>
  <mergeCells count="4">
    <mergeCell ref="A2"/>
    <mergeCell ref="A3"/>
    <mergeCell ref="A4"/>
    <mergeCell ref="A5"/>
  </mergeCells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