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99720</v>
      </c>
      <c r="K4" s="5">
        <v>99720</v>
      </c>
      <c r="L4" s="5">
        <v>0</v>
      </c>
      <c r="M4" s="5">
        <v>0</v>
      </c>
      <c r="N4" s="4">
        <v>157</v>
      </c>
    </row>
    <row r="5" ht="20" customHeight="1">
      <c r="A5" s="4" t="str">
        <v xml:space="preserve">AOW01: Foresight and Prioritization </v>
      </c>
      <c r="B5" s="5">
        <v>0</v>
      </c>
      <c r="C5" s="5">
        <v>0</v>
      </c>
      <c r="D5" s="5">
        <v>0</v>
      </c>
      <c r="E5" s="5">
        <v>0</v>
      </c>
      <c r="F5" s="5">
        <v>0</v>
      </c>
      <c r="G5" s="5">
        <v>0</v>
      </c>
      <c r="H5" s="5">
        <v>0</v>
      </c>
      <c r="I5" s="5">
        <v>0</v>
      </c>
      <c r="J5" s="5">
        <v>0</v>
      </c>
      <c r="K5" s="5">
        <v>0</v>
      </c>
      <c r="L5" s="5">
        <v>0</v>
      </c>
      <c r="M5" s="5">
        <v>0</v>
      </c>
      <c r="N5" s="4">
        <v>151</v>
      </c>
    </row>
    <row r="6" ht="20" customHeight="1">
      <c r="A6" s="4" t="str">
        <v>AOW02: Market-led Transformation</v>
      </c>
      <c r="B6" s="5">
        <v>0</v>
      </c>
      <c r="C6" s="5">
        <v>0</v>
      </c>
      <c r="D6" s="5">
        <v>0</v>
      </c>
      <c r="E6" s="5">
        <v>0</v>
      </c>
      <c r="F6" s="5">
        <v>0</v>
      </c>
      <c r="G6" s="5">
        <v>0</v>
      </c>
      <c r="H6" s="5">
        <v>0</v>
      </c>
      <c r="I6" s="5">
        <v>0</v>
      </c>
      <c r="J6" s="5">
        <v>0</v>
      </c>
      <c r="K6" s="5">
        <v>0</v>
      </c>
      <c r="L6" s="5">
        <v>0</v>
      </c>
      <c r="M6" s="5">
        <v>0</v>
      </c>
      <c r="N6" s="4">
        <v>153</v>
      </c>
    </row>
    <row r="7" ht="20" customHeight="1">
      <c r="A7" s="4" t="str">
        <v xml:space="preserve">AOW03: Governance and Political Economy </v>
      </c>
      <c r="B7" s="5">
        <v>0</v>
      </c>
      <c r="C7" s="5">
        <v>0</v>
      </c>
      <c r="D7" s="5">
        <v>8</v>
      </c>
      <c r="E7" s="5">
        <v>373832</v>
      </c>
      <c r="F7" s="5">
        <v>0</v>
      </c>
      <c r="G7" s="5">
        <v>0</v>
      </c>
      <c r="H7" s="5">
        <v>1</v>
      </c>
      <c r="I7" s="5">
        <v>4270</v>
      </c>
      <c r="J7" s="5">
        <v>378102</v>
      </c>
      <c r="K7" s="5">
        <v>378102</v>
      </c>
      <c r="L7" s="5">
        <v>27975</v>
      </c>
      <c r="M7" s="5">
        <v>0</v>
      </c>
      <c r="N7" s="4">
        <v>156</v>
      </c>
    </row>
    <row r="8" ht="20" customHeight="1">
      <c r="A8" s="4" t="str">
        <v>AOW04: Water, Energy, Food Nexus</v>
      </c>
      <c r="B8" s="5">
        <v>0</v>
      </c>
      <c r="C8" s="5">
        <v>0</v>
      </c>
      <c r="D8" s="5">
        <v>16</v>
      </c>
      <c r="E8" s="5">
        <v>1641059</v>
      </c>
      <c r="F8" s="5">
        <v>110</v>
      </c>
      <c r="G8" s="5">
        <v>169129</v>
      </c>
      <c r="H8" s="5">
        <v>5</v>
      </c>
      <c r="I8" s="5">
        <v>60000</v>
      </c>
      <c r="J8" s="5">
        <v>1870188</v>
      </c>
      <c r="K8" s="5">
        <v>1870188</v>
      </c>
      <c r="L8" s="5">
        <v>77298</v>
      </c>
      <c r="M8" s="5">
        <v>0</v>
      </c>
      <c r="N8" s="4">
        <v>154</v>
      </c>
    </row>
    <row r="9" ht="20" customHeight="1">
      <c r="A9" s="4" t="str">
        <v>AOW05: Country Engagement/PI Hubs</v>
      </c>
      <c r="B9" s="5">
        <v>0</v>
      </c>
      <c r="C9" s="5">
        <v>0</v>
      </c>
      <c r="D9" s="5">
        <v>0</v>
      </c>
      <c r="E9" s="5">
        <v>0</v>
      </c>
      <c r="F9" s="5">
        <v>0</v>
      </c>
      <c r="G9" s="5">
        <v>0</v>
      </c>
      <c r="H9" s="5">
        <v>0</v>
      </c>
      <c r="I9" s="5">
        <v>0</v>
      </c>
      <c r="J9" s="5">
        <v>0</v>
      </c>
      <c r="K9" s="5">
        <v>0</v>
      </c>
      <c r="L9" s="5">
        <v>0</v>
      </c>
      <c r="M9" s="5">
        <v>0</v>
      </c>
      <c r="N9" s="4">
        <v>152</v>
      </c>
    </row>
    <row r="10" ht="20" customHeight="1">
      <c r="A10" s="4" t="str">
        <v>AOW06: Social Policy and Employment</v>
      </c>
      <c r="B10" s="5">
        <v>0</v>
      </c>
      <c r="C10" s="5">
        <v>0</v>
      </c>
      <c r="D10" s="5">
        <v>0</v>
      </c>
      <c r="E10" s="5">
        <v>0</v>
      </c>
      <c r="F10" s="5">
        <v>0</v>
      </c>
      <c r="G10" s="5">
        <v>0</v>
      </c>
      <c r="H10" s="5">
        <v>0</v>
      </c>
      <c r="I10" s="5">
        <v>0</v>
      </c>
      <c r="J10" s="5">
        <v>0</v>
      </c>
      <c r="K10" s="5">
        <v>0</v>
      </c>
      <c r="L10" s="5">
        <v>0</v>
      </c>
      <c r="M10" s="5">
        <v>0</v>
      </c>
      <c r="N10" s="4">
        <v>155</v>
      </c>
    </row>
    <row r="11" ht="25" customHeight="1">
      <c r="A11" s="6" t="str">
        <v>Total</v>
      </c>
      <c r="B11" s="7" t="str">
        <v/>
      </c>
      <c r="C11" s="7">
        <v>0</v>
      </c>
      <c r="D11" s="7" t="str">
        <v/>
      </c>
      <c r="E11" s="7">
        <v>2014891</v>
      </c>
      <c r="F11" s="7" t="str">
        <v/>
      </c>
      <c r="G11" s="7">
        <v>169129</v>
      </c>
      <c r="H11" s="7" t="str">
        <v/>
      </c>
      <c r="I11" s="7">
        <v>64270</v>
      </c>
      <c r="J11" s="7">
        <v>2348010</v>
      </c>
      <c r="K11" s="7">
        <v>2348010</v>
      </c>
      <c r="L11" s="7">
        <v>105273</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2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 xml:space="preserve">AOW03: Governance and Political Economy </v>
      </c>
      <c r="B3" s="4" t="str">
        <v>IWMI</v>
      </c>
      <c r="C3" s="4" t="str">
        <v>3.2. Improved coherence, coordination, and implementation</v>
      </c>
      <c r="D3" s="4" t="str">
        <v>Nigeria: Agricultural water productivity policy landscape diagnostic report produced using PILA4WP, mapping policy coherence, gaps, and institutional mandates across key frameworks, providing government agencies and development partners with evidence-based analysis to identify reform priorities and support irrigation scaling.</v>
      </c>
      <c r="E3" s="4" t="str">
        <v>Number of knowledge products</v>
      </c>
      <c r="F3" s="4" t="str">
        <v>Nigeria</v>
      </c>
      <c r="G3" s="5">
        <v>1</v>
      </c>
      <c r="H3" s="5">
        <v>89708</v>
      </c>
      <c r="I3" s="4" t="str" xml:space="preserve">
        <v xml:space="preserve">Budget and partners to be added Q1 2026
</v>
      </c>
      <c r="J3" s="4">
        <v>4657</v>
      </c>
    </row>
    <row r="4" ht="50" customHeight="1" xml:space="preserve">
      <c r="B4" s="4" t="str">
        <v>IWMI</v>
      </c>
      <c r="D4" s="4" t="str">
        <v>India: Ganga Basin groundwater recharge governance diagnostic report produced, mapping policy coherence, institutional mandates, and actor relationships across selected geographies using PILA4WP, providing government agencies and development partners with evidence to strengthen governance frameworks and improve recharge investment design for sustained water productivity and security outcomes.</v>
      </c>
      <c r="E4" s="4" t="str">
        <v>Number of knowledge products</v>
      </c>
      <c r="F4" s="4" t="str">
        <v>India</v>
      </c>
      <c r="G4" s="5">
        <v>1</v>
      </c>
      <c r="H4" s="5">
        <v>89708</v>
      </c>
      <c r="I4" s="4" t="str" xml:space="preserve">
        <v xml:space="preserve">Budget and partners to be added Q1 2026
</v>
      </c>
      <c r="J4" s="4">
        <v>4658</v>
      </c>
    </row>
    <row r="5" ht="50" customHeight="1" xml:space="preserve">
      <c r="B5" s="4" t="str">
        <v>IWMI</v>
      </c>
      <c r="D5" s="4" t="str">
        <v>Kenya: Tana River Basin irrigation governance and input diversification policy reports produced, mapping upstream-downstream water allocation, biofertilizer regulatory pathways, and political economy of input subsidies, providing government agencies with evidence to improve water productivity, basin governance, and climate resilience in irrigated agriculture.</v>
      </c>
      <c r="E5" s="4" t="str">
        <v>Number of knowledge products</v>
      </c>
      <c r="F5" s="4" t="str">
        <v>Kenya</v>
      </c>
      <c r="G5" s="5">
        <v>2</v>
      </c>
      <c r="H5" s="5">
        <v>89708</v>
      </c>
      <c r="I5" s="4" t="str" xml:space="preserve">
        <v xml:space="preserve">Budget and partners to be added Q1 2026
</v>
      </c>
      <c r="J5" s="4">
        <v>4659</v>
      </c>
    </row>
    <row r="6" ht="50" customHeight="1" xml:space="preserve">
      <c r="B6" s="4" t="str">
        <v>IWMI</v>
      </c>
      <c r="D6" s="4" t="str">
        <v>Ethiopia: Akaki/Upper Awash Basin urban and peri-urban agriculture governance diagnostic report produced, mapping policy coherence, political economy, and flood risk governance, providing government agencies and development partners with evidence to improve smallholder horticultural water productivity whilst strengthening institutional frameworks for flood risk management.</v>
      </c>
      <c r="E6" s="4" t="str">
        <v>Number of knowledge products</v>
      </c>
      <c r="F6" s="4" t="str">
        <v>Ethiopia</v>
      </c>
      <c r="G6" s="5">
        <v>1</v>
      </c>
      <c r="H6" s="5">
        <v>89708</v>
      </c>
      <c r="I6" s="4" t="str" xml:space="preserve">
        <v xml:space="preserve">Budget and partners to be added Q1 2026
</v>
      </c>
      <c r="J6" s="4">
        <v>4660</v>
      </c>
    </row>
    <row r="7" ht="50" customHeight="1">
      <c r="A7" s="4" t="str">
        <v xml:space="preserve">AOW03: Governance and Political Economy </v>
      </c>
      <c r="B7" s="4" t="str">
        <v>IWMI</v>
      </c>
      <c r="C7" s="4" t="str">
        <v>3.1. Global Governance Agenda Setting</v>
      </c>
      <c r="D7" s="4" t="str">
        <v>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v>
      </c>
      <c r="E7" s="4" t="str">
        <v>custom</v>
      </c>
      <c r="F7" s="4" t="str">
        <v>United Kingdom of Great Britain and Northern Ireland</v>
      </c>
      <c r="G7" s="5">
        <v>1</v>
      </c>
      <c r="H7" s="5">
        <v>4270</v>
      </c>
      <c r="I7" s="4" t="str">
        <v>additional budget</v>
      </c>
      <c r="J7" s="4">
        <v>7625</v>
      </c>
    </row>
    <row r="8" ht="50" customHeight="1" xml:space="preserve">
      <c r="B8" s="4" t="str">
        <v>IWMI</v>
      </c>
      <c r="D8" s="4" t="str" xml:space="preserve">
        <v xml:space="preserve">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
</v>
      </c>
      <c r="E8" s="4" t="str">
        <v>Number of knowledge products</v>
      </c>
      <c r="F8" s="4" t="str">
        <v>United Kingdom of Great Britain and Northern Ireland</v>
      </c>
      <c r="G8" s="5">
        <v>3</v>
      </c>
      <c r="H8" s="5">
        <v>15000</v>
      </c>
      <c r="I8" s="4" t="str">
        <v>additional budget</v>
      </c>
      <c r="J8" s="4">
        <v>7627</v>
      </c>
    </row>
    <row r="9" ht="25" customHeight="1">
      <c r="C9" s="9" t="str">
        <v>HLO budget subtotal</v>
      </c>
      <c r="H9" s="9">
        <v>378102</v>
      </c>
      <c r="J9" s="9" t="str">
        <v/>
      </c>
    </row>
    <row r="10" ht="50" customHeight="1" xml:space="preserve">
      <c r="A10" s="8" t="str">
        <v>AOW04: Water, Energy, Food Nexus</v>
      </c>
      <c r="B10" s="4" t="str">
        <v>IWMI</v>
      </c>
      <c r="C10" s="4" t="str">
        <v>4.3. Local Institutional Capacity sharing on WEFE Nexus</v>
      </c>
      <c r="D10" s="4" t="str">
        <v>Conduct capacity-sharing initiatives on policy modeling to enable Indian partners, fostering local expertise in using analytical tools to design and evaluate robust water policies.</v>
      </c>
      <c r="E10" s="4" t="str">
        <v>Number of people trained (capacity sharing for development)</v>
      </c>
      <c r="F10" s="4" t="str">
        <v>India</v>
      </c>
      <c r="G10" s="5">
        <v>40</v>
      </c>
      <c r="H10" s="5">
        <v>56377</v>
      </c>
      <c r="I10" s="4" t="str" xml:space="preserve">
        <v xml:space="preserve">ICAR - $15,000 (All activities)
</v>
      </c>
      <c r="J10" s="4">
        <v>4618</v>
      </c>
    </row>
    <row r="11" ht="50" customHeight="1" xml:space="preserve">
      <c r="B11" s="4" t="str">
        <v>IWMI</v>
      </c>
      <c r="D11" s="4" t="str">
        <v>Strengthens the technical capacity of irrigation departments through trainings to enhance institutional expertise in modern water management, policy enforcement, and sustainable infrastructure operation.</v>
      </c>
      <c r="E11" s="4" t="str">
        <v>Number of people trained (capacity sharing for development)</v>
      </c>
      <c r="F11" s="4" t="str">
        <v>Ethiopia</v>
      </c>
      <c r="G11" s="5">
        <v>30</v>
      </c>
      <c r="H11" s="5">
        <v>56376</v>
      </c>
      <c r="I11" s="4" t="str" xml:space="preserve">
        <v xml:space="preserve">"Ministry of Irrigation and Lowlands, Ethiopia - $7,500 (All activities)
Ministry of Agriculture, Ethiopia - $7,500 (All activities)
"
</v>
      </c>
      <c r="J11" s="4">
        <v>4620</v>
      </c>
    </row>
    <row r="12" ht="50" customHeight="1" xml:space="preserve">
      <c r="B12" s="4" t="str">
        <v>IWMI</v>
      </c>
      <c r="D12" s="4" t="str">
        <v>Conduct trainings on hydro-economic assessment by integrating Water Productivity and GMIS data to provide decision-makers with the economic evidence required to optimize water resource allocation strategies.</v>
      </c>
      <c r="E12" s="4" t="str">
        <v>Number of people trained (capacity sharing for development)</v>
      </c>
      <c r="F12" s="4" t="str">
        <v>Pakistan</v>
      </c>
      <c r="G12" s="5">
        <v>40</v>
      </c>
      <c r="H12" s="5">
        <v>56376</v>
      </c>
      <c r="I12" s="4" t="str" xml:space="preserve">
        <v xml:space="preserve">"PIDE - $5,000 (All activities)
IRSA and PID - $4,000 (All activities)
PAD - $4,000 (All activities)
"</v>
      </c>
      <c r="J12" s="4">
        <v>4622</v>
      </c>
    </row>
    <row r="13" ht="50" customHeight="1">
      <c r="A13" s="4" t="str">
        <v>AOW04: Water, Energy, Food Nexus</v>
      </c>
      <c r="B13" s="4" t="str">
        <v>IWMI</v>
      </c>
      <c r="C13" s="4" t="str">
        <v>4.2. National Policy response on WEFE Nexus</v>
      </c>
      <c r="D13" s="4" t="str">
        <v>Provide technical scoping and support for the implementation of irrigation policy, ensuring that groundwater management strategies are evidence-based and aligned with national agricultural goals.</v>
      </c>
      <c r="E13" s="4" t="str">
        <v>Number of knowledge products</v>
      </c>
      <c r="F13" s="4" t="str">
        <v>Nepal</v>
      </c>
      <c r="G13" s="5">
        <v>1</v>
      </c>
      <c r="H13" s="5">
        <v>110250</v>
      </c>
      <c r="I13" s="4" t="str">
        <v>2026 budget</v>
      </c>
      <c r="J13" s="4">
        <v>4623</v>
      </c>
    </row>
    <row r="14" ht="50" customHeight="1">
      <c r="B14" s="4" t="str">
        <v>IWMI</v>
      </c>
      <c r="D14" s="4" t="str">
        <v>Policy workshops to enable and scale gender-responsive business models, enabling stakeholders to unlock irrigation potential through inclusive financial frameworks and technical knowledge sharing.</v>
      </c>
      <c r="E14" s="4" t="str">
        <v>Number of knowledge products</v>
      </c>
      <c r="F14" s="4" t="str">
        <v>Kenya</v>
      </c>
      <c r="G14" s="5">
        <v>1</v>
      </c>
      <c r="H14" s="5">
        <v>0</v>
      </c>
      <c r="I14" s="4" t="str">
        <v/>
      </c>
      <c r="J14" s="4">
        <v>4624</v>
      </c>
    </row>
    <row r="15" ht="50" customHeight="1" xml:space="preserve">
      <c r="B15" s="4" t="str">
        <v>IWMI</v>
      </c>
      <c r="D15" s="4" t="str">
        <v>Conducts scoping studies to develop gender-responsive finance models, providing operational roadmaps for inclusive irrigation management and integrated water-energy-food-environment (WEFE) policy implementation.</v>
      </c>
      <c r="E15" s="4" t="str">
        <v>Number of knowledge products</v>
      </c>
      <c r="F15" s="4" t="str">
        <v>Canada, Germany, United States of America, Nigeria</v>
      </c>
      <c r="G15" s="5">
        <v>1</v>
      </c>
      <c r="H15" s="5">
        <v>120000</v>
      </c>
      <c r="I15" s="4" t="str" xml:space="preserve">
        <v xml:space="preserve">Federal Ministry of Water Resources and Sanitation, Department of Irrigation and Drainage - $5,230 (All activities)
</v>
      </c>
      <c r="J15" s="4">
        <v>4625</v>
      </c>
    </row>
    <row r="16" ht="50" customHeight="1" xml:space="preserve">
      <c r="B16" s="4" t="str">
        <v>IWMI</v>
      </c>
      <c r="D16" s="4" t="str">
        <v>Produces guidelines for conjunctive water use for smallholder irrigation based on water availability and demand assessment to enable government agencies in the Central Rift Valley to coordinate surface and groundwater resources sustainably.</v>
      </c>
      <c r="E16" s="4" t="str">
        <v>Number of knowledge products</v>
      </c>
      <c r="F16" s="4" t="str">
        <v>Ethiopia</v>
      </c>
      <c r="G16" s="5">
        <v>2</v>
      </c>
      <c r="H16" s="5">
        <v>300000</v>
      </c>
      <c r="I16" s="4" t="str" xml:space="preserve">
        <v xml:space="preserve">"Ministry of Irrigation and Lowlands, Ethiopia - $7,500 (All activities)
Ministry of Agriculture, Ethiopia - $7,500 (All activities)"
</v>
      </c>
      <c r="J16" s="4">
        <v>4628</v>
      </c>
    </row>
    <row r="17" ht="50" customHeight="1" xml:space="preserve">
      <c r="B17" s="4" t="str">
        <v>IWMI</v>
      </c>
      <c r="D17" s="4" t="str">
        <v>Develop a comprehensive Atlas and policy report to analyze crop, livestock, and fisheries sectors equipping planners with recommendations to enhance system-level productivity and resource efficiency.</v>
      </c>
      <c r="E17" s="4" t="str">
        <v>Number of knowledge products</v>
      </c>
      <c r="F17" s="4" t="str">
        <v>India</v>
      </c>
      <c r="G17" s="5">
        <v>1</v>
      </c>
      <c r="H17" s="5">
        <v>102004</v>
      </c>
      <c r="I17" s="4" t="str" xml:space="preserve">
        <v xml:space="preserve">ICAR - $15,000 (All activities)
</v>
      </c>
      <c r="J17" s="4">
        <v>4629</v>
      </c>
    </row>
    <row r="18" ht="50" customHeight="1" xml:space="preserve">
      <c r="B18" s="4" t="str">
        <v>IWMI</v>
      </c>
      <c r="D18" s="4" t="str">
        <v>Delivers investment assessments and guidance on water recharge to inform Indian policymakers, enabling targeted financial scaling and sustainable groundwater management across high-priority agricultural zones.</v>
      </c>
      <c r="E18" s="4" t="str">
        <v>Number of knowledge products</v>
      </c>
      <c r="F18" s="4" t="str">
        <v>India</v>
      </c>
      <c r="G18" s="5">
        <v>1</v>
      </c>
      <c r="H18" s="5">
        <v>101304</v>
      </c>
      <c r="I18" s="4" t="str" xml:space="preserve">
        <v xml:space="preserve">ICAR - $15,000 (All activities)
</v>
      </c>
      <c r="J18" s="4">
        <v>4630</v>
      </c>
    </row>
    <row r="19" ht="50" customHeight="1" xml:space="preserve">
      <c r="B19" s="4" t="str">
        <v>IWMI</v>
      </c>
      <c r="D19" s="4" t="str">
        <v>Utilizes integrated hydrological modeling to optimize and assess WEFE policy tradeoffs, providing regional authorities with technical reports to mitigate groundwater depletion and improve rice production policies.</v>
      </c>
      <c r="E19" s="4" t="str">
        <v>Number of knowledge products</v>
      </c>
      <c r="F19" s="4" t="str">
        <v>Philippines, India</v>
      </c>
      <c r="G19" s="5">
        <v>1</v>
      </c>
      <c r="H19" s="5">
        <v>127191</v>
      </c>
      <c r="I19" s="4" t="str" xml:space="preserve">
        <v xml:space="preserve">ICAR - $15,000 (All activities)
</v>
      </c>
      <c r="J19" s="4">
        <v>4633</v>
      </c>
    </row>
    <row r="20" ht="50" customHeight="1" xml:space="preserve">
      <c r="B20" s="4" t="str">
        <v>IWMI</v>
      </c>
      <c r="D20" s="4" t="str">
        <v>Critical Capability - Optimize water productivity impact indicators to strengthen policy engagement, providing agricultural ministries with the metrics needed to evaluate and improve irrigation efficiency and resource scaling</v>
      </c>
      <c r="E20" s="4" t="str">
        <v>Number of knowledge products</v>
      </c>
      <c r="F20" s="4" t="str">
        <v>Nepal, Ethiopia, Nigeria, India, Malawi, Kenya, Pakistan</v>
      </c>
      <c r="G20" s="5">
        <v>1</v>
      </c>
      <c r="H20" s="5">
        <v>240310</v>
      </c>
      <c r="I20" s="4" t="str" xml:space="preserve">
        <v xml:space="preserve">-
</v>
      </c>
      <c r="J20" s="4">
        <v>4634</v>
      </c>
    </row>
    <row r="21" ht="50" customHeight="1" xml:space="preserve">
      <c r="B21" s="4" t="str">
        <v>IWMI</v>
      </c>
      <c r="D21" s="4" t="str">
        <v>Develop and optimize CGE-Water and Water Productivity Scenarios to enable academia and policy makers understand tradeoff between different policy options</v>
      </c>
      <c r="E21" s="4" t="str">
        <v>Number of knowledge products</v>
      </c>
      <c r="F21" s="4" t="str">
        <v>Germany, Canada, United States of America, Pakistan</v>
      </c>
      <c r="G21" s="5">
        <v>1</v>
      </c>
      <c r="H21" s="5">
        <v>90328</v>
      </c>
      <c r="I21" s="4" t="str" xml:space="preserve">
        <v xml:space="preserve">"PIDE - $5,000 (All activities)
IRSA and PID - $4,000 (All activities)
PAD - $4,000 (All activities)
"
</v>
      </c>
      <c r="J21" s="4">
        <v>4636</v>
      </c>
    </row>
    <row r="22" ht="50" customHeight="1" xml:space="preserve">
      <c r="B22" s="4" t="str">
        <v>IWMI</v>
      </c>
      <c r="D22" s="4" t="str">
        <v>Operationalizing GMIS to provide the Water Resources Regulatory Authority with data and analytics for evidence-based decision-making, ensuring the effective implementation and enforcement of the KP Water Act.</v>
      </c>
      <c r="E22" s="4" t="str">
        <v>Number of knowledge products</v>
      </c>
      <c r="F22" s="4" t="str">
        <v>Pakistan</v>
      </c>
      <c r="G22" s="5">
        <v>2</v>
      </c>
      <c r="H22" s="5">
        <v>112560</v>
      </c>
      <c r="I22" s="4" t="str" xml:space="preserve">
        <v xml:space="preserve">"PIDE - $5,000 (All activities)
IRSA and PID - $4,000 (All activities)
PAD - $4,000 (All activities)
"
</v>
      </c>
      <c r="J22" s="4">
        <v>4637</v>
      </c>
    </row>
    <row r="23" ht="50" customHeight="1" xml:space="preserve">
      <c r="B23" s="4" t="str">
        <v>IWMI</v>
      </c>
      <c r="D23" s="4" t="str">
        <v>Operationalize the Pywr model to optimize water allocation, enabling resource managers to make data-driven decisions that balance competing demands and improve system reliability.</v>
      </c>
      <c r="E23" s="4" t="str">
        <v>Number of knowledge products</v>
      </c>
      <c r="F23" s="4" t="str">
        <v>Pakistan</v>
      </c>
      <c r="G23" s="5">
        <v>1</v>
      </c>
      <c r="H23" s="5">
        <v>90611</v>
      </c>
      <c r="I23" s="4" t="str" xml:space="preserve">
        <v xml:space="preserve">"PIDE - $5,000 (All activities)
IRSA and PID - $4,000 (All activities)
PAD - $4,000 (All activities)
"
</v>
      </c>
      <c r="J23" s="4">
        <v>4638</v>
      </c>
    </row>
    <row r="24" ht="50" customHeight="1">
      <c r="B24" s="4" t="str">
        <v>IWMI</v>
      </c>
      <c r="D24" s="4" t="str">
        <v>Facilitates policy workshops enabling stakeholders to unlock irrigation potential through technical knowledge sharing and development of future priorities</v>
      </c>
      <c r="E24" s="4" t="str">
        <v>Number of knowledge products</v>
      </c>
      <c r="F24" s="4" t="str">
        <v>Malawi</v>
      </c>
      <c r="G24" s="5">
        <v>1</v>
      </c>
      <c r="H24" s="5">
        <v>23251</v>
      </c>
      <c r="I24" s="4" t="str">
        <v>Additional Budget added 23,251 for policy workshop</v>
      </c>
      <c r="J24" s="4">
        <v>7319</v>
      </c>
    </row>
    <row r="25" ht="50" customHeight="1">
      <c r="B25" s="4" t="str">
        <v>IWMI</v>
      </c>
      <c r="D25" s="4" t="str">
        <v>Facilitates policy workshops to enable and scale gender-responsive business models, enabling stakeholders to unlock irrigation potential through inclusive financial frameworks and technical knowledge sharing.</v>
      </c>
      <c r="E25" s="4" t="str">
        <v>Number of knowledge products</v>
      </c>
      <c r="F25" s="4" t="str">
        <v>Canada, United States of America, Germany, Kenya</v>
      </c>
      <c r="G25" s="5">
        <v>1</v>
      </c>
      <c r="H25" s="5">
        <v>27000</v>
      </c>
      <c r="I25" s="4" t="str">
        <v>Policy seminar-related costs</v>
      </c>
      <c r="J25" s="4">
        <v>7329</v>
      </c>
    </row>
    <row r="26" ht="50" customHeight="1" xml:space="preserve">
      <c r="A26" s="4" t="str">
        <v>AOW04: Water, Energy, Food Nexus</v>
      </c>
      <c r="B26" s="4" t="str">
        <v>IWMI</v>
      </c>
      <c r="C26" s="4" t="str">
        <v>4.1. Agenda Setting for WEFE Nexus Policy</v>
      </c>
      <c r="D26" s="4" t="str">
        <v>Global dialogues on WEFE to share evidence-based insights, informing international water policy frameworks and fostering knowledge exchange among multilateral stakeholders and global decision-makers.</v>
      </c>
      <c r="E26" s="4" t="str">
        <v>custom</v>
      </c>
      <c r="F26" s="4" t="str">
        <v>Nigeria, Ethiopia, Kenya, India, Malawi, Nepal, Sri Lanka, Pakistan</v>
      </c>
      <c r="G26" s="5">
        <v>5</v>
      </c>
      <c r="H26" s="5">
        <v>60000</v>
      </c>
      <c r="I26" s="4" t="str" xml:space="preserve">
        <v xml:space="preserve">Budget and partner to be added Q1 2026
</v>
      </c>
      <c r="J26" s="4">
        <v>4640</v>
      </c>
    </row>
    <row r="27" ht="50" customHeight="1">
      <c r="B27" s="4" t="str">
        <v>IWMI</v>
      </c>
      <c r="D27" s="4" t="str">
        <v>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v>
      </c>
      <c r="E27" s="4" t="str">
        <v>Number of knowledge products</v>
      </c>
      <c r="F27" s="4" t="str">
        <v>Kenya, Malawi, Nepal, Pakistan, India, Ethiopia, Nigeria, Sri Lanka</v>
      </c>
      <c r="G27" s="5">
        <v>1</v>
      </c>
      <c r="H27" s="5">
        <v>146250</v>
      </c>
      <c r="I27" s="4" t="str">
        <v>-</v>
      </c>
      <c r="J27" s="4">
        <v>4642</v>
      </c>
    </row>
    <row r="28" ht="50" customHeight="1" xml:space="preserve">
      <c r="B28" s="4" t="str">
        <v>IWMI</v>
      </c>
      <c r="D28" s="4" t="str">
        <v>This outlook provides the Commission on Water for Food Futures with evidence based research to enable global food system planners to prioritize investments and coordinate long-term international policy interventions.</v>
      </c>
      <c r="E28" s="4" t="str">
        <v>Number of knowledge products</v>
      </c>
      <c r="F28" s="4" t="str">
        <v>India, Pakistan, Malawi, Kenya, Nepal, Ethiopia, Sri Lanka, Nigeria</v>
      </c>
      <c r="G28" s="5">
        <v>1</v>
      </c>
      <c r="H28" s="5">
        <v>50000</v>
      </c>
      <c r="I28" s="4" t="str" xml:space="preserve">
        <v xml:space="preserve">Budget and partner to be added Q1 2026
</v>
      </c>
      <c r="J28" s="4">
        <v>4643</v>
      </c>
    </row>
    <row r="29" ht="25" customHeight="1">
      <c r="C29" s="9" t="str">
        <v>HLO budget subtotal</v>
      </c>
      <c r="H29" s="9">
        <v>1870188</v>
      </c>
      <c r="J29" s="9" t="str">
        <v/>
      </c>
    </row>
  </sheetData>
  <mergeCells count="15">
    <mergeCell ref="A1:A2"/>
    <mergeCell ref="B1:B2"/>
    <mergeCell ref="C1:C2"/>
    <mergeCell ref="D1:H1"/>
    <mergeCell ref="I1:I2"/>
    <mergeCell ref="J1:J2"/>
    <mergeCell ref="C3:C6"/>
    <mergeCell ref="C7:C8"/>
    <mergeCell ref="C9:G9"/>
    <mergeCell ref="A3:A9"/>
    <mergeCell ref="C10:C12"/>
    <mergeCell ref="C13:C25"/>
    <mergeCell ref="C26:C28"/>
    <mergeCell ref="C29:G29"/>
    <mergeCell ref="A10:A29"/>
  </mergeCells>
  <ignoredErrors>
    <ignoredError numberStoredAsText="1" sqref="A1:J29"/>
  </ignoredErrors>
</worksheet>
</file>

<file path=xl/worksheets/sheet3.xml><?xml version="1.0" encoding="utf-8"?>
<worksheet xmlns="http://schemas.openxmlformats.org/spreadsheetml/2006/main" xmlns:r="http://schemas.openxmlformats.org/officeDocument/2006/relationships">
  <dimension ref="A1:G1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 xml:space="preserve">AOW03: Governance and Political Economy </v>
      </c>
      <c r="B2" s="4" t="str">
        <v>Unknown Partner 1</v>
      </c>
      <c r="C2" s="4" t="str">
        <v>IWMI</v>
      </c>
      <c r="D2" s="4" t="str">
        <v>Nigeria, India, Kenya, Ethiopia</v>
      </c>
      <c r="E2" s="5">
        <v>27975</v>
      </c>
      <c r="F2" s="4" t="str">
        <v>partner(s) name not specified yet</v>
      </c>
      <c r="G2" s="4">
        <v>462</v>
      </c>
    </row>
    <row r="3" ht="25" customHeight="1">
      <c r="B3" s="9" t="str">
        <v>Contracted partners subtotal</v>
      </c>
      <c r="E3" s="9">
        <v>27975</v>
      </c>
      <c r="F3" s="9" t="str">
        <v/>
      </c>
      <c r="G3" s="9" t="str">
        <v/>
      </c>
    </row>
    <row r="4" ht="50" customHeight="1">
      <c r="A4" s="8" t="str">
        <v>AOW04: Water, Energy, Food Nexus</v>
      </c>
      <c r="B4" s="4" t="str">
        <v>Department of Water Resources and Irrigation, and Parliamentary Committee (Nepal)</v>
      </c>
      <c r="C4" s="4" t="str">
        <v>IWMI</v>
      </c>
      <c r="D4" s="4" t="str">
        <v>Nepal</v>
      </c>
      <c r="E4" s="5">
        <v>4000</v>
      </c>
      <c r="F4" s="4" t="str">
        <v>partner 2026 budget</v>
      </c>
      <c r="G4" s="4">
        <v>146</v>
      </c>
    </row>
    <row r="5" ht="50" customHeight="1" xml:space="preserve">
      <c r="A5" s="4" t="str">
        <v>AOW04: Water, Energy, Food Nexus</v>
      </c>
      <c r="B5" s="4" t="str">
        <v>Ministry of Agriculture and Food Security, Nigeria</v>
      </c>
      <c r="C5" s="4" t="str">
        <v>IWMI</v>
      </c>
      <c r="D5" s="4" t="str">
        <v>Nigeria</v>
      </c>
      <c r="E5" s="5">
        <v>5230</v>
      </c>
      <c r="F5" s="4" t="str" xml:space="preserve">
        <v xml:space="preserve">"Federal Ministry of Water Resources and Sanitation, Department of Irrigation and Drainage - $5,230 (All activities)
"</v>
      </c>
      <c r="G5" s="4">
        <v>147</v>
      </c>
    </row>
    <row r="6" ht="50" customHeight="1">
      <c r="A6" s="4" t="str">
        <v>AOW04: Water, Energy, Food Nexus</v>
      </c>
      <c r="B6" s="4" t="str">
        <v>Ministry of Irrigation and Lowlands, Ethiopia</v>
      </c>
      <c r="C6" s="4" t="str">
        <v>IWMI</v>
      </c>
      <c r="D6" s="4" t="str">
        <v>Ethiopia</v>
      </c>
      <c r="E6" s="5">
        <v>7500</v>
      </c>
      <c r="F6" s="4" t="str">
        <v>partner 2026 budget</v>
      </c>
      <c r="G6" s="4">
        <v>148</v>
      </c>
    </row>
    <row r="7" ht="50" customHeight="1">
      <c r="A7" s="4" t="str">
        <v>AOW04: Water, Energy, Food Nexus</v>
      </c>
      <c r="B7" s="4" t="str">
        <v>Ministry of Agriculture, Ethiopia</v>
      </c>
      <c r="C7" s="4" t="str">
        <v>IWMI</v>
      </c>
      <c r="D7" s="4" t="str">
        <v>Ethiopia</v>
      </c>
      <c r="E7" s="5">
        <v>7500</v>
      </c>
      <c r="F7" s="4" t="str">
        <v>partner 2026 budget</v>
      </c>
      <c r="G7" s="4">
        <v>149</v>
      </c>
    </row>
    <row r="8" ht="50" customHeight="1">
      <c r="A8" s="4" t="str">
        <v>AOW04: Water, Energy, Food Nexus</v>
      </c>
      <c r="B8" s="4" t="str">
        <v>Indian Council of Agricultural Research</v>
      </c>
      <c r="C8" s="4" t="str">
        <v>IWMI</v>
      </c>
      <c r="D8" s="4" t="str">
        <v>India</v>
      </c>
      <c r="E8" s="5">
        <v>15000</v>
      </c>
      <c r="F8" s="4" t="str">
        <v>Partner 2026 budget</v>
      </c>
      <c r="G8" s="4">
        <v>150</v>
      </c>
    </row>
    <row r="9" ht="50" customHeight="1">
      <c r="A9" s="4" t="str">
        <v>AOW04: Water, Energy, Food Nexus</v>
      </c>
      <c r="B9" s="4" t="str">
        <v>Irrigation and Power Department (Punjab, India)</v>
      </c>
      <c r="C9" s="4" t="str">
        <v>IWMI</v>
      </c>
      <c r="D9" s="4" t="str">
        <v>India</v>
      </c>
      <c r="E9" s="5">
        <v>9000</v>
      </c>
      <c r="F9" s="4" t="str">
        <v>2026 partner budget</v>
      </c>
      <c r="G9" s="4">
        <v>151</v>
      </c>
    </row>
    <row r="10" ht="50" customHeight="1">
      <c r="A10" s="4" t="str">
        <v>AOW04: Water, Energy, Food Nexus</v>
      </c>
      <c r="B10" s="4" t="str">
        <v xml:space="preserve"> Pakistan Institute of Development Economics</v>
      </c>
      <c r="C10" s="4" t="str">
        <v>IWMI</v>
      </c>
      <c r="D10" s="4" t="str">
        <v>Pakistan</v>
      </c>
      <c r="E10" s="5">
        <v>4000</v>
      </c>
      <c r="F10" s="4" t="str">
        <v>partner 2026 budget</v>
      </c>
      <c r="G10" s="4">
        <v>152</v>
      </c>
    </row>
    <row r="11" ht="50" customHeight="1">
      <c r="A11" s="4" t="str">
        <v>AOW04: Water, Energy, Food Nexus</v>
      </c>
      <c r="B11" s="4" t="str">
        <v xml:space="preserve"> Khwaja Fareed University of Engineering and Information Technology (Pakistan)</v>
      </c>
      <c r="C11" s="4" t="str">
        <v>IWMI</v>
      </c>
      <c r="D11" s="4" t="str">
        <v>Pakistan</v>
      </c>
      <c r="E11" s="5">
        <v>25068</v>
      </c>
      <c r="F11" s="4" t="str">
        <v>partner 2026 budget</v>
      </c>
      <c r="G11" s="4">
        <v>153</v>
      </c>
    </row>
    <row r="12" ht="25" customHeight="1">
      <c r="B12" s="9" t="str">
        <v>Contracted partners subtotal</v>
      </c>
      <c r="E12" s="9">
        <v>77298</v>
      </c>
      <c r="F12" s="9" t="str">
        <v/>
      </c>
      <c r="G12" s="9" t="str">
        <v/>
      </c>
    </row>
  </sheetData>
  <mergeCells count="4">
    <mergeCell ref="B3:D3"/>
    <mergeCell ref="A2:A3"/>
    <mergeCell ref="B12:D12"/>
    <mergeCell ref="A4:A12"/>
  </mergeCells>
  <ignoredErrors>
    <ignoredError numberStoredAsText="1" sqref="A1:G12"/>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IWMI</v>
      </c>
      <c r="B2" s="4" t="str">
        <v>W-D-0424-WRAP C1</v>
      </c>
      <c r="C2" s="4" t="str">
        <v>4.1. Agenda Setting for WEFE Nexus Policy</v>
      </c>
      <c r="D2" s="5">
        <v>343260</v>
      </c>
      <c r="E2" s="4" t="str">
        <v>no assumption</v>
      </c>
      <c r="F2" s="4">
        <v>848</v>
      </c>
    </row>
    <row r="3" ht="60" customHeight="1">
      <c r="A3" s="4" t="str">
        <v>IWMI</v>
      </c>
      <c r="B3" s="4" t="str">
        <v>W-D-0467-EU - Balochistan WR Programme</v>
      </c>
      <c r="C3" s="4" t="str">
        <v>4.2. National Policy response on WEFE Nexus</v>
      </c>
      <c r="D3" s="5">
        <v>222030</v>
      </c>
      <c r="E3" s="4" t="str">
        <v>no assumption</v>
      </c>
      <c r="F3" s="4">
        <v>845</v>
      </c>
    </row>
    <row r="4" ht="60" customHeight="1">
      <c r="A4" s="4" t="str">
        <v>IWMI</v>
      </c>
      <c r="B4" s="4" t="str">
        <v>W-D-0532-Water Tracker - Phase 2</v>
      </c>
      <c r="C4" s="4" t="str">
        <v>4.2. National Policy response on WEFE Nexus</v>
      </c>
      <c r="D4" s="5">
        <v>0</v>
      </c>
      <c r="E4" s="4" t="str">
        <v/>
      </c>
      <c r="F4" s="4">
        <v>843</v>
      </c>
    </row>
    <row r="5" ht="60" customHeight="1">
      <c r="A5" s="4" t="str">
        <v>IWMI</v>
      </c>
      <c r="B5" s="4" t="str">
        <v>W-D-0536 - Blue Peace Central Asia Initiative 2.0 (BPCA 2.0)</v>
      </c>
      <c r="C5" s="4" t="str">
        <v>4.2. National Policy response on WEFE Nexus</v>
      </c>
      <c r="D5" s="5">
        <v>1324263</v>
      </c>
      <c r="E5" s="4" t="str">
        <v>no assumption</v>
      </c>
      <c r="F5" s="4">
        <v>847</v>
      </c>
    </row>
    <row r="6" ht="25" customHeight="1">
      <c r="B6" s="9" t="str">
        <v>W3/Bilateral budget subtotal</v>
      </c>
      <c r="D6" s="9">
        <v>1889553</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Area of Work Leads</v>
      </c>
      <c r="D2" s="5">
        <v>99720</v>
      </c>
      <c r="E2" s="4" t="str">
        <v>AoW Lead</v>
      </c>
      <c r="F2" s="4">
        <v>70</v>
      </c>
      <c r="G2" s="4">
        <v>3</v>
      </c>
    </row>
    <row r="3" ht="25" customHeight="1">
      <c r="C3" s="9" t="str">
        <v>Cross-cutting budget subtotal</v>
      </c>
      <c r="D3" s="9">
        <v>99720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99720</v>
      </c>
      <c r="C2" s="5">
        <v>0</v>
      </c>
      <c r="D2" s="5">
        <v>0</v>
      </c>
      <c r="E2" s="5">
        <v>282142</v>
      </c>
      <c r="F2" s="5">
        <v>1387227</v>
      </c>
      <c r="G2" s="5">
        <v>0</v>
      </c>
      <c r="H2" s="5">
        <v>0</v>
      </c>
      <c r="I2" s="5">
        <f>=SUM(B2:H2)</f>
        <v>0</v>
      </c>
    </row>
    <row r="3" ht="20" customHeight="1">
      <c r="A3" s="4" t="str">
        <v>Operations (supplies, consultants, travels, workshops, other)</v>
      </c>
      <c r="B3" s="5">
        <v>0</v>
      </c>
      <c r="C3" s="5">
        <v>0</v>
      </c>
      <c r="D3" s="5">
        <v>0</v>
      </c>
      <c r="E3" s="5">
        <v>67985</v>
      </c>
      <c r="F3" s="5">
        <v>405663</v>
      </c>
      <c r="G3" s="5">
        <v>0</v>
      </c>
      <c r="H3" s="5">
        <v>0</v>
      </c>
      <c r="I3" s="5">
        <f>=SUM(B3:H3)</f>
        <v>0</v>
      </c>
    </row>
    <row r="4" ht="20" customHeight="1">
      <c r="A4" s="4" t="str">
        <v>Collaborators non-CGIAR centers</v>
      </c>
      <c r="B4" s="5">
        <v>0</v>
      </c>
      <c r="C4" s="5">
        <v>0</v>
      </c>
      <c r="D4" s="5">
        <v>0</v>
      </c>
      <c r="E4" s="5">
        <v>27975</v>
      </c>
      <c r="F4" s="5">
        <v>77298</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1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Pakistan</v>
      </c>
      <c r="D2" s="5">
        <v>100</v>
      </c>
      <c r="E2" s="4">
        <v>343</v>
      </c>
    </row>
    <row r="3" ht="45" customHeight="1">
      <c r="A3" s="8" t="str">
        <v xml:space="preserve">AOW03: Governance and Political Economy </v>
      </c>
      <c r="B3" s="4" t="str">
        <v>IWMI</v>
      </c>
      <c r="C3" s="4" t="str">
        <v>Ethiopia</v>
      </c>
      <c r="D3" s="5">
        <v>25</v>
      </c>
      <c r="E3" s="4">
        <v>1032</v>
      </c>
    </row>
    <row r="4" ht="45" customHeight="1">
      <c r="A4" s="4" t="str">
        <v xml:space="preserve">AOW03: Governance and Political Economy </v>
      </c>
      <c r="B4" s="4" t="str">
        <v>IWMI</v>
      </c>
      <c r="C4" s="4" t="str">
        <v>India</v>
      </c>
      <c r="D4" s="5">
        <v>25</v>
      </c>
      <c r="E4" s="4">
        <v>1033</v>
      </c>
    </row>
    <row r="5" ht="45" customHeight="1">
      <c r="A5" s="4" t="str">
        <v xml:space="preserve">AOW03: Governance and Political Economy </v>
      </c>
      <c r="B5" s="4" t="str">
        <v>IWMI</v>
      </c>
      <c r="C5" s="4" t="str">
        <v>Kenya</v>
      </c>
      <c r="D5" s="5">
        <v>25</v>
      </c>
      <c r="E5" s="4">
        <v>1034</v>
      </c>
    </row>
    <row r="6" ht="45" customHeight="1">
      <c r="A6" s="4" t="str">
        <v xml:space="preserve">AOW03: Governance and Political Economy </v>
      </c>
      <c r="B6" s="4" t="str">
        <v>IWMI</v>
      </c>
      <c r="C6" s="4" t="str">
        <v>Nigeria</v>
      </c>
      <c r="D6" s="5">
        <v>25</v>
      </c>
      <c r="E6" s="4">
        <v>1031</v>
      </c>
    </row>
    <row r="7" ht="45" customHeight="1">
      <c r="A7" s="4" t="str">
        <v xml:space="preserve">AOW03: Governance and Political Economy </v>
      </c>
      <c r="B7" s="4" t="str">
        <v>IWMI</v>
      </c>
      <c r="C7" s="4" t="str">
        <v>United Kingdom of Great Britain and Northern Ireland</v>
      </c>
      <c r="D7" s="5">
        <v>0</v>
      </c>
      <c r="E7" s="4">
        <v>1030</v>
      </c>
    </row>
    <row r="8" ht="45" customHeight="1">
      <c r="A8" s="8" t="str">
        <v>AOW04: Water, Energy, Food Nexus</v>
      </c>
      <c r="B8" s="4" t="str">
        <v>IWMI</v>
      </c>
      <c r="C8" s="4" t="str">
        <v>Ethiopia</v>
      </c>
      <c r="D8" s="5">
        <v>20</v>
      </c>
      <c r="E8" s="4">
        <v>1035</v>
      </c>
    </row>
    <row r="9" ht="45" customHeight="1">
      <c r="A9" s="4" t="str">
        <v>AOW04: Water, Energy, Food Nexus</v>
      </c>
      <c r="B9" s="4" t="str">
        <v>IWMI</v>
      </c>
      <c r="C9" s="4" t="str">
        <v>India</v>
      </c>
      <c r="D9" s="5">
        <v>23</v>
      </c>
      <c r="E9" s="4">
        <v>1036</v>
      </c>
    </row>
    <row r="10" ht="45" customHeight="1">
      <c r="A10" s="4" t="str">
        <v>AOW04: Water, Energy, Food Nexus</v>
      </c>
      <c r="B10" s="4" t="str">
        <v>IWMI</v>
      </c>
      <c r="C10" s="4" t="str">
        <v>Kenya</v>
      </c>
      <c r="D10" s="5">
        <v>2</v>
      </c>
      <c r="E10" s="4">
        <v>1037</v>
      </c>
    </row>
    <row r="11" ht="45" customHeight="1">
      <c r="A11" s="4" t="str">
        <v>AOW04: Water, Energy, Food Nexus</v>
      </c>
      <c r="B11" s="4" t="str">
        <v>IWMI</v>
      </c>
      <c r="C11" s="4" t="str">
        <v>Malawi</v>
      </c>
      <c r="D11" s="5">
        <v>2</v>
      </c>
      <c r="E11" s="4">
        <v>1038</v>
      </c>
    </row>
    <row r="12" ht="45" customHeight="1">
      <c r="A12" s="4" t="str">
        <v>AOW04: Water, Energy, Food Nexus</v>
      </c>
      <c r="B12" s="4" t="str">
        <v>IWMI</v>
      </c>
      <c r="C12" s="4" t="str">
        <v>Nepal</v>
      </c>
      <c r="D12" s="5">
        <v>10</v>
      </c>
      <c r="E12" s="4">
        <v>1039</v>
      </c>
    </row>
    <row r="13" ht="45" customHeight="1">
      <c r="A13" s="4" t="str">
        <v>AOW04: Water, Energy, Food Nexus</v>
      </c>
      <c r="B13" s="4" t="str">
        <v>IWMI</v>
      </c>
      <c r="C13" s="4" t="str">
        <v>Nigeria</v>
      </c>
      <c r="D13" s="5">
        <v>10</v>
      </c>
      <c r="E13" s="4">
        <v>1040</v>
      </c>
    </row>
    <row r="14" ht="45" customHeight="1">
      <c r="A14" s="4" t="str">
        <v>AOW04: Water, Energy, Food Nexus</v>
      </c>
      <c r="B14" s="4" t="str">
        <v>IWMI</v>
      </c>
      <c r="C14" s="4" t="str">
        <v>Pakistan</v>
      </c>
      <c r="D14" s="5">
        <v>20</v>
      </c>
      <c r="E14" s="4">
        <v>1041</v>
      </c>
    </row>
    <row r="15" ht="45" customHeight="1">
      <c r="A15" s="4" t="str">
        <v>AOW04: Water, Energy, Food Nexus</v>
      </c>
      <c r="B15" s="4" t="str">
        <v>IWMI</v>
      </c>
      <c r="C15" s="4" t="str">
        <v>Sri Lanka</v>
      </c>
      <c r="D15" s="5">
        <v>13</v>
      </c>
      <c r="E15" s="4">
        <v>1042</v>
      </c>
    </row>
  </sheetData>
  <mergeCells count="3">
    <mergeCell ref="A2"/>
    <mergeCell ref="A3:A7"/>
    <mergeCell ref="A8:A15"/>
  </mergeCells>
  <ignoredErrors>
    <ignoredError numberStoredAsText="1" sqref="A1:E15"/>
  </ignoredErrors>
</worksheet>
</file>

<file path=xl/worksheets/sheet9.xml><?xml version="1.0" encoding="utf-8"?>
<worksheet xmlns="http://schemas.openxmlformats.org/spreadsheetml/2006/main" xmlns:r="http://schemas.openxmlformats.org/officeDocument/2006/relationships">
  <dimension ref="A1:F1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Global</v>
      </c>
      <c r="D2" s="4" t="str">
        <v>global</v>
      </c>
      <c r="E2" s="5">
        <v>100</v>
      </c>
      <c r="F2" s="4">
        <v>189</v>
      </c>
    </row>
    <row r="3" ht="45" customHeight="1">
      <c r="A3" s="8" t="str">
        <v xml:space="preserve">AOW03: Governance and Political Economy </v>
      </c>
      <c r="B3" s="4" t="str">
        <v>IWMI</v>
      </c>
      <c r="C3" s="4" t="str">
        <v>Brazil</v>
      </c>
      <c r="D3" s="4" t="str">
        <v>country</v>
      </c>
      <c r="E3" s="5">
        <v>0</v>
      </c>
      <c r="F3" s="4">
        <v>311</v>
      </c>
    </row>
    <row r="4" ht="45" customHeight="1">
      <c r="A4" s="4" t="str">
        <v xml:space="preserve">AOW03: Governance and Political Economy </v>
      </c>
      <c r="B4" s="4" t="str">
        <v>IWMI</v>
      </c>
      <c r="C4" s="4" t="str">
        <v>Ethiopia</v>
      </c>
      <c r="D4" s="4" t="str">
        <v>country</v>
      </c>
      <c r="E4" s="5">
        <v>25</v>
      </c>
      <c r="F4" s="4">
        <v>315</v>
      </c>
    </row>
    <row r="5" ht="45" customHeight="1">
      <c r="A5" s="4" t="str">
        <v xml:space="preserve">AOW03: Governance and Political Economy </v>
      </c>
      <c r="B5" s="4" t="str">
        <v>IWMI</v>
      </c>
      <c r="C5" s="4" t="str">
        <v>India</v>
      </c>
      <c r="D5" s="4" t="str">
        <v>country</v>
      </c>
      <c r="E5" s="5">
        <v>25</v>
      </c>
      <c r="F5" s="4">
        <v>314</v>
      </c>
    </row>
    <row r="6" ht="45" customHeight="1">
      <c r="A6" s="4" t="str">
        <v xml:space="preserve">AOW03: Governance and Political Economy </v>
      </c>
      <c r="B6" s="4" t="str">
        <v>IWMI</v>
      </c>
      <c r="C6" s="4" t="str">
        <v>Kenya</v>
      </c>
      <c r="D6" s="4" t="str">
        <v>country</v>
      </c>
      <c r="E6" s="5">
        <v>25</v>
      </c>
      <c r="F6" s="4">
        <v>313</v>
      </c>
    </row>
    <row r="7" ht="45" customHeight="1">
      <c r="A7" s="4" t="str">
        <v xml:space="preserve">AOW03: Governance and Political Economy </v>
      </c>
      <c r="B7" s="4" t="str">
        <v>IWMI</v>
      </c>
      <c r="C7" s="4" t="str">
        <v>Nigeria</v>
      </c>
      <c r="D7" s="4" t="str">
        <v>country</v>
      </c>
      <c r="E7" s="5">
        <v>25</v>
      </c>
      <c r="F7" s="4">
        <v>312</v>
      </c>
    </row>
    <row r="8" ht="45" customHeight="1">
      <c r="A8" s="8" t="str">
        <v>AOW04: Water, Energy, Food Nexus</v>
      </c>
      <c r="B8" s="4" t="str">
        <v>IWMI</v>
      </c>
      <c r="C8" s="4" t="str">
        <v>Global</v>
      </c>
      <c r="D8" s="4" t="str">
        <v>global</v>
      </c>
      <c r="E8" s="5">
        <v>16</v>
      </c>
      <c r="F8" s="4">
        <v>316</v>
      </c>
    </row>
    <row r="9" ht="45" customHeight="1">
      <c r="A9" s="4" t="str">
        <v>AOW04: Water, Energy, Food Nexus</v>
      </c>
      <c r="B9" s="4" t="str">
        <v>IWMI</v>
      </c>
      <c r="C9" s="4" t="str">
        <v>Ethiopia</v>
      </c>
      <c r="D9" s="4" t="str">
        <v>country</v>
      </c>
      <c r="E9" s="5">
        <v>20</v>
      </c>
      <c r="F9" s="4">
        <v>323</v>
      </c>
    </row>
    <row r="10" ht="45" customHeight="1">
      <c r="A10" s="4" t="str">
        <v>AOW04: Water, Energy, Food Nexus</v>
      </c>
      <c r="B10" s="4" t="str">
        <v>IWMI</v>
      </c>
      <c r="C10" s="4" t="str">
        <v>India</v>
      </c>
      <c r="D10" s="4" t="str">
        <v>country</v>
      </c>
      <c r="E10" s="5">
        <v>24</v>
      </c>
      <c r="F10" s="4">
        <v>322</v>
      </c>
    </row>
    <row r="11" ht="45" customHeight="1">
      <c r="A11" s="4" t="str">
        <v>AOW04: Water, Energy, Food Nexus</v>
      </c>
      <c r="B11" s="4" t="str">
        <v>IWMI</v>
      </c>
      <c r="C11" s="4" t="str">
        <v>Kenya</v>
      </c>
      <c r="D11" s="4" t="str">
        <v>country</v>
      </c>
      <c r="E11" s="5">
        <v>2</v>
      </c>
      <c r="F11" s="4">
        <v>317</v>
      </c>
    </row>
    <row r="12" ht="45" customHeight="1">
      <c r="A12" s="4" t="str">
        <v>AOW04: Water, Energy, Food Nexus</v>
      </c>
      <c r="B12" s="4" t="str">
        <v>IWMI</v>
      </c>
      <c r="C12" s="4" t="str">
        <v>Malawi</v>
      </c>
      <c r="D12" s="4" t="str">
        <v>country</v>
      </c>
      <c r="E12" s="5">
        <v>2</v>
      </c>
      <c r="F12" s="4">
        <v>319</v>
      </c>
    </row>
    <row r="13" ht="45" customHeight="1">
      <c r="A13" s="4" t="str">
        <v>AOW04: Water, Energy, Food Nexus</v>
      </c>
      <c r="B13" s="4" t="str">
        <v>IWMI</v>
      </c>
      <c r="C13" s="4" t="str">
        <v>Nepal</v>
      </c>
      <c r="D13" s="4" t="str">
        <v>country</v>
      </c>
      <c r="E13" s="5">
        <v>9</v>
      </c>
      <c r="F13" s="4">
        <v>321</v>
      </c>
    </row>
    <row r="14" ht="45" customHeight="1">
      <c r="A14" s="4" t="str">
        <v>AOW04: Water, Energy, Food Nexus</v>
      </c>
      <c r="B14" s="4" t="str">
        <v>IWMI</v>
      </c>
      <c r="C14" s="4" t="str">
        <v>Nigeria</v>
      </c>
      <c r="D14" s="4" t="str">
        <v>country</v>
      </c>
      <c r="E14" s="5">
        <v>9</v>
      </c>
      <c r="F14" s="4">
        <v>320</v>
      </c>
    </row>
    <row r="15" ht="45" customHeight="1">
      <c r="A15" s="4" t="str">
        <v>AOW04: Water, Energy, Food Nexus</v>
      </c>
      <c r="B15" s="4" t="str">
        <v>IWMI</v>
      </c>
      <c r="C15" s="4" t="str">
        <v>Pakistan</v>
      </c>
      <c r="D15" s="4" t="str">
        <v>country</v>
      </c>
      <c r="E15" s="5">
        <v>18</v>
      </c>
      <c r="F15" s="4">
        <v>318</v>
      </c>
    </row>
  </sheetData>
  <mergeCells count="3">
    <mergeCell ref="A2"/>
    <mergeCell ref="A3:A7"/>
    <mergeCell ref="A8:A15"/>
  </mergeCells>
  <ignoredErrors>
    <ignoredError numberStoredAsText="1" sqref="A1:F15"/>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Foresight and Prioritization </v>
      </c>
      <c r="B2" s="4" t="str">
        <v>Breeding for Tomorrow</v>
      </c>
      <c r="C2" s="4" t="str">
        <v>1.2. Policy evaluations, investment studies, and crisis response</v>
      </c>
      <c r="D2" s="4" t="str">
        <v>Global R&amp;D Impacts and Opportunities (RIO) Report. Policy Innovations is developing the global modeling system and using it to measure returns. B4T is leading analysis of direct returns to R&amp;D spending using ASTI data.</v>
      </c>
      <c r="E2" s="4">
        <v>857</v>
      </c>
    </row>
    <row r="3" ht="60" customHeight="1">
      <c r="A3" s="4" t="str">
        <v xml:space="preserve">AOW01: Foresight and Prioritization </v>
      </c>
      <c r="B3" s="4" t="str">
        <v xml:space="preserve">Sustainable Animal and Aquatic Foods </v>
      </c>
      <c r="C3" s="4" t="str">
        <v xml:space="preserve">1.1 Global and regional outlooks </v>
      </c>
      <c r="D3" s="4" t="str">
        <v>2027 Global Outlook Report: Animals in Low-Carbon Food Systems. Policy Innovations is leading the development of the report, and people from SAAF are contributing to chapters.</v>
      </c>
      <c r="E3" s="4">
        <v>858</v>
      </c>
    </row>
    <row r="4" ht="60" customHeight="1" xml:space="preserve">
      <c r="A4" s="8" t="str">
        <v>AOW02: Market-led Transformation</v>
      </c>
      <c r="B4" s="4" t="str">
        <v xml:space="preserve">Sustainable Farming </v>
      </c>
      <c r="C4" s="4" t="str">
        <v>2.2.  National Policy Response on agricultural Reforms</v>
      </c>
      <c r="D4" s="4" t="str" xml:space="preserve">
        <v xml:space="preserve">Fertilizer subsidy innovation study
</v>
      </c>
      <c r="E4" s="4">
        <v>856</v>
      </c>
    </row>
    <row r="5" ht="60" customHeight="1">
      <c r="A5" s="4" t="str">
        <v>AOW02: Market-led Transformation</v>
      </c>
      <c r="B5" s="4" t="str">
        <v>Better Diets and Nutrition</v>
      </c>
      <c r="C5" s="4" t="str">
        <v>2.2.  National Policy Response on agricultural Reforms</v>
      </c>
      <c r="D5" s="4" t="str">
        <v>Evidence based policy insights for promoting nutrient dense crops and commodities</v>
      </c>
      <c r="E5" s="4">
        <v>1285</v>
      </c>
    </row>
    <row r="6" ht="60" customHeight="1">
      <c r="A6" s="8" t="str">
        <v xml:space="preserve">AOW03: Governance and Political Economy </v>
      </c>
      <c r="B6" s="4" t="str">
        <v>Scaling for Impact</v>
      </c>
      <c r="C6" s="4" t="str">
        <v>3.3. Capacity sharing on political economy and policy process tools and methods</v>
      </c>
      <c r="D6" s="4" t="str">
        <v>Scaling of Innovations/tools.</v>
      </c>
      <c r="E6" s="4">
        <v>853</v>
      </c>
    </row>
    <row r="7" ht="60" customHeight="1">
      <c r="A7" s="4" t="str">
        <v xml:space="preserve">AOW03: Governance and Political Economy </v>
      </c>
      <c r="B7" s="4" t="str">
        <v>Better Diets and Nutrition</v>
      </c>
      <c r="C7" s="4" t="str">
        <v>3.2. Improved coherence, coordination, and implementation</v>
      </c>
      <c r="D7" s="4" t="str">
        <v xml:space="preserve">Analytical report and mapping of global food system governance initiatives by multilateral and regional bodies that identifies why some have been sustainable and others have faltered </v>
      </c>
      <c r="E7" s="4">
        <v>854</v>
      </c>
    </row>
    <row r="8" ht="60" customHeight="1" xml:space="preserve">
      <c r="A8" s="4" t="str">
        <v xml:space="preserve">AOW03: Governance and Political Economy </v>
      </c>
      <c r="B8" s="4" t="str">
        <v>Better Diets and Nutrition</v>
      </c>
      <c r="C8" s="4" t="str">
        <v>3.1. Global Governance Agenda Setting</v>
      </c>
      <c r="D8" s="4" t="str" xml:space="preserve">
        <v xml:space="preserve">Special journal issue on Rebuilding Global Food Systems Governance under a crisis of Multilateralism 
</v>
      </c>
      <c r="E8" s="4">
        <v>855</v>
      </c>
    </row>
    <row r="9" ht="60" customHeight="1">
      <c r="A9" s="8" t="str">
        <v>AOW04: Water, Energy, Food Nexus</v>
      </c>
      <c r="B9" s="4" t="str">
        <v xml:space="preserve">Multifunctional Landscapes </v>
      </c>
      <c r="C9" s="4" t="str">
        <v>4.3. Local Institutional Capacity sharing on WEFE Nexus</v>
      </c>
      <c r="D9" s="4" t="str">
        <v>Capacity development of professional on improved environmental flow tools for National Governments</v>
      </c>
      <c r="E9" s="4">
        <v>849</v>
      </c>
    </row>
    <row r="10" ht="60" customHeight="1">
      <c r="A10" s="4" t="str">
        <v>AOW04: Water, Energy, Food Nexus</v>
      </c>
      <c r="B10" s="4" t="str">
        <v>Climate Action</v>
      </c>
      <c r="C10" s="4" t="str">
        <v>4.2. National Policy response on WEFE Nexus</v>
      </c>
      <c r="D10" s="4" t="str">
        <v xml:space="preserve">Development of Drought Action Plan for optimizing resource use, enhancing resilience, and deliver cross-sector benefits for the food system in the changing climate. </v>
      </c>
      <c r="E10" s="4">
        <v>850</v>
      </c>
    </row>
    <row r="11" ht="60" customHeight="1">
      <c r="A11" s="4" t="str">
        <v>AOW04: Water, Energy, Food Nexus</v>
      </c>
      <c r="B11" s="4" t="str">
        <v xml:space="preserve">Sustainable Farming </v>
      </c>
      <c r="C11" s="4" t="str">
        <v>4.2. National Policy response on WEFE Nexus</v>
      </c>
      <c r="D11" s="4" t="str">
        <v>Water binding constraint - linked with Critical Capability on estimation of Water productivity in Agriculture</v>
      </c>
      <c r="E11" s="4">
        <v>851</v>
      </c>
    </row>
    <row r="12" ht="60" customHeight="1">
      <c r="A12" s="4" t="str">
        <v>AOW04: Water, Energy, Food Nexus</v>
      </c>
      <c r="B12" s="4" t="str">
        <v>Scaling for Impact</v>
      </c>
      <c r="C12" s="4" t="str">
        <v>4.2. National Policy response on WEFE Nexus</v>
      </c>
      <c r="D12" s="4" t="str">
        <v>Development of the Joint Action Plan to support the Kenya's Irrigation Authority for the extension of the Irrigated area based on water availability</v>
      </c>
      <c r="E12" s="4">
        <v>852</v>
      </c>
    </row>
    <row r="13" ht="60" customHeight="1">
      <c r="A13" s="8" t="str">
        <v>AOW05: Country Engagement/PI Hubs</v>
      </c>
      <c r="B13" s="4" t="str">
        <v>Scaling for Impact</v>
      </c>
      <c r="C13" s="4" t="str">
        <v>5.1. Global Agenda Setting</v>
      </c>
      <c r="D13" s="4" t="str">
        <v>Collaboration on Country Demand Signaling, incl. joint development of country TOCs based on demand letters, survey</v>
      </c>
      <c r="E13" s="4">
        <v>846</v>
      </c>
    </row>
    <row r="14" ht="60" customHeight="1">
      <c r="A14" s="4" t="str">
        <v>AOW05: Country Engagement/PI Hubs</v>
      </c>
      <c r="B14" s="4" t="str">
        <v>Scaling for Impact</v>
      </c>
      <c r="C14" s="4" t="str">
        <v>5.3.  Local Institutional Capacity sharing to adopt and utilize CGIAR tools and methods</v>
      </c>
      <c r="D14" s="4" t="str">
        <v>Convenings with key policy and scaling partners, structured as a policy learning journey using Adaptive Management</v>
      </c>
      <c r="E14" s="4">
        <v>847</v>
      </c>
    </row>
    <row r="15" ht="60" customHeight="1">
      <c r="A15" s="4" t="str">
        <v>AOW05: Country Engagement/PI Hubs</v>
      </c>
      <c r="B15" s="4" t="str">
        <v>Scaling for Impact</v>
      </c>
      <c r="C15" s="4" t="str">
        <v>5.2. National Policy response</v>
      </c>
      <c r="D15" s="4" t="str">
        <v>Convenings with key policy and scaling partners, structured as a policy learning journey using Adaptive Management</v>
      </c>
      <c r="E15" s="4">
        <v>848</v>
      </c>
    </row>
    <row r="16" ht="60" customHeight="1">
      <c r="A16" s="4" t="str">
        <v>AOW05: Country Engagement/PI Hubs</v>
      </c>
      <c r="B16" s="4" t="str">
        <v xml:space="preserve">Multifunctional Landscapes </v>
      </c>
      <c r="C16" s="4" t="str">
        <v>5.2. National Policy response</v>
      </c>
      <c r="D16" s="4" t="str">
        <v>Convenings with key policy and scaling partners, structured as a policy learning journey using Adaptive Management to promote innovations in drought and natural resource management policies</v>
      </c>
      <c r="E16" s="4">
        <v>1286</v>
      </c>
    </row>
    <row r="17" ht="60" customHeight="1">
      <c r="A17" s="8" t="str">
        <v>AOW06: Social Policy and Employment</v>
      </c>
      <c r="B17" s="4" t="str">
        <v>Scaling for Impact</v>
      </c>
      <c r="C17" s="4" t="str">
        <v>6.3. Local Institutional Capacity sharing to strengthen social and employment policies</v>
      </c>
      <c r="D17" s="4" t="str">
        <v>Enabling environment, youth and jobs coordination</v>
      </c>
      <c r="E17" s="4">
        <v>843</v>
      </c>
    </row>
    <row r="18" ht="60" customHeight="1">
      <c r="A18" s="4" t="str">
        <v>AOW06: Social Policy and Employment</v>
      </c>
      <c r="B18" s="4" t="str">
        <v>Food Frontiers and Security</v>
      </c>
      <c r="C18" s="4" t="str">
        <v>6.2. National Policy response to support Social Policies and Employment/jobs creation</v>
      </c>
      <c r="D18" s="4" t="str">
        <v>Social protection, youth and job creation</v>
      </c>
      <c r="E18" s="4">
        <v>844</v>
      </c>
    </row>
    <row r="19" ht="60" customHeight="1">
      <c r="A19" s="4" t="str">
        <v>AOW06: Social Policy and Employment</v>
      </c>
      <c r="B19" s="4" t="str">
        <v xml:space="preserve">Gender Equality and Inclusion </v>
      </c>
      <c r="C19" s="4" t="str">
        <v>6.1. Global Agenda Setting in social policies and jobs</v>
      </c>
      <c r="D19" s="4" t="str">
        <v>Youth inclusion and jobs in agrifood systems</v>
      </c>
      <c r="E19" s="4">
        <v>845</v>
      </c>
    </row>
  </sheetData>
  <mergeCells count="6">
    <mergeCell ref="A2:A3"/>
    <mergeCell ref="A4:A5"/>
    <mergeCell ref="A6:A8"/>
    <mergeCell ref="A9:A12"/>
    <mergeCell ref="A13:A16"/>
    <mergeCell ref="A17:A19"/>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Policy Changes</v>
      </c>
      <c r="C2" s="4" t="str">
        <v/>
      </c>
      <c r="D2" s="4" t="str">
        <v>Number of Policy (Policy Change)</v>
      </c>
      <c r="E2" s="4" t="str">
        <v>Region: Africa, Asia</v>
      </c>
      <c r="F2" s="5">
        <v>33</v>
      </c>
      <c r="G2" s="4">
        <v>471</v>
      </c>
    </row>
    <row r="3" ht="60" customHeight="1">
      <c r="A3" s="4" t="str">
        <v>AOW00: Cross Cutting</v>
      </c>
      <c r="B3" s="4" t="str">
        <v>Innovations used</v>
      </c>
      <c r="C3" s="4" t="str">
        <v/>
      </c>
      <c r="D3" s="4" t="str">
        <v>Innovation Use</v>
      </c>
      <c r="E3" s="4" t="str">
        <v>Region: Africa, Asia</v>
      </c>
      <c r="F3" s="5">
        <v>110</v>
      </c>
      <c r="G3" s="4">
        <v>472</v>
      </c>
    </row>
    <row r="4" ht="60" customHeight="1">
      <c r="A4" s="4" t="str">
        <v>AOW00: Cross Cutting</v>
      </c>
      <c r="B4" s="4" t="str">
        <v>Policies Informed</v>
      </c>
      <c r="C4" s="4" t="str">
        <v/>
      </c>
      <c r="D4" s="4" t="str">
        <v>Number of Policy (Policy Change)</v>
      </c>
      <c r="E4" s="4" t="str">
        <v>Region: Africa, Asia</v>
      </c>
      <c r="F4" s="5">
        <v>69</v>
      </c>
      <c r="G4" s="4">
        <v>473</v>
      </c>
    </row>
  </sheetData>
  <mergeCells count="1">
    <mergeCell ref="A2:A4"/>
  </mergeCells>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