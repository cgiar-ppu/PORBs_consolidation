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157</v>
      </c>
    </row>
    <row r="5" ht="20" customHeight="1">
      <c r="A5" s="4" t="str">
        <v xml:space="preserve">AOW01: Foresight and Prioritization </v>
      </c>
      <c r="B5" s="5">
        <v>0</v>
      </c>
      <c r="C5" s="5">
        <v>0</v>
      </c>
      <c r="D5" s="5">
        <v>0</v>
      </c>
      <c r="E5" s="5">
        <v>0</v>
      </c>
      <c r="F5" s="5">
        <v>0</v>
      </c>
      <c r="G5" s="5">
        <v>0</v>
      </c>
      <c r="H5" s="5">
        <v>0</v>
      </c>
      <c r="I5" s="5">
        <v>0</v>
      </c>
      <c r="J5" s="5">
        <v>0</v>
      </c>
      <c r="K5" s="5">
        <v>0</v>
      </c>
      <c r="L5" s="5">
        <v>0</v>
      </c>
      <c r="M5" s="5">
        <v>0</v>
      </c>
      <c r="N5" s="4">
        <v>151</v>
      </c>
    </row>
    <row r="6" ht="20" customHeight="1">
      <c r="A6" s="4" t="str">
        <v>AOW02: Market-led Transformation</v>
      </c>
      <c r="B6" s="5">
        <v>2</v>
      </c>
      <c r="C6" s="5">
        <v>167087</v>
      </c>
      <c r="D6" s="5">
        <v>7</v>
      </c>
      <c r="E6" s="5">
        <v>149203</v>
      </c>
      <c r="F6" s="5">
        <v>25</v>
      </c>
      <c r="G6" s="5">
        <v>80000</v>
      </c>
      <c r="H6" s="5">
        <v>0</v>
      </c>
      <c r="I6" s="5">
        <v>0</v>
      </c>
      <c r="J6" s="5">
        <v>396290</v>
      </c>
      <c r="K6" s="5">
        <v>396290</v>
      </c>
      <c r="L6" s="5">
        <v>20000</v>
      </c>
      <c r="M6" s="5">
        <v>0</v>
      </c>
      <c r="N6" s="4">
        <v>153</v>
      </c>
    </row>
    <row r="7" ht="20" customHeight="1">
      <c r="A7" s="4" t="str">
        <v xml:space="preserve">AOW03: Governance and Political Economy </v>
      </c>
      <c r="B7" s="5">
        <v>0</v>
      </c>
      <c r="C7" s="5">
        <v>0</v>
      </c>
      <c r="D7" s="5">
        <v>0</v>
      </c>
      <c r="E7" s="5">
        <v>0</v>
      </c>
      <c r="F7" s="5">
        <v>0</v>
      </c>
      <c r="G7" s="5">
        <v>0</v>
      </c>
      <c r="H7" s="5">
        <v>0</v>
      </c>
      <c r="I7" s="5">
        <v>0</v>
      </c>
      <c r="J7" s="5">
        <v>0</v>
      </c>
      <c r="K7" s="5">
        <v>0</v>
      </c>
      <c r="L7" s="5">
        <v>0</v>
      </c>
      <c r="M7" s="5">
        <v>0</v>
      </c>
      <c r="N7" s="4">
        <v>156</v>
      </c>
    </row>
    <row r="8" ht="20" customHeight="1">
      <c r="A8" s="4" t="str">
        <v>AOW04: Water, Energy, Food Nexus</v>
      </c>
      <c r="B8" s="5">
        <v>0</v>
      </c>
      <c r="C8" s="5">
        <v>0</v>
      </c>
      <c r="D8" s="5">
        <v>1</v>
      </c>
      <c r="E8" s="5">
        <v>77212</v>
      </c>
      <c r="F8" s="5">
        <v>0</v>
      </c>
      <c r="G8" s="5">
        <v>0</v>
      </c>
      <c r="H8" s="5">
        <v>0</v>
      </c>
      <c r="I8" s="5">
        <v>0</v>
      </c>
      <c r="J8" s="5">
        <v>77212</v>
      </c>
      <c r="K8" s="5">
        <v>77212</v>
      </c>
      <c r="L8" s="5">
        <v>0</v>
      </c>
      <c r="M8" s="5">
        <v>0</v>
      </c>
      <c r="N8" s="4">
        <v>154</v>
      </c>
    </row>
    <row r="9" ht="20" customHeight="1">
      <c r="A9" s="4" t="str">
        <v>AOW05: Country Engagement/PI Hubs</v>
      </c>
      <c r="B9" s="5">
        <v>0</v>
      </c>
      <c r="C9" s="5">
        <v>0</v>
      </c>
      <c r="D9" s="5">
        <v>0</v>
      </c>
      <c r="E9" s="5">
        <v>0</v>
      </c>
      <c r="F9" s="5">
        <v>0</v>
      </c>
      <c r="G9" s="5">
        <v>0</v>
      </c>
      <c r="H9" s="5">
        <v>0</v>
      </c>
      <c r="I9" s="5">
        <v>0</v>
      </c>
      <c r="J9" s="5">
        <v>0</v>
      </c>
      <c r="K9" s="5">
        <v>0</v>
      </c>
      <c r="L9" s="5">
        <v>0</v>
      </c>
      <c r="M9" s="5">
        <v>0</v>
      </c>
      <c r="N9" s="4">
        <v>152</v>
      </c>
    </row>
    <row r="10" ht="20" customHeight="1">
      <c r="A10" s="4" t="str">
        <v>AOW06: Social Policy and Employment</v>
      </c>
      <c r="B10" s="5">
        <v>0</v>
      </c>
      <c r="C10" s="5">
        <v>0</v>
      </c>
      <c r="D10" s="5">
        <v>0</v>
      </c>
      <c r="E10" s="5">
        <v>0</v>
      </c>
      <c r="F10" s="5">
        <v>0</v>
      </c>
      <c r="G10" s="5">
        <v>0</v>
      </c>
      <c r="H10" s="5">
        <v>0</v>
      </c>
      <c r="I10" s="5">
        <v>0</v>
      </c>
      <c r="J10" s="5">
        <v>0</v>
      </c>
      <c r="K10" s="5">
        <v>0</v>
      </c>
      <c r="L10" s="5">
        <v>0</v>
      </c>
      <c r="M10" s="5">
        <v>0</v>
      </c>
      <c r="N10" s="4">
        <v>155</v>
      </c>
    </row>
    <row r="11" ht="25" customHeight="1">
      <c r="A11" s="6" t="str">
        <v>Total</v>
      </c>
      <c r="B11" s="7" t="str">
        <v/>
      </c>
      <c r="C11" s="7">
        <v>167087</v>
      </c>
      <c r="D11" s="7" t="str">
        <v/>
      </c>
      <c r="E11" s="7">
        <v>226415</v>
      </c>
      <c r="F11" s="7" t="str">
        <v/>
      </c>
      <c r="G11" s="7">
        <v>80000</v>
      </c>
      <c r="H11" s="7" t="str">
        <v/>
      </c>
      <c r="I11" s="7">
        <v>0</v>
      </c>
      <c r="J11" s="7">
        <v>473502</v>
      </c>
      <c r="K11" s="7">
        <v>473502</v>
      </c>
      <c r="L11" s="7">
        <v>20000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1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Market-led Transformation</v>
      </c>
      <c r="B3" s="4" t="str">
        <v>IRRI</v>
      </c>
      <c r="C3" s="4" t="str">
        <v>2.2.  National Policy Response on agricultural Reforms</v>
      </c>
      <c r="D3" s="4" t="str">
        <v>Analysis of impacts of different subsidy policies on groundwater use and rice production in India. Policy recommendations summarized in reports.</v>
      </c>
      <c r="E3" s="4" t="str">
        <v>Number of knowledge products</v>
      </c>
      <c r="F3" s="4" t="str">
        <v>Philippines, India</v>
      </c>
      <c r="G3" s="5">
        <v>2</v>
      </c>
      <c r="H3" s="5">
        <v>20981</v>
      </c>
      <c r="I3" s="4" t="str" xml:space="preserve">
        <v xml:space="preserve">"National Institute of Agricultural Economics and Policy Research - $20,000 (All activities)
"
</v>
      </c>
      <c r="J3" s="4">
        <v>4675</v>
      </c>
    </row>
    <row r="4" ht="50" customHeight="1" xml:space="preserve">
      <c r="B4" s="4" t="str">
        <v>IRRI</v>
      </c>
      <c r="D4" s="4" t="str">
        <v>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v>
      </c>
      <c r="E4" s="4" t="str">
        <v>Number of knowledge products</v>
      </c>
      <c r="F4" s="4" t="str">
        <v>Philippines, India</v>
      </c>
      <c r="G4" s="5">
        <v>2</v>
      </c>
      <c r="H4" s="5">
        <v>65279</v>
      </c>
      <c r="I4" s="4" t="str" xml:space="preserve">
        <v xml:space="preserve">Budget and partners to be added Q1 2026
</v>
      </c>
      <c r="J4" s="4">
        <v>4676</v>
      </c>
    </row>
    <row r="5" ht="50" customHeight="1" xml:space="preserve">
      <c r="B5" s="4" t="str">
        <v>IRRI</v>
      </c>
      <c r="D5" s="4" t="str">
        <v>Analysis of the impacts of resulting future rice trade shifts as well as productivity shocks (improved seeds, fertilizer subsidy, etc.) on agricultural profits, poverty levels, and rural employment (using the Equilibrium Displacement Model).  Policy recommendations produced from country analyses.</v>
      </c>
      <c r="E5" s="4" t="str">
        <v>Number of knowledge products</v>
      </c>
      <c r="F5" s="4" t="str">
        <v>Nepal, Kenya, Uganda, Bangladesh, Ethiopia, India, Nigeria</v>
      </c>
      <c r="G5" s="5">
        <v>2</v>
      </c>
      <c r="H5" s="5">
        <v>41962</v>
      </c>
      <c r="I5" s="4" t="str" xml:space="preserve">
        <v xml:space="preserve">Budget and partners to be added Q1 2026
</v>
      </c>
      <c r="J5" s="4">
        <v>4677</v>
      </c>
    </row>
    <row r="6" ht="50" customHeight="1" xml:space="preserve">
      <c r="B6" s="4" t="str">
        <v>IRRI</v>
      </c>
      <c r="D6" s="4" t="str">
        <v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model. </v>
      </c>
      <c r="E6" s="4" t="str">
        <v>Number of innovations (innovation development)</v>
      </c>
      <c r="F6" s="4" t="str">
        <v>Philippines, India</v>
      </c>
      <c r="G6" s="5">
        <v>2</v>
      </c>
      <c r="H6" s="5">
        <v>167087</v>
      </c>
      <c r="I6" s="4" t="str" xml:space="preserve">
        <v xml:space="preserve">Budget and partners to be added Q1 2026
</v>
      </c>
      <c r="J6" s="4">
        <v>4680</v>
      </c>
    </row>
    <row r="7" ht="50" customHeight="1" xml:space="preserve">
      <c r="B7" s="4" t="str">
        <v>IRRI</v>
      </c>
      <c r="D7" s="4" t="str">
        <v>Analysis of impacts of different subsidy policies on groundwater use and rice production in India. Policies informed based on policy recommendations.</v>
      </c>
      <c r="E7" s="4" t="str">
        <v>Number of knowledge products</v>
      </c>
      <c r="F7" s="4" t="str">
        <v>Philippines, India</v>
      </c>
      <c r="G7" s="5">
        <v>1</v>
      </c>
      <c r="H7" s="5">
        <v>20981</v>
      </c>
      <c r="I7" s="4" t="str" xml:space="preserve">
        <v xml:space="preserve">"National Institute of Agricultural Economics and Policy Research - $20,000 (All activities)
"
</v>
      </c>
      <c r="J7" s="4">
        <v>4682</v>
      </c>
    </row>
    <row r="8" ht="50" customHeight="1">
      <c r="B8" s="4" t="str">
        <v>IRRI</v>
      </c>
      <c r="D8" s="4" t="str">
        <v>High-level, cross-regional policy outreach event in Africa. This initiative will bring together policymakers from Africa, India, and other key rice exporting Asian countries in a focused dialogue designed to translate evidence into policy awareness and actionable policy shifts. The event will move beyond dissemination, enabling structured discussions and engagement around concrete reform pathways, particularly on trade policy and subsidy regimes, while fostering South–South learning.</v>
      </c>
      <c r="E8" s="4" t="str">
        <v>Number of people trained (capacity sharing for development)</v>
      </c>
      <c r="F8" s="4" t="str">
        <v>Philippines, Kenya, India</v>
      </c>
      <c r="G8" s="5">
        <v>25</v>
      </c>
      <c r="H8" s="5">
        <v>80000</v>
      </c>
      <c r="I8" s="4" t="str">
        <v>Additional Budget</v>
      </c>
      <c r="J8" s="4">
        <v>7314</v>
      </c>
    </row>
    <row r="9" ht="25" customHeight="1">
      <c r="C9" s="9" t="str">
        <v>HLO budget subtotal</v>
      </c>
      <c r="H9" s="9">
        <v>396290</v>
      </c>
      <c r="J9" s="9" t="str">
        <v/>
      </c>
    </row>
    <row r="10" ht="50" customHeight="1" xml:space="preserve">
      <c r="A10" s="8" t="str">
        <v>AOW04: Water, Energy, Food Nexus</v>
      </c>
      <c r="B10" s="4" t="str">
        <v>IRRI</v>
      </c>
      <c r="C10" s="4" t="str">
        <v>4.2. National Policy response on WEFE Nexus</v>
      </c>
      <c r="D10" s="4" t="str">
        <v>Utilizes integrated hydrological modeling to optimize and assess WEFE policy tradeoffs, providing regional authorities with technical reports to mitigate groundwater depletion and improve rice production policies.</v>
      </c>
      <c r="E10" s="4" t="str">
        <v>Number of knowledge products</v>
      </c>
      <c r="F10" s="4" t="str">
        <v>Philippines, India</v>
      </c>
      <c r="G10" s="5">
        <v>1</v>
      </c>
      <c r="H10" s="5">
        <v>77212</v>
      </c>
      <c r="I10" s="4" t="str" xml:space="preserve">
        <v xml:space="preserve">Budget and partner to be added Q1 2026
</v>
      </c>
      <c r="J10" s="4">
        <v>4631</v>
      </c>
    </row>
    <row r="11" ht="25" customHeight="1">
      <c r="C11" s="9" t="str">
        <v>HLO budget subtotal</v>
      </c>
      <c r="H11" s="9">
        <v>77212</v>
      </c>
      <c r="J11" s="9" t="str">
        <v/>
      </c>
    </row>
  </sheetData>
  <mergeCells count="11">
    <mergeCell ref="A1:A2"/>
    <mergeCell ref="B1:B2"/>
    <mergeCell ref="C1:C2"/>
    <mergeCell ref="D1:H1"/>
    <mergeCell ref="I1:I2"/>
    <mergeCell ref="J1:J2"/>
    <mergeCell ref="C3:C8"/>
    <mergeCell ref="C9:G9"/>
    <mergeCell ref="A3:A9"/>
    <mergeCell ref="C11:G11"/>
    <mergeCell ref="A10:A11"/>
  </mergeCells>
  <ignoredErrors>
    <ignoredError numberStoredAsText="1" sqref="A1:J11"/>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Market-led Transformation</v>
      </c>
      <c r="B2" s="4" t="str">
        <v>Indian Council of Agricultural Research</v>
      </c>
      <c r="C2" s="4" t="str">
        <v>IRRI</v>
      </c>
      <c r="D2" s="4" t="str">
        <v>India</v>
      </c>
      <c r="E2" s="5">
        <v>20000</v>
      </c>
      <c r="F2" s="4" t="str">
        <v>ICRIER - $20,000 (total for all activities)</v>
      </c>
      <c r="G2" s="4">
        <v>145</v>
      </c>
    </row>
    <row r="3" ht="25" customHeight="1">
      <c r="B3" s="9" t="str">
        <v>Contracted partners subtotal</v>
      </c>
      <c r="E3" s="9">
        <v>20000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R-A-2022-118-Credits Offsetting Rice Emissions</v>
      </c>
      <c r="C2" s="4" t="str">
        <v>6.1. Global Agenda Setting in social policies and jobs</v>
      </c>
      <c r="D2" s="5">
        <v>0</v>
      </c>
      <c r="E2" s="4" t="str">
        <v/>
      </c>
      <c r="F2" s="4">
        <v>834</v>
      </c>
    </row>
    <row r="3" ht="60" customHeight="1">
      <c r="A3" s="4" t="str">
        <v>IRRI</v>
      </c>
      <c r="B3" s="4" t="str">
        <v>R-A-2023-24-ASEAN-CGIAR Innovate for Food Regional Program</v>
      </c>
      <c r="C3" s="4" t="str">
        <v>4.2. National Policy response on WEFE Nexus</v>
      </c>
      <c r="D3" s="5">
        <v>46398</v>
      </c>
      <c r="E3" s="4" t="str">
        <v>no assumption</v>
      </c>
      <c r="F3" s="4">
        <v>846</v>
      </c>
    </row>
    <row r="4" ht="25" customHeight="1">
      <c r="B4" s="9" t="str">
        <v>W3/Bilateral budget subtotal</v>
      </c>
      <c r="D4" s="9">
        <v>46398</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IRRI</v>
      </c>
      <c r="C2" s="4" t="str">
        <v>From Subsidy Support to Sustainable Outcomes: Assessing the Impact of Rice Subsidy Reforms in India on Food Security, Resource Use, and Global Markets</v>
      </c>
      <c r="D2" s="4" t="str">
        <v>Policies Informed</v>
      </c>
      <c r="E2" s="4" t="str">
        <v>N/A</v>
      </c>
      <c r="F2" s="5">
        <v>0</v>
      </c>
      <c r="G2" s="4" t="str">
        <v/>
      </c>
      <c r="H2" s="4">
        <v>287</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0</v>
      </c>
      <c r="D2" s="5">
        <v>254828</v>
      </c>
      <c r="E2" s="5">
        <v>0</v>
      </c>
      <c r="F2" s="5">
        <v>74787</v>
      </c>
      <c r="G2" s="5">
        <v>0</v>
      </c>
      <c r="H2" s="5">
        <v>0</v>
      </c>
      <c r="I2" s="5">
        <f>=SUM(B2:H2)</f>
        <v>0</v>
      </c>
    </row>
    <row r="3" ht="20" customHeight="1">
      <c r="A3" s="4" t="str">
        <v>Operations (supplies, consultants, travels, workshops, other)</v>
      </c>
      <c r="B3" s="5">
        <v>0</v>
      </c>
      <c r="C3" s="5">
        <v>0</v>
      </c>
      <c r="D3" s="5">
        <v>121462</v>
      </c>
      <c r="E3" s="5">
        <v>0</v>
      </c>
      <c r="F3" s="5">
        <v>2425</v>
      </c>
      <c r="G3" s="5">
        <v>0</v>
      </c>
      <c r="H3" s="5">
        <v>0</v>
      </c>
      <c r="I3" s="5">
        <f>=SUM(B3:H3)</f>
        <v>0</v>
      </c>
    </row>
    <row r="4" ht="20" customHeight="1">
      <c r="A4" s="4" t="str">
        <v>Collaborators non-CGIAR centers</v>
      </c>
      <c r="B4" s="5">
        <v>0</v>
      </c>
      <c r="C4" s="5">
        <v>0</v>
      </c>
      <c r="D4" s="5">
        <v>20000</v>
      </c>
      <c r="E4" s="5">
        <v>0</v>
      </c>
      <c r="F4" s="5">
        <v>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AOW02: Market-led Transformation</v>
      </c>
      <c r="B2" s="4" t="str">
        <v>IRRI</v>
      </c>
      <c r="C2" s="4" t="str">
        <v>India</v>
      </c>
      <c r="D2" s="5">
        <v>38</v>
      </c>
      <c r="E2" s="4">
        <v>1027</v>
      </c>
    </row>
    <row r="3" ht="45" customHeight="1">
      <c r="A3" s="4" t="str">
        <v>AOW02: Market-led Transformation</v>
      </c>
      <c r="B3" s="4" t="str">
        <v>IRRI</v>
      </c>
      <c r="C3" s="4" t="str">
        <v>Kenya</v>
      </c>
      <c r="D3" s="5">
        <v>12</v>
      </c>
      <c r="E3" s="4">
        <v>1028</v>
      </c>
    </row>
    <row r="4" ht="45" customHeight="1">
      <c r="A4" s="4" t="str">
        <v>AOW02: Market-led Transformation</v>
      </c>
      <c r="B4" s="4" t="str">
        <v>IRRI</v>
      </c>
      <c r="C4" s="4" t="str">
        <v>Philippines</v>
      </c>
      <c r="D4" s="5">
        <v>50</v>
      </c>
      <c r="E4" s="4">
        <v>1029</v>
      </c>
    </row>
    <row r="5" ht="45" customHeight="1">
      <c r="A5" s="8" t="str">
        <v>AOW04: Water, Energy, Food Nexus</v>
      </c>
      <c r="B5" s="4" t="str">
        <v>IRRI</v>
      </c>
      <c r="C5" s="4" t="str">
        <v>India</v>
      </c>
      <c r="D5" s="5">
        <v>70</v>
      </c>
      <c r="E5" s="4">
        <v>724</v>
      </c>
    </row>
    <row r="6" ht="45" customHeight="1">
      <c r="A6" s="4" t="str">
        <v>AOW04: Water, Energy, Food Nexus</v>
      </c>
      <c r="B6" s="4" t="str">
        <v>IRRI</v>
      </c>
      <c r="C6" s="4" t="str">
        <v>Philippines</v>
      </c>
      <c r="D6" s="5">
        <v>30</v>
      </c>
      <c r="E6" s="4">
        <v>2742</v>
      </c>
    </row>
  </sheetData>
  <mergeCells count="2">
    <mergeCell ref="A2:A4"/>
    <mergeCell ref="A5: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AOW02: Market-led Transformation</v>
      </c>
      <c r="B2" s="4" t="str">
        <v>IRRI</v>
      </c>
      <c r="C2" s="4" t="str">
        <v>Bangladesh</v>
      </c>
      <c r="D2" s="4" t="str">
        <v>country</v>
      </c>
      <c r="E2" s="5">
        <v>2</v>
      </c>
      <c r="F2" s="4">
        <v>1044</v>
      </c>
    </row>
    <row r="3" ht="45" customHeight="1">
      <c r="A3" s="4" t="str">
        <v>AOW02: Market-led Transformation</v>
      </c>
      <c r="B3" s="4" t="str">
        <v>IRRI</v>
      </c>
      <c r="C3" s="4" t="str">
        <v>Côte d'Ivoire</v>
      </c>
      <c r="D3" s="4" t="str">
        <v>country</v>
      </c>
      <c r="E3" s="5">
        <v>2</v>
      </c>
      <c r="F3" s="4">
        <v>1049</v>
      </c>
    </row>
    <row r="4" ht="45" customHeight="1">
      <c r="A4" s="4" t="str">
        <v>AOW02: Market-led Transformation</v>
      </c>
      <c r="B4" s="4" t="str">
        <v>IRRI</v>
      </c>
      <c r="C4" s="4" t="str">
        <v>Ethiopia</v>
      </c>
      <c r="D4" s="4" t="str">
        <v>country</v>
      </c>
      <c r="E4" s="5">
        <v>2</v>
      </c>
      <c r="F4" s="4">
        <v>1046</v>
      </c>
    </row>
    <row r="5" ht="45" customHeight="1">
      <c r="A5" s="4" t="str">
        <v>AOW02: Market-led Transformation</v>
      </c>
      <c r="B5" s="4" t="str">
        <v>IRRI</v>
      </c>
      <c r="C5" s="4" t="str">
        <v>India</v>
      </c>
      <c r="D5" s="4" t="str">
        <v>country</v>
      </c>
      <c r="E5" s="5">
        <v>72</v>
      </c>
      <c r="F5" s="4">
        <v>309</v>
      </c>
    </row>
    <row r="6" ht="45" customHeight="1">
      <c r="A6" s="4" t="str">
        <v>AOW02: Market-led Transformation</v>
      </c>
      <c r="B6" s="4" t="str">
        <v>IRRI</v>
      </c>
      <c r="C6" s="4" t="str">
        <v>Kenya</v>
      </c>
      <c r="D6" s="4" t="str">
        <v>country</v>
      </c>
      <c r="E6" s="5">
        <v>12</v>
      </c>
      <c r="F6" s="4">
        <v>310</v>
      </c>
    </row>
    <row r="7" ht="45" customHeight="1">
      <c r="A7" s="4" t="str">
        <v>AOW02: Market-led Transformation</v>
      </c>
      <c r="B7" s="4" t="str">
        <v>IRRI</v>
      </c>
      <c r="C7" s="4" t="str">
        <v>Nepal</v>
      </c>
      <c r="D7" s="4" t="str">
        <v>country</v>
      </c>
      <c r="E7" s="5">
        <v>2</v>
      </c>
      <c r="F7" s="4">
        <v>1045</v>
      </c>
    </row>
    <row r="8" ht="45" customHeight="1">
      <c r="A8" s="4" t="str">
        <v>AOW02: Market-led Transformation</v>
      </c>
      <c r="B8" s="4" t="str">
        <v>IRRI</v>
      </c>
      <c r="C8" s="4" t="str">
        <v>Nigeria</v>
      </c>
      <c r="D8" s="4" t="str">
        <v>country</v>
      </c>
      <c r="E8" s="5">
        <v>2</v>
      </c>
      <c r="F8" s="4">
        <v>1050</v>
      </c>
    </row>
    <row r="9" ht="45" customHeight="1">
      <c r="A9" s="4" t="str">
        <v>AOW02: Market-led Transformation</v>
      </c>
      <c r="B9" s="4" t="str">
        <v>IRRI</v>
      </c>
      <c r="C9" s="4" t="str">
        <v>Senegal</v>
      </c>
      <c r="D9" s="4" t="str">
        <v>country</v>
      </c>
      <c r="E9" s="5">
        <v>2</v>
      </c>
      <c r="F9" s="4">
        <v>1051</v>
      </c>
    </row>
    <row r="10" ht="45" customHeight="1">
      <c r="A10" s="4" t="str">
        <v>AOW02: Market-led Transformation</v>
      </c>
      <c r="B10" s="4" t="str">
        <v>IRRI</v>
      </c>
      <c r="C10" s="4" t="str">
        <v>Tanzania, United Republic</v>
      </c>
      <c r="D10" s="4" t="str">
        <v>country</v>
      </c>
      <c r="E10" s="5">
        <v>2</v>
      </c>
      <c r="F10" s="4">
        <v>1047</v>
      </c>
    </row>
    <row r="11" ht="45" customHeight="1">
      <c r="A11" s="4" t="str">
        <v>AOW02: Market-led Transformation</v>
      </c>
      <c r="B11" s="4" t="str">
        <v>IRRI</v>
      </c>
      <c r="C11" s="4" t="str">
        <v>Uganda</v>
      </c>
      <c r="D11" s="4" t="str">
        <v>country</v>
      </c>
      <c r="E11" s="5">
        <v>2</v>
      </c>
      <c r="F11" s="4">
        <v>1048</v>
      </c>
    </row>
    <row r="12" ht="45" customHeight="1">
      <c r="A12" s="8" t="str">
        <v>AOW04: Water, Energy, Food Nexus</v>
      </c>
      <c r="B12" s="4" t="str">
        <v>IRRI</v>
      </c>
      <c r="C12" s="4" t="str">
        <v>India</v>
      </c>
      <c r="D12" s="4" t="str">
        <v>country</v>
      </c>
      <c r="E12" s="5">
        <v>100</v>
      </c>
      <c r="F12" s="4">
        <v>218</v>
      </c>
    </row>
  </sheetData>
  <mergeCells count="2">
    <mergeCell ref="A2:A11"/>
    <mergeCell ref="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Foresight and Prioritization </v>
      </c>
      <c r="B2" s="4" t="str">
        <v>Breeding for Tomorrow</v>
      </c>
      <c r="C2" s="4" t="str">
        <v>1.2. Policy evaluations, investment studies, and crisis response</v>
      </c>
      <c r="D2" s="4" t="str">
        <v>Global R&amp;D Impacts and Opportunities (RIO) Report. Policy Innovations is developing the global modeling system and using it to measure returns. B4T is leading analysis of direct returns to R&amp;D spending using ASTI data.</v>
      </c>
      <c r="E2" s="4">
        <v>857</v>
      </c>
    </row>
    <row r="3" ht="60" customHeight="1">
      <c r="A3" s="4" t="str">
        <v xml:space="preserve">AOW01: Foresight and Prioritization </v>
      </c>
      <c r="B3" s="4" t="str">
        <v xml:space="preserve">Sustainable Animal and Aquatic Foods </v>
      </c>
      <c r="C3" s="4" t="str">
        <v xml:space="preserve">1.1 Global and regional outlooks </v>
      </c>
      <c r="D3" s="4" t="str">
        <v>2027 Global Outlook Report: Animals in Low-Carbon Food Systems. Policy Innovations is leading the development of the report, and people from SAAF are contributing to chapters.</v>
      </c>
      <c r="E3" s="4">
        <v>858</v>
      </c>
    </row>
    <row r="4" ht="60" customHeight="1" xml:space="preserve">
      <c r="A4" s="8" t="str">
        <v>AOW02: Market-led Transformation</v>
      </c>
      <c r="B4" s="4" t="str">
        <v xml:space="preserve">Sustainable Farming </v>
      </c>
      <c r="C4" s="4" t="str">
        <v>2.2.  National Policy Response on agricultural Reforms</v>
      </c>
      <c r="D4" s="4" t="str" xml:space="preserve">
        <v xml:space="preserve">Fertilizer subsidy innovation study
</v>
      </c>
      <c r="E4" s="4">
        <v>856</v>
      </c>
    </row>
    <row r="5" ht="60" customHeight="1">
      <c r="A5" s="4" t="str">
        <v>AOW02: Market-led Transformation</v>
      </c>
      <c r="B5" s="4" t="str">
        <v>Better Diets and Nutrition</v>
      </c>
      <c r="C5" s="4" t="str">
        <v>2.2.  National Policy Response on agricultural Reforms</v>
      </c>
      <c r="D5" s="4" t="str">
        <v>Evidence based policy insights for promoting nutrient dense crops and commodities</v>
      </c>
      <c r="E5" s="4">
        <v>1285</v>
      </c>
    </row>
    <row r="6" ht="60" customHeight="1">
      <c r="A6" s="8" t="str">
        <v xml:space="preserve">AOW03: Governance and Political Economy </v>
      </c>
      <c r="B6" s="4" t="str">
        <v>Scaling for Impact</v>
      </c>
      <c r="C6" s="4" t="str">
        <v>3.3. Capacity sharing on political economy and policy process tools and methods</v>
      </c>
      <c r="D6" s="4" t="str">
        <v>Scaling of Innovations/tools.</v>
      </c>
      <c r="E6" s="4">
        <v>853</v>
      </c>
    </row>
    <row r="7" ht="60" customHeight="1">
      <c r="A7" s="4" t="str">
        <v xml:space="preserve">AOW03: Governance and Political Economy </v>
      </c>
      <c r="B7" s="4" t="str">
        <v>Better Diets and Nutrition</v>
      </c>
      <c r="C7" s="4" t="str">
        <v>3.2. Improved coherence, coordination, and implementation</v>
      </c>
      <c r="D7" s="4" t="str">
        <v xml:space="preserve">Analytical report and mapping of global food system governance initiatives by multilateral and regional bodies that identifies why some have been sustainable and others have faltered </v>
      </c>
      <c r="E7" s="4">
        <v>854</v>
      </c>
    </row>
    <row r="8" ht="60" customHeight="1" xml:space="preserve">
      <c r="A8" s="4" t="str">
        <v xml:space="preserve">AOW03: Governance and Political Economy </v>
      </c>
      <c r="B8" s="4" t="str">
        <v>Better Diets and Nutrition</v>
      </c>
      <c r="C8" s="4" t="str">
        <v>3.1. Global Governance Agenda Setting</v>
      </c>
      <c r="D8" s="4" t="str" xml:space="preserve">
        <v xml:space="preserve">Special journal issue on Rebuilding Global Food Systems Governance under a crisis of Multilateralism 
</v>
      </c>
      <c r="E8" s="4">
        <v>855</v>
      </c>
    </row>
    <row r="9" ht="60" customHeight="1">
      <c r="A9" s="8" t="str">
        <v>AOW04: Water, Energy, Food Nexus</v>
      </c>
      <c r="B9" s="4" t="str">
        <v xml:space="preserve">Multifunctional Landscapes </v>
      </c>
      <c r="C9" s="4" t="str">
        <v>4.3. Local Institutional Capacity sharing on WEFE Nexus</v>
      </c>
      <c r="D9" s="4" t="str">
        <v>Capacity development of professional on improved environmental flow tools for National Governments</v>
      </c>
      <c r="E9" s="4">
        <v>849</v>
      </c>
    </row>
    <row r="10" ht="60" customHeight="1">
      <c r="A10" s="4" t="str">
        <v>AOW04: Water, Energy, Food Nexus</v>
      </c>
      <c r="B10" s="4" t="str">
        <v>Climate Action</v>
      </c>
      <c r="C10" s="4" t="str">
        <v>4.2. National Policy response on WEFE Nexus</v>
      </c>
      <c r="D10" s="4" t="str">
        <v xml:space="preserve">Development of Drought Action Plan for optimizing resource use, enhancing resilience, and deliver cross-sector benefits for the food system in the changing climate. </v>
      </c>
      <c r="E10" s="4">
        <v>850</v>
      </c>
    </row>
    <row r="11" ht="60" customHeight="1">
      <c r="A11" s="4" t="str">
        <v>AOW04: Water, Energy, Food Nexus</v>
      </c>
      <c r="B11" s="4" t="str">
        <v xml:space="preserve">Sustainable Farming </v>
      </c>
      <c r="C11" s="4" t="str">
        <v>4.2. National Policy response on WEFE Nexus</v>
      </c>
      <c r="D11" s="4" t="str">
        <v>Water binding constraint - linked with Critical Capability on estimation of Water productivity in Agriculture</v>
      </c>
      <c r="E11" s="4">
        <v>851</v>
      </c>
    </row>
    <row r="12" ht="60" customHeight="1">
      <c r="A12" s="4" t="str">
        <v>AOW04: Water, Energy, Food Nexus</v>
      </c>
      <c r="B12" s="4" t="str">
        <v>Scaling for Impact</v>
      </c>
      <c r="C12" s="4" t="str">
        <v>4.2. National Policy response on WEFE Nexus</v>
      </c>
      <c r="D12" s="4" t="str">
        <v>Development of the Joint Action Plan to support the Kenya's Irrigation Authority for the extension of the Irrigated area based on water availability</v>
      </c>
      <c r="E12" s="4">
        <v>852</v>
      </c>
    </row>
    <row r="13" ht="60" customHeight="1">
      <c r="A13" s="8" t="str">
        <v>AOW05: Country Engagement/PI Hubs</v>
      </c>
      <c r="B13" s="4" t="str">
        <v>Scaling for Impact</v>
      </c>
      <c r="C13" s="4" t="str">
        <v>5.1. Global Agenda Setting</v>
      </c>
      <c r="D13" s="4" t="str">
        <v>Collaboration on Country Demand Signaling, incl. joint development of country TOCs based on demand letters, survey</v>
      </c>
      <c r="E13" s="4">
        <v>846</v>
      </c>
    </row>
    <row r="14" ht="60" customHeight="1">
      <c r="A14" s="4" t="str">
        <v>AOW05: Country Engagement/PI Hubs</v>
      </c>
      <c r="B14" s="4" t="str">
        <v>Scaling for Impact</v>
      </c>
      <c r="C14" s="4" t="str">
        <v>5.3.  Local Institutional Capacity sharing to adopt and utilize CGIAR tools and methods</v>
      </c>
      <c r="D14" s="4" t="str">
        <v>Convenings with key policy and scaling partners, structured as a policy learning journey using Adaptive Management</v>
      </c>
      <c r="E14" s="4">
        <v>847</v>
      </c>
    </row>
    <row r="15" ht="60" customHeight="1">
      <c r="A15" s="4" t="str">
        <v>AOW05: Country Engagement/PI Hubs</v>
      </c>
      <c r="B15" s="4" t="str">
        <v>Scaling for Impact</v>
      </c>
      <c r="C15" s="4" t="str">
        <v>5.2. National Policy response</v>
      </c>
      <c r="D15" s="4" t="str">
        <v>Convenings with key policy and scaling partners, structured as a policy learning journey using Adaptive Management</v>
      </c>
      <c r="E15" s="4">
        <v>848</v>
      </c>
    </row>
    <row r="16" ht="60" customHeight="1">
      <c r="A16" s="4" t="str">
        <v>AOW05: Country Engagement/PI Hubs</v>
      </c>
      <c r="B16" s="4" t="str">
        <v xml:space="preserve">Multifunctional Landscapes </v>
      </c>
      <c r="C16" s="4" t="str">
        <v>5.2. National Policy response</v>
      </c>
      <c r="D16" s="4" t="str">
        <v>Convenings with key policy and scaling partners, structured as a policy learning journey using Adaptive Management to promote innovations in drought and natural resource management policies</v>
      </c>
      <c r="E16" s="4">
        <v>1286</v>
      </c>
    </row>
    <row r="17" ht="60" customHeight="1">
      <c r="A17" s="8" t="str">
        <v>AOW06: Social Policy and Employment</v>
      </c>
      <c r="B17" s="4" t="str">
        <v>Scaling for Impact</v>
      </c>
      <c r="C17" s="4" t="str">
        <v>6.3. Local Institutional Capacity sharing to strengthen social and employment policies</v>
      </c>
      <c r="D17" s="4" t="str">
        <v>Enabling environment, youth and jobs coordination</v>
      </c>
      <c r="E17" s="4">
        <v>843</v>
      </c>
    </row>
    <row r="18" ht="60" customHeight="1">
      <c r="A18" s="4" t="str">
        <v>AOW06: Social Policy and Employment</v>
      </c>
      <c r="B18" s="4" t="str">
        <v>Food Frontiers and Security</v>
      </c>
      <c r="C18" s="4" t="str">
        <v>6.2. National Policy response to support Social Policies and Employment/jobs creation</v>
      </c>
      <c r="D18" s="4" t="str">
        <v>Social protection, youth and job creation</v>
      </c>
      <c r="E18" s="4">
        <v>844</v>
      </c>
    </row>
    <row r="19" ht="60" customHeight="1">
      <c r="A19" s="4" t="str">
        <v>AOW06: Social Policy and Employment</v>
      </c>
      <c r="B19" s="4" t="str">
        <v xml:space="preserve">Gender Equality and Inclusion </v>
      </c>
      <c r="C19" s="4" t="str">
        <v>6.1. Global Agenda Setting in social policies and jobs</v>
      </c>
      <c r="D19" s="4" t="str">
        <v>Youth inclusion and jobs in agrifood systems</v>
      </c>
      <c r="E19" s="4">
        <v>845</v>
      </c>
    </row>
  </sheetData>
  <mergeCells count="6">
    <mergeCell ref="A2:A3"/>
    <mergeCell ref="A4:A5"/>
    <mergeCell ref="A6:A8"/>
    <mergeCell ref="A9:A12"/>
    <mergeCell ref="A13:A16"/>
    <mergeCell ref="A17:A19"/>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Policy Changes</v>
      </c>
      <c r="C2" s="4" t="str">
        <v/>
      </c>
      <c r="D2" s="4" t="str">
        <v>Number of Policy (Policy Change)</v>
      </c>
      <c r="E2" s="4" t="str">
        <v>Region: Africa, Asia</v>
      </c>
      <c r="F2" s="5">
        <v>33</v>
      </c>
      <c r="G2" s="4">
        <v>471</v>
      </c>
    </row>
    <row r="3" ht="60" customHeight="1">
      <c r="A3" s="4" t="str">
        <v>AOW00: Cross Cutting</v>
      </c>
      <c r="B3" s="4" t="str">
        <v>Innovations used</v>
      </c>
      <c r="C3" s="4" t="str">
        <v/>
      </c>
      <c r="D3" s="4" t="str">
        <v>Innovation Use</v>
      </c>
      <c r="E3" s="4" t="str">
        <v>Region: Africa, Asia</v>
      </c>
      <c r="F3" s="5">
        <v>110</v>
      </c>
      <c r="G3" s="4">
        <v>472</v>
      </c>
    </row>
    <row r="4" ht="60" customHeight="1">
      <c r="A4" s="4" t="str">
        <v>AOW00: Cross Cutting</v>
      </c>
      <c r="B4" s="4" t="str">
        <v>Policies Informed</v>
      </c>
      <c r="C4" s="4" t="str">
        <v/>
      </c>
      <c r="D4" s="4" t="str">
        <v>Number of Policy (Policy Change)</v>
      </c>
      <c r="E4" s="4" t="str">
        <v>Region: Africa, Asia</v>
      </c>
      <c r="F4" s="5">
        <v>69</v>
      </c>
      <c r="G4" s="4">
        <v>473</v>
      </c>
    </row>
  </sheetData>
  <mergeCells count="1">
    <mergeCell ref="A2:A4"/>
  </mergeCells>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