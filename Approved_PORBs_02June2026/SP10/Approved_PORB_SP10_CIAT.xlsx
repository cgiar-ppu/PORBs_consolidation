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210</v>
      </c>
    </row>
    <row r="5" ht="20" customHeight="1">
      <c r="A5" s="4" t="str">
        <v>AOW01: Accelerating Solutions for Impact</v>
      </c>
      <c r="B5" s="5">
        <v>0</v>
      </c>
      <c r="C5" s="5">
        <v>0</v>
      </c>
      <c r="D5" s="5">
        <v>13</v>
      </c>
      <c r="E5" s="5">
        <v>366075</v>
      </c>
      <c r="F5" s="5">
        <v>0</v>
      </c>
      <c r="G5" s="5">
        <v>0</v>
      </c>
      <c r="H5" s="5">
        <v>15</v>
      </c>
      <c r="I5" s="5">
        <v>12000</v>
      </c>
      <c r="J5" s="5">
        <v>378075</v>
      </c>
      <c r="K5" s="5">
        <v>378075</v>
      </c>
      <c r="L5" s="5">
        <v>0</v>
      </c>
      <c r="M5" s="5">
        <v>0</v>
      </c>
      <c r="N5" s="4">
        <v>209</v>
      </c>
    </row>
    <row r="6" ht="20" customHeight="1">
      <c r="A6" s="4" t="str">
        <v>AOW02: Accelerating Change Through Evidence</v>
      </c>
      <c r="B6" s="5">
        <v>0</v>
      </c>
      <c r="C6" s="5">
        <v>0</v>
      </c>
      <c r="D6" s="5">
        <v>7</v>
      </c>
      <c r="E6" s="5">
        <v>41450</v>
      </c>
      <c r="F6" s="5">
        <v>55</v>
      </c>
      <c r="G6" s="5">
        <v>17750</v>
      </c>
      <c r="H6" s="5">
        <v>0</v>
      </c>
      <c r="I6" s="5">
        <v>0</v>
      </c>
      <c r="J6" s="5">
        <v>59200</v>
      </c>
      <c r="K6" s="5">
        <v>59200</v>
      </c>
      <c r="L6" s="5">
        <v>0</v>
      </c>
      <c r="M6" s="5">
        <v>0</v>
      </c>
      <c r="N6" s="4">
        <v>208</v>
      </c>
    </row>
    <row r="7" ht="20" customHeight="1">
      <c r="A7" s="4" t="str">
        <v>AOW03: Youth Thrive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207</v>
      </c>
    </row>
    <row r="8" ht="25" customHeight="1">
      <c r="A8" s="6" t="str">
        <v>Total</v>
      </c>
      <c r="B8" s="7" t="str">
        <v/>
      </c>
      <c r="C8" s="7">
        <v>0</v>
      </c>
      <c r="D8" s="7" t="str">
        <v/>
      </c>
      <c r="E8" s="7">
        <v>407525</v>
      </c>
      <c r="F8" s="7" t="str">
        <v/>
      </c>
      <c r="G8" s="7">
        <v>17750</v>
      </c>
      <c r="H8" s="7" t="str">
        <v/>
      </c>
      <c r="I8" s="7">
        <v>12000</v>
      </c>
      <c r="J8" s="7">
        <v>437275</v>
      </c>
      <c r="K8" s="7">
        <v>437275</v>
      </c>
      <c r="L8" s="7">
        <v>0</v>
      </c>
      <c r="M8" s="7">
        <v>0</v>
      </c>
      <c r="N8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>
      <c r="A3" s="8" t="str">
        <v>AOW01: Accelerating Solutions for Impact</v>
      </c>
      <c r="B3" s="4" t="str">
        <v>CIAT (Alliance)</v>
      </c>
      <c r="C3" s="4" t="str">
        <v xml:space="preserve">1.2.1: Co-designed socio-technical innovation bundles for productivity and resilience </v>
      </c>
      <c r="D3" s="4" t="str">
        <v xml:space="preserve"> Co-designed guides for bundled innovations equip decision-makers and frontline workers with practical tools, metrics, and analytics to monitor and address structural barriers to gender equality and social inclusion. They combine technical and gender-transformative strategies, enabling data-driven decisions, participatory engagement, and evidence-based scaling of inclusive agrifood system interventions                       </v>
      </c>
      <c r="E3" s="4" t="str">
        <v>Number of knowledge products</v>
      </c>
      <c r="F3" s="4" t="str">
        <v>Ethiopia, Uganda, Kenya</v>
      </c>
      <c r="G3" s="5">
        <v>2</v>
      </c>
      <c r="H3" s="5">
        <v>50000</v>
      </c>
      <c r="I3" s="4" t="str">
        <v>Key personnel, chargebacks, supplies &amp; services and overhead.</v>
      </c>
      <c r="J3" s="4">
        <v>6114</v>
      </c>
    </row>
    <row r="4" ht="50" customHeight="1">
      <c r="A4" s="4" t="str">
        <v>AOW01: Accelerating Solutions for Impact</v>
      </c>
      <c r="B4" s="4" t="str">
        <v>CIAT (Alliance)</v>
      </c>
      <c r="C4" s="4" t="str">
        <v>1.2.2: Performance and cost effectiveness of socio-technical bundles</v>
      </c>
      <c r="D4" s="4" t="str">
        <v>Published evidence on value-for-money and affordability, provider and household costs, equity-sensitive scenarios, and targeting rules to prioritize cost-effective bundles and de-risk public/partner investments.</v>
      </c>
      <c r="E4" s="4" t="str">
        <v>Number of knowledge products</v>
      </c>
      <c r="F4" s="4" t="str">
        <v>Uganda, Ethiopia, Kenya</v>
      </c>
      <c r="G4" s="5">
        <v>2</v>
      </c>
      <c r="H4" s="5">
        <v>106000</v>
      </c>
      <c r="I4" s="4" t="str">
        <v>Key personnel, chargebacks, supplies &amp; services and overhead.</v>
      </c>
      <c r="J4" s="4">
        <v>6123</v>
      </c>
    </row>
    <row r="5" ht="50" customHeight="1">
      <c r="A5" s="4" t="str">
        <v>AOW01: Accelerating Solutions for Impact</v>
      </c>
      <c r="B5" s="4" t="str">
        <v>CIAT (Alliance)</v>
      </c>
      <c r="C5" s="4" t="str">
        <v xml:space="preserve">1.2.3: Scaling socio-technical innovation bundles  </v>
      </c>
      <c r="D5" s="4" t="str">
        <v>Scaling roadmaps validated with multiple institutions to ensure gender-responsive, inclusive innovations are effectively scaled - assessing feasibility, embedding accountability metrics, and integrating validated pathways into mandates, SOPs, budgets, and financing mechanisms for sustained replication and institutionalized coordination</v>
      </c>
      <c r="E5" s="4" t="str">
        <v>Number of knowledge products</v>
      </c>
      <c r="F5" s="4" t="str">
        <v>Ethiopia, Kenya, Uganda</v>
      </c>
      <c r="G5" s="5">
        <v>4</v>
      </c>
      <c r="H5" s="5">
        <v>56000</v>
      </c>
      <c r="I5" s="4" t="str">
        <v>Key personnel, chargebacks, supplies &amp; services and overhead.</v>
      </c>
      <c r="J5" s="4">
        <v>6127</v>
      </c>
    </row>
    <row r="6" ht="50" customHeight="1">
      <c r="B6" s="4" t="str">
        <v>CIAT (Alliance)</v>
      </c>
      <c r="D6" s="4" t="str">
        <v>Policy engagement for launching of Nakuru Country extension policy in Kenya</v>
      </c>
      <c r="E6" s="4" t="str">
        <v>custom</v>
      </c>
      <c r="F6" s="4" t="str">
        <v>Kenya</v>
      </c>
      <c r="G6" s="5">
        <v>5</v>
      </c>
      <c r="H6" s="5">
        <v>6000</v>
      </c>
      <c r="I6" s="4" t="str">
        <v>Key personnel, chargebacks, supplies &amp; services and overhead.</v>
      </c>
      <c r="J6" s="4">
        <v>7740</v>
      </c>
    </row>
    <row r="7" ht="50" customHeight="1">
      <c r="A7" s="4" t="str">
        <v>AOW01: Accelerating Solutions for Impact</v>
      </c>
      <c r="B7" s="4" t="str">
        <v>CIAT (Alliance)</v>
      </c>
      <c r="C7" s="4" t="str">
        <v xml:space="preserve">1.3.2: Financial and extension systems for resources and livelihoods </v>
      </c>
      <c r="D7" s="4" t="str">
        <v>Evidence on specific demand- and supply-side barriers and solutions to increase women’s access to climate finance synthesized and disseminated to key national climate finance stakeholders to inform the design of innovative finance products</v>
      </c>
      <c r="E7" s="4" t="str">
        <v>Number of knowledge products</v>
      </c>
      <c r="F7" s="4" t="str">
        <v>South Africa, Egypt, Kenya, Jordan</v>
      </c>
      <c r="G7" s="5">
        <v>1</v>
      </c>
      <c r="H7" s="5">
        <v>37000</v>
      </c>
      <c r="I7" s="4" t="str">
        <v>Key personnel, chargebacks, supplies &amp; services and overhead.</v>
      </c>
      <c r="J7" s="4">
        <v>6133</v>
      </c>
    </row>
    <row r="8" ht="50" customHeight="1">
      <c r="A8" s="4" t="str">
        <v>AOW01: Accelerating Solutions for Impact</v>
      </c>
      <c r="B8" s="4" t="str">
        <v>CIAT (Alliance)</v>
      </c>
      <c r="C8" s="4" t="str">
        <v>1.3.3: Effective interventions within social protection systems for resilience</v>
      </c>
      <c r="D8" s="4" t="str">
        <v xml:space="preserve">South-south knowledge and capacity sharing on the integration of gender into adaptive and shock-responsive social protection    </v>
      </c>
      <c r="E8" s="4" t="str">
        <v>custom</v>
      </c>
      <c r="F8" s="4" t="str">
        <v>Egypt, South Africa, Kenya</v>
      </c>
      <c r="G8" s="5">
        <v>10</v>
      </c>
      <c r="H8" s="5">
        <v>6000</v>
      </c>
      <c r="I8" s="4" t="str">
        <v>Key personnel, chargebacks, supplies &amp; services and overhead.</v>
      </c>
      <c r="J8" s="4">
        <v>6137</v>
      </c>
    </row>
    <row r="9" ht="50" customHeight="1">
      <c r="B9" s="4" t="str">
        <v>CIAT (Alliance)</v>
      </c>
      <c r="D9" s="4" t="str">
        <v>Evidence on intersectionality of climate and gender vulnerabilities to develop climate- and gender-sensitive social protection approaches</v>
      </c>
      <c r="E9" s="4" t="str">
        <v>Number of knowledge products</v>
      </c>
      <c r="F9" s="4" t="str">
        <v>Egypt, South Africa, Kenya</v>
      </c>
      <c r="G9" s="5">
        <v>2</v>
      </c>
      <c r="H9" s="5">
        <v>67075</v>
      </c>
      <c r="I9" s="4" t="str">
        <v>Key personnel, chargebacks, supplies &amp; services and overhead.</v>
      </c>
      <c r="J9" s="4">
        <v>6138</v>
      </c>
    </row>
    <row r="10" ht="50" customHeight="1">
      <c r="A10" s="4" t="str">
        <v>AOW01: Accelerating Solutions for Impact</v>
      </c>
      <c r="B10" s="4" t="str">
        <v>CIAT (Alliance)</v>
      </c>
      <c r="C10" s="4" t="str">
        <v xml:space="preserve">1.4.3: Solutions for inclusive leadership </v>
      </c>
      <c r="D10" s="4" t="str">
        <v>Datasets and policy briefs on corollary outcomes of women's leadership in two countries and analysis of cases of mechanisms promoting women's leadership in agroecology/biodiversity/climate action</v>
      </c>
      <c r="E10" s="4" t="str">
        <v>Number of knowledge products</v>
      </c>
      <c r="F10" s="4" t="str">
        <v>South Africa, Egypt, Kenya, Zambia</v>
      </c>
      <c r="G10" s="5">
        <v>2</v>
      </c>
      <c r="H10" s="5">
        <v>50000</v>
      </c>
      <c r="I10" s="4" t="str">
        <v>Key personnel, chargebacks, supplies &amp; services and overhead.</v>
      </c>
      <c r="J10" s="4">
        <v>8146</v>
      </c>
    </row>
    <row r="11" ht="25" customHeight="1">
      <c r="C11" s="9" t="str">
        <v>HLO budget subtotal</v>
      </c>
      <c r="H11" s="9">
        <v>378075</v>
      </c>
      <c r="J11" s="9" t="str">
        <v/>
      </c>
    </row>
    <row r="12" ht="50" customHeight="1">
      <c r="A12" s="8" t="str">
        <v>AOW02: Accelerating Change Through Evidence</v>
      </c>
      <c r="B12" s="4" t="str">
        <v>CIAT (Alliance)</v>
      </c>
      <c r="C12" s="4" t="str">
        <v xml:space="preserve">2.3.1: Learning resources </v>
      </c>
      <c r="D12" s="4" t="str">
        <v>User guides, animations, manuals and protocols developed to standardize GESI-robust design, implementation and monitoring</v>
      </c>
      <c r="E12" s="4" t="str">
        <v>Number of knowledge products</v>
      </c>
      <c r="F12" s="4" t="str">
        <v>Ethiopia, The Democratic Republic of the Congo, Cameroon, Burundi</v>
      </c>
      <c r="G12" s="5">
        <v>6</v>
      </c>
      <c r="H12" s="5">
        <v>10000</v>
      </c>
      <c r="I12" s="4" t="str">
        <v>Key personnel, chargebacks, supplies &amp; services and overhead.</v>
      </c>
      <c r="J12" s="4">
        <v>6203</v>
      </c>
    </row>
    <row r="13" ht="50" customHeight="1">
      <c r="B13" s="4" t="str">
        <v>CIAT (Alliance)</v>
      </c>
      <c r="D13" s="4" t="str">
        <v>Published training and capacity‑sharing modules on theoretical concepts and practical applications of gender and climate security approaches developed for use by key government and HDP nexus partners</v>
      </c>
      <c r="E13" s="4" t="str">
        <v>Number of knowledge products</v>
      </c>
      <c r="F13" s="4" t="str">
        <v>South Africa, Egypt, Zimbabwe, Jordan, Mozambique</v>
      </c>
      <c r="G13" s="5">
        <v>1</v>
      </c>
      <c r="H13" s="5">
        <v>31450</v>
      </c>
      <c r="I13" s="4" t="str">
        <v>Key personnel, chargebacks, supplies &amp; services and overhead.</v>
      </c>
      <c r="J13" s="4">
        <v>6210</v>
      </c>
    </row>
    <row r="14" ht="50" customHeight="1">
      <c r="A14" s="4" t="str">
        <v>AOW02: Accelerating Change Through Evidence</v>
      </c>
      <c r="B14" s="4" t="str">
        <v>CIAT (Alliance)</v>
      </c>
      <c r="C14" s="4" t="str">
        <v>2.3.2: Training for gender equality, youth and social inclusion research quality and uptake</v>
      </c>
      <c r="D14" s="4" t="str">
        <v>Master’s and doctoral students awarded fellowship funding for socio-technical innovation bundle research</v>
      </c>
      <c r="E14" s="4" t="str">
        <v>Number of people trained (capacity sharing for development)</v>
      </c>
      <c r="F14" s="4" t="str">
        <v>Kenya</v>
      </c>
      <c r="G14" s="5">
        <v>5</v>
      </c>
      <c r="H14" s="5">
        <v>7750</v>
      </c>
      <c r="I14" s="4" t="str">
        <v>Key personnel, chargebacks, supplies &amp; services and overhead.</v>
      </c>
      <c r="J14" s="4">
        <v>6208</v>
      </c>
    </row>
    <row r="15" ht="50" customHeight="1">
      <c r="B15" s="4" t="str">
        <v>CIAT (Alliance)</v>
      </c>
      <c r="D15" s="4" t="str">
        <v>Training extension officers on scaling Gender-Transformative Socio-Technical Innovation Bundles (GTSTIBs)</v>
      </c>
      <c r="E15" s="4" t="str">
        <v>Number of people trained (capacity sharing for development)</v>
      </c>
      <c r="F15" s="4" t="str">
        <v>Kenya, Uganda</v>
      </c>
      <c r="G15" s="5">
        <v>50</v>
      </c>
      <c r="H15" s="5">
        <v>10000</v>
      </c>
      <c r="I15" s="4" t="str">
        <v>Key personnel, chargebacks, supplies &amp; services and overhead.</v>
      </c>
      <c r="J15" s="4">
        <v>6209</v>
      </c>
    </row>
    <row r="16" ht="50" customHeight="1">
      <c r="A16" s="4" t="str">
        <v>AOW02: Accelerating Change Through Evidence</v>
      </c>
      <c r="B16" s="4" t="str">
        <v>CIAT (Alliance)</v>
      </c>
      <c r="C16" s="4" t="str">
        <v>2.2.2: Policy engagement and outreach for equality, youth, and resilience</v>
      </c>
      <c r="D16" s="4" t="str">
        <v>Policy engagement for launching of Nakuru Country extension policy in Kenya</v>
      </c>
      <c r="E16" s="4" t="str">
        <v>custom</v>
      </c>
      <c r="F16" s="4" t="str">
        <v>Kenya</v>
      </c>
      <c r="G16" s="5">
        <v>5</v>
      </c>
      <c r="H16" s="5">
        <v>0</v>
      </c>
      <c r="I16" s="4" t="str">
        <v/>
      </c>
      <c r="J16" s="4">
        <v>8289</v>
      </c>
    </row>
    <row r="17" ht="25" customHeight="1">
      <c r="C17" s="9" t="str">
        <v>HLO budget subtotal</v>
      </c>
      <c r="H17" s="9">
        <v>59200</v>
      </c>
      <c r="J17" s="9" t="str">
        <v/>
      </c>
    </row>
  </sheetData>
  <mergeCells count="14">
    <mergeCell ref="A1:A2"/>
    <mergeCell ref="B1:B2"/>
    <mergeCell ref="C1:C2"/>
    <mergeCell ref="D1:H1"/>
    <mergeCell ref="I1:I2"/>
    <mergeCell ref="J1:J2"/>
    <mergeCell ref="C5:C6"/>
    <mergeCell ref="C8:C9"/>
    <mergeCell ref="C11:G11"/>
    <mergeCell ref="A3:A11"/>
    <mergeCell ref="C12:C13"/>
    <mergeCell ref="C14:C15"/>
    <mergeCell ref="C17:G17"/>
    <mergeCell ref="A12:A17"/>
  </mergeCells>
  <ignoredErrors>
    <ignoredError numberStoredAsText="1" sqref="A1:J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  <row r="2" ht="60" customHeight="1">
      <c r="A2" s="8" t="str">
        <v>CIAT (Alliance)</v>
      </c>
      <c r="B2" s="4" t="str">
        <v>CANADA -GAC - Beans For Women For Empowerment  In Eastern DRC (BEANS4WOMEN)</v>
      </c>
      <c r="C2" s="4" t="str">
        <v>1.2 Evidence-based support for women and youth empowerment</v>
      </c>
      <c r="D2" s="5">
        <v>102400</v>
      </c>
      <c r="E2" s="4" t="str">
        <v>N/A</v>
      </c>
      <c r="F2" s="4">
        <v>1183</v>
      </c>
    </row>
    <row r="3" ht="60" customHeight="1">
      <c r="A3" s="4" t="str">
        <v>CIAT (Alliance)</v>
      </c>
      <c r="B3" s="4" t="str">
        <v>GAC-SCALING UP CLIMATE INFORMATION SERVICES AND CLIMATE- SMART AGRICULTURE FOR WOMEN FARMERS IN NICARAGUA’S  DRY CORRIDOR</v>
      </c>
      <c r="C3" s="4" t="str">
        <v>1.2 Evidence-based support for women and youth empowerment</v>
      </c>
      <c r="D3" s="5">
        <v>168525</v>
      </c>
      <c r="E3" s="4" t="str">
        <v>N/A</v>
      </c>
      <c r="F3" s="4">
        <v>1186</v>
      </c>
    </row>
    <row r="4" ht="25" customHeight="1">
      <c r="B4" s="9" t="str">
        <v>W3/Bilateral budget subtotal</v>
      </c>
      <c r="D4" s="9">
        <v>270925</v>
      </c>
      <c r="E4" s="9" t="str">
        <v/>
      </c>
      <c r="F4" s="9" t="str">
        <v/>
      </c>
    </row>
  </sheetData>
  <mergeCells count="2">
    <mergeCell ref="B4:C4"/>
    <mergeCell ref="A2:A4"/>
  </mergeCells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4" t="str">
        <v>Staffing, Chargebacks and Indirect</v>
      </c>
      <c r="B2" s="5">
        <v>0</v>
      </c>
      <c r="C2" s="5">
        <v>318848</v>
      </c>
      <c r="D2" s="5">
        <v>38845</v>
      </c>
      <c r="E2" s="5">
        <v>0</v>
      </c>
      <c r="F2" s="5">
        <f>=SUM(B2:E2)</f>
        <v>0</v>
      </c>
    </row>
    <row r="3" ht="20" customHeight="1">
      <c r="A3" s="4" t="str">
        <v>Operations (supplies, consultants, travels, workshops, other)</v>
      </c>
      <c r="B3" s="5">
        <v>0</v>
      </c>
      <c r="C3" s="5">
        <v>59227</v>
      </c>
      <c r="D3" s="5">
        <v>20355</v>
      </c>
      <c r="E3" s="5">
        <v>0</v>
      </c>
      <c r="F3" s="5">
        <f>=SUM(B3:E3)</f>
        <v>0</v>
      </c>
    </row>
    <row r="4" ht="20" customHeight="1">
      <c r="A4" s="6" t="str">
        <v>Subtotal</v>
      </c>
      <c r="B4" s="7">
        <f>=SUM(B2:B3)</f>
        <v>0</v>
      </c>
      <c r="C4" s="7">
        <f>=SUM(C2:C3)</f>
        <v>0</v>
      </c>
      <c r="D4" s="7">
        <f>=SUM(D2:D3)</f>
        <v>0</v>
      </c>
      <c r="E4" s="7">
        <f>=SUM(E2:E3)</f>
        <v>0</v>
      </c>
      <c r="F4" s="7">
        <f>=SUM(F2:F3)</f>
        <v>0</v>
      </c>
    </row>
  </sheetData>
  <ignoredErrors>
    <ignoredError numberStoredAsText="1" sqref="A1:F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AOW01: Accelerating Solutions for Impact</v>
      </c>
      <c r="B2" s="4" t="str">
        <v>CIAT (Alliance)</v>
      </c>
      <c r="C2" s="4" t="str">
        <v>Egypt</v>
      </c>
      <c r="D2" s="5">
        <v>9</v>
      </c>
      <c r="E2" s="4">
        <v>2026</v>
      </c>
    </row>
    <row r="3" ht="45" customHeight="1">
      <c r="A3" s="4" t="str">
        <v>AOW01: Accelerating Solutions for Impact</v>
      </c>
      <c r="B3" s="4" t="str">
        <v>CIAT (Alliance)</v>
      </c>
      <c r="C3" s="4" t="str">
        <v>Ethiopia</v>
      </c>
      <c r="D3" s="5">
        <v>9</v>
      </c>
      <c r="E3" s="4">
        <v>2027</v>
      </c>
    </row>
    <row r="4" ht="45" customHeight="1">
      <c r="A4" s="4" t="str">
        <v>AOW01: Accelerating Solutions for Impact</v>
      </c>
      <c r="B4" s="4" t="str">
        <v>CIAT (Alliance)</v>
      </c>
      <c r="C4" s="4" t="str">
        <v>Jordan</v>
      </c>
      <c r="D4" s="5">
        <v>4</v>
      </c>
      <c r="E4" s="4">
        <v>2028</v>
      </c>
    </row>
    <row r="5" ht="45" customHeight="1">
      <c r="A5" s="4" t="str">
        <v>AOW01: Accelerating Solutions for Impact</v>
      </c>
      <c r="B5" s="4" t="str">
        <v>CIAT (Alliance)</v>
      </c>
      <c r="C5" s="4" t="str">
        <v>Kenya</v>
      </c>
      <c r="D5" s="5">
        <v>59</v>
      </c>
      <c r="E5" s="4">
        <v>2029</v>
      </c>
    </row>
    <row r="6" ht="45" customHeight="1">
      <c r="A6" s="4" t="str">
        <v>AOW01: Accelerating Solutions for Impact</v>
      </c>
      <c r="B6" s="4" t="str">
        <v>CIAT (Alliance)</v>
      </c>
      <c r="C6" s="4" t="str">
        <v>South Africa</v>
      </c>
      <c r="D6" s="5">
        <v>8</v>
      </c>
      <c r="E6" s="4">
        <v>2030</v>
      </c>
    </row>
    <row r="7" ht="45" customHeight="1">
      <c r="A7" s="4" t="str">
        <v>AOW01: Accelerating Solutions for Impact</v>
      </c>
      <c r="B7" s="4" t="str">
        <v>CIAT (Alliance)</v>
      </c>
      <c r="C7" s="4" t="str">
        <v>Uganda</v>
      </c>
      <c r="D7" s="5">
        <v>8</v>
      </c>
      <c r="E7" s="4">
        <v>2025</v>
      </c>
    </row>
    <row r="8" ht="45" customHeight="1">
      <c r="A8" s="4" t="str">
        <v>AOW01: Accelerating Solutions for Impact</v>
      </c>
      <c r="B8" s="4" t="str">
        <v>CIAT (Alliance)</v>
      </c>
      <c r="C8" s="4" t="str">
        <v>Zambia</v>
      </c>
      <c r="D8" s="5">
        <v>3</v>
      </c>
      <c r="E8" s="4">
        <v>2031</v>
      </c>
    </row>
    <row r="9" ht="45" customHeight="1">
      <c r="A9" s="8" t="str">
        <v>AOW02: Accelerating Change Through Evidence</v>
      </c>
      <c r="B9" s="4" t="str">
        <v>CIAT (Alliance)</v>
      </c>
      <c r="C9" s="4" t="str">
        <v>Burundi</v>
      </c>
      <c r="D9" s="5">
        <v>5</v>
      </c>
      <c r="E9" s="4">
        <v>1202</v>
      </c>
    </row>
    <row r="10" ht="45" customHeight="1">
      <c r="A10" s="4" t="str">
        <v>AOW02: Accelerating Change Through Evidence</v>
      </c>
      <c r="B10" s="4" t="str">
        <v>CIAT (Alliance)</v>
      </c>
      <c r="C10" s="4" t="str">
        <v>Cameroon</v>
      </c>
      <c r="D10" s="5">
        <v>5</v>
      </c>
      <c r="E10" s="4">
        <v>1201</v>
      </c>
    </row>
    <row r="11" ht="45" customHeight="1">
      <c r="A11" s="4" t="str">
        <v>AOW02: Accelerating Change Through Evidence</v>
      </c>
      <c r="B11" s="4" t="str">
        <v>CIAT (Alliance)</v>
      </c>
      <c r="C11" s="4" t="str">
        <v>Egypt</v>
      </c>
      <c r="D11" s="5">
        <v>11</v>
      </c>
      <c r="E11" s="4">
        <v>1203</v>
      </c>
    </row>
    <row r="12" ht="45" customHeight="1">
      <c r="A12" s="4" t="str">
        <v>AOW02: Accelerating Change Through Evidence</v>
      </c>
      <c r="B12" s="4" t="str">
        <v>CIAT (Alliance)</v>
      </c>
      <c r="C12" s="4" t="str">
        <v>Ethiopia</v>
      </c>
      <c r="D12" s="5">
        <v>3</v>
      </c>
      <c r="E12" s="4">
        <v>1199</v>
      </c>
    </row>
    <row r="13" ht="45" customHeight="1">
      <c r="A13" s="4" t="str">
        <v>AOW02: Accelerating Change Through Evidence</v>
      </c>
      <c r="B13" s="4" t="str">
        <v>CIAT (Alliance)</v>
      </c>
      <c r="C13" s="4" t="str">
        <v>Jordan</v>
      </c>
      <c r="D13" s="5">
        <v>11</v>
      </c>
      <c r="E13" s="4">
        <v>1208</v>
      </c>
    </row>
    <row r="14" ht="45" customHeight="1">
      <c r="A14" s="4" t="str">
        <v>AOW02: Accelerating Change Through Evidence</v>
      </c>
      <c r="B14" s="4" t="str">
        <v>CIAT (Alliance)</v>
      </c>
      <c r="C14" s="4" t="str">
        <v>Kenya</v>
      </c>
      <c r="D14" s="5">
        <v>22</v>
      </c>
      <c r="E14" s="4">
        <v>1207</v>
      </c>
    </row>
    <row r="15" ht="45" customHeight="1">
      <c r="A15" s="4" t="str">
        <v>AOW02: Accelerating Change Through Evidence</v>
      </c>
      <c r="B15" s="4" t="str">
        <v>CIAT (Alliance)</v>
      </c>
      <c r="C15" s="4" t="str">
        <v>Mozambique</v>
      </c>
      <c r="D15" s="5">
        <v>11</v>
      </c>
      <c r="E15" s="4">
        <v>1205</v>
      </c>
    </row>
    <row r="16" ht="45" customHeight="1">
      <c r="A16" s="4" t="str">
        <v>AOW02: Accelerating Change Through Evidence</v>
      </c>
      <c r="B16" s="4" t="str">
        <v>CIAT (Alliance)</v>
      </c>
      <c r="C16" s="4" t="str">
        <v>South Africa</v>
      </c>
      <c r="D16" s="5">
        <v>11</v>
      </c>
      <c r="E16" s="4">
        <v>2032</v>
      </c>
    </row>
    <row r="17" ht="45" customHeight="1">
      <c r="A17" s="4" t="str">
        <v>AOW02: Accelerating Change Through Evidence</v>
      </c>
      <c r="B17" s="4" t="str">
        <v>CIAT (Alliance)</v>
      </c>
      <c r="C17" s="4" t="str">
        <v>The Democratic Republic of the Congo</v>
      </c>
      <c r="D17" s="5">
        <v>3</v>
      </c>
      <c r="E17" s="4">
        <v>1200</v>
      </c>
    </row>
    <row r="18" ht="45" customHeight="1">
      <c r="A18" s="4" t="str">
        <v>AOW02: Accelerating Change Through Evidence</v>
      </c>
      <c r="B18" s="4" t="str">
        <v>CIAT (Alliance)</v>
      </c>
      <c r="C18" s="4" t="str">
        <v>Uganda</v>
      </c>
      <c r="D18" s="5">
        <v>7</v>
      </c>
      <c r="E18" s="4">
        <v>1206</v>
      </c>
    </row>
    <row r="19" ht="45" customHeight="1">
      <c r="A19" s="4" t="str">
        <v>AOW02: Accelerating Change Through Evidence</v>
      </c>
      <c r="B19" s="4" t="str">
        <v>CIAT (Alliance)</v>
      </c>
      <c r="C19" s="4" t="str">
        <v>Zimbabwe</v>
      </c>
      <c r="D19" s="5">
        <v>11</v>
      </c>
      <c r="E19" s="4">
        <v>1204</v>
      </c>
    </row>
  </sheetData>
  <mergeCells count="2">
    <mergeCell ref="A2:A8"/>
    <mergeCell ref="A9:A19"/>
  </mergeCells>
  <ignoredErrors>
    <ignoredError numberStoredAsText="1" sqref="A1:E1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AOW01: Accelerating Solutions for Impact</v>
      </c>
      <c r="B2" s="4" t="str">
        <v>CIAT (Alliance)</v>
      </c>
      <c r="C2" s="4" t="str">
        <v>Sub-Saharan Africa</v>
      </c>
      <c r="D2" s="4" t="str">
        <v>region</v>
      </c>
      <c r="E2" s="5">
        <v>90</v>
      </c>
      <c r="F2" s="4">
        <v>705</v>
      </c>
    </row>
    <row r="3" ht="45" customHeight="1">
      <c r="A3" s="4" t="str">
        <v>AOW01: Accelerating Solutions for Impact</v>
      </c>
      <c r="B3" s="4" t="str">
        <v>CIAT (Alliance)</v>
      </c>
      <c r="C3" s="4" t="str">
        <v>Western Asia</v>
      </c>
      <c r="D3" s="4" t="str">
        <v>region</v>
      </c>
      <c r="E3" s="5">
        <v>10</v>
      </c>
      <c r="F3" s="4">
        <v>706</v>
      </c>
    </row>
    <row r="4" ht="45" customHeight="1">
      <c r="A4" s="4" t="str">
        <v>AOW01: Accelerating Solutions for Impact</v>
      </c>
      <c r="B4" s="4" t="str">
        <v>CIAT (Alliance)</v>
      </c>
      <c r="C4" s="4" t="str">
        <v>Ethiopia</v>
      </c>
      <c r="D4" s="4" t="str">
        <v>country</v>
      </c>
      <c r="E4" s="5">
        <v>0</v>
      </c>
      <c r="F4" s="4">
        <v>702</v>
      </c>
    </row>
    <row r="5" ht="45" customHeight="1">
      <c r="A5" s="4" t="str">
        <v>AOW01: Accelerating Solutions for Impact</v>
      </c>
      <c r="B5" s="4" t="str">
        <v>CIAT (Alliance)</v>
      </c>
      <c r="C5" s="4" t="str">
        <v>Jordan</v>
      </c>
      <c r="D5" s="4" t="str">
        <v>country</v>
      </c>
      <c r="E5" s="5">
        <v>0</v>
      </c>
      <c r="F5" s="4">
        <v>703</v>
      </c>
    </row>
    <row r="6" ht="45" customHeight="1">
      <c r="A6" s="4" t="str">
        <v>AOW01: Accelerating Solutions for Impact</v>
      </c>
      <c r="B6" s="4" t="str">
        <v>CIAT (Alliance)</v>
      </c>
      <c r="C6" s="4" t="str">
        <v>Kenya</v>
      </c>
      <c r="D6" s="4" t="str">
        <v>country</v>
      </c>
      <c r="E6" s="5">
        <v>0</v>
      </c>
      <c r="F6" s="4">
        <v>700</v>
      </c>
    </row>
    <row r="7" ht="45" customHeight="1">
      <c r="A7" s="4" t="str">
        <v>AOW01: Accelerating Solutions for Impact</v>
      </c>
      <c r="B7" s="4" t="str">
        <v>CIAT (Alliance)</v>
      </c>
      <c r="C7" s="4" t="str">
        <v>Uganda</v>
      </c>
      <c r="D7" s="4" t="str">
        <v>country</v>
      </c>
      <c r="E7" s="5">
        <v>0</v>
      </c>
      <c r="F7" s="4">
        <v>701</v>
      </c>
    </row>
    <row r="8" ht="45" customHeight="1">
      <c r="A8" s="4" t="str">
        <v>AOW01: Accelerating Solutions for Impact</v>
      </c>
      <c r="B8" s="4" t="str">
        <v>CIAT (Alliance)</v>
      </c>
      <c r="C8" s="4" t="str">
        <v>Zambia</v>
      </c>
      <c r="D8" s="4" t="str">
        <v>country</v>
      </c>
      <c r="E8" s="5">
        <v>0</v>
      </c>
      <c r="F8" s="4">
        <v>704</v>
      </c>
    </row>
    <row r="9" ht="45" customHeight="1">
      <c r="A9" s="8" t="str">
        <v>AOW02: Accelerating Change Through Evidence</v>
      </c>
      <c r="B9" s="4" t="str">
        <v>CIAT (Alliance)</v>
      </c>
      <c r="C9" s="4" t="str">
        <v>Global</v>
      </c>
      <c r="D9" s="4" t="str">
        <v>global</v>
      </c>
      <c r="E9" s="5">
        <v>100</v>
      </c>
      <c r="F9" s="4">
        <v>409</v>
      </c>
    </row>
  </sheetData>
  <mergeCells count="2">
    <mergeCell ref="A2:A8"/>
    <mergeCell ref="A9"/>
  </mergeCells>
  <ignoredErrors>
    <ignoredError numberStoredAsText="1" sqref="A1:F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</sheetData>
  <ignoredErrors>
    <ignoredError numberStoredAsText="1" sqref="A1:E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1.1 Pinpoint and act on restrictive norms</v>
      </c>
      <c r="C2" s="4" t="str">
        <v/>
      </c>
      <c r="D2" s="4" t="str">
        <v>Innovation Use</v>
      </c>
      <c r="E2" s="4" t="str">
        <v>Country: Bangladesh, Nigeria, Tanzania, United Republic</v>
      </c>
      <c r="F2" s="5">
        <v>0</v>
      </c>
      <c r="G2" s="4">
        <v>666</v>
      </c>
    </row>
    <row r="3" ht="60" customHeight="1">
      <c r="A3" s="4" t="str">
        <v>AOW00: Cross Cutting</v>
      </c>
      <c r="B3" s="4" t="str">
        <v>1. Use of metrics and analytics for monitoring progress in addressing structural barriers to gender equality and social inclusion</v>
      </c>
      <c r="C3" s="4" t="str">
        <v/>
      </c>
      <c r="D3" s="4" t="str">
        <v>Innovation Use</v>
      </c>
      <c r="E3" s="4" t="str">
        <v>Country: Bangladesh, Burkina Faso, Chad, China, Colombia, Egypt, Ethiopia, Gambia, Honduras, India, Jordan, Kenya, Lebanon, Malawi, Mali, Morocco, Mozambique, Niger, Nigeria, Papua New Guinea, South Africa, Tanzania, United Republic, Tunisia, Zimbabwe</v>
      </c>
      <c r="F3" s="5">
        <v>0</v>
      </c>
      <c r="G3" s="4">
        <v>667</v>
      </c>
    </row>
    <row r="4" ht="60" customHeight="1">
      <c r="A4" s="4" t="str">
        <v>AOW00: Cross Cutting</v>
      </c>
      <c r="B4" s="4" t="str">
        <v>1.2 Evidence-based support for women and youth empowerment</v>
      </c>
      <c r="C4" s="4" t="str">
        <v/>
      </c>
      <c r="D4" s="4" t="str">
        <v>Innovation Use</v>
      </c>
      <c r="E4" s="4" t="str">
        <v>Country: India</v>
      </c>
      <c r="F4" s="5">
        <v>5</v>
      </c>
      <c r="G4" s="4">
        <v>668</v>
      </c>
    </row>
    <row r="5" ht="60" customHeight="1">
      <c r="A5" s="4" t="str">
        <v>AOW00: Cross Cutting</v>
      </c>
      <c r="B5" s="4" t="str">
        <v>1.2 Evidence-based support for women and youth empowerment</v>
      </c>
      <c r="C5" s="4" t="str">
        <v/>
      </c>
      <c r="D5" s="4" t="str">
        <v>Innovation Use</v>
      </c>
      <c r="E5" s="4" t="str">
        <v>Country: Kenya</v>
      </c>
      <c r="F5" s="5">
        <v>5</v>
      </c>
      <c r="G5" s="4">
        <v>668</v>
      </c>
    </row>
    <row r="6" ht="60" customHeight="1">
      <c r="A6" s="4" t="str">
        <v>AOW00: Cross Cutting</v>
      </c>
      <c r="B6" s="4" t="str">
        <v>1.2 Evidence-based support for women and youth empowerment</v>
      </c>
      <c r="C6" s="4" t="str">
        <v/>
      </c>
      <c r="D6" s="4" t="str">
        <v>Innovation Use</v>
      </c>
      <c r="E6" s="4" t="str">
        <v>Country: Ethiopia</v>
      </c>
      <c r="F6" s="5">
        <v>5</v>
      </c>
      <c r="G6" s="4">
        <v>668</v>
      </c>
    </row>
    <row r="7" ht="60" customHeight="1">
      <c r="A7" s="4" t="str">
        <v>AOW00: Cross Cutting</v>
      </c>
      <c r="B7" s="4" t="str">
        <v>1.2 Evidence-based support for women and youth empowerment</v>
      </c>
      <c r="C7" s="4" t="str">
        <v/>
      </c>
      <c r="D7" s="4" t="str">
        <v>Number of Policy (Policy Change)</v>
      </c>
      <c r="E7" s="4" t="str">
        <v>Country: Ethiopia, India, Kenya</v>
      </c>
      <c r="F7" s="5">
        <v>0</v>
      </c>
      <c r="G7" s="4">
        <v>668</v>
      </c>
    </row>
    <row r="8" ht="60" customHeight="1">
      <c r="A8" s="4" t="str">
        <v>AOW00: Cross Cutting</v>
      </c>
      <c r="B8" s="4" t="str">
        <v xml:space="preserve">1.3 Evidence-based promotion of women's access to resources and social protection </v>
      </c>
      <c r="C8" s="4" t="str">
        <v/>
      </c>
      <c r="D8" s="4" t="str">
        <v>Innovation Use</v>
      </c>
      <c r="E8" s="4" t="str">
        <v>Country: Bangladesh, Egypt, Jordan, Kenya, Mali, Mozambique, Papua New Guinea, Zimbabwe</v>
      </c>
      <c r="F8" s="5">
        <v>0</v>
      </c>
      <c r="G8" s="4">
        <v>669</v>
      </c>
    </row>
    <row r="9" ht="60" customHeight="1">
      <c r="A9" s="4" t="str">
        <v>AOW00: Cross Cutting</v>
      </c>
      <c r="B9" s="4" t="str">
        <v>1.4 Amplify the voices of women, youth and socially excluded groups</v>
      </c>
      <c r="C9" s="4" t="str">
        <v/>
      </c>
      <c r="D9" s="4" t="str">
        <v>Innovation Use</v>
      </c>
      <c r="E9" s="4" t="str">
        <v>Country: Bangladesh, Burkina Faso, Chad, China, Colombia, Gambia, Honduras, India, Lebanon, Malawi, Mali, Morocco, Niger, Nigeria, South Africa, Tunisia</v>
      </c>
      <c r="F9" s="5">
        <v>0</v>
      </c>
      <c r="G9" s="4">
        <v>670</v>
      </c>
    </row>
    <row r="10" ht="60" customHeight="1">
      <c r="A10" s="4" t="str">
        <v>AOW00: Cross Cutting</v>
      </c>
      <c r="B10" s="4" t="str">
        <v>3.1: Evidence-based scaling of youth-responsive solutions</v>
      </c>
      <c r="C10" s="4" t="str">
        <v/>
      </c>
      <c r="D10" s="4" t="str">
        <v>Innovation Use</v>
      </c>
      <c r="E10" s="4" t="str">
        <v>Global</v>
      </c>
      <c r="F10" s="5">
        <v>1</v>
      </c>
      <c r="G10" s="4">
        <v>671</v>
      </c>
    </row>
    <row r="11" ht="60" customHeight="1">
      <c r="A11" s="4" t="str">
        <v>AOW00: Cross Cutting</v>
      </c>
      <c r="B11" s="4" t="str">
        <v>2.1 Use of methodologies and metrics rigorous and ethical research, monitoring practices and measuring empowerment and inclusion</v>
      </c>
      <c r="C11" s="4" t="str">
        <v/>
      </c>
      <c r="D11" s="4" t="str">
        <v>Innovation Use</v>
      </c>
      <c r="E11" s="4" t="str">
        <v>Global</v>
      </c>
      <c r="F11" s="5">
        <v>0</v>
      </c>
      <c r="G11" s="4">
        <v>672</v>
      </c>
    </row>
    <row r="12" ht="60" customHeight="1">
      <c r="A12" s="4" t="str">
        <v>AOW00: Cross Cutting</v>
      </c>
      <c r="B12" s="4" t="str">
        <v>2.2 Evidence-based decision, priority and target setting and investment</v>
      </c>
      <c r="C12" s="4" t="str">
        <v/>
      </c>
      <c r="D12" s="4" t="str">
        <v xml:space="preserve"> Number of partnering organisations that make evidence-based decisions, priority -setting, targeting and investments based on CGIAR and partners' GESI in FLWS research</v>
      </c>
      <c r="E12" s="4" t="str">
        <v>Global</v>
      </c>
      <c r="F12" s="5">
        <v>0</v>
      </c>
      <c r="G12" s="4">
        <v>673</v>
      </c>
    </row>
    <row r="13" ht="60" customHeight="1">
      <c r="A13" s="4" t="str">
        <v>AOW00: Cross Cutting</v>
      </c>
      <c r="B13" s="4" t="str">
        <v>2.3 Institutional change towards a truly inclusive environment that prioritizes the right gender, youth and social inclusion research</v>
      </c>
      <c r="C13" s="4" t="str">
        <v/>
      </c>
      <c r="D13" s="4" t="str">
        <v/>
      </c>
      <c r="E13" s="4" t="str">
        <v/>
      </c>
      <c r="F13" s="5">
        <v>0</v>
      </c>
      <c r="G13" s="4">
        <v>674</v>
      </c>
    </row>
    <row r="14" ht="60" customHeight="1">
      <c r="A14" s="4" t="str">
        <v>AOW00: Cross Cutting</v>
      </c>
      <c r="B14" s="4" t="str">
        <v xml:space="preserve">2. Dissemination, replication and scaling of gender responsive transformative and socially inclusive innovations </v>
      </c>
      <c r="C14" s="4" t="str">
        <v/>
      </c>
      <c r="D14" s="4" t="str">
        <v>Innovation Use</v>
      </c>
      <c r="E14" s="4" t="str">
        <v>Global</v>
      </c>
      <c r="F14" s="5">
        <v>0</v>
      </c>
      <c r="G14" s="4">
        <v>675</v>
      </c>
    </row>
    <row r="15" ht="60" customHeight="1">
      <c r="A15" s="4" t="str">
        <v>AOW00: Cross Cutting</v>
      </c>
      <c r="B15" s="4" t="str">
        <v>3. Use of evidence and innovations to address structural barriers to gender equality and social inclusion</v>
      </c>
      <c r="C15" s="4" t="str">
        <v/>
      </c>
      <c r="D15" s="4" t="str">
        <v>Innovation Use</v>
      </c>
      <c r="E15" s="4" t="str">
        <v>Global</v>
      </c>
      <c r="F15" s="5">
        <v>0</v>
      </c>
      <c r="G15" s="4">
        <v>676</v>
      </c>
    </row>
    <row r="16" ht="60" customHeight="1">
      <c r="A16" s="4" t="str">
        <v>AOW00: Cross Cutting</v>
      </c>
      <c r="B16" s="4" t="str">
        <v>4. Women, youth and socially excluded groups equitably benefit from innovations</v>
      </c>
      <c r="C16" s="4" t="str">
        <v/>
      </c>
      <c r="D16" s="4" t="str">
        <v>Innovation Use</v>
      </c>
      <c r="E16" s="4" t="str">
        <v>Global</v>
      </c>
      <c r="F16" s="5">
        <v>0</v>
      </c>
      <c r="G16" s="4">
        <v>677</v>
      </c>
    </row>
  </sheetData>
  <mergeCells count="3">
    <mergeCell ref="B4:B7"/>
    <mergeCell ref="C4:C7"/>
    <mergeCell ref="A2:A16"/>
  </mergeCells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