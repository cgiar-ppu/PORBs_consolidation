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84410</v>
      </c>
      <c r="K4" s="5">
        <v>84410</v>
      </c>
      <c r="L4" s="5">
        <v>0</v>
      </c>
      <c r="M4" s="5">
        <v>0</v>
      </c>
      <c r="N4" s="4">
        <v>210</v>
      </c>
    </row>
    <row r="5" ht="20" customHeight="1">
      <c r="A5" s="4" t="str">
        <v>AOW01: Accelerating Solutions for Impact</v>
      </c>
      <c r="B5" s="5">
        <v>2</v>
      </c>
      <c r="C5" s="5">
        <v>70000</v>
      </c>
      <c r="D5" s="5">
        <v>4</v>
      </c>
      <c r="E5" s="5">
        <v>70000</v>
      </c>
      <c r="F5" s="5">
        <v>250</v>
      </c>
      <c r="G5" s="5">
        <v>60000</v>
      </c>
      <c r="H5" s="5">
        <v>0</v>
      </c>
      <c r="I5" s="5">
        <v>0</v>
      </c>
      <c r="J5" s="5">
        <v>200000</v>
      </c>
      <c r="K5" s="5">
        <v>200000</v>
      </c>
      <c r="L5" s="5">
        <v>25000</v>
      </c>
      <c r="M5" s="5">
        <v>0</v>
      </c>
      <c r="N5" s="4">
        <v>209</v>
      </c>
    </row>
    <row r="6" ht="20" customHeight="1">
      <c r="A6" s="4" t="str">
        <v>AOW02: Accelerating Change Through Evidence</v>
      </c>
      <c r="B6" s="5">
        <v>0</v>
      </c>
      <c r="C6" s="5">
        <v>0</v>
      </c>
      <c r="D6" s="5">
        <v>2</v>
      </c>
      <c r="E6" s="5">
        <v>40000</v>
      </c>
      <c r="F6" s="5">
        <v>0</v>
      </c>
      <c r="G6" s="5">
        <v>0</v>
      </c>
      <c r="H6" s="5">
        <v>0</v>
      </c>
      <c r="I6" s="5">
        <v>0</v>
      </c>
      <c r="J6" s="5">
        <v>40000</v>
      </c>
      <c r="K6" s="5">
        <v>40000</v>
      </c>
      <c r="L6" s="5">
        <v>0</v>
      </c>
      <c r="M6" s="5">
        <v>0</v>
      </c>
      <c r="N6" s="4">
        <v>208</v>
      </c>
    </row>
    <row r="7" ht="20" customHeight="1">
      <c r="A7" s="4" t="str">
        <v>AOW03: Youth Thrive</v>
      </c>
      <c r="B7" s="5">
        <v>0</v>
      </c>
      <c r="C7" s="5">
        <v>0</v>
      </c>
      <c r="D7" s="5">
        <v>2</v>
      </c>
      <c r="E7" s="5">
        <v>114500</v>
      </c>
      <c r="F7" s="5">
        <v>0</v>
      </c>
      <c r="G7" s="5">
        <v>0</v>
      </c>
      <c r="H7" s="5">
        <v>0</v>
      </c>
      <c r="I7" s="5">
        <v>0</v>
      </c>
      <c r="J7" s="5">
        <v>114500</v>
      </c>
      <c r="K7" s="5">
        <v>114500</v>
      </c>
      <c r="L7" s="5">
        <v>0</v>
      </c>
      <c r="M7" s="5">
        <v>0</v>
      </c>
      <c r="N7" s="4">
        <v>207</v>
      </c>
    </row>
    <row r="8" ht="25" customHeight="1">
      <c r="A8" s="6" t="str">
        <v>Total</v>
      </c>
      <c r="B8" s="7" t="str">
        <v/>
      </c>
      <c r="C8" s="7">
        <v>70000</v>
      </c>
      <c r="D8" s="7" t="str">
        <v/>
      </c>
      <c r="E8" s="7">
        <v>224500</v>
      </c>
      <c r="F8" s="7" t="str">
        <v/>
      </c>
      <c r="G8" s="7">
        <v>60000</v>
      </c>
      <c r="H8" s="7" t="str">
        <v/>
      </c>
      <c r="I8" s="7">
        <v>0</v>
      </c>
      <c r="J8" s="7">
        <v>438910</v>
      </c>
      <c r="K8" s="7">
        <v>438910</v>
      </c>
      <c r="L8" s="7">
        <v>25000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1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Solutions for Impact</v>
      </c>
      <c r="B3" s="4" t="str">
        <v>AfricaRice</v>
      </c>
      <c r="C3" s="4" t="str">
        <v xml:space="preserve">1.2.1: Co-designed socio-technical innovation bundles for productivity and resilience </v>
      </c>
      <c r="D3" s="4" t="str">
        <v>STIBs baseline reports for the new learning labs in Mali and Madagascar that include an assessment of vulnerability and empowerment context in the new systems, identification of innovation bundles to strengthen women's empowerment and resilience, and identification of potential partners</v>
      </c>
      <c r="E3" s="4" t="str">
        <v>Number of innovations (innovation development)</v>
      </c>
      <c r="F3" s="4" t="str">
        <v>Mali, Madagascar</v>
      </c>
      <c r="G3" s="5">
        <v>2</v>
      </c>
      <c r="H3" s="5">
        <v>70000</v>
      </c>
      <c r="I3" s="4" t="str">
        <v>Key personnel, chargebacks, supplies &amp; services and overhead.</v>
      </c>
      <c r="J3" s="4">
        <v>6117</v>
      </c>
    </row>
    <row r="4" ht="50" customHeight="1">
      <c r="B4" s="4" t="str">
        <v>AfricaRice</v>
      </c>
      <c r="D4" s="4" t="str">
        <v xml:space="preserve">Stakeholders in STIBs learning labs in Mali and Madagascar trained to integrate technical and social innovations </v>
      </c>
      <c r="E4" s="4" t="str">
        <v>Number of people trained (capacity sharing for development)</v>
      </c>
      <c r="F4" s="4" t="str">
        <v>Mali, Madagascar</v>
      </c>
      <c r="G4" s="5">
        <v>250</v>
      </c>
      <c r="H4" s="5">
        <v>60000</v>
      </c>
      <c r="I4" s="4" t="str">
        <v>Key personnel, chargebacks, supplies &amp; services and overhead.</v>
      </c>
      <c r="J4" s="4">
        <v>6118</v>
      </c>
    </row>
    <row r="5" ht="50" customHeight="1">
      <c r="A5" s="4" t="str">
        <v>AOW01: Accelerating Solutions for Impact</v>
      </c>
      <c r="B5" s="4" t="str">
        <v>AfricaRice</v>
      </c>
      <c r="C5" s="4" t="str">
        <v>1.2.2: Performance and cost effectiveness of socio-technical bundles</v>
      </c>
      <c r="D5" s="4" t="str">
        <v>Published impact study report on STIBs interventions in Mali and Madagascar covering resilience, total factor productivity and cost effectiveness</v>
      </c>
      <c r="E5" s="4" t="str">
        <v>Number of knowledge products</v>
      </c>
      <c r="F5" s="4" t="str">
        <v>Mali, Madagascar</v>
      </c>
      <c r="G5" s="5">
        <v>2</v>
      </c>
      <c r="H5" s="5">
        <v>40000</v>
      </c>
      <c r="I5" s="4" t="str">
        <v>Key personnel, chargebacks, supplies &amp; services and overhead.</v>
      </c>
      <c r="J5" s="4">
        <v>6124</v>
      </c>
    </row>
    <row r="6" ht="50" customHeight="1">
      <c r="A6" s="4" t="str">
        <v>AOW01: Accelerating Solutions for Impact</v>
      </c>
      <c r="B6" s="4" t="str">
        <v>AfricaRice</v>
      </c>
      <c r="C6" s="4" t="str">
        <v xml:space="preserve">1.2.3: Scaling socio-technical innovation bundles  </v>
      </c>
      <c r="D6" s="4" t="str">
        <v>Published STIBs scaling strategies for Mali and Madagascar, including the planned pathways and processes for scaling the approach in the agri-food systems and incorporating diverse crops and practices</v>
      </c>
      <c r="E6" s="4" t="str">
        <v>Number of knowledge products</v>
      </c>
      <c r="F6" s="4" t="str">
        <v>Mali, Madagascar</v>
      </c>
      <c r="G6" s="5">
        <v>2</v>
      </c>
      <c r="H6" s="5">
        <v>30000</v>
      </c>
      <c r="I6" s="4" t="str">
        <v>Key personnel, chargebacks, supplies &amp; services and overhead.</v>
      </c>
      <c r="J6" s="4">
        <v>6131</v>
      </c>
    </row>
    <row r="7" ht="25" customHeight="1">
      <c r="C7" s="9" t="str">
        <v>HLO budget subtotal</v>
      </c>
      <c r="H7" s="9">
        <v>200000</v>
      </c>
      <c r="J7" s="9" t="str">
        <v/>
      </c>
    </row>
    <row r="8" ht="50" customHeight="1">
      <c r="A8" s="8" t="str">
        <v>AOW02: Accelerating Change Through Evidence</v>
      </c>
      <c r="B8" s="4" t="str">
        <v>AfricaRice</v>
      </c>
      <c r="C8" s="4" t="str">
        <v>2.2.3: Co-design with Science Programs and Partners for integrating evidence-based solutions for equality, youth, resilience, and nutrition</v>
      </c>
      <c r="D8" s="4" t="str">
        <v>Validated guidelines for gender monitoring, evaluation and learning in national rice policies</v>
      </c>
      <c r="E8" s="4" t="str">
        <v>Number of knowledge products</v>
      </c>
      <c r="F8" s="4" t="str">
        <v>Kenya, Uganda, Madagascar</v>
      </c>
      <c r="G8" s="5">
        <v>1</v>
      </c>
      <c r="H8" s="5">
        <v>20000</v>
      </c>
      <c r="I8" s="4" t="str">
        <v>Key personnel, chargebacks, supplies &amp; services and overhead.</v>
      </c>
      <c r="J8" s="4">
        <v>7296</v>
      </c>
    </row>
    <row r="9" ht="50" customHeight="1">
      <c r="A9" s="4" t="str">
        <v>AOW02: Accelerating Change Through Evidence</v>
      </c>
      <c r="B9" s="4" t="str">
        <v>AfricaRice</v>
      </c>
      <c r="C9" s="4" t="str">
        <v xml:space="preserve">2.3.1: Learning resources </v>
      </c>
      <c r="D9" s="4" t="str">
        <v>Validated gendered data collection toolkit tailored to collect sex and age-disaggregated data combined with geospatial systems to support gender policy analysis and implementation</v>
      </c>
      <c r="E9" s="4" t="str">
        <v>Number of knowledge products</v>
      </c>
      <c r="F9" s="4" t="str">
        <v>Madagascar, Uganda, Kenya</v>
      </c>
      <c r="G9" s="5">
        <v>1</v>
      </c>
      <c r="H9" s="5">
        <v>20000</v>
      </c>
      <c r="I9" s="4" t="str">
        <v>Key personnel, chargebacks, supplies &amp; services and overhead.</v>
      </c>
      <c r="J9" s="4">
        <v>7297</v>
      </c>
    </row>
    <row r="10" ht="25" customHeight="1">
      <c r="C10" s="9" t="str">
        <v>HLO budget subtotal</v>
      </c>
      <c r="H10" s="9">
        <v>40000</v>
      </c>
      <c r="J10" s="9" t="str">
        <v/>
      </c>
    </row>
    <row r="11" ht="50" customHeight="1">
      <c r="A11" s="8" t="str">
        <v>AOW03: Youth Thrive</v>
      </c>
      <c r="B11" s="4" t="str">
        <v>AfricaRice</v>
      </c>
      <c r="C11" s="4" t="str">
        <v>3.1.3: Analysis of constraints and pathways for youth in FLWS</v>
      </c>
      <c r="D11" s="4" t="str">
        <v>Age- and gender-specific empowerment indicators defined based on the scoping study in the rice value chain and validated with youth and stakeholders</v>
      </c>
      <c r="E11" s="4" t="str">
        <v>Number of knowledge products</v>
      </c>
      <c r="F11" s="4" t="str">
        <v>Côte d'Ivoire, Senegal</v>
      </c>
      <c r="G11" s="5">
        <v>1</v>
      </c>
      <c r="H11" s="5">
        <v>64500</v>
      </c>
      <c r="I11" s="4" t="str">
        <v>Key personnel, chargebacks, supplies &amp; services and overhead.</v>
      </c>
      <c r="J11" s="4">
        <v>6157</v>
      </c>
    </row>
    <row r="12" ht="50" customHeight="1">
      <c r="B12" s="4" t="str">
        <v>AfricaRice</v>
      </c>
      <c r="D12" s="4" t="str">
        <v>Scoping study and evidence report on pathways enabling youth to access resources, strengthen skills, and exercise agency within the rice value chain, providing actionable recommendations for targeted interventions</v>
      </c>
      <c r="E12" s="4" t="str">
        <v>Number of knowledge products</v>
      </c>
      <c r="F12" s="4" t="str">
        <v>Senegal, Côte d'Ivoire</v>
      </c>
      <c r="G12" s="5">
        <v>1</v>
      </c>
      <c r="H12" s="5">
        <v>50000</v>
      </c>
      <c r="I12" s="4" t="str">
        <v>Key personnel, chargebacks, supplies &amp; services and overhead.</v>
      </c>
      <c r="J12" s="4">
        <v>6160</v>
      </c>
    </row>
    <row r="13" ht="25" customHeight="1">
      <c r="C13" s="9" t="str">
        <v>HLO budget subtotal</v>
      </c>
      <c r="H13" s="9">
        <v>114500</v>
      </c>
      <c r="J13" s="9" t="str">
        <v/>
      </c>
    </row>
  </sheetData>
  <mergeCells count="14">
    <mergeCell ref="A1:A2"/>
    <mergeCell ref="B1:B2"/>
    <mergeCell ref="C1:C2"/>
    <mergeCell ref="D1:H1"/>
    <mergeCell ref="I1:I2"/>
    <mergeCell ref="J1:J2"/>
    <mergeCell ref="C3:C4"/>
    <mergeCell ref="C7:G7"/>
    <mergeCell ref="A3:A7"/>
    <mergeCell ref="C10:G10"/>
    <mergeCell ref="A8:A10"/>
    <mergeCell ref="C11:C12"/>
    <mergeCell ref="C13:G13"/>
    <mergeCell ref="A11:A13"/>
  </mergeCells>
  <ignoredErrors>
    <ignoredError numberStoredAsText="1" sqref="A1:J13"/>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Accelerating Solutions for Impact</v>
      </c>
      <c r="B2" s="4" t="str">
        <v>Unknown Partner 1</v>
      </c>
      <c r="C2" s="4" t="str">
        <v>AfricaRice</v>
      </c>
      <c r="D2" s="4" t="str">
        <v>Madagascar</v>
      </c>
      <c r="E2" s="5">
        <v>25000</v>
      </c>
      <c r="F2" s="4" t="str">
        <v>TBC</v>
      </c>
      <c r="G2" s="4">
        <v>261</v>
      </c>
    </row>
    <row r="3" ht="25" customHeight="1">
      <c r="B3" s="9" t="str">
        <v>Contracted partners subtotal</v>
      </c>
      <c r="E3" s="9">
        <v>25000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AfricaRice</v>
      </c>
      <c r="B2" s="4" t="str">
        <v>A-HP2023-002-MasterCard - WAEMU</v>
      </c>
      <c r="C2" s="4" t="str">
        <v>3.1: Evidence-based scaling of youth-responsive solutions</v>
      </c>
      <c r="D2" s="5">
        <v>645460</v>
      </c>
      <c r="E2" s="4" t="str">
        <v>N/A</v>
      </c>
      <c r="F2" s="4">
        <v>1190</v>
      </c>
    </row>
    <row r="3" ht="60" customHeight="1">
      <c r="A3" s="4" t="str">
        <v>AfricaRice</v>
      </c>
      <c r="B3" s="4" t="str">
        <v>A-HP2023-003-World Bank-Food Systems Resilience</v>
      </c>
      <c r="C3" s="4" t="str">
        <v>1.2 Evidence-based support for women and youth empowerment</v>
      </c>
      <c r="D3" s="5">
        <v>280734</v>
      </c>
      <c r="E3" s="4" t="str">
        <v>N/A</v>
      </c>
      <c r="F3" s="4">
        <v>1184</v>
      </c>
    </row>
    <row r="4" ht="25" customHeight="1">
      <c r="B4" s="9" t="str">
        <v>W3/Bilateral budget subtotal</v>
      </c>
      <c r="D4" s="9">
        <v>926194</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AfricaRice</v>
      </c>
      <c r="C2" s="4" t="str">
        <v>MELIA</v>
      </c>
      <c r="D2" s="5">
        <v>0</v>
      </c>
      <c r="E2" s="4" t="str">
        <v/>
      </c>
      <c r="F2" s="4">
        <v>36</v>
      </c>
      <c r="G2" s="4">
        <v>6</v>
      </c>
    </row>
    <row r="3" ht="45" customHeight="1">
      <c r="A3" s="4" t="str">
        <v>AOW00: Cross Cutting</v>
      </c>
      <c r="B3" s="4" t="str">
        <v>AfricaRice</v>
      </c>
      <c r="C3" s="4" t="str">
        <v>Area of Work Leads</v>
      </c>
      <c r="D3" s="5">
        <v>84410</v>
      </c>
      <c r="E3" s="4" t="str">
        <v>30% FTE and operational budget</v>
      </c>
      <c r="F3" s="4">
        <v>210</v>
      </c>
      <c r="G3" s="4">
        <v>3</v>
      </c>
    </row>
    <row r="4" ht="25" customHeight="1">
      <c r="C4" s="9" t="str">
        <v>Cross-cutting budget subtotal</v>
      </c>
      <c r="D4" s="9">
        <v>84410</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66629</v>
      </c>
      <c r="C2" s="5">
        <v>113881</v>
      </c>
      <c r="D2" s="5">
        <v>25200</v>
      </c>
      <c r="E2" s="5">
        <v>76205</v>
      </c>
      <c r="F2" s="5">
        <f>=SUM(B2:E2)</f>
        <v>0</v>
      </c>
    </row>
    <row r="3" ht="20" customHeight="1">
      <c r="A3" s="4" t="str">
        <v>Operations (supplies, consultants, travels, workshops, other)</v>
      </c>
      <c r="B3" s="5">
        <v>17781</v>
      </c>
      <c r="C3" s="5">
        <v>61119</v>
      </c>
      <c r="D3" s="5">
        <v>14800</v>
      </c>
      <c r="E3" s="5">
        <v>38295</v>
      </c>
      <c r="F3" s="5">
        <f>=SUM(B3:E3)</f>
        <v>0</v>
      </c>
    </row>
    <row r="4" ht="20" customHeight="1">
      <c r="A4" s="4" t="str">
        <v>Collaborators non-CGIAR centers</v>
      </c>
      <c r="B4" s="5">
        <v>0</v>
      </c>
      <c r="C4" s="5">
        <v>25000</v>
      </c>
      <c r="D4" s="5">
        <v>0</v>
      </c>
      <c r="E4" s="5">
        <v>0</v>
      </c>
      <c r="F4" s="5">
        <f>=SUM(B4:E4)</f>
        <v>0</v>
      </c>
    </row>
    <row r="5" ht="20" customHeight="1">
      <c r="A5" s="6" t="str">
        <v>Subtotal</v>
      </c>
      <c r="B5" s="7">
        <f>=SUM(B2:B4)</f>
        <v>0</v>
      </c>
      <c r="C5" s="7">
        <f>=SUM(C2:C4)</f>
        <v>0</v>
      </c>
      <c r="D5" s="7">
        <f>=SUM(D2:D4)</f>
        <v>0</v>
      </c>
      <c r="E5" s="7">
        <f>=SUM(E2:E4)</f>
        <v>0</v>
      </c>
      <c r="F5" s="7">
        <f>=SUM(F2:F4)</f>
        <v>0</v>
      </c>
    </row>
  </sheetData>
  <ignoredErrors>
    <ignoredError numberStoredAsText="1" sqref="A1:F5"/>
  </ignoredErrors>
</worksheet>
</file>

<file path=xl/worksheets/sheet8.xml><?xml version="1.0" encoding="utf-8"?>
<worksheet xmlns="http://schemas.openxmlformats.org/spreadsheetml/2006/main" xmlns:r="http://schemas.openxmlformats.org/officeDocument/2006/relationships">
  <dimension ref="A1:E9"/>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AfricaRice</v>
      </c>
      <c r="C2" s="4" t="str">
        <v>Madagascar</v>
      </c>
      <c r="D2" s="5">
        <v>100</v>
      </c>
      <c r="E2" s="4">
        <v>2548</v>
      </c>
    </row>
    <row r="3" ht="45" customHeight="1">
      <c r="A3" s="8" t="str">
        <v>AOW01: Accelerating Solutions for Impact</v>
      </c>
      <c r="B3" s="4" t="str">
        <v>AfricaRice</v>
      </c>
      <c r="C3" s="4" t="str">
        <v>Madagascar</v>
      </c>
      <c r="D3" s="5">
        <v>80</v>
      </c>
      <c r="E3" s="4">
        <v>919</v>
      </c>
    </row>
    <row r="4" ht="45" customHeight="1">
      <c r="A4" s="4" t="str">
        <v>AOW01: Accelerating Solutions for Impact</v>
      </c>
      <c r="B4" s="4" t="str">
        <v>AfricaRice</v>
      </c>
      <c r="C4" s="4" t="str">
        <v>Mali</v>
      </c>
      <c r="D4" s="5">
        <v>20</v>
      </c>
      <c r="E4" s="4">
        <v>920</v>
      </c>
    </row>
    <row r="5" ht="45" customHeight="1">
      <c r="A5" s="8" t="str">
        <v>AOW02: Accelerating Change Through Evidence</v>
      </c>
      <c r="B5" s="4" t="str">
        <v>AfricaRice</v>
      </c>
      <c r="C5" s="4" t="str">
        <v>Kenya</v>
      </c>
      <c r="D5" s="5">
        <v>20</v>
      </c>
      <c r="E5" s="4">
        <v>2052</v>
      </c>
    </row>
    <row r="6" ht="45" customHeight="1">
      <c r="A6" s="4" t="str">
        <v>AOW02: Accelerating Change Through Evidence</v>
      </c>
      <c r="B6" s="4" t="str">
        <v>AfricaRice</v>
      </c>
      <c r="C6" s="4" t="str">
        <v>Madagascar</v>
      </c>
      <c r="D6" s="5">
        <v>65</v>
      </c>
      <c r="E6" s="4">
        <v>1765</v>
      </c>
    </row>
    <row r="7" ht="45" customHeight="1">
      <c r="A7" s="4" t="str">
        <v>AOW02: Accelerating Change Through Evidence</v>
      </c>
      <c r="B7" s="4" t="str">
        <v>AfricaRice</v>
      </c>
      <c r="C7" s="4" t="str">
        <v>Uganda</v>
      </c>
      <c r="D7" s="5">
        <v>15</v>
      </c>
      <c r="E7" s="4">
        <v>2053</v>
      </c>
    </row>
    <row r="8" ht="45" customHeight="1">
      <c r="A8" s="8" t="str">
        <v>AOW03: Youth Thrive</v>
      </c>
      <c r="B8" s="4" t="str">
        <v>AfricaRice</v>
      </c>
      <c r="C8" s="4" t="str">
        <v>Côte d'Ivoire</v>
      </c>
      <c r="D8" s="5">
        <v>70</v>
      </c>
      <c r="E8" s="4">
        <v>1763</v>
      </c>
    </row>
    <row r="9" ht="45" customHeight="1">
      <c r="A9" s="4" t="str">
        <v>AOW03: Youth Thrive</v>
      </c>
      <c r="B9" s="4" t="str">
        <v>AfricaRice</v>
      </c>
      <c r="C9" s="4" t="str">
        <v>Senegal</v>
      </c>
      <c r="D9" s="5">
        <v>30</v>
      </c>
      <c r="E9" s="4">
        <v>3233</v>
      </c>
    </row>
  </sheetData>
  <mergeCells count="4">
    <mergeCell ref="A2"/>
    <mergeCell ref="A3:A4"/>
    <mergeCell ref="A5:A7"/>
    <mergeCell ref="A8:A9"/>
  </mergeCells>
  <ignoredErrors>
    <ignoredError numberStoredAsText="1" sqref="A1:E9"/>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AfricaRice</v>
      </c>
      <c r="C2" s="4" t="str">
        <v>Global</v>
      </c>
      <c r="D2" s="4" t="str">
        <v>global</v>
      </c>
      <c r="E2" s="5">
        <v>100</v>
      </c>
      <c r="F2" s="4">
        <v>905</v>
      </c>
    </row>
    <row r="3" ht="45" customHeight="1">
      <c r="A3" s="8" t="str">
        <v>AOW01: Accelerating Solutions for Impact</v>
      </c>
      <c r="B3" s="4" t="str">
        <v>AfricaRice</v>
      </c>
      <c r="C3" s="4" t="str">
        <v>Sub-Saharan Africa</v>
      </c>
      <c r="D3" s="4" t="str">
        <v>region</v>
      </c>
      <c r="E3" s="5">
        <v>100</v>
      </c>
      <c r="F3" s="4">
        <v>622</v>
      </c>
    </row>
    <row r="4" ht="45" customHeight="1">
      <c r="A4" s="8" t="str">
        <v>AOW02: Accelerating Change Through Evidence</v>
      </c>
      <c r="B4" s="4" t="str">
        <v>AfricaRice</v>
      </c>
      <c r="C4" s="4" t="str">
        <v>Sub-Saharan Africa</v>
      </c>
      <c r="D4" s="4" t="str">
        <v>region</v>
      </c>
      <c r="E4" s="5">
        <v>100</v>
      </c>
      <c r="F4" s="4">
        <v>621</v>
      </c>
    </row>
    <row r="5" ht="45" customHeight="1">
      <c r="A5" s="8" t="str">
        <v>AOW03: Youth Thrive</v>
      </c>
      <c r="B5" s="4" t="str">
        <v>AfricaRice</v>
      </c>
      <c r="C5" s="4" t="str">
        <v>Sub-Saharan Africa</v>
      </c>
      <c r="D5" s="4" t="str">
        <v>region</v>
      </c>
      <c r="E5" s="5">
        <v>100</v>
      </c>
      <c r="F5" s="4">
        <v>620</v>
      </c>
    </row>
  </sheetData>
  <mergeCells count="4">
    <mergeCell ref="A2"/>
    <mergeCell ref="A3"/>
    <mergeCell ref="A4"/>
    <mergeCell ref="A5"/>
  </mergeCells>
  <ignoredErrors>
    <ignoredError numberStoredAsText="1" sqref="A1:F5"/>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