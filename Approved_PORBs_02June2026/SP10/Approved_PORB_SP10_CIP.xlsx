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210</v>
      </c>
    </row>
    <row r="5" ht="20" customHeight="1">
      <c r="A5" s="4" t="str">
        <v>AOW01: Accelerating Solutions for Impact</v>
      </c>
      <c r="B5" s="5">
        <v>0</v>
      </c>
      <c r="C5" s="5">
        <v>0</v>
      </c>
      <c r="D5" s="5">
        <v>5</v>
      </c>
      <c r="E5" s="5">
        <v>259000</v>
      </c>
      <c r="F5" s="5">
        <v>0</v>
      </c>
      <c r="G5" s="5">
        <v>0</v>
      </c>
      <c r="H5" s="5">
        <v>0</v>
      </c>
      <c r="I5" s="5">
        <v>0</v>
      </c>
      <c r="J5" s="5">
        <v>259000</v>
      </c>
      <c r="K5" s="5">
        <v>259000</v>
      </c>
      <c r="L5" s="5">
        <v>0</v>
      </c>
      <c r="M5" s="5">
        <v>0</v>
      </c>
      <c r="N5" s="4">
        <v>209</v>
      </c>
    </row>
    <row r="6" ht="20" customHeight="1">
      <c r="A6" s="4" t="str">
        <v>AOW02: Accelerating Change Through Evidence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208</v>
      </c>
    </row>
    <row r="7" ht="20" customHeight="1">
      <c r="A7" s="4" t="str">
        <v>AOW03: Youth Thrive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207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259000</v>
      </c>
      <c r="F8" s="7" t="str">
        <v/>
      </c>
      <c r="G8" s="7">
        <v>0</v>
      </c>
      <c r="H8" s="7" t="str">
        <v/>
      </c>
      <c r="I8" s="7">
        <v>0</v>
      </c>
      <c r="J8" s="7">
        <v>259000</v>
      </c>
      <c r="K8" s="7">
        <v>259000</v>
      </c>
      <c r="L8" s="7">
        <v>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Accelerating Solutions for Impact</v>
      </c>
      <c r="B3" s="4" t="str">
        <v>CIP</v>
      </c>
      <c r="C3" s="4" t="str">
        <v>1.1.3: Gender-transformative solutions for women's economic empowerment</v>
      </c>
      <c r="D3" s="4" t="str">
        <v>Published book chapter on behavioral and social dimensions driving uptake and impact of innovations</v>
      </c>
      <c r="E3" s="4" t="str">
        <v>Number of knowledge products</v>
      </c>
      <c r="F3" s="4" t="str">
        <v>Peru</v>
      </c>
      <c r="G3" s="5">
        <v>1</v>
      </c>
      <c r="H3" s="5">
        <v>86000</v>
      </c>
      <c r="I3" s="4" t="str">
        <v>Staff cost and operations</v>
      </c>
      <c r="J3" s="4">
        <v>6108</v>
      </c>
    </row>
    <row r="4" ht="50" customHeight="1">
      <c r="B4" s="4" t="str">
        <v>CIP</v>
      </c>
      <c r="D4" s="4" t="str">
        <v>Published paper on modeling of crop traits and their implications on women's time saving in the care economy</v>
      </c>
      <c r="E4" s="4" t="str">
        <v>Number of knowledge products</v>
      </c>
      <c r="F4" s="4" t="str">
        <v>Ecuador</v>
      </c>
      <c r="G4" s="5">
        <v>1</v>
      </c>
      <c r="H4" s="5">
        <v>78500</v>
      </c>
      <c r="I4" s="4" t="str">
        <v>Staff time and operations</v>
      </c>
      <c r="J4" s="4">
        <v>6110</v>
      </c>
    </row>
    <row r="5" ht="50" customHeight="1">
      <c r="A5" s="4" t="str">
        <v>AOW01: Accelerating Solutions for Impact</v>
      </c>
      <c r="B5" s="4" t="str">
        <v>CIP</v>
      </c>
      <c r="C5" s="4" t="str">
        <v xml:space="preserve">1.2.1: Co-designed socio-technical innovation bundles for productivity and resilience </v>
      </c>
      <c r="D5" s="4" t="str">
        <v xml:space="preserve">Published capacity development toolkit for gender-responsive product profiling </v>
      </c>
      <c r="E5" s="4" t="str">
        <v>Number of knowledge products</v>
      </c>
      <c r="F5" s="4" t="str">
        <v>Peru</v>
      </c>
      <c r="G5" s="5">
        <v>1</v>
      </c>
      <c r="H5" s="5">
        <v>47500</v>
      </c>
      <c r="I5" s="4" t="str">
        <v>Staff cost</v>
      </c>
      <c r="J5" s="4">
        <v>6111</v>
      </c>
    </row>
    <row r="6" ht="50" customHeight="1">
      <c r="B6" s="4" t="str">
        <v>CIP</v>
      </c>
      <c r="D6" s="4" t="str">
        <v>Validated and published gender-responsive product profiling tools and policy recommendations for its institutional integration</v>
      </c>
      <c r="E6" s="4" t="str">
        <v>Number of knowledge products</v>
      </c>
      <c r="F6" s="4" t="str">
        <v>Peru</v>
      </c>
      <c r="G6" s="5">
        <v>2</v>
      </c>
      <c r="H6" s="5">
        <v>47000</v>
      </c>
      <c r="I6" s="4" t="str">
        <v>Staff cost</v>
      </c>
      <c r="J6" s="4">
        <v>6119</v>
      </c>
    </row>
    <row r="7" ht="25" customHeight="1">
      <c r="C7" s="9" t="str">
        <v>HLO budget subtotal</v>
      </c>
      <c r="H7" s="9">
        <v>259000</v>
      </c>
      <c r="J7" s="9" t="str">
        <v/>
      </c>
    </row>
  </sheetData>
  <mergeCells count="10">
    <mergeCell ref="A1:A2"/>
    <mergeCell ref="B1:B2"/>
    <mergeCell ref="C1:C2"/>
    <mergeCell ref="D1:H1"/>
    <mergeCell ref="I1:I2"/>
    <mergeCell ref="J1:J2"/>
    <mergeCell ref="C3:C4"/>
    <mergeCell ref="C5:C6"/>
    <mergeCell ref="C7:G7"/>
    <mergeCell ref="A3:A7"/>
  </mergeCells>
  <ignoredErrors>
    <ignoredError numberStoredAsText="1" sqref="A1:J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CIP</v>
      </c>
      <c r="B2" s="4" t="str">
        <v>P-1490-DFAT-Generating Revenues and Opportunities for Women</v>
      </c>
      <c r="C2" s="4" t="str">
        <v>1.2 Evidence-based support for women and youth empowerment</v>
      </c>
      <c r="D2" s="5">
        <v>657577</v>
      </c>
      <c r="E2" s="4" t="str">
        <v>N/A</v>
      </c>
      <c r="F2" s="4">
        <v>1180</v>
      </c>
    </row>
    <row r="3" ht="25" customHeight="1">
      <c r="B3" s="9" t="str">
        <v>W3/Bilateral budget subtotal</v>
      </c>
      <c r="D3" s="9">
        <v>657577</v>
      </c>
      <c r="E3" s="9" t="str">
        <v/>
      </c>
      <c r="F3" s="9" t="str">
        <v/>
      </c>
    </row>
  </sheetData>
  <mergeCells count="2">
    <mergeCell ref="B3:C3"/>
    <mergeCell ref="A2:A3"/>
  </mergeCells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256210</v>
      </c>
      <c r="D2" s="5">
        <v>0</v>
      </c>
      <c r="E2" s="5">
        <v>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2790</v>
      </c>
      <c r="D3" s="5">
        <v>0</v>
      </c>
      <c r="E3" s="5">
        <v>0</v>
      </c>
      <c r="F3" s="5">
        <f>=SUM(B3:E3)</f>
        <v>0</v>
      </c>
    </row>
    <row r="4" ht="20" customHeight="1">
      <c r="A4" s="6" t="str">
        <v>Subtotal</v>
      </c>
      <c r="B4" s="7">
        <f>=SUM(B2:B3)</f>
        <v>0</v>
      </c>
      <c r="C4" s="7">
        <f>=SUM(C2:C3)</f>
        <v>0</v>
      </c>
      <c r="D4" s="7">
        <f>=SUM(D2:D3)</f>
        <v>0</v>
      </c>
      <c r="E4" s="7">
        <f>=SUM(E2:E3)</f>
        <v>0</v>
      </c>
      <c r="F4" s="7">
        <f>=SUM(F2:F3)</f>
        <v>0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Accelerating Solutions for Impact</v>
      </c>
      <c r="B2" s="4" t="str">
        <v>CIP</v>
      </c>
      <c r="C2" s="4" t="str">
        <v>Ecuador</v>
      </c>
      <c r="D2" s="5">
        <v>30</v>
      </c>
      <c r="E2" s="4">
        <v>1158</v>
      </c>
    </row>
    <row r="3" ht="45" customHeight="1">
      <c r="A3" s="4" t="str">
        <v>AOW01: Accelerating Solutions for Impact</v>
      </c>
      <c r="B3" s="4" t="str">
        <v>CIP</v>
      </c>
      <c r="C3" s="4" t="str">
        <v>Peru</v>
      </c>
      <c r="D3" s="5">
        <v>70</v>
      </c>
      <c r="E3" s="4">
        <v>1159</v>
      </c>
    </row>
  </sheetData>
  <mergeCells count="1">
    <mergeCell ref="A2:A3"/>
  </mergeCells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Accelerating Solutions for Impact</v>
      </c>
      <c r="B2" s="4" t="str">
        <v>CIP</v>
      </c>
      <c r="C2" s="4" t="str">
        <v>Africa</v>
      </c>
      <c r="D2" s="4" t="str">
        <v>region</v>
      </c>
      <c r="E2" s="5">
        <v>50</v>
      </c>
      <c r="F2" s="4">
        <v>908</v>
      </c>
    </row>
    <row r="3" ht="45" customHeight="1">
      <c r="A3" s="4" t="str">
        <v>AOW01: Accelerating Solutions for Impact</v>
      </c>
      <c r="B3" s="4" t="str">
        <v>CIP</v>
      </c>
      <c r="C3" s="4" t="str">
        <v>Asia</v>
      </c>
      <c r="D3" s="4" t="str">
        <v>region</v>
      </c>
      <c r="E3" s="5">
        <v>30</v>
      </c>
      <c r="F3" s="4">
        <v>909</v>
      </c>
    </row>
    <row r="4" ht="45" customHeight="1">
      <c r="A4" s="4" t="str">
        <v>AOW01: Accelerating Solutions for Impact</v>
      </c>
      <c r="B4" s="4" t="str">
        <v>CIP</v>
      </c>
      <c r="C4" s="4" t="str">
        <v>Latin America and the Caribbean</v>
      </c>
      <c r="D4" s="4" t="str">
        <v>region</v>
      </c>
      <c r="E4" s="5">
        <v>20</v>
      </c>
      <c r="F4" s="4">
        <v>910</v>
      </c>
    </row>
    <row r="5" ht="45" customHeight="1">
      <c r="A5" s="4" t="str">
        <v>AOW01: Accelerating Solutions for Impact</v>
      </c>
      <c r="B5" s="4" t="str">
        <v>CIP</v>
      </c>
      <c r="C5" s="4" t="str">
        <v>Cambodia</v>
      </c>
      <c r="D5" s="4" t="str">
        <v>country</v>
      </c>
      <c r="E5" s="5">
        <v>0</v>
      </c>
      <c r="F5" s="4">
        <v>386</v>
      </c>
    </row>
    <row r="6" ht="45" customHeight="1">
      <c r="A6" s="4" t="str">
        <v>AOW01: Accelerating Solutions for Impact</v>
      </c>
      <c r="B6" s="4" t="str">
        <v>CIP</v>
      </c>
      <c r="C6" s="4" t="str">
        <v>Ethiopia</v>
      </c>
      <c r="D6" s="4" t="str">
        <v>country</v>
      </c>
      <c r="E6" s="5">
        <v>0</v>
      </c>
      <c r="F6" s="4">
        <v>389</v>
      </c>
    </row>
    <row r="7" ht="45" customHeight="1">
      <c r="A7" s="4" t="str">
        <v>AOW01: Accelerating Solutions for Impact</v>
      </c>
      <c r="B7" s="4" t="str">
        <v>CIP</v>
      </c>
      <c r="C7" s="4" t="str">
        <v>Honduras</v>
      </c>
      <c r="D7" s="4" t="str">
        <v>country</v>
      </c>
      <c r="E7" s="5">
        <v>0</v>
      </c>
      <c r="F7" s="4">
        <v>390</v>
      </c>
    </row>
    <row r="8" ht="45" customHeight="1">
      <c r="A8" s="4" t="str">
        <v>AOW01: Accelerating Solutions for Impact</v>
      </c>
      <c r="B8" s="4" t="str">
        <v>CIP</v>
      </c>
      <c r="C8" s="4" t="str">
        <v>India</v>
      </c>
      <c r="D8" s="4" t="str">
        <v>country</v>
      </c>
      <c r="E8" s="5">
        <v>0</v>
      </c>
      <c r="F8" s="4">
        <v>393</v>
      </c>
    </row>
    <row r="9" ht="45" customHeight="1">
      <c r="A9" s="4" t="str">
        <v>AOW01: Accelerating Solutions for Impact</v>
      </c>
      <c r="B9" s="4" t="str">
        <v>CIP</v>
      </c>
      <c r="C9" s="4" t="str">
        <v>Kenya</v>
      </c>
      <c r="D9" s="4" t="str">
        <v>country</v>
      </c>
      <c r="E9" s="5">
        <v>0</v>
      </c>
      <c r="F9" s="4">
        <v>391</v>
      </c>
    </row>
    <row r="10" ht="45" customHeight="1">
      <c r="A10" s="4" t="str">
        <v>AOW01: Accelerating Solutions for Impact</v>
      </c>
      <c r="B10" s="4" t="str">
        <v>CIP</v>
      </c>
      <c r="C10" s="4" t="str">
        <v>Niger</v>
      </c>
      <c r="D10" s="4" t="str">
        <v>country</v>
      </c>
      <c r="E10" s="5">
        <v>0</v>
      </c>
      <c r="F10" s="4">
        <v>387</v>
      </c>
    </row>
    <row r="11" ht="45" customHeight="1">
      <c r="A11" s="4" t="str">
        <v>AOW01: Accelerating Solutions for Impact</v>
      </c>
      <c r="B11" s="4" t="str">
        <v>CIP</v>
      </c>
      <c r="C11" s="4" t="str">
        <v>Peru</v>
      </c>
      <c r="D11" s="4" t="str">
        <v>country</v>
      </c>
      <c r="E11" s="5">
        <v>0</v>
      </c>
      <c r="F11" s="4">
        <v>392</v>
      </c>
    </row>
    <row r="12" ht="45" customHeight="1">
      <c r="A12" s="4" t="str">
        <v>AOW01: Accelerating Solutions for Impact</v>
      </c>
      <c r="B12" s="4" t="str">
        <v>CIP</v>
      </c>
      <c r="C12" s="4" t="str">
        <v>Philippines</v>
      </c>
      <c r="D12" s="4" t="str">
        <v>country</v>
      </c>
      <c r="E12" s="5">
        <v>0</v>
      </c>
      <c r="F12" s="4">
        <v>385</v>
      </c>
    </row>
    <row r="13" ht="45" customHeight="1">
      <c r="A13" s="4" t="str">
        <v>AOW01: Accelerating Solutions for Impact</v>
      </c>
      <c r="B13" s="4" t="str">
        <v>CIP</v>
      </c>
      <c r="C13" s="4" t="str">
        <v>Rwanda</v>
      </c>
      <c r="D13" s="4" t="str">
        <v>country</v>
      </c>
      <c r="E13" s="5">
        <v>0</v>
      </c>
      <c r="F13" s="4">
        <v>388</v>
      </c>
    </row>
    <row r="14" ht="45" customHeight="1">
      <c r="A14" s="4" t="str">
        <v>AOW01: Accelerating Solutions for Impact</v>
      </c>
      <c r="B14" s="4" t="str">
        <v>CIP</v>
      </c>
      <c r="C14" s="4" t="str">
        <v>Uganda</v>
      </c>
      <c r="D14" s="4" t="str">
        <v>country</v>
      </c>
      <c r="E14" s="5">
        <v>0</v>
      </c>
      <c r="F14" s="4">
        <v>384</v>
      </c>
    </row>
  </sheetData>
  <mergeCells count="1">
    <mergeCell ref="A2:A14"/>
  </mergeCells>
  <ignoredErrors>
    <ignoredError numberStoredAsText="1" sqref="A1:F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</sheetData>
  <ignoredErrors>
    <ignoredError numberStoredAsText="1" sqref="A1:E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1.1 Pinpoint and act on restrictive norms</v>
      </c>
      <c r="C2" s="4" t="str">
        <v/>
      </c>
      <c r="D2" s="4" t="str">
        <v>Innovation Use</v>
      </c>
      <c r="E2" s="4" t="str">
        <v>Country: Bangladesh, Nigeria, Tanzania, United Republic</v>
      </c>
      <c r="F2" s="5">
        <v>0</v>
      </c>
      <c r="G2" s="4">
        <v>666</v>
      </c>
    </row>
    <row r="3" ht="60" customHeight="1">
      <c r="A3" s="4" t="str">
        <v>AOW00: Cross Cutting</v>
      </c>
      <c r="B3" s="4" t="str">
        <v>1. Use of metrics and analytics for monitoring progress in addressing structural barriers to gender equality and social inclusion</v>
      </c>
      <c r="C3" s="4" t="str">
        <v/>
      </c>
      <c r="D3" s="4" t="str">
        <v>Innovation Use</v>
      </c>
      <c r="E3" s="4" t="str">
        <v>Country: Bangladesh, Burkina Faso, Chad, China, Colombia, Egypt, Ethiopia, Gambia, Honduras, India, Jordan, Kenya, Lebanon, Malawi, Mali, Morocco, Mozambique, Niger, Nigeria, Papua New Guinea, South Africa, Tanzania, United Republic, Tunisia, Zimbabwe</v>
      </c>
      <c r="F3" s="5">
        <v>0</v>
      </c>
      <c r="G3" s="4">
        <v>667</v>
      </c>
    </row>
    <row r="4" ht="60" customHeight="1">
      <c r="A4" s="4" t="str">
        <v>AOW00: Cross Cutting</v>
      </c>
      <c r="B4" s="4" t="str">
        <v>1.2 Evidence-based support for women and youth empowerment</v>
      </c>
      <c r="C4" s="4" t="str">
        <v/>
      </c>
      <c r="D4" s="4" t="str">
        <v>Innovation Use</v>
      </c>
      <c r="E4" s="4" t="str">
        <v>Country: India</v>
      </c>
      <c r="F4" s="5">
        <v>5</v>
      </c>
      <c r="G4" s="4">
        <v>668</v>
      </c>
    </row>
    <row r="5" ht="60" customHeight="1">
      <c r="A5" s="4" t="str">
        <v>AOW00: Cross Cutting</v>
      </c>
      <c r="B5" s="4" t="str">
        <v>1.2 Evidence-based support for women and youth empowerment</v>
      </c>
      <c r="C5" s="4" t="str">
        <v/>
      </c>
      <c r="D5" s="4" t="str">
        <v>Innovation Use</v>
      </c>
      <c r="E5" s="4" t="str">
        <v>Country: Kenya</v>
      </c>
      <c r="F5" s="5">
        <v>5</v>
      </c>
      <c r="G5" s="4">
        <v>668</v>
      </c>
    </row>
    <row r="6" ht="60" customHeight="1">
      <c r="A6" s="4" t="str">
        <v>AOW00: Cross Cutting</v>
      </c>
      <c r="B6" s="4" t="str">
        <v>1.2 Evidence-based support for women and youth empowerment</v>
      </c>
      <c r="C6" s="4" t="str">
        <v/>
      </c>
      <c r="D6" s="4" t="str">
        <v>Innovation Use</v>
      </c>
      <c r="E6" s="4" t="str">
        <v>Country: Ethiopia</v>
      </c>
      <c r="F6" s="5">
        <v>5</v>
      </c>
      <c r="G6" s="4">
        <v>668</v>
      </c>
    </row>
    <row r="7" ht="60" customHeight="1">
      <c r="A7" s="4" t="str">
        <v>AOW00: Cross Cutting</v>
      </c>
      <c r="B7" s="4" t="str">
        <v>1.2 Evidence-based support for women and youth empowerment</v>
      </c>
      <c r="C7" s="4" t="str">
        <v/>
      </c>
      <c r="D7" s="4" t="str">
        <v>Number of Policy (Policy Change)</v>
      </c>
      <c r="E7" s="4" t="str">
        <v>Country: Ethiopia, India, Kenya</v>
      </c>
      <c r="F7" s="5">
        <v>0</v>
      </c>
      <c r="G7" s="4">
        <v>668</v>
      </c>
    </row>
    <row r="8" ht="60" customHeight="1">
      <c r="A8" s="4" t="str">
        <v>AOW00: Cross Cutting</v>
      </c>
      <c r="B8" s="4" t="str">
        <v xml:space="preserve">1.3 Evidence-based promotion of women's access to resources and social protection </v>
      </c>
      <c r="C8" s="4" t="str">
        <v/>
      </c>
      <c r="D8" s="4" t="str">
        <v>Innovation Use</v>
      </c>
      <c r="E8" s="4" t="str">
        <v>Country: Bangladesh, Egypt, Jordan, Kenya, Mali, Mozambique, Papua New Guinea, Zimbabwe</v>
      </c>
      <c r="F8" s="5">
        <v>0</v>
      </c>
      <c r="G8" s="4">
        <v>669</v>
      </c>
    </row>
    <row r="9" ht="60" customHeight="1">
      <c r="A9" s="4" t="str">
        <v>AOW00: Cross Cutting</v>
      </c>
      <c r="B9" s="4" t="str">
        <v>1.4 Amplify the voices of women, youth and socially excluded groups</v>
      </c>
      <c r="C9" s="4" t="str">
        <v/>
      </c>
      <c r="D9" s="4" t="str">
        <v>Innovation Use</v>
      </c>
      <c r="E9" s="4" t="str">
        <v>Country: Bangladesh, Burkina Faso, Chad, China, Colombia, Gambia, Honduras, India, Lebanon, Malawi, Mali, Morocco, Niger, Nigeria, South Africa, Tunisia</v>
      </c>
      <c r="F9" s="5">
        <v>0</v>
      </c>
      <c r="G9" s="4">
        <v>670</v>
      </c>
    </row>
    <row r="10" ht="60" customHeight="1">
      <c r="A10" s="4" t="str">
        <v>AOW00: Cross Cutting</v>
      </c>
      <c r="B10" s="4" t="str">
        <v>3.1: Evidence-based scaling of youth-responsive solutions</v>
      </c>
      <c r="C10" s="4" t="str">
        <v/>
      </c>
      <c r="D10" s="4" t="str">
        <v>Innovation Use</v>
      </c>
      <c r="E10" s="4" t="str">
        <v>Global</v>
      </c>
      <c r="F10" s="5">
        <v>1</v>
      </c>
      <c r="G10" s="4">
        <v>671</v>
      </c>
    </row>
    <row r="11" ht="60" customHeight="1">
      <c r="A11" s="4" t="str">
        <v>AOW00: Cross Cutting</v>
      </c>
      <c r="B11" s="4" t="str">
        <v>2.1 Use of methodologies and metrics rigorous and ethical research, monitoring practices and measuring empowerment and inclusion</v>
      </c>
      <c r="C11" s="4" t="str">
        <v/>
      </c>
      <c r="D11" s="4" t="str">
        <v>Innovation Use</v>
      </c>
      <c r="E11" s="4" t="str">
        <v>Global</v>
      </c>
      <c r="F11" s="5">
        <v>0</v>
      </c>
      <c r="G11" s="4">
        <v>672</v>
      </c>
    </row>
    <row r="12" ht="60" customHeight="1">
      <c r="A12" s="4" t="str">
        <v>AOW00: Cross Cutting</v>
      </c>
      <c r="B12" s="4" t="str">
        <v>2.2 Evidence-based decision, priority and target setting and investment</v>
      </c>
      <c r="C12" s="4" t="str">
        <v/>
      </c>
      <c r="D12" s="4" t="str">
        <v xml:space="preserve"> Number of partnering organisations that make evidence-based decisions, priority -setting, targeting and investments based on CGIAR and partners' GESI in FLWS research</v>
      </c>
      <c r="E12" s="4" t="str">
        <v>Global</v>
      </c>
      <c r="F12" s="5">
        <v>0</v>
      </c>
      <c r="G12" s="4">
        <v>673</v>
      </c>
    </row>
    <row r="13" ht="60" customHeight="1">
      <c r="A13" s="4" t="str">
        <v>AOW00: Cross Cutting</v>
      </c>
      <c r="B13" s="4" t="str">
        <v>2.3 Institutional change towards a truly inclusive environment that prioritizes the right gender, youth and social inclusion research</v>
      </c>
      <c r="C13" s="4" t="str">
        <v/>
      </c>
      <c r="D13" s="4" t="str">
        <v/>
      </c>
      <c r="E13" s="4" t="str">
        <v/>
      </c>
      <c r="F13" s="5">
        <v>0</v>
      </c>
      <c r="G13" s="4">
        <v>674</v>
      </c>
    </row>
    <row r="14" ht="60" customHeight="1">
      <c r="A14" s="4" t="str">
        <v>AOW00: Cross Cutting</v>
      </c>
      <c r="B14" s="4" t="str">
        <v xml:space="preserve">2. Dissemination, replication and scaling of gender responsive transformative and socially inclusive innovations </v>
      </c>
      <c r="C14" s="4" t="str">
        <v/>
      </c>
      <c r="D14" s="4" t="str">
        <v>Innovation Use</v>
      </c>
      <c r="E14" s="4" t="str">
        <v>Global</v>
      </c>
      <c r="F14" s="5">
        <v>0</v>
      </c>
      <c r="G14" s="4">
        <v>675</v>
      </c>
    </row>
    <row r="15" ht="60" customHeight="1">
      <c r="A15" s="4" t="str">
        <v>AOW00: Cross Cutting</v>
      </c>
      <c r="B15" s="4" t="str">
        <v>3. Use of evidence and innovations to address structural barriers to gender equality and social inclusion</v>
      </c>
      <c r="C15" s="4" t="str">
        <v/>
      </c>
      <c r="D15" s="4" t="str">
        <v>Innovation Use</v>
      </c>
      <c r="E15" s="4" t="str">
        <v>Global</v>
      </c>
      <c r="F15" s="5">
        <v>0</v>
      </c>
      <c r="G15" s="4">
        <v>676</v>
      </c>
    </row>
    <row r="16" ht="60" customHeight="1">
      <c r="A16" s="4" t="str">
        <v>AOW00: Cross Cutting</v>
      </c>
      <c r="B16" s="4" t="str">
        <v>4. Women, youth and socially excluded groups equitably benefit from innovations</v>
      </c>
      <c r="C16" s="4" t="str">
        <v/>
      </c>
      <c r="D16" s="4" t="str">
        <v>Innovation Use</v>
      </c>
      <c r="E16" s="4" t="str">
        <v>Global</v>
      </c>
      <c r="F16" s="5">
        <v>0</v>
      </c>
      <c r="G16" s="4">
        <v>677</v>
      </c>
    </row>
  </sheetData>
  <mergeCells count="3">
    <mergeCell ref="B4:B7"/>
    <mergeCell ref="C4:C7"/>
    <mergeCell ref="A2:A16"/>
  </mergeCells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