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210</v>
      </c>
    </row>
    <row r="5" ht="20" customHeight="1">
      <c r="A5" s="4" t="str">
        <v>AOW01: Accelerating Solutions for Impact</v>
      </c>
      <c r="B5" s="5">
        <v>2</v>
      </c>
      <c r="C5" s="5">
        <v>331613</v>
      </c>
      <c r="D5" s="5">
        <v>3</v>
      </c>
      <c r="E5" s="5">
        <v>140537</v>
      </c>
      <c r="F5" s="5">
        <v>0</v>
      </c>
      <c r="G5" s="5">
        <v>0</v>
      </c>
      <c r="H5" s="5">
        <v>0</v>
      </c>
      <c r="I5" s="5">
        <v>0</v>
      </c>
      <c r="J5" s="5">
        <v>472150</v>
      </c>
      <c r="K5" s="5">
        <v>472150</v>
      </c>
      <c r="L5" s="5">
        <v>66800</v>
      </c>
      <c r="M5" s="5">
        <v>0</v>
      </c>
      <c r="N5" s="4">
        <v>209</v>
      </c>
    </row>
    <row r="6" ht="20" customHeight="1">
      <c r="A6" s="4" t="str">
        <v>AOW02: Accelerating Change Through Evidence</v>
      </c>
      <c r="B6" s="5">
        <v>0</v>
      </c>
      <c r="C6" s="5">
        <v>0</v>
      </c>
      <c r="D6" s="5">
        <v>0</v>
      </c>
      <c r="E6" s="5">
        <v>0</v>
      </c>
      <c r="F6" s="5">
        <v>0</v>
      </c>
      <c r="G6" s="5">
        <v>0</v>
      </c>
      <c r="H6" s="5">
        <v>0</v>
      </c>
      <c r="I6" s="5">
        <v>0</v>
      </c>
      <c r="J6" s="5">
        <v>0</v>
      </c>
      <c r="K6" s="5">
        <v>0</v>
      </c>
      <c r="L6" s="5">
        <v>0</v>
      </c>
      <c r="M6" s="5">
        <v>0</v>
      </c>
      <c r="N6" s="4">
        <v>208</v>
      </c>
    </row>
    <row r="7" ht="20" customHeight="1">
      <c r="A7" s="4" t="str">
        <v>AOW03: Youth Thrive</v>
      </c>
      <c r="B7" s="5">
        <v>0</v>
      </c>
      <c r="C7" s="5">
        <v>0</v>
      </c>
      <c r="D7" s="5">
        <v>0</v>
      </c>
      <c r="E7" s="5">
        <v>0</v>
      </c>
      <c r="F7" s="5">
        <v>0</v>
      </c>
      <c r="G7" s="5">
        <v>0</v>
      </c>
      <c r="H7" s="5">
        <v>0</v>
      </c>
      <c r="I7" s="5">
        <v>0</v>
      </c>
      <c r="J7" s="5">
        <v>0</v>
      </c>
      <c r="K7" s="5">
        <v>0</v>
      </c>
      <c r="L7" s="5">
        <v>0</v>
      </c>
      <c r="M7" s="5">
        <v>0</v>
      </c>
      <c r="N7" s="4">
        <v>207</v>
      </c>
    </row>
    <row r="8" ht="25" customHeight="1">
      <c r="A8" s="6" t="str">
        <v>Total</v>
      </c>
      <c r="B8" s="7" t="str">
        <v/>
      </c>
      <c r="C8" s="7">
        <v>331613</v>
      </c>
      <c r="D8" s="7" t="str">
        <v/>
      </c>
      <c r="E8" s="7">
        <v>140537</v>
      </c>
      <c r="F8" s="7" t="str">
        <v/>
      </c>
      <c r="G8" s="7">
        <v>0</v>
      </c>
      <c r="H8" s="7" t="str">
        <v/>
      </c>
      <c r="I8" s="7">
        <v>0</v>
      </c>
      <c r="J8" s="7">
        <v>472150</v>
      </c>
      <c r="K8" s="7">
        <v>472150</v>
      </c>
      <c r="L8" s="7">
        <v>66800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Solutions for Impact</v>
      </c>
      <c r="B3" s="4" t="str">
        <v>IITA</v>
      </c>
      <c r="C3" s="4" t="str">
        <v>1.1.2: Interventions for addressing restrictive norms</v>
      </c>
      <c r="D3" s="4" t="str">
        <v xml:space="preserve">Profiles of the piloted gender-transformative interventions in Nigeria and Tanzania </v>
      </c>
      <c r="E3" s="4" t="str">
        <v>Number of innovations (innovation development)</v>
      </c>
      <c r="F3" s="4" t="str">
        <v>Nigeria, Tanzania, United Republic</v>
      </c>
      <c r="G3" s="5">
        <v>2</v>
      </c>
      <c r="H3" s="5">
        <v>331613</v>
      </c>
      <c r="I3" s="4" t="str">
        <v>Covers IITA staff costs to support partners piloting the various GT interventions. Budgets for partners to carry out the pilots and some operation budget to travel from the IITA research stations to the study/pilot sites with partners.</v>
      </c>
      <c r="J3" s="4">
        <v>6104</v>
      </c>
    </row>
    <row r="4" ht="50" customHeight="1">
      <c r="A4" s="4" t="str">
        <v>AOW01: Accelerating Solutions for Impact</v>
      </c>
      <c r="B4" s="4" t="str">
        <v>IITA</v>
      </c>
      <c r="C4" s="4" t="str">
        <v>1.1.3: Gender-transformative solutions for women's economic empowerment</v>
      </c>
      <c r="D4" s="4" t="str">
        <v>Endline protocols and surveys for Nigeria and Tanzania: study tools</v>
      </c>
      <c r="E4" s="4" t="str">
        <v>Number of knowledge products</v>
      </c>
      <c r="F4" s="4" t="str">
        <v>Tanzania, United Republic, Nigeria</v>
      </c>
      <c r="G4" s="5">
        <v>2</v>
      </c>
      <c r="H4" s="5">
        <v>110537</v>
      </c>
      <c r="I4" s="4" t="str">
        <v>Mostly covers IITA staff costs to develop the study protocols and tools, with support from partners.</v>
      </c>
      <c r="J4" s="4">
        <v>6109</v>
      </c>
    </row>
    <row r="5" ht="50" customHeight="1">
      <c r="B5" s="4" t="str">
        <v>IITA</v>
      </c>
      <c r="D5" s="4" t="str">
        <v>Published compendium of stories of gender-transformative change</v>
      </c>
      <c r="E5" s="4" t="str">
        <v>Number of knowledge products</v>
      </c>
      <c r="F5" s="4" t="str">
        <v>Tanzania, United Republic, Nigeria</v>
      </c>
      <c r="G5" s="5">
        <v>1</v>
      </c>
      <c r="H5" s="5">
        <v>30000</v>
      </c>
      <c r="I5" s="4" t="str">
        <v>A relatively equal share of budget to IITA staff and partners to develop the stories of change, with some operational funds to collect data.</v>
      </c>
      <c r="J5" s="4">
        <v>7230</v>
      </c>
    </row>
    <row r="6" ht="25" customHeight="1">
      <c r="C6" s="9" t="str">
        <v>HLO budget subtotal</v>
      </c>
      <c r="H6" s="9">
        <v>472150</v>
      </c>
      <c r="J6" s="9" t="str">
        <v/>
      </c>
    </row>
  </sheetData>
  <mergeCells count="9">
    <mergeCell ref="A1:A2"/>
    <mergeCell ref="B1:B2"/>
    <mergeCell ref="C1:C2"/>
    <mergeCell ref="D1:H1"/>
    <mergeCell ref="I1:I2"/>
    <mergeCell ref="J1:J2"/>
    <mergeCell ref="C4:C5"/>
    <mergeCell ref="C6:G6"/>
    <mergeCell ref="A3:A6"/>
  </mergeCells>
  <ignoredErrors>
    <ignoredError numberStoredAsText="1" sqref="A1:J6"/>
  </ignoredErrors>
</worksheet>
</file>

<file path=xl/worksheets/sheet3.xml><?xml version="1.0" encoding="utf-8"?>
<worksheet xmlns="http://schemas.openxmlformats.org/spreadsheetml/2006/main" xmlns:r="http://schemas.openxmlformats.org/officeDocument/2006/relationships">
  <dimension ref="A1:G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Accelerating Solutions for Impact</v>
      </c>
      <c r="B2" s="4" t="str">
        <v>KOLPING SOCIETY OF TANZANIA</v>
      </c>
      <c r="C2" s="4" t="str">
        <v>IITA</v>
      </c>
      <c r="D2" s="4" t="str">
        <v>Tanzania, United Republic</v>
      </c>
      <c r="E2" s="5">
        <v>12267</v>
      </c>
      <c r="F2" s="4" t="str">
        <v>Budgets for partners to carry out the pilots</v>
      </c>
      <c r="G2" s="4">
        <v>94</v>
      </c>
    </row>
    <row r="3" ht="50" customHeight="1">
      <c r="A3" s="4" t="str">
        <v>AOW01: Accelerating Solutions for Impact</v>
      </c>
      <c r="B3" s="4" t="str">
        <v>NYAKITONTO YOUTH FOR DEVELOPMENT TANZANIA</v>
      </c>
      <c r="C3" s="4" t="str">
        <v>IITA</v>
      </c>
      <c r="D3" s="4" t="str">
        <v>Tanzania, United Republic</v>
      </c>
      <c r="E3" s="5">
        <v>12266</v>
      </c>
      <c r="F3" s="4" t="str">
        <v>Budgets for partners to carry out the pilots</v>
      </c>
      <c r="G3" s="4">
        <v>95</v>
      </c>
    </row>
    <row r="4" ht="50" customHeight="1">
      <c r="A4" s="4" t="str">
        <v>AOW01: Accelerating Solutions for Impact</v>
      </c>
      <c r="B4" s="4" t="str">
        <v>HakiArdhi</v>
      </c>
      <c r="C4" s="4" t="str">
        <v>IITA</v>
      </c>
      <c r="D4" s="4" t="str">
        <v>Tanzania, United Republic</v>
      </c>
      <c r="E4" s="5">
        <v>30000</v>
      </c>
      <c r="F4" s="4" t="str">
        <v>Budgets for partners to carry out the pilots</v>
      </c>
      <c r="G4" s="4">
        <v>96</v>
      </c>
    </row>
    <row r="5" ht="50" customHeight="1">
      <c r="A5" s="4" t="str">
        <v>AOW01: Accelerating Solutions for Impact</v>
      </c>
      <c r="B5" s="4" t="str">
        <v>Justice Development and Peace Commission</v>
      </c>
      <c r="C5" s="4" t="str">
        <v>IITA</v>
      </c>
      <c r="D5" s="4" t="str">
        <v>Nigeria</v>
      </c>
      <c r="E5" s="5">
        <v>12267</v>
      </c>
      <c r="F5" s="4" t="str">
        <v>Budgets for partners to carry out the pilots</v>
      </c>
      <c r="G5" s="4">
        <v>97</v>
      </c>
    </row>
    <row r="6" ht="25" customHeight="1">
      <c r="B6" s="9" t="str">
        <v>Contracted partners subtotal</v>
      </c>
      <c r="E6" s="9">
        <v>66800</v>
      </c>
      <c r="F6" s="9" t="str">
        <v/>
      </c>
      <c r="G6" s="9" t="str">
        <v/>
      </c>
    </row>
  </sheetData>
  <mergeCells count="2">
    <mergeCell ref="B6:D6"/>
    <mergeCell ref="A2:A6"/>
  </mergeCells>
  <ignoredErrors>
    <ignoredError numberStoredAsText="1" sqref="A1:G6"/>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IITA</v>
      </c>
      <c r="B2" s="4" t="str">
        <v>T-PJ-003801-Cassava Value Chain Development to Support Food Security and the Bread Industry in DRC</v>
      </c>
      <c r="C2" s="4" t="str">
        <v>1.2 Evidence-based support for women and youth empowerment</v>
      </c>
      <c r="D2" s="5">
        <v>384812</v>
      </c>
      <c r="E2" s="4" t="str">
        <v>N/A</v>
      </c>
      <c r="F2" s="4">
        <v>1179</v>
      </c>
    </row>
    <row r="3" ht="25" customHeight="1">
      <c r="B3" s="9" t="str">
        <v>W3/Bilateral budget subtotal</v>
      </c>
      <c r="D3" s="9">
        <v>384812</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0</v>
      </c>
      <c r="C2" s="5">
        <v>379143</v>
      </c>
      <c r="D2" s="5">
        <v>0</v>
      </c>
      <c r="E2" s="5">
        <v>0</v>
      </c>
      <c r="F2" s="5">
        <f>=SUM(B2:E2)</f>
        <v>0</v>
      </c>
    </row>
    <row r="3" ht="20" customHeight="1">
      <c r="A3" s="4" t="str">
        <v>Operations (supplies, consultants, travels, workshops, other)</v>
      </c>
      <c r="B3" s="5">
        <v>0</v>
      </c>
      <c r="C3" s="5">
        <v>26207</v>
      </c>
      <c r="D3" s="5">
        <v>0</v>
      </c>
      <c r="E3" s="5">
        <v>0</v>
      </c>
      <c r="F3" s="5">
        <f>=SUM(B3:E3)</f>
        <v>0</v>
      </c>
    </row>
    <row r="4" ht="20" customHeight="1">
      <c r="A4" s="4" t="str">
        <v>Collaborators non-CGIAR centers</v>
      </c>
      <c r="B4" s="5">
        <v>0</v>
      </c>
      <c r="C4" s="5">
        <v>66800</v>
      </c>
      <c r="D4" s="5">
        <v>0</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Solutions for Impact</v>
      </c>
      <c r="B2" s="4" t="str">
        <v>IITA</v>
      </c>
      <c r="C2" s="4" t="str">
        <v>Nigeria</v>
      </c>
      <c r="D2" s="5">
        <v>50</v>
      </c>
      <c r="E2" s="4">
        <v>921</v>
      </c>
    </row>
    <row r="3" ht="45" customHeight="1">
      <c r="A3" s="4" t="str">
        <v>AOW01: Accelerating Solutions for Impact</v>
      </c>
      <c r="B3" s="4" t="str">
        <v>IITA</v>
      </c>
      <c r="C3" s="4" t="str">
        <v>Tanzania</v>
      </c>
      <c r="D3" s="5">
        <v>50</v>
      </c>
      <c r="E3" s="4">
        <v>922</v>
      </c>
    </row>
  </sheetData>
  <mergeCells count="1">
    <mergeCell ref="A2: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Solutions for Impact</v>
      </c>
      <c r="B2" s="4" t="str">
        <v>IITA</v>
      </c>
      <c r="C2" s="4" t="str">
        <v>Nigeria</v>
      </c>
      <c r="D2" s="4" t="str">
        <v>country</v>
      </c>
      <c r="E2" s="5">
        <v>50</v>
      </c>
      <c r="F2" s="4">
        <v>249</v>
      </c>
    </row>
    <row r="3" ht="45" customHeight="1">
      <c r="A3" s="4" t="str">
        <v>AOW01: Accelerating Solutions for Impact</v>
      </c>
      <c r="B3" s="4" t="str">
        <v>IITA</v>
      </c>
      <c r="C3" s="4" t="str">
        <v>Tanzania, United Republic</v>
      </c>
      <c r="D3" s="4" t="str">
        <v>country</v>
      </c>
      <c r="E3" s="5">
        <v>50</v>
      </c>
      <c r="F3" s="4">
        <v>250</v>
      </c>
    </row>
  </sheetData>
  <mergeCells count="1">
    <mergeCell ref="A2: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