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431067</v>
      </c>
      <c r="K4" s="5">
        <v>431067</v>
      </c>
      <c r="L4" s="5">
        <v>0</v>
      </c>
      <c r="M4" s="5">
        <v>0</v>
      </c>
      <c r="N4" s="4">
        <v>210</v>
      </c>
    </row>
    <row r="5" ht="20" customHeight="1">
      <c r="A5" s="4" t="str">
        <v>AOW01: Accelerating Solutions for Impact</v>
      </c>
      <c r="B5" s="5">
        <v>2</v>
      </c>
      <c r="C5" s="5">
        <v>157000</v>
      </c>
      <c r="D5" s="5">
        <v>3</v>
      </c>
      <c r="E5" s="5">
        <v>136750</v>
      </c>
      <c r="F5" s="5">
        <v>0</v>
      </c>
      <c r="G5" s="5">
        <v>0</v>
      </c>
      <c r="H5" s="5">
        <v>0</v>
      </c>
      <c r="I5" s="5">
        <v>0</v>
      </c>
      <c r="J5" s="5">
        <v>293750</v>
      </c>
      <c r="K5" s="5">
        <v>293750</v>
      </c>
      <c r="L5" s="5">
        <v>0</v>
      </c>
      <c r="M5" s="5">
        <v>0</v>
      </c>
      <c r="N5" s="4">
        <v>209</v>
      </c>
    </row>
    <row r="6" ht="20" customHeight="1">
      <c r="A6" s="4" t="str">
        <v>AOW02: Accelerating Change Through Evidence</v>
      </c>
      <c r="B6" s="5">
        <v>0</v>
      </c>
      <c r="C6" s="5">
        <v>0</v>
      </c>
      <c r="D6" s="5">
        <v>32</v>
      </c>
      <c r="E6" s="5">
        <v>805331</v>
      </c>
      <c r="F6" s="5">
        <v>0</v>
      </c>
      <c r="G6" s="5">
        <v>0</v>
      </c>
      <c r="H6" s="5">
        <v>7</v>
      </c>
      <c r="I6" s="5">
        <v>257422</v>
      </c>
      <c r="J6" s="5">
        <v>1062753</v>
      </c>
      <c r="K6" s="5">
        <v>1062753</v>
      </c>
      <c r="L6" s="5">
        <v>28750</v>
      </c>
      <c r="M6" s="5">
        <v>0</v>
      </c>
      <c r="N6" s="4">
        <v>208</v>
      </c>
    </row>
    <row r="7" ht="20" customHeight="1">
      <c r="A7" s="4" t="str">
        <v>AOW03: Youth Thrive</v>
      </c>
      <c r="B7" s="5">
        <v>1</v>
      </c>
      <c r="C7" s="5">
        <v>120000</v>
      </c>
      <c r="D7" s="5">
        <v>1</v>
      </c>
      <c r="E7" s="5">
        <v>30000</v>
      </c>
      <c r="F7" s="5">
        <v>0</v>
      </c>
      <c r="G7" s="5">
        <v>0</v>
      </c>
      <c r="H7" s="5">
        <v>0</v>
      </c>
      <c r="I7" s="5">
        <v>0</v>
      </c>
      <c r="J7" s="5">
        <v>150000</v>
      </c>
      <c r="K7" s="5">
        <v>150000</v>
      </c>
      <c r="L7" s="5">
        <v>0</v>
      </c>
      <c r="M7" s="5">
        <v>0</v>
      </c>
      <c r="N7" s="4">
        <v>207</v>
      </c>
    </row>
    <row r="8" ht="25" customHeight="1">
      <c r="A8" s="6" t="str">
        <v>Total</v>
      </c>
      <c r="B8" s="7" t="str">
        <v/>
      </c>
      <c r="C8" s="7">
        <v>277000</v>
      </c>
      <c r="D8" s="7" t="str">
        <v/>
      </c>
      <c r="E8" s="7">
        <v>972081</v>
      </c>
      <c r="F8" s="7" t="str">
        <v/>
      </c>
      <c r="G8" s="7">
        <v>0</v>
      </c>
      <c r="H8" s="7" t="str">
        <v/>
      </c>
      <c r="I8" s="7">
        <v>257422</v>
      </c>
      <c r="J8" s="7">
        <v>1937570</v>
      </c>
      <c r="K8" s="7">
        <v>1937570</v>
      </c>
      <c r="L8" s="7">
        <v>28750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2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ILRI</v>
      </c>
      <c r="C3" s="4" t="str">
        <v>1.1.1: Tools for measuring restrictive norms</v>
      </c>
      <c r="D3" s="4" t="str">
        <v>Metrics and participatory tools co-designed with women-led collectives and communities to enable them to track progress, document impact of the gender-transformative approaches and develop locally led action plans for climate adaptation</v>
      </c>
      <c r="E3" s="4" t="str">
        <v>Number of knowledge products</v>
      </c>
      <c r="F3" s="4" t="str">
        <v>Tanzania, United Republic, Kenya</v>
      </c>
      <c r="G3" s="5">
        <v>1</v>
      </c>
      <c r="H3" s="5">
        <v>51750</v>
      </c>
      <c r="I3" s="4" t="str">
        <v>N/A</v>
      </c>
      <c r="J3" s="4">
        <v>6099</v>
      </c>
    </row>
    <row r="4" ht="50" customHeight="1">
      <c r="A4" s="4" t="str">
        <v>AOW01: Accelerating Solutions for Impact</v>
      </c>
      <c r="B4" s="4" t="str">
        <v>ILRI</v>
      </c>
      <c r="C4" s="4" t="str">
        <v>1.1.2: Interventions for addressing restrictive norms</v>
      </c>
      <c r="D4" s="4" t="str">
        <v>Gender-transformative approaches refined and implemented across 2 commodities or countries</v>
      </c>
      <c r="E4" s="4" t="str">
        <v>Number of innovations (innovation development)</v>
      </c>
      <c r="F4" s="4" t="str">
        <v>Uganda, Tanzania, United Republic</v>
      </c>
      <c r="G4" s="5">
        <v>2</v>
      </c>
      <c r="H4" s="5">
        <v>157000</v>
      </c>
      <c r="I4" s="4" t="str">
        <v>N/A</v>
      </c>
      <c r="J4" s="4">
        <v>6103</v>
      </c>
    </row>
    <row r="5" ht="50" customHeight="1">
      <c r="A5" s="4" t="str">
        <v>AOW01: Accelerating Solutions for Impact</v>
      </c>
      <c r="B5" s="4" t="str">
        <v>ILRI</v>
      </c>
      <c r="C5" s="4" t="str">
        <v>1.1.3: Gender-transformative solutions for women's economic empowerment</v>
      </c>
      <c r="D5" s="4" t="str">
        <v>Publication: compare the effectiveness of previously implemented gender-transformative approaches and analyze the conditions that made them successful across commodities and countries</v>
      </c>
      <c r="E5" s="4" t="str">
        <v>Number of knowledge products</v>
      </c>
      <c r="F5" s="4" t="str">
        <v>Kenya, Tanzania, United Republic</v>
      </c>
      <c r="G5" s="5">
        <v>1</v>
      </c>
      <c r="H5" s="5">
        <v>50000</v>
      </c>
      <c r="I5" s="4" t="str">
        <v>N/A</v>
      </c>
      <c r="J5" s="4">
        <v>6105</v>
      </c>
    </row>
    <row r="6" ht="50" customHeight="1">
      <c r="B6" s="4" t="str">
        <v>ILRI</v>
      </c>
      <c r="D6" s="4" t="str">
        <v>A paper: "From fieldwork to gender-transformative interventions in livestock system: lessons from Vietnam, Tanzania, Uganda and Kenya</v>
      </c>
      <c r="E6" s="4" t="str">
        <v>Number of knowledge products</v>
      </c>
      <c r="F6" s="4" t="str">
        <v>Kenya</v>
      </c>
      <c r="G6" s="5">
        <v>1</v>
      </c>
      <c r="H6" s="5">
        <v>35000</v>
      </c>
      <c r="I6" s="4" t="str">
        <v>N/A</v>
      </c>
      <c r="J6" s="4">
        <v>7233</v>
      </c>
    </row>
    <row r="7" ht="25" customHeight="1">
      <c r="C7" s="9" t="str">
        <v>HLO budget subtotal</v>
      </c>
      <c r="H7" s="9">
        <v>293750</v>
      </c>
      <c r="J7" s="9" t="str">
        <v/>
      </c>
    </row>
    <row r="8" ht="50" customHeight="1">
      <c r="A8" s="8" t="str">
        <v>AOW02: Accelerating Change Through Evidence</v>
      </c>
      <c r="B8" s="4" t="str">
        <v>ILRI</v>
      </c>
      <c r="C8" s="4" t="str">
        <v>2.1.3: Tools for measuring empowerment and inclusion</v>
      </c>
      <c r="D8" s="4" t="str">
        <v>Online WELI course that can be used by any WELI user to learn about the tool, its use and implementation.</v>
      </c>
      <c r="E8" s="4" t="str">
        <v>Number of knowledge products</v>
      </c>
      <c r="F8" s="4" t="str">
        <v>Kenya</v>
      </c>
      <c r="G8" s="5">
        <v>1</v>
      </c>
      <c r="H8" s="5">
        <v>100000</v>
      </c>
      <c r="I8" s="4" t="str">
        <v>Staff time, operations</v>
      </c>
      <c r="J8" s="4">
        <v>6177</v>
      </c>
    </row>
    <row r="9" ht="50" customHeight="1">
      <c r="A9" s="4" t="str">
        <v>AOW02: Accelerating Change Through Evidence</v>
      </c>
      <c r="B9" s="4" t="str">
        <v>ILRI</v>
      </c>
      <c r="C9" s="4" t="str">
        <v>2.2.2: Policy engagement and outreach for equality, youth, and resilience</v>
      </c>
      <c r="D9" s="4" t="str">
        <v>Published global Flagship Report on Gender Equality and Inclusion in food, land, and water systems by 2050: Projections and Solutions</v>
      </c>
      <c r="E9" s="4" t="str">
        <v>Number of knowledge products</v>
      </c>
      <c r="F9" s="4" t="str">
        <v>Kenya</v>
      </c>
      <c r="G9" s="5">
        <v>1</v>
      </c>
      <c r="H9" s="5">
        <v>81856</v>
      </c>
      <c r="I9" s="4" t="str">
        <v>Staff time; operational cost for launch</v>
      </c>
      <c r="J9" s="4">
        <v>6181</v>
      </c>
    </row>
    <row r="10" ht="50" customHeight="1">
      <c r="B10" s="4" t="str">
        <v>ILRI</v>
      </c>
      <c r="D10" s="4" t="str">
        <v xml:space="preserve">Evidence on gender in food, land and water systems generated by CGIAR presented in key global fora to influence global policy discourse, as part of overall global advocacy efforts </v>
      </c>
      <c r="E10" s="4" t="str">
        <v>custom</v>
      </c>
      <c r="F10" s="4" t="str">
        <v>Kenya</v>
      </c>
      <c r="G10" s="5">
        <v>5</v>
      </c>
      <c r="H10" s="5">
        <v>174247</v>
      </c>
      <c r="I10" s="4" t="str">
        <v>Travel, partner, staff time</v>
      </c>
      <c r="J10" s="4">
        <v>7280</v>
      </c>
    </row>
    <row r="11" ht="50" customHeight="1">
      <c r="A11" s="4" t="str">
        <v>AOW02: Accelerating Change Through Evidence</v>
      </c>
      <c r="B11" s="4" t="str">
        <v>ILRI</v>
      </c>
      <c r="C11" s="4" t="str">
        <v>2.2.4: Assessments of CGIAR's impact on gender equality, youth and social inclusion</v>
      </c>
      <c r="D11" s="4" t="str">
        <v>Slide deck describing/mapping how impact on gender equality and social inclusion is defined, which results we aim to achieve, on whom and how to measure them, and which are the actors involved</v>
      </c>
      <c r="E11" s="4" t="str">
        <v>Number of knowledge products</v>
      </c>
      <c r="F11" s="4" t="str">
        <v>Kenya</v>
      </c>
      <c r="G11" s="5">
        <v>1</v>
      </c>
      <c r="H11" s="5">
        <v>57022</v>
      </c>
      <c r="I11" s="4" t="str">
        <v>Staff time</v>
      </c>
      <c r="J11" s="4">
        <v>6195</v>
      </c>
    </row>
    <row r="12" ht="50" customHeight="1">
      <c r="B12" s="4" t="str">
        <v>ILRI</v>
      </c>
      <c r="D12" s="4" t="str">
        <v>An indicators bank that provides researchers with a collection of output, outcome, and impact indicators for tracking progress on gender equality, youth and social inclusion and provides guidance on how to measure each indicator and which questions to integrate into data collection surveys</v>
      </c>
      <c r="E12" s="4" t="str">
        <v>Number of knowledge products</v>
      </c>
      <c r="F12" s="4" t="str">
        <v>Kenya</v>
      </c>
      <c r="G12" s="5">
        <v>1</v>
      </c>
      <c r="H12" s="5">
        <v>133052</v>
      </c>
      <c r="I12" s="4" t="str">
        <v>Staff time</v>
      </c>
      <c r="J12" s="4">
        <v>6196</v>
      </c>
    </row>
    <row r="13" ht="50" customHeight="1">
      <c r="B13" s="4" t="str">
        <v>ILRI</v>
      </c>
      <c r="D13" s="4" t="str">
        <v>A report describing the impact of CGIAR research on gender, focusing on specific themes (e.g., climate adaptation, social norms, digital inclusion)</v>
      </c>
      <c r="E13" s="4" t="str">
        <v>Number of knowledge products</v>
      </c>
      <c r="F13" s="4" t="str">
        <v>Kenya</v>
      </c>
      <c r="G13" s="5">
        <v>1</v>
      </c>
      <c r="H13" s="5">
        <v>133052</v>
      </c>
      <c r="I13" s="4" t="str">
        <v>Staff time</v>
      </c>
      <c r="J13" s="4">
        <v>6197</v>
      </c>
    </row>
    <row r="14" ht="50" customHeight="1">
      <c r="B14" s="4" t="str">
        <v>ILRI</v>
      </c>
      <c r="D14" s="4" t="str">
        <v>"Impact' theme integrated within the Resource Hub that clearly maps and organizes all relevant resources related to impact assessment and measurement</v>
      </c>
      <c r="E14" s="4" t="str">
        <v>Number of knowledge products</v>
      </c>
      <c r="F14" s="4" t="str">
        <v>Kenya</v>
      </c>
      <c r="G14" s="5">
        <v>20</v>
      </c>
      <c r="H14" s="5">
        <v>46522</v>
      </c>
      <c r="I14" s="4" t="str">
        <v>Staff time and 30k operational budget</v>
      </c>
      <c r="J14" s="4">
        <v>6198</v>
      </c>
    </row>
    <row r="15" ht="50" customHeight="1">
      <c r="B15" s="4" t="str">
        <v>ILRI</v>
      </c>
      <c r="D15" s="4" t="str">
        <v xml:space="preserve">A report on methodological strengths, research gaps and evidence needs of the existing portfolio of impact assessment studies published in the Accelerator's resource hub </v>
      </c>
      <c r="E15" s="4" t="str">
        <v>Number of knowledge products</v>
      </c>
      <c r="F15" s="4" t="str">
        <v>Kenya</v>
      </c>
      <c r="G15" s="5">
        <v>1</v>
      </c>
      <c r="H15" s="5">
        <v>45000</v>
      </c>
      <c r="I15" s="4" t="str">
        <v>Staff time</v>
      </c>
      <c r="J15" s="4">
        <v>7278</v>
      </c>
    </row>
    <row r="16" ht="50" customHeight="1">
      <c r="A16" s="4" t="str">
        <v>AOW02: Accelerating Change Through Evidence</v>
      </c>
      <c r="B16" s="4" t="str">
        <v>ILRI</v>
      </c>
      <c r="C16" s="4" t="str">
        <v>2.3.3: Spaces to foster learning, knowledge exchange, and enabling environment for gender equality, youth and social inclusion research uptake</v>
      </c>
      <c r="D16" s="4" t="str">
        <v>Operational Resource Hubs enriched with at least 50 new resources for gender research and youth research in food, water and land systems</v>
      </c>
      <c r="E16" s="4" t="str">
        <v>custom</v>
      </c>
      <c r="F16" s="4" t="str">
        <v>Kenya</v>
      </c>
      <c r="G16" s="5">
        <v>2</v>
      </c>
      <c r="H16" s="5">
        <v>83175</v>
      </c>
      <c r="I16" s="4" t="str">
        <v>Consultants for web design, content editing/writing, automated content harvesting</v>
      </c>
      <c r="J16" s="4">
        <v>6212</v>
      </c>
    </row>
    <row r="17" ht="50" customHeight="1">
      <c r="A17" s="4" t="str">
        <v>AOW02: Accelerating Change Through Evidence</v>
      </c>
      <c r="B17" s="4" t="str">
        <v>ILRI</v>
      </c>
      <c r="C17" s="4" t="str">
        <v>2.3.4: Strategies for making gender equality, youth and social inclusion research an institutional priority</v>
      </c>
      <c r="D17" s="4" t="str">
        <v>Develop and implement a global communication campaign for the International Year of the Women Farmer that produces and disseminates policy briefs, knowledge notes and communication materials to raise awareness of women farmers’ contributions and constraints in FWLS</v>
      </c>
      <c r="E17" s="4" t="str">
        <v>Number of knowledge products</v>
      </c>
      <c r="F17" s="4" t="str">
        <v>Kenya</v>
      </c>
      <c r="G17" s="5">
        <v>5</v>
      </c>
      <c r="H17" s="5">
        <v>132050</v>
      </c>
      <c r="I17" s="4" t="str">
        <v>Operations, staff time</v>
      </c>
      <c r="J17" s="4">
        <v>6216</v>
      </c>
    </row>
    <row r="18" ht="50" customHeight="1">
      <c r="A18" s="4" t="str">
        <v>AOW02: Accelerating Change Through Evidence</v>
      </c>
      <c r="B18" s="4" t="str">
        <v>ILRI</v>
      </c>
      <c r="C18" s="4" t="str">
        <v>2.2.3: Co-design with Science Programs and Partners for integrating evidence-based solutions for equality, youth, resilience, and nutrition</v>
      </c>
      <c r="D18" s="4" t="str">
        <v xml:space="preserve">Machine learning case study with GENNOVATE data conducted and open access FAIR anonymized GENNOVATE dataset disseminated to CGIAR researchers </v>
      </c>
      <c r="E18" s="4" t="str">
        <v>Number of knowledge products</v>
      </c>
      <c r="F18" s="4" t="str">
        <v>Kenya</v>
      </c>
      <c r="G18" s="5">
        <v>1</v>
      </c>
      <c r="H18" s="5">
        <v>76777</v>
      </c>
      <c r="I18" s="4" t="str">
        <v>Staff time</v>
      </c>
      <c r="J18" s="4">
        <v>7683</v>
      </c>
    </row>
    <row r="19" ht="25" customHeight="1">
      <c r="C19" s="9" t="str">
        <v>HLO budget subtotal</v>
      </c>
      <c r="H19" s="9">
        <v>1062753</v>
      </c>
      <c r="J19" s="9" t="str">
        <v/>
      </c>
    </row>
    <row r="20" ht="50" customHeight="1">
      <c r="A20" s="8" t="str">
        <v>AOW03: Youth Thrive</v>
      </c>
      <c r="B20" s="4" t="str">
        <v>ILRI</v>
      </c>
      <c r="C20" s="4" t="str">
        <v xml:space="preserve">3.1.2: Co-designed innovations with youth </v>
      </c>
      <c r="D20" s="4" t="str">
        <v>Qualitative dataset from Ethiopia on local meanings youth attach to empowerment and indicators that are significant to them</v>
      </c>
      <c r="E20" s="4" t="str">
        <v>Number of knowledge products</v>
      </c>
      <c r="F20" s="4" t="str">
        <v>Kenya, Ethiopia</v>
      </c>
      <c r="G20" s="5">
        <v>1</v>
      </c>
      <c r="H20" s="5">
        <v>30000</v>
      </c>
      <c r="I20" s="4" t="str">
        <v>Staff cost, operations</v>
      </c>
      <c r="J20" s="4">
        <v>6161</v>
      </c>
    </row>
    <row r="21" ht="50" customHeight="1">
      <c r="A21" s="4" t="str">
        <v>AOW03: Youth Thrive</v>
      </c>
      <c r="B21" s="4" t="str">
        <v>ILRI</v>
      </c>
      <c r="C21" s="4" t="str">
        <v xml:space="preserve">3.1.1: Approaches to engage youth  </v>
      </c>
      <c r="D21" s="4" t="str">
        <v>Youth Empowerment in Livestock Index (YELI) developed and validated by local youth groups</v>
      </c>
      <c r="E21" s="4" t="str">
        <v>Number of innovations (innovation development)</v>
      </c>
      <c r="F21" s="4" t="str">
        <v>Kenya</v>
      </c>
      <c r="G21" s="5">
        <v>1</v>
      </c>
      <c r="H21" s="5">
        <v>120000</v>
      </c>
      <c r="I21" s="4" t="str">
        <v>Staff cost, operations</v>
      </c>
      <c r="J21" s="4">
        <v>6162</v>
      </c>
    </row>
    <row r="22" ht="25" customHeight="1">
      <c r="C22" s="9" t="str">
        <v>HLO budget subtotal</v>
      </c>
      <c r="H22" s="9">
        <v>150000</v>
      </c>
      <c r="J22" s="9" t="str">
        <v/>
      </c>
    </row>
  </sheetData>
  <mergeCells count="15">
    <mergeCell ref="A1:A2"/>
    <mergeCell ref="B1:B2"/>
    <mergeCell ref="C1:C2"/>
    <mergeCell ref="D1:H1"/>
    <mergeCell ref="I1:I2"/>
    <mergeCell ref="J1:J2"/>
    <mergeCell ref="C5:C6"/>
    <mergeCell ref="C7:G7"/>
    <mergeCell ref="A3:A7"/>
    <mergeCell ref="C9:C10"/>
    <mergeCell ref="C11:C15"/>
    <mergeCell ref="C19:G19"/>
    <mergeCell ref="A8:A19"/>
    <mergeCell ref="C22:G22"/>
    <mergeCell ref="A20:A22"/>
  </mergeCells>
  <ignoredErrors>
    <ignoredError numberStoredAsText="1" sqref="A1:J22"/>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Accelerating Change Through Evidence</v>
      </c>
      <c r="B2" s="4" t="str">
        <v>African Group of Negotiators Expert Support</v>
      </c>
      <c r="C2" s="4" t="str">
        <v>ILRI</v>
      </c>
      <c r="D2" s="4" t="str">
        <v>Kenya</v>
      </c>
      <c r="E2" s="5">
        <v>28750</v>
      </c>
      <c r="F2" s="4" t="str">
        <v>Contracted partner</v>
      </c>
      <c r="G2" s="4">
        <v>173</v>
      </c>
    </row>
    <row r="3" ht="25" customHeight="1">
      <c r="B3" s="9" t="str">
        <v>Contracted partners subtotal</v>
      </c>
      <c r="E3" s="9">
        <v>28750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ILRI</v>
      </c>
      <c r="C2" s="4" t="str">
        <v>MELIA</v>
      </c>
      <c r="D2" s="5">
        <v>0</v>
      </c>
      <c r="E2" s="4" t="str">
        <v/>
      </c>
      <c r="F2" s="4">
        <v>37</v>
      </c>
      <c r="G2" s="4">
        <v>6</v>
      </c>
    </row>
    <row r="3" ht="45" customHeight="1">
      <c r="A3" s="4" t="str">
        <v>AOW00: Cross Cutting</v>
      </c>
      <c r="B3" s="4" t="str">
        <v>ILRI</v>
      </c>
      <c r="C3" s="4" t="str">
        <v>Communication/Knowledge management</v>
      </c>
      <c r="D3" s="5">
        <v>91147</v>
      </c>
      <c r="E3" s="4" t="str">
        <v>Staff time: 1 FTE knowledge manager, 1 FTE communications manager. Operational costs corresponding to the engagement and communications plan of the Accelerator are budgeted under dedicated HLOs in AoW 2 as part of the TOC.</v>
      </c>
      <c r="F3" s="4">
        <v>73</v>
      </c>
      <c r="G3" s="4">
        <v>5</v>
      </c>
    </row>
    <row r="4" ht="45" customHeight="1">
      <c r="A4" s="4" t="str">
        <v>AOW00: Cross Cutting</v>
      </c>
      <c r="B4" s="4" t="str">
        <v>ILRI</v>
      </c>
      <c r="C4" s="4" t="str">
        <v>PMU, CGIAR Program Finance Support and associated Allocation</v>
      </c>
      <c r="D4" s="5">
        <v>339920</v>
      </c>
      <c r="E4" s="4" t="str">
        <v>Coordinator and existing contractual obligations with ILRI</v>
      </c>
      <c r="F4" s="4">
        <v>74</v>
      </c>
      <c r="G4" s="4">
        <v>2</v>
      </c>
    </row>
    <row r="5" ht="25" customHeight="1">
      <c r="C5" s="9" t="str">
        <v>Cross-cutting budget subtotal</v>
      </c>
      <c r="D5" s="9">
        <v>431067</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431067</v>
      </c>
      <c r="C2" s="5">
        <v>258234</v>
      </c>
      <c r="D2" s="5">
        <v>775196</v>
      </c>
      <c r="E2" s="5">
        <v>132627</v>
      </c>
      <c r="F2" s="5">
        <f>=SUM(B2:E2)</f>
        <v>0</v>
      </c>
    </row>
    <row r="3" ht="20" customHeight="1">
      <c r="A3" s="4" t="str">
        <v>Operations (supplies, consultants, travels, workshops, other)</v>
      </c>
      <c r="B3" s="5">
        <v>0</v>
      </c>
      <c r="C3" s="5">
        <v>35516</v>
      </c>
      <c r="D3" s="5">
        <v>258807</v>
      </c>
      <c r="E3" s="5">
        <v>17373</v>
      </c>
      <c r="F3" s="5">
        <f>=SUM(B3:E3)</f>
        <v>0</v>
      </c>
    </row>
    <row r="4" ht="20" customHeight="1">
      <c r="A4" s="4" t="str">
        <v>Collaborators non-CGIAR centers</v>
      </c>
      <c r="B4" s="5">
        <v>0</v>
      </c>
      <c r="C4" s="5">
        <v>0</v>
      </c>
      <c r="D4" s="5">
        <v>28750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2552</v>
      </c>
    </row>
    <row r="3" ht="45" customHeight="1">
      <c r="A3" s="8" t="str">
        <v>AOW01: Accelerating Solutions for Impact</v>
      </c>
      <c r="B3" s="4" t="str">
        <v>ILRI</v>
      </c>
      <c r="C3" s="4" t="str">
        <v>Kenya</v>
      </c>
      <c r="D3" s="5">
        <v>30</v>
      </c>
      <c r="E3" s="4">
        <v>1163</v>
      </c>
    </row>
    <row r="4" ht="45" customHeight="1">
      <c r="A4" s="4" t="str">
        <v>AOW01: Accelerating Solutions for Impact</v>
      </c>
      <c r="B4" s="4" t="str">
        <v>ILRI</v>
      </c>
      <c r="C4" s="4" t="str">
        <v>Tanzania</v>
      </c>
      <c r="D4" s="5">
        <v>40</v>
      </c>
      <c r="E4" s="4">
        <v>1164</v>
      </c>
    </row>
    <row r="5" ht="45" customHeight="1">
      <c r="A5" s="4" t="str">
        <v>AOW01: Accelerating Solutions for Impact</v>
      </c>
      <c r="B5" s="4" t="str">
        <v>ILRI</v>
      </c>
      <c r="C5" s="4" t="str">
        <v>Uganda</v>
      </c>
      <c r="D5" s="5">
        <v>30</v>
      </c>
      <c r="E5" s="4">
        <v>1165</v>
      </c>
    </row>
    <row r="6" ht="45" customHeight="1">
      <c r="A6" s="8" t="str">
        <v>AOW02: Accelerating Change Through Evidence</v>
      </c>
      <c r="B6" s="4" t="str">
        <v>ILRI</v>
      </c>
      <c r="C6" s="4" t="str">
        <v>Kenya</v>
      </c>
      <c r="D6" s="5">
        <v>100</v>
      </c>
      <c r="E6" s="4">
        <v>1167</v>
      </c>
    </row>
    <row r="7" ht="45" customHeight="1">
      <c r="A7" s="8" t="str">
        <v>AOW03: Youth Thrive</v>
      </c>
      <c r="B7" s="4" t="str">
        <v>ILRI</v>
      </c>
      <c r="C7" s="4" t="str">
        <v>Ethiopia</v>
      </c>
      <c r="D7" s="5">
        <v>10</v>
      </c>
      <c r="E7" s="4">
        <v>1171</v>
      </c>
    </row>
    <row r="8" ht="45" customHeight="1">
      <c r="A8" s="4" t="str">
        <v>AOW03: Youth Thrive</v>
      </c>
      <c r="B8" s="4" t="str">
        <v>ILRI</v>
      </c>
      <c r="C8" s="4" t="str">
        <v>Kenya</v>
      </c>
      <c r="D8" s="5">
        <v>90</v>
      </c>
      <c r="E8" s="4">
        <v>1172</v>
      </c>
    </row>
  </sheetData>
  <mergeCells count="4">
    <mergeCell ref="A2"/>
    <mergeCell ref="A3:A5"/>
    <mergeCell ref="A6"/>
    <mergeCell ref="A7:A8"/>
  </mergeCells>
  <ignoredErrors>
    <ignoredError numberStoredAsText="1" sqref="A1:E8"/>
  </ignoredErrors>
</worksheet>
</file>

<file path=xl/worksheets/sheet9.xml><?xml version="1.0" encoding="utf-8"?>
<worksheet xmlns="http://schemas.openxmlformats.org/spreadsheetml/2006/main" xmlns:r="http://schemas.openxmlformats.org/officeDocument/2006/relationships">
  <dimension ref="A1:F8"/>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Global</v>
      </c>
      <c r="D2" s="4" t="str">
        <v>global</v>
      </c>
      <c r="E2" s="5">
        <v>100</v>
      </c>
      <c r="F2" s="4">
        <v>912</v>
      </c>
    </row>
    <row r="3" ht="45" customHeight="1">
      <c r="A3" s="8" t="str">
        <v>AOW01: Accelerating Solutions for Impact</v>
      </c>
      <c r="B3" s="4" t="str">
        <v>ILRI</v>
      </c>
      <c r="C3" s="4" t="str">
        <v>Eastern Africa</v>
      </c>
      <c r="D3" s="4" t="str">
        <v>region</v>
      </c>
      <c r="E3" s="5">
        <v>100</v>
      </c>
      <c r="F3" s="4">
        <v>398</v>
      </c>
    </row>
    <row r="4" ht="45" customHeight="1">
      <c r="A4" s="4" t="str">
        <v>AOW01: Accelerating Solutions for Impact</v>
      </c>
      <c r="B4" s="4" t="str">
        <v>ILRI</v>
      </c>
      <c r="C4" s="4" t="str">
        <v>Kenya</v>
      </c>
      <c r="D4" s="4" t="str">
        <v>country</v>
      </c>
      <c r="E4" s="5">
        <v>0</v>
      </c>
      <c r="F4" s="4">
        <v>395</v>
      </c>
    </row>
    <row r="5" ht="45" customHeight="1">
      <c r="A5" s="4" t="str">
        <v>AOW01: Accelerating Solutions for Impact</v>
      </c>
      <c r="B5" s="4" t="str">
        <v>ILRI</v>
      </c>
      <c r="C5" s="4" t="str">
        <v>Tanzania, United Republic</v>
      </c>
      <c r="D5" s="4" t="str">
        <v>country</v>
      </c>
      <c r="E5" s="5">
        <v>0</v>
      </c>
      <c r="F5" s="4">
        <v>396</v>
      </c>
    </row>
    <row r="6" ht="45" customHeight="1">
      <c r="A6" s="4" t="str">
        <v>AOW01: Accelerating Solutions for Impact</v>
      </c>
      <c r="B6" s="4" t="str">
        <v>ILRI</v>
      </c>
      <c r="C6" s="4" t="str">
        <v>Uganda</v>
      </c>
      <c r="D6" s="4" t="str">
        <v>country</v>
      </c>
      <c r="E6" s="5">
        <v>0</v>
      </c>
      <c r="F6" s="4">
        <v>397</v>
      </c>
    </row>
    <row r="7" ht="45" customHeight="1">
      <c r="A7" s="8" t="str">
        <v>AOW02: Accelerating Change Through Evidence</v>
      </c>
      <c r="B7" s="4" t="str">
        <v>ILRI</v>
      </c>
      <c r="C7" s="4" t="str">
        <v>Global</v>
      </c>
      <c r="D7" s="4" t="str">
        <v>global</v>
      </c>
      <c r="E7" s="5">
        <v>100</v>
      </c>
      <c r="F7" s="4">
        <v>400</v>
      </c>
    </row>
    <row r="8" ht="45" customHeight="1">
      <c r="A8" s="8" t="str">
        <v>AOW03: Youth Thrive</v>
      </c>
      <c r="B8" s="4" t="str">
        <v>ILRI</v>
      </c>
      <c r="C8" s="4" t="str">
        <v>Global</v>
      </c>
      <c r="D8" s="4" t="str">
        <v>global</v>
      </c>
      <c r="E8" s="5">
        <v>100</v>
      </c>
      <c r="F8" s="4">
        <v>401</v>
      </c>
    </row>
  </sheetData>
  <mergeCells count="4">
    <mergeCell ref="A2"/>
    <mergeCell ref="A3:A6"/>
    <mergeCell ref="A7"/>
    <mergeCell ref="A8"/>
  </mergeCells>
  <ignoredErrors>
    <ignoredError numberStoredAsText="1" sqref="A1:F8"/>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