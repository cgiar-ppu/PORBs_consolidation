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210</v>
      </c>
    </row>
    <row r="5" ht="20" customHeight="1">
      <c r="A5" s="4" t="str">
        <v>AOW01: Accelerating Solutions for Impact</v>
      </c>
      <c r="B5" s="5">
        <v>4</v>
      </c>
      <c r="C5" s="5">
        <v>152099</v>
      </c>
      <c r="D5" s="5">
        <v>5</v>
      </c>
      <c r="E5" s="5">
        <v>102276</v>
      </c>
      <c r="F5" s="5">
        <v>0</v>
      </c>
      <c r="G5" s="5">
        <v>0</v>
      </c>
      <c r="H5" s="5">
        <v>0</v>
      </c>
      <c r="I5" s="5">
        <v>0</v>
      </c>
      <c r="J5" s="5">
        <v>254375</v>
      </c>
      <c r="K5" s="5">
        <v>254375</v>
      </c>
      <c r="L5" s="5">
        <v>0</v>
      </c>
      <c r="M5" s="5">
        <v>0</v>
      </c>
      <c r="N5" s="4">
        <v>209</v>
      </c>
    </row>
    <row r="6" ht="20" customHeight="1">
      <c r="A6" s="4" t="str">
        <v>AOW02: Accelerating Change Through Evidence</v>
      </c>
      <c r="B6" s="5">
        <v>0</v>
      </c>
      <c r="C6" s="5">
        <v>0</v>
      </c>
      <c r="D6" s="5">
        <v>0</v>
      </c>
      <c r="E6" s="5">
        <v>0</v>
      </c>
      <c r="F6" s="5">
        <v>0</v>
      </c>
      <c r="G6" s="5">
        <v>0</v>
      </c>
      <c r="H6" s="5">
        <v>2</v>
      </c>
      <c r="I6" s="5">
        <v>95500</v>
      </c>
      <c r="J6" s="5">
        <v>95500</v>
      </c>
      <c r="K6" s="5">
        <v>95500</v>
      </c>
      <c r="L6" s="5">
        <v>24000</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152099</v>
      </c>
      <c r="D8" s="7" t="str">
        <v/>
      </c>
      <c r="E8" s="7">
        <v>102276</v>
      </c>
      <c r="F8" s="7" t="str">
        <v/>
      </c>
      <c r="G8" s="7">
        <v>0</v>
      </c>
      <c r="H8" s="7" t="str">
        <v/>
      </c>
      <c r="I8" s="7">
        <v>95500</v>
      </c>
      <c r="J8" s="7">
        <v>349875</v>
      </c>
      <c r="K8" s="7">
        <v>349875</v>
      </c>
      <c r="L8" s="7">
        <v>24000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1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IWMI</v>
      </c>
      <c r="C3" s="4" t="str">
        <v xml:space="preserve">1.2.1: Co-designed socio-technical innovation bundles for productivity and resilience </v>
      </c>
      <c r="D3" s="4" t="str">
        <v>Inclusive water- and resource-linked innovation bundles within delivery systems piloted in Ethiopia and Uganda</v>
      </c>
      <c r="E3" s="4" t="str">
        <v>Number of innovations (innovation development)</v>
      </c>
      <c r="F3" s="4" t="str">
        <v>Ethiopia, Uganda</v>
      </c>
      <c r="G3" s="5">
        <v>2</v>
      </c>
      <c r="H3" s="5">
        <v>99259</v>
      </c>
      <c r="I3" s="4" t="str">
        <v>Costing covers staff time to pilot innovation bundles with delivery systems in Ethiopia and Uganda, plus operational budget for field testing, community engagement, travel, and materials, and staff time to document two pilot innovations.</v>
      </c>
      <c r="J3" s="4">
        <v>6115</v>
      </c>
    </row>
    <row r="4" ht="50" customHeight="1">
      <c r="B4" s="4" t="str">
        <v>IWMI</v>
      </c>
      <c r="D4" s="4" t="str">
        <v>Water- and gender-responsive modules for co-designed innovation guides</v>
      </c>
      <c r="E4" s="4" t="str">
        <v>Number of knowledge products</v>
      </c>
      <c r="F4" s="4" t="str">
        <v>Ethiopia, Uganda</v>
      </c>
      <c r="G4" s="5">
        <v>1</v>
      </c>
      <c r="H4" s="5">
        <v>19909</v>
      </c>
      <c r="I4" s="4" t="str">
        <v>Costing covers staff time to develop modules that integrate water and gender responsiveness into innovation guides, plus operational budget for stakeholder validation workshops in Ethiopia and Uganda, and staff time to produce the final knowledge product.</v>
      </c>
      <c r="J4" s="4">
        <v>6116</v>
      </c>
    </row>
    <row r="5" ht="50" customHeight="1">
      <c r="A5" s="4" t="str">
        <v>AOW01: Accelerating Solutions for Impact</v>
      </c>
      <c r="B5" s="4" t="str">
        <v>IWMI</v>
      </c>
      <c r="C5" s="4" t="str">
        <v xml:space="preserve">1.2.3: Scaling socio-technical innovation bundles  </v>
      </c>
      <c r="D5" s="4" t="str">
        <v>Gender-responsive water and resource governance metrics embedded in institutional frameworks</v>
      </c>
      <c r="E5" s="4" t="str">
        <v>Number of innovations (innovation development)</v>
      </c>
      <c r="F5" s="4" t="str">
        <v>Uganda, Ethiopia</v>
      </c>
      <c r="G5" s="5">
        <v>2</v>
      </c>
      <c r="H5" s="5">
        <v>52840</v>
      </c>
      <c r="I5" s="4" t="str">
        <v>Costing covers staff time to co-design and embed gender-responsive metrics into institutional frameworks in Uganda and Ethiopia, plus operational budget for policy dialogues, metrics testing, and institutional meetings, and staff time to document two innovation outputs.</v>
      </c>
      <c r="J5" s="4">
        <v>6128</v>
      </c>
    </row>
    <row r="6" ht="50" customHeight="1">
      <c r="B6" s="4" t="str">
        <v>IWMI</v>
      </c>
      <c r="D6" s="4" t="str">
        <v>Water and resource governance dimensions integrated into scaling roadmap validation</v>
      </c>
      <c r="E6" s="4" t="str">
        <v>Number of knowledge products</v>
      </c>
      <c r="F6" s="4" t="str">
        <v>Uganda, Ethiopia</v>
      </c>
      <c r="G6" s="5">
        <v>2</v>
      </c>
      <c r="H6" s="5">
        <v>59242</v>
      </c>
      <c r="I6" s="4" t="str">
        <v>Costing covers staff time to integrate water and governance dimensions into scaling roadmaps and validate them with stakeholders in Uganda and Ethiopia, plus operational budget for validation workshops and data collection, and staff time to produce two knowledge products.</v>
      </c>
      <c r="J6" s="4">
        <v>6129</v>
      </c>
    </row>
    <row r="7" ht="50" customHeight="1">
      <c r="B7" s="4" t="str">
        <v>IWMI</v>
      </c>
      <c r="D7" s="4" t="str">
        <v>Published STIBs scaling strategies for Mali and Madagascar, including the planned pathways and processes for scaling the approach in the agri-food systems and incorporating diverse crops and practices</v>
      </c>
      <c r="E7" s="4" t="str">
        <v>Number of knowledge products</v>
      </c>
      <c r="F7" s="4" t="str">
        <v>Mali, Madagascar</v>
      </c>
      <c r="G7" s="5">
        <v>2</v>
      </c>
      <c r="H7" s="5">
        <v>23125</v>
      </c>
      <c r="I7" s="4" t="str">
        <v>Costing covers staff time to develop scaling strategies for socio-technical innovation bundles in Mali and Madagascar, plus operational budget for in-country consultations, stakeholder mapping, and translation, and staff time to publish two scaling strategy documents.</v>
      </c>
      <c r="J7" s="4">
        <v>7235</v>
      </c>
    </row>
    <row r="8" ht="25" customHeight="1">
      <c r="C8" s="9" t="str">
        <v>HLO budget subtotal</v>
      </c>
      <c r="H8" s="9">
        <v>254375</v>
      </c>
      <c r="J8" s="9" t="str">
        <v/>
      </c>
    </row>
    <row r="9" ht="50" customHeight="1">
      <c r="A9" s="8" t="str">
        <v>AOW02: Accelerating Change Through Evidence</v>
      </c>
      <c r="B9" s="4" t="str">
        <v>IWMI</v>
      </c>
      <c r="C9" s="4" t="str">
        <v>2.1.2: Communities of practice for impactful gender research</v>
      </c>
      <c r="D9" s="4" t="str">
        <v>New Community of Practice on Responsible and Inclusive Scaling that produces GESI-centered guidance for inclusive scaling established and operationalized</v>
      </c>
      <c r="E9" s="4" t="str">
        <v>custom</v>
      </c>
      <c r="F9" s="4" t="str">
        <v>South Africa, Nepal</v>
      </c>
      <c r="G9" s="5">
        <v>2</v>
      </c>
      <c r="H9" s="5">
        <v>95500</v>
      </c>
      <c r="I9" s="4" t="str">
        <v>Costing covers staff time to establish and run two Communities of Practice on Responsible and Inclusive Scaling in South Africa and Nepal, plus operational budget for virtual and in-person meetings, facilitation, translation, and materials, and staff time to produce GESI-centered guidance for inclusive scaling as the community output.</v>
      </c>
      <c r="J9" s="4">
        <v>6168</v>
      </c>
    </row>
    <row r="10" ht="25" customHeight="1">
      <c r="C10" s="9" t="str">
        <v>HLO budget subtotal</v>
      </c>
      <c r="H10" s="9">
        <v>95500</v>
      </c>
      <c r="J10" s="9" t="str">
        <v/>
      </c>
    </row>
  </sheetData>
  <mergeCells count="12">
    <mergeCell ref="A1:A2"/>
    <mergeCell ref="B1:B2"/>
    <mergeCell ref="C1:C2"/>
    <mergeCell ref="D1:H1"/>
    <mergeCell ref="I1:I2"/>
    <mergeCell ref="J1:J2"/>
    <mergeCell ref="C3:C4"/>
    <mergeCell ref="C5:C7"/>
    <mergeCell ref="C8:G8"/>
    <mergeCell ref="A3:A8"/>
    <mergeCell ref="C10:G10"/>
    <mergeCell ref="A9:A10"/>
  </mergeCells>
  <ignoredErrors>
    <ignoredError numberStoredAsText="1" sqref="A1:J10"/>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Accelerating Change Through Evidence</v>
      </c>
      <c r="B2" s="4" t="str">
        <v>Unknown Partner 1</v>
      </c>
      <c r="C2" s="4" t="str">
        <v>IWMI</v>
      </c>
      <c r="D2" s="4" t="str">
        <v>South Africa</v>
      </c>
      <c r="E2" s="5">
        <v>24000</v>
      </c>
      <c r="F2" s="4" t="str">
        <v>Partner will be identified and contracted in 2026 for delivery of Responsible Innovation</v>
      </c>
      <c r="G2" s="4">
        <v>174</v>
      </c>
    </row>
    <row r="3" ht="25" customHeight="1">
      <c r="B3" s="9" t="str">
        <v>Contracted partners subtotal</v>
      </c>
      <c r="E3" s="9">
        <v>24000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192046</v>
      </c>
      <c r="D2" s="5">
        <v>46288</v>
      </c>
      <c r="E2" s="5">
        <v>0</v>
      </c>
      <c r="F2" s="5">
        <f>=SUM(B2:E2)</f>
        <v>0</v>
      </c>
    </row>
    <row r="3" ht="20" customHeight="1">
      <c r="A3" s="4" t="str">
        <v>Operations (supplies, consultants, travels, workshops, other)</v>
      </c>
      <c r="B3" s="5">
        <v>0</v>
      </c>
      <c r="C3" s="5">
        <v>62329</v>
      </c>
      <c r="D3" s="5">
        <v>25212</v>
      </c>
      <c r="E3" s="5">
        <v>0</v>
      </c>
      <c r="F3" s="5">
        <f>=SUM(B3:E3)</f>
        <v>0</v>
      </c>
    </row>
    <row r="4" ht="20" customHeight="1">
      <c r="A4" s="4" t="str">
        <v>Collaborators non-CGIAR centers</v>
      </c>
      <c r="B4" s="5">
        <v>0</v>
      </c>
      <c r="C4" s="5">
        <v>0</v>
      </c>
      <c r="D4" s="5">
        <v>24000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Solutions for Impact</v>
      </c>
      <c r="B2" s="4" t="str">
        <v>IWMI</v>
      </c>
      <c r="C2" s="4" t="str">
        <v>Ethiopia</v>
      </c>
      <c r="D2" s="5">
        <v>27</v>
      </c>
      <c r="E2" s="4">
        <v>1173</v>
      </c>
    </row>
    <row r="3" ht="45" customHeight="1">
      <c r="A3" s="4" t="str">
        <v>AOW01: Accelerating Solutions for Impact</v>
      </c>
      <c r="B3" s="4" t="str">
        <v>IWMI</v>
      </c>
      <c r="C3" s="4" t="str">
        <v>Madagascar</v>
      </c>
      <c r="D3" s="5">
        <v>9</v>
      </c>
      <c r="E3" s="4">
        <v>1174</v>
      </c>
    </row>
    <row r="4" ht="45" customHeight="1">
      <c r="A4" s="4" t="str">
        <v>AOW01: Accelerating Solutions for Impact</v>
      </c>
      <c r="B4" s="4" t="str">
        <v>IWMI</v>
      </c>
      <c r="C4" s="4" t="str">
        <v>Uganda</v>
      </c>
      <c r="D4" s="5">
        <v>64</v>
      </c>
      <c r="E4" s="4">
        <v>1175</v>
      </c>
    </row>
    <row r="5" ht="45" customHeight="1">
      <c r="A5" s="8" t="str">
        <v>AOW02: Accelerating Change Through Evidence</v>
      </c>
      <c r="B5" s="4" t="str">
        <v>IWMI</v>
      </c>
      <c r="C5" s="4" t="str">
        <v>Nepal</v>
      </c>
      <c r="D5" s="5">
        <v>50</v>
      </c>
      <c r="E5" s="4">
        <v>1176</v>
      </c>
    </row>
    <row r="6" ht="45" customHeight="1">
      <c r="A6" s="4" t="str">
        <v>AOW02: Accelerating Change Through Evidence</v>
      </c>
      <c r="B6" s="4" t="str">
        <v>IWMI</v>
      </c>
      <c r="C6" s="4" t="str">
        <v>South Africa</v>
      </c>
      <c r="D6" s="5">
        <v>50</v>
      </c>
      <c r="E6" s="4">
        <v>1177</v>
      </c>
    </row>
  </sheetData>
  <mergeCells count="2">
    <mergeCell ref="A2:A4"/>
    <mergeCell ref="A5:A6"/>
  </mergeCells>
  <ignoredErrors>
    <ignoredError numberStoredAsText="1" sqref="A1:E6"/>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Solutions for Impact</v>
      </c>
      <c r="B2" s="4" t="str">
        <v>IWMI</v>
      </c>
      <c r="C2" s="4" t="str">
        <v>Africa</v>
      </c>
      <c r="D2" s="4" t="str">
        <v>region</v>
      </c>
      <c r="E2" s="5">
        <v>100</v>
      </c>
      <c r="F2" s="4">
        <v>403</v>
      </c>
    </row>
    <row r="3" ht="45" customHeight="1">
      <c r="A3" s="8" t="str">
        <v>AOW02: Accelerating Change Through Evidence</v>
      </c>
      <c r="B3" s="4" t="str">
        <v>IWMI</v>
      </c>
      <c r="C3" s="4" t="str">
        <v>Global</v>
      </c>
      <c r="D3" s="4" t="str">
        <v>global</v>
      </c>
      <c r="E3" s="5">
        <v>100</v>
      </c>
      <c r="F3" s="4">
        <v>404</v>
      </c>
    </row>
  </sheetData>
  <mergeCells count="2">
    <mergeCell ref="A2"/>
    <mergeCell ref="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