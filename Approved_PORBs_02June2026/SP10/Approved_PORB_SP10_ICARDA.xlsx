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8</v>
      </c>
      <c r="E5" s="5">
        <v>258500</v>
      </c>
      <c r="F5" s="5">
        <v>0</v>
      </c>
      <c r="G5" s="5">
        <v>0</v>
      </c>
      <c r="H5" s="5">
        <v>0</v>
      </c>
      <c r="I5" s="5">
        <v>0</v>
      </c>
      <c r="J5" s="5">
        <v>258500</v>
      </c>
      <c r="K5" s="5">
        <v>258500</v>
      </c>
      <c r="L5" s="5">
        <v>60000</v>
      </c>
      <c r="M5" s="5">
        <v>0</v>
      </c>
      <c r="N5" s="4">
        <v>209</v>
      </c>
    </row>
    <row r="6" ht="20" customHeight="1">
      <c r="A6" s="4" t="str">
        <v>AOW02: Accelerating Change Through Evidence</v>
      </c>
      <c r="B6" s="5">
        <v>0</v>
      </c>
      <c r="C6" s="5">
        <v>0</v>
      </c>
      <c r="D6" s="5">
        <v>0</v>
      </c>
      <c r="E6" s="5">
        <v>0</v>
      </c>
      <c r="F6" s="5">
        <v>0</v>
      </c>
      <c r="G6" s="5">
        <v>0</v>
      </c>
      <c r="H6" s="5">
        <v>0</v>
      </c>
      <c r="I6" s="5">
        <v>0</v>
      </c>
      <c r="J6" s="5">
        <v>0</v>
      </c>
      <c r="K6" s="5">
        <v>0</v>
      </c>
      <c r="L6" s="5">
        <v>0</v>
      </c>
      <c r="M6" s="5">
        <v>0</v>
      </c>
      <c r="N6" s="4">
        <v>208</v>
      </c>
    </row>
    <row r="7" ht="20" customHeight="1">
      <c r="A7" s="4" t="str">
        <v>AOW03: Youth Thrive</v>
      </c>
      <c r="B7" s="5">
        <v>0</v>
      </c>
      <c r="C7" s="5">
        <v>0</v>
      </c>
      <c r="D7" s="5">
        <v>2</v>
      </c>
      <c r="E7" s="5">
        <v>130000</v>
      </c>
      <c r="F7" s="5">
        <v>0</v>
      </c>
      <c r="G7" s="5">
        <v>0</v>
      </c>
      <c r="H7" s="5">
        <v>0</v>
      </c>
      <c r="I7" s="5">
        <v>0</v>
      </c>
      <c r="J7" s="5">
        <v>130000</v>
      </c>
      <c r="K7" s="5">
        <v>130000</v>
      </c>
      <c r="L7" s="5">
        <v>33000</v>
      </c>
      <c r="M7" s="5">
        <v>0</v>
      </c>
      <c r="N7" s="4">
        <v>207</v>
      </c>
    </row>
    <row r="8" ht="25" customHeight="1">
      <c r="A8" s="6" t="str">
        <v>Total</v>
      </c>
      <c r="B8" s="7" t="str">
        <v/>
      </c>
      <c r="C8" s="7">
        <v>0</v>
      </c>
      <c r="D8" s="7" t="str">
        <v/>
      </c>
      <c r="E8" s="7">
        <v>388500</v>
      </c>
      <c r="F8" s="7" t="str">
        <v/>
      </c>
      <c r="G8" s="7">
        <v>0</v>
      </c>
      <c r="H8" s="7" t="str">
        <v/>
      </c>
      <c r="I8" s="7">
        <v>0</v>
      </c>
      <c r="J8" s="7">
        <v>388500</v>
      </c>
      <c r="K8" s="7">
        <v>388500</v>
      </c>
      <c r="L8" s="7">
        <v>93000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0"/>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Solutions for Impact</v>
      </c>
      <c r="B3" s="4" t="str">
        <v>ICARDA</v>
      </c>
      <c r="C3" s="4" t="str">
        <v xml:space="preserve">1.4.3: Solutions for inclusive leadership </v>
      </c>
      <c r="D3" s="4" t="str">
        <v>Scoping study and analysis of inclusion dynamics in women’s food processing groups, identifying successful models and mechanisms for integrating marginalized women, and producing evidence-based recommendations co-validated with policy actors to inform future interventions</v>
      </c>
      <c r="E3" s="4" t="str">
        <v>Number of knowledge products</v>
      </c>
      <c r="F3" s="4" t="str">
        <v>Morocco</v>
      </c>
      <c r="G3" s="5">
        <v>2</v>
      </c>
      <c r="H3" s="5">
        <v>90000</v>
      </c>
      <c r="I3" s="4" t="str" xml:space="preserve">
        <v xml:space="preserve">Staff time to study inclusion models and interview marginalized women and policy actors.
Operational budget for fieldwork, focus groups, and validation workshops in Morocco.
Staff time to write two knowledge products with evidence-based recommendations.</v>
      </c>
      <c r="J3" s="4">
        <v>6148</v>
      </c>
    </row>
    <row r="4" ht="50" customHeight="1" xml:space="preserve">
      <c r="B4" s="4" t="str">
        <v>ICARDA</v>
      </c>
      <c r="D4" s="4" t="str">
        <v>Published papers that present an assessment of the effects of capacity-strengthening initiatives on awareness and membership of agricultural cooperatives in Tunisia</v>
      </c>
      <c r="E4" s="4" t="str">
        <v>Number of knowledge products</v>
      </c>
      <c r="F4" s="4" t="str">
        <v>Tunisia</v>
      </c>
      <c r="G4" s="5">
        <v>2</v>
      </c>
      <c r="H4" s="5">
        <v>58500</v>
      </c>
      <c r="I4" s="4" t="str" xml:space="preserve">
        <v xml:space="preserve">Staff time to assess training impacts and analyze cooperative membership data in Tunisia.
Operational budget for surveys, data collection, and journal publication fees.
Staff time to write and publish two academic papers.</v>
      </c>
      <c r="J4" s="4">
        <v>6149</v>
      </c>
    </row>
    <row r="5" ht="50" customHeight="1" xml:space="preserve">
      <c r="B5" s="4" t="str">
        <v>ICARDA</v>
      </c>
      <c r="D5" s="4" t="str">
        <v>Scoping study on women’s leadership and digital transformation in agri-food cooperatives: evidence from Morocco, Tunisia, and Lebanon</v>
      </c>
      <c r="E5" s="4" t="str">
        <v>Number of knowledge products</v>
      </c>
      <c r="F5" s="4" t="str">
        <v>Tunisia, Lebanon, Morocco</v>
      </c>
      <c r="G5" s="5">
        <v>2</v>
      </c>
      <c r="H5" s="5">
        <v>55000</v>
      </c>
      <c r="I5" s="4" t="str" xml:space="preserve">
        <v xml:space="preserve">Staff time to research digital transformation and women's leadership across three countries.
Operational budget for travel, interviews, and cross-country coordination.
Staff time to produce two knowledge products synthesizing findings.</v>
      </c>
      <c r="J5" s="4">
        <v>6150</v>
      </c>
    </row>
    <row r="6" ht="50" customHeight="1" xml:space="preserve">
      <c r="B6" s="4" t="str">
        <v>ICARDA</v>
      </c>
      <c r="D6" s="4" t="str">
        <v>Scoping study of women's voice and leadership in food processing cooperatives in MENA</v>
      </c>
      <c r="E6" s="4" t="str">
        <v>Number of knowledge products</v>
      </c>
      <c r="F6" s="4" t="str">
        <v>Lebanon, Morocco, Tunisia</v>
      </c>
      <c r="G6" s="5">
        <v>2</v>
      </c>
      <c r="H6" s="5">
        <v>55000</v>
      </c>
      <c r="I6" s="4" t="str" xml:space="preserve">
        <v xml:space="preserve">Staff time to study women's voice and leadership dynamics in three MENA countries.
Operational budget for stakeholder meetings, translation, and data collection.
Staff time to write two knowledge products with practical recommendations.</v>
      </c>
      <c r="J6" s="4">
        <v>6151</v>
      </c>
    </row>
    <row r="7" ht="25" customHeight="1">
      <c r="C7" s="9" t="str">
        <v>HLO budget subtotal</v>
      </c>
      <c r="H7" s="9">
        <v>258500</v>
      </c>
      <c r="J7" s="9" t="str">
        <v/>
      </c>
    </row>
    <row r="8" ht="50" customHeight="1" xml:space="preserve">
      <c r="A8" s="8" t="str">
        <v>AOW03: Youth Thrive</v>
      </c>
      <c r="B8" s="4" t="str">
        <v>ICARDA</v>
      </c>
      <c r="C8" s="4" t="str">
        <v>3.1.3: Analysis of constraints and pathways for youth in FLWS</v>
      </c>
      <c r="D8" s="4" t="str">
        <v>Age- and gender-specific empowerment indicators defined based on the scoping study in the sheep fattening value chain and validated with youth and stakeholders</v>
      </c>
      <c r="E8" s="4" t="str">
        <v>Number of knowledge products</v>
      </c>
      <c r="F8" s="4" t="str">
        <v>Ethiopia</v>
      </c>
      <c r="G8" s="5">
        <v>1</v>
      </c>
      <c r="H8" s="5">
        <v>65000</v>
      </c>
      <c r="I8" s="4" t="str" xml:space="preserve">
        <v xml:space="preserve">Staff time to analyze constraints and co-design indicators with youth and stakeholders.
Operational budget for validation workshops, travel, and stakeholder meetings in Ethiopia.
Staff time to finalize and publish the indicator framework as a knowledge product.</v>
      </c>
      <c r="J8" s="4">
        <v>6158</v>
      </c>
    </row>
    <row r="9" ht="50" customHeight="1" xml:space="preserve">
      <c r="B9" s="4" t="str">
        <v>ICARDA</v>
      </c>
      <c r="D9" s="4" t="str">
        <v>Scoping study and evidence report on pathways enabling youth to access resources, strengthen skills, and exercise agency within the sheep fattening value chain, providing actionable recommendations for targeted interventions</v>
      </c>
      <c r="E9" s="4" t="str">
        <v>Number of knowledge products</v>
      </c>
      <c r="F9" s="4" t="str">
        <v>Ethiopia</v>
      </c>
      <c r="G9" s="5">
        <v>1</v>
      </c>
      <c r="H9" s="5">
        <v>65000</v>
      </c>
      <c r="I9" s="4" t="str" xml:space="preserve">
        <v xml:space="preserve">Staff time to conduct scoping study, collect data, and analyze pathways for youth.
Operational budget for fieldwork, focus groups, and data processing in Ethiopia.
Staff time to write the evidence report with actionable recommendations and share it.</v>
      </c>
      <c r="J9" s="4">
        <v>6159</v>
      </c>
    </row>
    <row r="10" ht="25" customHeight="1">
      <c r="C10" s="9" t="str">
        <v>HLO budget subtotal</v>
      </c>
      <c r="H10" s="9">
        <v>130000</v>
      </c>
      <c r="J10" s="9" t="str">
        <v/>
      </c>
    </row>
  </sheetData>
  <mergeCells count="12">
    <mergeCell ref="A1:A2"/>
    <mergeCell ref="B1:B2"/>
    <mergeCell ref="C1:C2"/>
    <mergeCell ref="D1:H1"/>
    <mergeCell ref="I1:I2"/>
    <mergeCell ref="J1:J2"/>
    <mergeCell ref="C3:C6"/>
    <mergeCell ref="C7:G7"/>
    <mergeCell ref="A3:A7"/>
    <mergeCell ref="C8:C9"/>
    <mergeCell ref="C10:G10"/>
    <mergeCell ref="A8:A10"/>
  </mergeCells>
  <ignoredErrors>
    <ignoredError numberStoredAsText="1" sqref="A1:J10"/>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Office National du Conseil Agricole/National Office of the Agricultural Council (Morocco)</v>
      </c>
      <c r="C2" s="4" t="str">
        <v>ICARDA</v>
      </c>
      <c r="D2" s="4" t="str">
        <v>Morocco</v>
      </c>
      <c r="E2" s="5">
        <v>20000</v>
      </c>
      <c r="F2" s="4" t="str">
        <v>Contractual partner budget</v>
      </c>
      <c r="G2" s="4">
        <v>98</v>
      </c>
    </row>
    <row r="3" ht="50" customHeight="1">
      <c r="A3" s="4" t="str">
        <v>AOW01: Accelerating Solutions for Impact</v>
      </c>
      <c r="B3" s="4" t="str">
        <v>terroir mania morocco</v>
      </c>
      <c r="C3" s="4" t="str">
        <v>ICARDA</v>
      </c>
      <c r="D3" s="4" t="str">
        <v>Morocco</v>
      </c>
      <c r="E3" s="5">
        <v>30000</v>
      </c>
      <c r="F3" s="4" t="str">
        <v>Contractual partner budget</v>
      </c>
      <c r="G3" s="4">
        <v>99</v>
      </c>
    </row>
    <row r="4" ht="50" customHeight="1">
      <c r="A4" s="4" t="str">
        <v>AOW01: Accelerating Solutions for Impact</v>
      </c>
      <c r="B4" s="4" t="str">
        <v>Fondation Spect'act</v>
      </c>
      <c r="C4" s="4" t="str">
        <v>ICARDA</v>
      </c>
      <c r="D4" s="4" t="str">
        <v>Morocco</v>
      </c>
      <c r="E4" s="5">
        <v>10000</v>
      </c>
      <c r="F4" s="4" t="str">
        <v>Contractual partner budget</v>
      </c>
      <c r="G4" s="4">
        <v>100</v>
      </c>
    </row>
    <row r="5" ht="25" customHeight="1">
      <c r="B5" s="9" t="str">
        <v>Contracted partners subtotal</v>
      </c>
      <c r="E5" s="9">
        <v>60000</v>
      </c>
      <c r="F5" s="9" t="str">
        <v/>
      </c>
      <c r="G5" s="9" t="str">
        <v/>
      </c>
    </row>
    <row r="6" ht="50" customHeight="1">
      <c r="A6" s="8" t="str">
        <v>AOW03: Youth Thrive</v>
      </c>
      <c r="B6" s="4" t="str">
        <v>women empowerment action ethiopia</v>
      </c>
      <c r="C6" s="4" t="str">
        <v>ICARDA</v>
      </c>
      <c r="D6" s="4" t="str">
        <v>Ethiopia</v>
      </c>
      <c r="E6" s="5">
        <v>33000</v>
      </c>
      <c r="F6" s="4" t="str">
        <v>Partner will support HLO</v>
      </c>
      <c r="G6" s="4">
        <v>101</v>
      </c>
    </row>
    <row r="7" ht="25" customHeight="1">
      <c r="B7" s="9" t="str">
        <v>Contracted partners subtotal</v>
      </c>
      <c r="E7" s="9">
        <v>33000</v>
      </c>
      <c r="F7" s="9" t="str">
        <v/>
      </c>
      <c r="G7" s="9" t="str">
        <v/>
      </c>
    </row>
  </sheetData>
  <mergeCells count="4">
    <mergeCell ref="B5:D5"/>
    <mergeCell ref="A2: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D-100867-PRIMA: Lost and found: Neglected and Underutilized Species (NUS) and water harvesting for building climate change resilience, soil fertility, dietary diversity, and women’s empowerment</v>
      </c>
      <c r="C2" s="4" t="str">
        <v>1.4 Amplify the voices of women, youth and socially excluded groups</v>
      </c>
      <c r="D2" s="5">
        <v>68652</v>
      </c>
      <c r="E2" s="4" t="str">
        <v>N/A</v>
      </c>
      <c r="F2" s="4">
        <v>1189</v>
      </c>
    </row>
    <row r="3" ht="25" customHeight="1">
      <c r="B3" s="9" t="str">
        <v>W3/Bilateral budget subtotal</v>
      </c>
      <c r="D3" s="9">
        <v>68652</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137417</v>
      </c>
      <c r="D2" s="5">
        <v>0</v>
      </c>
      <c r="E2" s="5">
        <v>61048</v>
      </c>
      <c r="F2" s="5">
        <f>=SUM(B2:E2)</f>
        <v>0</v>
      </c>
    </row>
    <row r="3" ht="20" customHeight="1">
      <c r="A3" s="4" t="str">
        <v>Operations (supplies, consultants, travels, workshops, other)</v>
      </c>
      <c r="B3" s="5">
        <v>0</v>
      </c>
      <c r="C3" s="5">
        <v>61083</v>
      </c>
      <c r="D3" s="5">
        <v>0</v>
      </c>
      <c r="E3" s="5">
        <v>35952</v>
      </c>
      <c r="F3" s="5">
        <f>=SUM(B3:E3)</f>
        <v>0</v>
      </c>
    </row>
    <row r="4" ht="20" customHeight="1">
      <c r="A4" s="4" t="str">
        <v>Collaborators non-CGIAR centers</v>
      </c>
      <c r="B4" s="5">
        <v>0</v>
      </c>
      <c r="C4" s="5">
        <v>60000</v>
      </c>
      <c r="D4" s="5">
        <v>0</v>
      </c>
      <c r="E4" s="5">
        <v>33000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ICARDA</v>
      </c>
      <c r="C2" s="4" t="str">
        <v>Lebanon</v>
      </c>
      <c r="D2" s="5">
        <v>14</v>
      </c>
      <c r="E2" s="4">
        <v>929</v>
      </c>
    </row>
    <row r="3" ht="45" customHeight="1">
      <c r="A3" s="4" t="str">
        <v>AOW01: Accelerating Solutions for Impact</v>
      </c>
      <c r="B3" s="4" t="str">
        <v>ICARDA</v>
      </c>
      <c r="C3" s="4" t="str">
        <v>Morocco</v>
      </c>
      <c r="D3" s="5">
        <v>50</v>
      </c>
      <c r="E3" s="4">
        <v>928</v>
      </c>
    </row>
    <row r="4" ht="45" customHeight="1">
      <c r="A4" s="4" t="str">
        <v>AOW01: Accelerating Solutions for Impact</v>
      </c>
      <c r="B4" s="4" t="str">
        <v>ICARDA</v>
      </c>
      <c r="C4" s="4" t="str">
        <v>Tunisia</v>
      </c>
      <c r="D4" s="5">
        <v>36</v>
      </c>
      <c r="E4" s="4">
        <v>927</v>
      </c>
    </row>
    <row r="5" ht="45" customHeight="1">
      <c r="A5" s="8" t="str">
        <v>AOW03: Youth Thrive</v>
      </c>
      <c r="B5" s="4" t="str">
        <v>ICARDA</v>
      </c>
      <c r="C5" s="4" t="str">
        <v>Ethiopia</v>
      </c>
      <c r="D5" s="5">
        <v>100</v>
      </c>
      <c r="E5" s="4">
        <v>1157</v>
      </c>
    </row>
  </sheetData>
  <mergeCells count="2">
    <mergeCell ref="A2:A4"/>
    <mergeCell ref="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ICARDA</v>
      </c>
      <c r="C2" s="4" t="str">
        <v>Africa</v>
      </c>
      <c r="D2" s="4" t="str">
        <v>region</v>
      </c>
      <c r="E2" s="5">
        <v>85</v>
      </c>
      <c r="F2" s="4">
        <v>255</v>
      </c>
    </row>
    <row r="3" ht="45" customHeight="1">
      <c r="A3" s="4" t="str">
        <v>AOW01: Accelerating Solutions for Impact</v>
      </c>
      <c r="B3" s="4" t="str">
        <v>ICARDA</v>
      </c>
      <c r="C3" s="4" t="str">
        <v>Asia</v>
      </c>
      <c r="D3" s="4" t="str">
        <v>region</v>
      </c>
      <c r="E3" s="5">
        <v>15</v>
      </c>
      <c r="F3" s="4">
        <v>254</v>
      </c>
    </row>
    <row r="4" ht="45" customHeight="1">
      <c r="A4" s="8" t="str">
        <v>AOW03: Youth Thrive</v>
      </c>
      <c r="B4" s="4" t="str">
        <v>ICARDA</v>
      </c>
      <c r="C4" s="4" t="str">
        <v>Africa</v>
      </c>
      <c r="D4" s="4" t="str">
        <v>region</v>
      </c>
      <c r="E4" s="5">
        <v>100</v>
      </c>
      <c r="F4" s="4">
        <v>383</v>
      </c>
    </row>
  </sheetData>
  <mergeCells count="2">
    <mergeCell ref="A2: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