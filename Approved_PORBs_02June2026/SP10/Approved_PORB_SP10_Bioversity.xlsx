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8"/>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160079</v>
      </c>
      <c r="K4" s="5">
        <v>160079</v>
      </c>
      <c r="L4" s="5">
        <v>0</v>
      </c>
      <c r="M4" s="5">
        <v>0</v>
      </c>
      <c r="N4" s="4">
        <v>210</v>
      </c>
    </row>
    <row r="5" ht="20" customHeight="1">
      <c r="A5" s="4" t="str">
        <v>AOW01: Accelerating Solutions for Impact</v>
      </c>
      <c r="B5" s="5">
        <v>0</v>
      </c>
      <c r="C5" s="5">
        <v>0</v>
      </c>
      <c r="D5" s="5">
        <v>8</v>
      </c>
      <c r="E5" s="5">
        <v>227500</v>
      </c>
      <c r="F5" s="5">
        <v>0</v>
      </c>
      <c r="G5" s="5">
        <v>0</v>
      </c>
      <c r="H5" s="5">
        <v>0</v>
      </c>
      <c r="I5" s="5">
        <v>0</v>
      </c>
      <c r="J5" s="5">
        <v>227500</v>
      </c>
      <c r="K5" s="5">
        <v>227500</v>
      </c>
      <c r="L5" s="5">
        <v>0</v>
      </c>
      <c r="M5" s="5">
        <v>0</v>
      </c>
      <c r="N5" s="4">
        <v>209</v>
      </c>
    </row>
    <row r="6" ht="20" customHeight="1">
      <c r="A6" s="4" t="str">
        <v>AOW02: Accelerating Change Through Evidence</v>
      </c>
      <c r="B6" s="5">
        <v>0</v>
      </c>
      <c r="C6" s="5">
        <v>0</v>
      </c>
      <c r="D6" s="5">
        <v>3</v>
      </c>
      <c r="E6" s="5">
        <v>126000</v>
      </c>
      <c r="F6" s="5">
        <v>150</v>
      </c>
      <c r="G6" s="5">
        <v>25000</v>
      </c>
      <c r="H6" s="5">
        <v>12</v>
      </c>
      <c r="I6" s="5">
        <v>83250</v>
      </c>
      <c r="J6" s="5">
        <v>234250</v>
      </c>
      <c r="K6" s="5">
        <v>234250</v>
      </c>
      <c r="L6" s="5">
        <v>0</v>
      </c>
      <c r="M6" s="5">
        <v>0</v>
      </c>
      <c r="N6" s="4">
        <v>208</v>
      </c>
    </row>
    <row r="7" ht="20" customHeight="1">
      <c r="A7" s="4" t="str">
        <v>AOW03: Youth Thrive</v>
      </c>
      <c r="B7" s="5">
        <v>0</v>
      </c>
      <c r="C7" s="5">
        <v>0</v>
      </c>
      <c r="D7" s="5">
        <v>0</v>
      </c>
      <c r="E7" s="5">
        <v>0</v>
      </c>
      <c r="F7" s="5">
        <v>0</v>
      </c>
      <c r="G7" s="5">
        <v>0</v>
      </c>
      <c r="H7" s="5">
        <v>0</v>
      </c>
      <c r="I7" s="5">
        <v>0</v>
      </c>
      <c r="J7" s="5">
        <v>0</v>
      </c>
      <c r="K7" s="5">
        <v>0</v>
      </c>
      <c r="L7" s="5">
        <v>0</v>
      </c>
      <c r="M7" s="5">
        <v>0</v>
      </c>
      <c r="N7" s="4">
        <v>207</v>
      </c>
    </row>
    <row r="8" ht="25" customHeight="1">
      <c r="A8" s="6" t="str">
        <v>Total</v>
      </c>
      <c r="B8" s="7" t="str">
        <v/>
      </c>
      <c r="C8" s="7">
        <v>0</v>
      </c>
      <c r="D8" s="7" t="str">
        <v/>
      </c>
      <c r="E8" s="7">
        <v>353500</v>
      </c>
      <c r="F8" s="7" t="str">
        <v/>
      </c>
      <c r="G8" s="7">
        <v>25000</v>
      </c>
      <c r="H8" s="7" t="str">
        <v/>
      </c>
      <c r="I8" s="7">
        <v>83250</v>
      </c>
      <c r="J8" s="7">
        <v>621829</v>
      </c>
      <c r="K8" s="7">
        <v>621829</v>
      </c>
      <c r="L8" s="7">
        <v>0</v>
      </c>
      <c r="M8" s="7">
        <v>0</v>
      </c>
      <c r="N8"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8"/>
  </ignoredErrors>
</worksheet>
</file>

<file path=xl/worksheets/sheet2.xml><?xml version="1.0" encoding="utf-8"?>
<worksheet xmlns="http://schemas.openxmlformats.org/spreadsheetml/2006/main" xmlns:r="http://schemas.openxmlformats.org/officeDocument/2006/relationships">
  <dimension ref="A1:J13"/>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AOW01: Accelerating Solutions for Impact</v>
      </c>
      <c r="B3" s="4" t="str">
        <v>Bioversity (Alliance)</v>
      </c>
      <c r="C3" s="4" t="str">
        <v>1.1.3: Gender-transformative solutions for women's economic empowerment</v>
      </c>
      <c r="D3" s="4" t="str">
        <v>Participatory analysis and methodology for participatory assessment of gender-transformative changes due to gender-transformative intervention in Tanzania: discussion paper</v>
      </c>
      <c r="E3" s="4" t="str">
        <v>Number of knowledge products</v>
      </c>
      <c r="F3" s="4" t="str">
        <v>Canada, Tanzania, United Republic</v>
      </c>
      <c r="G3" s="5">
        <v>1</v>
      </c>
      <c r="H3" s="5">
        <v>46250</v>
      </c>
      <c r="I3" s="4" t="str">
        <v>Key personnel, chargebacks, travel and overhead.</v>
      </c>
      <c r="J3" s="4">
        <v>6106</v>
      </c>
    </row>
    <row r="4" ht="50" customHeight="1">
      <c r="A4" s="4" t="str">
        <v>AOW01: Accelerating Solutions for Impact</v>
      </c>
      <c r="B4" s="4" t="str">
        <v>Bioversity (Alliance)</v>
      </c>
      <c r="C4" s="4" t="str">
        <v xml:space="preserve">1.4.3: Solutions for inclusive leadership </v>
      </c>
      <c r="D4" s="4" t="str">
        <v xml:space="preserve">Adaptation and piloting of (typologies) methodology for segmenting and understanding social inclusion of marginalized producers in coffee cooperatives. Case reports from pilots to inform coffee cooperatives. Action plans developed with cooperatives to promote social inclusion. Infobrief to inform International Coffee Organization </v>
      </c>
      <c r="E4" s="4" t="str">
        <v>Number of knowledge products</v>
      </c>
      <c r="F4" s="4" t="str">
        <v>Egypt, Mozambique, Jordan, Zimbabwe, Honduras</v>
      </c>
      <c r="G4" s="5">
        <v>3</v>
      </c>
      <c r="H4" s="5">
        <v>50000</v>
      </c>
      <c r="I4" s="4" t="str">
        <v>Key personnel, chargebacks, travel and overhead.</v>
      </c>
      <c r="J4" s="4">
        <v>6152</v>
      </c>
    </row>
    <row r="5" ht="50" customHeight="1">
      <c r="B5" s="4" t="str">
        <v>Bioversity (Alliance)</v>
      </c>
      <c r="D5" s="4" t="str">
        <v>Scoping study and cross-country analysis of social inclusion/exclusion dynamics, identifying successful models (solutions) and mechanisms for integrating marginalized women, and producing evidence-based recommendations co-validated with decision-makers to inform future interventions.</v>
      </c>
      <c r="E5" s="4" t="str">
        <v>Number of knowledge products</v>
      </c>
      <c r="F5" s="4" t="str">
        <v>Canada, Uganda</v>
      </c>
      <c r="G5" s="5">
        <v>2</v>
      </c>
      <c r="H5" s="5">
        <v>42500</v>
      </c>
      <c r="I5" s="4" t="str">
        <v>Key personnel, chargebacks, travel and overhead.</v>
      </c>
      <c r="J5" s="4">
        <v>6153</v>
      </c>
    </row>
    <row r="6" ht="50" customHeight="1">
      <c r="B6" s="4" t="str">
        <v>Bioversity (Alliance)</v>
      </c>
      <c r="D6" s="4" t="str">
        <v xml:space="preserve">Evaluation report documenting good practices and lessons learned from the Foundation for Ecological Security’s women’s leadership programme in India </v>
      </c>
      <c r="E6" s="4" t="str">
        <v>Number of knowledge products</v>
      </c>
      <c r="F6" s="4" t="str">
        <v>India</v>
      </c>
      <c r="G6" s="5">
        <v>1</v>
      </c>
      <c r="H6" s="5">
        <v>50000</v>
      </c>
      <c r="I6" s="4" t="str">
        <v>Key personnel, chargebacks, travel and overhead.</v>
      </c>
      <c r="J6" s="4">
        <v>6154</v>
      </c>
    </row>
    <row r="7" ht="50" customHeight="1">
      <c r="B7" s="4" t="str">
        <v>Bioversity (Alliance)</v>
      </c>
      <c r="D7" s="4" t="str">
        <v>Scoping study with CSOs on women's voice and leadership in biodiversity action: compilation of effective strategies of grassroots women's organization in biodiversity action, to inform the mid-term review of the Gender Plan of Action of the Convention on Biological Diversity</v>
      </c>
      <c r="E7" s="4" t="str">
        <v>Number of knowledge products</v>
      </c>
      <c r="F7" s="4" t="str">
        <v>Peru, Canada, Guatemala</v>
      </c>
      <c r="G7" s="5">
        <v>1</v>
      </c>
      <c r="H7" s="5">
        <v>38750</v>
      </c>
      <c r="I7" s="4" t="str">
        <v>Key personnel, chargebacks, travel and overhead.</v>
      </c>
      <c r="J7" s="4">
        <v>6155</v>
      </c>
    </row>
    <row r="8" ht="25" customHeight="1">
      <c r="C8" s="9" t="str">
        <v>HLO budget subtotal</v>
      </c>
      <c r="H8" s="9">
        <v>227500</v>
      </c>
      <c r="J8" s="9" t="str">
        <v/>
      </c>
    </row>
    <row r="9" ht="50" customHeight="1">
      <c r="A9" s="8" t="str">
        <v>AOW02: Accelerating Change Through Evidence</v>
      </c>
      <c r="B9" s="4" t="str">
        <v>Bioversity (Alliance)</v>
      </c>
      <c r="C9" s="4" t="str">
        <v>2.1.2: Communities of practice for impactful gender research</v>
      </c>
      <c r="D9" s="4" t="str">
        <v>Gender Transformative Research Methodologies (GTRM) Community of Practice: webinar series and small grants for piloting of gender transformative methods</v>
      </c>
      <c r="E9" s="4" t="str">
        <v>custom</v>
      </c>
      <c r="F9" s="4" t="str">
        <v>Ethiopia, United Kingdom of Great Britain and Northern Ireland, Netherlands (Kingdom of the), Italy</v>
      </c>
      <c r="G9" s="5">
        <v>12</v>
      </c>
      <c r="H9" s="5">
        <v>83250</v>
      </c>
      <c r="I9" s="4" t="str">
        <v>Key personnel, chargebacks, key consultants, workshop organization, travel and overhead.</v>
      </c>
      <c r="J9" s="4">
        <v>6167</v>
      </c>
    </row>
    <row r="10" ht="50" customHeight="1">
      <c r="B10" s="4" t="str">
        <v>Bioversity (Alliance)</v>
      </c>
      <c r="D10" s="4" t="str">
        <v>Road map developed on how to integrate processes that contribute to gender-transformative change into research programs and transdiscplinary work such as living labs</v>
      </c>
      <c r="E10" s="4" t="str">
        <v>Number of knowledge products</v>
      </c>
      <c r="F10" s="4" t="str">
        <v>Netherlands (Kingdom of the), Ethiopia, United Kingdom of Great Britain and Northern Ireland</v>
      </c>
      <c r="G10" s="5">
        <v>1</v>
      </c>
      <c r="H10" s="5">
        <v>40000</v>
      </c>
      <c r="I10" s="4" t="str">
        <v>Key personnel, chargebacks, key consultants, workshop organization, travel and overhead.</v>
      </c>
      <c r="J10" s="4">
        <v>7283</v>
      </c>
    </row>
    <row r="11" ht="50" customHeight="1">
      <c r="A11" s="4" t="str">
        <v>AOW02: Accelerating Change Through Evidence</v>
      </c>
      <c r="B11" s="4" t="str">
        <v>Bioversity (Alliance)</v>
      </c>
      <c r="C11" s="4" t="str">
        <v xml:space="preserve">2.3.1: Learning resources </v>
      </c>
      <c r="D11" s="4" t="str">
        <v xml:space="preserve">Published gender-responsive training materials on landscape governance and biodiversity </v>
      </c>
      <c r="E11" s="4" t="str">
        <v>Number of knowledge products</v>
      </c>
      <c r="F11" s="4" t="str">
        <v>United States of America, Canada, Kenya, Peru</v>
      </c>
      <c r="G11" s="5">
        <v>2</v>
      </c>
      <c r="H11" s="5">
        <v>86000</v>
      </c>
      <c r="I11" s="4" t="str">
        <v>Key personnel, chargebacks, key consultants, workshop organization, travel and overhead.</v>
      </c>
      <c r="J11" s="4">
        <v>6204</v>
      </c>
    </row>
    <row r="12" ht="50" customHeight="1">
      <c r="B12" s="4" t="str">
        <v>Bioversity (Alliance)</v>
      </c>
      <c r="D12" s="4" t="str">
        <v xml:space="preserve">An induction course that supports the institutionalization of GEYSI responsive science and innovation for poverty eradication and equality </v>
      </c>
      <c r="E12" s="4" t="str">
        <v>Number of people trained (capacity sharing for development)</v>
      </c>
      <c r="F12" s="4" t="str">
        <v>Canada, Colombia, Mexico, United States of America</v>
      </c>
      <c r="G12" s="5">
        <v>150</v>
      </c>
      <c r="H12" s="5">
        <v>25000</v>
      </c>
      <c r="I12" s="4" t="str">
        <v>Key personnel, chargebacks, key consultants, workshop organization, travel and overhead.</v>
      </c>
      <c r="J12" s="4">
        <v>6205</v>
      </c>
    </row>
    <row r="13" ht="25" customHeight="1">
      <c r="C13" s="9" t="str">
        <v>HLO budget subtotal</v>
      </c>
      <c r="H13" s="9">
        <v>234250</v>
      </c>
      <c r="J13" s="9" t="str">
        <v/>
      </c>
    </row>
  </sheetData>
  <mergeCells count="13">
    <mergeCell ref="A1:A2"/>
    <mergeCell ref="B1:B2"/>
    <mergeCell ref="C1:C2"/>
    <mergeCell ref="D1:H1"/>
    <mergeCell ref="I1:I2"/>
    <mergeCell ref="J1:J2"/>
    <mergeCell ref="C4:C7"/>
    <mergeCell ref="C8:G8"/>
    <mergeCell ref="A3:A8"/>
    <mergeCell ref="C9:C10"/>
    <mergeCell ref="C11:C12"/>
    <mergeCell ref="C13:G13"/>
    <mergeCell ref="A9:A13"/>
  </mergeCells>
  <ignoredErrors>
    <ignoredError numberStoredAsText="1" sqref="A1:J13"/>
  </ignoredErrors>
</worksheet>
</file>

<file path=xl/worksheets/sheet3.xml><?xml version="1.0" encoding="utf-8"?>
<worksheet xmlns="http://schemas.openxmlformats.org/spreadsheetml/2006/main" xmlns:r="http://schemas.openxmlformats.org/officeDocument/2006/relationships">
  <dimension ref="A1:G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sheetData>
  <ignoredErrors>
    <ignoredError numberStoredAsText="1" sqref="A1:G1"/>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3"/>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Bioversity (Alliance)</v>
      </c>
      <c r="C2" s="4" t="str">
        <v>Area of Work Leads</v>
      </c>
      <c r="D2" s="5">
        <v>160079</v>
      </c>
      <c r="E2" s="4" t="str">
        <v>50% FTE and operational budget</v>
      </c>
      <c r="F2" s="4">
        <v>211</v>
      </c>
      <c r="G2" s="4">
        <v>3</v>
      </c>
    </row>
    <row r="3" ht="25" customHeight="1">
      <c r="C3" s="9" t="str">
        <v>Cross-cutting budget subtotal</v>
      </c>
      <c r="D3" s="9">
        <v>160079</v>
      </c>
      <c r="E3" s="9" t="str">
        <v/>
      </c>
      <c r="F3" s="9" t="str">
        <v/>
      </c>
      <c r="G3" s="9" t="str">
        <v/>
      </c>
    </row>
  </sheetData>
  <mergeCells count="1">
    <mergeCell ref="A2:A3"/>
  </mergeCells>
  <ignoredErrors>
    <ignoredError numberStoredAsText="1" sqref="A1:G3"/>
  </ignoredErrors>
</worksheet>
</file>

<file path=xl/worksheets/sheet7.xml><?xml version="1.0" encoding="utf-8"?>
<worksheet xmlns="http://schemas.openxmlformats.org/spreadsheetml/2006/main" xmlns:r="http://schemas.openxmlformats.org/officeDocument/2006/relationships">
  <dimension ref="A1:F4"/>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20.83203125" customWidth="1"/>
  </cols>
  <sheetData>
    <row r="1" ht="25" customHeight="1">
      <c r="A1" s="3" t="str">
        <v>Main Accounts</v>
      </c>
      <c r="B1" s="3" t="str">
        <v>AOW00</v>
      </c>
      <c r="C1" s="3" t="str">
        <v>AOW01</v>
      </c>
      <c r="D1" s="3" t="str">
        <v>AOW02</v>
      </c>
      <c r="E1" s="3" t="str">
        <v>AOW03</v>
      </c>
      <c r="F1" s="3" t="str">
        <v>Total budget (USD)</v>
      </c>
    </row>
    <row r="2" ht="20" customHeight="1">
      <c r="A2" s="4" t="str">
        <v>Staffing, Chargebacks and Indirect</v>
      </c>
      <c r="B2" s="5">
        <v>134895</v>
      </c>
      <c r="C2" s="5">
        <v>171000</v>
      </c>
      <c r="D2" s="5">
        <v>132978</v>
      </c>
      <c r="E2" s="5">
        <v>0</v>
      </c>
      <c r="F2" s="5">
        <f>=SUM(B2:E2)</f>
        <v>0</v>
      </c>
    </row>
    <row r="3" ht="20" customHeight="1">
      <c r="A3" s="4" t="str">
        <v>Operations (supplies, consultants, travels, workshops, other)</v>
      </c>
      <c r="B3" s="5">
        <v>25184</v>
      </c>
      <c r="C3" s="5">
        <v>56500</v>
      </c>
      <c r="D3" s="5">
        <v>101272</v>
      </c>
      <c r="E3" s="5">
        <v>0</v>
      </c>
      <c r="F3" s="5">
        <f>=SUM(B3:E3)</f>
        <v>0</v>
      </c>
    </row>
    <row r="4" ht="20" customHeight="1">
      <c r="A4" s="6" t="str">
        <v>Subtotal</v>
      </c>
      <c r="B4" s="7">
        <f>=SUM(B2:B3)</f>
        <v>0</v>
      </c>
      <c r="C4" s="7">
        <f>=SUM(C2:C3)</f>
        <v>0</v>
      </c>
      <c r="D4" s="7">
        <f>=SUM(D2:D3)</f>
        <v>0</v>
      </c>
      <c r="E4" s="7">
        <f>=SUM(E2:E3)</f>
        <v>0</v>
      </c>
      <c r="F4" s="7">
        <f>=SUM(F2:F3)</f>
        <v>0</v>
      </c>
    </row>
  </sheetData>
  <ignoredErrors>
    <ignoredError numberStoredAsText="1" sqref="A1:F4"/>
  </ignoredErrors>
</worksheet>
</file>

<file path=xl/worksheets/sheet8.xml><?xml version="1.0" encoding="utf-8"?>
<worksheet xmlns="http://schemas.openxmlformats.org/spreadsheetml/2006/main" xmlns:r="http://schemas.openxmlformats.org/officeDocument/2006/relationships">
  <dimension ref="A1:E24"/>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Bioversity (Alliance)</v>
      </c>
      <c r="C2" s="4" t="str">
        <v>Canada</v>
      </c>
      <c r="D2" s="5">
        <v>100</v>
      </c>
      <c r="E2" s="4">
        <v>2549</v>
      </c>
    </row>
    <row r="3" ht="45" customHeight="1">
      <c r="A3" s="8" t="str">
        <v>AOW01: Accelerating Solutions for Impact</v>
      </c>
      <c r="B3" s="4" t="str">
        <v>Bioversity (Alliance)</v>
      </c>
      <c r="C3" s="4" t="str">
        <v>Canada</v>
      </c>
      <c r="D3" s="5">
        <v>31</v>
      </c>
      <c r="E3" s="4">
        <v>2033</v>
      </c>
    </row>
    <row r="4" ht="45" customHeight="1">
      <c r="A4" s="4" t="str">
        <v>AOW01: Accelerating Solutions for Impact</v>
      </c>
      <c r="B4" s="4" t="str">
        <v>Bioversity (Alliance)</v>
      </c>
      <c r="C4" s="4" t="str">
        <v>Egypt</v>
      </c>
      <c r="D4" s="5">
        <v>5</v>
      </c>
      <c r="E4" s="4">
        <v>1179</v>
      </c>
    </row>
    <row r="5" ht="45" customHeight="1">
      <c r="A5" s="4" t="str">
        <v>AOW01: Accelerating Solutions for Impact</v>
      </c>
      <c r="B5" s="4" t="str">
        <v>Bioversity (Alliance)</v>
      </c>
      <c r="C5" s="4" t="str">
        <v>Guatemala</v>
      </c>
      <c r="D5" s="5">
        <v>7</v>
      </c>
      <c r="E5" s="4">
        <v>1181</v>
      </c>
    </row>
    <row r="6" ht="45" customHeight="1">
      <c r="A6" s="4" t="str">
        <v>AOW01: Accelerating Solutions for Impact</v>
      </c>
      <c r="B6" s="4" t="str">
        <v>Bioversity (Alliance)</v>
      </c>
      <c r="C6" s="4" t="str">
        <v>Honduras</v>
      </c>
      <c r="D6" s="5">
        <v>7</v>
      </c>
      <c r="E6" s="4">
        <v>1182</v>
      </c>
    </row>
    <row r="7" ht="45" customHeight="1">
      <c r="A7" s="4" t="str">
        <v>AOW01: Accelerating Solutions for Impact</v>
      </c>
      <c r="B7" s="4" t="str">
        <v>Bioversity (Alliance)</v>
      </c>
      <c r="C7" s="4" t="str">
        <v>India</v>
      </c>
      <c r="D7" s="5">
        <v>19</v>
      </c>
      <c r="E7" s="4">
        <v>1178</v>
      </c>
    </row>
    <row r="8" ht="45" customHeight="1">
      <c r="A8" s="4" t="str">
        <v>AOW01: Accelerating Solutions for Impact</v>
      </c>
      <c r="B8" s="4" t="str">
        <v>Bioversity (Alliance)</v>
      </c>
      <c r="C8" s="4" t="str">
        <v>Jordan</v>
      </c>
      <c r="D8" s="5">
        <v>3</v>
      </c>
      <c r="E8" s="4">
        <v>1185</v>
      </c>
    </row>
    <row r="9" ht="45" customHeight="1">
      <c r="A9" s="4" t="str">
        <v>AOW01: Accelerating Solutions for Impact</v>
      </c>
      <c r="B9" s="4" t="str">
        <v>Bioversity (Alliance)</v>
      </c>
      <c r="C9" s="4" t="str">
        <v>Mozambique</v>
      </c>
      <c r="D9" s="5">
        <v>3</v>
      </c>
      <c r="E9" s="4">
        <v>1184</v>
      </c>
    </row>
    <row r="10" ht="45" customHeight="1">
      <c r="A10" s="4" t="str">
        <v>AOW01: Accelerating Solutions for Impact</v>
      </c>
      <c r="B10" s="4" t="str">
        <v>Bioversity (Alliance)</v>
      </c>
      <c r="C10" s="4" t="str">
        <v>Peru</v>
      </c>
      <c r="D10" s="5">
        <v>9</v>
      </c>
      <c r="E10" s="4">
        <v>3234</v>
      </c>
    </row>
    <row r="11" ht="45" customHeight="1">
      <c r="A11" s="4" t="str">
        <v>AOW01: Accelerating Solutions for Impact</v>
      </c>
      <c r="B11" s="4" t="str">
        <v>Bioversity (Alliance)</v>
      </c>
      <c r="C11" s="4" t="str">
        <v>Tanzania</v>
      </c>
      <c r="D11" s="5">
        <v>2</v>
      </c>
      <c r="E11" s="4">
        <v>1189</v>
      </c>
    </row>
    <row r="12" ht="45" customHeight="1">
      <c r="A12" s="4" t="str">
        <v>AOW01: Accelerating Solutions for Impact</v>
      </c>
      <c r="B12" s="4" t="str">
        <v>Bioversity (Alliance)</v>
      </c>
      <c r="C12" s="4" t="str">
        <v>Uganda</v>
      </c>
      <c r="D12" s="5">
        <v>11</v>
      </c>
      <c r="E12" s="4">
        <v>1180</v>
      </c>
    </row>
    <row r="13" ht="45" customHeight="1">
      <c r="A13" s="4" t="str">
        <v>AOW01: Accelerating Solutions for Impact</v>
      </c>
      <c r="B13" s="4" t="str">
        <v>Bioversity (Alliance)</v>
      </c>
      <c r="C13" s="4" t="str">
        <v>United Republic</v>
      </c>
      <c r="D13" s="5">
        <v>0</v>
      </c>
      <c r="E13" s="4">
        <v>1188</v>
      </c>
    </row>
    <row r="14" ht="45" customHeight="1">
      <c r="A14" s="4" t="str">
        <v>AOW01: Accelerating Solutions for Impact</v>
      </c>
      <c r="B14" s="4" t="str">
        <v>Bioversity (Alliance)</v>
      </c>
      <c r="C14" s="4" t="str">
        <v>Zimbabwe</v>
      </c>
      <c r="D14" s="5">
        <v>3</v>
      </c>
      <c r="E14" s="4">
        <v>1186</v>
      </c>
    </row>
    <row r="15" ht="45" customHeight="1">
      <c r="A15" s="8" t="str">
        <v>AOW02: Accelerating Change Through Evidence</v>
      </c>
      <c r="B15" s="4" t="str">
        <v>Bioversity (Alliance)</v>
      </c>
      <c r="C15" s="4" t="str">
        <v>Canada</v>
      </c>
      <c r="D15" s="5">
        <v>12</v>
      </c>
      <c r="E15" s="4">
        <v>1193</v>
      </c>
    </row>
    <row r="16" ht="45" customHeight="1">
      <c r="A16" s="4" t="str">
        <v>AOW02: Accelerating Change Through Evidence</v>
      </c>
      <c r="B16" s="4" t="str">
        <v>Bioversity (Alliance)</v>
      </c>
      <c r="C16" s="4" t="str">
        <v>Colombia</v>
      </c>
      <c r="D16" s="5">
        <v>0</v>
      </c>
      <c r="E16" s="4">
        <v>1197</v>
      </c>
    </row>
    <row r="17" ht="45" customHeight="1">
      <c r="A17" s="4" t="str">
        <v>AOW02: Accelerating Change Through Evidence</v>
      </c>
      <c r="B17" s="4" t="str">
        <v>Bioversity (Alliance)</v>
      </c>
      <c r="C17" s="4" t="str">
        <v>Ethiopia</v>
      </c>
      <c r="D17" s="5">
        <v>19</v>
      </c>
      <c r="E17" s="4">
        <v>2034</v>
      </c>
    </row>
    <row r="18" ht="45" customHeight="1">
      <c r="A18" s="4" t="str">
        <v>AOW02: Accelerating Change Through Evidence</v>
      </c>
      <c r="B18" s="4" t="str">
        <v>Bioversity (Alliance)</v>
      </c>
      <c r="C18" s="4" t="str">
        <v>Italy</v>
      </c>
      <c r="D18" s="5">
        <v>9</v>
      </c>
      <c r="E18" s="4">
        <v>1190</v>
      </c>
    </row>
    <row r="19" ht="45" customHeight="1">
      <c r="A19" s="4" t="str">
        <v>AOW02: Accelerating Change Through Evidence</v>
      </c>
      <c r="B19" s="4" t="str">
        <v>Bioversity (Alliance)</v>
      </c>
      <c r="C19" s="4" t="str">
        <v>Kenya</v>
      </c>
      <c r="D19" s="5">
        <v>15</v>
      </c>
      <c r="E19" s="4">
        <v>1196</v>
      </c>
    </row>
    <row r="20" ht="45" customHeight="1">
      <c r="A20" s="4" t="str">
        <v>AOW02: Accelerating Change Through Evidence</v>
      </c>
      <c r="B20" s="4" t="str">
        <v>Bioversity (Alliance)</v>
      </c>
      <c r="C20" s="4" t="str">
        <v>Mexico</v>
      </c>
      <c r="D20" s="5">
        <v>0</v>
      </c>
      <c r="E20" s="4">
        <v>1198</v>
      </c>
    </row>
    <row r="21" ht="45" customHeight="1">
      <c r="A21" s="4" t="str">
        <v>AOW02: Accelerating Change Through Evidence</v>
      </c>
      <c r="B21" s="4" t="str">
        <v>Bioversity (Alliance)</v>
      </c>
      <c r="C21" s="4" t="str">
        <v>Netherlands (Kingdom of the)</v>
      </c>
      <c r="D21" s="5">
        <v>7</v>
      </c>
      <c r="E21" s="4">
        <v>1192</v>
      </c>
    </row>
    <row r="22" ht="45" customHeight="1">
      <c r="A22" s="4" t="str">
        <v>AOW02: Accelerating Change Through Evidence</v>
      </c>
      <c r="B22" s="4" t="str">
        <v>Bioversity (Alliance)</v>
      </c>
      <c r="C22" s="4" t="str">
        <v>Peru</v>
      </c>
      <c r="D22" s="5">
        <v>7</v>
      </c>
      <c r="E22" s="4">
        <v>1195</v>
      </c>
    </row>
    <row r="23" ht="45" customHeight="1">
      <c r="A23" s="4" t="str">
        <v>AOW02: Accelerating Change Through Evidence</v>
      </c>
      <c r="B23" s="4" t="str">
        <v>Bioversity (Alliance)</v>
      </c>
      <c r="C23" s="4" t="str">
        <v>United Kingdom of Great Britain and Northern Ireland</v>
      </c>
      <c r="D23" s="5">
        <v>18</v>
      </c>
      <c r="E23" s="4">
        <v>1191</v>
      </c>
    </row>
    <row r="24" ht="45" customHeight="1">
      <c r="A24" s="4" t="str">
        <v>AOW02: Accelerating Change Through Evidence</v>
      </c>
      <c r="B24" s="4" t="str">
        <v>Bioversity (Alliance)</v>
      </c>
      <c r="C24" s="4" t="str">
        <v>United States of America</v>
      </c>
      <c r="D24" s="5">
        <v>13</v>
      </c>
      <c r="E24" s="4">
        <v>1194</v>
      </c>
    </row>
  </sheetData>
  <mergeCells count="3">
    <mergeCell ref="A2"/>
    <mergeCell ref="A3:A14"/>
    <mergeCell ref="A15:A24"/>
  </mergeCells>
  <ignoredErrors>
    <ignoredError numberStoredAsText="1" sqref="A1:E24"/>
  </ignoredErrors>
</worksheet>
</file>

<file path=xl/worksheets/sheet9.xml><?xml version="1.0" encoding="utf-8"?>
<worksheet xmlns="http://schemas.openxmlformats.org/spreadsheetml/2006/main" xmlns:r="http://schemas.openxmlformats.org/officeDocument/2006/relationships">
  <dimension ref="A1:F7"/>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Bioversity (Alliance)</v>
      </c>
      <c r="C2" s="4" t="str">
        <v>Global</v>
      </c>
      <c r="D2" s="4" t="str">
        <v>global</v>
      </c>
      <c r="E2" s="5">
        <v>100</v>
      </c>
      <c r="F2" s="4">
        <v>906</v>
      </c>
    </row>
    <row r="3" ht="45" customHeight="1">
      <c r="A3" s="8" t="str">
        <v>AOW01: Accelerating Solutions for Impact</v>
      </c>
      <c r="B3" s="4" t="str">
        <v>Bioversity (Alliance)</v>
      </c>
      <c r="C3" s="4" t="str">
        <v>Global</v>
      </c>
      <c r="D3" s="4" t="str">
        <v>global</v>
      </c>
      <c r="E3" s="5">
        <v>20</v>
      </c>
      <c r="F3" s="4">
        <v>707</v>
      </c>
    </row>
    <row r="4" ht="45" customHeight="1">
      <c r="A4" s="4" t="str">
        <v>AOW01: Accelerating Solutions for Impact</v>
      </c>
      <c r="B4" s="4" t="str">
        <v>Bioversity (Alliance)</v>
      </c>
      <c r="C4" s="4" t="str">
        <v>Africa</v>
      </c>
      <c r="D4" s="4" t="str">
        <v>region</v>
      </c>
      <c r="E4" s="5">
        <v>40</v>
      </c>
      <c r="F4" s="4">
        <v>405</v>
      </c>
    </row>
    <row r="5" ht="45" customHeight="1">
      <c r="A5" s="4" t="str">
        <v>AOW01: Accelerating Solutions for Impact</v>
      </c>
      <c r="B5" s="4" t="str">
        <v>Bioversity (Alliance)</v>
      </c>
      <c r="C5" s="4" t="str">
        <v>Americas</v>
      </c>
      <c r="D5" s="4" t="str">
        <v>region</v>
      </c>
      <c r="E5" s="5">
        <v>20</v>
      </c>
      <c r="F5" s="4">
        <v>407</v>
      </c>
    </row>
    <row r="6" ht="45" customHeight="1">
      <c r="A6" s="4" t="str">
        <v>AOW01: Accelerating Solutions for Impact</v>
      </c>
      <c r="B6" s="4" t="str">
        <v>Bioversity (Alliance)</v>
      </c>
      <c r="C6" s="4" t="str">
        <v>Asia</v>
      </c>
      <c r="D6" s="4" t="str">
        <v>region</v>
      </c>
      <c r="E6" s="5">
        <v>20</v>
      </c>
      <c r="F6" s="4">
        <v>406</v>
      </c>
    </row>
    <row r="7" ht="45" customHeight="1">
      <c r="A7" s="8" t="str">
        <v>AOW02: Accelerating Change Through Evidence</v>
      </c>
      <c r="B7" s="4" t="str">
        <v>Bioversity (Alliance)</v>
      </c>
      <c r="C7" s="4" t="str">
        <v>Global</v>
      </c>
      <c r="D7" s="4" t="str">
        <v>global</v>
      </c>
      <c r="E7" s="5">
        <v>100</v>
      </c>
      <c r="F7" s="4">
        <v>408</v>
      </c>
    </row>
  </sheetData>
  <mergeCells count="3">
    <mergeCell ref="A2"/>
    <mergeCell ref="A3:A6"/>
    <mergeCell ref="A7"/>
  </mergeCells>
  <ignoredErrors>
    <ignoredError numberStoredAsText="1" sqref="A1:F7"/>
  </ignoredErrors>
</worksheet>
</file>

<file path=xl/worksheets/sheet10.xml><?xml version="1.0" encoding="utf-8"?>
<worksheet xmlns="http://schemas.openxmlformats.org/spreadsheetml/2006/main" xmlns:r="http://schemas.openxmlformats.org/officeDocument/2006/relationships">
  <dimension ref="A1:E1"/>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sheetData>
  <ignoredErrors>
    <ignoredError numberStoredAsText="1" sqref="A1:E1"/>
  </ignoredErrors>
</worksheet>
</file>

<file path=xl/worksheets/sheet11.xml><?xml version="1.0" encoding="utf-8"?>
<worksheet xmlns="http://schemas.openxmlformats.org/spreadsheetml/2006/main" xmlns:r="http://schemas.openxmlformats.org/officeDocument/2006/relationships">
  <dimension ref="A1:G16"/>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1.1 Pinpoint and act on restrictive norms</v>
      </c>
      <c r="C2" s="4" t="str">
        <v/>
      </c>
      <c r="D2" s="4" t="str">
        <v>Innovation Use</v>
      </c>
      <c r="E2" s="4" t="str">
        <v>Country: Bangladesh, Nigeria, Tanzania, United Republic</v>
      </c>
      <c r="F2" s="5">
        <v>0</v>
      </c>
      <c r="G2" s="4">
        <v>666</v>
      </c>
    </row>
    <row r="3" ht="60" customHeight="1">
      <c r="A3" s="4" t="str">
        <v>AOW00: Cross Cutting</v>
      </c>
      <c r="B3" s="4" t="str">
        <v>1. Use of metrics and analytics for monitoring progress in addressing structural barriers to gender equality and social inclusion</v>
      </c>
      <c r="C3" s="4" t="str">
        <v/>
      </c>
      <c r="D3" s="4" t="str">
        <v>Innovation Use</v>
      </c>
      <c r="E3" s="4" t="str">
        <v>Country: Bangladesh, Burkina Faso, Chad, China, Colombia, Egypt, Ethiopia, Gambia, Honduras, India, Jordan, Kenya, Lebanon, Malawi, Mali, Morocco, Mozambique, Niger, Nigeria, Papua New Guinea, South Africa, Tanzania, United Republic, Tunisia, Zimbabwe</v>
      </c>
      <c r="F3" s="5">
        <v>0</v>
      </c>
      <c r="G3" s="4">
        <v>667</v>
      </c>
    </row>
    <row r="4" ht="60" customHeight="1">
      <c r="A4" s="4" t="str">
        <v>AOW00: Cross Cutting</v>
      </c>
      <c r="B4" s="4" t="str">
        <v>1.2 Evidence-based support for women and youth empowerment</v>
      </c>
      <c r="C4" s="4" t="str">
        <v/>
      </c>
      <c r="D4" s="4" t="str">
        <v>Innovation Use</v>
      </c>
      <c r="E4" s="4" t="str">
        <v>Country: India</v>
      </c>
      <c r="F4" s="5">
        <v>5</v>
      </c>
      <c r="G4" s="4">
        <v>668</v>
      </c>
    </row>
    <row r="5" ht="60" customHeight="1">
      <c r="A5" s="4" t="str">
        <v>AOW00: Cross Cutting</v>
      </c>
      <c r="B5" s="4" t="str">
        <v>1.2 Evidence-based support for women and youth empowerment</v>
      </c>
      <c r="C5" s="4" t="str">
        <v/>
      </c>
      <c r="D5" s="4" t="str">
        <v>Innovation Use</v>
      </c>
      <c r="E5" s="4" t="str">
        <v>Country: Kenya</v>
      </c>
      <c r="F5" s="5">
        <v>5</v>
      </c>
      <c r="G5" s="4">
        <v>668</v>
      </c>
    </row>
    <row r="6" ht="60" customHeight="1">
      <c r="A6" s="4" t="str">
        <v>AOW00: Cross Cutting</v>
      </c>
      <c r="B6" s="4" t="str">
        <v>1.2 Evidence-based support for women and youth empowerment</v>
      </c>
      <c r="C6" s="4" t="str">
        <v/>
      </c>
      <c r="D6" s="4" t="str">
        <v>Innovation Use</v>
      </c>
      <c r="E6" s="4" t="str">
        <v>Country: Ethiopia</v>
      </c>
      <c r="F6" s="5">
        <v>5</v>
      </c>
      <c r="G6" s="4">
        <v>668</v>
      </c>
    </row>
    <row r="7" ht="60" customHeight="1">
      <c r="A7" s="4" t="str">
        <v>AOW00: Cross Cutting</v>
      </c>
      <c r="B7" s="4" t="str">
        <v>1.2 Evidence-based support for women and youth empowerment</v>
      </c>
      <c r="C7" s="4" t="str">
        <v/>
      </c>
      <c r="D7" s="4" t="str">
        <v>Number of Policy (Policy Change)</v>
      </c>
      <c r="E7" s="4" t="str">
        <v>Country: Ethiopia, India, Kenya</v>
      </c>
      <c r="F7" s="5">
        <v>0</v>
      </c>
      <c r="G7" s="4">
        <v>668</v>
      </c>
    </row>
    <row r="8" ht="60" customHeight="1">
      <c r="A8" s="4" t="str">
        <v>AOW00: Cross Cutting</v>
      </c>
      <c r="B8" s="4" t="str">
        <v xml:space="preserve">1.3 Evidence-based promotion of women's access to resources and social protection </v>
      </c>
      <c r="C8" s="4" t="str">
        <v/>
      </c>
      <c r="D8" s="4" t="str">
        <v>Innovation Use</v>
      </c>
      <c r="E8" s="4" t="str">
        <v>Country: Bangladesh, Egypt, Jordan, Kenya, Mali, Mozambique, Papua New Guinea, Zimbabwe</v>
      </c>
      <c r="F8" s="5">
        <v>0</v>
      </c>
      <c r="G8" s="4">
        <v>669</v>
      </c>
    </row>
    <row r="9" ht="60" customHeight="1">
      <c r="A9" s="4" t="str">
        <v>AOW00: Cross Cutting</v>
      </c>
      <c r="B9" s="4" t="str">
        <v>1.4 Amplify the voices of women, youth and socially excluded groups</v>
      </c>
      <c r="C9" s="4" t="str">
        <v/>
      </c>
      <c r="D9" s="4" t="str">
        <v>Innovation Use</v>
      </c>
      <c r="E9" s="4" t="str">
        <v>Country: Bangladesh, Burkina Faso, Chad, China, Colombia, Gambia, Honduras, India, Lebanon, Malawi, Mali, Morocco, Niger, Nigeria, South Africa, Tunisia</v>
      </c>
      <c r="F9" s="5">
        <v>0</v>
      </c>
      <c r="G9" s="4">
        <v>670</v>
      </c>
    </row>
    <row r="10" ht="60" customHeight="1">
      <c r="A10" s="4" t="str">
        <v>AOW00: Cross Cutting</v>
      </c>
      <c r="B10" s="4" t="str">
        <v>3.1: Evidence-based scaling of youth-responsive solutions</v>
      </c>
      <c r="C10" s="4" t="str">
        <v/>
      </c>
      <c r="D10" s="4" t="str">
        <v>Innovation Use</v>
      </c>
      <c r="E10" s="4" t="str">
        <v>Global</v>
      </c>
      <c r="F10" s="5">
        <v>1</v>
      </c>
      <c r="G10" s="4">
        <v>671</v>
      </c>
    </row>
    <row r="11" ht="60" customHeight="1">
      <c r="A11" s="4" t="str">
        <v>AOW00: Cross Cutting</v>
      </c>
      <c r="B11" s="4" t="str">
        <v>2.1 Use of methodologies and metrics rigorous and ethical research, monitoring practices and measuring empowerment and inclusion</v>
      </c>
      <c r="C11" s="4" t="str">
        <v/>
      </c>
      <c r="D11" s="4" t="str">
        <v>Innovation Use</v>
      </c>
      <c r="E11" s="4" t="str">
        <v>Global</v>
      </c>
      <c r="F11" s="5">
        <v>0</v>
      </c>
      <c r="G11" s="4">
        <v>672</v>
      </c>
    </row>
    <row r="12" ht="60" customHeight="1">
      <c r="A12" s="4" t="str">
        <v>AOW00: Cross Cutting</v>
      </c>
      <c r="B12" s="4" t="str">
        <v>2.2 Evidence-based decision, priority and target setting and investment</v>
      </c>
      <c r="C12" s="4" t="str">
        <v/>
      </c>
      <c r="D12" s="4" t="str">
        <v xml:space="preserve"> Number of partnering organisations that make evidence-based decisions, priority -setting, targeting and investments based on CGIAR and partners' GESI in FLWS research</v>
      </c>
      <c r="E12" s="4" t="str">
        <v>Global</v>
      </c>
      <c r="F12" s="5">
        <v>0</v>
      </c>
      <c r="G12" s="4">
        <v>673</v>
      </c>
    </row>
    <row r="13" ht="60" customHeight="1">
      <c r="A13" s="4" t="str">
        <v>AOW00: Cross Cutting</v>
      </c>
      <c r="B13" s="4" t="str">
        <v>2.3 Institutional change towards a truly inclusive environment that prioritizes the right gender, youth and social inclusion research</v>
      </c>
      <c r="C13" s="4" t="str">
        <v/>
      </c>
      <c r="D13" s="4" t="str">
        <v/>
      </c>
      <c r="E13" s="4" t="str">
        <v/>
      </c>
      <c r="F13" s="5">
        <v>0</v>
      </c>
      <c r="G13" s="4">
        <v>674</v>
      </c>
    </row>
    <row r="14" ht="60" customHeight="1">
      <c r="A14" s="4" t="str">
        <v>AOW00: Cross Cutting</v>
      </c>
      <c r="B14" s="4" t="str">
        <v xml:space="preserve">2. Dissemination, replication and scaling of gender responsive transformative and socially inclusive innovations </v>
      </c>
      <c r="C14" s="4" t="str">
        <v/>
      </c>
      <c r="D14" s="4" t="str">
        <v>Innovation Use</v>
      </c>
      <c r="E14" s="4" t="str">
        <v>Global</v>
      </c>
      <c r="F14" s="5">
        <v>0</v>
      </c>
      <c r="G14" s="4">
        <v>675</v>
      </c>
    </row>
    <row r="15" ht="60" customHeight="1">
      <c r="A15" s="4" t="str">
        <v>AOW00: Cross Cutting</v>
      </c>
      <c r="B15" s="4" t="str">
        <v>3. Use of evidence and innovations to address structural barriers to gender equality and social inclusion</v>
      </c>
      <c r="C15" s="4" t="str">
        <v/>
      </c>
      <c r="D15" s="4" t="str">
        <v>Innovation Use</v>
      </c>
      <c r="E15" s="4" t="str">
        <v>Global</v>
      </c>
      <c r="F15" s="5">
        <v>0</v>
      </c>
      <c r="G15" s="4">
        <v>676</v>
      </c>
    </row>
    <row r="16" ht="60" customHeight="1">
      <c r="A16" s="4" t="str">
        <v>AOW00: Cross Cutting</v>
      </c>
      <c r="B16" s="4" t="str">
        <v>4. Women, youth and socially excluded groups equitably benefit from innovations</v>
      </c>
      <c r="C16" s="4" t="str">
        <v/>
      </c>
      <c r="D16" s="4" t="str">
        <v>Innovation Use</v>
      </c>
      <c r="E16" s="4" t="str">
        <v>Global</v>
      </c>
      <c r="F16" s="5">
        <v>0</v>
      </c>
      <c r="G16" s="4">
        <v>677</v>
      </c>
    </row>
  </sheetData>
  <mergeCells count="3">
    <mergeCell ref="B4:B7"/>
    <mergeCell ref="C4:C7"/>
    <mergeCell ref="A2:A16"/>
  </mergeCells>
  <ignoredErrors>
    <ignoredError numberStoredAsText="1" sqref="A1:G1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