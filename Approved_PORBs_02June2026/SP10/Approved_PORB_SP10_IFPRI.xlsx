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177251</v>
      </c>
      <c r="K4" s="5">
        <v>177251</v>
      </c>
      <c r="L4" s="5">
        <v>0</v>
      </c>
      <c r="M4" s="5">
        <v>0</v>
      </c>
      <c r="N4" s="4">
        <v>210</v>
      </c>
    </row>
    <row r="5" ht="20" customHeight="1">
      <c r="A5" s="4" t="str">
        <v>AOW01: Accelerating Solutions for Impact</v>
      </c>
      <c r="B5" s="5">
        <v>1</v>
      </c>
      <c r="C5" s="5">
        <v>30000</v>
      </c>
      <c r="D5" s="5">
        <v>18</v>
      </c>
      <c r="E5" s="5">
        <v>662250</v>
      </c>
      <c r="F5" s="5">
        <v>160</v>
      </c>
      <c r="G5" s="5">
        <v>20500</v>
      </c>
      <c r="H5" s="5">
        <v>0</v>
      </c>
      <c r="I5" s="5">
        <v>0</v>
      </c>
      <c r="J5" s="5">
        <v>712750</v>
      </c>
      <c r="K5" s="5">
        <v>712750</v>
      </c>
      <c r="L5" s="5">
        <v>0</v>
      </c>
      <c r="M5" s="5">
        <v>0</v>
      </c>
      <c r="N5" s="4">
        <v>209</v>
      </c>
    </row>
    <row r="6" ht="20" customHeight="1">
      <c r="A6" s="4" t="str">
        <v>AOW02: Accelerating Change Through Evidence</v>
      </c>
      <c r="B6" s="5">
        <v>0</v>
      </c>
      <c r="C6" s="5">
        <v>0</v>
      </c>
      <c r="D6" s="5">
        <v>8</v>
      </c>
      <c r="E6" s="5">
        <v>282000</v>
      </c>
      <c r="F6" s="5">
        <v>30</v>
      </c>
      <c r="G6" s="5">
        <v>75000</v>
      </c>
      <c r="H6" s="5">
        <v>26</v>
      </c>
      <c r="I6" s="5">
        <v>331250</v>
      </c>
      <c r="J6" s="5">
        <v>688250</v>
      </c>
      <c r="K6" s="5">
        <v>688250</v>
      </c>
      <c r="L6" s="5">
        <v>0</v>
      </c>
      <c r="M6" s="5">
        <v>0</v>
      </c>
      <c r="N6" s="4">
        <v>208</v>
      </c>
    </row>
    <row r="7" ht="20" customHeight="1">
      <c r="A7" s="4" t="str">
        <v>AOW03: Youth Thrive</v>
      </c>
      <c r="B7" s="5">
        <v>0</v>
      </c>
      <c r="C7" s="5">
        <v>0</v>
      </c>
      <c r="D7" s="5">
        <v>0</v>
      </c>
      <c r="E7" s="5">
        <v>0</v>
      </c>
      <c r="F7" s="5">
        <v>0</v>
      </c>
      <c r="G7" s="5">
        <v>0</v>
      </c>
      <c r="H7" s="5">
        <v>0</v>
      </c>
      <c r="I7" s="5">
        <v>0</v>
      </c>
      <c r="J7" s="5">
        <v>0</v>
      </c>
      <c r="K7" s="5">
        <v>0</v>
      </c>
      <c r="L7" s="5">
        <v>0</v>
      </c>
      <c r="M7" s="5">
        <v>0</v>
      </c>
      <c r="N7" s="4">
        <v>207</v>
      </c>
    </row>
    <row r="8" ht="25" customHeight="1">
      <c r="A8" s="6" t="str">
        <v>Total</v>
      </c>
      <c r="B8" s="7" t="str">
        <v/>
      </c>
      <c r="C8" s="7">
        <v>30000</v>
      </c>
      <c r="D8" s="7" t="str">
        <v/>
      </c>
      <c r="E8" s="7">
        <v>944250</v>
      </c>
      <c r="F8" s="7" t="str">
        <v/>
      </c>
      <c r="G8" s="7">
        <v>95500</v>
      </c>
      <c r="H8" s="7" t="str">
        <v/>
      </c>
      <c r="I8" s="7">
        <v>331250</v>
      </c>
      <c r="J8" s="7">
        <v>1578251</v>
      </c>
      <c r="K8" s="7">
        <v>1578251</v>
      </c>
      <c r="L8" s="7">
        <v>0</v>
      </c>
      <c r="M8" s="7">
        <v>0</v>
      </c>
      <c r="N8"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8"/>
  </ignoredErrors>
</worksheet>
</file>

<file path=xl/worksheets/sheet2.xml><?xml version="1.0" encoding="utf-8"?>
<worksheet xmlns="http://schemas.openxmlformats.org/spreadsheetml/2006/main" xmlns:r="http://schemas.openxmlformats.org/officeDocument/2006/relationships">
  <dimension ref="A1:J34"/>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Accelerating Solutions for Impact</v>
      </c>
      <c r="B3" s="4" t="str">
        <v>IFPRI</v>
      </c>
      <c r="C3" s="4" t="str">
        <v>1.1.3: Gender-transformative solutions for women's economic empowerment</v>
      </c>
      <c r="D3" s="4" t="str">
        <v>Discussion paper that uses the 2024 baseline data to build quantitative evidence on the links between gender norms and agricultural outcomes (e.g., agricultural productivity, technology adaptation, income), decision making, and household food security in Tanzania and Nigeria</v>
      </c>
      <c r="E3" s="4" t="str">
        <v>Number of knowledge products</v>
      </c>
      <c r="F3" s="4" t="str">
        <v>Tanzania, United Republic, Nigeria</v>
      </c>
      <c r="G3" s="5">
        <v>1</v>
      </c>
      <c r="H3" s="5">
        <v>83250</v>
      </c>
      <c r="I3"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3" s="4">
        <v>6107</v>
      </c>
    </row>
    <row r="4" ht="50" customHeight="1" xml:space="preserve">
      <c r="A4" s="4" t="str">
        <v>AOW01: Accelerating Solutions for Impact</v>
      </c>
      <c r="B4" s="4" t="str">
        <v>IFPRI</v>
      </c>
      <c r="C4" s="4" t="str">
        <v xml:space="preserve">1.3.2: Financial and extension systems for resources and livelihoods </v>
      </c>
      <c r="D4" s="4" t="str">
        <v>Impacts of government financing  of agricultural mechanization on rural men's, women's, and youth livelihoods in Bangladesh (quasi-experimental): discussion paper and presentation</v>
      </c>
      <c r="E4" s="4" t="str">
        <v>Number of knowledge products</v>
      </c>
      <c r="F4" s="4" t="str">
        <v>Bangladesh</v>
      </c>
      <c r="G4" s="5">
        <v>2</v>
      </c>
      <c r="H4" s="5">
        <v>75000</v>
      </c>
      <c r="I4"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4" s="4">
        <v>6134</v>
      </c>
    </row>
    <row r="5" ht="50" customHeight="1" xml:space="preserve">
      <c r="B5" s="4" t="str">
        <v>IFPRI</v>
      </c>
      <c r="D5" s="4" t="str">
        <v>Published policy brief that synthesizes RCT findings on women’s uptake and livelihood impacts of livestock financing products in Bangladesh</v>
      </c>
      <c r="E5" s="4" t="str">
        <v>Number of knowledge products</v>
      </c>
      <c r="F5" s="4" t="str">
        <v>Bangladesh</v>
      </c>
      <c r="G5" s="5">
        <v>1</v>
      </c>
      <c r="H5" s="5">
        <v>21500</v>
      </c>
      <c r="I5"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5" s="4">
        <v>6135</v>
      </c>
    </row>
    <row r="6" ht="50" customHeight="1" xml:space="preserve">
      <c r="B6" s="4" t="str">
        <v>IFPRI</v>
      </c>
      <c r="D6" s="4" t="str">
        <v>Impacts of picture-based crop insurance and credit on women's livelihoods, resilience, empowerment, and experience of intimate partner violence in India (RCT): discussion paper and presentation</v>
      </c>
      <c r="E6" s="4" t="str">
        <v>Number of knowledge products</v>
      </c>
      <c r="F6" s="4" t="str">
        <v>India</v>
      </c>
      <c r="G6" s="5">
        <v>2</v>
      </c>
      <c r="H6" s="5">
        <v>70000</v>
      </c>
      <c r="I6"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6" s="4">
        <v>6136</v>
      </c>
    </row>
    <row r="7" ht="50" customHeight="1" xml:space="preserve">
      <c r="A7" s="4" t="str">
        <v>AOW01: Accelerating Solutions for Impact</v>
      </c>
      <c r="B7" s="4" t="str">
        <v>IFPRI</v>
      </c>
      <c r="C7" s="4" t="str">
        <v>1.3.3: Effective interventions within social protection systems for resilience</v>
      </c>
      <c r="D7" s="4" t="str">
        <v>Published policy brief that synthesizes quasi-experimental evidence on the impact of Somalia’s formal and informal safety nets on internally displaced women’s livelihoods and resilience</v>
      </c>
      <c r="E7" s="4" t="str">
        <v>Number of knowledge products</v>
      </c>
      <c r="F7" s="4" t="str">
        <v>Somalia</v>
      </c>
      <c r="G7" s="5">
        <v>1</v>
      </c>
      <c r="H7" s="5">
        <v>85000</v>
      </c>
      <c r="I7"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7" s="4">
        <v>6139</v>
      </c>
    </row>
    <row r="8" ht="50" customHeight="1" xml:space="preserve">
      <c r="B8" s="4" t="str">
        <v>IFPRI</v>
      </c>
      <c r="D8" s="4" t="str">
        <v>A discussion paper and accompanying presentation on Kenya Economic Inclusion Program interventions on transfers and skills training, and their impacts on livelihoods, empowerment, and intimate partner violence</v>
      </c>
      <c r="E8" s="4" t="str">
        <v>Number of knowledge products</v>
      </c>
      <c r="F8" s="4" t="str">
        <v>Kenya</v>
      </c>
      <c r="G8" s="5">
        <v>2</v>
      </c>
      <c r="H8" s="5">
        <v>62000</v>
      </c>
      <c r="I8"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8" s="4">
        <v>6140</v>
      </c>
    </row>
    <row r="9" ht="50" customHeight="1" xml:space="preserve">
      <c r="B9" s="4" t="str">
        <v>IFPRI</v>
      </c>
      <c r="D9" s="4" t="str">
        <v>A discussion paper that analyzes the 8-year post-program impacts of a specified nutrition-sensitive social protection program on rural women’s and men’s livelihoods in Bangladesh</v>
      </c>
      <c r="E9" s="4" t="str">
        <v>Number of knowledge products</v>
      </c>
      <c r="F9" s="4" t="str">
        <v>Bangladesh</v>
      </c>
      <c r="G9" s="5">
        <v>1</v>
      </c>
      <c r="H9" s="5">
        <v>75000</v>
      </c>
      <c r="I9"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9" s="4">
        <v>6141</v>
      </c>
    </row>
    <row r="10" ht="50" customHeight="1" xml:space="preserve">
      <c r="A10" s="4" t="str">
        <v>AOW01: Accelerating Solutions for Impact</v>
      </c>
      <c r="B10" s="4" t="str">
        <v>IFPRI</v>
      </c>
      <c r="C10" s="4" t="str">
        <v>1.4.1: Tools for measuring women's voice and leadership</v>
      </c>
      <c r="D10" s="4" t="str" xml:space="preserve">
        <v xml:space="preserve">Validated and published measurement toolkit for individual-level measurement of women's voice in agrifood policymaking, with an accompanying user guide 
</v>
      </c>
      <c r="E10" s="4" t="str">
        <v>Number of knowledge products</v>
      </c>
      <c r="F10" s="4" t="str">
        <v>Nigeria</v>
      </c>
      <c r="G10" s="5">
        <v>3</v>
      </c>
      <c r="H10" s="5">
        <v>54500</v>
      </c>
      <c r="I10"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10" s="4">
        <v>6143</v>
      </c>
    </row>
    <row r="11" ht="50" customHeight="1" xml:space="preserve">
      <c r="B11" s="4" t="str">
        <v>IFPRI</v>
      </c>
      <c r="D11" s="4" t="str">
        <v>Stakeholders trained in WEAGov implementation through in‑person or virtual sessions using WEAGov training and capacity‑development materials</v>
      </c>
      <c r="E11" s="4" t="str">
        <v>Number of people trained (capacity sharing for development)</v>
      </c>
      <c r="F11" s="4" t="str">
        <v>Uganda, Mozambique, Madagascar, Burkina Faso, Malawi, Ethiopia, Kenya, Ghana, Rwanda, Nigeria</v>
      </c>
      <c r="G11" s="5">
        <v>100</v>
      </c>
      <c r="H11" s="5">
        <v>12500</v>
      </c>
      <c r="I11"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11" s="4">
        <v>6144</v>
      </c>
    </row>
    <row r="12" ht="50" customHeight="1" xml:space="preserve">
      <c r="B12" s="4" t="str">
        <v>IFPRI</v>
      </c>
      <c r="D12" s="4" t="str">
        <v>WEAGov rapid assessment tool developed, with an accompanying implementation guide and training video series, and made available to AWARD fellows and similar audiences implementing WEAGov with limited budgets</v>
      </c>
      <c r="E12" s="4" t="str">
        <v>Number of knowledge products</v>
      </c>
      <c r="F12" s="4" t="str">
        <v>United States of America</v>
      </c>
      <c r="G12" s="5">
        <v>1</v>
      </c>
      <c r="H12" s="5">
        <v>32000</v>
      </c>
      <c r="I12"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12" s="4">
        <v>6145</v>
      </c>
    </row>
    <row r="13" ht="50" customHeight="1" xml:space="preserve">
      <c r="B13" s="4" t="str">
        <v>IFPRI</v>
      </c>
      <c r="D13" s="4" t="str">
        <v>Stakeholders in three states in Nigeria trained to use the survey tool for measuring women's voice in agrifood systems governance at individual level</v>
      </c>
      <c r="E13" s="4" t="str">
        <v>Number of people trained (capacity sharing for development)</v>
      </c>
      <c r="F13" s="4" t="str">
        <v>Nigeria</v>
      </c>
      <c r="G13" s="5">
        <v>60</v>
      </c>
      <c r="H13" s="5">
        <v>8000</v>
      </c>
      <c r="I13"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13" s="4">
        <v>7758</v>
      </c>
    </row>
    <row r="14" ht="50" customHeight="1" xml:space="preserve">
      <c r="A14" s="4" t="str">
        <v>AOW01: Accelerating Solutions for Impact</v>
      </c>
      <c r="B14" s="4" t="str">
        <v>IFPRI</v>
      </c>
      <c r="C14" s="4" t="str">
        <v xml:space="preserve">1.4.3: Solutions for inclusive leadership </v>
      </c>
      <c r="D14" s="4" t="str">
        <v>In-depth qualitative case studies that build theory and refine research instruments by identifying critical variables and causal pathways shaping participation, leadership and empowerment</v>
      </c>
      <c r="E14" s="4" t="str">
        <v>Number of knowledge products</v>
      </c>
      <c r="F14" s="4" t="str">
        <v>Bangladesh, India</v>
      </c>
      <c r="G14" s="5">
        <v>3</v>
      </c>
      <c r="H14" s="5">
        <v>66000</v>
      </c>
      <c r="I14"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14" s="4">
        <v>6147</v>
      </c>
    </row>
    <row r="15" ht="50" customHeight="1">
      <c r="B15" s="4" t="str">
        <v>IFPRI</v>
      </c>
      <c r="D15" s="4" t="str">
        <v>Curriculum on engaging community members in women's empowerment in agrifood governance co-developed with partners in Nigeria and other CGIAR Science Programs</v>
      </c>
      <c r="E15" s="4" t="str">
        <v>Number of innovations (innovation development)</v>
      </c>
      <c r="F15" s="4" t="str">
        <v>Nigeria</v>
      </c>
      <c r="G15" s="5">
        <v>1</v>
      </c>
      <c r="H15" s="5">
        <v>0</v>
      </c>
      <c r="I15" s="4" t="str">
        <v/>
      </c>
      <c r="J15" s="4">
        <v>8288</v>
      </c>
    </row>
    <row r="16" ht="50" customHeight="1" xml:space="preserve">
      <c r="A16" s="4" t="str">
        <v>AOW01: Accelerating Solutions for Impact</v>
      </c>
      <c r="B16" s="4" t="str">
        <v>IFPRI</v>
      </c>
      <c r="C16" s="4" t="str">
        <v xml:space="preserve">1.4.2: Increasing women's voice and leadership </v>
      </c>
      <c r="D16" s="4" t="str">
        <v>Curriculum on engaging community members in women's empowerment in agrifood governance co-developed with partners in Nigeria and other CGIAR Science Programs</v>
      </c>
      <c r="E16" s="4" t="str">
        <v>Number of innovations (innovation development)</v>
      </c>
      <c r="F16" s="4" t="str">
        <v>Nigeria</v>
      </c>
      <c r="G16" s="5">
        <v>1</v>
      </c>
      <c r="H16" s="5">
        <v>30000</v>
      </c>
      <c r="I16"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16" s="4">
        <v>7282</v>
      </c>
    </row>
    <row r="17" ht="50" customHeight="1" xml:space="preserve">
      <c r="B17" s="4" t="str">
        <v>IFPRI</v>
      </c>
      <c r="D17" s="4" t="str">
        <v>Learnings from the implementation of WEAGov tool by AWARD policy innovations fellows collected and synthesized: discussion paper</v>
      </c>
      <c r="E17" s="4" t="str">
        <v>Number of knowledge products</v>
      </c>
      <c r="F17" s="4" t="str">
        <v>Ghana, Uganda, Nigeria</v>
      </c>
      <c r="G17" s="5">
        <v>1</v>
      </c>
      <c r="H17" s="5">
        <v>38000</v>
      </c>
      <c r="I17"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17" s="4">
        <v>7536</v>
      </c>
    </row>
    <row r="18" ht="25" customHeight="1">
      <c r="C18" s="9" t="str">
        <v>HLO budget subtotal</v>
      </c>
      <c r="H18" s="9">
        <v>712750</v>
      </c>
      <c r="J18" s="9" t="str">
        <v/>
      </c>
    </row>
    <row r="19" ht="50" customHeight="1" xml:space="preserve">
      <c r="A19" s="8" t="str">
        <v>AOW02: Accelerating Change Through Evidence</v>
      </c>
      <c r="B19" s="4" t="str">
        <v>IFPRI</v>
      </c>
      <c r="C19" s="4" t="str">
        <v>2.1.1: Guidance on gender research</v>
      </c>
      <c r="D19" s="4" t="str">
        <v>Ethical use of AI in gender and inclusion research: updated toolkit</v>
      </c>
      <c r="E19" s="4" t="str">
        <v>Number of knowledge products</v>
      </c>
      <c r="F19" s="4" t="str">
        <v>United States of America</v>
      </c>
      <c r="G19" s="5">
        <v>1</v>
      </c>
      <c r="H19" s="5">
        <v>38750</v>
      </c>
      <c r="I19"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19" s="4">
        <v>6163</v>
      </c>
    </row>
    <row r="20" ht="50" customHeight="1" xml:space="preserve">
      <c r="B20" s="4" t="str">
        <v>IFPRI</v>
      </c>
      <c r="D20" s="4" t="str">
        <v>Published methodology for cost-effectiveness analysis of women’s empowerment interventions</v>
      </c>
      <c r="E20" s="4" t="str">
        <v>Number of knowledge products</v>
      </c>
      <c r="F20" s="4" t="str">
        <v>United States of America</v>
      </c>
      <c r="G20" s="5">
        <v>1</v>
      </c>
      <c r="H20" s="5">
        <v>50000</v>
      </c>
      <c r="I20"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20" s="4">
        <v>6164</v>
      </c>
    </row>
    <row r="21" ht="50" customHeight="1" xml:space="preserve">
      <c r="B21" s="4" t="str">
        <v>IFPRI</v>
      </c>
      <c r="D21" s="4" t="str">
        <v>Completed business case report that documents the information gains and relative costs of intrahousehold versus household data collection, and provides recommendations on best practices to strengthen gender-sensitive and cost-effective data collection</v>
      </c>
      <c r="E21" s="4" t="str">
        <v>Number of knowledge products</v>
      </c>
      <c r="F21" s="4" t="str">
        <v>Kenya, United States of America</v>
      </c>
      <c r="G21" s="5">
        <v>1</v>
      </c>
      <c r="H21" s="5">
        <v>50000</v>
      </c>
      <c r="I21"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21" s="4">
        <v>6165</v>
      </c>
    </row>
    <row r="22" ht="50" customHeight="1" xml:space="preserve">
      <c r="A22" s="4" t="str">
        <v>AOW02: Accelerating Change Through Evidence</v>
      </c>
      <c r="B22" s="4" t="str">
        <v>IFPRI</v>
      </c>
      <c r="C22" s="4" t="str">
        <v>2.1.2: Communities of practice for impactful gender research</v>
      </c>
      <c r="D22" s="4" t="str">
        <v>New Community of Practice on Youth established and operationalized: webinar series and blogs on new topics such as research tools and methods for youth inclusion in agrifood systems</v>
      </c>
      <c r="E22" s="4" t="str">
        <v>custom</v>
      </c>
      <c r="F22" s="4" t="str">
        <v>Kenya, United States of America</v>
      </c>
      <c r="G22" s="5">
        <v>4</v>
      </c>
      <c r="H22" s="5">
        <v>38750</v>
      </c>
      <c r="I22"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22" s="4">
        <v>6169</v>
      </c>
    </row>
    <row r="23" ht="50" customHeight="1" xml:space="preserve">
      <c r="B23" s="4" t="str">
        <v>IFPRI</v>
      </c>
      <c r="D23" s="4" t="str">
        <v>Completed case study report that documents the scaling journey of the Women's Empowerment in Agriculture Index (WEAI) family of tools, focusing on how the innovation was developed, evolved, and widely adopted by diverse users and organizations since its launch</v>
      </c>
      <c r="E23" s="4" t="str">
        <v>Number of knowledge products</v>
      </c>
      <c r="F23" s="4" t="str">
        <v>United States of America</v>
      </c>
      <c r="G23" s="5">
        <v>1</v>
      </c>
      <c r="H23" s="5">
        <v>25000</v>
      </c>
      <c r="I23"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23" s="4">
        <v>6170</v>
      </c>
    </row>
    <row r="24" ht="50" customHeight="1" xml:space="preserve">
      <c r="B24" s="4" t="str">
        <v>IFPRI</v>
      </c>
      <c r="D24" s="4" t="str" xml:space="preserve">
        <v xml:space="preserve">EnGendering Data Community of Practice: webinar series and blogs on new topics such as methods for evaluating cost effectiveness of women's empowerment interventions
</v>
      </c>
      <c r="E24" s="4" t="str">
        <v>custom</v>
      </c>
      <c r="F24" s="4" t="str">
        <v>United States of America</v>
      </c>
      <c r="G24" s="5">
        <v>9</v>
      </c>
      <c r="H24" s="5">
        <v>75000</v>
      </c>
      <c r="I24"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24" s="4">
        <v>6171</v>
      </c>
    </row>
    <row r="25" ht="50" customHeight="1" xml:space="preserve">
      <c r="A25" s="4" t="str">
        <v>AOW02: Accelerating Change Through Evidence</v>
      </c>
      <c r="B25" s="4" t="str">
        <v>IFPRI</v>
      </c>
      <c r="C25" s="4" t="str">
        <v>2.1.3: Tools for measuring empowerment and inclusion</v>
      </c>
      <c r="D25" s="4" t="str">
        <v xml:space="preserve">Stakeholders trained through the WEMNS Foundations distance learning course to strengthen their capacity to effectively use the tool in national statistical systems and other research contexts                  </v>
      </c>
      <c r="E25" s="4" t="str">
        <v>Number of people trained (capacity sharing for development)</v>
      </c>
      <c r="F25" s="4" t="str">
        <v>United States of America</v>
      </c>
      <c r="G25" s="5">
        <v>30</v>
      </c>
      <c r="H25" s="5">
        <v>75000</v>
      </c>
      <c r="I25"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25" s="4">
        <v>6173</v>
      </c>
    </row>
    <row r="26" ht="50" customHeight="1" xml:space="preserve">
      <c r="B26" s="4" t="str">
        <v>IFPRI</v>
      </c>
      <c r="D26" s="4" t="str">
        <v>Operational WEAI Helpdesk with response protocols and tracking system</v>
      </c>
      <c r="E26" s="4" t="str">
        <v>custom</v>
      </c>
      <c r="F26" s="4" t="str">
        <v>United States of America</v>
      </c>
      <c r="G26" s="5">
        <v>1</v>
      </c>
      <c r="H26" s="5">
        <v>77500</v>
      </c>
      <c r="I26"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26" s="4">
        <v>6174</v>
      </c>
    </row>
    <row r="27" ht="50" customHeight="1" xml:space="preserve">
      <c r="B27" s="4" t="str">
        <v>IFPRI</v>
      </c>
      <c r="D27" s="4" t="str">
        <v>Operational WEAI Resource Center website with updated content and documentation report tracking uptake and use of WEAI-based tools across CGIAR and partners</v>
      </c>
      <c r="E27" s="4" t="str">
        <v>custom</v>
      </c>
      <c r="F27" s="4" t="str">
        <v>United States of America</v>
      </c>
      <c r="G27" s="5">
        <v>1</v>
      </c>
      <c r="H27" s="5">
        <v>50000</v>
      </c>
      <c r="I27"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27" s="4">
        <v>6178</v>
      </c>
    </row>
    <row r="28" ht="50" customHeight="1" xml:space="preserve">
      <c r="B28" s="4" t="str">
        <v>IFPRI</v>
      </c>
      <c r="D28" s="4" t="str">
        <v xml:space="preserve">Deployed WEAIbot (AI chatbot) with scripted guidance and FAQs             </v>
      </c>
      <c r="E28" s="4" t="str">
        <v>custom</v>
      </c>
      <c r="F28" s="4" t="str">
        <v>Tanzania, United Republic, United States of America</v>
      </c>
      <c r="G28" s="5">
        <v>1</v>
      </c>
      <c r="H28" s="5">
        <v>75000</v>
      </c>
      <c r="I28"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28" s="4">
        <v>6179</v>
      </c>
    </row>
    <row r="29" ht="50" customHeight="1" xml:space="preserve">
      <c r="A29" s="4" t="str">
        <v>AOW02: Accelerating Change Through Evidence</v>
      </c>
      <c r="B29" s="4" t="str">
        <v>IFPRI</v>
      </c>
      <c r="C29" s="4" t="str">
        <v>2.2.2: Policy engagement and outreach for equality, youth, and resilience</v>
      </c>
      <c r="D29" s="4" t="str">
        <v>Stakeholder workshop in Nigeria and Kenya to disseminate findings and inform inclusive youth employment and food systems strategies</v>
      </c>
      <c r="E29" s="4" t="str">
        <v>custom</v>
      </c>
      <c r="F29" s="4" t="str">
        <v>Kenya, Nigeria</v>
      </c>
      <c r="G29" s="5">
        <v>10</v>
      </c>
      <c r="H29" s="5">
        <v>15000</v>
      </c>
      <c r="I29"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29" s="4">
        <v>6183</v>
      </c>
    </row>
    <row r="30" ht="50" customHeight="1" xml:space="preserve">
      <c r="B30" s="4" t="str">
        <v>IFPRI</v>
      </c>
      <c r="D30" s="4" t="str">
        <v>Evidence synthesis on women's access to land, finance, and markets in agrifood systems in Nigeria to identify binding constraints and high-return policy entry points for gender-responsive reform</v>
      </c>
      <c r="E30" s="4" t="str">
        <v>Number of knowledge products</v>
      </c>
      <c r="F30" s="4" t="str">
        <v>Nigeria</v>
      </c>
      <c r="G30" s="5">
        <v>1</v>
      </c>
      <c r="H30" s="5">
        <v>30000</v>
      </c>
      <c r="I30"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30" s="4">
        <v>7292</v>
      </c>
    </row>
    <row r="31" ht="50" customHeight="1" xml:space="preserve">
      <c r="B31" s="4" t="str">
        <v>IFPRI</v>
      </c>
      <c r="D31" s="4" t="str">
        <v>Policy brief and implementation roadmap for gender-responsive policy reforms for women's land, finance, and market access in Nigeria</v>
      </c>
      <c r="E31" s="4" t="str">
        <v>Number of knowledge products</v>
      </c>
      <c r="F31" s="4" t="str">
        <v>Nigeria</v>
      </c>
      <c r="G31" s="5">
        <v>1</v>
      </c>
      <c r="H31" s="5">
        <v>20000</v>
      </c>
      <c r="I31"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31" s="4">
        <v>7293</v>
      </c>
    </row>
    <row r="32" ht="50" customHeight="1" xml:space="preserve">
      <c r="A32" s="4" t="str">
        <v>AOW02: Accelerating Change Through Evidence</v>
      </c>
      <c r="B32" s="4" t="str">
        <v>IFPRI</v>
      </c>
      <c r="C32" s="4" t="str">
        <v>2.2.3: Co-design with Science Programs and Partners for integrating evidence-based solutions for equality, youth, resilience, and nutrition</v>
      </c>
      <c r="D32" s="4" t="str">
        <v>Policy brief with actionable recommendations for promoting gender-equitable access to assets, finance, and employment</v>
      </c>
      <c r="E32" s="4" t="str">
        <v>Number of knowledge products</v>
      </c>
      <c r="F32" s="4" t="str">
        <v>Kenya, Nigeria</v>
      </c>
      <c r="G32" s="5">
        <v>1</v>
      </c>
      <c r="H32" s="5">
        <v>25000</v>
      </c>
      <c r="I32"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32" s="4">
        <v>6193</v>
      </c>
    </row>
    <row r="33" ht="50" customHeight="1" xml:space="preserve">
      <c r="B33" s="4" t="str">
        <v>IFPRI</v>
      </c>
      <c r="D33" s="4" t="str">
        <v>Analytical paper identifying the main drivers of inequality between young women and men, distinguishing the roles of endowment and earnings differences.</v>
      </c>
      <c r="E33" s="4" t="str">
        <v>Number of knowledge products</v>
      </c>
      <c r="F33" s="4" t="str">
        <v>Kenya, Nigeria</v>
      </c>
      <c r="G33" s="5">
        <v>1</v>
      </c>
      <c r="H33" s="5">
        <v>43250</v>
      </c>
      <c r="I33"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33" s="4">
        <v>6194</v>
      </c>
    </row>
    <row r="34" ht="25" customHeight="1">
      <c r="C34" s="9" t="str">
        <v>HLO budget subtotal</v>
      </c>
      <c r="H34" s="9">
        <v>688250</v>
      </c>
      <c r="J34" s="9" t="str">
        <v/>
      </c>
    </row>
  </sheetData>
  <mergeCells count="20">
    <mergeCell ref="A1:A2"/>
    <mergeCell ref="B1:B2"/>
    <mergeCell ref="C1:C2"/>
    <mergeCell ref="D1:H1"/>
    <mergeCell ref="I1:I2"/>
    <mergeCell ref="J1:J2"/>
    <mergeCell ref="C4:C6"/>
    <mergeCell ref="C7:C9"/>
    <mergeCell ref="C10:C13"/>
    <mergeCell ref="C14:C15"/>
    <mergeCell ref="C16:C17"/>
    <mergeCell ref="C18:G18"/>
    <mergeCell ref="A3:A18"/>
    <mergeCell ref="C19:C21"/>
    <mergeCell ref="C22:C24"/>
    <mergeCell ref="C25:C28"/>
    <mergeCell ref="C29:C31"/>
    <mergeCell ref="C32:C33"/>
    <mergeCell ref="C34:G34"/>
    <mergeCell ref="A19:A34"/>
  </mergeCells>
  <ignoredErrors>
    <ignoredError numberStoredAsText="1" sqref="A1:J34"/>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7"/>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IFPRI</v>
      </c>
      <c r="B2" s="4" t="str">
        <v>N-2024P0X2-EVITA/IFAD GTM ETHIOPIA</v>
      </c>
      <c r="C2" s="4" t="str">
        <v>2.1 Use of methodologies and metrics rigorous and ethical research, monitoring practices and measuring empowerment and inclusion</v>
      </c>
      <c r="D2" s="5">
        <v>482585</v>
      </c>
      <c r="E2" s="4" t="str">
        <v>N/A</v>
      </c>
      <c r="F2" s="4">
        <v>1191</v>
      </c>
    </row>
    <row r="3" ht="60" customHeight="1">
      <c r="A3" s="4" t="str">
        <v>IFPRI</v>
      </c>
      <c r="B3" s="4" t="str">
        <v>N-332001-COST EFF WE-AG SOLUTIONS</v>
      </c>
      <c r="C3" s="4" t="str">
        <v>2.1 Use of methodologies and metrics rigorous and ethical research, monitoring practices and measuring empowerment and inclusion</v>
      </c>
      <c r="D3" s="5">
        <v>635030</v>
      </c>
      <c r="E3" s="4" t="str">
        <v>N/A</v>
      </c>
      <c r="F3" s="4">
        <v>1192</v>
      </c>
    </row>
    <row r="4" ht="60" customHeight="1">
      <c r="A4" s="4" t="str">
        <v>IFPRI</v>
      </c>
      <c r="B4" s="4" t="str">
        <v>N-601149-IPV RESEARCH COLLAB PH 2</v>
      </c>
      <c r="C4" s="4" t="str">
        <v xml:space="preserve">1.3 Evidence-based promotion of women's access to resources and social protection </v>
      </c>
      <c r="D4" s="5">
        <v>453469</v>
      </c>
      <c r="E4" s="4" t="str">
        <v>N/A</v>
      </c>
      <c r="F4" s="4">
        <v>1188</v>
      </c>
    </row>
    <row r="5" ht="60" customHeight="1">
      <c r="A5" s="4" t="str">
        <v>IFPRI</v>
      </c>
      <c r="B5" s="4" t="str">
        <v>N-601158-SPIR II</v>
      </c>
      <c r="C5" s="4" t="str">
        <v xml:space="preserve">1.3 Evidence-based promotion of women's access to resources and social protection </v>
      </c>
      <c r="D5" s="5">
        <v>268285</v>
      </c>
      <c r="E5" s="4" t="str">
        <v>N/A</v>
      </c>
      <c r="F5" s="4">
        <v>1187</v>
      </c>
    </row>
    <row r="6" ht="60" customHeight="1">
      <c r="A6" s="4" t="str">
        <v>IFPRI</v>
      </c>
      <c r="B6" s="4" t="str">
        <v>N333010</v>
      </c>
      <c r="C6" s="4" t="str">
        <v>1.2 Evidence-based support for women and youth empowerment</v>
      </c>
      <c r="D6" s="5">
        <v>61785</v>
      </c>
      <c r="E6" s="4" t="str">
        <v>N/A</v>
      </c>
      <c r="F6" s="4">
        <v>1181</v>
      </c>
    </row>
    <row r="7" ht="25" customHeight="1">
      <c r="B7" s="9" t="str">
        <v>W3/Bilateral budget subtotal</v>
      </c>
      <c r="D7" s="9">
        <v>1901154</v>
      </c>
      <c r="E7" s="9" t="str">
        <v/>
      </c>
      <c r="F7" s="9" t="str">
        <v/>
      </c>
    </row>
  </sheetData>
  <mergeCells count="2">
    <mergeCell ref="B7:C7"/>
    <mergeCell ref="A2:A7"/>
  </mergeCells>
  <ignoredErrors>
    <ignoredError numberStoredAsText="1" sqref="A1:F7"/>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IFPRI</v>
      </c>
      <c r="C2" s="4" t="str">
        <v>Area of Work Leads</v>
      </c>
      <c r="D2" s="5">
        <v>177251</v>
      </c>
      <c r="E2" s="4" t="str">
        <v>50% FTE and operational budget</v>
      </c>
      <c r="F2" s="4">
        <v>212</v>
      </c>
      <c r="G2" s="4">
        <v>3</v>
      </c>
    </row>
    <row r="3" ht="25" customHeight="1">
      <c r="C3" s="9" t="str">
        <v>Cross-cutting budget subtotal</v>
      </c>
      <c r="D3" s="9">
        <v>177251</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F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4" t="str">
        <v>Staffing, Chargebacks and Indirect</v>
      </c>
      <c r="B2" s="5">
        <v>114050</v>
      </c>
      <c r="C2" s="5">
        <v>696471</v>
      </c>
      <c r="D2" s="5">
        <v>677467</v>
      </c>
      <c r="E2" s="5">
        <v>0</v>
      </c>
      <c r="F2" s="5">
        <f>=SUM(B2:E2)</f>
        <v>0</v>
      </c>
    </row>
    <row r="3" ht="20" customHeight="1">
      <c r="A3" s="4" t="str">
        <v>Operations (supplies, consultants, travels, workshops, other)</v>
      </c>
      <c r="B3" s="5">
        <v>63201</v>
      </c>
      <c r="C3" s="5">
        <v>16279</v>
      </c>
      <c r="D3" s="5">
        <v>10783</v>
      </c>
      <c r="E3" s="5">
        <v>0</v>
      </c>
      <c r="F3" s="5">
        <f>=SUM(B3:E3)</f>
        <v>0</v>
      </c>
    </row>
    <row r="4" ht="20" customHeight="1">
      <c r="A4" s="6" t="str">
        <v>Subtotal</v>
      </c>
      <c r="B4" s="7">
        <f>=SUM(B2:B3)</f>
        <v>0</v>
      </c>
      <c r="C4" s="7">
        <f>=SUM(C2:C3)</f>
        <v>0</v>
      </c>
      <c r="D4" s="7">
        <f>=SUM(D2:D3)</f>
        <v>0</v>
      </c>
      <c r="E4" s="7">
        <f>=SUM(E2:E3)</f>
        <v>0</v>
      </c>
      <c r="F4" s="7">
        <f>=SUM(F2:F3)</f>
        <v>0</v>
      </c>
    </row>
  </sheetData>
  <ignoredErrors>
    <ignoredError numberStoredAsText="1" sqref="A1:F4"/>
  </ignoredErrors>
</worksheet>
</file>

<file path=xl/worksheets/sheet8.xml><?xml version="1.0" encoding="utf-8"?>
<worksheet xmlns="http://schemas.openxmlformats.org/spreadsheetml/2006/main" xmlns:r="http://schemas.openxmlformats.org/officeDocument/2006/relationships">
  <dimension ref="A1:E19"/>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IFPRI</v>
      </c>
      <c r="C2" s="4" t="str">
        <v>United States of America</v>
      </c>
      <c r="D2" s="5">
        <v>100</v>
      </c>
      <c r="E2" s="4">
        <v>2551</v>
      </c>
    </row>
    <row r="3" ht="45" customHeight="1">
      <c r="A3" s="8" t="str">
        <v>AOW01: Accelerating Solutions for Impact</v>
      </c>
      <c r="B3" s="4" t="str">
        <v>IFPRI</v>
      </c>
      <c r="C3" s="4" t="str">
        <v>Bangladesh</v>
      </c>
      <c r="D3" s="5">
        <v>25</v>
      </c>
      <c r="E3" s="4">
        <v>2002</v>
      </c>
    </row>
    <row r="4" ht="45" customHeight="1">
      <c r="A4" s="4" t="str">
        <v>AOW01: Accelerating Solutions for Impact</v>
      </c>
      <c r="B4" s="4" t="str">
        <v>IFPRI</v>
      </c>
      <c r="C4" s="4" t="str">
        <v>Burkina Faso</v>
      </c>
      <c r="D4" s="5">
        <v>1</v>
      </c>
      <c r="E4" s="4">
        <v>2010</v>
      </c>
    </row>
    <row r="5" ht="45" customHeight="1">
      <c r="A5" s="4" t="str">
        <v>AOW01: Accelerating Solutions for Impact</v>
      </c>
      <c r="B5" s="4" t="str">
        <v>IFPRI</v>
      </c>
      <c r="C5" s="4" t="str">
        <v>Ethiopia</v>
      </c>
      <c r="D5" s="5">
        <v>1</v>
      </c>
      <c r="E5" s="4">
        <v>2011</v>
      </c>
    </row>
    <row r="6" ht="45" customHeight="1">
      <c r="A6" s="4" t="str">
        <v>AOW01: Accelerating Solutions for Impact</v>
      </c>
      <c r="B6" s="4" t="str">
        <v>IFPRI</v>
      </c>
      <c r="C6" s="4" t="str">
        <v>Ghana</v>
      </c>
      <c r="D6" s="5">
        <v>4</v>
      </c>
      <c r="E6" s="4">
        <v>2008</v>
      </c>
    </row>
    <row r="7" ht="45" customHeight="1">
      <c r="A7" s="4" t="str">
        <v>AOW01: Accelerating Solutions for Impact</v>
      </c>
      <c r="B7" s="4" t="str">
        <v>IFPRI</v>
      </c>
      <c r="C7" s="4" t="str">
        <v>India</v>
      </c>
      <c r="D7" s="5">
        <v>10</v>
      </c>
      <c r="E7" s="4">
        <v>2003</v>
      </c>
    </row>
    <row r="8" ht="45" customHeight="1">
      <c r="A8" s="4" t="str">
        <v>AOW01: Accelerating Solutions for Impact</v>
      </c>
      <c r="B8" s="4" t="str">
        <v>IFPRI</v>
      </c>
      <c r="C8" s="4" t="str">
        <v>Kenya</v>
      </c>
      <c r="D8" s="5">
        <v>8</v>
      </c>
      <c r="E8" s="4">
        <v>2004</v>
      </c>
    </row>
    <row r="9" ht="45" customHeight="1">
      <c r="A9" s="4" t="str">
        <v>AOW01: Accelerating Solutions for Impact</v>
      </c>
      <c r="B9" s="4" t="str">
        <v>IFPRI</v>
      </c>
      <c r="C9" s="4" t="str">
        <v>Madagascar</v>
      </c>
      <c r="D9" s="5">
        <v>1</v>
      </c>
      <c r="E9" s="4">
        <v>2012</v>
      </c>
    </row>
    <row r="10" ht="45" customHeight="1">
      <c r="A10" s="4" t="str">
        <v>AOW01: Accelerating Solutions for Impact</v>
      </c>
      <c r="B10" s="4" t="str">
        <v>IFPRI</v>
      </c>
      <c r="C10" s="4" t="str">
        <v>Malawi</v>
      </c>
      <c r="D10" s="5">
        <v>1</v>
      </c>
      <c r="E10" s="4">
        <v>2013</v>
      </c>
    </row>
    <row r="11" ht="45" customHeight="1">
      <c r="A11" s="4" t="str">
        <v>AOW01: Accelerating Solutions for Impact</v>
      </c>
      <c r="B11" s="4" t="str">
        <v>IFPRI</v>
      </c>
      <c r="C11" s="4" t="str">
        <v>Nigeria</v>
      </c>
      <c r="D11" s="5">
        <v>28</v>
      </c>
      <c r="E11" s="4">
        <v>2001</v>
      </c>
    </row>
    <row r="12" ht="45" customHeight="1">
      <c r="A12" s="4" t="str">
        <v>AOW01: Accelerating Solutions for Impact</v>
      </c>
      <c r="B12" s="4" t="str">
        <v>IFPRI</v>
      </c>
      <c r="C12" s="4" t="str">
        <v>Somalia</v>
      </c>
      <c r="D12" s="5">
        <v>7</v>
      </c>
      <c r="E12" s="4">
        <v>2005</v>
      </c>
    </row>
    <row r="13" ht="45" customHeight="1">
      <c r="A13" s="4" t="str">
        <v>AOW01: Accelerating Solutions for Impact</v>
      </c>
      <c r="B13" s="4" t="str">
        <v>IFPRI</v>
      </c>
      <c r="C13" s="4" t="str">
        <v>Tanzania</v>
      </c>
      <c r="D13" s="5">
        <v>4</v>
      </c>
      <c r="E13" s="4">
        <v>2007</v>
      </c>
    </row>
    <row r="14" ht="45" customHeight="1">
      <c r="A14" s="4" t="str">
        <v>AOW01: Accelerating Solutions for Impact</v>
      </c>
      <c r="B14" s="4" t="str">
        <v>IFPRI</v>
      </c>
      <c r="C14" s="4" t="str">
        <v>Uganda</v>
      </c>
      <c r="D14" s="5">
        <v>3</v>
      </c>
      <c r="E14" s="4">
        <v>2009</v>
      </c>
    </row>
    <row r="15" ht="45" customHeight="1">
      <c r="A15" s="4" t="str">
        <v>AOW01: Accelerating Solutions for Impact</v>
      </c>
      <c r="B15" s="4" t="str">
        <v>IFPRI</v>
      </c>
      <c r="C15" s="4" t="str">
        <v>United States of America</v>
      </c>
      <c r="D15" s="5">
        <v>7</v>
      </c>
      <c r="E15" s="4">
        <v>2006</v>
      </c>
    </row>
    <row r="16" ht="45" customHeight="1">
      <c r="A16" s="8" t="str">
        <v>AOW02: Accelerating Change Through Evidence</v>
      </c>
      <c r="B16" s="4" t="str">
        <v>IFPRI</v>
      </c>
      <c r="C16" s="4" t="str">
        <v>Kenya</v>
      </c>
      <c r="D16" s="5">
        <v>16</v>
      </c>
      <c r="E16" s="4">
        <v>1999</v>
      </c>
    </row>
    <row r="17" ht="45" customHeight="1">
      <c r="A17" s="4" t="str">
        <v>AOW02: Accelerating Change Through Evidence</v>
      </c>
      <c r="B17" s="4" t="str">
        <v>IFPRI</v>
      </c>
      <c r="C17" s="4" t="str">
        <v>Nigeria</v>
      </c>
      <c r="D17" s="5">
        <v>23</v>
      </c>
      <c r="E17" s="4">
        <v>1998</v>
      </c>
    </row>
    <row r="18" ht="45" customHeight="1">
      <c r="A18" s="4" t="str">
        <v>AOW02: Accelerating Change Through Evidence</v>
      </c>
      <c r="B18" s="4" t="str">
        <v>IFPRI</v>
      </c>
      <c r="C18" s="4" t="str">
        <v>Tanzania</v>
      </c>
      <c r="D18" s="5">
        <v>4</v>
      </c>
      <c r="E18" s="4">
        <v>2000</v>
      </c>
    </row>
    <row r="19" ht="45" customHeight="1">
      <c r="A19" s="4" t="str">
        <v>AOW02: Accelerating Change Through Evidence</v>
      </c>
      <c r="B19" s="4" t="str">
        <v>IFPRI</v>
      </c>
      <c r="C19" s="4" t="str">
        <v>United States of America</v>
      </c>
      <c r="D19" s="5">
        <v>57</v>
      </c>
      <c r="E19" s="4">
        <v>1997</v>
      </c>
    </row>
  </sheetData>
  <mergeCells count="3">
    <mergeCell ref="A2"/>
    <mergeCell ref="A3:A15"/>
    <mergeCell ref="A16:A19"/>
  </mergeCells>
  <ignoredErrors>
    <ignoredError numberStoredAsText="1" sqref="A1:E19"/>
  </ignoredErrors>
</worksheet>
</file>

<file path=xl/worksheets/sheet9.xml><?xml version="1.0" encoding="utf-8"?>
<worksheet xmlns="http://schemas.openxmlformats.org/spreadsheetml/2006/main" xmlns:r="http://schemas.openxmlformats.org/officeDocument/2006/relationships">
  <dimension ref="A1:F4"/>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IFPRI</v>
      </c>
      <c r="C2" s="4" t="str">
        <v>Global</v>
      </c>
      <c r="D2" s="4" t="str">
        <v>global</v>
      </c>
      <c r="E2" s="5">
        <v>100</v>
      </c>
      <c r="F2" s="4">
        <v>911</v>
      </c>
    </row>
    <row r="3" ht="45" customHeight="1">
      <c r="A3" s="8" t="str">
        <v>AOW01: Accelerating Solutions for Impact</v>
      </c>
      <c r="B3" s="4" t="str">
        <v>IFPRI</v>
      </c>
      <c r="C3" s="4" t="str">
        <v>Global</v>
      </c>
      <c r="D3" s="4" t="str">
        <v>global</v>
      </c>
      <c r="E3" s="5">
        <v>100</v>
      </c>
      <c r="F3" s="4">
        <v>696</v>
      </c>
    </row>
    <row r="4" ht="45" customHeight="1">
      <c r="A4" s="8" t="str">
        <v>AOW02: Accelerating Change Through Evidence</v>
      </c>
      <c r="B4" s="4" t="str">
        <v>IFPRI</v>
      </c>
      <c r="C4" s="4" t="str">
        <v>Global</v>
      </c>
      <c r="D4" s="4" t="str">
        <v>global</v>
      </c>
      <c r="E4" s="5">
        <v>100</v>
      </c>
      <c r="F4" s="4">
        <v>695</v>
      </c>
    </row>
  </sheetData>
  <mergeCells count="3">
    <mergeCell ref="A2"/>
    <mergeCell ref="A3"/>
    <mergeCell ref="A4"/>
  </mergeCells>
  <ignoredErrors>
    <ignoredError numberStoredAsText="1" sqref="A1:F4"/>
  </ignoredErrors>
</worksheet>
</file>

<file path=xl/worksheets/sheet10.xml><?xml version="1.0" encoding="utf-8"?>
<worksheet xmlns="http://schemas.openxmlformats.org/spreadsheetml/2006/main" xmlns:r="http://schemas.openxmlformats.org/officeDocument/2006/relationships">
  <dimension ref="A1:E1"/>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sheetData>
  <ignoredErrors>
    <ignoredError numberStoredAsText="1" sqref="A1:E1"/>
  </ignoredErrors>
</worksheet>
</file>

<file path=xl/worksheets/sheet11.xml><?xml version="1.0" encoding="utf-8"?>
<worksheet xmlns="http://schemas.openxmlformats.org/spreadsheetml/2006/main" xmlns:r="http://schemas.openxmlformats.org/officeDocument/2006/relationships">
  <dimension ref="A1:G16"/>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1.1 Pinpoint and act on restrictive norms</v>
      </c>
      <c r="C2" s="4" t="str">
        <v/>
      </c>
      <c r="D2" s="4" t="str">
        <v>Innovation Use</v>
      </c>
      <c r="E2" s="4" t="str">
        <v>Country: Bangladesh, Nigeria, Tanzania, United Republic</v>
      </c>
      <c r="F2" s="5">
        <v>0</v>
      </c>
      <c r="G2" s="4">
        <v>666</v>
      </c>
    </row>
    <row r="3" ht="60" customHeight="1">
      <c r="A3" s="4" t="str">
        <v>AOW00: Cross Cutting</v>
      </c>
      <c r="B3" s="4" t="str">
        <v>1. Use of metrics and analytics for monitoring progress in addressing structural barriers to gender equality and social inclusion</v>
      </c>
      <c r="C3" s="4" t="str">
        <v/>
      </c>
      <c r="D3" s="4" t="str">
        <v>Innovation Use</v>
      </c>
      <c r="E3" s="4" t="str">
        <v>Country: Bangladesh, Burkina Faso, Chad, China, Colombia, Egypt, Ethiopia, Gambia, Honduras, India, Jordan, Kenya, Lebanon, Malawi, Mali, Morocco, Mozambique, Niger, Nigeria, Papua New Guinea, South Africa, Tanzania, United Republic, Tunisia, Zimbabwe</v>
      </c>
      <c r="F3" s="5">
        <v>0</v>
      </c>
      <c r="G3" s="4">
        <v>667</v>
      </c>
    </row>
    <row r="4" ht="60" customHeight="1">
      <c r="A4" s="4" t="str">
        <v>AOW00: Cross Cutting</v>
      </c>
      <c r="B4" s="4" t="str">
        <v>1.2 Evidence-based support for women and youth empowerment</v>
      </c>
      <c r="C4" s="4" t="str">
        <v/>
      </c>
      <c r="D4" s="4" t="str">
        <v>Innovation Use</v>
      </c>
      <c r="E4" s="4" t="str">
        <v>Country: India</v>
      </c>
      <c r="F4" s="5">
        <v>5</v>
      </c>
      <c r="G4" s="4">
        <v>668</v>
      </c>
    </row>
    <row r="5" ht="60" customHeight="1">
      <c r="A5" s="4" t="str">
        <v>AOW00: Cross Cutting</v>
      </c>
      <c r="B5" s="4" t="str">
        <v>1.2 Evidence-based support for women and youth empowerment</v>
      </c>
      <c r="C5" s="4" t="str">
        <v/>
      </c>
      <c r="D5" s="4" t="str">
        <v>Innovation Use</v>
      </c>
      <c r="E5" s="4" t="str">
        <v>Country: Kenya</v>
      </c>
      <c r="F5" s="5">
        <v>5</v>
      </c>
      <c r="G5" s="4">
        <v>668</v>
      </c>
    </row>
    <row r="6" ht="60" customHeight="1">
      <c r="A6" s="4" t="str">
        <v>AOW00: Cross Cutting</v>
      </c>
      <c r="B6" s="4" t="str">
        <v>1.2 Evidence-based support for women and youth empowerment</v>
      </c>
      <c r="C6" s="4" t="str">
        <v/>
      </c>
      <c r="D6" s="4" t="str">
        <v>Innovation Use</v>
      </c>
      <c r="E6" s="4" t="str">
        <v>Country: Ethiopia</v>
      </c>
      <c r="F6" s="5">
        <v>5</v>
      </c>
      <c r="G6" s="4">
        <v>668</v>
      </c>
    </row>
    <row r="7" ht="60" customHeight="1">
      <c r="A7" s="4" t="str">
        <v>AOW00: Cross Cutting</v>
      </c>
      <c r="B7" s="4" t="str">
        <v>1.2 Evidence-based support for women and youth empowerment</v>
      </c>
      <c r="C7" s="4" t="str">
        <v/>
      </c>
      <c r="D7" s="4" t="str">
        <v>Number of Policy (Policy Change)</v>
      </c>
      <c r="E7" s="4" t="str">
        <v>Country: Ethiopia, India, Kenya</v>
      </c>
      <c r="F7" s="5">
        <v>0</v>
      </c>
      <c r="G7" s="4">
        <v>668</v>
      </c>
    </row>
    <row r="8" ht="60" customHeight="1">
      <c r="A8" s="4" t="str">
        <v>AOW00: Cross Cutting</v>
      </c>
      <c r="B8" s="4" t="str">
        <v xml:space="preserve">1.3 Evidence-based promotion of women's access to resources and social protection </v>
      </c>
      <c r="C8" s="4" t="str">
        <v/>
      </c>
      <c r="D8" s="4" t="str">
        <v>Innovation Use</v>
      </c>
      <c r="E8" s="4" t="str">
        <v>Country: Bangladesh, Egypt, Jordan, Kenya, Mali, Mozambique, Papua New Guinea, Zimbabwe</v>
      </c>
      <c r="F8" s="5">
        <v>0</v>
      </c>
      <c r="G8" s="4">
        <v>669</v>
      </c>
    </row>
    <row r="9" ht="60" customHeight="1">
      <c r="A9" s="4" t="str">
        <v>AOW00: Cross Cutting</v>
      </c>
      <c r="B9" s="4" t="str">
        <v>1.4 Amplify the voices of women, youth and socially excluded groups</v>
      </c>
      <c r="C9" s="4" t="str">
        <v/>
      </c>
      <c r="D9" s="4" t="str">
        <v>Innovation Use</v>
      </c>
      <c r="E9" s="4" t="str">
        <v>Country: Bangladesh, Burkina Faso, Chad, China, Colombia, Gambia, Honduras, India, Lebanon, Malawi, Mali, Morocco, Niger, Nigeria, South Africa, Tunisia</v>
      </c>
      <c r="F9" s="5">
        <v>0</v>
      </c>
      <c r="G9" s="4">
        <v>670</v>
      </c>
    </row>
    <row r="10" ht="60" customHeight="1">
      <c r="A10" s="4" t="str">
        <v>AOW00: Cross Cutting</v>
      </c>
      <c r="B10" s="4" t="str">
        <v>3.1: Evidence-based scaling of youth-responsive solutions</v>
      </c>
      <c r="C10" s="4" t="str">
        <v/>
      </c>
      <c r="D10" s="4" t="str">
        <v>Innovation Use</v>
      </c>
      <c r="E10" s="4" t="str">
        <v>Global</v>
      </c>
      <c r="F10" s="5">
        <v>1</v>
      </c>
      <c r="G10" s="4">
        <v>671</v>
      </c>
    </row>
    <row r="11" ht="60" customHeight="1">
      <c r="A11" s="4" t="str">
        <v>AOW00: Cross Cutting</v>
      </c>
      <c r="B11" s="4" t="str">
        <v>2.1 Use of methodologies and metrics rigorous and ethical research, monitoring practices and measuring empowerment and inclusion</v>
      </c>
      <c r="C11" s="4" t="str">
        <v/>
      </c>
      <c r="D11" s="4" t="str">
        <v>Innovation Use</v>
      </c>
      <c r="E11" s="4" t="str">
        <v>Global</v>
      </c>
      <c r="F11" s="5">
        <v>0</v>
      </c>
      <c r="G11" s="4">
        <v>672</v>
      </c>
    </row>
    <row r="12" ht="60" customHeight="1">
      <c r="A12" s="4" t="str">
        <v>AOW00: Cross Cutting</v>
      </c>
      <c r="B12" s="4" t="str">
        <v>2.2 Evidence-based decision, priority and target setting and investment</v>
      </c>
      <c r="C12" s="4" t="str">
        <v/>
      </c>
      <c r="D12" s="4" t="str">
        <v xml:space="preserve"> Number of partnering organisations that make evidence-based decisions, priority -setting, targeting and investments based on CGIAR and partners' GESI in FLWS research</v>
      </c>
      <c r="E12" s="4" t="str">
        <v>Global</v>
      </c>
      <c r="F12" s="5">
        <v>0</v>
      </c>
      <c r="G12" s="4">
        <v>673</v>
      </c>
    </row>
    <row r="13" ht="60" customHeight="1">
      <c r="A13" s="4" t="str">
        <v>AOW00: Cross Cutting</v>
      </c>
      <c r="B13" s="4" t="str">
        <v>2.3 Institutional change towards a truly inclusive environment that prioritizes the right gender, youth and social inclusion research</v>
      </c>
      <c r="C13" s="4" t="str">
        <v/>
      </c>
      <c r="D13" s="4" t="str">
        <v/>
      </c>
      <c r="E13" s="4" t="str">
        <v/>
      </c>
      <c r="F13" s="5">
        <v>0</v>
      </c>
      <c r="G13" s="4">
        <v>674</v>
      </c>
    </row>
    <row r="14" ht="60" customHeight="1">
      <c r="A14" s="4" t="str">
        <v>AOW00: Cross Cutting</v>
      </c>
      <c r="B14" s="4" t="str">
        <v xml:space="preserve">2. Dissemination, replication and scaling of gender responsive transformative and socially inclusive innovations </v>
      </c>
      <c r="C14" s="4" t="str">
        <v/>
      </c>
      <c r="D14" s="4" t="str">
        <v>Innovation Use</v>
      </c>
      <c r="E14" s="4" t="str">
        <v>Global</v>
      </c>
      <c r="F14" s="5">
        <v>0</v>
      </c>
      <c r="G14" s="4">
        <v>675</v>
      </c>
    </row>
    <row r="15" ht="60" customHeight="1">
      <c r="A15" s="4" t="str">
        <v>AOW00: Cross Cutting</v>
      </c>
      <c r="B15" s="4" t="str">
        <v>3. Use of evidence and innovations to address structural barriers to gender equality and social inclusion</v>
      </c>
      <c r="C15" s="4" t="str">
        <v/>
      </c>
      <c r="D15" s="4" t="str">
        <v>Innovation Use</v>
      </c>
      <c r="E15" s="4" t="str">
        <v>Global</v>
      </c>
      <c r="F15" s="5">
        <v>0</v>
      </c>
      <c r="G15" s="4">
        <v>676</v>
      </c>
    </row>
    <row r="16" ht="60" customHeight="1">
      <c r="A16" s="4" t="str">
        <v>AOW00: Cross Cutting</v>
      </c>
      <c r="B16" s="4" t="str">
        <v>4. Women, youth and socially excluded groups equitably benefit from innovations</v>
      </c>
      <c r="C16" s="4" t="str">
        <v/>
      </c>
      <c r="D16" s="4" t="str">
        <v>Innovation Use</v>
      </c>
      <c r="E16" s="4" t="str">
        <v>Global</v>
      </c>
      <c r="F16" s="5">
        <v>0</v>
      </c>
      <c r="G16" s="4">
        <v>677</v>
      </c>
    </row>
  </sheetData>
  <mergeCells count="3">
    <mergeCell ref="B4:B7"/>
    <mergeCell ref="C4:C7"/>
    <mergeCell ref="A2:A16"/>
  </mergeCells>
  <ignoredErrors>
    <ignoredError numberStoredAsText="1" sqref="A1:G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