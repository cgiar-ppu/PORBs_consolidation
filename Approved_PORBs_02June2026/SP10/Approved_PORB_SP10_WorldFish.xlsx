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0</v>
      </c>
      <c r="C5" s="5">
        <v>0</v>
      </c>
      <c r="D5" s="5">
        <v>2</v>
      </c>
      <c r="E5" s="5">
        <v>187500</v>
      </c>
      <c r="F5" s="5">
        <v>0</v>
      </c>
      <c r="G5" s="5">
        <v>0</v>
      </c>
      <c r="H5" s="5">
        <v>0</v>
      </c>
      <c r="I5" s="5">
        <v>0</v>
      </c>
      <c r="J5" s="5">
        <v>187500</v>
      </c>
      <c r="K5" s="5">
        <v>187500</v>
      </c>
      <c r="L5" s="5">
        <v>30000</v>
      </c>
      <c r="M5" s="5">
        <v>0</v>
      </c>
      <c r="N5" s="4">
        <v>209</v>
      </c>
    </row>
    <row r="6" ht="20" customHeight="1">
      <c r="A6" s="4" t="str">
        <v>AOW02: Accelerating Change Through Evidence</v>
      </c>
      <c r="B6" s="5">
        <v>0</v>
      </c>
      <c r="C6" s="5">
        <v>0</v>
      </c>
      <c r="D6" s="5">
        <v>2</v>
      </c>
      <c r="E6" s="5">
        <v>30000</v>
      </c>
      <c r="F6" s="5">
        <v>60</v>
      </c>
      <c r="G6" s="5">
        <v>82500</v>
      </c>
      <c r="H6" s="5">
        <v>0</v>
      </c>
      <c r="I6" s="5">
        <v>0</v>
      </c>
      <c r="J6" s="5">
        <v>112500</v>
      </c>
      <c r="K6" s="5">
        <v>112500</v>
      </c>
      <c r="L6" s="5">
        <v>0</v>
      </c>
      <c r="M6" s="5">
        <v>0</v>
      </c>
      <c r="N6" s="4">
        <v>208</v>
      </c>
    </row>
    <row r="7" ht="20" customHeight="1">
      <c r="A7" s="4" t="str">
        <v>AOW03: Youth Thrive</v>
      </c>
      <c r="B7" s="5">
        <v>0</v>
      </c>
      <c r="C7" s="5">
        <v>0</v>
      </c>
      <c r="D7" s="5">
        <v>3</v>
      </c>
      <c r="E7" s="5">
        <v>110000</v>
      </c>
      <c r="F7" s="5">
        <v>0</v>
      </c>
      <c r="G7" s="5">
        <v>0</v>
      </c>
      <c r="H7" s="5">
        <v>0</v>
      </c>
      <c r="I7" s="5">
        <v>0</v>
      </c>
      <c r="J7" s="5">
        <v>110000</v>
      </c>
      <c r="K7" s="5">
        <v>110000</v>
      </c>
      <c r="L7" s="5">
        <v>0</v>
      </c>
      <c r="M7" s="5">
        <v>0</v>
      </c>
      <c r="N7" s="4">
        <v>207</v>
      </c>
    </row>
    <row r="8" ht="25" customHeight="1">
      <c r="A8" s="6" t="str">
        <v>Total</v>
      </c>
      <c r="B8" s="7" t="str">
        <v/>
      </c>
      <c r="C8" s="7">
        <v>0</v>
      </c>
      <c r="D8" s="7" t="str">
        <v/>
      </c>
      <c r="E8" s="7">
        <v>327500</v>
      </c>
      <c r="F8" s="7" t="str">
        <v/>
      </c>
      <c r="G8" s="7">
        <v>82500</v>
      </c>
      <c r="H8" s="7" t="str">
        <v/>
      </c>
      <c r="I8" s="7">
        <v>0</v>
      </c>
      <c r="J8" s="7">
        <v>410000</v>
      </c>
      <c r="K8" s="7">
        <v>410000</v>
      </c>
      <c r="L8" s="7">
        <v>30000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Accelerating Solutions for Impact</v>
      </c>
      <c r="B3" s="4" t="str">
        <v>WorldFish</v>
      </c>
      <c r="C3" s="4" t="str">
        <v xml:space="preserve">1.3.2: Financial and extension systems for resources and livelihoods </v>
      </c>
      <c r="D3" s="4" t="str">
        <v>Journal article and blog on the status of financial inclusion in women in fisheries and aquaculture sector in Tanzania research project</v>
      </c>
      <c r="E3" s="4" t="str">
        <v>Number of knowledge products</v>
      </c>
      <c r="F3" s="4" t="str">
        <v>Tanzania, United Republic</v>
      </c>
      <c r="G3" s="5">
        <v>2</v>
      </c>
      <c r="H3" s="5">
        <v>187500</v>
      </c>
      <c r="I3" s="4" t="str">
        <v>covers cots for research and write a journal article and a blog on financial inclusion for women in Tanzania's fisheries and aquaculture sector, plusfor data collection, stakeholder interviews, and publication or open-access fees.</v>
      </c>
      <c r="J3" s="4">
        <v>6132</v>
      </c>
    </row>
    <row r="4" ht="25" customHeight="1">
      <c r="C4" s="9" t="str">
        <v>HLO budget subtotal</v>
      </c>
      <c r="H4" s="9">
        <v>187500</v>
      </c>
      <c r="J4" s="9" t="str">
        <v/>
      </c>
    </row>
    <row r="5" ht="50" customHeight="1">
      <c r="A5" s="8" t="str">
        <v>AOW02: Accelerating Change Through Evidence</v>
      </c>
      <c r="B5" s="4" t="str">
        <v>WorldFish</v>
      </c>
      <c r="C5" s="4" t="str">
        <v>2.1.3: Tools for measuring empowerment and inclusion</v>
      </c>
      <c r="D5" s="4" t="str">
        <v>Capacity building on the use of WEFI quantitative and qualitative instruments</v>
      </c>
      <c r="E5" s="4" t="str">
        <v>Number of people trained (capacity sharing for development)</v>
      </c>
      <c r="F5" s="4" t="str">
        <v>Kenya</v>
      </c>
      <c r="G5" s="5">
        <v>60</v>
      </c>
      <c r="H5" s="5">
        <v>82500</v>
      </c>
      <c r="I5" s="4" t="str">
        <v>Costs to cover 60pax for a training</v>
      </c>
      <c r="J5" s="4">
        <v>6175</v>
      </c>
    </row>
    <row r="6" ht="50" customHeight="1">
      <c r="B6" s="4" t="str">
        <v>WorldFish</v>
      </c>
      <c r="D6" s="4" t="str">
        <v>Knowledge products related to WEFI applications in the inland water systems, aquaculture and in the marine ecosystems</v>
      </c>
      <c r="E6" s="4" t="str">
        <v>Number of knowledge products</v>
      </c>
      <c r="F6" s="4" t="str">
        <v>Kenya</v>
      </c>
      <c r="G6" s="5">
        <v>2</v>
      </c>
      <c r="H6" s="5">
        <v>30000</v>
      </c>
      <c r="I6" s="4" t="str">
        <v>Cost to produce a publication</v>
      </c>
      <c r="J6" s="4">
        <v>6176</v>
      </c>
    </row>
    <row r="7" ht="25" customHeight="1">
      <c r="C7" s="9" t="str">
        <v>HLO budget subtotal</v>
      </c>
      <c r="H7" s="9">
        <v>112500</v>
      </c>
      <c r="J7" s="9" t="str">
        <v/>
      </c>
    </row>
    <row r="8" ht="50" customHeight="1">
      <c r="A8" s="8" t="str">
        <v>AOW03: Youth Thrive</v>
      </c>
      <c r="B8" s="4" t="str">
        <v>WorldFish</v>
      </c>
      <c r="C8" s="4" t="str">
        <v>3.1.3: Analysis of constraints and pathways for youth in FLWS</v>
      </c>
      <c r="D8" s="4" t="str">
        <v xml:space="preserve">A paper on gendered aspirations and structural constraints in Africa’s blue economy published from a study on youth in coastal Kenya </v>
      </c>
      <c r="E8" s="4" t="str">
        <v>Number of knowledge products</v>
      </c>
      <c r="F8" s="4" t="str">
        <v>Kenya</v>
      </c>
      <c r="G8" s="5">
        <v>1</v>
      </c>
      <c r="H8" s="5">
        <v>40000</v>
      </c>
      <c r="I8" s="4" t="str">
        <v>covers staff time to analyze study data on youth in coastal Kenya, plus operational budget for data cleaning, literature access, and peer review, and staff time to write and publish the journal paper.</v>
      </c>
      <c r="J8" s="4">
        <v>7593</v>
      </c>
    </row>
    <row r="9" ht="50" customHeight="1">
      <c r="B9" s="4" t="str">
        <v>WorldFish</v>
      </c>
      <c r="D9" s="4" t="str">
        <v>Evidence on youth’s participation in financial inclusion in Tanzania published in a brief</v>
      </c>
      <c r="E9" s="4" t="str">
        <v>Number of knowledge products</v>
      </c>
      <c r="F9" s="4" t="str">
        <v>Tanzania, United Republic</v>
      </c>
      <c r="G9" s="5">
        <v>1</v>
      </c>
      <c r="H9" s="5">
        <v>30000</v>
      </c>
      <c r="I9" s="4" t="str">
        <v>covers staff time to synthesize evidence on youth participation in financial services in Tanzania, plus operational budget for stakeholder validation and graphic design, and staff time to produce and share the published brief.</v>
      </c>
      <c r="J9" s="4">
        <v>7594</v>
      </c>
    </row>
    <row r="10" ht="50" customHeight="1">
      <c r="B10" s="4" t="str">
        <v>WorldFish</v>
      </c>
      <c r="D10" s="4" t="str">
        <v>Evidence on the status of youth engagement and aspirations to engage in agri and aquatic food systems in Tanzania published in a brief</v>
      </c>
      <c r="E10" s="4" t="str">
        <v>Number of knowledge products</v>
      </c>
      <c r="F10" s="4" t="str">
        <v>Tanzania, United Republic</v>
      </c>
      <c r="G10" s="5">
        <v>1</v>
      </c>
      <c r="H10" s="5">
        <v>40000</v>
      </c>
      <c r="I10" s="4" t="str">
        <v>covers staff time to analyze survey or qualitative data on youth aspirations in Tanzania, plus operational budget for fieldwork follow-up and translation, and staff time to write and disseminate the final brief.</v>
      </c>
      <c r="J10" s="4">
        <v>7595</v>
      </c>
    </row>
    <row r="11" ht="25" customHeight="1">
      <c r="C11" s="9" t="str">
        <v>HLO budget subtotal</v>
      </c>
      <c r="H11" s="9">
        <v>110000</v>
      </c>
      <c r="J11" s="9" t="str">
        <v/>
      </c>
    </row>
  </sheetData>
  <mergeCells count="14">
    <mergeCell ref="A1:A2"/>
    <mergeCell ref="B1:B2"/>
    <mergeCell ref="C1:C2"/>
    <mergeCell ref="D1:H1"/>
    <mergeCell ref="I1:I2"/>
    <mergeCell ref="J1:J2"/>
    <mergeCell ref="C4:G4"/>
    <mergeCell ref="A3:A4"/>
    <mergeCell ref="C5:C6"/>
    <mergeCell ref="C7:G7"/>
    <mergeCell ref="A5:A7"/>
    <mergeCell ref="C8:C10"/>
    <mergeCell ref="C11:G11"/>
    <mergeCell ref="A8:A11"/>
  </mergeCells>
  <ignoredErrors>
    <ignoredError numberStoredAsText="1" sqref="A1:J11"/>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University of Dar es Salaam</v>
      </c>
      <c r="C2" s="4" t="str">
        <v>WorldFish</v>
      </c>
      <c r="D2" s="4" t="str">
        <v>Tanzania, United Republic</v>
      </c>
      <c r="E2" s="5">
        <v>30000</v>
      </c>
      <c r="F2" s="4" t="str">
        <v>TBC</v>
      </c>
      <c r="G2" s="4">
        <v>107</v>
      </c>
    </row>
    <row r="3" ht="25" customHeight="1">
      <c r="B3" s="9" t="str">
        <v>Contracted partners subtotal</v>
      </c>
      <c r="E3" s="9">
        <v>30000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WorldFish</v>
      </c>
      <c r="B2" s="4" t="str">
        <v>F-AG10607-ASIA-AFRICA BLUETECH SUPERHIGHWAY PROJECT (COAST)</v>
      </c>
      <c r="C2" s="4" t="str">
        <v>1.1 Pinpoint and act on restrictive norms</v>
      </c>
      <c r="D2" s="5">
        <v>824739</v>
      </c>
      <c r="E2" s="4" t="str">
        <v>N/A</v>
      </c>
      <c r="F2" s="4">
        <v>1178</v>
      </c>
    </row>
    <row r="3" ht="60" customHeight="1">
      <c r="A3" s="4" t="str">
        <v>WorldFish</v>
      </c>
      <c r="B3" s="4" t="str">
        <v>F-PP-2022-1020-Climate-Resilient Aquaculture Systems for Afr (AG10618)</v>
      </c>
      <c r="C3" s="4" t="str">
        <v>1.2 Evidence-based support for women and youth empowerment</v>
      </c>
      <c r="D3" s="5">
        <v>139737</v>
      </c>
      <c r="E3" s="4" t="str">
        <v>N/A</v>
      </c>
      <c r="F3" s="4">
        <v>1185</v>
      </c>
    </row>
    <row r="4" ht="25" customHeight="1">
      <c r="B4" s="9" t="str">
        <v>W3/Bilateral budget subtotal</v>
      </c>
      <c r="D4" s="9">
        <v>964476</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70993</v>
      </c>
      <c r="D2" s="5">
        <v>65534</v>
      </c>
      <c r="E2" s="5">
        <v>106506</v>
      </c>
      <c r="F2" s="5">
        <f>=SUM(B2:E2)</f>
        <v>0</v>
      </c>
    </row>
    <row r="3" ht="20" customHeight="1">
      <c r="A3" s="4" t="str">
        <v>Operations (supplies, consultants, travels, workshops, other)</v>
      </c>
      <c r="B3" s="5">
        <v>0</v>
      </c>
      <c r="C3" s="5">
        <v>86507</v>
      </c>
      <c r="D3" s="5">
        <v>46966</v>
      </c>
      <c r="E3" s="5">
        <v>3494</v>
      </c>
      <c r="F3" s="5">
        <f>=SUM(B3:E3)</f>
        <v>0</v>
      </c>
    </row>
    <row r="4" ht="20" customHeight="1">
      <c r="A4" s="4" t="str">
        <v>Collaborators non-CGIAR centers</v>
      </c>
      <c r="B4" s="5">
        <v>0</v>
      </c>
      <c r="C4" s="5">
        <v>30000</v>
      </c>
      <c r="D4" s="5">
        <v>0</v>
      </c>
      <c r="E4" s="5">
        <v>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WorldFish</v>
      </c>
      <c r="C2" s="4" t="str">
        <v>Tanzania</v>
      </c>
      <c r="D2" s="5">
        <v>100</v>
      </c>
      <c r="E2" s="4">
        <v>932</v>
      </c>
    </row>
    <row r="3" ht="45" customHeight="1">
      <c r="A3" s="8" t="str">
        <v>AOW02: Accelerating Change Through Evidence</v>
      </c>
      <c r="B3" s="4" t="str">
        <v>WorldFish</v>
      </c>
      <c r="C3" s="4" t="str">
        <v>Kenya</v>
      </c>
      <c r="D3" s="5">
        <v>100</v>
      </c>
      <c r="E3" s="4">
        <v>347</v>
      </c>
    </row>
    <row r="4" ht="45" customHeight="1">
      <c r="A4" s="8" t="str">
        <v>AOW03: Youth Thrive</v>
      </c>
      <c r="B4" s="4" t="str">
        <v>WorldFish</v>
      </c>
      <c r="C4" s="4" t="str">
        <v>Kenya</v>
      </c>
      <c r="D4" s="5">
        <v>36</v>
      </c>
      <c r="E4" s="4">
        <v>346</v>
      </c>
    </row>
    <row r="5" ht="45" customHeight="1">
      <c r="A5" s="4" t="str">
        <v>AOW03: Youth Thrive</v>
      </c>
      <c r="B5" s="4" t="str">
        <v>WorldFish</v>
      </c>
      <c r="C5" s="4" t="str">
        <v>Tanzania</v>
      </c>
      <c r="D5" s="5">
        <v>64</v>
      </c>
      <c r="E5" s="4">
        <v>345</v>
      </c>
    </row>
  </sheetData>
  <mergeCells count="3">
    <mergeCell ref="A2"/>
    <mergeCell ref="A3"/>
    <mergeCell ref="A4:A5"/>
  </mergeCells>
  <ignoredErrors>
    <ignoredError numberStoredAsText="1" sqref="A1:E5"/>
  </ignoredErrors>
</worksheet>
</file>

<file path=xl/worksheets/sheet9.xml><?xml version="1.0" encoding="utf-8"?>
<worksheet xmlns="http://schemas.openxmlformats.org/spreadsheetml/2006/main" xmlns:r="http://schemas.openxmlformats.org/officeDocument/2006/relationships">
  <dimension ref="A1:F5"/>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WorldFish</v>
      </c>
      <c r="C2" s="4" t="str">
        <v>Tanzania, United Republic</v>
      </c>
      <c r="D2" s="4" t="str">
        <v>country</v>
      </c>
      <c r="E2" s="5">
        <v>100</v>
      </c>
      <c r="F2" s="4">
        <v>260</v>
      </c>
    </row>
    <row r="3" ht="45" customHeight="1">
      <c r="A3" s="8" t="str">
        <v>AOW02: Accelerating Change Through Evidence</v>
      </c>
      <c r="B3" s="4" t="str">
        <v>WorldFish</v>
      </c>
      <c r="C3" s="4" t="str">
        <v>Kenya</v>
      </c>
      <c r="D3" s="4" t="str">
        <v>country</v>
      </c>
      <c r="E3" s="5">
        <v>100</v>
      </c>
      <c r="F3" s="4">
        <v>1694</v>
      </c>
    </row>
    <row r="4" ht="45" customHeight="1">
      <c r="A4" s="8" t="str">
        <v>AOW03: Youth Thrive</v>
      </c>
      <c r="B4" s="4" t="str">
        <v>WorldFish</v>
      </c>
      <c r="C4" s="4" t="str">
        <v>Kenya</v>
      </c>
      <c r="D4" s="4" t="str">
        <v>country</v>
      </c>
      <c r="E4" s="5">
        <v>50</v>
      </c>
      <c r="F4" s="4">
        <v>1695</v>
      </c>
    </row>
    <row r="5" ht="45" customHeight="1">
      <c r="A5" s="4" t="str">
        <v>AOW03: Youth Thrive</v>
      </c>
      <c r="B5" s="4" t="str">
        <v>WorldFish</v>
      </c>
      <c r="C5" s="4" t="str">
        <v>Tanzania, United Republic</v>
      </c>
      <c r="D5" s="4" t="str">
        <v>country</v>
      </c>
      <c r="E5" s="5">
        <v>50</v>
      </c>
      <c r="F5" s="4">
        <v>1696</v>
      </c>
    </row>
  </sheetData>
  <mergeCells count="3">
    <mergeCell ref="A2"/>
    <mergeCell ref="A3"/>
    <mergeCell ref="A4:A5"/>
  </mergeCells>
  <ignoredErrors>
    <ignoredError numberStoredAsText="1" sqref="A1:F5"/>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