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530441</v>
      </c>
      <c r="K4" s="5">
        <v>530441</v>
      </c>
      <c r="L4" s="5">
        <v>0</v>
      </c>
      <c r="M4" s="5">
        <v>0</v>
      </c>
      <c r="N4" s="4">
        <v>195</v>
      </c>
    </row>
    <row r="5" ht="20" customHeight="1">
      <c r="A5" s="4" t="str">
        <v xml:space="preserve">AOW01: Prioritization and Coordination of Climate Action </v>
      </c>
      <c r="B5" s="5">
        <v>0</v>
      </c>
      <c r="C5" s="5">
        <v>0</v>
      </c>
      <c r="D5" s="5">
        <v>0</v>
      </c>
      <c r="E5" s="5">
        <v>0</v>
      </c>
      <c r="F5" s="5">
        <v>0</v>
      </c>
      <c r="G5" s="5">
        <v>0</v>
      </c>
      <c r="H5" s="5">
        <v>0</v>
      </c>
      <c r="I5" s="5">
        <v>0</v>
      </c>
      <c r="J5" s="5">
        <v>0</v>
      </c>
      <c r="K5" s="5">
        <v>0</v>
      </c>
      <c r="L5" s="5">
        <v>0</v>
      </c>
      <c r="M5" s="5">
        <v>0</v>
      </c>
      <c r="N5" s="4">
        <v>193</v>
      </c>
    </row>
    <row r="6" ht="20" customHeight="1">
      <c r="A6" s="4" t="str">
        <v xml:space="preserve">AOW02: Digital Advisories and Climate Risk Management  </v>
      </c>
      <c r="B6" s="5">
        <v>0</v>
      </c>
      <c r="C6" s="5">
        <v>0</v>
      </c>
      <c r="D6" s="5">
        <v>0</v>
      </c>
      <c r="E6" s="5">
        <v>0</v>
      </c>
      <c r="F6" s="5">
        <v>0</v>
      </c>
      <c r="G6" s="5">
        <v>0</v>
      </c>
      <c r="H6" s="5">
        <v>0</v>
      </c>
      <c r="I6" s="5">
        <v>0</v>
      </c>
      <c r="J6" s="5">
        <v>0</v>
      </c>
      <c r="K6" s="5">
        <v>0</v>
      </c>
      <c r="L6" s="5">
        <v>0</v>
      </c>
      <c r="M6" s="5">
        <v>0</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0</v>
      </c>
      <c r="C8" s="5">
        <v>0</v>
      </c>
      <c r="D8" s="5">
        <v>0</v>
      </c>
      <c r="E8" s="5">
        <v>0</v>
      </c>
      <c r="F8" s="5">
        <v>0</v>
      </c>
      <c r="G8" s="5">
        <v>0</v>
      </c>
      <c r="H8" s="5">
        <v>0</v>
      </c>
      <c r="I8" s="5">
        <v>0</v>
      </c>
      <c r="J8" s="5">
        <v>0</v>
      </c>
      <c r="K8" s="5">
        <v>0</v>
      </c>
      <c r="L8" s="5">
        <v>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0</v>
      </c>
      <c r="D10" s="7" t="str">
        <v/>
      </c>
      <c r="E10" s="7">
        <v>0</v>
      </c>
      <c r="F10" s="7" t="str">
        <v/>
      </c>
      <c r="G10" s="7">
        <v>0</v>
      </c>
      <c r="H10" s="7" t="str">
        <v/>
      </c>
      <c r="I10" s="7">
        <v>0</v>
      </c>
      <c r="J10" s="7">
        <v>530441</v>
      </c>
      <c r="K10" s="7">
        <v>530441</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SO</v>
      </c>
      <c r="C2" s="4" t="str">
        <v>PMU, CGIAR Program Finance Support and associated Allocation</v>
      </c>
      <c r="D2" s="5">
        <v>20441</v>
      </c>
      <c r="E2" s="4" t="str">
        <v>USD 20,441 allocation for Finance Focal Point (compulsory allocation to SO for April-December).</v>
      </c>
      <c r="F2" s="4">
        <v>187</v>
      </c>
      <c r="G2" s="4">
        <v>2</v>
      </c>
    </row>
    <row r="3" ht="45" customHeight="1">
      <c r="A3" s="4" t="str">
        <v>AOW00: Cross Cutting</v>
      </c>
      <c r="B3" s="4" t="str">
        <v>SO</v>
      </c>
      <c r="C3" s="4" t="str">
        <v>Program Director and Associated Allocation</v>
      </c>
      <c r="D3" s="5">
        <v>510000</v>
      </c>
      <c r="E3" s="4" t="str">
        <v>.</v>
      </c>
      <c r="F3" s="4">
        <v>203</v>
      </c>
      <c r="G3" s="4">
        <v>1</v>
      </c>
    </row>
    <row r="4" ht="25" customHeight="1">
      <c r="C4" s="9" t="str">
        <v>Cross-cutting budget subtotal</v>
      </c>
      <c r="D4" s="9">
        <v>530441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449853</v>
      </c>
      <c r="C2" s="5">
        <v>0</v>
      </c>
      <c r="D2" s="5">
        <v>0</v>
      </c>
      <c r="E2" s="5">
        <v>0</v>
      </c>
      <c r="F2" s="5">
        <v>0</v>
      </c>
      <c r="G2" s="5">
        <v>0</v>
      </c>
      <c r="H2" s="5">
        <f>=SUM(B2:G2)</f>
        <v>0</v>
      </c>
    </row>
    <row r="3" ht="20" customHeight="1">
      <c r="A3" s="4" t="str">
        <v>Operations (supplies, consultants, travels, workshops, other)</v>
      </c>
      <c r="B3" s="5">
        <v>80588</v>
      </c>
      <c r="C3" s="5">
        <v>0</v>
      </c>
      <c r="D3" s="5">
        <v>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Colombia</v>
      </c>
      <c r="D2" s="5">
        <v>5</v>
      </c>
      <c r="E2" s="4">
        <v>3173</v>
      </c>
    </row>
    <row r="3" ht="45" customHeight="1">
      <c r="A3" s="4" t="str">
        <v>AOW00: Cross Cutting</v>
      </c>
      <c r="B3" s="4" t="str">
        <v>SO</v>
      </c>
      <c r="C3" s="4" t="str">
        <v>Kenya</v>
      </c>
      <c r="D3" s="5">
        <v>95</v>
      </c>
      <c r="E3" s="4">
        <v>2916</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1078</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