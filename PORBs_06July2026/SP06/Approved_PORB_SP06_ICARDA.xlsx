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6940</v>
      </c>
      <c r="K4" s="5">
        <v>6940</v>
      </c>
      <c r="L4" s="5">
        <v>0</v>
      </c>
      <c r="M4" s="5">
        <v>0</v>
      </c>
      <c r="N4" s="4">
        <v>195</v>
      </c>
    </row>
    <row r="5" ht="20" customHeight="1">
      <c r="A5" s="4" t="str">
        <v xml:space="preserve">AOW01: Prioritization and Coordination of Climate Action </v>
      </c>
      <c r="B5" s="5">
        <v>0</v>
      </c>
      <c r="C5" s="5">
        <v>0</v>
      </c>
      <c r="D5" s="5">
        <v>0</v>
      </c>
      <c r="E5" s="5">
        <v>0</v>
      </c>
      <c r="F5" s="5">
        <v>0</v>
      </c>
      <c r="G5" s="5">
        <v>0</v>
      </c>
      <c r="H5" s="5">
        <v>0</v>
      </c>
      <c r="I5" s="5">
        <v>0</v>
      </c>
      <c r="J5" s="5">
        <v>0</v>
      </c>
      <c r="K5" s="5">
        <v>0</v>
      </c>
      <c r="L5" s="5">
        <v>0</v>
      </c>
      <c r="M5" s="5">
        <v>0</v>
      </c>
      <c r="N5" s="4">
        <v>193</v>
      </c>
    </row>
    <row r="6" ht="20" customHeight="1">
      <c r="A6" s="4" t="str">
        <v xml:space="preserve">AOW02: Digital Advisories and Climate Risk Management  </v>
      </c>
      <c r="B6" s="5">
        <v>1</v>
      </c>
      <c r="C6" s="5">
        <v>50000</v>
      </c>
      <c r="D6" s="5">
        <v>1</v>
      </c>
      <c r="E6" s="5">
        <v>40000</v>
      </c>
      <c r="F6" s="5">
        <v>0</v>
      </c>
      <c r="G6" s="5">
        <v>0</v>
      </c>
      <c r="H6" s="5">
        <v>5</v>
      </c>
      <c r="I6" s="5">
        <v>30000</v>
      </c>
      <c r="J6" s="5">
        <v>120000</v>
      </c>
      <c r="K6" s="5">
        <v>120000</v>
      </c>
      <c r="L6" s="5">
        <v>24000</v>
      </c>
      <c r="M6" s="5">
        <v>40000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6</v>
      </c>
      <c r="C8" s="5">
        <v>82785</v>
      </c>
      <c r="D8" s="5">
        <v>1</v>
      </c>
      <c r="E8" s="5">
        <v>40000</v>
      </c>
      <c r="F8" s="5">
        <v>0</v>
      </c>
      <c r="G8" s="5">
        <v>0</v>
      </c>
      <c r="H8" s="5">
        <v>0</v>
      </c>
      <c r="I8" s="5">
        <v>0</v>
      </c>
      <c r="J8" s="5">
        <v>122785</v>
      </c>
      <c r="K8" s="5">
        <v>122785</v>
      </c>
      <c r="L8" s="5">
        <v>20000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132785</v>
      </c>
      <c r="D10" s="7" t="str">
        <v/>
      </c>
      <c r="E10" s="7">
        <v>80000</v>
      </c>
      <c r="F10" s="7" t="str">
        <v/>
      </c>
      <c r="G10" s="7">
        <v>0</v>
      </c>
      <c r="H10" s="7" t="str">
        <v/>
      </c>
      <c r="I10" s="7">
        <v>30000</v>
      </c>
      <c r="J10" s="7">
        <v>249725</v>
      </c>
      <c r="K10" s="7">
        <v>249725</v>
      </c>
      <c r="L10" s="7">
        <v>44000</v>
      </c>
      <c r="M10" s="7">
        <v>40000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AOW02: Digital Advisories and Climate Risk Management  </v>
      </c>
      <c r="B3" s="4" t="str">
        <v>ICARDA</v>
      </c>
      <c r="C3" s="4" t="str">
        <v>2.1. Climate information products and services</v>
      </c>
      <c r="D3" s="4" t="str">
        <v>Number of climate service quality reports, user feedback and synthesis on advisory service effectiveness produced</v>
      </c>
      <c r="E3" s="4" t="str">
        <v>Number of knowledge products</v>
      </c>
      <c r="F3" s="4" t="str">
        <v>Sri Lanka, Senegal, The Socialist Republic of Viet Nam, Kenya, Mali, Colombia, India, Zambia, Philippines, Nigeria, Bangladesh</v>
      </c>
      <c r="G3" s="5">
        <v>1</v>
      </c>
      <c r="H3" s="5">
        <v>40000</v>
      </c>
      <c r="I3" s="4" t="str">
        <v>.</v>
      </c>
      <c r="J3" s="4">
        <v>5689</v>
      </c>
    </row>
    <row r="4" ht="50" customHeight="1">
      <c r="B4" s="4" t="str">
        <v>ICARDA</v>
      </c>
      <c r="D4" s="4" t="str">
        <v>Number of localized digital climate advisory services, forecast-based decision tools, and index-based insurance products co-designed with farmers and intermediary service providers</v>
      </c>
      <c r="E4" s="4" t="str">
        <v>Number of innovations (innovation development)</v>
      </c>
      <c r="F4" s="4" t="str">
        <v>Sri Lanka, Ghana, Mali, Ethiopia, India, Bangladesh, Nigeria, Zambia, Philippines, Kenya, The Socialist Republic of Viet Nam</v>
      </c>
      <c r="G4" s="5">
        <v>1</v>
      </c>
      <c r="H4" s="5">
        <v>50000</v>
      </c>
      <c r="I4" s="4" t="str">
        <v>.</v>
      </c>
      <c r="J4" s="4">
        <v>5699</v>
      </c>
    </row>
    <row r="5" ht="50" customHeight="1">
      <c r="A5" s="4" t="str">
        <v xml:space="preserve">AOW02: Digital Advisories and Climate Risk Management  </v>
      </c>
      <c r="B5" s="4" t="str">
        <v>ICARDA</v>
      </c>
      <c r="C5" s="4" t="str">
        <v>2.4. Innovative and inclusive partnerships</v>
      </c>
      <c r="D5" s="4" t="str">
        <v>Number of new and inclusive partnerships established with NMHS, insurance providers, technology platforms, and private sector actors for delivering and scaling integrated climate risk management</v>
      </c>
      <c r="E5" s="4" t="str">
        <v>custom</v>
      </c>
      <c r="F5" s="4" t="str">
        <v>Nigeria, Ethiopia, India, Kenya</v>
      </c>
      <c r="G5" s="5">
        <v>5</v>
      </c>
      <c r="H5" s="5">
        <v>30000</v>
      </c>
      <c r="I5" s="4" t="str">
        <v>.</v>
      </c>
      <c r="J5" s="4">
        <v>5716</v>
      </c>
    </row>
    <row r="6" ht="25" customHeight="1">
      <c r="C6" s="9" t="str">
        <v>HLO budget subtotal</v>
      </c>
      <c r="H6" s="9">
        <v>120000</v>
      </c>
      <c r="J6" s="9" t="str">
        <v/>
      </c>
    </row>
    <row r="7" ht="50" customHeight="1">
      <c r="A7" s="8" t="str">
        <v xml:space="preserve">AOW04: Low-emission Transitions  </v>
      </c>
      <c r="B7" s="4" t="str">
        <v>ICARDA</v>
      </c>
      <c r="C7" s="4" t="str">
        <v>4.4. Tools and approaches for monitoring, reporting and verification (MRV)</v>
      </c>
      <c r="D7" s="4" t="str">
        <v>Number of digital MRV platforms and GHG quantification methodologies developed and applied to support national inventory development and reporting</v>
      </c>
      <c r="E7" s="4" t="str">
        <v>Number of innovations (innovation development)</v>
      </c>
      <c r="F7" s="4" t="str">
        <v>Philippines, The Socialist Republic of Viet Nam, Mexico, Colombia, India, Zambia, Egypt, Nigeria, Kenya</v>
      </c>
      <c r="G7" s="5">
        <v>5</v>
      </c>
      <c r="H7" s="5">
        <v>32785</v>
      </c>
      <c r="I7" s="4" t="str">
        <v>.</v>
      </c>
      <c r="J7" s="4">
        <v>5650</v>
      </c>
    </row>
    <row r="8" ht="50" customHeight="1" xml:space="preserve">
      <c r="A8" s="4" t="str">
        <v xml:space="preserve">AOW04: Low-emission Transitions  </v>
      </c>
      <c r="B8" s="4" t="str">
        <v>ICARDA</v>
      </c>
      <c r="C8" s="4" t="str">
        <v>4.1. Evidence and partnerships to inform low-emission development</v>
      </c>
      <c r="D8" s="4" t="str" xml:space="preserve">
        <v xml:space="preserve">Number of low-emission production strategies and approaches for livestock methane reduction, soil carbon sequestration, and biogas integration co-developed with partners
</v>
      </c>
      <c r="E8" s="4" t="str">
        <v>Number of innovations (innovation development)</v>
      </c>
      <c r="F8" s="4" t="str">
        <v>Kenya, Egypt, India</v>
      </c>
      <c r="G8" s="5">
        <v>1</v>
      </c>
      <c r="H8" s="5">
        <v>50000</v>
      </c>
      <c r="I8" s="4" t="str">
        <v>.</v>
      </c>
      <c r="J8" s="4">
        <v>5793</v>
      </c>
    </row>
    <row r="9" ht="50" customHeight="1">
      <c r="B9" s="4" t="str">
        <v>ICARDA</v>
      </c>
      <c r="D9" s="4" t="str">
        <v>Number of reports on policy readiness, methane reduction analyses, and institutional recommendations for low-emission development strategies  produced</v>
      </c>
      <c r="E9" s="4" t="str">
        <v>Number of knowledge products</v>
      </c>
      <c r="F9" s="4" t="str">
        <v>The Socialist Republic of Viet Nam, Philippines, India, Tanzania, United Republic, Egypt, Colombia, Kenya</v>
      </c>
      <c r="G9" s="5">
        <v>1</v>
      </c>
      <c r="H9" s="5">
        <v>40000</v>
      </c>
      <c r="I9" s="4" t="str">
        <v>.</v>
      </c>
      <c r="J9" s="4">
        <v>7301</v>
      </c>
    </row>
    <row r="10" ht="25" customHeight="1">
      <c r="C10" s="9" t="str">
        <v>HLO budget subtotal</v>
      </c>
      <c r="H10" s="9">
        <v>122785</v>
      </c>
      <c r="J10" s="9" t="str">
        <v/>
      </c>
    </row>
  </sheetData>
  <mergeCells count="12">
    <mergeCell ref="A1:A2"/>
    <mergeCell ref="B1:B2"/>
    <mergeCell ref="C1:C2"/>
    <mergeCell ref="D1:H1"/>
    <mergeCell ref="I1:I2"/>
    <mergeCell ref="J1:J2"/>
    <mergeCell ref="C3:C4"/>
    <mergeCell ref="C6:G6"/>
    <mergeCell ref="A3:A6"/>
    <mergeCell ref="C8:C9"/>
    <mergeCell ref="C10:G10"/>
    <mergeCell ref="A7: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AOW02: Digital Advisories and Climate Risk Management  </v>
      </c>
      <c r="B2" s="4" t="str">
        <v>Government of Madhya Pradesh</v>
      </c>
      <c r="C2" s="4" t="str">
        <v>ICARDA</v>
      </c>
      <c r="D2" s="4" t="str">
        <v>India</v>
      </c>
      <c r="E2" s="5">
        <v>24000</v>
      </c>
      <c r="F2" s="4" t="str">
        <v>.</v>
      </c>
      <c r="G2" s="4">
        <v>341</v>
      </c>
    </row>
    <row r="3" ht="25" customHeight="1">
      <c r="B3" s="9" t="str">
        <v>Contracted partners subtotal</v>
      </c>
      <c r="E3" s="9">
        <v>24000</v>
      </c>
      <c r="F3" s="9" t="str">
        <v/>
      </c>
      <c r="G3" s="9" t="str">
        <v/>
      </c>
    </row>
    <row r="4" ht="50" customHeight="1">
      <c r="A4" s="8" t="str">
        <v xml:space="preserve">AOW04: Low-emission Transitions  </v>
      </c>
      <c r="B4" s="4" t="str">
        <v>SEKEM</v>
      </c>
      <c r="C4" s="4" t="str">
        <v>ICARDA</v>
      </c>
      <c r="D4" s="4" t="str">
        <v>Egypt</v>
      </c>
      <c r="E4" s="5">
        <v>20000</v>
      </c>
      <c r="F4" s="4" t="str">
        <v>.</v>
      </c>
      <c r="G4" s="4">
        <v>343</v>
      </c>
    </row>
    <row r="5" ht="25" customHeight="1">
      <c r="B5" s="9" t="str">
        <v>Contracted partners subtotal</v>
      </c>
      <c r="E5" s="9">
        <v>20000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D-200086-Ultra-Low Energy Drip Irrigation for MENA Countries</v>
      </c>
      <c r="C2" s="4" t="str">
        <v>4.4. Tools and approaches for monitoring, reporting and verification (MRV)</v>
      </c>
      <c r="D2" s="5">
        <v>208346</v>
      </c>
      <c r="E2" s="4" t="str">
        <v>.</v>
      </c>
      <c r="F2" s="4">
        <v>1083</v>
      </c>
    </row>
    <row r="3" ht="25" customHeight="1">
      <c r="B3" s="9" t="str">
        <v>W3/Bilateral budget subtotal</v>
      </c>
      <c r="D3" s="9">
        <v>208346</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v>
      </c>
      <c r="D2" s="4" t="str">
        <v>Use of climate adaptation or low-emissions solutions Climate Adaptation and Mitigation 2.4 Co-design and use CGIAR evidence to implement climate risk management strategies and roadmaps</v>
      </c>
      <c r="E2" s="4" t="str">
        <v>N/A</v>
      </c>
      <c r="F2" s="5">
        <v>0</v>
      </c>
      <c r="G2" s="4" t="str">
        <v/>
      </c>
      <c r="H2" s="4">
        <v>386</v>
      </c>
    </row>
    <row r="3" ht="25" customHeight="1">
      <c r="C3" s="9" t="str">
        <v>MELIA budget subtotal</v>
      </c>
      <c r="F3" s="9">
        <v>0</v>
      </c>
      <c r="G3" s="9" t="str">
        <v/>
      </c>
      <c r="H3" s="9" t="str">
        <v/>
      </c>
    </row>
    <row r="4" ht="60" customHeight="1">
      <c r="A4" s="8" t="str">
        <v xml:space="preserve">AOW02: Digital Advisories and Climate Risk Management  </v>
      </c>
      <c r="B4" s="4" t="str">
        <v>ICARDA</v>
      </c>
      <c r="C4" s="4" t="str">
        <v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v>
      </c>
      <c r="D4" s="4" t="str">
        <v>Use of climate adaptation or low-emissions solutions Climate Adaptation and Mitigation 2.4 Co-design and use CGIAR evidence to implement climate risk management strategies and roadmaps</v>
      </c>
      <c r="E4" s="4" t="str">
        <v>N/A</v>
      </c>
      <c r="F4" s="5">
        <v>40000</v>
      </c>
      <c r="G4" s="4" t="str">
        <v>.</v>
      </c>
      <c r="H4" s="4">
        <v>385</v>
      </c>
    </row>
    <row r="5" ht="25" customHeight="1">
      <c r="C5" s="9" t="str">
        <v>MELIA budget subtotal</v>
      </c>
      <c r="F5" s="9">
        <v>40000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Area of Work Leads</v>
      </c>
      <c r="D2" s="5">
        <v>6940</v>
      </c>
      <c r="E2" s="4" t="str">
        <v>$6,940 for Govind, Ajit's position.</v>
      </c>
      <c r="F2" s="4">
        <v>237</v>
      </c>
      <c r="G2" s="4">
        <v>3</v>
      </c>
    </row>
    <row r="3" ht="25" customHeight="1">
      <c r="C3" s="9" t="str">
        <v>Cross-cutting budget subtotal</v>
      </c>
      <c r="D3" s="9">
        <v>6940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6940</v>
      </c>
      <c r="C2" s="5">
        <v>0</v>
      </c>
      <c r="D2" s="5">
        <v>63378</v>
      </c>
      <c r="E2" s="5">
        <v>0</v>
      </c>
      <c r="F2" s="5">
        <v>79195</v>
      </c>
      <c r="G2" s="5">
        <v>0</v>
      </c>
      <c r="H2" s="5">
        <f>=SUM(B2:G2)</f>
        <v>0</v>
      </c>
    </row>
    <row r="3" ht="20" customHeight="1">
      <c r="A3" s="4" t="str">
        <v>Operations (supplies, consultants, travels, workshops, other)</v>
      </c>
      <c r="B3" s="5">
        <v>0</v>
      </c>
      <c r="C3" s="5">
        <v>0</v>
      </c>
      <c r="D3" s="5">
        <v>32622</v>
      </c>
      <c r="E3" s="5">
        <v>0</v>
      </c>
      <c r="F3" s="5">
        <v>23590</v>
      </c>
      <c r="G3" s="5">
        <v>0</v>
      </c>
      <c r="H3" s="5">
        <f>=SUM(B3:G3)</f>
        <v>0</v>
      </c>
    </row>
    <row r="4" ht="20" customHeight="1">
      <c r="A4" s="4" t="str">
        <v>Collaborators non-CGIAR centers</v>
      </c>
      <c r="B4" s="5">
        <v>0</v>
      </c>
      <c r="C4" s="5">
        <v>0</v>
      </c>
      <c r="D4" s="5">
        <v>24000</v>
      </c>
      <c r="E4" s="5">
        <v>0</v>
      </c>
      <c r="F4" s="5">
        <v>20000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Egypt</v>
      </c>
      <c r="D2" s="5">
        <v>100</v>
      </c>
      <c r="E2" s="4">
        <v>3162</v>
      </c>
    </row>
    <row r="3" ht="45" customHeight="1">
      <c r="A3" s="8" t="str">
        <v xml:space="preserve">AOW02: Digital Advisories and Climate Risk Management  </v>
      </c>
      <c r="B3" s="4" t="str">
        <v>ICARDA</v>
      </c>
      <c r="C3" s="4" t="str">
        <v>India</v>
      </c>
      <c r="D3" s="5">
        <v>100</v>
      </c>
      <c r="E3" s="4">
        <v>1416</v>
      </c>
    </row>
    <row r="4" ht="45" customHeight="1">
      <c r="A4" s="8" t="str">
        <v xml:space="preserve">AOW04: Low-emission Transitions  </v>
      </c>
      <c r="B4" s="4" t="str">
        <v>ICARDA</v>
      </c>
      <c r="C4" s="4" t="str">
        <v>Egypt</v>
      </c>
      <c r="D4" s="5">
        <v>100</v>
      </c>
      <c r="E4" s="4">
        <v>1417</v>
      </c>
    </row>
    <row r="5" ht="45" customHeight="1">
      <c r="A5" s="4" t="str">
        <v xml:space="preserve">AOW04: Low-emission Transitions  </v>
      </c>
      <c r="B5" s="4" t="str">
        <v>ICARDA</v>
      </c>
      <c r="C5" s="4" t="str">
        <v>India</v>
      </c>
      <c r="D5" s="5">
        <v>0</v>
      </c>
      <c r="E5" s="4">
        <v>3152</v>
      </c>
    </row>
  </sheetData>
  <mergeCells count="3">
    <mergeCell ref="A2"/>
    <mergeCell ref="A3"/>
    <mergeCell ref="A4: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100</v>
      </c>
      <c r="F2" s="4">
        <v>1428</v>
      </c>
    </row>
    <row r="3" ht="45" customHeight="1">
      <c r="A3" s="8" t="str">
        <v xml:space="preserve">AOW02: Digital Advisories and Climate Risk Management  </v>
      </c>
      <c r="B3" s="4" t="str">
        <v>ICARDA</v>
      </c>
      <c r="C3" s="4" t="str">
        <v>Guatemala</v>
      </c>
      <c r="D3" s="4" t="str">
        <v>country</v>
      </c>
      <c r="E3" s="5">
        <v>0</v>
      </c>
      <c r="F3" s="4">
        <v>1423</v>
      </c>
    </row>
    <row r="4" ht="45" customHeight="1">
      <c r="A4" s="4" t="str">
        <v xml:space="preserve">AOW02: Digital Advisories and Climate Risk Management  </v>
      </c>
      <c r="B4" s="4" t="str">
        <v>ICARDA</v>
      </c>
      <c r="C4" s="4" t="str">
        <v>India</v>
      </c>
      <c r="D4" s="4" t="str">
        <v>country</v>
      </c>
      <c r="E4" s="5">
        <v>100</v>
      </c>
      <c r="F4" s="4">
        <v>1422</v>
      </c>
    </row>
    <row r="5" ht="45" customHeight="1">
      <c r="A5" s="8" t="str">
        <v xml:space="preserve">AOW04: Low-emission Transitions  </v>
      </c>
      <c r="B5" s="4" t="str">
        <v>ICARDA</v>
      </c>
      <c r="C5" s="4" t="str">
        <v>Global</v>
      </c>
      <c r="D5" s="4" t="str">
        <v>global</v>
      </c>
      <c r="E5" s="5">
        <v>100</v>
      </c>
      <c r="F5" s="4">
        <v>500</v>
      </c>
    </row>
  </sheetData>
  <mergeCells count="3">
    <mergeCell ref="A2"/>
    <mergeCell ref="A3: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