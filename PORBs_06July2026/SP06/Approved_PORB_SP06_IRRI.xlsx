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95297</v>
      </c>
      <c r="K4" s="5">
        <v>95297</v>
      </c>
      <c r="L4" s="5">
        <v>0</v>
      </c>
      <c r="M4" s="5">
        <v>0</v>
      </c>
      <c r="N4" s="4">
        <v>195</v>
      </c>
    </row>
    <row r="5" ht="20" customHeight="1">
      <c r="A5" s="4" t="str">
        <v xml:space="preserve">AOW01: Prioritization and Coordination of Climate Action </v>
      </c>
      <c r="B5" s="5">
        <v>0</v>
      </c>
      <c r="C5" s="5">
        <v>0</v>
      </c>
      <c r="D5" s="5">
        <v>6</v>
      </c>
      <c r="E5" s="5">
        <v>80233</v>
      </c>
      <c r="F5" s="5">
        <v>0</v>
      </c>
      <c r="G5" s="5">
        <v>0</v>
      </c>
      <c r="H5" s="5">
        <v>0</v>
      </c>
      <c r="I5" s="5">
        <v>0</v>
      </c>
      <c r="J5" s="5">
        <v>80233</v>
      </c>
      <c r="K5" s="5">
        <v>80233</v>
      </c>
      <c r="L5" s="5">
        <v>0</v>
      </c>
      <c r="M5" s="5">
        <v>0</v>
      </c>
      <c r="N5" s="4">
        <v>193</v>
      </c>
    </row>
    <row r="6" ht="20" customHeight="1">
      <c r="A6" s="4" t="str">
        <v xml:space="preserve">AOW02: Digital Advisories and Climate Risk Management  </v>
      </c>
      <c r="B6" s="5">
        <v>2</v>
      </c>
      <c r="C6" s="5">
        <v>100000</v>
      </c>
      <c r="D6" s="5">
        <v>1</v>
      </c>
      <c r="E6" s="5">
        <v>20000</v>
      </c>
      <c r="F6" s="5">
        <v>90</v>
      </c>
      <c r="G6" s="5">
        <v>30000</v>
      </c>
      <c r="H6" s="5">
        <v>0</v>
      </c>
      <c r="I6" s="5">
        <v>0</v>
      </c>
      <c r="J6" s="5">
        <v>150000</v>
      </c>
      <c r="K6" s="5">
        <v>150000</v>
      </c>
      <c r="L6" s="5">
        <v>0</v>
      </c>
      <c r="M6" s="5">
        <v>20000</v>
      </c>
      <c r="N6" s="4">
        <v>190</v>
      </c>
    </row>
    <row r="7" ht="20" customHeight="1">
      <c r="A7" s="4" t="str">
        <v xml:space="preserve">AOW03: Locally-led Adaptation  </v>
      </c>
      <c r="B7" s="5">
        <v>0</v>
      </c>
      <c r="C7" s="5">
        <v>0</v>
      </c>
      <c r="D7" s="5">
        <v>6</v>
      </c>
      <c r="E7" s="5">
        <v>385294</v>
      </c>
      <c r="F7" s="5">
        <v>0</v>
      </c>
      <c r="G7" s="5">
        <v>0</v>
      </c>
      <c r="H7" s="5">
        <v>2</v>
      </c>
      <c r="I7" s="5">
        <v>50000</v>
      </c>
      <c r="J7" s="5">
        <v>435294</v>
      </c>
      <c r="K7" s="5">
        <v>435294</v>
      </c>
      <c r="L7" s="5">
        <v>7018</v>
      </c>
      <c r="M7" s="5">
        <v>0</v>
      </c>
      <c r="N7" s="4">
        <v>194</v>
      </c>
    </row>
    <row r="8" ht="20" customHeight="1">
      <c r="A8" s="4" t="str">
        <v xml:space="preserve">AOW04: Low-emission Transitions  </v>
      </c>
      <c r="B8" s="5">
        <v>2</v>
      </c>
      <c r="C8" s="5">
        <v>175000</v>
      </c>
      <c r="D8" s="5">
        <v>2</v>
      </c>
      <c r="E8" s="5">
        <v>150000</v>
      </c>
      <c r="F8" s="5">
        <v>8</v>
      </c>
      <c r="G8" s="5">
        <v>60000</v>
      </c>
      <c r="H8" s="5">
        <v>6</v>
      </c>
      <c r="I8" s="5">
        <v>50000</v>
      </c>
      <c r="J8" s="5">
        <v>435000</v>
      </c>
      <c r="K8" s="5">
        <v>435000</v>
      </c>
      <c r="L8" s="5">
        <v>35000</v>
      </c>
      <c r="M8" s="5">
        <v>0</v>
      </c>
      <c r="N8" s="4">
        <v>191</v>
      </c>
    </row>
    <row r="9" ht="20" customHeight="1">
      <c r="A9" s="4" t="str">
        <v xml:space="preserve">AOW05: Finance and Policy for Scaling Solutions </v>
      </c>
      <c r="B9" s="5">
        <v>4</v>
      </c>
      <c r="C9" s="5">
        <v>200000</v>
      </c>
      <c r="D9" s="5">
        <v>0</v>
      </c>
      <c r="E9" s="5">
        <v>0</v>
      </c>
      <c r="F9" s="5">
        <v>0</v>
      </c>
      <c r="G9" s="5">
        <v>0</v>
      </c>
      <c r="H9" s="5">
        <v>0</v>
      </c>
      <c r="I9" s="5">
        <v>0</v>
      </c>
      <c r="J9" s="5">
        <v>200000</v>
      </c>
      <c r="K9" s="5">
        <v>200000</v>
      </c>
      <c r="L9" s="5">
        <v>0</v>
      </c>
      <c r="M9" s="5">
        <v>0</v>
      </c>
      <c r="N9" s="4">
        <v>192</v>
      </c>
    </row>
    <row r="10" ht="25" customHeight="1">
      <c r="A10" s="6" t="str">
        <v>Total</v>
      </c>
      <c r="B10" s="7" t="str">
        <v/>
      </c>
      <c r="C10" s="7">
        <v>475000</v>
      </c>
      <c r="D10" s="7" t="str">
        <v/>
      </c>
      <c r="E10" s="7">
        <v>635527</v>
      </c>
      <c r="F10" s="7" t="str">
        <v/>
      </c>
      <c r="G10" s="7">
        <v>90000</v>
      </c>
      <c r="H10" s="7" t="str">
        <v/>
      </c>
      <c r="I10" s="7">
        <v>100000</v>
      </c>
      <c r="J10" s="7">
        <v>1395824</v>
      </c>
      <c r="K10" s="7">
        <v>1395824</v>
      </c>
      <c r="L10" s="7">
        <v>42018</v>
      </c>
      <c r="M10" s="7">
        <v>20000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IRRI</v>
      </c>
      <c r="C3" s="4" t="str">
        <v>1.3. Harmonized data, simulations, insights and decision support tools</v>
      </c>
      <c r="D3" s="4" t="str">
        <v>Number of climate-relevant datasets, geospatial risk layers, and user guides curated and submitted to the Climate Data Hub</v>
      </c>
      <c r="E3" s="4" t="str">
        <v>Number of knowledge products</v>
      </c>
      <c r="F3" s="4" t="str">
        <v>France, United States of America, Sri Lanka, Tanzania, United Republic, The Republic of the Sudan, Niger, Ethiopia, Ghana, Colombia, Mali, Philippines, Uganda, Kenya, Nigeria, Malaysia, Portugal</v>
      </c>
      <c r="G3" s="5">
        <v>6</v>
      </c>
      <c r="H3" s="5">
        <v>80233</v>
      </c>
      <c r="I3" s="4" t="str">
        <v>.</v>
      </c>
      <c r="J3" s="4">
        <v>5744</v>
      </c>
    </row>
    <row r="4" ht="25" customHeight="1">
      <c r="C4" s="9" t="str">
        <v>HLO budget subtotal</v>
      </c>
      <c r="H4" s="9">
        <v>80233</v>
      </c>
      <c r="J4" s="9" t="str">
        <v/>
      </c>
    </row>
    <row r="5" ht="50" customHeight="1">
      <c r="A5" s="8" t="str">
        <v xml:space="preserve">AOW02: Digital Advisories and Climate Risk Management  </v>
      </c>
      <c r="B5" s="4" t="str">
        <v>IRRI</v>
      </c>
      <c r="C5" s="4" t="str">
        <v>2.1. Climate information products and services</v>
      </c>
      <c r="D5" s="4" t="str">
        <v>Number of climate service quality reports, user feedback and synthesis on advisory service effectiveness produced</v>
      </c>
      <c r="E5" s="4" t="str">
        <v>Number of knowledge products</v>
      </c>
      <c r="F5" s="4" t="str">
        <v>Sri Lanka, Senegal, The Socialist Republic of Viet Nam, Kenya, Mali, Colombia, India, Zambia, Philippines, Nigeria, Bangladesh</v>
      </c>
      <c r="G5" s="5">
        <v>1</v>
      </c>
      <c r="H5" s="5">
        <v>20000</v>
      </c>
      <c r="I5" s="4" t="str">
        <v>.</v>
      </c>
      <c r="J5" s="4">
        <v>5690</v>
      </c>
    </row>
    <row r="6" ht="50" customHeight="1">
      <c r="B6" s="4" t="str">
        <v>IRRI</v>
      </c>
      <c r="D6" s="4" t="str">
        <v>Number of localized digital climate advisory services, forecast-based decision tools, and index-based insurance products co-designed with farmers and intermediary service providers</v>
      </c>
      <c r="E6" s="4" t="str">
        <v>Number of innovations (innovation development)</v>
      </c>
      <c r="F6" s="4" t="str">
        <v>Sri Lanka, Ghana, Mali, Ethiopia, India, Bangladesh, Nigeria, Zambia, Philippines, Kenya, The Socialist Republic of Viet Nam</v>
      </c>
      <c r="G6" s="5">
        <v>2</v>
      </c>
      <c r="H6" s="5">
        <v>100000</v>
      </c>
      <c r="I6" s="4" t="str">
        <v>.</v>
      </c>
      <c r="J6" s="4">
        <v>5692</v>
      </c>
    </row>
    <row r="7" ht="50" customHeight="1">
      <c r="A7" s="4" t="str">
        <v xml:space="preserve">AOW02: Digital Advisories and Climate Risk Management  </v>
      </c>
      <c r="B7" s="4" t="str">
        <v>IRRI</v>
      </c>
      <c r="C7" s="4" t="str">
        <v>2.2. Multi-hazard early warning and anticipatory action instruments</v>
      </c>
      <c r="D7" s="4" t="str">
        <v>Number of organizational members and community actors (individuals) trained in climate service delivery, early warning interpretation, and pastoral advisory communication</v>
      </c>
      <c r="E7" s="4" t="str">
        <v>Number of people trained (capacity sharing for development)</v>
      </c>
      <c r="F7" s="4" t="str">
        <v>India, Mali, Philippines</v>
      </c>
      <c r="G7" s="5">
        <v>90</v>
      </c>
      <c r="H7" s="5">
        <v>30000</v>
      </c>
      <c r="I7" s="4" t="str">
        <v>.</v>
      </c>
      <c r="J7" s="4">
        <v>5705</v>
      </c>
    </row>
    <row r="8" ht="25" customHeight="1">
      <c r="C8" s="9" t="str">
        <v>HLO budget subtotal</v>
      </c>
      <c r="H8" s="9">
        <v>150000</v>
      </c>
      <c r="J8" s="9" t="str">
        <v/>
      </c>
    </row>
    <row r="9" ht="50" customHeight="1">
      <c r="A9" s="8" t="str">
        <v xml:space="preserve">AOW03: Locally-led Adaptation  </v>
      </c>
      <c r="B9" s="4" t="str">
        <v>IRRI</v>
      </c>
      <c r="C9" s="4" t="str">
        <v>3.3. Guidelines on scaling  and implementing climate solutions and processes</v>
      </c>
      <c r="D9" s="4" t="str">
        <v>Number of facilitator handbooks, practical guides, and compendiums documenting institutional innovations and locally-led adaptation principles for climate solution scaling</v>
      </c>
      <c r="E9" s="4" t="str">
        <v>Number of knowledge products</v>
      </c>
      <c r="F9" s="4" t="str">
        <v>Philippines, Brazil, Nigeria, Kenya, Tanzania, United Republic, India</v>
      </c>
      <c r="G9" s="5">
        <v>5</v>
      </c>
      <c r="H9" s="5">
        <v>335294</v>
      </c>
      <c r="I9" s="4" t="str">
        <v>.</v>
      </c>
      <c r="J9" s="4">
        <v>5779</v>
      </c>
    </row>
    <row r="10" ht="50" customHeight="1">
      <c r="A10" s="4" t="str">
        <v xml:space="preserve">AOW03: Locally-led Adaptation  </v>
      </c>
      <c r="B10" s="4" t="str">
        <v>IRRI</v>
      </c>
      <c r="C10" s="4" t="str">
        <v xml:space="preserve">3.6. Systematic engagement for developing capacity for locally-led adaptation and mitigation </v>
      </c>
      <c r="D10" s="4" t="str">
        <v>Number of new or expanded partnerships established for scaling locally-led adaptation and mitigation solutions</v>
      </c>
      <c r="E10" s="4" t="str">
        <v>custom</v>
      </c>
      <c r="F10" s="4" t="str">
        <v>Philippines</v>
      </c>
      <c r="G10" s="5">
        <v>2</v>
      </c>
      <c r="H10" s="5">
        <v>50000</v>
      </c>
      <c r="I10" s="4" t="str">
        <v>.</v>
      </c>
      <c r="J10" s="4">
        <v>5784</v>
      </c>
    </row>
    <row r="11" ht="50" customHeight="1">
      <c r="A11" s="4" t="str">
        <v xml:space="preserve">AOW03: Locally-led Adaptation  </v>
      </c>
      <c r="B11" s="4" t="str">
        <v>IRRI</v>
      </c>
      <c r="C11" s="4" t="str">
        <v>3.2. Methodologies for implementing locally-led adaptation</v>
      </c>
      <c r="D11" s="4" t="str">
        <v>Number of context-adapted learning modules, educational needs assessments, and capacity development resources co-developed for implementing locally-led adaptation</v>
      </c>
      <c r="E11" s="4" t="str">
        <v>Number of knowledge products</v>
      </c>
      <c r="F11" s="4" t="str">
        <v>Philippines, Kenya, Ethiopia</v>
      </c>
      <c r="G11" s="5">
        <v>1</v>
      </c>
      <c r="H11" s="5">
        <v>50000</v>
      </c>
      <c r="I11" s="4" t="str">
        <v>.</v>
      </c>
      <c r="J11" s="4">
        <v>7286</v>
      </c>
    </row>
    <row r="12" ht="25" customHeight="1">
      <c r="C12" s="9" t="str">
        <v>HLO budget subtotal</v>
      </c>
      <c r="H12" s="9">
        <v>435294</v>
      </c>
      <c r="J12" s="9" t="str">
        <v/>
      </c>
    </row>
    <row r="13" ht="50" customHeight="1">
      <c r="A13" s="8" t="str">
        <v xml:space="preserve">AOW04: Low-emission Transitions  </v>
      </c>
      <c r="B13" s="4" t="str">
        <v>IRRI</v>
      </c>
      <c r="C13" s="4" t="str">
        <v>4.4. Tools and approaches for monitoring, reporting and verification (MRV)</v>
      </c>
      <c r="D13" s="4" t="str">
        <v>Number of digital MRV platforms and GHG quantification methodologies developed and applied to support national inventory development and reporting</v>
      </c>
      <c r="E13" s="4" t="str">
        <v>Number of innovations (innovation development)</v>
      </c>
      <c r="F13" s="4" t="str">
        <v>Philippines, The Socialist Republic of Viet Nam, Mexico, Colombia, India, Zambia, Egypt, Nigeria, Kenya</v>
      </c>
      <c r="G13" s="5">
        <v>2</v>
      </c>
      <c r="H13" s="5">
        <v>175000</v>
      </c>
      <c r="I13" s="4" t="str">
        <v>.</v>
      </c>
      <c r="J13" s="4">
        <v>5645</v>
      </c>
    </row>
    <row r="14" ht="50" customHeight="1">
      <c r="B14" s="4" t="str">
        <v>IRRI</v>
      </c>
      <c r="D14" s="4" t="str">
        <v>Number of researchers and national partners trained in GHG measurement, emission factor development, and MRV system implementation"</v>
      </c>
      <c r="E14" s="4" t="str">
        <v>Number of people trained (capacity sharing for development)</v>
      </c>
      <c r="F14" s="4" t="str">
        <v>Ethiopia, Thailand, Kenya</v>
      </c>
      <c r="G14" s="5">
        <v>8</v>
      </c>
      <c r="H14" s="5">
        <v>60000</v>
      </c>
      <c r="I14" s="4" t="str">
        <v>.</v>
      </c>
      <c r="J14" s="4">
        <v>7315</v>
      </c>
    </row>
    <row r="15" ht="50" customHeight="1">
      <c r="A15" s="4" t="str">
        <v xml:space="preserve">AOW04: Low-emission Transitions  </v>
      </c>
      <c r="B15" s="4" t="str">
        <v>IRRI</v>
      </c>
      <c r="C15" s="4" t="str">
        <v>4.1. Evidence and partnerships to inform low-emission development</v>
      </c>
      <c r="D15" s="4" t="str">
        <v>Number of private sector actors engaged in co-development of low-emission strategies across production systems with supporting policies/incentives</v>
      </c>
      <c r="E15" s="4" t="str">
        <v>custom</v>
      </c>
      <c r="F15" s="4" t="str">
        <v>Ghana, Kenya, Colombia, Nigeria, The Socialist Republic of Viet Nam, Philippines</v>
      </c>
      <c r="G15" s="5">
        <v>6</v>
      </c>
      <c r="H15" s="5">
        <v>50000</v>
      </c>
      <c r="I15" s="4" t="str">
        <v>.</v>
      </c>
      <c r="J15" s="4">
        <v>5789</v>
      </c>
    </row>
    <row r="16" ht="50" customHeight="1">
      <c r="B16" s="4" t="str">
        <v>IRRI</v>
      </c>
      <c r="D16" s="4" t="str">
        <v>Number of reports on policy readiness, methane reduction analyses, and institutional recommendations for low-emission development strategies  produced</v>
      </c>
      <c r="E16" s="4" t="str">
        <v>Number of knowledge products</v>
      </c>
      <c r="F16" s="4" t="str">
        <v>The Socialist Republic of Viet Nam, Philippines, India, Tanzania, United Republic, Egypt, Colombia, Kenya</v>
      </c>
      <c r="G16" s="5">
        <v>2</v>
      </c>
      <c r="H16" s="5">
        <v>150000</v>
      </c>
      <c r="I16" s="4" t="str">
        <v>.</v>
      </c>
      <c r="J16" s="4">
        <v>7305</v>
      </c>
    </row>
    <row r="17" ht="50" customHeight="1">
      <c r="A17" s="4" t="str">
        <v xml:space="preserve">AOW04: Low-emission Transitions  </v>
      </c>
      <c r="B17" s="4" t="str">
        <v>IRRI</v>
      </c>
      <c r="C17" s="4" t="str">
        <v>4.2. Socio-technological and ecological bundles for reducing methane emissions</v>
      </c>
      <c r="D17" s="4" t="str">
        <v>Number of integrated socio-technological and ecological bundles co-developed and piloted</v>
      </c>
      <c r="E17" s="4" t="str">
        <v>Number of innovations (innovation development)</v>
      </c>
      <c r="F17" s="4" t="str">
        <v>Philippines, Tanzania, United Republic, Ghana, Brazil, Uganda, Egypt, India, Mali, Pakistan, Nigeria, China, Kenya, Colombia, Ethiopia, The Socialist Republic of Viet Nam</v>
      </c>
      <c r="G17" s="5">
        <v>0</v>
      </c>
      <c r="H17" s="5">
        <v>0</v>
      </c>
      <c r="I17" s="4" t="str">
        <v/>
      </c>
      <c r="J17" s="4">
        <v>5800</v>
      </c>
    </row>
    <row r="18" ht="50" customHeight="1">
      <c r="B18" s="4" t="str">
        <v>IRRI</v>
      </c>
      <c r="D18" s="4" t="str">
        <v>Number of partners involved in piloting integrated socio-technological and ecological bundles</v>
      </c>
      <c r="E18" s="4" t="str">
        <v>custom</v>
      </c>
      <c r="F18" s="4" t="str">
        <v>Philippines, Uganda, Kenya, India, Egypt, Colombia, Brazil, Pakistan, The Socialist Republic of Viet Nam, China, Nigeria, Ethiopia, Ghana, Tanzania, United Republic, Mali</v>
      </c>
      <c r="G18" s="5">
        <v>0</v>
      </c>
      <c r="H18" s="5">
        <v>0</v>
      </c>
      <c r="I18" s="4" t="str">
        <v/>
      </c>
      <c r="J18" s="4">
        <v>5801</v>
      </c>
    </row>
    <row r="19" ht="25" customHeight="1">
      <c r="C19" s="9" t="str">
        <v>HLO budget subtotal</v>
      </c>
      <c r="H19" s="9">
        <v>435000</v>
      </c>
      <c r="J19" s="9" t="str">
        <v/>
      </c>
    </row>
    <row r="20" ht="50" customHeight="1">
      <c r="A20" s="8" t="str">
        <v xml:space="preserve">AOW05: Finance and Policy for Scaling Solutions </v>
      </c>
      <c r="B20" s="4" t="str">
        <v>IRRI</v>
      </c>
      <c r="C20" s="4" t="str">
        <v>5.5. Carbon market frameworks</v>
      </c>
      <c r="D20" s="4" t="str">
        <v>Number of carbon market framework, methodologies, benefit-sharing models, and sector-specific carbon finance tools co-developed with partners</v>
      </c>
      <c r="E20" s="4" t="str">
        <v>Number of innovations (innovation development)</v>
      </c>
      <c r="F20" s="4" t="str">
        <v>Kenya, Philippines, The Socialist Republic of Viet Nam</v>
      </c>
      <c r="G20" s="5">
        <v>3</v>
      </c>
      <c r="H20" s="5">
        <v>145000</v>
      </c>
      <c r="I20" s="4" t="str">
        <v>.</v>
      </c>
      <c r="J20" s="4">
        <v>5658</v>
      </c>
    </row>
    <row r="21" ht="50" customHeight="1">
      <c r="A21" s="4" t="str">
        <v xml:space="preserve">AOW05: Finance and Policy for Scaling Solutions </v>
      </c>
      <c r="B21" s="4" t="str">
        <v>IRRI</v>
      </c>
      <c r="C21" s="4" t="str">
        <v>5.1. Evidence and tools for climate policies and institutions</v>
      </c>
      <c r="D21" s="4" t="str">
        <v>Number of climate policy tools, adaptation tracking systems, and operational  packages developed</v>
      </c>
      <c r="E21" s="4" t="str">
        <v>Number of innovations (innovation development)</v>
      </c>
      <c r="F21" s="4" t="str">
        <v>Philippines, The Socialist Republic of Viet Nam, Ghana, Ethiopia, Kenya</v>
      </c>
      <c r="G21" s="5">
        <v>1</v>
      </c>
      <c r="H21" s="5">
        <v>55000</v>
      </c>
      <c r="I21" s="4" t="str">
        <v>.</v>
      </c>
      <c r="J21" s="4">
        <v>5676</v>
      </c>
    </row>
    <row r="22" ht="25" customHeight="1">
      <c r="C22" s="9" t="str">
        <v>HLO budget subtotal</v>
      </c>
      <c r="H22" s="9">
        <v>200000</v>
      </c>
      <c r="J22" s="9" t="str">
        <v/>
      </c>
    </row>
  </sheetData>
  <mergeCells count="20">
    <mergeCell ref="A1:A2"/>
    <mergeCell ref="B1:B2"/>
    <mergeCell ref="C1:C2"/>
    <mergeCell ref="D1:H1"/>
    <mergeCell ref="I1:I2"/>
    <mergeCell ref="J1:J2"/>
    <mergeCell ref="C4:G4"/>
    <mergeCell ref="A3:A4"/>
    <mergeCell ref="C5:C6"/>
    <mergeCell ref="C8:G8"/>
    <mergeCell ref="A5:A8"/>
    <mergeCell ref="C12:G12"/>
    <mergeCell ref="A9:A12"/>
    <mergeCell ref="C13:C14"/>
    <mergeCell ref="C15:C16"/>
    <mergeCell ref="C17:C18"/>
    <mergeCell ref="C19:G19"/>
    <mergeCell ref="A13:A19"/>
    <mergeCell ref="C22:G22"/>
    <mergeCell ref="A20:A22"/>
  </mergeCells>
  <ignoredErrors>
    <ignoredError numberStoredAsText="1" sqref="A1:J22"/>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AOW03: Locally-led Adaptation  </v>
      </c>
      <c r="B2" s="4" t="str">
        <v>The Nordic Africa Institute</v>
      </c>
      <c r="C2" s="4" t="str">
        <v>IRRI</v>
      </c>
      <c r="D2" s="4" t="str">
        <v>Sweden</v>
      </c>
      <c r="E2" s="5">
        <v>7018</v>
      </c>
      <c r="F2" s="4" t="str">
        <v>.</v>
      </c>
      <c r="G2" s="4">
        <v>336</v>
      </c>
    </row>
    <row r="3" ht="25" customHeight="1">
      <c r="B3" s="9" t="str">
        <v>Contracted partners subtotal</v>
      </c>
      <c r="E3" s="9">
        <v>7018</v>
      </c>
      <c r="F3" s="9" t="str">
        <v/>
      </c>
      <c r="G3" s="9" t="str">
        <v/>
      </c>
    </row>
    <row r="4" ht="50" customHeight="1">
      <c r="A4" s="8" t="str">
        <v xml:space="preserve">AOW04: Low-emission Transitions  </v>
      </c>
      <c r="B4" s="4" t="str">
        <v>Unknown Partner 1</v>
      </c>
      <c r="C4" s="4" t="str">
        <v>IRRI</v>
      </c>
      <c r="D4" s="4" t="str">
        <v>The Socialist Republic of Viet Nam</v>
      </c>
      <c r="E4" s="5">
        <v>35000</v>
      </c>
      <c r="F4" s="4" t="str">
        <v>.</v>
      </c>
      <c r="G4" s="4">
        <v>337</v>
      </c>
    </row>
    <row r="5" ht="25" customHeight="1">
      <c r="B5" s="9" t="str">
        <v>Contracted partners subtotal</v>
      </c>
      <c r="E5" s="9">
        <v>35000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R-A-2019-188-GCF Thailand</v>
      </c>
      <c r="C2" s="4" t="str">
        <v>4.4. Tools and approaches for monitoring, reporting and verification (MRV)</v>
      </c>
      <c r="D2" s="5">
        <v>671923</v>
      </c>
      <c r="E2" s="4" t="str">
        <v>.</v>
      </c>
      <c r="F2" s="4">
        <v>1078</v>
      </c>
    </row>
    <row r="3" ht="60" customHeight="1">
      <c r="A3" s="4" t="str">
        <v>IRRI</v>
      </c>
      <c r="B3" s="4" t="str">
        <v>R-A-2022-118-Credits Offsetting Rice Emissions</v>
      </c>
      <c r="C3" s="4" t="str">
        <v>New finance for just climate action and transitions</v>
      </c>
      <c r="D3" s="5">
        <v>0</v>
      </c>
      <c r="E3" s="4" t="str">
        <v/>
      </c>
      <c r="F3" s="4">
        <v>1089</v>
      </c>
    </row>
    <row r="4" ht="60" customHeight="1">
      <c r="A4" s="4" t="str">
        <v>IRRI</v>
      </c>
      <c r="B4" s="4" t="str">
        <v>R-A-2022-80-REMET</v>
      </c>
      <c r="C4" s="4" t="str">
        <v>4.4. Tools and approaches for monitoring, reporting and verification (MRV)</v>
      </c>
      <c r="D4" s="5">
        <v>140112</v>
      </c>
      <c r="E4" s="4" t="str">
        <v>.</v>
      </c>
      <c r="F4" s="4">
        <v>1080</v>
      </c>
    </row>
    <row r="5" ht="60" customHeight="1">
      <c r="A5" s="4" t="str">
        <v>IRRI</v>
      </c>
      <c r="B5" s="4" t="str">
        <v>R-A-2023-24-ASEAN-CGIAR Innovate for Food Regional Program</v>
      </c>
      <c r="C5" s="4" t="str">
        <v>New finance for just climate action and transitions</v>
      </c>
      <c r="D5" s="5">
        <v>46398</v>
      </c>
      <c r="E5" s="4" t="str">
        <v>.</v>
      </c>
      <c r="F5" s="4">
        <v>1088</v>
      </c>
    </row>
    <row r="6" ht="60" customHeight="1">
      <c r="A6" s="4" t="str">
        <v>IRRI</v>
      </c>
      <c r="B6" s="4" t="str">
        <v>R-A-2023-56</v>
      </c>
      <c r="C6" s="4" t="str">
        <v>New finance for just climate action and transitions</v>
      </c>
      <c r="D6" s="5">
        <v>34999</v>
      </c>
      <c r="E6" s="4" t="str">
        <v>.</v>
      </c>
      <c r="F6" s="4">
        <v>1103</v>
      </c>
    </row>
    <row r="7" ht="60" customHeight="1">
      <c r="A7" s="4" t="str">
        <v>IRRI</v>
      </c>
      <c r="B7" s="4" t="str">
        <v>R-A-2024-18</v>
      </c>
      <c r="C7" s="4" t="str">
        <v>4.4. Tools and approaches for monitoring, reporting and verification (MRV)</v>
      </c>
      <c r="D7" s="5">
        <v>543879</v>
      </c>
      <c r="E7" s="4" t="str">
        <v>.</v>
      </c>
      <c r="F7" s="4">
        <v>1079</v>
      </c>
    </row>
    <row r="8" ht="60" customHeight="1">
      <c r="A8" s="4" t="str">
        <v>IRRI</v>
      </c>
      <c r="B8" s="4" t="str">
        <v>R-A-2024-19-ISARC Phase III</v>
      </c>
      <c r="C8" s="4" t="str">
        <v>New finance for just climate action and transitions</v>
      </c>
      <c r="D8" s="5">
        <v>766627</v>
      </c>
      <c r="E8" s="4" t="str">
        <v>.</v>
      </c>
      <c r="F8" s="4">
        <v>1099</v>
      </c>
    </row>
    <row r="9" ht="60" customHeight="1">
      <c r="A9" s="4" t="str">
        <v>IRRI</v>
      </c>
      <c r="B9" s="4" t="str">
        <v>R-A-2024-191 AGRI</v>
      </c>
      <c r="C9" s="4" t="str">
        <v>4.4. Tools and approaches for monitoring, reporting and verification (MRV)</v>
      </c>
      <c r="D9" s="5">
        <v>317217</v>
      </c>
      <c r="E9" s="4" t="str">
        <v>.</v>
      </c>
      <c r="F9" s="4">
        <v>1082</v>
      </c>
    </row>
    <row r="10" ht="60" customHeight="1">
      <c r="A10" s="4" t="str">
        <v>IRRI</v>
      </c>
      <c r="B10" s="4" t="str">
        <v>R-A-2024-25-Madhya Pradesh_Rice Inbreds and Hybrids</v>
      </c>
      <c r="C10" s="4" t="str">
        <v>4.4. Tools and approaches for monitoring, reporting and verification (MRV)</v>
      </c>
      <c r="D10" s="5">
        <v>356038</v>
      </c>
      <c r="E10" s="4" t="str">
        <v>.</v>
      </c>
      <c r="F10" s="4">
        <v>1077</v>
      </c>
    </row>
    <row r="11" ht="25" customHeight="1">
      <c r="B11" s="9" t="str">
        <v>W3/Bilateral budget subtotal</v>
      </c>
      <c r="D11" s="9">
        <v>2877193</v>
      </c>
      <c r="E11" s="9" t="str">
        <v/>
      </c>
      <c r="F11" s="9" t="str">
        <v/>
      </c>
    </row>
  </sheetData>
  <mergeCells count="2">
    <mergeCell ref="B11:C11"/>
    <mergeCell ref="A2: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IRRI</v>
      </c>
      <c r="C2" s="4" t="str">
        <v>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v>
      </c>
      <c r="D2" s="4" t="str">
        <v>Use of climate adaptation or low-emissions solutions Climate Adaptation and Mitigation</v>
      </c>
      <c r="E2" s="4" t="str">
        <v>N/A</v>
      </c>
      <c r="F2" s="5">
        <v>0</v>
      </c>
      <c r="G2" s="4" t="str">
        <v/>
      </c>
      <c r="H2" s="4">
        <v>384</v>
      </c>
    </row>
    <row r="3" ht="25" customHeight="1">
      <c r="C3" s="9" t="str">
        <v>MELIA budget subtotal</v>
      </c>
      <c r="F3" s="9">
        <v>0</v>
      </c>
      <c r="G3" s="9" t="str">
        <v/>
      </c>
      <c r="H3" s="9" t="str">
        <v/>
      </c>
    </row>
    <row r="4" ht="60" customHeight="1">
      <c r="A4" s="8" t="str">
        <v xml:space="preserve">AOW02: Digital Advisories and Climate Risk Management  </v>
      </c>
      <c r="B4" s="4" t="str">
        <v>IRRI</v>
      </c>
      <c r="C4" s="4" t="str">
        <v>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v>
      </c>
      <c r="D4" s="4" t="str">
        <v>Use of climate adaptation or low-emissions solutions Climate Adaptation and Mitigation</v>
      </c>
      <c r="E4" s="4" t="str">
        <v>N/A</v>
      </c>
      <c r="F4" s="5">
        <v>20000</v>
      </c>
      <c r="G4" s="4" t="str">
        <v>.</v>
      </c>
      <c r="H4" s="4">
        <v>383</v>
      </c>
    </row>
    <row r="5" ht="25" customHeight="1">
      <c r="C5" s="9" t="str">
        <v>MELIA budget subtotal</v>
      </c>
      <c r="F5" s="9">
        <v>20000</v>
      </c>
      <c r="G5" s="9" t="str">
        <v/>
      </c>
      <c r="H5" s="9" t="str">
        <v/>
      </c>
    </row>
  </sheetData>
  <mergeCells count="4">
    <mergeCell ref="C3:E3"/>
    <mergeCell ref="A2:A3"/>
    <mergeCell ref="C5:E5"/>
    <mergeCell ref="A4:A5"/>
  </mergeCells>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IRRI</v>
      </c>
      <c r="C2" s="4" t="str">
        <v>Area of Work Leads</v>
      </c>
      <c r="D2" s="5">
        <v>20810</v>
      </c>
      <c r="E2" s="4" t="str">
        <v>$6,658 Sander, Bjoern Ole. $9,435 Hellin, Jonathan James.</v>
      </c>
      <c r="F2" s="4">
        <v>239</v>
      </c>
      <c r="G2" s="4">
        <v>3</v>
      </c>
    </row>
    <row r="3" ht="45" customHeight="1">
      <c r="A3" s="4" t="str">
        <v>AOW00: Cross Cutting</v>
      </c>
      <c r="B3" s="4" t="str">
        <v>IRRI</v>
      </c>
      <c r="C3" s="4" t="str">
        <v>PMU, CGIAR Program Finance Support and associated Allocation</v>
      </c>
      <c r="D3" s="5">
        <v>65287</v>
      </c>
      <c r="E3" s="4" t="str">
        <v>$65,287 for Dela Rueda, Justin and Pede, Valerien.</v>
      </c>
      <c r="F3" s="4">
        <v>240</v>
      </c>
      <c r="G3" s="4">
        <v>2</v>
      </c>
    </row>
    <row r="4" ht="45" customHeight="1">
      <c r="A4" s="4" t="str">
        <v>AOW00: Cross Cutting</v>
      </c>
      <c r="B4" s="4" t="str">
        <v>IRRI</v>
      </c>
      <c r="C4" s="4" t="str">
        <v>Operations</v>
      </c>
      <c r="D4" s="5">
        <v>9200</v>
      </c>
      <c r="E4" s="4" t="str">
        <v>Travel (MEL)</v>
      </c>
      <c r="F4" s="4">
        <v>244</v>
      </c>
      <c r="G4" s="4">
        <v>4</v>
      </c>
    </row>
    <row r="5" ht="25" customHeight="1">
      <c r="C5" s="9" t="str">
        <v>Cross-cutting budget subtotal</v>
      </c>
      <c r="D5" s="9">
        <v>95297</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86097</v>
      </c>
      <c r="C2" s="5">
        <v>76872</v>
      </c>
      <c r="D2" s="5">
        <v>110770</v>
      </c>
      <c r="E2" s="5">
        <v>403276</v>
      </c>
      <c r="F2" s="5">
        <v>319388</v>
      </c>
      <c r="G2" s="5">
        <v>78809</v>
      </c>
      <c r="H2" s="5">
        <f>=SUM(B2:G2)</f>
        <v>0</v>
      </c>
    </row>
    <row r="3" ht="20" customHeight="1">
      <c r="A3" s="4" t="str">
        <v>Operations (supplies, consultants, travels, workshops, other)</v>
      </c>
      <c r="B3" s="5">
        <v>9200</v>
      </c>
      <c r="C3" s="5">
        <v>3361</v>
      </c>
      <c r="D3" s="5">
        <v>39230</v>
      </c>
      <c r="E3" s="5">
        <v>25000</v>
      </c>
      <c r="F3" s="5">
        <v>80612</v>
      </c>
      <c r="G3" s="5">
        <v>121191</v>
      </c>
      <c r="H3" s="5">
        <f>=SUM(B3:G3)</f>
        <v>0</v>
      </c>
    </row>
    <row r="4" ht="20" customHeight="1">
      <c r="A4" s="4" t="str">
        <v>Collaborators non-CGIAR centers</v>
      </c>
      <c r="B4" s="5">
        <v>0</v>
      </c>
      <c r="C4" s="5">
        <v>0</v>
      </c>
      <c r="D4" s="5">
        <v>0</v>
      </c>
      <c r="E4" s="5">
        <v>7018</v>
      </c>
      <c r="F4" s="5">
        <v>35000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Philippines</v>
      </c>
      <c r="D2" s="5">
        <v>93</v>
      </c>
      <c r="E2" s="4">
        <v>3169</v>
      </c>
    </row>
    <row r="3" ht="45" customHeight="1">
      <c r="A3" s="4" t="str">
        <v>AOW00: Cross Cutting</v>
      </c>
      <c r="B3" s="4" t="str">
        <v>IRRI</v>
      </c>
      <c r="C3" s="4" t="str">
        <v>Thailand</v>
      </c>
      <c r="D3" s="5">
        <v>7</v>
      </c>
      <c r="E3" s="4">
        <v>3170</v>
      </c>
    </row>
    <row r="4" ht="45" customHeight="1">
      <c r="A4" s="8" t="str">
        <v xml:space="preserve">AOW01: Prioritization and Coordination of Climate Action </v>
      </c>
      <c r="B4" s="4" t="str">
        <v>IRRI</v>
      </c>
      <c r="C4" s="4" t="str">
        <v>Philippines</v>
      </c>
      <c r="D4" s="5">
        <v>100</v>
      </c>
      <c r="E4" s="4">
        <v>2892</v>
      </c>
    </row>
    <row r="5" ht="45" customHeight="1">
      <c r="A5" s="8" t="str">
        <v xml:space="preserve">AOW02: Digital Advisories and Climate Risk Management  </v>
      </c>
      <c r="B5" s="4" t="str">
        <v>IRRI</v>
      </c>
      <c r="C5" s="4" t="str">
        <v>India</v>
      </c>
      <c r="D5" s="5">
        <v>43</v>
      </c>
      <c r="E5" s="4">
        <v>2901</v>
      </c>
    </row>
    <row r="6" ht="45" customHeight="1">
      <c r="A6" s="4" t="str">
        <v xml:space="preserve">AOW02: Digital Advisories and Climate Risk Management  </v>
      </c>
      <c r="B6" s="4" t="str">
        <v>IRRI</v>
      </c>
      <c r="C6" s="4" t="str">
        <v>Philippines</v>
      </c>
      <c r="D6" s="5">
        <v>57</v>
      </c>
      <c r="E6" s="4">
        <v>2902</v>
      </c>
    </row>
    <row r="7" ht="45" customHeight="1">
      <c r="A7" s="8" t="str">
        <v xml:space="preserve">AOW03: Locally-led Adaptation  </v>
      </c>
      <c r="B7" s="4" t="str">
        <v>IRRI</v>
      </c>
      <c r="C7" s="4" t="str">
        <v>Kenya</v>
      </c>
      <c r="D7" s="5">
        <v>23</v>
      </c>
      <c r="E7" s="4">
        <v>2893</v>
      </c>
    </row>
    <row r="8" ht="45" customHeight="1">
      <c r="A8" s="4" t="str">
        <v xml:space="preserve">AOW03: Locally-led Adaptation  </v>
      </c>
      <c r="B8" s="4" t="str">
        <v>IRRI</v>
      </c>
      <c r="C8" s="4" t="str">
        <v>Philippines</v>
      </c>
      <c r="D8" s="5">
        <v>77</v>
      </c>
      <c r="E8" s="4">
        <v>2894</v>
      </c>
    </row>
    <row r="9" ht="45" customHeight="1">
      <c r="A9" s="8" t="str">
        <v xml:space="preserve">AOW04: Low-emission Transitions  </v>
      </c>
      <c r="B9" s="4" t="str">
        <v>IRRI</v>
      </c>
      <c r="C9" s="4" t="str">
        <v>India</v>
      </c>
      <c r="D9" s="5">
        <v>13</v>
      </c>
      <c r="E9" s="4">
        <v>2895</v>
      </c>
    </row>
    <row r="10" ht="45" customHeight="1">
      <c r="A10" s="4" t="str">
        <v xml:space="preserve">AOW04: Low-emission Transitions  </v>
      </c>
      <c r="B10" s="4" t="str">
        <v>IRRI</v>
      </c>
      <c r="C10" s="4" t="str">
        <v>Philippines</v>
      </c>
      <c r="D10" s="5">
        <v>36.5</v>
      </c>
      <c r="E10" s="4">
        <v>2896</v>
      </c>
    </row>
    <row r="11" ht="45" customHeight="1">
      <c r="A11" s="4" t="str">
        <v xml:space="preserve">AOW04: Low-emission Transitions  </v>
      </c>
      <c r="B11" s="4" t="str">
        <v>IRRI</v>
      </c>
      <c r="C11" s="4" t="str">
        <v>Thailand</v>
      </c>
      <c r="D11" s="5">
        <v>14</v>
      </c>
      <c r="E11" s="4">
        <v>2897</v>
      </c>
    </row>
    <row r="12" ht="45" customHeight="1">
      <c r="A12" s="4" t="str">
        <v xml:space="preserve">AOW04: Low-emission Transitions  </v>
      </c>
      <c r="B12" s="4" t="str">
        <v>IRRI</v>
      </c>
      <c r="C12" s="4" t="str">
        <v>The Socialist Republic of Viet Nam</v>
      </c>
      <c r="D12" s="5">
        <v>36.5</v>
      </c>
      <c r="E12" s="4">
        <v>2898</v>
      </c>
    </row>
    <row r="13" ht="45" customHeight="1">
      <c r="A13" s="8" t="str">
        <v xml:space="preserve">AOW05: Finance and Policy for Scaling Solutions </v>
      </c>
      <c r="B13" s="4" t="str">
        <v>IRRI</v>
      </c>
      <c r="C13" s="4" t="str">
        <v>Philippines</v>
      </c>
      <c r="D13" s="5">
        <v>50</v>
      </c>
      <c r="E13" s="4">
        <v>2899</v>
      </c>
    </row>
    <row r="14" ht="45" customHeight="1">
      <c r="A14" s="4" t="str">
        <v xml:space="preserve">AOW05: Finance and Policy for Scaling Solutions </v>
      </c>
      <c r="B14" s="4" t="str">
        <v>IRRI</v>
      </c>
      <c r="C14" s="4" t="str">
        <v>The Socialist Republic of Viet Nam</v>
      </c>
      <c r="D14" s="5">
        <v>50</v>
      </c>
      <c r="E14" s="4">
        <v>2900</v>
      </c>
    </row>
  </sheetData>
  <mergeCells count="6">
    <mergeCell ref="A2:A3"/>
    <mergeCell ref="A4"/>
    <mergeCell ref="A5:A6"/>
    <mergeCell ref="A7:A8"/>
    <mergeCell ref="A9:A12"/>
    <mergeCell ref="A13:A14"/>
  </mergeCells>
  <ignoredErrors>
    <ignoredError numberStoredAsText="1" sqref="A1:E14"/>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1432</v>
      </c>
    </row>
    <row r="3" ht="45" customHeight="1">
      <c r="A3" s="8" t="str">
        <v xml:space="preserve">AOW01: Prioritization and Coordination of Climate Action </v>
      </c>
      <c r="B3" s="4" t="str">
        <v>IRRI</v>
      </c>
      <c r="C3" s="4" t="str">
        <v>Global</v>
      </c>
      <c r="D3" s="4" t="str">
        <v>global</v>
      </c>
      <c r="E3" s="5">
        <v>100</v>
      </c>
      <c r="F3" s="4">
        <v>1062</v>
      </c>
    </row>
    <row r="4" ht="45" customHeight="1">
      <c r="A4" s="8" t="str">
        <v xml:space="preserve">AOW02: Digital Advisories and Climate Risk Management  </v>
      </c>
      <c r="B4" s="4" t="str">
        <v>IRRI</v>
      </c>
      <c r="C4" s="4" t="str">
        <v>India</v>
      </c>
      <c r="D4" s="4" t="str">
        <v>country</v>
      </c>
      <c r="E4" s="5">
        <v>43</v>
      </c>
      <c r="F4" s="4">
        <v>1063</v>
      </c>
    </row>
    <row r="5" ht="45" customHeight="1">
      <c r="A5" s="4" t="str">
        <v xml:space="preserve">AOW02: Digital Advisories and Climate Risk Management  </v>
      </c>
      <c r="B5" s="4" t="str">
        <v>IRRI</v>
      </c>
      <c r="C5" s="4" t="str">
        <v>Philippines</v>
      </c>
      <c r="D5" s="4" t="str">
        <v>country</v>
      </c>
      <c r="E5" s="5">
        <v>57</v>
      </c>
      <c r="F5" s="4">
        <v>1064</v>
      </c>
    </row>
    <row r="6" ht="45" customHeight="1">
      <c r="A6" s="8" t="str">
        <v xml:space="preserve">AOW03: Locally-led Adaptation  </v>
      </c>
      <c r="B6" s="4" t="str">
        <v>IRRI</v>
      </c>
      <c r="C6" s="4" t="str">
        <v>Global</v>
      </c>
      <c r="D6" s="4" t="str">
        <v>global</v>
      </c>
      <c r="E6" s="5">
        <v>100</v>
      </c>
      <c r="F6" s="4">
        <v>1065</v>
      </c>
    </row>
    <row r="7" ht="45" customHeight="1">
      <c r="A7" s="8" t="str">
        <v xml:space="preserve">AOW04: Low-emission Transitions  </v>
      </c>
      <c r="B7" s="4" t="str">
        <v>IRRI</v>
      </c>
      <c r="C7" s="4" t="str">
        <v>Global</v>
      </c>
      <c r="D7" s="4" t="str">
        <v>global</v>
      </c>
      <c r="E7" s="5">
        <v>100</v>
      </c>
      <c r="F7" s="4">
        <v>1066</v>
      </c>
    </row>
    <row r="8" ht="45" customHeight="1">
      <c r="A8" s="8" t="str">
        <v xml:space="preserve">AOW05: Finance and Policy for Scaling Solutions </v>
      </c>
      <c r="B8" s="4" t="str">
        <v>IRRI</v>
      </c>
      <c r="C8" s="4" t="str">
        <v>Global</v>
      </c>
      <c r="D8" s="4" t="str">
        <v>global</v>
      </c>
      <c r="E8" s="5">
        <v>100</v>
      </c>
      <c r="F8" s="4">
        <v>1067</v>
      </c>
    </row>
  </sheetData>
  <mergeCells count="6">
    <mergeCell ref="A2"/>
    <mergeCell ref="A3"/>
    <mergeCell ref="A4:A5"/>
    <mergeCell ref="A6"/>
    <mergeCell ref="A7"/>
    <mergeCell ref="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