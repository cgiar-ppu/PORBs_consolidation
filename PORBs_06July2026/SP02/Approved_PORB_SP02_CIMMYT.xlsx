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47141</v>
      </c>
      <c r="K4" s="5">
        <v>47141</v>
      </c>
      <c r="L4" s="5">
        <v>0</v>
      </c>
      <c r="M4" s="5">
        <v>0</v>
      </c>
      <c r="N4" s="4">
        <v>169</v>
      </c>
    </row>
    <row r="5" ht="20" customHeight="1">
      <c r="A5" s="4" t="str">
        <v>AOW01: Accelerating AI-Enabled Farm Advisory at Scale.</v>
      </c>
      <c r="B5" s="5">
        <v>2</v>
      </c>
      <c r="C5" s="5">
        <v>104566</v>
      </c>
      <c r="D5" s="5">
        <v>8</v>
      </c>
      <c r="E5" s="5">
        <v>280387</v>
      </c>
      <c r="F5" s="5">
        <v>0</v>
      </c>
      <c r="G5" s="5">
        <v>0</v>
      </c>
      <c r="H5" s="5">
        <v>0</v>
      </c>
      <c r="I5" s="5">
        <v>0</v>
      </c>
      <c r="J5" s="5">
        <v>384953</v>
      </c>
      <c r="K5" s="5">
        <v>384953</v>
      </c>
      <c r="L5" s="5">
        <v>0</v>
      </c>
      <c r="M5" s="5">
        <v>0</v>
      </c>
      <c r="N5" s="4">
        <v>168</v>
      </c>
    </row>
    <row r="6" ht="20" customHeight="1">
      <c r="A6" s="4" t="str">
        <v>AOW02: Enabling Preparedness and Rapid Response to Emerging Shocks</v>
      </c>
      <c r="B6" s="5">
        <v>25</v>
      </c>
      <c r="C6" s="5">
        <v>401780</v>
      </c>
      <c r="D6" s="5">
        <v>5</v>
      </c>
      <c r="E6" s="5">
        <v>159327</v>
      </c>
      <c r="F6" s="5">
        <v>20</v>
      </c>
      <c r="G6" s="5">
        <v>31820</v>
      </c>
      <c r="H6" s="5">
        <v>0</v>
      </c>
      <c r="I6" s="5">
        <v>0</v>
      </c>
      <c r="J6" s="5">
        <v>592927</v>
      </c>
      <c r="K6" s="5">
        <v>592927</v>
      </c>
      <c r="L6" s="5">
        <v>21000</v>
      </c>
      <c r="M6" s="5">
        <v>0</v>
      </c>
      <c r="N6" s="4">
        <v>166</v>
      </c>
    </row>
    <row r="7" ht="20" customHeight="1">
      <c r="A7" s="4" t="str">
        <v>AOW03: Delivering Integrated Solutions to Systemic Farm-Level Binding Constraints</v>
      </c>
      <c r="B7" s="5">
        <v>4</v>
      </c>
      <c r="C7" s="5">
        <v>184215</v>
      </c>
      <c r="D7" s="5">
        <v>14</v>
      </c>
      <c r="E7" s="5">
        <v>392104</v>
      </c>
      <c r="F7" s="5">
        <v>1320</v>
      </c>
      <c r="G7" s="5">
        <v>412446</v>
      </c>
      <c r="H7" s="5">
        <v>0</v>
      </c>
      <c r="I7" s="5">
        <v>0</v>
      </c>
      <c r="J7" s="5">
        <v>988765</v>
      </c>
      <c r="K7" s="5">
        <v>988765</v>
      </c>
      <c r="L7" s="5">
        <v>30000</v>
      </c>
      <c r="M7" s="5">
        <v>0</v>
      </c>
      <c r="N7" s="4">
        <v>164</v>
      </c>
    </row>
    <row r="8" ht="20" customHeight="1">
      <c r="A8" s="4" t="str">
        <v>AOW04: Incubating Innovation in Sustainable Farming</v>
      </c>
      <c r="B8" s="5">
        <v>0</v>
      </c>
      <c r="C8" s="5">
        <v>0</v>
      </c>
      <c r="D8" s="5">
        <v>0</v>
      </c>
      <c r="E8" s="5">
        <v>0</v>
      </c>
      <c r="F8" s="5">
        <v>0</v>
      </c>
      <c r="G8" s="5">
        <v>0</v>
      </c>
      <c r="H8" s="5">
        <v>0</v>
      </c>
      <c r="I8" s="5">
        <v>0</v>
      </c>
      <c r="J8" s="5">
        <v>0</v>
      </c>
      <c r="K8" s="5">
        <v>0</v>
      </c>
      <c r="L8" s="5">
        <v>0</v>
      </c>
      <c r="M8" s="5">
        <v>0</v>
      </c>
      <c r="N8" s="4">
        <v>165</v>
      </c>
    </row>
    <row r="9" ht="20" customHeight="1">
      <c r="A9" s="4" t="str">
        <v>AOW05: Accelerating Impact</v>
      </c>
      <c r="B9" s="5">
        <v>26</v>
      </c>
      <c r="C9" s="5">
        <v>1086572</v>
      </c>
      <c r="D9" s="5">
        <v>10</v>
      </c>
      <c r="E9" s="5">
        <v>40000</v>
      </c>
      <c r="F9" s="5">
        <v>0</v>
      </c>
      <c r="G9" s="5">
        <v>0</v>
      </c>
      <c r="H9" s="5">
        <v>0</v>
      </c>
      <c r="I9" s="5">
        <v>0</v>
      </c>
      <c r="J9" s="5">
        <v>1126572</v>
      </c>
      <c r="K9" s="5">
        <v>1126572</v>
      </c>
      <c r="L9" s="5">
        <v>0</v>
      </c>
      <c r="M9" s="5">
        <v>0</v>
      </c>
      <c r="N9" s="4">
        <v>167</v>
      </c>
    </row>
    <row r="10" ht="25" customHeight="1">
      <c r="A10" s="6" t="str">
        <v>Total</v>
      </c>
      <c r="B10" s="7" t="str">
        <v/>
      </c>
      <c r="C10" s="7">
        <v>1777133</v>
      </c>
      <c r="D10" s="7" t="str">
        <v/>
      </c>
      <c r="E10" s="7">
        <v>871818</v>
      </c>
      <c r="F10" s="7" t="str">
        <v/>
      </c>
      <c r="G10" s="7">
        <v>444266</v>
      </c>
      <c r="H10" s="7" t="str">
        <v/>
      </c>
      <c r="I10" s="7">
        <v>0</v>
      </c>
      <c r="J10" s="7">
        <v>3140358</v>
      </c>
      <c r="K10" s="7">
        <v>3140358</v>
      </c>
      <c r="L10" s="7">
        <v>51000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3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AI-Enabled Farm Advisory at Scale.</v>
      </c>
      <c r="B3" s="4" t="str">
        <v>CIMMYT</v>
      </c>
      <c r="C3" s="4" t="str">
        <v xml:space="preserve">1.3: Farmer utilization and adoption of AI-enabled advisory services </v>
      </c>
      <c r="D3" s="4" t="str">
        <v xml:space="preserve"> Integrate at least three standardized datasets (e.g., from trials, LTEs, on soil, climate and soil water) into AI-ready pipelines and validate at least three 3 agroecology-specific advisory tools (e.g., AgWise, HaFAS and similar tools from CIMMYT and partners)</v>
      </c>
      <c r="E3" s="4" t="str">
        <v>Number of knowledge products</v>
      </c>
      <c r="F3" s="4" t="str">
        <v>India, Ethiopia</v>
      </c>
      <c r="G3" s="5">
        <v>3</v>
      </c>
      <c r="H3" s="5">
        <v>75105</v>
      </c>
      <c r="I3" s="4" t="str">
        <v>Additional fund added</v>
      </c>
      <c r="J3" s="4">
        <v>4912</v>
      </c>
    </row>
    <row r="4" ht="50" customHeight="1">
      <c r="B4" s="4" t="str">
        <v>CIMMYT</v>
      </c>
      <c r="D4" s="4" t="str">
        <v xml:space="preserve">Adapting current stochastic returns modeling framework to show how existing CGIAR resources captured through carob feed directly into a geospatial modeling framework for agronomic diagnostics/recommendations at broad spatial scales, and in ways that incorporate production and market uncertainty (which are important for farmers in sub-Saharan Africa who operate in rain-fed systems with volatile markets). </v>
      </c>
      <c r="E4" s="4" t="str">
        <v>Number of innovations (innovation development)</v>
      </c>
      <c r="F4" s="4" t="str">
        <v>Nigeria, Ethiopia, Kenya</v>
      </c>
      <c r="G4" s="5">
        <v>1</v>
      </c>
      <c r="H4" s="5">
        <v>44566</v>
      </c>
      <c r="I4" s="4" t="str">
        <v>additional funding added</v>
      </c>
      <c r="J4" s="4">
        <v>4913</v>
      </c>
    </row>
    <row r="5" ht="50" customHeight="1" xml:space="preserve">
      <c r="B5" s="4" t="str">
        <v>CIMMYT</v>
      </c>
      <c r="D5" s="4" t="str">
        <v>Translate partner and farmer needs/demands in key geographies (e.g., Ethiopia, Kenya, Mexico, and India) into actionable advisory requirements; define and close critical data gaps aligned to these needs; standardize and structure datasets and analytics to make them AI-ready; and operationalize existing DST advisory platforms (e.g., HaFAS, virtual agronomist, FarmerChat) using integrated data streams (e.g., CGIAR, NARES, remote sensing) to deliver context-specific, demand-driven advisory services.</v>
      </c>
      <c r="E5" s="4" t="str">
        <v>Number of knowledge products</v>
      </c>
      <c r="F5" s="4" t="str">
        <v>India, Kenya, Ethiopia, Mexico</v>
      </c>
      <c r="G5" s="5">
        <v>4</v>
      </c>
      <c r="H5" s="5">
        <v>85282</v>
      </c>
      <c r="I5" s="4" t="str" xml:space="preserve">
        <v xml:space="preserve">Split into multiple deliverables
</v>
      </c>
      <c r="J5" s="4">
        <v>7941</v>
      </c>
    </row>
    <row r="6" ht="50" customHeight="1">
      <c r="A6" s="4" t="str">
        <v>AOW01: Accelerating AI-Enabled Farm Advisory at Scale.</v>
      </c>
      <c r="B6" s="4" t="str">
        <v>CIMMYT</v>
      </c>
      <c r="C6" s="4" t="str">
        <v xml:space="preserve"> 1.1: Agronomic and farm management scientific data and analytics  </v>
      </c>
      <c r="D6" s="4" t="str">
        <v>Replicable workflow to translate existing soil and agronomy data assets (from GAIA and at least 3 related projects) into AI-ready advisory inputs by identifying and closing critical data gaps, structuring and harmonizing datasets and analytics, and developing an AI-enabled post-processing tool that feeds seamlessly into Carob and similar harmonization pipelines.</v>
      </c>
      <c r="E6" s="4" t="str">
        <v>Number of innovations (innovation development)</v>
      </c>
      <c r="F6" s="4" t="str">
        <v>Kenya, Mexico, India, Ethiopia</v>
      </c>
      <c r="G6" s="5">
        <v>1</v>
      </c>
      <c r="H6" s="5">
        <v>60000</v>
      </c>
      <c r="I6" s="4" t="str">
        <v>additional funding added</v>
      </c>
      <c r="J6" s="4">
        <v>7946</v>
      </c>
    </row>
    <row r="7" ht="50" customHeight="1">
      <c r="A7" s="4" t="str">
        <v>AOW01: Accelerating AI-Enabled Farm Advisory at Scale.</v>
      </c>
      <c r="B7" s="4" t="str">
        <v>CIMMYT</v>
      </c>
      <c r="C7" s="4" t="str">
        <v xml:space="preserve">1.2: Benchmarking and performance validation systems </v>
      </c>
      <c r="D7" s="4" t="str">
        <v>Randomized controlled trial (RCT) taking different versions of AI-enabled agronomic advisories to separate out the impacts of (a) site-specific versus non-site-specific content components and (b) high-quality one-on-one in-field delivery versus status-quo group extension or broadcast electronic messaging away from farmer fields.</v>
      </c>
      <c r="E7" s="4" t="str">
        <v>Number of knowledge products</v>
      </c>
      <c r="F7" s="4" t="str">
        <v>Ethiopia, Kenya</v>
      </c>
      <c r="G7" s="5">
        <v>1</v>
      </c>
      <c r="H7" s="5">
        <v>120000</v>
      </c>
      <c r="I7" s="4" t="str">
        <v>additional funding added</v>
      </c>
      <c r="J7" s="4">
        <v>7947</v>
      </c>
    </row>
    <row r="8" ht="25" customHeight="1">
      <c r="C8" s="9" t="str">
        <v>HLO budget subtotal</v>
      </c>
      <c r="H8" s="9">
        <v>384953</v>
      </c>
      <c r="J8" s="9" t="str">
        <v/>
      </c>
    </row>
    <row r="9" ht="50" customHeight="1">
      <c r="A9" s="8" t="str">
        <v>AOW02: Enabling Preparedness and Rapid Response to Emerging Shocks</v>
      </c>
      <c r="B9" s="4" t="str">
        <v>CIMMYT</v>
      </c>
      <c r="C9" s="4" t="str">
        <v>2.2: Strategies for response to water related shocks</v>
      </c>
      <c r="D9" s="4" t="str">
        <v>Datasets of field (e.g. longterm experiments, validation trials) or farm household level (impact assessments, response behaviour, adoption likelihood) to guide and evaluate response options.</v>
      </c>
      <c r="E9" s="4" t="str">
        <v>Number of innovations (innovation development)</v>
      </c>
      <c r="F9" s="4" t="str">
        <v>Bangladesh, Zambia, Uganda, India</v>
      </c>
      <c r="G9" s="5">
        <v>14</v>
      </c>
      <c r="H9" s="5">
        <v>338039</v>
      </c>
      <c r="I9" s="4" t="str">
        <v>inclusive of partner budget</v>
      </c>
      <c r="J9" s="4">
        <v>4922</v>
      </c>
    </row>
    <row r="10" ht="50" customHeight="1">
      <c r="B10" s="4" t="str">
        <v>CIMMYT</v>
      </c>
      <c r="D10" s="4" t="str">
        <v>Conduct comparative analysis using LSMS data from Ethiopia, Tanzania, and Malawi to identify household- and farm-level determinants of resilience to water-related shocks, pests, and disease outbreaks, and to generate evidence for context-specific response strategies. The activity will use nationally relevant household and agricultural survey data to examine exposure, vulnerability, coping responses, input use, management practices, access to information, and recovery outcomes across farming systems. It will assess which farm-level strategies, institutional conditions, and service access mechanisms are associated with better preparedness, adaptive capacity, and shock response. The analysis will explicitly compare countries and agroecological contexts to identify scalable and locally appropriate interventions that can inform agronomic testing, digital advisory systems, surveillance, and adaptive management frameworks.</v>
      </c>
      <c r="E10" s="4" t="str">
        <v>Number of knowledge products</v>
      </c>
      <c r="F10" s="4" t="str">
        <v>Malawi, Tanzania, United Republic, Ethiopia</v>
      </c>
      <c r="G10" s="5">
        <v>4</v>
      </c>
      <c r="H10" s="5">
        <v>119327</v>
      </c>
      <c r="I10" s="4" t="str">
        <v>no budget assumption</v>
      </c>
      <c r="J10" s="4">
        <v>7920</v>
      </c>
    </row>
    <row r="11" ht="50" customHeight="1">
      <c r="B11" s="4" t="str">
        <v>CIMMYT</v>
      </c>
      <c r="D11" s="4" t="str">
        <v>Forecast-Triggered Early Action Protocols : Transforms S2S forecasts and impact models into operational early warning triggers, early action protocols, and emergency response plans. Defines thresholds, response menus, and institutional roles to enable proactive, coordinated responses across governments and partners.</v>
      </c>
      <c r="E11" s="4" t="str">
        <v>Number of innovations (innovation development)</v>
      </c>
      <c r="F11" s="4" t="str">
        <v>Ghana, Nigeria, Kenya</v>
      </c>
      <c r="G11" s="5">
        <v>1</v>
      </c>
      <c r="H11" s="5">
        <v>42735</v>
      </c>
      <c r="I11" s="4" t="str">
        <v>additional budget</v>
      </c>
      <c r="J11" s="4">
        <v>7935</v>
      </c>
    </row>
    <row r="12" ht="50" customHeight="1">
      <c r="A12" s="4" t="str">
        <v>AOW02: Enabling Preparedness and Rapid Response to Emerging Shocks</v>
      </c>
      <c r="B12" s="4" t="str">
        <v>CIMMYT</v>
      </c>
      <c r="C12" s="4" t="str">
        <v xml:space="preserve">2.1: Enhanced resolution, accuracy and timeliness of early warning system </v>
      </c>
      <c r="D12" s="4" t="str">
        <v>Enhanced data sets to enhance detection, distribution, diversity and forecasting of current and emerging pests or diseases for different cropping systems (yam, bean, cassava, banana, sorghum, potato, and sweet potato)</v>
      </c>
      <c r="E12" s="4" t="str">
        <v>Number of innovations (innovation development)</v>
      </c>
      <c r="F12" s="4" t="str">
        <v>India, Colombia, Tanzania, United Republic, Kenya, Niger, Burkina Faso, Cameroon, Uganda, Nigeria, Zimbabwe, Togo, Mali, Zambia, Ghana, Mozambique, Ethiopia, Chad, South Sudan, Senegal</v>
      </c>
      <c r="G12" s="5">
        <v>10</v>
      </c>
      <c r="H12" s="5">
        <v>21006</v>
      </c>
      <c r="I12" s="4" t="str">
        <v>no budget assumption</v>
      </c>
      <c r="J12" s="4">
        <v>4931</v>
      </c>
    </row>
    <row r="13" ht="50" customHeight="1">
      <c r="B13" s="4" t="str">
        <v>CIMMYT</v>
      </c>
      <c r="D13" s="4" t="str">
        <v>Training material and training activities to enhance early detection of water related shocks, pests and disease occurrence using AI and digital tools</v>
      </c>
      <c r="E13" s="4" t="str">
        <v>Number of people trained (capacity sharing for development)</v>
      </c>
      <c r="F13" s="4" t="str">
        <v>Zimbabwe, Malawi, Mozambique, Zambia, Uganda, Rwanda, Kenya, Ethiopia, Philippines, Netherlands (Kingdom of the), Cameroon, Tanzania, United Republic, The Democratic Republic of the Congo, Nigeria</v>
      </c>
      <c r="G13" s="5">
        <v>20</v>
      </c>
      <c r="H13" s="5">
        <v>31820</v>
      </c>
      <c r="I13" s="4" t="str">
        <v>no budget assumption</v>
      </c>
      <c r="J13" s="4">
        <v>4951</v>
      </c>
    </row>
    <row r="14" ht="50" customHeight="1">
      <c r="A14" s="4" t="str">
        <v>AOW02: Enabling Preparedness and Rapid Response to Emerging Shocks</v>
      </c>
      <c r="B14" s="4" t="str">
        <v>CIMMYT</v>
      </c>
      <c r="C14" s="4" t="str">
        <v xml:space="preserve">2.3: Responses effectiveness and trade-offs to climate, pests and diseases shocks </v>
      </c>
      <c r="D14" s="4" t="str">
        <v>Evidence Synthesis &amp; Strategy Framework - Integrated review of resilience frameworks, datasets, and farm system models to develop a shock-responsive strategy for compound agri-food shocks. Produces a framework, evidence matrix, and gap analysis to guide early action design, response planning, and partner uptake.</v>
      </c>
      <c r="E14" s="4" t="str">
        <v>Number of knowledge products</v>
      </c>
      <c r="F14" s="4" t="str">
        <v>Ghana, Bangladesh, Kenya, Nigeria</v>
      </c>
      <c r="G14" s="5">
        <v>1</v>
      </c>
      <c r="H14" s="5">
        <v>40000</v>
      </c>
      <c r="I14" s="4" t="str">
        <v>additional budget</v>
      </c>
      <c r="J14" s="4">
        <v>8320</v>
      </c>
    </row>
    <row r="15" ht="25" customHeight="1">
      <c r="C15" s="9" t="str">
        <v>HLO budget subtotal</v>
      </c>
      <c r="H15" s="9">
        <v>592927</v>
      </c>
      <c r="J15" s="9" t="str">
        <v/>
      </c>
    </row>
    <row r="16" ht="50" customHeight="1">
      <c r="A16" s="8" t="str">
        <v>AOW03: Delivering Integrated Solutions to Systemic Farm-Level Binding Constraints</v>
      </c>
      <c r="B16" s="4" t="str">
        <v>CIMMYT</v>
      </c>
      <c r="C16" s="4" t="str">
        <v xml:space="preserve">3.2. Validated, farm-level management solutions </v>
      </c>
      <c r="D16" s="4" t="str">
        <v>KPI 3.5.1: (Critical capabilities) Co-design and validate integrated farm-level solution packages that simultaneously address multiple interacting constraints (soil, water, crops, labor, livestock) to optimize system productivity and resilience.</v>
      </c>
      <c r="E16" s="4" t="str">
        <v>Number of innovations (innovation development)</v>
      </c>
      <c r="F16" s="4" t="str">
        <v>Colombia, Lao People's Democratic Republic, Bangladesh, Mexico, Cambodia, Côte d'Ivoire, Philippines, Nigeria, The Socialist Republic of Viet Nam, Cameroon, Ghana, Malawi, Tanzania, United Republic, Kenya, India, Ethiopia, Madagascar</v>
      </c>
      <c r="G16" s="5">
        <v>4</v>
      </c>
      <c r="H16" s="5">
        <v>184215</v>
      </c>
      <c r="I16" s="4" t="str">
        <v>with the additional budget</v>
      </c>
      <c r="J16" s="4">
        <v>5052</v>
      </c>
    </row>
    <row r="17" ht="50" customHeight="1">
      <c r="B17" s="4" t="str">
        <v>CIMMYT</v>
      </c>
      <c r="D17" s="4" t="str">
        <v>KPI 3.4.1: Develop and validate integrated plant health solutions that reduce biotic constraints through combined agronomic, biological, and ecological approaches adapted to smallholder systems.</v>
      </c>
      <c r="E17" s="4" t="str">
        <v>Number of knowledge products</v>
      </c>
      <c r="F17" s="4" t="str">
        <v>Zambia, Uganda</v>
      </c>
      <c r="G17" s="5">
        <v>3</v>
      </c>
      <c r="H17" s="5">
        <v>54781</v>
      </c>
      <c r="I17" s="4" t="str">
        <v>with additional budget</v>
      </c>
      <c r="J17" s="4">
        <v>7785</v>
      </c>
    </row>
    <row r="18" ht="50" customHeight="1">
      <c r="B18" s="4" t="str">
        <v>CIMMYT</v>
      </c>
      <c r="D18" s="4" t="str">
        <v>KPI 3.5.1: Co-design and validate integrated farm-level solution packages that simultaneously address multiple interacting constraints (soil, water, crops, labor, livestock) to optimize system productivity and resilience.</v>
      </c>
      <c r="E18" s="4" t="str">
        <v>Number of knowledge products</v>
      </c>
      <c r="F18" s="4" t="str">
        <v>Mexico, Kenya</v>
      </c>
      <c r="G18" s="5">
        <v>3</v>
      </c>
      <c r="H18" s="5">
        <v>178108</v>
      </c>
      <c r="I18" s="4" t="str">
        <v>with additional budget</v>
      </c>
      <c r="J18" s="4">
        <v>7804</v>
      </c>
    </row>
    <row r="19" ht="50" customHeight="1">
      <c r="A19" s="4" t="str">
        <v>AOW03: Delivering Integrated Solutions to Systemic Farm-Level Binding Constraints</v>
      </c>
      <c r="B19" s="4" t="str">
        <v>CIMMYT</v>
      </c>
      <c r="C19" s="4" t="str">
        <v xml:space="preserve">3.3: Scaled and adopted farm management solutions </v>
      </c>
      <c r="D19" s="4" t="str">
        <v>KPI 3.6.2: Strengthen capacities of farmers, extension agents, and partners through training, advisory services, and digital platforms to enable widespread uptake of solutions addressing farm-level binding constraints.</v>
      </c>
      <c r="E19" s="4" t="str">
        <v>Number of people trained (capacity sharing for development)</v>
      </c>
      <c r="F19" s="4" t="str">
        <v>Zambia, Mexico, Ethiopia, Malawi, Nepal, Kenya, India, The Democratic Republic of the Congo, The Socialist Republic of Viet Nam, Uganda</v>
      </c>
      <c r="G19" s="5">
        <v>1320</v>
      </c>
      <c r="H19" s="5">
        <v>412446</v>
      </c>
      <c r="I19" s="4" t="str">
        <v>with partner budget</v>
      </c>
      <c r="J19" s="4">
        <v>5056</v>
      </c>
    </row>
    <row r="20" ht="50" customHeight="1">
      <c r="A20" s="4" t="str">
        <v>AOW03: Delivering Integrated Solutions to Systemic Farm-Level Binding Constraints</v>
      </c>
      <c r="B20" s="4" t="str">
        <v>CIMMYT</v>
      </c>
      <c r="C20" s="4" t="str">
        <v xml:space="preserve">3.1: Farm-level diagnostic evidence on soil, plant, water, and socio-economic constraints </v>
      </c>
      <c r="D20" s="4" t="str">
        <v>KPI 3.1.2: Generate, standardize, and disseminate diagnostic frameworks, spatial analyses, and evidence products that characterize farm-level binding constraints and guide context-specific intervention targeting.</v>
      </c>
      <c r="E20" s="4" t="str">
        <v>Number of knowledge products</v>
      </c>
      <c r="F20" s="4" t="str">
        <v>Rwanda, India, Malawi, Kenya, Ethiopia, Nepal, Peru, Ghana</v>
      </c>
      <c r="G20" s="5">
        <v>8</v>
      </c>
      <c r="H20" s="5">
        <v>159215</v>
      </c>
      <c r="I20" s="4" t="str">
        <v>with additional budget</v>
      </c>
      <c r="J20" s="4">
        <v>5065</v>
      </c>
    </row>
    <row r="21" ht="25" customHeight="1">
      <c r="C21" s="9" t="str">
        <v>HLO budget subtotal</v>
      </c>
      <c r="H21" s="9">
        <v>988765</v>
      </c>
      <c r="J21" s="9" t="str">
        <v/>
      </c>
    </row>
    <row r="22" ht="50" customHeight="1">
      <c r="A22" s="8" t="str">
        <v>AOW05: Accelerating Impact</v>
      </c>
      <c r="B22" s="4" t="str">
        <v>CIMMYT</v>
      </c>
      <c r="C22" s="4" t="str">
        <v xml:space="preserve">5.5. Well-documented, widely applicable and replicable partnership platforms </v>
      </c>
      <c r="D22" s="4" t="str">
        <v>Critical Capability: Agentic advisory stacks, (eg incorporating LLMs + MCP orchestration, Fertilizer optimization service, Agro-climate advisory service, Github repository documented all the scripts) developed with supporting services, script repositories, journal papers and made available to partners</v>
      </c>
      <c r="E22" s="4" t="str">
        <v>Number of innovations (innovation development)</v>
      </c>
      <c r="F22" s="4" t="str">
        <v>United States of America, Zimbabwe, Kenya</v>
      </c>
      <c r="G22" s="5">
        <v>3</v>
      </c>
      <c r="H22" s="5">
        <v>249210</v>
      </c>
      <c r="I22" s="4" t="str">
        <v>merged KPIs</v>
      </c>
      <c r="J22" s="4">
        <v>4886</v>
      </c>
    </row>
    <row r="23" ht="50" customHeight="1">
      <c r="B23" s="4" t="str">
        <v>CIMMYT</v>
      </c>
      <c r="D23" s="4" t="str">
        <v>Critical Capability: Deliver locally relevant and locally adapted, science-based evidence on feasible cropping system improvements to increase farmers' sustainability and welfare</v>
      </c>
      <c r="E23" s="4" t="str">
        <v>Number of innovations (innovation development)</v>
      </c>
      <c r="F23" s="4" t="str">
        <v>Malawi, Ethiopia, India, Kenya</v>
      </c>
      <c r="G23" s="5">
        <v>5</v>
      </c>
      <c r="H23" s="5">
        <v>238854</v>
      </c>
      <c r="I23" s="4" t="str">
        <v>as per initial budget</v>
      </c>
      <c r="J23" s="4">
        <v>4887</v>
      </c>
    </row>
    <row r="24" ht="50" customHeight="1">
      <c r="B24" s="4" t="str">
        <v>CIMMYT</v>
      </c>
      <c r="D24" s="4" t="str">
        <v>Critical Capability: Integrated platform-based innovations quantified in terms of risks, benefits, trade-offs and opportunities for local farming households, and policymakers. Quantification of opportunities to manage emerging and problems</v>
      </c>
      <c r="E24" s="4" t="str">
        <v>Number of innovations (innovation development)</v>
      </c>
      <c r="F24" s="4" t="str">
        <v>Zimbabwe, India, Mexico, Kenya</v>
      </c>
      <c r="G24" s="5">
        <v>10</v>
      </c>
      <c r="H24" s="5">
        <v>119605</v>
      </c>
      <c r="I24" s="4" t="str">
        <v>with the additional budget</v>
      </c>
      <c r="J24" s="4">
        <v>4888</v>
      </c>
    </row>
    <row r="25" ht="50" customHeight="1">
      <c r="B25" s="4" t="str">
        <v>CIMMYT</v>
      </c>
      <c r="D25" s="4" t="str">
        <v>Multi-stakeholder partnership platforms (PAASSs) framework engaging diverse partners to support the scaling of bundled solutions for multiple crops (cassava, maize, sorghum, soybean, teff, rice, cocoa, coffee, etc) and livestock emerging from AoWs 1–3 in different locations and countries.</v>
      </c>
      <c r="E25" s="4" t="str">
        <v>Number of innovations (innovation development)</v>
      </c>
      <c r="F25" s="4" t="str">
        <v>Côte d'Ivoire, Uganda, Zambia, Nepal, Bangladesh, The Democratic Republic of the Congo, Ghana, Kenya, Nigeria, Tanzania, United Republic, Malawi, Mexico, Ethiopia, Egypt, Morocco, The Socialist Republic of Viet Nam, India, Philippines, Cambodia</v>
      </c>
      <c r="G25" s="5">
        <v>5</v>
      </c>
      <c r="H25" s="5">
        <v>358287</v>
      </c>
      <c r="I25" s="4" t="str">
        <v>additional budget added</v>
      </c>
      <c r="J25" s="4">
        <v>4893</v>
      </c>
    </row>
    <row r="26" ht="50" customHeight="1">
      <c r="A26" s="4" t="str">
        <v>AOW05: Accelerating Impact</v>
      </c>
      <c r="B26" s="4" t="str">
        <v>CIMMYT</v>
      </c>
      <c r="C26" s="4" t="str">
        <v>5.3 FAIR, AI-ready data corpus, data and metadata standards</v>
      </c>
      <c r="D26" s="4" t="str">
        <v>Number of knowledge products on FAIR data and modeling tools</v>
      </c>
      <c r="E26" s="4" t="str">
        <v>Number of knowledge products</v>
      </c>
      <c r="F26" s="4" t="str">
        <v>India, Rwanda, Zimbabwe, Ethiopia, Kenya</v>
      </c>
      <c r="G26" s="5">
        <v>6</v>
      </c>
      <c r="H26" s="5">
        <v>20000</v>
      </c>
      <c r="I26" s="4" t="str">
        <v>additional budget</v>
      </c>
      <c r="J26" s="4">
        <v>4959</v>
      </c>
    </row>
    <row r="27" ht="50" customHeight="1" xml:space="preserve">
      <c r="B27" s="4" t="str">
        <v>CIMMYT</v>
      </c>
      <c r="D27" s="4" t="str" xml:space="preserve">
        <v xml:space="preserve">Database of standards-compliant data ("Carob") including workflows to quality-control, clean and render data standards-compliant using R scripts and R packages, enabled by minimum required agronomy data and standards-compliant data collection protocols and tools 
</v>
      </c>
      <c r="E27" s="4" t="str">
        <v>Number of innovations (innovation development)</v>
      </c>
      <c r="F27" s="4" t="str">
        <v>France, Nigeria, Zimbabwe, Kenya, United States of America</v>
      </c>
      <c r="G27" s="5">
        <v>2</v>
      </c>
      <c r="H27" s="5">
        <v>80616</v>
      </c>
      <c r="I27" s="4" t="str">
        <v>as per initial budget</v>
      </c>
      <c r="J27" s="4">
        <v>4976</v>
      </c>
    </row>
    <row r="28" ht="50" customHeight="1">
      <c r="B28" s="4" t="str">
        <v>CIMMYT</v>
      </c>
      <c r="D28" s="4" t="str">
        <v>New standardized, quality-controlled datasets that serve AoWs 1, 2, and 3 (250 datasets, 0.5M new standardized observations) added to an existing corpus of about 2M records ("Carob") for analytics and decision support and assessment of Carob as training dataset for AI.</v>
      </c>
      <c r="E28" s="4" t="str">
        <v>Number of knowledge products</v>
      </c>
      <c r="F28" s="4" t="str">
        <v>Kenya, Zimbabwe, Rwanda</v>
      </c>
      <c r="G28" s="5">
        <v>1</v>
      </c>
      <c r="H28" s="5">
        <v>0</v>
      </c>
      <c r="I28" s="4" t="str">
        <v/>
      </c>
      <c r="J28" s="4">
        <v>7818</v>
      </c>
    </row>
    <row r="29" ht="50" customHeight="1">
      <c r="B29" s="4" t="str">
        <v>CIMMYT</v>
      </c>
      <c r="D29" s="4" t="str">
        <v>Critical Capability: Agentic advisory stacks, (eg incorporating LLMs + MCP orchestration, Fertilizer optimization service, Agro-climate advisory service, Github repository documented all the scripts) developed with supporting services, script repositories, journal papers and made available to partners</v>
      </c>
      <c r="E29" s="4" t="str">
        <v>Number of innovations (innovation development)</v>
      </c>
      <c r="F29" s="4" t="str">
        <v>United States of America, Zimbabwe, Kenya</v>
      </c>
      <c r="G29" s="5">
        <v>3</v>
      </c>
      <c r="H29" s="5">
        <v>0</v>
      </c>
      <c r="I29" s="4" t="str">
        <v/>
      </c>
      <c r="J29" s="4">
        <v>8215</v>
      </c>
    </row>
    <row r="30" ht="50" customHeight="1">
      <c r="A30" s="4" t="str">
        <v>AOW05: Accelerating Impact</v>
      </c>
      <c r="B30" s="4" t="str">
        <v>CIMMYT</v>
      </c>
      <c r="C30" s="4" t="str">
        <v xml:space="preserve">5.2: Well- documented and communicated SFP impact assessments </v>
      </c>
      <c r="D30" s="4" t="str">
        <v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v>
      </c>
      <c r="E30" s="4" t="str">
        <v>Number of knowledge products</v>
      </c>
      <c r="F30" s="4" t="str">
        <v>Zimbabwe, India, Benin, Ethiopia, Kenya</v>
      </c>
      <c r="G30" s="5">
        <v>4</v>
      </c>
      <c r="H30" s="5">
        <v>20000</v>
      </c>
      <c r="I30" s="4" t="str">
        <v>additional budget</v>
      </c>
      <c r="J30" s="4">
        <v>7770</v>
      </c>
    </row>
    <row r="31" ht="50" customHeight="1">
      <c r="A31" s="4" t="str">
        <v>AOW05: Accelerating Impact</v>
      </c>
      <c r="B31" s="4" t="str">
        <v>CIMMYT</v>
      </c>
      <c r="C31" s="4" t="str">
        <v xml:space="preserve">5.1. Prioritization logic for deployment via partnership platforms available </v>
      </c>
      <c r="D31" s="4" t="str">
        <v>Standardized data collection tool (LCAS-APT; Landscape Crop Assessment Survey-Agronomy Prioritization Tool) supported by rapid analytics pipeline for AI-ready insights through a repository of R scripts.</v>
      </c>
      <c r="E31" s="4" t="str">
        <v>Number of innovations (innovation development)</v>
      </c>
      <c r="F31" s="4" t="str">
        <v>Morocco, Philippines</v>
      </c>
      <c r="G31" s="5">
        <v>1</v>
      </c>
      <c r="H31" s="5">
        <v>40000</v>
      </c>
      <c r="I31" s="4" t="str">
        <v>additional budget</v>
      </c>
      <c r="J31" s="4">
        <v>8101</v>
      </c>
    </row>
    <row r="32" ht="25" customHeight="1">
      <c r="C32" s="9" t="str">
        <v>HLO budget subtotal</v>
      </c>
      <c r="H32" s="9">
        <v>1126572</v>
      </c>
      <c r="J32" s="9" t="str">
        <v/>
      </c>
    </row>
  </sheetData>
  <mergeCells count="20">
    <mergeCell ref="A1:A2"/>
    <mergeCell ref="B1:B2"/>
    <mergeCell ref="C1:C2"/>
    <mergeCell ref="D1:H1"/>
    <mergeCell ref="I1:I2"/>
    <mergeCell ref="J1:J2"/>
    <mergeCell ref="C3:C5"/>
    <mergeCell ref="C8:G8"/>
    <mergeCell ref="A3:A8"/>
    <mergeCell ref="C9:C11"/>
    <mergeCell ref="C12:C13"/>
    <mergeCell ref="C15:G15"/>
    <mergeCell ref="A9:A15"/>
    <mergeCell ref="C16:C18"/>
    <mergeCell ref="C21:G21"/>
    <mergeCell ref="A16:A21"/>
    <mergeCell ref="C22:C25"/>
    <mergeCell ref="C26:C29"/>
    <mergeCell ref="C32:G32"/>
    <mergeCell ref="A22:A32"/>
  </mergeCells>
  <ignoredErrors>
    <ignoredError numberStoredAsText="1" sqref="A1:J32"/>
  </ignoredErrors>
</worksheet>
</file>

<file path=xl/worksheets/sheet3.xml><?xml version="1.0" encoding="utf-8"?>
<worksheet xmlns="http://schemas.openxmlformats.org/spreadsheetml/2006/main" xmlns:r="http://schemas.openxmlformats.org/officeDocument/2006/relationships">
  <dimension ref="A1:G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Enabling Preparedness and Rapid Response to Emerging Shocks</v>
      </c>
      <c r="B2" s="4" t="str">
        <v>Unknown Partner 1</v>
      </c>
      <c r="C2" s="4" t="str">
        <v>CIMMYT</v>
      </c>
      <c r="D2" s="4" t="str">
        <v>Zambia, Uganda, India, Bangladesh</v>
      </c>
      <c r="E2" s="5">
        <v>21000</v>
      </c>
      <c r="F2" s="4" t="str">
        <v>no partner name specified yet</v>
      </c>
      <c r="G2" s="4">
        <v>257</v>
      </c>
    </row>
    <row r="3" ht="25" customHeight="1">
      <c r="B3" s="9" t="str">
        <v>Contracted partners subtotal</v>
      </c>
      <c r="E3" s="9">
        <v>21000</v>
      </c>
      <c r="F3" s="9" t="str">
        <v/>
      </c>
      <c r="G3" s="9" t="str">
        <v/>
      </c>
    </row>
    <row r="4" ht="50" customHeight="1">
      <c r="A4" s="8" t="str">
        <v>AOW03: Delivering Integrated Solutions to Systemic Farm-Level Binding Constraints</v>
      </c>
      <c r="B4" s="4" t="str">
        <v>Unknown Partner 1</v>
      </c>
      <c r="C4" s="4" t="str">
        <v>CIMMYT</v>
      </c>
      <c r="D4" s="4" t="str">
        <v>India, Nepal, Kenya, Ethiopia</v>
      </c>
      <c r="E4" s="5">
        <v>30000</v>
      </c>
      <c r="F4" s="4" t="str">
        <v>no partner name specified yet</v>
      </c>
      <c r="G4" s="4">
        <v>295</v>
      </c>
    </row>
    <row r="5" ht="25" customHeight="1">
      <c r="B5" s="9" t="str">
        <v>Contracted partners subtotal</v>
      </c>
      <c r="E5" s="9">
        <v>30000</v>
      </c>
      <c r="F5" s="9" t="str">
        <v/>
      </c>
      <c r="G5" s="9" t="str">
        <v/>
      </c>
    </row>
  </sheetData>
  <mergeCells count="4">
    <mergeCell ref="B3:D3"/>
    <mergeCell ref="A2:A3"/>
    <mergeCell ref="B5:D5"/>
    <mergeCell ref="A4:A5"/>
  </mergeCells>
  <ignoredErrors>
    <ignoredError numberStoredAsText="1" sqref="A1:G5"/>
  </ignoredErrors>
</worksheet>
</file>

<file path=xl/worksheets/sheet4.xml><?xml version="1.0" encoding="utf-8"?>
<worksheet xmlns="http://schemas.openxmlformats.org/spreadsheetml/2006/main" xmlns:r="http://schemas.openxmlformats.org/officeDocument/2006/relationships">
  <dimension ref="A1:F6"/>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CIMMYT</v>
      </c>
      <c r="B2" s="4" t="str">
        <v>C0042 USAID-CSISA-MEA</v>
      </c>
      <c r="C2" s="4" t="str">
        <v xml:space="preserve">5.5. Well-documented, widely applicable and replicable partnership platforms </v>
      </c>
      <c r="D2" s="5">
        <v>418072</v>
      </c>
      <c r="E2" s="4" t="str">
        <v>Budget figure from the mapping dashboard, no assumption made.</v>
      </c>
      <c r="F2" s="4">
        <v>951</v>
      </c>
    </row>
    <row r="3" ht="60" customHeight="1">
      <c r="A3" s="4" t="str">
        <v>CIMMYT</v>
      </c>
      <c r="B3" s="4" t="str">
        <v>C0172 Sustainable Intensification of Smallholder Farming Systems (SIFAZ) in Zambia</v>
      </c>
      <c r="C3" s="4" t="str">
        <v xml:space="preserve">5.5. Well-documented, widely applicable and replicable partnership platforms </v>
      </c>
      <c r="D3" s="5">
        <v>1578061</v>
      </c>
      <c r="E3" s="4" t="str">
        <v>Budget figure from the mapping dashboard, no assumption made.</v>
      </c>
      <c r="F3" s="4">
        <v>952</v>
      </c>
    </row>
    <row r="4" ht="60" customHeight="1">
      <c r="A4" s="4" t="str">
        <v>CIMMYT</v>
      </c>
      <c r="B4" s="4" t="str">
        <v>V0156-Wheat Disease Early Warning Advisory System (Wheat D</v>
      </c>
      <c r="C4" s="4" t="str">
        <v xml:space="preserve">3.3: Scaled and adopted farm management solutions </v>
      </c>
      <c r="D4" s="5">
        <v>125818</v>
      </c>
      <c r="E4" s="4" t="str">
        <v>Budget figure from the mapping dashboard, no assumption made.</v>
      </c>
      <c r="F4" s="4">
        <v>982</v>
      </c>
    </row>
    <row r="5" ht="60" customHeight="1">
      <c r="A5" s="4" t="str">
        <v>CIMMYT</v>
      </c>
      <c r="B5" s="4" t="str">
        <v>W0500-Verify global potential of biologic. Nitrific. inhib</v>
      </c>
      <c r="C5" s="4" t="str">
        <v xml:space="preserve">3.2. Validated, farm-level management solutions </v>
      </c>
      <c r="D5" s="5">
        <v>450295</v>
      </c>
      <c r="E5" s="4" t="str">
        <v>Budget figure from the mapping dashboard, no assumption made.</v>
      </c>
      <c r="F5" s="4">
        <v>965</v>
      </c>
    </row>
    <row r="6" ht="25" customHeight="1">
      <c r="B6" s="9" t="str">
        <v>W3/Bilateral budget subtotal</v>
      </c>
      <c r="D6" s="9">
        <v>2572246</v>
      </c>
      <c r="E6" s="9" t="str">
        <v/>
      </c>
      <c r="F6" s="9" t="str">
        <v/>
      </c>
    </row>
  </sheetData>
  <mergeCells count="2">
    <mergeCell ref="B6:C6"/>
    <mergeCell ref="A2:A6"/>
  </mergeCells>
  <ignoredErrors>
    <ignoredError numberStoredAsText="1" sqref="A1:F6"/>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CIMMYT</v>
      </c>
      <c r="C2" s="4" t="str">
        <v>Area of Work Leads</v>
      </c>
      <c r="D2" s="5">
        <v>37141</v>
      </c>
      <c r="E2" s="4" t="str">
        <v>AoW lead Q1-Q4 2026</v>
      </c>
      <c r="F2" s="4">
        <v>156</v>
      </c>
      <c r="G2" s="4">
        <v>3</v>
      </c>
    </row>
    <row r="3" ht="45" customHeight="1">
      <c r="A3" s="4" t="str">
        <v>AOW00: Cross Cutting</v>
      </c>
      <c r="B3" s="4" t="str">
        <v>CIMMYT</v>
      </c>
      <c r="C3" s="4" t="str">
        <v>Operations</v>
      </c>
      <c r="D3" s="5">
        <v>5000</v>
      </c>
      <c r="E3" s="4" t="str">
        <v>AoW lead travels to program leadership meetings</v>
      </c>
      <c r="F3" s="4">
        <v>157</v>
      </c>
      <c r="G3" s="4">
        <v>4</v>
      </c>
    </row>
    <row r="4" ht="45" customHeight="1">
      <c r="A4" s="4" t="str">
        <v>AOW00: Cross Cutting</v>
      </c>
      <c r="B4" s="4" t="str">
        <v>CIMMYT</v>
      </c>
      <c r="C4" s="4" t="str">
        <v>Discretionary funds</v>
      </c>
      <c r="D4" s="5">
        <v>5000</v>
      </c>
      <c r="E4" s="4" t="str">
        <v>Support Systems course in Malawi</v>
      </c>
      <c r="F4" s="4">
        <v>184</v>
      </c>
      <c r="G4" s="4">
        <v>7</v>
      </c>
    </row>
    <row r="5" ht="25" customHeight="1">
      <c r="C5" s="9" t="str">
        <v>Cross-cutting budget subtotal</v>
      </c>
      <c r="D5" s="9">
        <v>47141</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37141</v>
      </c>
      <c r="C2" s="5">
        <v>245091</v>
      </c>
      <c r="D2" s="5">
        <v>521418</v>
      </c>
      <c r="E2" s="5">
        <v>671136</v>
      </c>
      <c r="F2" s="5">
        <v>0</v>
      </c>
      <c r="G2" s="5">
        <v>788599</v>
      </c>
      <c r="H2" s="5">
        <f>=SUM(B2:G2)</f>
        <v>0</v>
      </c>
    </row>
    <row r="3" ht="20" customHeight="1">
      <c r="A3" s="4" t="str">
        <v>Operations (supplies, consultants, travels, workshops, other)</v>
      </c>
      <c r="B3" s="5">
        <v>10000</v>
      </c>
      <c r="C3" s="5">
        <v>139862</v>
      </c>
      <c r="D3" s="5">
        <v>50509</v>
      </c>
      <c r="E3" s="5">
        <v>287629</v>
      </c>
      <c r="F3" s="5">
        <v>0</v>
      </c>
      <c r="G3" s="5">
        <v>337973</v>
      </c>
      <c r="H3" s="5">
        <f>=SUM(B3:G3)</f>
        <v>0</v>
      </c>
    </row>
    <row r="4" ht="20" customHeight="1">
      <c r="A4" s="4" t="str">
        <v>Collaborators non-CGIAR centers</v>
      </c>
      <c r="B4" s="5">
        <v>0</v>
      </c>
      <c r="C4" s="5">
        <v>0</v>
      </c>
      <c r="D4" s="5">
        <v>21000</v>
      </c>
      <c r="E4" s="5">
        <v>30000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43"/>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CIMMYT</v>
      </c>
      <c r="C2" s="4" t="str">
        <v>Mexico</v>
      </c>
      <c r="D2" s="5">
        <v>100</v>
      </c>
      <c r="E2" s="4">
        <v>1878</v>
      </c>
    </row>
    <row r="3" ht="45" customHeight="1">
      <c r="A3" s="8" t="str">
        <v>AOW01: Accelerating AI-Enabled Farm Advisory at Scale.</v>
      </c>
      <c r="B3" s="4" t="str">
        <v>CIMMYT</v>
      </c>
      <c r="C3" s="4" t="str">
        <v>Ethiopia</v>
      </c>
      <c r="D3" s="5">
        <v>20</v>
      </c>
      <c r="E3" s="4">
        <v>1635</v>
      </c>
    </row>
    <row r="4" ht="45" customHeight="1">
      <c r="A4" s="4" t="str">
        <v>AOW01: Accelerating AI-Enabled Farm Advisory at Scale.</v>
      </c>
      <c r="B4" s="4" t="str">
        <v>CIMMYT</v>
      </c>
      <c r="C4" s="4" t="str">
        <v>India</v>
      </c>
      <c r="D4" s="5">
        <v>20</v>
      </c>
      <c r="E4" s="4">
        <v>1636</v>
      </c>
    </row>
    <row r="5" ht="45" customHeight="1">
      <c r="A5" s="4" t="str">
        <v>AOW01: Accelerating AI-Enabled Farm Advisory at Scale.</v>
      </c>
      <c r="B5" s="4" t="str">
        <v>CIMMYT</v>
      </c>
      <c r="C5" s="4" t="str">
        <v>Kenya</v>
      </c>
      <c r="D5" s="5">
        <v>20</v>
      </c>
      <c r="E5" s="4">
        <v>1637</v>
      </c>
    </row>
    <row r="6" ht="45" customHeight="1">
      <c r="A6" s="4" t="str">
        <v>AOW01: Accelerating AI-Enabled Farm Advisory at Scale.</v>
      </c>
      <c r="B6" s="4" t="str">
        <v>CIMMYT</v>
      </c>
      <c r="C6" s="4" t="str">
        <v>Mexico</v>
      </c>
      <c r="D6" s="5">
        <v>20</v>
      </c>
      <c r="E6" s="4">
        <v>1638</v>
      </c>
    </row>
    <row r="7" ht="45" customHeight="1">
      <c r="A7" s="4" t="str">
        <v>AOW01: Accelerating AI-Enabled Farm Advisory at Scale.</v>
      </c>
      <c r="B7" s="4" t="str">
        <v>CIMMYT</v>
      </c>
      <c r="C7" s="4" t="str">
        <v>Nigeria</v>
      </c>
      <c r="D7" s="5">
        <v>20</v>
      </c>
      <c r="E7" s="4">
        <v>1639</v>
      </c>
    </row>
    <row r="8" ht="45" customHeight="1">
      <c r="A8" s="8" t="str">
        <v>AOW02: Enabling Preparedness and Rapid Response to Emerging Shocks</v>
      </c>
      <c r="B8" s="4" t="str">
        <v>CIMMYT</v>
      </c>
      <c r="C8" s="4" t="str">
        <v>Bangladesh</v>
      </c>
      <c r="D8" s="5">
        <v>4</v>
      </c>
      <c r="E8" s="4">
        <v>1670</v>
      </c>
    </row>
    <row r="9" ht="45" customHeight="1">
      <c r="A9" s="4" t="str">
        <v>AOW02: Enabling Preparedness and Rapid Response to Emerging Shocks</v>
      </c>
      <c r="B9" s="4" t="str">
        <v>CIMMYT</v>
      </c>
      <c r="C9" s="4" t="str">
        <v>Burkina Faso</v>
      </c>
      <c r="D9" s="5">
        <v>4</v>
      </c>
      <c r="E9" s="4">
        <v>1671</v>
      </c>
    </row>
    <row r="10" ht="45" customHeight="1">
      <c r="A10" s="4" t="str">
        <v>AOW02: Enabling Preparedness and Rapid Response to Emerging Shocks</v>
      </c>
      <c r="B10" s="4" t="str">
        <v>CIMMYT</v>
      </c>
      <c r="C10" s="4" t="str">
        <v>Cameroon</v>
      </c>
      <c r="D10" s="5">
        <v>4</v>
      </c>
      <c r="E10" s="4">
        <v>1672</v>
      </c>
    </row>
    <row r="11" ht="45" customHeight="1">
      <c r="A11" s="4" t="str">
        <v>AOW02: Enabling Preparedness and Rapid Response to Emerging Shocks</v>
      </c>
      <c r="B11" s="4" t="str">
        <v>CIMMYT</v>
      </c>
      <c r="C11" s="4" t="str">
        <v>Chad</v>
      </c>
      <c r="D11" s="5">
        <v>4</v>
      </c>
      <c r="E11" s="4">
        <v>1673</v>
      </c>
    </row>
    <row r="12" ht="45" customHeight="1">
      <c r="A12" s="4" t="str">
        <v>AOW02: Enabling Preparedness and Rapid Response to Emerging Shocks</v>
      </c>
      <c r="B12" s="4" t="str">
        <v>CIMMYT</v>
      </c>
      <c r="C12" s="4" t="str">
        <v>Colombia</v>
      </c>
      <c r="D12" s="5">
        <v>4</v>
      </c>
      <c r="E12" s="4">
        <v>1674</v>
      </c>
    </row>
    <row r="13" ht="45" customHeight="1">
      <c r="A13" s="4" t="str">
        <v>AOW02: Enabling Preparedness and Rapid Response to Emerging Shocks</v>
      </c>
      <c r="B13" s="4" t="str">
        <v>CIMMYT</v>
      </c>
      <c r="C13" s="4" t="str">
        <v>Ethiopia</v>
      </c>
      <c r="D13" s="5">
        <v>4</v>
      </c>
      <c r="E13" s="4">
        <v>1675</v>
      </c>
    </row>
    <row r="14" ht="45" customHeight="1">
      <c r="A14" s="4" t="str">
        <v>AOW02: Enabling Preparedness and Rapid Response to Emerging Shocks</v>
      </c>
      <c r="B14" s="4" t="str">
        <v>CIMMYT</v>
      </c>
      <c r="C14" s="4" t="str">
        <v>Ghana</v>
      </c>
      <c r="D14" s="5">
        <v>4</v>
      </c>
      <c r="E14" s="4">
        <v>1676</v>
      </c>
    </row>
    <row r="15" ht="45" customHeight="1">
      <c r="A15" s="4" t="str">
        <v>AOW02: Enabling Preparedness and Rapid Response to Emerging Shocks</v>
      </c>
      <c r="B15" s="4" t="str">
        <v>CIMMYT</v>
      </c>
      <c r="C15" s="4" t="str">
        <v>India</v>
      </c>
      <c r="D15" s="5">
        <v>4</v>
      </c>
      <c r="E15" s="4">
        <v>1677</v>
      </c>
    </row>
    <row r="16" ht="45" customHeight="1">
      <c r="A16" s="4" t="str">
        <v>AOW02: Enabling Preparedness and Rapid Response to Emerging Shocks</v>
      </c>
      <c r="B16" s="4" t="str">
        <v>CIMMYT</v>
      </c>
      <c r="C16" s="4" t="str">
        <v>Kenya</v>
      </c>
      <c r="D16" s="5">
        <v>4</v>
      </c>
      <c r="E16" s="4">
        <v>1678</v>
      </c>
    </row>
    <row r="17" ht="45" customHeight="1">
      <c r="A17" s="4" t="str">
        <v>AOW02: Enabling Preparedness and Rapid Response to Emerging Shocks</v>
      </c>
      <c r="B17" s="4" t="str">
        <v>CIMMYT</v>
      </c>
      <c r="C17" s="4" t="str">
        <v>Malawi</v>
      </c>
      <c r="D17" s="5">
        <v>4</v>
      </c>
      <c r="E17" s="4">
        <v>1679</v>
      </c>
    </row>
    <row r="18" ht="45" customHeight="1">
      <c r="A18" s="4" t="str">
        <v>AOW02: Enabling Preparedness and Rapid Response to Emerging Shocks</v>
      </c>
      <c r="B18" s="4" t="str">
        <v>CIMMYT</v>
      </c>
      <c r="C18" s="4" t="str">
        <v>Mali</v>
      </c>
      <c r="D18" s="5">
        <v>4</v>
      </c>
      <c r="E18" s="4">
        <v>1680</v>
      </c>
    </row>
    <row r="19" ht="45" customHeight="1">
      <c r="A19" s="4" t="str">
        <v>AOW02: Enabling Preparedness and Rapid Response to Emerging Shocks</v>
      </c>
      <c r="B19" s="4" t="str">
        <v>CIMMYT</v>
      </c>
      <c r="C19" s="4" t="str">
        <v>Mozambique</v>
      </c>
      <c r="D19" s="5">
        <v>4</v>
      </c>
      <c r="E19" s="4">
        <v>1681</v>
      </c>
    </row>
    <row r="20" ht="45" customHeight="1">
      <c r="A20" s="4" t="str">
        <v>AOW02: Enabling Preparedness and Rapid Response to Emerging Shocks</v>
      </c>
      <c r="B20" s="4" t="str">
        <v>CIMMYT</v>
      </c>
      <c r="C20" s="4" t="str">
        <v>Netherlands (Kingdom of the)</v>
      </c>
      <c r="D20" s="5">
        <v>4</v>
      </c>
      <c r="E20" s="4">
        <v>1682</v>
      </c>
    </row>
    <row r="21" ht="45" customHeight="1">
      <c r="A21" s="4" t="str">
        <v>AOW02: Enabling Preparedness and Rapid Response to Emerging Shocks</v>
      </c>
      <c r="B21" s="4" t="str">
        <v>CIMMYT</v>
      </c>
      <c r="C21" s="4" t="str">
        <v>Niger</v>
      </c>
      <c r="D21" s="5">
        <v>4</v>
      </c>
      <c r="E21" s="4">
        <v>1683</v>
      </c>
    </row>
    <row r="22" ht="45" customHeight="1">
      <c r="A22" s="4" t="str">
        <v>AOW02: Enabling Preparedness and Rapid Response to Emerging Shocks</v>
      </c>
      <c r="B22" s="4" t="str">
        <v>CIMMYT</v>
      </c>
      <c r="C22" s="4" t="str">
        <v>Nigeria</v>
      </c>
      <c r="D22" s="5">
        <v>4</v>
      </c>
      <c r="E22" s="4">
        <v>1684</v>
      </c>
    </row>
    <row r="23" ht="45" customHeight="1">
      <c r="A23" s="4" t="str">
        <v>AOW02: Enabling Preparedness and Rapid Response to Emerging Shocks</v>
      </c>
      <c r="B23" s="4" t="str">
        <v>CIMMYT</v>
      </c>
      <c r="C23" s="4" t="str">
        <v>Philippines</v>
      </c>
      <c r="D23" s="5">
        <v>4</v>
      </c>
      <c r="E23" s="4">
        <v>1685</v>
      </c>
    </row>
    <row r="24" ht="45" customHeight="1">
      <c r="A24" s="4" t="str">
        <v>AOW02: Enabling Preparedness and Rapid Response to Emerging Shocks</v>
      </c>
      <c r="B24" s="4" t="str">
        <v>CIMMYT</v>
      </c>
      <c r="C24" s="4" t="str">
        <v>Senegal</v>
      </c>
      <c r="D24" s="5">
        <v>4</v>
      </c>
      <c r="E24" s="4">
        <v>1686</v>
      </c>
    </row>
    <row r="25" ht="45" customHeight="1">
      <c r="A25" s="4" t="str">
        <v>AOW02: Enabling Preparedness and Rapid Response to Emerging Shocks</v>
      </c>
      <c r="B25" s="4" t="str">
        <v>CIMMYT</v>
      </c>
      <c r="C25" s="4" t="str">
        <v>South Sudan</v>
      </c>
      <c r="D25" s="5">
        <v>4</v>
      </c>
      <c r="E25" s="4">
        <v>1687</v>
      </c>
    </row>
    <row r="26" ht="45" customHeight="1">
      <c r="A26" s="4" t="str">
        <v>AOW02: Enabling Preparedness and Rapid Response to Emerging Shocks</v>
      </c>
      <c r="B26" s="4" t="str">
        <v>CIMMYT</v>
      </c>
      <c r="C26" s="4" t="str">
        <v>Tanzania</v>
      </c>
      <c r="D26" s="5">
        <v>4</v>
      </c>
      <c r="E26" s="4">
        <v>1688</v>
      </c>
    </row>
    <row r="27" ht="45" customHeight="1">
      <c r="A27" s="4" t="str">
        <v>AOW02: Enabling Preparedness and Rapid Response to Emerging Shocks</v>
      </c>
      <c r="B27" s="4" t="str">
        <v>CIMMYT</v>
      </c>
      <c r="C27" s="4" t="str">
        <v>The Democratic Republic of the Congo</v>
      </c>
      <c r="D27" s="5">
        <v>4</v>
      </c>
      <c r="E27" s="4">
        <v>1689</v>
      </c>
    </row>
    <row r="28" ht="45" customHeight="1">
      <c r="A28" s="4" t="str">
        <v>AOW02: Enabling Preparedness and Rapid Response to Emerging Shocks</v>
      </c>
      <c r="B28" s="4" t="str">
        <v>CIMMYT</v>
      </c>
      <c r="C28" s="4" t="str">
        <v>Togo</v>
      </c>
      <c r="D28" s="5">
        <v>4</v>
      </c>
      <c r="E28" s="4">
        <v>1690</v>
      </c>
    </row>
    <row r="29" ht="45" customHeight="1">
      <c r="A29" s="4" t="str">
        <v>AOW02: Enabling Preparedness and Rapid Response to Emerging Shocks</v>
      </c>
      <c r="B29" s="4" t="str">
        <v>CIMMYT</v>
      </c>
      <c r="C29" s="4" t="str">
        <v>Uganda</v>
      </c>
      <c r="D29" s="5">
        <v>4</v>
      </c>
      <c r="E29" s="4">
        <v>1691</v>
      </c>
    </row>
    <row r="30" ht="45" customHeight="1">
      <c r="A30" s="4" t="str">
        <v>AOW02: Enabling Preparedness and Rapid Response to Emerging Shocks</v>
      </c>
      <c r="B30" s="4" t="str">
        <v>CIMMYT</v>
      </c>
      <c r="C30" s="4" t="str">
        <v>United Republic</v>
      </c>
      <c r="D30" s="5">
        <v>4</v>
      </c>
      <c r="E30" s="4">
        <v>1692</v>
      </c>
    </row>
    <row r="31" ht="45" customHeight="1">
      <c r="A31" s="4" t="str">
        <v>AOW02: Enabling Preparedness and Rapid Response to Emerging Shocks</v>
      </c>
      <c r="B31" s="4" t="str">
        <v>CIMMYT</v>
      </c>
      <c r="C31" s="4" t="str">
        <v>Zambia</v>
      </c>
      <c r="D31" s="5">
        <v>4</v>
      </c>
      <c r="E31" s="4">
        <v>1693</v>
      </c>
    </row>
    <row r="32" ht="45" customHeight="1">
      <c r="A32" s="4" t="str">
        <v>AOW02: Enabling Preparedness and Rapid Response to Emerging Shocks</v>
      </c>
      <c r="B32" s="4" t="str">
        <v>CIMMYT</v>
      </c>
      <c r="C32" s="4" t="str">
        <v>Zimbabwe</v>
      </c>
      <c r="D32" s="5">
        <v>4</v>
      </c>
      <c r="E32" s="4">
        <v>1694</v>
      </c>
    </row>
    <row r="33" ht="45" customHeight="1">
      <c r="A33" s="8" t="str">
        <v>AOW03: Delivering Integrated Solutions to Systemic Farm-Level Binding Constraints</v>
      </c>
      <c r="B33" s="4" t="str">
        <v>CIMMYT</v>
      </c>
      <c r="C33" s="4" t="str">
        <v>Ethiopia</v>
      </c>
      <c r="D33" s="5">
        <v>14</v>
      </c>
      <c r="E33" s="4">
        <v>1918</v>
      </c>
    </row>
    <row r="34" ht="45" customHeight="1">
      <c r="A34" s="4" t="str">
        <v>AOW03: Delivering Integrated Solutions to Systemic Farm-Level Binding Constraints</v>
      </c>
      <c r="B34" s="4" t="str">
        <v>CIMMYT</v>
      </c>
      <c r="C34" s="4" t="str">
        <v>India</v>
      </c>
      <c r="D34" s="5">
        <v>14</v>
      </c>
      <c r="E34" s="4">
        <v>1915</v>
      </c>
    </row>
    <row r="35" ht="45" customHeight="1">
      <c r="A35" s="4" t="str">
        <v>AOW03: Delivering Integrated Solutions to Systemic Farm-Level Binding Constraints</v>
      </c>
      <c r="B35" s="4" t="str">
        <v>CIMMYT</v>
      </c>
      <c r="C35" s="4" t="str">
        <v>Kenya</v>
      </c>
      <c r="D35" s="5">
        <v>14</v>
      </c>
      <c r="E35" s="4">
        <v>1917</v>
      </c>
    </row>
    <row r="36" ht="45" customHeight="1">
      <c r="A36" s="4" t="str">
        <v>AOW03: Delivering Integrated Solutions to Systemic Farm-Level Binding Constraints</v>
      </c>
      <c r="B36" s="4" t="str">
        <v>CIMMYT</v>
      </c>
      <c r="C36" s="4" t="str">
        <v>Mexico</v>
      </c>
      <c r="D36" s="5">
        <v>15</v>
      </c>
      <c r="E36" s="4">
        <v>1921</v>
      </c>
    </row>
    <row r="37" ht="45" customHeight="1">
      <c r="A37" s="4" t="str">
        <v>AOW03: Delivering Integrated Solutions to Systemic Farm-Level Binding Constraints</v>
      </c>
      <c r="B37" s="4" t="str">
        <v>CIMMYT</v>
      </c>
      <c r="C37" s="4" t="str">
        <v>Nepal</v>
      </c>
      <c r="D37" s="5">
        <v>15</v>
      </c>
      <c r="E37" s="4">
        <v>1916</v>
      </c>
    </row>
    <row r="38" ht="45" customHeight="1">
      <c r="A38" s="4" t="str">
        <v>AOW03: Delivering Integrated Solutions to Systemic Farm-Level Binding Constraints</v>
      </c>
      <c r="B38" s="4" t="str">
        <v>CIMMYT</v>
      </c>
      <c r="C38" s="4" t="str">
        <v>The Socialist Republic of Viet Nam</v>
      </c>
      <c r="D38" s="5">
        <v>14</v>
      </c>
      <c r="E38" s="4">
        <v>1919</v>
      </c>
    </row>
    <row r="39" ht="45" customHeight="1">
      <c r="A39" s="4" t="str">
        <v>AOW03: Delivering Integrated Solutions to Systemic Farm-Level Binding Constraints</v>
      </c>
      <c r="B39" s="4" t="str">
        <v>CIMMYT</v>
      </c>
      <c r="C39" s="4" t="str">
        <v>Zambia</v>
      </c>
      <c r="D39" s="5">
        <v>14</v>
      </c>
      <c r="E39" s="4">
        <v>1920</v>
      </c>
    </row>
    <row r="40" ht="45" customHeight="1">
      <c r="A40" s="8" t="str">
        <v>AOW05: Accelerating Impact</v>
      </c>
      <c r="B40" s="4" t="str">
        <v>CIMMYT</v>
      </c>
      <c r="C40" s="4" t="str">
        <v>Ethiopia</v>
      </c>
      <c r="D40" s="5">
        <v>25</v>
      </c>
      <c r="E40" s="4">
        <v>3142</v>
      </c>
    </row>
    <row r="41" ht="45" customHeight="1">
      <c r="A41" s="4" t="str">
        <v>AOW05: Accelerating Impact</v>
      </c>
      <c r="B41" s="4" t="str">
        <v>CIMMYT</v>
      </c>
      <c r="C41" s="4" t="str">
        <v>India</v>
      </c>
      <c r="D41" s="5">
        <v>25</v>
      </c>
      <c r="E41" s="4">
        <v>3140</v>
      </c>
    </row>
    <row r="42" ht="45" customHeight="1">
      <c r="A42" s="4" t="str">
        <v>AOW05: Accelerating Impact</v>
      </c>
      <c r="B42" s="4" t="str">
        <v>CIMMYT</v>
      </c>
      <c r="C42" s="4" t="str">
        <v>Mexico</v>
      </c>
      <c r="D42" s="5">
        <v>25</v>
      </c>
      <c r="E42" s="4">
        <v>3143</v>
      </c>
    </row>
    <row r="43" ht="45" customHeight="1">
      <c r="A43" s="4" t="str">
        <v>AOW05: Accelerating Impact</v>
      </c>
      <c r="B43" s="4" t="str">
        <v>CIMMYT</v>
      </c>
      <c r="C43" s="4" t="str">
        <v>Zimbabwe</v>
      </c>
      <c r="D43" s="5">
        <v>25</v>
      </c>
      <c r="E43" s="4">
        <v>3141</v>
      </c>
    </row>
  </sheetData>
  <mergeCells count="5">
    <mergeCell ref="A2"/>
    <mergeCell ref="A3:A7"/>
    <mergeCell ref="A8:A32"/>
    <mergeCell ref="A33:A39"/>
    <mergeCell ref="A40:A43"/>
  </mergeCells>
  <ignoredErrors>
    <ignoredError numberStoredAsText="1" sqref="A1:E43"/>
  </ignoredErrors>
</worksheet>
</file>

<file path=xl/worksheets/sheet9.xml><?xml version="1.0" encoding="utf-8"?>
<worksheet xmlns="http://schemas.openxmlformats.org/spreadsheetml/2006/main" xmlns:r="http://schemas.openxmlformats.org/officeDocument/2006/relationships">
  <dimension ref="A1:F14"/>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CIMMYT</v>
      </c>
      <c r="C2" s="4" t="str">
        <v>Global</v>
      </c>
      <c r="D2" s="4" t="str">
        <v>global</v>
      </c>
      <c r="E2" s="5">
        <v>100</v>
      </c>
      <c r="F2" s="4">
        <v>647</v>
      </c>
    </row>
    <row r="3" ht="45" customHeight="1">
      <c r="A3" s="8" t="str">
        <v>AOW01: Accelerating AI-Enabled Farm Advisory at Scale.</v>
      </c>
      <c r="B3" s="4" t="str">
        <v>CIMMYT</v>
      </c>
      <c r="C3" s="4" t="str">
        <v>Global</v>
      </c>
      <c r="D3" s="4" t="str">
        <v>global</v>
      </c>
      <c r="E3" s="5">
        <v>69</v>
      </c>
      <c r="F3" s="4">
        <v>575</v>
      </c>
    </row>
    <row r="4" ht="45" customHeight="1">
      <c r="A4" s="4" t="str">
        <v>AOW01: Accelerating AI-Enabled Farm Advisory at Scale.</v>
      </c>
      <c r="B4" s="4" t="str">
        <v>CIMMYT</v>
      </c>
      <c r="C4" s="4" t="str">
        <v>Eastern Africa</v>
      </c>
      <c r="D4" s="4" t="str">
        <v>region</v>
      </c>
      <c r="E4" s="5">
        <v>31</v>
      </c>
      <c r="F4" s="4">
        <v>574</v>
      </c>
    </row>
    <row r="5" ht="45" customHeight="1">
      <c r="A5" s="8" t="str">
        <v>AOW02: Enabling Preparedness and Rapid Response to Emerging Shocks</v>
      </c>
      <c r="B5" s="4" t="str">
        <v>CIMMYT</v>
      </c>
      <c r="C5" s="4" t="str">
        <v>Global</v>
      </c>
      <c r="D5" s="4" t="str">
        <v>global</v>
      </c>
      <c r="E5" s="5">
        <v>100</v>
      </c>
      <c r="F5" s="4">
        <v>581</v>
      </c>
    </row>
    <row r="6" ht="45" customHeight="1">
      <c r="A6" s="8" t="str">
        <v>AOW03: Delivering Integrated Solutions to Systemic Farm-Level Binding Constraints</v>
      </c>
      <c r="B6" s="4" t="str">
        <v>CIMMYT</v>
      </c>
      <c r="C6" s="4" t="str">
        <v>Global</v>
      </c>
      <c r="D6" s="4" t="str">
        <v>global</v>
      </c>
      <c r="E6" s="5">
        <v>100</v>
      </c>
      <c r="F6" s="4">
        <v>662</v>
      </c>
    </row>
    <row r="7" ht="45" customHeight="1">
      <c r="A7" s="8" t="str">
        <v>AOW05: Accelerating Impact</v>
      </c>
      <c r="B7" s="4" t="str">
        <v>CIMMYT</v>
      </c>
      <c r="C7" s="4" t="str">
        <v>Global</v>
      </c>
      <c r="D7" s="4" t="str">
        <v>global</v>
      </c>
      <c r="E7" s="5">
        <v>50</v>
      </c>
      <c r="F7" s="4">
        <v>1268</v>
      </c>
    </row>
    <row r="8" ht="45" customHeight="1">
      <c r="A8" s="4" t="str">
        <v>AOW05: Accelerating Impact</v>
      </c>
      <c r="B8" s="4" t="str">
        <v>CIMMYT</v>
      </c>
      <c r="C8" s="4" t="str">
        <v>Bangladesh</v>
      </c>
      <c r="D8" s="4" t="str">
        <v>country</v>
      </c>
      <c r="E8" s="5">
        <v>5</v>
      </c>
      <c r="F8" s="4">
        <v>1266</v>
      </c>
    </row>
    <row r="9" ht="45" customHeight="1">
      <c r="A9" s="4" t="str">
        <v>AOW05: Accelerating Impact</v>
      </c>
      <c r="B9" s="4" t="str">
        <v>CIMMYT</v>
      </c>
      <c r="C9" s="4" t="str">
        <v>Colombia</v>
      </c>
      <c r="D9" s="4" t="str">
        <v>country</v>
      </c>
      <c r="E9" s="5">
        <v>5</v>
      </c>
      <c r="F9" s="4">
        <v>1265</v>
      </c>
    </row>
    <row r="10" ht="45" customHeight="1">
      <c r="A10" s="4" t="str">
        <v>AOW05: Accelerating Impact</v>
      </c>
      <c r="B10" s="4" t="str">
        <v>CIMMYT</v>
      </c>
      <c r="C10" s="4" t="str">
        <v>Ethiopia</v>
      </c>
      <c r="D10" s="4" t="str">
        <v>country</v>
      </c>
      <c r="E10" s="5">
        <v>10</v>
      </c>
      <c r="F10" s="4">
        <v>1261</v>
      </c>
    </row>
    <row r="11" ht="45" customHeight="1">
      <c r="A11" s="4" t="str">
        <v>AOW05: Accelerating Impact</v>
      </c>
      <c r="B11" s="4" t="str">
        <v>CIMMYT</v>
      </c>
      <c r="C11" s="4" t="str">
        <v>India</v>
      </c>
      <c r="D11" s="4" t="str">
        <v>country</v>
      </c>
      <c r="E11" s="5">
        <v>10</v>
      </c>
      <c r="F11" s="4">
        <v>1267</v>
      </c>
    </row>
    <row r="12" ht="45" customHeight="1">
      <c r="A12" s="4" t="str">
        <v>AOW05: Accelerating Impact</v>
      </c>
      <c r="B12" s="4" t="str">
        <v>CIMMYT</v>
      </c>
      <c r="C12" s="4" t="str">
        <v>Malawi</v>
      </c>
      <c r="D12" s="4" t="str">
        <v>country</v>
      </c>
      <c r="E12" s="5">
        <v>10</v>
      </c>
      <c r="F12" s="4">
        <v>1262</v>
      </c>
    </row>
    <row r="13" ht="45" customHeight="1">
      <c r="A13" s="4" t="str">
        <v>AOW05: Accelerating Impact</v>
      </c>
      <c r="B13" s="4" t="str">
        <v>CIMMYT</v>
      </c>
      <c r="C13" s="4" t="str">
        <v>Mexico</v>
      </c>
      <c r="D13" s="4" t="str">
        <v>country</v>
      </c>
      <c r="E13" s="5">
        <v>5</v>
      </c>
      <c r="F13" s="4">
        <v>1263</v>
      </c>
    </row>
    <row r="14" ht="45" customHeight="1">
      <c r="A14" s="4" t="str">
        <v>AOW05: Accelerating Impact</v>
      </c>
      <c r="B14" s="4" t="str">
        <v>CIMMYT</v>
      </c>
      <c r="C14" s="4" t="str">
        <v>Peru</v>
      </c>
      <c r="D14" s="4" t="str">
        <v>country</v>
      </c>
      <c r="E14" s="5">
        <v>5</v>
      </c>
      <c r="F14" s="4">
        <v>1264</v>
      </c>
    </row>
  </sheetData>
  <mergeCells count="5">
    <mergeCell ref="A2"/>
    <mergeCell ref="A3:A4"/>
    <mergeCell ref="A5"/>
    <mergeCell ref="A6"/>
    <mergeCell ref="A7:A14"/>
  </mergeCells>
  <ignoredErrors>
    <ignoredError numberStoredAsText="1" sqref="A1:F14"/>
  </ignoredErrors>
</worksheet>
</file>

<file path=xl/worksheets/sheet10.xml><?xml version="1.0" encoding="utf-8"?>
<worksheet xmlns="http://schemas.openxmlformats.org/spreadsheetml/2006/main" xmlns:r="http://schemas.openxmlformats.org/officeDocument/2006/relationships">
  <dimension ref="A1:E60"/>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Accelerating AI-Enabled Farm Advisory at Scale.</v>
      </c>
      <c r="B2" s="4" t="str">
        <v xml:space="preserve">Sustainable Animal and Aquatic Foods </v>
      </c>
      <c r="C2" s="4" t="str">
        <v xml:space="preserve">1.3: Farmer utilization and adoption of AI-enabled advisory services </v>
      </c>
      <c r="D2" s="4" t="str">
        <v/>
      </c>
      <c r="E2" s="4">
        <v>882</v>
      </c>
    </row>
    <row r="3" ht="60" customHeight="1">
      <c r="A3" s="4" t="str">
        <v>AOW01: Accelerating AI-Enabled Farm Advisory at Scale.</v>
      </c>
      <c r="B3" s="4" t="str">
        <v xml:space="preserve">Digital Transformation </v>
      </c>
      <c r="C3" s="4" t="str">
        <v xml:space="preserve">1.3: Farmer utilization and adoption of AI-enabled advisory services </v>
      </c>
      <c r="D3"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 s="4">
        <v>883</v>
      </c>
    </row>
    <row r="4" ht="60" customHeight="1">
      <c r="A4" s="4" t="str">
        <v>AOW01: Accelerating AI-Enabled Farm Advisory at Scale.</v>
      </c>
      <c r="B4" s="4" t="str">
        <v>Breeding for Tomorrow</v>
      </c>
      <c r="C4" s="4" t="str">
        <v xml:space="preserve">1.3: Farmer utilization and adoption of AI-enabled advisory services </v>
      </c>
      <c r="D4"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4" s="4">
        <v>884</v>
      </c>
    </row>
    <row r="5" ht="60" customHeight="1">
      <c r="A5" s="4" t="str">
        <v>AOW01: Accelerating AI-Enabled Farm Advisory at Scale.</v>
      </c>
      <c r="B5" s="4" t="str">
        <v>Breeding for Tomorrow</v>
      </c>
      <c r="C5" s="4" t="str">
        <v xml:space="preserve"> 1.1: Agronomic and farm management scientific data and analytics  </v>
      </c>
      <c r="D5" s="4" t="str">
        <v>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v>
      </c>
      <c r="E5" s="4">
        <v>912</v>
      </c>
    </row>
    <row r="6" ht="60" customHeight="1">
      <c r="A6" s="4" t="str">
        <v>AOW01: Accelerating AI-Enabled Farm Advisory at Scale.</v>
      </c>
      <c r="B6" s="4" t="str">
        <v xml:space="preserve">Digital Transformation </v>
      </c>
      <c r="C6" s="4" t="str">
        <v xml:space="preserve"> 1.1: Agronomic and farm management scientific data and analytics  </v>
      </c>
      <c r="D6"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6" s="4">
        <v>913</v>
      </c>
    </row>
    <row r="7" ht="60" customHeight="1">
      <c r="A7" s="4" t="str">
        <v>AOW01: Accelerating AI-Enabled Farm Advisory at Scale.</v>
      </c>
      <c r="B7" s="4" t="str">
        <v xml:space="preserve">Sustainable Animal and Aquatic Foods </v>
      </c>
      <c r="C7" s="4" t="str">
        <v xml:space="preserve"> 1.1: Agronomic and farm management scientific data and analytics  </v>
      </c>
      <c r="D7" s="4" t="str">
        <v/>
      </c>
      <c r="E7" s="4">
        <v>914</v>
      </c>
    </row>
    <row r="8" ht="60" customHeight="1">
      <c r="A8" s="4" t="str">
        <v>AOW01: Accelerating AI-Enabled Farm Advisory at Scale.</v>
      </c>
      <c r="B8" s="4" t="str">
        <v xml:space="preserve">Sustainable Animal and Aquatic Foods </v>
      </c>
      <c r="C8" s="4" t="str">
        <v xml:space="preserve">1.2: Benchmarking and performance validation systems </v>
      </c>
      <c r="D8" s="4" t="str">
        <v/>
      </c>
      <c r="E8" s="4">
        <v>915</v>
      </c>
    </row>
    <row r="9" ht="60" customHeight="1">
      <c r="A9" s="4" t="str">
        <v>AOW01: Accelerating AI-Enabled Farm Advisory at Scale.</v>
      </c>
      <c r="B9" s="4" t="str">
        <v xml:space="preserve">Digital Transformation </v>
      </c>
      <c r="C9" s="4" t="str">
        <v xml:space="preserve">1.2: Benchmarking and performance validation systems </v>
      </c>
      <c r="D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9" s="4">
        <v>916</v>
      </c>
    </row>
    <row r="10" ht="60" customHeight="1">
      <c r="A10" s="4" t="str">
        <v>AOW01: Accelerating AI-Enabled Farm Advisory at Scale.</v>
      </c>
      <c r="B10" s="4" t="str">
        <v>Breeding for Tomorrow</v>
      </c>
      <c r="C10" s="4" t="str">
        <v xml:space="preserve">1.2: Benchmarking and performance validation systems </v>
      </c>
      <c r="D10"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0" s="4">
        <v>917</v>
      </c>
    </row>
    <row r="11" ht="60" customHeight="1">
      <c r="A11" s="8" t="str">
        <v>AOW02: Enabling Preparedness and Rapid Response to Emerging Shocks</v>
      </c>
      <c r="B11" s="4" t="str">
        <v xml:space="preserve">Sustainable Animal and Aquatic Foods </v>
      </c>
      <c r="C11" s="4" t="str">
        <v xml:space="preserve">2.3: Responses effectiveness and trade-offs to climate, pests and diseases shocks </v>
      </c>
      <c r="D11" s="4" t="str">
        <v/>
      </c>
      <c r="E11" s="4">
        <v>885</v>
      </c>
    </row>
    <row r="12" ht="60" customHeight="1">
      <c r="A12" s="4" t="str">
        <v>AOW02: Enabling Preparedness and Rapid Response to Emerging Shocks</v>
      </c>
      <c r="B12" s="4" t="str">
        <v>Genebank</v>
      </c>
      <c r="C12" s="4" t="str">
        <v xml:space="preserve">2.3: Responses effectiveness and trade-offs to climate, pests and diseases shocks </v>
      </c>
      <c r="D12"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2" s="4">
        <v>886</v>
      </c>
    </row>
    <row r="13" ht="60" customHeight="1">
      <c r="A13" s="4" t="str">
        <v>AOW02: Enabling Preparedness and Rapid Response to Emerging Shocks</v>
      </c>
      <c r="B13" s="4" t="str">
        <v>Climate Action</v>
      </c>
      <c r="C13" s="4" t="str">
        <v xml:space="preserve">2.3: Responses effectiveness and trade-offs to climate, pests and diseases shocks </v>
      </c>
      <c r="D1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3" s="4">
        <v>887</v>
      </c>
    </row>
    <row r="14" ht="60" customHeight="1">
      <c r="A14" s="4" t="str">
        <v>AOW02: Enabling Preparedness and Rapid Response to Emerging Shocks</v>
      </c>
      <c r="B14" s="4" t="str">
        <v xml:space="preserve">Multifunctional Landscapes </v>
      </c>
      <c r="C14" s="4" t="str">
        <v xml:space="preserve">2.3: Responses effectiveness and trade-offs to climate, pests and diseases shocks </v>
      </c>
      <c r="D14"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4" s="4">
        <v>888</v>
      </c>
    </row>
    <row r="15" ht="60" customHeight="1">
      <c r="A15" s="4" t="str">
        <v>AOW02: Enabling Preparedness and Rapid Response to Emerging Shocks</v>
      </c>
      <c r="B15" s="4" t="str">
        <v>Breeding for Tomorrow</v>
      </c>
      <c r="C15" s="4" t="str">
        <v xml:space="preserve">2.3: Responses effectiveness and trade-offs to climate, pests and diseases shocks </v>
      </c>
      <c r="D15"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5" s="4">
        <v>889</v>
      </c>
    </row>
    <row r="16" ht="60" customHeight="1">
      <c r="A16" s="4" t="str">
        <v>AOW02: Enabling Preparedness and Rapid Response to Emerging Shocks</v>
      </c>
      <c r="B16" s="4" t="str">
        <v>Breeding for Tomorrow</v>
      </c>
      <c r="C16" s="4" t="str">
        <v>2.2: Strategies for response to water related shocks</v>
      </c>
      <c r="D1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6" s="4">
        <v>890</v>
      </c>
    </row>
    <row r="17" ht="60" customHeight="1">
      <c r="A17" s="4" t="str">
        <v>AOW02: Enabling Preparedness and Rapid Response to Emerging Shocks</v>
      </c>
      <c r="B17" s="4" t="str">
        <v xml:space="preserve">Multifunctional Landscapes </v>
      </c>
      <c r="C17" s="4" t="str">
        <v>2.2: Strategies for response to water related shocks</v>
      </c>
      <c r="D1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7" s="4">
        <v>891</v>
      </c>
    </row>
    <row r="18" ht="60" customHeight="1">
      <c r="A18" s="4" t="str">
        <v>AOW02: Enabling Preparedness and Rapid Response to Emerging Shocks</v>
      </c>
      <c r="B18" s="4" t="str">
        <v>Climate Action</v>
      </c>
      <c r="C18" s="4" t="str">
        <v>2.2: Strategies for response to water related shocks</v>
      </c>
      <c r="D18"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8" s="4">
        <v>892</v>
      </c>
    </row>
    <row r="19" ht="60" customHeight="1">
      <c r="A19" s="4" t="str">
        <v>AOW02: Enabling Preparedness and Rapid Response to Emerging Shocks</v>
      </c>
      <c r="B19" s="4" t="str">
        <v>Genebank</v>
      </c>
      <c r="C19" s="4" t="str">
        <v>2.2: Strategies for response to water related shocks</v>
      </c>
      <c r="D19"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9" s="4">
        <v>893</v>
      </c>
    </row>
    <row r="20" ht="60" customHeight="1">
      <c r="A20" s="4" t="str">
        <v>AOW02: Enabling Preparedness and Rapid Response to Emerging Shocks</v>
      </c>
      <c r="B20" s="4" t="str">
        <v xml:space="preserve">Sustainable Animal and Aquatic Foods </v>
      </c>
      <c r="C20" s="4" t="str">
        <v>2.2: Strategies for response to water related shocks</v>
      </c>
      <c r="D20" s="4" t="str">
        <v/>
      </c>
      <c r="E20" s="4">
        <v>894</v>
      </c>
    </row>
    <row r="21" ht="60" customHeight="1">
      <c r="A21" s="4" t="str">
        <v>AOW02: Enabling Preparedness and Rapid Response to Emerging Shocks</v>
      </c>
      <c r="B21" s="4" t="str">
        <v>Breeding for Tomorrow</v>
      </c>
      <c r="C21" s="4" t="str">
        <v xml:space="preserve">2.1: Enhanced resolution, accuracy and timeliness of early warning system </v>
      </c>
      <c r="D21"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1" s="4">
        <v>895</v>
      </c>
    </row>
    <row r="22" ht="60" customHeight="1">
      <c r="A22" s="4" t="str">
        <v>AOW02: Enabling Preparedness and Rapid Response to Emerging Shocks</v>
      </c>
      <c r="B22" s="4" t="str">
        <v xml:space="preserve">Multifunctional Landscapes </v>
      </c>
      <c r="C22" s="4" t="str">
        <v xml:space="preserve">2.1: Enhanced resolution, accuracy and timeliness of early warning system </v>
      </c>
      <c r="D22"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2" s="4">
        <v>896</v>
      </c>
    </row>
    <row r="23" ht="60" customHeight="1">
      <c r="A23" s="4" t="str">
        <v>AOW02: Enabling Preparedness and Rapid Response to Emerging Shocks</v>
      </c>
      <c r="B23" s="4" t="str">
        <v>Climate Action</v>
      </c>
      <c r="C23" s="4" t="str">
        <v xml:space="preserve">2.1: Enhanced resolution, accuracy and timeliness of early warning system </v>
      </c>
      <c r="D2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23" s="4">
        <v>897</v>
      </c>
    </row>
    <row r="24" ht="60" customHeight="1">
      <c r="A24" s="4" t="str">
        <v>AOW02: Enabling Preparedness and Rapid Response to Emerging Shocks</v>
      </c>
      <c r="B24" s="4" t="str">
        <v>Genebank</v>
      </c>
      <c r="C24" s="4" t="str">
        <v xml:space="preserve">2.1: Enhanced resolution, accuracy and timeliness of early warning system </v>
      </c>
      <c r="D24"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v>
      </c>
      <c r="E24" s="4">
        <v>898</v>
      </c>
    </row>
    <row r="25" ht="60" customHeight="1">
      <c r="A25" s="4" t="str">
        <v>AOW02: Enabling Preparedness and Rapid Response to Emerging Shocks</v>
      </c>
      <c r="B25" s="4" t="str">
        <v xml:space="preserve">Sustainable Animal and Aquatic Foods </v>
      </c>
      <c r="C25" s="4" t="str">
        <v xml:space="preserve">2.1: Enhanced resolution, accuracy and timeliness of early warning system </v>
      </c>
      <c r="D25" s="4" t="str">
        <v/>
      </c>
      <c r="E25" s="4">
        <v>899</v>
      </c>
    </row>
    <row r="26" ht="60" customHeight="1">
      <c r="A26" s="8" t="str">
        <v>AOW03: Delivering Integrated Solutions to Systemic Farm-Level Binding Constraints</v>
      </c>
      <c r="B26" s="4" t="str">
        <v>Breeding for Tomorrow</v>
      </c>
      <c r="C26" s="4" t="str">
        <v xml:space="preserve">3.2. Validated, farm-level management solutions </v>
      </c>
      <c r="D2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6" s="4">
        <v>918</v>
      </c>
    </row>
    <row r="27" ht="60" customHeight="1">
      <c r="A27" s="4" t="str">
        <v>AOW03: Delivering Integrated Solutions to Systemic Farm-Level Binding Constraints</v>
      </c>
      <c r="B27" s="4" t="str">
        <v xml:space="preserve">Multifunctional Landscapes </v>
      </c>
      <c r="C27" s="4" t="str">
        <v xml:space="preserve">3.2. Validated, farm-level management solutions </v>
      </c>
      <c r="D2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7" s="4">
        <v>919</v>
      </c>
    </row>
    <row r="28" ht="60" customHeight="1">
      <c r="A28" s="4" t="str">
        <v>AOW03: Delivering Integrated Solutions to Systemic Farm-Level Binding Constraints</v>
      </c>
      <c r="B28" s="4" t="str">
        <v>Policy Innovations</v>
      </c>
      <c r="C28" s="4" t="str">
        <v xml:space="preserve">3.2. Validated, farm-level management solutions </v>
      </c>
      <c r="D28"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28" s="4">
        <v>920</v>
      </c>
    </row>
    <row r="29" ht="60" customHeight="1">
      <c r="A29" s="4" t="str">
        <v>AOW03: Delivering Integrated Solutions to Systemic Farm-Level Binding Constraints</v>
      </c>
      <c r="B29" s="4" t="str">
        <v xml:space="preserve">Digital Transformation </v>
      </c>
      <c r="C29" s="4" t="str">
        <v xml:space="preserve">3.2. Validated, farm-level management solutions </v>
      </c>
      <c r="D2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29" s="4">
        <v>921</v>
      </c>
    </row>
    <row r="30" ht="60" customHeight="1">
      <c r="A30" s="4" t="str">
        <v>AOW03: Delivering Integrated Solutions to Systemic Farm-Level Binding Constraints</v>
      </c>
      <c r="B30" s="4" t="str">
        <v xml:space="preserve">Gender Equality and Inclusion </v>
      </c>
      <c r="C30" s="4" t="str">
        <v xml:space="preserve">3.2. Validated, farm-level management solutions </v>
      </c>
      <c r="D30"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0" s="4">
        <v>922</v>
      </c>
    </row>
    <row r="31" ht="60" customHeight="1">
      <c r="A31" s="4" t="str">
        <v>AOW03: Delivering Integrated Solutions to Systemic Farm-Level Binding Constraints</v>
      </c>
      <c r="B31" s="4" t="str">
        <v xml:space="preserve">Sustainable Animal and Aquatic Foods </v>
      </c>
      <c r="C31" s="4" t="str">
        <v xml:space="preserve">3.2. Validated, farm-level management solutions </v>
      </c>
      <c r="D31" s="4" t="str">
        <v/>
      </c>
      <c r="E31" s="4">
        <v>923</v>
      </c>
    </row>
    <row r="32" ht="60" customHeight="1">
      <c r="A32" s="4" t="str">
        <v>AOW03: Delivering Integrated Solutions to Systemic Farm-Level Binding Constraints</v>
      </c>
      <c r="B32" s="4" t="str">
        <v>Breeding for Tomorrow</v>
      </c>
      <c r="C32" s="4" t="str">
        <v xml:space="preserve">3.3: Scaled and adopted farm management solutions </v>
      </c>
      <c r="D32"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2" s="4">
        <v>924</v>
      </c>
    </row>
    <row r="33" ht="60" customHeight="1">
      <c r="A33" s="4" t="str">
        <v>AOW03: Delivering Integrated Solutions to Systemic Farm-Level Binding Constraints</v>
      </c>
      <c r="B33" s="4" t="str">
        <v xml:space="preserve">Multifunctional Landscapes </v>
      </c>
      <c r="C33" s="4" t="str">
        <v xml:space="preserve">3.3: Scaled and adopted farm management solutions </v>
      </c>
      <c r="D33"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3" s="4">
        <v>925</v>
      </c>
    </row>
    <row r="34" ht="60" customHeight="1">
      <c r="A34" s="4" t="str">
        <v>AOW03: Delivering Integrated Solutions to Systemic Farm-Level Binding Constraints</v>
      </c>
      <c r="B34" s="4" t="str">
        <v>Policy Innovations</v>
      </c>
      <c r="C34" s="4" t="str">
        <v xml:space="preserve">3.3: Scaled and adopted farm management solutions </v>
      </c>
      <c r="D3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34" s="4">
        <v>926</v>
      </c>
    </row>
    <row r="35" ht="60" customHeight="1">
      <c r="A35" s="4" t="str">
        <v>AOW03: Delivering Integrated Solutions to Systemic Farm-Level Binding Constraints</v>
      </c>
      <c r="B35" s="4" t="str">
        <v xml:space="preserve">Digital Transformation </v>
      </c>
      <c r="C35" s="4" t="str">
        <v xml:space="preserve">3.3: Scaled and adopted farm management solutions </v>
      </c>
      <c r="D3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5" s="4">
        <v>927</v>
      </c>
    </row>
    <row r="36" ht="60" customHeight="1">
      <c r="A36" s="4" t="str">
        <v>AOW03: Delivering Integrated Solutions to Systemic Farm-Level Binding Constraints</v>
      </c>
      <c r="B36" s="4" t="str">
        <v xml:space="preserve">Gender Equality and Inclusion </v>
      </c>
      <c r="C36" s="4" t="str">
        <v xml:space="preserve">3.3: Scaled and adopted farm management solutions </v>
      </c>
      <c r="D36"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6" s="4">
        <v>928</v>
      </c>
    </row>
    <row r="37" ht="60" customHeight="1">
      <c r="A37" s="4" t="str">
        <v>AOW03: Delivering Integrated Solutions to Systemic Farm-Level Binding Constraints</v>
      </c>
      <c r="B37" s="4" t="str">
        <v xml:space="preserve">Sustainable Animal and Aquatic Foods </v>
      </c>
      <c r="C37" s="4" t="str">
        <v xml:space="preserve">3.3: Scaled and adopted farm management solutions </v>
      </c>
      <c r="D37" s="4" t="str">
        <v/>
      </c>
      <c r="E37" s="4">
        <v>929</v>
      </c>
    </row>
    <row r="38" ht="60" customHeight="1">
      <c r="A38" s="4" t="str">
        <v>AOW03: Delivering Integrated Solutions to Systemic Farm-Level Binding Constraints</v>
      </c>
      <c r="B38" s="4" t="str">
        <v>Breeding for Tomorrow</v>
      </c>
      <c r="C38" s="4" t="str">
        <v xml:space="preserve">3.1: Farm-level diagnostic evidence on soil, plant, water, and socio-economic constraints </v>
      </c>
      <c r="D38"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8" s="4">
        <v>930</v>
      </c>
    </row>
    <row r="39" ht="60" customHeight="1">
      <c r="A39" s="4" t="str">
        <v>AOW03: Delivering Integrated Solutions to Systemic Farm-Level Binding Constraints</v>
      </c>
      <c r="B39" s="4" t="str">
        <v xml:space="preserve">Multifunctional Landscapes </v>
      </c>
      <c r="C39" s="4" t="str">
        <v xml:space="preserve">3.1: Farm-level diagnostic evidence on soil, plant, water, and socio-economic constraints </v>
      </c>
      <c r="D39"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9" s="4">
        <v>931</v>
      </c>
    </row>
    <row r="40" ht="60" customHeight="1">
      <c r="A40" s="4" t="str">
        <v>AOW03: Delivering Integrated Solutions to Systemic Farm-Level Binding Constraints</v>
      </c>
      <c r="B40" s="4" t="str">
        <v>Climate Action</v>
      </c>
      <c r="C40" s="4" t="str">
        <v xml:space="preserve">3.1: Farm-level diagnostic evidence on soil, plant, water, and socio-economic constraints </v>
      </c>
      <c r="D40"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40" s="4">
        <v>932</v>
      </c>
    </row>
    <row r="41" ht="60" customHeight="1">
      <c r="A41" s="4" t="str">
        <v>AOW03: Delivering Integrated Solutions to Systemic Farm-Level Binding Constraints</v>
      </c>
      <c r="B41" s="4" t="str">
        <v>Policy Innovations</v>
      </c>
      <c r="C41" s="4" t="str">
        <v xml:space="preserve">3.1: Farm-level diagnostic evidence on soil, plant, water, and socio-economic constraints </v>
      </c>
      <c r="D4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1" s="4">
        <v>933</v>
      </c>
    </row>
    <row r="42" ht="60" customHeight="1">
      <c r="A42" s="4" t="str">
        <v>AOW03: Delivering Integrated Solutions to Systemic Farm-Level Binding Constraints</v>
      </c>
      <c r="B42" s="4" t="str">
        <v xml:space="preserve">Digital Transformation </v>
      </c>
      <c r="C42" s="4" t="str">
        <v xml:space="preserve">3.1: Farm-level diagnostic evidence on soil, plant, water, and socio-economic constraints </v>
      </c>
      <c r="D4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2" s="4">
        <v>934</v>
      </c>
    </row>
    <row r="43" ht="60" customHeight="1">
      <c r="A43" s="4" t="str">
        <v>AOW03: Delivering Integrated Solutions to Systemic Farm-Level Binding Constraints</v>
      </c>
      <c r="B43" s="4" t="str">
        <v xml:space="preserve">Gender Equality and Inclusion </v>
      </c>
      <c r="C43" s="4" t="str">
        <v xml:space="preserve">3.1: Farm-level diagnostic evidence on soil, plant, water, and socio-economic constraints </v>
      </c>
      <c r="D43"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43" s="4">
        <v>935</v>
      </c>
    </row>
    <row r="44" ht="60" customHeight="1">
      <c r="A44" s="4" t="str">
        <v>AOW03: Delivering Integrated Solutions to Systemic Farm-Level Binding Constraints</v>
      </c>
      <c r="B44" s="4" t="str">
        <v xml:space="preserve">Sustainable Animal and Aquatic Foods </v>
      </c>
      <c r="C44" s="4" t="str">
        <v xml:space="preserve">3.1: Farm-level diagnostic evidence on soil, plant, water, and socio-economic constraints </v>
      </c>
      <c r="D44" s="4" t="str">
        <v/>
      </c>
      <c r="E44" s="4">
        <v>936</v>
      </c>
    </row>
    <row r="45" ht="60" customHeight="1">
      <c r="A45" s="4" t="str">
        <v>AOW04: Incubating Innovation in Sustainable Farming</v>
      </c>
      <c r="B45" s="4" t="str">
        <v xml:space="preserve">Digital Transformation </v>
      </c>
      <c r="C45" s="4" t="str">
        <v xml:space="preserve">4.1. A pipeline of at least eight high-risk, high-reward, early-stage research ideas </v>
      </c>
      <c r="D45" s="4" t="str">
        <v>AI is area of common interest between SFP and DTA. SFP will explore potential avenues for future collaboration in the coming months.</v>
      </c>
      <c r="E45" s="4">
        <v>1282</v>
      </c>
    </row>
    <row r="46" ht="60" customHeight="1">
      <c r="A46" s="8" t="str">
        <v>AOW05: Accelerating Impact</v>
      </c>
      <c r="B46" s="4" t="str">
        <v>Policy Innovations</v>
      </c>
      <c r="C46" s="4" t="str">
        <v xml:space="preserve">5.5. Well-documented, widely applicable and replicable partnership platforms </v>
      </c>
      <c r="D46"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6" s="4">
        <v>879</v>
      </c>
    </row>
    <row r="47" ht="60" customHeight="1">
      <c r="A47" s="4" t="str">
        <v>AOW05: Accelerating Impact</v>
      </c>
      <c r="B47" s="4" t="str">
        <v>Scaling for Impact</v>
      </c>
      <c r="C47" s="4" t="str">
        <v xml:space="preserve">5.5. Well-documented, widely applicable and replicable partnership platforms </v>
      </c>
      <c r="D47"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47" s="4">
        <v>880</v>
      </c>
    </row>
    <row r="48" ht="60" customHeight="1">
      <c r="A48" s="4" t="str">
        <v>AOW05: Accelerating Impact</v>
      </c>
      <c r="B48" s="4" t="str">
        <v xml:space="preserve">Digital Transformation </v>
      </c>
      <c r="C48" s="4" t="str">
        <v xml:space="preserve">5.5. Well-documented, widely applicable and replicable partnership platforms </v>
      </c>
      <c r="D4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8" s="4">
        <v>881</v>
      </c>
    </row>
    <row r="49" ht="60" customHeight="1">
      <c r="A49" s="4" t="str">
        <v>AOW05: Accelerating Impact</v>
      </c>
      <c r="B49" s="4" t="str">
        <v xml:space="preserve">Digital Transformation </v>
      </c>
      <c r="C49" s="4" t="str">
        <v xml:space="preserve">5.4: Tools and approaches to enable rapid insights, learnings and impact </v>
      </c>
      <c r="D4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9" s="4">
        <v>900</v>
      </c>
    </row>
    <row r="50" ht="60" customHeight="1">
      <c r="A50" s="4" t="str">
        <v>AOW05: Accelerating Impact</v>
      </c>
      <c r="B50" s="4" t="str">
        <v>Scaling for Impact</v>
      </c>
      <c r="C50" s="4" t="str">
        <v xml:space="preserve">5.4: Tools and approaches to enable rapid insights, learnings and impact </v>
      </c>
      <c r="D50"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0" s="4">
        <v>901</v>
      </c>
    </row>
    <row r="51" ht="60" customHeight="1">
      <c r="A51" s="4" t="str">
        <v>AOW05: Accelerating Impact</v>
      </c>
      <c r="B51" s="4" t="str">
        <v>Policy Innovations</v>
      </c>
      <c r="C51" s="4" t="str">
        <v xml:space="preserve">5.4: Tools and approaches to enable rapid insights, learnings and impact </v>
      </c>
      <c r="D5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1" s="4">
        <v>902</v>
      </c>
    </row>
    <row r="52" ht="60" customHeight="1">
      <c r="A52" s="4" t="str">
        <v>AOW05: Accelerating Impact</v>
      </c>
      <c r="B52" s="4" t="str">
        <v xml:space="preserve">Digital Transformation </v>
      </c>
      <c r="C52" s="4" t="str">
        <v>5.3 FAIR, AI-ready data corpus, data and metadata standards</v>
      </c>
      <c r="D5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2" s="4">
        <v>903</v>
      </c>
    </row>
    <row r="53" ht="60" customHeight="1">
      <c r="A53" s="4" t="str">
        <v>AOW05: Accelerating Impact</v>
      </c>
      <c r="B53" s="4" t="str">
        <v>Scaling for Impact</v>
      </c>
      <c r="C53" s="4" t="str">
        <v>5.3 FAIR, AI-ready data corpus, data and metadata standards</v>
      </c>
      <c r="D53"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3" s="4">
        <v>904</v>
      </c>
    </row>
    <row r="54" ht="60" customHeight="1">
      <c r="A54" s="4" t="str">
        <v>AOW05: Accelerating Impact</v>
      </c>
      <c r="B54" s="4" t="str">
        <v>Policy Innovations</v>
      </c>
      <c r="C54" s="4" t="str">
        <v>5.3 FAIR, AI-ready data corpus, data and metadata standards</v>
      </c>
      <c r="D5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4" s="4">
        <v>905</v>
      </c>
    </row>
    <row r="55" ht="60" customHeight="1">
      <c r="A55" s="4" t="str">
        <v>AOW05: Accelerating Impact</v>
      </c>
      <c r="B55" s="4" t="str">
        <v xml:space="preserve">Digital Transformation </v>
      </c>
      <c r="C55" s="4" t="str">
        <v xml:space="preserve">5.2: Well- documented and communicated SFP impact assessments </v>
      </c>
      <c r="D5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5" s="4">
        <v>906</v>
      </c>
    </row>
    <row r="56" ht="60" customHeight="1">
      <c r="A56" s="4" t="str">
        <v>AOW05: Accelerating Impact</v>
      </c>
      <c r="B56" s="4" t="str">
        <v>Scaling for Impact</v>
      </c>
      <c r="C56" s="4" t="str">
        <v xml:space="preserve">5.2: Well- documented and communicated SFP impact assessments </v>
      </c>
      <c r="D56"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6" s="4">
        <v>907</v>
      </c>
    </row>
    <row r="57" ht="60" customHeight="1">
      <c r="A57" s="4" t="str">
        <v>AOW05: Accelerating Impact</v>
      </c>
      <c r="B57" s="4" t="str">
        <v>Policy Innovations</v>
      </c>
      <c r="C57" s="4" t="str">
        <v xml:space="preserve">5.2: Well- documented and communicated SFP impact assessments </v>
      </c>
      <c r="D57"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7" s="4">
        <v>908</v>
      </c>
    </row>
    <row r="58" ht="60" customHeight="1">
      <c r="A58" s="4" t="str">
        <v>AOW05: Accelerating Impact</v>
      </c>
      <c r="B58" s="4" t="str">
        <v xml:space="preserve">Digital Transformation </v>
      </c>
      <c r="C58" s="4" t="str">
        <v xml:space="preserve">5.1. Prioritization logic for deployment via partnership platforms available </v>
      </c>
      <c r="D5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8" s="4">
        <v>909</v>
      </c>
    </row>
    <row r="59" ht="60" customHeight="1">
      <c r="A59" s="4" t="str">
        <v>AOW05: Accelerating Impact</v>
      </c>
      <c r="B59" s="4" t="str">
        <v>Scaling for Impact</v>
      </c>
      <c r="C59" s="4" t="str">
        <v xml:space="preserve">5.1. Prioritization logic for deployment via partnership platforms available </v>
      </c>
      <c r="D59"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9" s="4">
        <v>910</v>
      </c>
    </row>
    <row r="60" ht="60" customHeight="1">
      <c r="A60" s="4" t="str">
        <v>AOW05: Accelerating Impact</v>
      </c>
      <c r="B60" s="4" t="str">
        <v>Policy Innovations</v>
      </c>
      <c r="C60" s="4" t="str">
        <v xml:space="preserve">5.1. Prioritization logic for deployment via partnership platforms available </v>
      </c>
      <c r="D60"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60" s="4">
        <v>911</v>
      </c>
    </row>
  </sheetData>
  <mergeCells count="4">
    <mergeCell ref="A2:A10"/>
    <mergeCell ref="A11:A25"/>
    <mergeCell ref="A26:A44"/>
    <mergeCell ref="A46:A60"/>
  </mergeCells>
  <ignoredErrors>
    <ignoredError numberStoredAsText="1" sqref="A1:E60"/>
  </ignoredErrors>
</worksheet>
</file>

<file path=xl/worksheets/sheet11.xml><?xml version="1.0" encoding="utf-8"?>
<worksheet xmlns="http://schemas.openxmlformats.org/spreadsheetml/2006/main" xmlns:r="http://schemas.openxmlformats.org/officeDocument/2006/relationships">
  <dimension ref="A1:G2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4: Integrated solutions embedded in investment, policy, and scaling systems</v>
      </c>
      <c r="C2" s="4" t="str">
        <v/>
      </c>
      <c r="D2" s="4" t="str">
        <v>Innovation Use</v>
      </c>
      <c r="E2" s="4" t="str">
        <v>Global</v>
      </c>
      <c r="F2" s="5">
        <v>100</v>
      </c>
      <c r="G2" s="4">
        <v>481</v>
      </c>
    </row>
    <row r="3" ht="60" customHeight="1">
      <c r="A3" s="4" t="str">
        <v>AOW00: Cross Cutting</v>
      </c>
      <c r="B3" s="4" t="str">
        <v>4: Integrated solutions embedded in investment, policy, and scaling systems</v>
      </c>
      <c r="C3" s="4" t="str">
        <v/>
      </c>
      <c r="D3" s="4" t="str">
        <v>Number of Policy (Policy Change)</v>
      </c>
      <c r="E3" s="4" t="str">
        <v>Global</v>
      </c>
      <c r="F3" s="5">
        <v>1</v>
      </c>
      <c r="G3" s="4">
        <v>481</v>
      </c>
    </row>
    <row r="4" ht="60" customHeight="1">
      <c r="A4" s="4" t="str">
        <v>AOW00: Cross Cutting</v>
      </c>
      <c r="B4" s="4" t="str">
        <v>1: Strengthened and widely used knowledge and advisory systems for decision-making</v>
      </c>
      <c r="C4" s="4" t="str">
        <v/>
      </c>
      <c r="D4" s="4" t="str">
        <v>Innovation Use</v>
      </c>
      <c r="E4" s="4" t="str">
        <v>Global</v>
      </c>
      <c r="F4" s="5">
        <v>25</v>
      </c>
      <c r="G4" s="4">
        <v>482</v>
      </c>
    </row>
    <row r="5" ht="60" customHeight="1">
      <c r="A5" s="4" t="str">
        <v>AOW00: Cross Cutting</v>
      </c>
      <c r="B5" s="4" t="str">
        <v xml:space="preserve">5: Enhanced skills of service providers and R&amp;D partners </v>
      </c>
      <c r="C5" s="4" t="str">
        <v/>
      </c>
      <c r="D5" s="4" t="str">
        <v>Innovation Use</v>
      </c>
      <c r="E5" s="4" t="str">
        <v>Global</v>
      </c>
      <c r="F5" s="5">
        <v>30</v>
      </c>
      <c r="G5" s="4">
        <v>485</v>
      </c>
    </row>
    <row r="6" ht="60" customHeight="1">
      <c r="A6" s="4" t="str">
        <v>AOW00: Cross Cutting</v>
      </c>
      <c r="B6" s="4" t="str">
        <v>2: National partners leading and sustaining innovation and research systems</v>
      </c>
      <c r="C6" s="4" t="str">
        <v/>
      </c>
      <c r="D6" s="4" t="str">
        <v>Innovation Use</v>
      </c>
      <c r="E6" s="4" t="str">
        <v>Global</v>
      </c>
      <c r="F6" s="5">
        <v>50</v>
      </c>
      <c r="G6" s="4">
        <v>495</v>
      </c>
    </row>
    <row r="7" ht="60" customHeight="1">
      <c r="A7" s="4" t="str">
        <v>AOW00: Cross Cutting</v>
      </c>
      <c r="B7" s="4" t="str">
        <v>2: National partners leading and sustaining innovation and research systems</v>
      </c>
      <c r="C7" s="4" t="str">
        <v/>
      </c>
      <c r="D7" s="4" t="str">
        <v>Innovation Use</v>
      </c>
      <c r="E7" s="4" t="str">
        <v>Global</v>
      </c>
      <c r="F7" s="5">
        <v>2</v>
      </c>
      <c r="G7" s="4">
        <v>495</v>
      </c>
    </row>
    <row r="8" ht="60" customHeight="1">
      <c r="A8" s="4" t="str">
        <v>AOW00: Cross Cutting</v>
      </c>
      <c r="B8" s="4" t="str">
        <v>7: Investment in Enabling Environment &amp; Advisory Services</v>
      </c>
      <c r="C8" s="4" t="str">
        <v/>
      </c>
      <c r="D8" s="4" t="str">
        <v>Number of Policy (Policy Change)</v>
      </c>
      <c r="E8" s="4" t="str">
        <v>Global</v>
      </c>
      <c r="F8" s="5">
        <v>1</v>
      </c>
      <c r="G8" s="4">
        <v>502</v>
      </c>
    </row>
    <row r="9" ht="60" customHeight="1">
      <c r="A9" s="4" t="str">
        <v>AOW00: Cross Cutting</v>
      </c>
      <c r="B9" s="4" t="str">
        <v>7: Investment in Enabling Environment &amp; Advisory Services</v>
      </c>
      <c r="C9" s="4" t="str">
        <v/>
      </c>
      <c r="D9" s="4" t="str">
        <v>Innovation Use</v>
      </c>
      <c r="E9" s="4" t="str">
        <v>Global</v>
      </c>
      <c r="F9" s="5">
        <v>2</v>
      </c>
      <c r="G9" s="4">
        <v>502</v>
      </c>
    </row>
    <row r="10" ht="60" customHeight="1">
      <c r="A10" s="4" t="str">
        <v>AOW00: Cross Cutting</v>
      </c>
      <c r="B10" s="4" t="str">
        <v>6: Farm advisory services and institutions enable agronomic gain at scale</v>
      </c>
      <c r="C10" s="4" t="str">
        <v/>
      </c>
      <c r="D10" s="4" t="str">
        <v>Innovation Use</v>
      </c>
      <c r="E10" s="4" t="str">
        <v>Global</v>
      </c>
      <c r="F10" s="5">
        <v>10</v>
      </c>
      <c r="G10" s="4">
        <v>503</v>
      </c>
    </row>
    <row r="11" ht="60" customHeight="1">
      <c r="A11" s="4" t="str">
        <v>AOW00: Cross Cutting</v>
      </c>
      <c r="B11" s="4" t="str">
        <v>1: Data Sharing &amp; Analytics for Advisory Services</v>
      </c>
      <c r="C11" s="4" t="str">
        <v/>
      </c>
      <c r="D11" s="4" t="str">
        <v>Innovation Use</v>
      </c>
      <c r="E11" s="4" t="str">
        <v>Global</v>
      </c>
      <c r="F11" s="5">
        <v>25</v>
      </c>
      <c r="G11" s="4">
        <v>504</v>
      </c>
    </row>
    <row r="12" ht="60" customHeight="1">
      <c r="A12" s="4" t="str">
        <v>AOW00: Cross Cutting</v>
      </c>
      <c r="B12" s="4" t="str">
        <v>2: Contextualized innovation bundles tested by partners</v>
      </c>
      <c r="C12" s="4" t="str">
        <v/>
      </c>
      <c r="D12" s="4" t="str">
        <v xml:space="preserve"> Number of innovation bundles contextualized</v>
      </c>
      <c r="E12" s="4" t="str">
        <v>Global</v>
      </c>
      <c r="F12" s="5">
        <v>5</v>
      </c>
      <c r="G12" s="4">
        <v>505</v>
      </c>
    </row>
    <row r="13" ht="60" customHeight="1">
      <c r="A13" s="4" t="str">
        <v>AOW00: Cross Cutting</v>
      </c>
      <c r="B13" s="4" t="str">
        <v>2: Contextualized innovation bundles tested by partners</v>
      </c>
      <c r="C13" s="4" t="str">
        <v/>
      </c>
      <c r="D13" s="4" t="str">
        <v>Innovation Use</v>
      </c>
      <c r="E13" s="4" t="str">
        <v>Global</v>
      </c>
      <c r="F13" s="5">
        <v>40</v>
      </c>
      <c r="G13" s="4">
        <v>505</v>
      </c>
    </row>
    <row r="14" ht="60" customHeight="1">
      <c r="A14" s="4" t="str">
        <v>AOW00: Cross Cutting</v>
      </c>
      <c r="B14" s="4" t="str">
        <v>3: Partners adopt methods to co-create integrated farm management solutions including inclusivity</v>
      </c>
      <c r="C14" s="4" t="str">
        <v/>
      </c>
      <c r="D14" s="4" t="str">
        <v>Innovation Use</v>
      </c>
      <c r="E14" s="4" t="str">
        <v>Global</v>
      </c>
      <c r="F14" s="5">
        <v>10</v>
      </c>
      <c r="G14" s="4">
        <v>509</v>
      </c>
    </row>
    <row r="15" ht="60" customHeight="1">
      <c r="A15" s="4" t="str">
        <v>AOW00: Cross Cutting</v>
      </c>
      <c r="B15" s="4" t="str">
        <v>4: Farming communities adapt and adopt solutions</v>
      </c>
      <c r="C15" s="4" t="str">
        <v/>
      </c>
      <c r="D15" s="4" t="str">
        <v>Innovation Use</v>
      </c>
      <c r="E15" s="4" t="str">
        <v>Global</v>
      </c>
      <c r="F15" s="5">
        <v>500000</v>
      </c>
      <c r="G15" s="4">
        <v>510</v>
      </c>
    </row>
    <row r="16" ht="60" customHeight="1">
      <c r="A16" s="4" t="str">
        <v>AOW00: Cross Cutting</v>
      </c>
      <c r="B16" s="4" t="str">
        <v>4: Farming communities adapt and adopt solutions</v>
      </c>
      <c r="C16" s="4" t="str">
        <v/>
      </c>
      <c r="D16" s="4" t="str">
        <v>Innovation Use</v>
      </c>
      <c r="E16" s="4" t="str">
        <v>Global</v>
      </c>
      <c r="F16" s="5">
        <v>40</v>
      </c>
      <c r="G16" s="4">
        <v>510</v>
      </c>
    </row>
    <row r="17" ht="60" customHeight="1">
      <c r="A17" s="4" t="str">
        <v>AOW00: Cross Cutting</v>
      </c>
      <c r="B17" s="4" t="str">
        <v>8: Partnership-Driven Agronomic Gains at Scale</v>
      </c>
      <c r="C17" s="4" t="str">
        <v/>
      </c>
      <c r="D17" s="4" t="str">
        <v>Innovation Use</v>
      </c>
      <c r="E17" s="4" t="str">
        <v>Global</v>
      </c>
      <c r="F17" s="5">
        <v>100</v>
      </c>
      <c r="G17" s="4">
        <v>511</v>
      </c>
    </row>
    <row r="18" ht="60" customHeight="1">
      <c r="A18" s="4" t="str">
        <v>AOW00: Cross Cutting</v>
      </c>
      <c r="B18" s="4" t="str">
        <v>8: Partnership-Driven Agronomic Gains at Scale</v>
      </c>
      <c r="C18" s="4" t="str">
        <v/>
      </c>
      <c r="D18" s="4" t="str">
        <v>Innovation Use</v>
      </c>
      <c r="E18" s="4" t="str">
        <v>Global</v>
      </c>
      <c r="F18" s="5">
        <v>2</v>
      </c>
      <c r="G18" s="4">
        <v>511</v>
      </c>
    </row>
    <row r="19" ht="60" customHeight="1">
      <c r="A19" s="4" t="str">
        <v>AOW00: Cross Cutting</v>
      </c>
      <c r="B19" s="4" t="str">
        <v>3: Large scale adoption of integrated farm management solutions by farmers</v>
      </c>
      <c r="C19" s="4" t="str">
        <v/>
      </c>
      <c r="D19" s="4" t="str">
        <v>Innovation Use</v>
      </c>
      <c r="E19" s="4" t="str">
        <v>Global</v>
      </c>
      <c r="F19" s="5">
        <v>5</v>
      </c>
      <c r="G19" s="4">
        <v>512</v>
      </c>
    </row>
    <row r="20" ht="60" customHeight="1">
      <c r="A20" s="4" t="str">
        <v>AOW00: Cross Cutting</v>
      </c>
      <c r="B20" s="4" t="str">
        <v>3: Large scale adoption of integrated farm management solutions by farmers</v>
      </c>
      <c r="C20" s="4" t="str">
        <v/>
      </c>
      <c r="D20" s="4" t="str">
        <v>Innovation Use</v>
      </c>
      <c r="E20" s="4" t="str">
        <v>Global</v>
      </c>
      <c r="F20" s="5">
        <v>5</v>
      </c>
      <c r="G20" s="4">
        <v>512</v>
      </c>
    </row>
    <row r="21" ht="60" customHeight="1">
      <c r="A21" s="4" t="str">
        <v>AOW00: Cross Cutting</v>
      </c>
      <c r="B21" s="4" t="str">
        <v>3: Large scale adoption of integrated farm management solutions by farmers</v>
      </c>
      <c r="C21" s="4" t="str">
        <v/>
      </c>
      <c r="D21" s="4" t="str">
        <v>Innovation Use</v>
      </c>
      <c r="E21" s="4" t="str">
        <v>Global</v>
      </c>
      <c r="F21" s="5">
        <v>500000</v>
      </c>
      <c r="G21" s="4">
        <v>512</v>
      </c>
    </row>
    <row r="22" ht="60" customHeight="1">
      <c r="A22" s="4" t="str">
        <v>AOW00: Cross Cutting</v>
      </c>
      <c r="B22" s="4" t="str">
        <v>3: Large scale adoption of integrated farm management solutions by farmers</v>
      </c>
      <c r="C22" s="4" t="str">
        <v/>
      </c>
      <c r="D22" s="4" t="str">
        <v>Number of food producers using CGIAR innovations.</v>
      </c>
      <c r="E22" s="4" t="str">
        <v>Global</v>
      </c>
      <c r="F22" s="5">
        <v>500000</v>
      </c>
      <c r="G22" s="4">
        <v>512</v>
      </c>
    </row>
  </sheetData>
  <mergeCells count="15">
    <mergeCell ref="B2:B3"/>
    <mergeCell ref="C2:C3"/>
    <mergeCell ref="B6:B7"/>
    <mergeCell ref="C6:C7"/>
    <mergeCell ref="B8:B9"/>
    <mergeCell ref="C8:C9"/>
    <mergeCell ref="B12:B13"/>
    <mergeCell ref="C12:C13"/>
    <mergeCell ref="B15:B16"/>
    <mergeCell ref="C15:C16"/>
    <mergeCell ref="B17:B18"/>
    <mergeCell ref="C17:C18"/>
    <mergeCell ref="B19:B22"/>
    <mergeCell ref="C19:C22"/>
    <mergeCell ref="A2:A22"/>
  </mergeCells>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