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49136</v>
      </c>
      <c r="K4" s="5">
        <v>49136</v>
      </c>
      <c r="L4" s="5">
        <v>0</v>
      </c>
      <c r="M4" s="5">
        <v>0</v>
      </c>
      <c r="N4" s="4">
        <v>169</v>
      </c>
    </row>
    <row r="5" ht="20" customHeight="1">
      <c r="A5" s="4" t="str">
        <v>AOW01: Accelerating AI-Enabled Farm Advisory at Scale.</v>
      </c>
      <c r="B5" s="5">
        <v>7</v>
      </c>
      <c r="C5" s="5">
        <v>179926</v>
      </c>
      <c r="D5" s="5">
        <v>0</v>
      </c>
      <c r="E5" s="5">
        <v>0</v>
      </c>
      <c r="F5" s="5">
        <v>0</v>
      </c>
      <c r="G5" s="5">
        <v>0</v>
      </c>
      <c r="H5" s="5">
        <v>0</v>
      </c>
      <c r="I5" s="5">
        <v>0</v>
      </c>
      <c r="J5" s="5">
        <v>179926</v>
      </c>
      <c r="K5" s="5">
        <v>179926</v>
      </c>
      <c r="L5" s="5">
        <v>10000</v>
      </c>
      <c r="M5" s="5">
        <v>0</v>
      </c>
      <c r="N5" s="4">
        <v>168</v>
      </c>
    </row>
    <row r="6" ht="20" customHeight="1">
      <c r="A6" s="4" t="str">
        <v>AOW02: Enabling Preparedness and Rapid Response to Emerging Shocks</v>
      </c>
      <c r="B6" s="5">
        <v>1</v>
      </c>
      <c r="C6" s="5">
        <v>73649</v>
      </c>
      <c r="D6" s="5">
        <v>1</v>
      </c>
      <c r="E6" s="5">
        <v>60000</v>
      </c>
      <c r="F6" s="5">
        <v>0</v>
      </c>
      <c r="G6" s="5">
        <v>0</v>
      </c>
      <c r="H6" s="5">
        <v>0</v>
      </c>
      <c r="I6" s="5">
        <v>0</v>
      </c>
      <c r="J6" s="5">
        <v>133649</v>
      </c>
      <c r="K6" s="5">
        <v>133649</v>
      </c>
      <c r="L6" s="5">
        <v>0</v>
      </c>
      <c r="M6" s="5">
        <v>0</v>
      </c>
      <c r="N6" s="4">
        <v>166</v>
      </c>
    </row>
    <row r="7" ht="20" customHeight="1">
      <c r="A7" s="4" t="str">
        <v>AOW03: Delivering Integrated Solutions to Systemic Farm-Level Binding Constraints</v>
      </c>
      <c r="B7" s="5">
        <v>3</v>
      </c>
      <c r="C7" s="5">
        <v>245476</v>
      </c>
      <c r="D7" s="5">
        <v>0</v>
      </c>
      <c r="E7" s="5">
        <v>0</v>
      </c>
      <c r="F7" s="5">
        <v>0</v>
      </c>
      <c r="G7" s="5">
        <v>0</v>
      </c>
      <c r="H7" s="5">
        <v>0</v>
      </c>
      <c r="I7" s="5">
        <v>0</v>
      </c>
      <c r="J7" s="5">
        <v>245476</v>
      </c>
      <c r="K7" s="5">
        <v>245476</v>
      </c>
      <c r="L7" s="5">
        <v>0</v>
      </c>
      <c r="M7" s="5">
        <v>0</v>
      </c>
      <c r="N7" s="4">
        <v>164</v>
      </c>
    </row>
    <row r="8" ht="20" customHeight="1">
      <c r="A8" s="4" t="str">
        <v>AOW04: Incubating Innovation in Sustainable Farming</v>
      </c>
      <c r="B8" s="5">
        <v>0</v>
      </c>
      <c r="C8" s="5">
        <v>0</v>
      </c>
      <c r="D8" s="5">
        <v>0</v>
      </c>
      <c r="E8" s="5">
        <v>0</v>
      </c>
      <c r="F8" s="5">
        <v>0</v>
      </c>
      <c r="G8" s="5">
        <v>0</v>
      </c>
      <c r="H8" s="5">
        <v>0</v>
      </c>
      <c r="I8" s="5">
        <v>0</v>
      </c>
      <c r="J8" s="5">
        <v>0</v>
      </c>
      <c r="K8" s="5">
        <v>0</v>
      </c>
      <c r="L8" s="5">
        <v>0</v>
      </c>
      <c r="M8" s="5">
        <v>0</v>
      </c>
      <c r="N8" s="4">
        <v>165</v>
      </c>
    </row>
    <row r="9" ht="20" customHeight="1">
      <c r="A9" s="4" t="str">
        <v>AOW05: Accelerating Impact</v>
      </c>
      <c r="B9" s="5">
        <v>2</v>
      </c>
      <c r="C9" s="5">
        <v>90000</v>
      </c>
      <c r="D9" s="5">
        <v>3</v>
      </c>
      <c r="E9" s="5">
        <v>101414</v>
      </c>
      <c r="F9" s="5">
        <v>0</v>
      </c>
      <c r="G9" s="5">
        <v>0</v>
      </c>
      <c r="H9" s="5">
        <v>0</v>
      </c>
      <c r="I9" s="5">
        <v>0</v>
      </c>
      <c r="J9" s="5">
        <v>191414</v>
      </c>
      <c r="K9" s="5">
        <v>191414</v>
      </c>
      <c r="L9" s="5">
        <v>0</v>
      </c>
      <c r="M9" s="5">
        <v>15000</v>
      </c>
      <c r="N9" s="4">
        <v>167</v>
      </c>
    </row>
    <row r="10" ht="25" customHeight="1">
      <c r="A10" s="6" t="str">
        <v>Total</v>
      </c>
      <c r="B10" s="7" t="str">
        <v/>
      </c>
      <c r="C10" s="7">
        <v>589051</v>
      </c>
      <c r="D10" s="7" t="str">
        <v/>
      </c>
      <c r="E10" s="7">
        <v>161414</v>
      </c>
      <c r="F10" s="7" t="str">
        <v/>
      </c>
      <c r="G10" s="7">
        <v>0</v>
      </c>
      <c r="H10" s="7" t="str">
        <v/>
      </c>
      <c r="I10" s="7">
        <v>0</v>
      </c>
      <c r="J10" s="7">
        <v>799601</v>
      </c>
      <c r="K10" s="7">
        <v>799601</v>
      </c>
      <c r="L10" s="7">
        <v>10000</v>
      </c>
      <c r="M10" s="7">
        <v>15000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AI-Enabled Farm Advisory at Scale.</v>
      </c>
      <c r="B3" s="4" t="str">
        <v>AfricaRice</v>
      </c>
      <c r="C3" s="4" t="str">
        <v xml:space="preserve">1.3: Farmer utilization and adoption of AI-enabled advisory services </v>
      </c>
      <c r="D3" s="4" t="str">
        <v>Functional AI-assisted RiceAdvice with a controlled chatbot interface, providing context-specific agronomic recommendations to rice farmers in Nigeria.</v>
      </c>
      <c r="E3" s="4" t="str">
        <v>Number of innovations (innovation development)</v>
      </c>
      <c r="F3" s="4" t="str">
        <v>Niger, Burkina Faso, Côte d'Ivoire, Nigeria, Ghana, Senegal</v>
      </c>
      <c r="G3" s="5">
        <v>1</v>
      </c>
      <c r="H3" s="5">
        <v>85000</v>
      </c>
      <c r="I3" s="4" t="str">
        <v>Previously collected data from RiceAdvice validation trials available. No further budget cuts.</v>
      </c>
      <c r="J3" s="4">
        <v>4916</v>
      </c>
    </row>
    <row r="4" ht="50" customHeight="1">
      <c r="A4" s="4" t="str">
        <v>AOW01: Accelerating AI-Enabled Farm Advisory at Scale.</v>
      </c>
      <c r="B4" s="4" t="str">
        <v>AfricaRice</v>
      </c>
      <c r="C4" s="4" t="str">
        <v xml:space="preserve"> 1.1: Agronomic and farm management scientific data and analytics  </v>
      </c>
      <c r="D4" s="4" t="str">
        <v>Six validated AgWise modules — crop system innovation, insurance, credit access, organic fertilizer, whole-farm bundled advisories, and forage/feed advisory — delivered and calibrated for rice-based systems in Nigeria and Côte d'Ivoire through AfricaRice's NARES partner network.</v>
      </c>
      <c r="E4" s="4" t="str">
        <v>Number of innovations (innovation development)</v>
      </c>
      <c r="F4" s="4" t="str">
        <v>Côte d'Ivoire, Nigeria</v>
      </c>
      <c r="G4" s="5">
        <v>6</v>
      </c>
      <c r="H4" s="5">
        <v>94926</v>
      </c>
      <c r="I4" s="4" t="str">
        <v>Inclusive of partner budget</v>
      </c>
      <c r="J4" s="4">
        <v>7960</v>
      </c>
    </row>
    <row r="5" ht="25" customHeight="1">
      <c r="C5" s="9" t="str">
        <v>HLO budget subtotal</v>
      </c>
      <c r="H5" s="9">
        <v>179926</v>
      </c>
      <c r="J5" s="9" t="str">
        <v/>
      </c>
    </row>
    <row r="6" ht="50" customHeight="1" xml:space="preserve">
      <c r="A6" s="8" t="str">
        <v>AOW02: Enabling Preparedness and Rapid Response to Emerging Shocks</v>
      </c>
      <c r="B6" s="4" t="str">
        <v>AfricaRice</v>
      </c>
      <c r="C6" s="4" t="str">
        <v xml:space="preserve">2.1: Enhanced resolution, accuracy and timeliness of early warning system </v>
      </c>
      <c r="D6" s="4"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E6" s="4" t="str">
        <v>Number of knowledge products</v>
      </c>
      <c r="F6" s="4" t="str">
        <v>Rwanda, Malawi, Benin, Kenya, Côte d'Ivoire, Zambia, Philippines, Uganda, Peru, Nigeria</v>
      </c>
      <c r="G6" s="5">
        <v>1</v>
      </c>
      <c r="H6" s="5">
        <v>60000</v>
      </c>
      <c r="I6" s="4" t="str" xml:space="preserve">
        <v xml:space="preserve">Budget available for the global study and partner institutes allocate funds
</v>
      </c>
      <c r="J6" s="4">
        <v>4938</v>
      </c>
    </row>
    <row r="7" ht="50" customHeight="1" xml:space="preserve">
      <c r="B7" s="4" t="str">
        <v>AfricaRice</v>
      </c>
      <c r="D7" s="4"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E7" s="4" t="str">
        <v>Number of innovations (innovation development)</v>
      </c>
      <c r="F7" s="4" t="str">
        <v>Ghana, Rwanda, Benin, Philippines, Zambia, Kenya, Malawi, Côte d'Ivoire, Uganda, Nigeria</v>
      </c>
      <c r="G7" s="5">
        <v>1</v>
      </c>
      <c r="H7" s="5">
        <v>73649</v>
      </c>
      <c r="I7" s="4" t="str" xml:space="preserve">
        <v xml:space="preserve">Budget available for the global study and partner institutes allocate funds
</v>
      </c>
      <c r="J7" s="4">
        <v>4944</v>
      </c>
    </row>
    <row r="8" ht="25" customHeight="1">
      <c r="C8" s="9" t="str">
        <v>HLO budget subtotal</v>
      </c>
      <c r="H8" s="9">
        <v>133649</v>
      </c>
      <c r="J8" s="9" t="str">
        <v/>
      </c>
    </row>
    <row r="9" ht="50" customHeight="1">
      <c r="A9" s="8" t="str">
        <v>AOW03: Delivering Integrated Solutions to Systemic Farm-Level Binding Constraints</v>
      </c>
      <c r="B9" s="4" t="str">
        <v>AfricaRice</v>
      </c>
      <c r="C9" s="4" t="str">
        <v xml:space="preserve">3.2. Validated, farm-level management solutions </v>
      </c>
      <c r="D9" s="4" t="str">
        <v>KPI 3.3.1: Develop and validate agronomic technologies and management practices that directly address priority soil and production constraints and improve productivity, soil health, and system resilience.</v>
      </c>
      <c r="E9" s="4" t="str">
        <v>Number of innovations (innovation development)</v>
      </c>
      <c r="F9" s="4" t="str">
        <v>Senegal, The Democratic Republic of the Congo</v>
      </c>
      <c r="G9" s="5">
        <v>2</v>
      </c>
      <c r="H9" s="5">
        <v>130009</v>
      </c>
      <c r="I9" s="4" t="str">
        <v>no budget assumption</v>
      </c>
      <c r="J9" s="4">
        <v>5044</v>
      </c>
    </row>
    <row r="10" ht="50" customHeight="1">
      <c r="B10" s="4" t="str">
        <v>AfricaRice</v>
      </c>
      <c r="D10" s="4" t="str">
        <v>KPI 3.5.1: (Critical capabilities) Co-design and validate integrated farm-level solution packages that simultaneously address multiple interacting constraints (soil, water, crops, labor, livestock) to optimize system productivity and resilience.</v>
      </c>
      <c r="E10" s="4" t="str">
        <v>Number of innovations (innovation development)</v>
      </c>
      <c r="F10" s="4" t="str">
        <v>Colombia, Lao People's Democratic Republic, Bangladesh, Mexico, Cambodia, Côte d'Ivoire, Philippines, Nigeria, The Socialist Republic of Viet Nam, Cameroon, Ghana, Malawi, Tanzania, United Republic, Kenya, India, Ethiopia, Madagascar</v>
      </c>
      <c r="G10" s="5">
        <v>1</v>
      </c>
      <c r="H10" s="5">
        <v>115467</v>
      </c>
      <c r="I10" s="4" t="str">
        <v>with the additional budget</v>
      </c>
      <c r="J10" s="4">
        <v>5054</v>
      </c>
    </row>
    <row r="11" ht="25" customHeight="1">
      <c r="C11" s="9" t="str">
        <v>HLO budget subtotal</v>
      </c>
      <c r="H11" s="9">
        <v>245476</v>
      </c>
      <c r="J11" s="9" t="str">
        <v/>
      </c>
    </row>
    <row r="12" ht="50" customHeight="1" xml:space="preserve">
      <c r="A12" s="8" t="str">
        <v>AOW05: Accelerating Impact</v>
      </c>
      <c r="B12" s="4" t="str">
        <v>AfricaRice</v>
      </c>
      <c r="C12" s="4" t="str">
        <v xml:space="preserve">5.4: Tools and approaches to enable rapid insights, learnings and impact </v>
      </c>
      <c r="D12" s="4" t="str" xml:space="preserve">
        <v xml:space="preserve">Standardized approaches and guidelines for assessing KPIs across AoWs 1–3 developed, including an agreed list of indicators and assessment framework to ensure consistency and comparability in performance measurement.
 </v>
      </c>
      <c r="E12" s="4" t="str">
        <v>Number of innovations (innovation development)</v>
      </c>
      <c r="F12" s="4" t="str">
        <v>Morocco, Senegal, Nigeria, Tanzania, United Republic, Ethiopia, Ghana, Rwanda, Philippines</v>
      </c>
      <c r="G12" s="5">
        <v>1</v>
      </c>
      <c r="H12" s="5">
        <v>40000</v>
      </c>
      <c r="I12" s="4" t="str">
        <v>no budget assumption</v>
      </c>
      <c r="J12" s="4">
        <v>4956</v>
      </c>
    </row>
    <row r="13" ht="50" customHeight="1">
      <c r="B13" s="4" t="str">
        <v>AfricaRice</v>
      </c>
      <c r="D13" s="4" t="str">
        <v>Standardized MELIA survey tools and instruments for household and farm-level data collection across AoWs (e.g., survey forms, processes, AI solutions, other protocols) to improve interoperability and standardization of survey data</v>
      </c>
      <c r="E13" s="4" t="str">
        <v>Number of people trained (capacity sharing for development)</v>
      </c>
      <c r="F13" s="4" t="str">
        <v>Benin, Ghana</v>
      </c>
      <c r="G13" s="5">
        <v>20</v>
      </c>
      <c r="H13" s="5">
        <v>0</v>
      </c>
      <c r="I13" s="4" t="str">
        <v/>
      </c>
      <c r="J13" s="4">
        <v>7891</v>
      </c>
    </row>
    <row r="14" ht="50" customHeight="1">
      <c r="B14" s="4" t="str">
        <v>AfricaRice</v>
      </c>
      <c r="D14" s="4" t="str">
        <v>Standardized MELIA survey tools and instruments for household and farm-level data collection across AoWs (e.g., survey forms, processes, Ai solutions, other protocols) to improve interoperability and standardization of survey data (MELIA Studies)</v>
      </c>
      <c r="E14" s="4" t="str">
        <v>Number of knowledge products</v>
      </c>
      <c r="F14" s="4" t="str">
        <v>Nepal, Sri Lanka, Benin, Ghana, Egypt, Nigeria, Tanzania, United Republic, Kenya</v>
      </c>
      <c r="G14" s="5">
        <v>2</v>
      </c>
      <c r="H14" s="5">
        <v>15000</v>
      </c>
      <c r="I14" s="4" t="str">
        <v>MELIA studies budget</v>
      </c>
      <c r="J14" s="4">
        <v>7894</v>
      </c>
    </row>
    <row r="15" ht="50" customHeight="1">
      <c r="A15" s="4" t="str">
        <v>AOW05: Accelerating Impact</v>
      </c>
      <c r="B15" s="4" t="str">
        <v>AfricaRice</v>
      </c>
      <c r="C15" s="4" t="str">
        <v xml:space="preserve">5.2: Well- documented and communicated SFP impact assessments </v>
      </c>
      <c r="D15" s="4" t="str">
        <v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v>
      </c>
      <c r="E15" s="4" t="str">
        <v>Number of knowledge products</v>
      </c>
      <c r="F15" s="4" t="str">
        <v>Zimbabwe, India, Benin, Ethiopia, Kenya</v>
      </c>
      <c r="G15" s="5">
        <v>1</v>
      </c>
      <c r="H15" s="5">
        <v>86414</v>
      </c>
      <c r="I15" s="4" t="str">
        <v>Inclusive of $40k allocated for AoW5 meetings</v>
      </c>
      <c r="J15" s="4">
        <v>4986</v>
      </c>
    </row>
    <row r="16" ht="50" customHeight="1">
      <c r="A16" s="4" t="str">
        <v>AOW05: Accelerating Impact</v>
      </c>
      <c r="B16" s="4" t="str">
        <v>AfricaRice</v>
      </c>
      <c r="C16" s="4" t="str">
        <v xml:space="preserve">5.5. Well-documented, widely applicable and replicable partnership platforms </v>
      </c>
      <c r="D16" s="4"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E16" s="4" t="str">
        <v>Number of innovations (innovation development)</v>
      </c>
      <c r="F16" s="4" t="str">
        <v>Côte d'Ivoire, Uganda, Zambia, Nepal, Bangladesh, The Democratic Republic of the Congo, Ghana, Kenya, Nigeria, Tanzania, United Republic, Malawi, Mexico, Ethiopia, Egypt, Morocco, The Socialist Republic of Viet Nam, India, Philippines, Cambodia</v>
      </c>
      <c r="G16" s="5">
        <v>1</v>
      </c>
      <c r="H16" s="5">
        <v>50000</v>
      </c>
      <c r="I16" s="4" t="str">
        <v>PASS budget</v>
      </c>
      <c r="J16" s="4">
        <v>7902</v>
      </c>
    </row>
    <row r="17" ht="25" customHeight="1">
      <c r="C17" s="9" t="str">
        <v>HLO budget subtotal</v>
      </c>
      <c r="H17" s="9">
        <v>191414</v>
      </c>
      <c r="J17" s="9" t="str">
        <v/>
      </c>
    </row>
  </sheetData>
  <mergeCells count="17">
    <mergeCell ref="A1:A2"/>
    <mergeCell ref="B1:B2"/>
    <mergeCell ref="C1:C2"/>
    <mergeCell ref="D1:H1"/>
    <mergeCell ref="I1:I2"/>
    <mergeCell ref="J1:J2"/>
    <mergeCell ref="C5:G5"/>
    <mergeCell ref="A3:A5"/>
    <mergeCell ref="C6:C7"/>
    <mergeCell ref="C8:G8"/>
    <mergeCell ref="A6:A8"/>
    <mergeCell ref="C9:C10"/>
    <mergeCell ref="C11:G11"/>
    <mergeCell ref="A9:A11"/>
    <mergeCell ref="C12:C14"/>
    <mergeCell ref="C17:G17"/>
    <mergeCell ref="A12:A17"/>
  </mergeCells>
  <ignoredErrors>
    <ignoredError numberStoredAsText="1" sqref="A1:J17"/>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Accelerating AI-Enabled Farm Advisory at Scale.</v>
      </c>
      <c r="B2" s="4" t="str">
        <v>Unknown Partner 1</v>
      </c>
      <c r="C2" s="4" t="str">
        <v>AfricaRice</v>
      </c>
      <c r="D2" s="4" t="str">
        <v>Nigeria, Côte d'Ivoire</v>
      </c>
      <c r="E2" s="5">
        <v>10000</v>
      </c>
      <c r="F2" s="4" t="str">
        <v>National Agricultural Research and Extension Institutes in the respective countries; 10000</v>
      </c>
      <c r="G2" s="4">
        <v>205</v>
      </c>
    </row>
    <row r="3" ht="25" customHeight="1">
      <c r="B3" s="9" t="str">
        <v>Contracted partners subtotal</v>
      </c>
      <c r="E3" s="9">
        <v>10000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AfricaRice</v>
      </c>
      <c r="B2" s="4" t="str">
        <v>A-AG10181-BMGF MultiHarvestRice</v>
      </c>
      <c r="C2" s="4" t="str">
        <v xml:space="preserve">3.2. Validated, farm-level management solutions </v>
      </c>
      <c r="D2" s="5">
        <v>327844</v>
      </c>
      <c r="E2" s="4" t="str">
        <v>Budget figure from the mapping dashboard, no assumption made.</v>
      </c>
      <c r="F2" s="4">
        <v>967</v>
      </c>
    </row>
    <row r="3" ht="60" customHeight="1">
      <c r="A3" s="4" t="str">
        <v>AfricaRice</v>
      </c>
      <c r="B3" s="4" t="str">
        <v>A-HP2023-003-World Bank-Food Systems Resilience</v>
      </c>
      <c r="C3" s="4" t="str">
        <v xml:space="preserve">1.3: Farmer utilization and adoption of AI-enabled advisory services </v>
      </c>
      <c r="D3" s="5">
        <v>1684404</v>
      </c>
      <c r="E3" s="4" t="str">
        <v>Budget figure from the mapping dashboard, no assumption made.</v>
      </c>
      <c r="F3" s="4">
        <v>950</v>
      </c>
    </row>
    <row r="4" ht="25" customHeight="1">
      <c r="B4" s="9" t="str">
        <v>W3/Bilateral budget subtotal</v>
      </c>
      <c r="D4" s="9">
        <v>2012248</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AfricaRice</v>
      </c>
      <c r="C2" s="4" t="str">
        <v xml:space="preserve">Adoption and impact of good agricultural practice in rice- based production system </v>
      </c>
      <c r="D2" s="4" t="str">
        <v>4: Farming communities adapt and adopt solutions</v>
      </c>
      <c r="E2" s="4" t="str">
        <v>N/A</v>
      </c>
      <c r="F2" s="5">
        <v>0</v>
      </c>
      <c r="G2" s="4" t="str">
        <v/>
      </c>
      <c r="H2" s="4">
        <v>541</v>
      </c>
    </row>
    <row r="3" ht="60" customHeight="1">
      <c r="A3" s="4" t="str">
        <v>AOW00: Cross Cutting</v>
      </c>
      <c r="B3" s="4" t="str">
        <v>AfricaRice</v>
      </c>
      <c r="C3" s="4" t="str">
        <v>Tracing of beneficiaries and uptake of rice recommendations through RiceAdviceLite—particularly fertilizer recommendation and Good Agronomic Practices (GAPs), generating evidence on performance, adoption pathways, and scaling mechanisms.</v>
      </c>
      <c r="D3" s="4" t="str">
        <v>5.4: Tools and approaches to enable rapid insights, learnings and impact</v>
      </c>
      <c r="E3" s="4" t="str">
        <v>N/A</v>
      </c>
      <c r="F3" s="5">
        <v>0</v>
      </c>
      <c r="G3" s="4" t="str">
        <v/>
      </c>
      <c r="H3" s="4">
        <v>543</v>
      </c>
    </row>
    <row r="4" ht="60" customHeight="1">
      <c r="A4" s="4" t="str">
        <v>AOW00: Cross Cutting</v>
      </c>
      <c r="B4" s="4" t="str">
        <v>AfricaRice</v>
      </c>
      <c r="C4" s="4" t="str">
        <v>Tracing of beneficiaries and uptake of innovations (e.g., fertilizer recommendations and crop management practices) for cassava through partnership platforms in Ghana, Nigeria and Tanzania to generate credible evidence on performance and adoption mechanisms.</v>
      </c>
      <c r="D4" s="4" t="str">
        <v>5.4: Tools and approaches to enable rapid insights, learnings and impact</v>
      </c>
      <c r="E4" s="4" t="str">
        <v>N/A</v>
      </c>
      <c r="F4" s="5">
        <v>0</v>
      </c>
      <c r="G4" s="4" t="str">
        <v/>
      </c>
      <c r="H4" s="4">
        <v>569</v>
      </c>
    </row>
    <row r="5" ht="60" customHeight="1">
      <c r="A5" s="4" t="str">
        <v>AOW00: Cross Cutting</v>
      </c>
      <c r="B5" s="4" t="str">
        <v>AfricaRice</v>
      </c>
      <c r="C5" s="4" t="str">
        <v xml:space="preserve">Adoption and impact assessment of digital extension in Nigeria and Senegal </v>
      </c>
      <c r="D5" s="4" t="str">
        <v>6: Farm advisory services and institutions enable agronomic gain at scale 4: Farming communities adapt and adopt solutions 3: Large scale adoption of integrated farm management solutions by farmers</v>
      </c>
      <c r="E5" s="4" t="str">
        <v>N/A</v>
      </c>
      <c r="F5" s="5">
        <v>0</v>
      </c>
      <c r="G5" s="4" t="str">
        <v/>
      </c>
      <c r="H5" s="4">
        <v>736</v>
      </c>
    </row>
    <row r="6" ht="25" customHeight="1">
      <c r="C6" s="9" t="str">
        <v>MELIA budget subtotal</v>
      </c>
      <c r="F6" s="9">
        <v>0</v>
      </c>
      <c r="G6" s="9" t="str">
        <v/>
      </c>
      <c r="H6" s="9" t="str">
        <v/>
      </c>
    </row>
    <row r="7" ht="60" customHeight="1">
      <c r="A7" s="8" t="str">
        <v>AOW05: Accelerating Impact</v>
      </c>
      <c r="B7" s="4" t="str">
        <v>AfricaRice</v>
      </c>
      <c r="C7" s="4" t="str">
        <v>Tracing of beneficiaries and uptake of rice recommendations through RiceAdviceLite—particularly fertilizer recommendation and Good Agronomic Practices (GAPs), generating evidence on performance, adoption pathways, and scaling mechanisms.</v>
      </c>
      <c r="D7" s="4" t="str">
        <v>5.4: Tools and approaches to enable rapid insights, learnings and impact</v>
      </c>
      <c r="E7" s="4" t="str">
        <v>N/A</v>
      </c>
      <c r="F7" s="5">
        <v>15000</v>
      </c>
      <c r="G7" s="4" t="str">
        <v>MELIA studies</v>
      </c>
      <c r="H7" s="4">
        <v>542</v>
      </c>
    </row>
    <row r="8" ht="60" customHeight="1">
      <c r="A8" s="4" t="str">
        <v>AOW05: Accelerating Impact</v>
      </c>
      <c r="B8" s="4" t="str">
        <v>AfricaRice</v>
      </c>
      <c r="C8" s="4" t="str">
        <v>Tracing of beneficiaries and uptake of innovations (e.g., fertilizer recommendations and crop management practices) for cassava through partnership platforms in Ghana, Nigeria and Tanzania to generate credible evidence on performance and adoption mechanisms.</v>
      </c>
      <c r="D8" s="4" t="str">
        <v>5.4: Tools and approaches to enable rapid insights, learnings and impact</v>
      </c>
      <c r="E8" s="4" t="str">
        <v>N/A</v>
      </c>
      <c r="F8" s="5">
        <v>0</v>
      </c>
      <c r="G8" s="4" t="str">
        <v/>
      </c>
      <c r="H8" s="4">
        <v>561</v>
      </c>
    </row>
    <row r="9" ht="25" customHeight="1">
      <c r="C9" s="9" t="str">
        <v>MELIA budget subtotal</v>
      </c>
      <c r="F9" s="9">
        <v>15000</v>
      </c>
      <c r="G9" s="9" t="str">
        <v/>
      </c>
      <c r="H9" s="9" t="str">
        <v/>
      </c>
    </row>
  </sheetData>
  <mergeCells count="4">
    <mergeCell ref="C6:E6"/>
    <mergeCell ref="A2:A6"/>
    <mergeCell ref="C9:E9"/>
    <mergeCell ref="A7:A9"/>
  </mergeCells>
  <ignoredErrors>
    <ignoredError numberStoredAsText="1" sqref="A1:H9"/>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AfricaRice</v>
      </c>
      <c r="C2" s="4" t="str">
        <v>Area of Work Leads</v>
      </c>
      <c r="D2" s="5">
        <v>39136</v>
      </c>
      <c r="E2" s="4" t="str">
        <v>AoW lead Q1-Q4 2026</v>
      </c>
      <c r="F2" s="4">
        <v>153</v>
      </c>
      <c r="G2" s="4">
        <v>3</v>
      </c>
    </row>
    <row r="3" ht="45" customHeight="1">
      <c r="A3" s="4" t="str">
        <v>AOW00: Cross Cutting</v>
      </c>
      <c r="B3" s="4" t="str">
        <v>AfricaRice</v>
      </c>
      <c r="C3" s="4" t="str">
        <v>Operations</v>
      </c>
      <c r="D3" s="5">
        <v>10000</v>
      </c>
      <c r="E3" s="4" t="str">
        <v>AoW lead travels to program leadership meetings</v>
      </c>
      <c r="F3" s="4">
        <v>154</v>
      </c>
      <c r="G3" s="4">
        <v>4</v>
      </c>
    </row>
    <row r="4" ht="25" customHeight="1">
      <c r="C4" s="9" t="str">
        <v>Cross-cutting budget subtotal</v>
      </c>
      <c r="D4" s="9">
        <v>49136</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39136</v>
      </c>
      <c r="C2" s="5">
        <v>86059</v>
      </c>
      <c r="D2" s="5">
        <v>93554</v>
      </c>
      <c r="E2" s="5">
        <v>171833</v>
      </c>
      <c r="F2" s="5">
        <v>0</v>
      </c>
      <c r="G2" s="5">
        <v>105990</v>
      </c>
      <c r="H2" s="5">
        <f>=SUM(B2:G2)</f>
        <v>0</v>
      </c>
    </row>
    <row r="3" ht="20" customHeight="1">
      <c r="A3" s="4" t="str">
        <v>Operations (supplies, consultants, travels, workshops, other)</v>
      </c>
      <c r="B3" s="5">
        <v>10000</v>
      </c>
      <c r="C3" s="5">
        <v>83867</v>
      </c>
      <c r="D3" s="5">
        <v>40095</v>
      </c>
      <c r="E3" s="5">
        <v>73643</v>
      </c>
      <c r="F3" s="5">
        <v>0</v>
      </c>
      <c r="G3" s="5">
        <v>85424</v>
      </c>
      <c r="H3" s="5">
        <f>=SUM(B3:G3)</f>
        <v>0</v>
      </c>
    </row>
    <row r="4" ht="20" customHeight="1">
      <c r="A4" s="4" t="str">
        <v>Collaborators non-CGIAR centers</v>
      </c>
      <c r="B4" s="5">
        <v>0</v>
      </c>
      <c r="C4" s="5">
        <v>10000</v>
      </c>
      <c r="D4" s="5">
        <v>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4"/>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AfricaRice</v>
      </c>
      <c r="C2" s="4" t="str">
        <v>Côte d'Ivoire</v>
      </c>
      <c r="D2" s="5">
        <v>100</v>
      </c>
      <c r="E2" s="4">
        <v>1876</v>
      </c>
    </row>
    <row r="3" ht="45" customHeight="1">
      <c r="A3" s="8" t="str">
        <v>AOW01: Accelerating AI-Enabled Farm Advisory at Scale.</v>
      </c>
      <c r="B3" s="4" t="str">
        <v>AfricaRice</v>
      </c>
      <c r="C3" s="4" t="str">
        <v>Burkina Faso</v>
      </c>
      <c r="D3" s="5">
        <v>8</v>
      </c>
      <c r="E3" s="4">
        <v>1245</v>
      </c>
    </row>
    <row r="4" ht="45" customHeight="1">
      <c r="A4" s="4" t="str">
        <v>AOW01: Accelerating AI-Enabled Farm Advisory at Scale.</v>
      </c>
      <c r="B4" s="4" t="str">
        <v>AfricaRice</v>
      </c>
      <c r="C4" s="4" t="str">
        <v>Côte d'Ivoire</v>
      </c>
      <c r="D4" s="5">
        <v>33</v>
      </c>
      <c r="E4" s="4">
        <v>1242</v>
      </c>
    </row>
    <row r="5" ht="45" customHeight="1">
      <c r="A5" s="4" t="str">
        <v>AOW01: Accelerating AI-Enabled Farm Advisory at Scale.</v>
      </c>
      <c r="B5" s="4" t="str">
        <v>AfricaRice</v>
      </c>
      <c r="C5" s="4" t="str">
        <v>Ghana</v>
      </c>
      <c r="D5" s="5">
        <v>8</v>
      </c>
      <c r="E5" s="4">
        <v>1246</v>
      </c>
    </row>
    <row r="6" ht="45" customHeight="1">
      <c r="A6" s="4" t="str">
        <v>AOW01: Accelerating AI-Enabled Farm Advisory at Scale.</v>
      </c>
      <c r="B6" s="4" t="str">
        <v>AfricaRice</v>
      </c>
      <c r="C6" s="4" t="str">
        <v>Niger</v>
      </c>
      <c r="D6" s="5">
        <v>9</v>
      </c>
      <c r="E6" s="4">
        <v>1243</v>
      </c>
    </row>
    <row r="7" ht="45" customHeight="1">
      <c r="A7" s="4" t="str">
        <v>AOW01: Accelerating AI-Enabled Farm Advisory at Scale.</v>
      </c>
      <c r="B7" s="4" t="str">
        <v>AfricaRice</v>
      </c>
      <c r="C7" s="4" t="str">
        <v>Nigeria</v>
      </c>
      <c r="D7" s="5">
        <v>33</v>
      </c>
      <c r="E7" s="4">
        <v>1244</v>
      </c>
    </row>
    <row r="8" ht="45" customHeight="1">
      <c r="A8" s="4" t="str">
        <v>AOW01: Accelerating AI-Enabled Farm Advisory at Scale.</v>
      </c>
      <c r="B8" s="4" t="str">
        <v>AfricaRice</v>
      </c>
      <c r="C8" s="4" t="str">
        <v>Senegal</v>
      </c>
      <c r="D8" s="5">
        <v>9</v>
      </c>
      <c r="E8" s="4">
        <v>1247</v>
      </c>
    </row>
    <row r="9" ht="45" customHeight="1">
      <c r="A9" s="8" t="str">
        <v>AOW02: Enabling Preparedness and Rapid Response to Emerging Shocks</v>
      </c>
      <c r="B9" s="4" t="str">
        <v>AfricaRice</v>
      </c>
      <c r="C9" s="4" t="str">
        <v>Côte d'Ivoire</v>
      </c>
      <c r="D9" s="5">
        <v>50</v>
      </c>
      <c r="E9" s="4">
        <v>1641</v>
      </c>
    </row>
    <row r="10" ht="45" customHeight="1">
      <c r="A10" s="4" t="str">
        <v>AOW02: Enabling Preparedness and Rapid Response to Emerging Shocks</v>
      </c>
      <c r="B10" s="4" t="str">
        <v>AfricaRice</v>
      </c>
      <c r="C10" s="4" t="str">
        <v>Uganda</v>
      </c>
      <c r="D10" s="5">
        <v>50</v>
      </c>
      <c r="E10" s="4">
        <v>1642</v>
      </c>
    </row>
    <row r="11" ht="45" customHeight="1">
      <c r="A11" s="8" t="str">
        <v>AOW03: Delivering Integrated Solutions to Systemic Farm-Level Binding Constraints</v>
      </c>
      <c r="B11" s="4" t="str">
        <v>AfricaRice</v>
      </c>
      <c r="C11" s="4" t="str">
        <v>Madagascar</v>
      </c>
      <c r="D11" s="5">
        <v>47</v>
      </c>
      <c r="E11" s="4">
        <v>1892</v>
      </c>
    </row>
    <row r="12" ht="45" customHeight="1">
      <c r="A12" s="4" t="str">
        <v>AOW03: Delivering Integrated Solutions to Systemic Farm-Level Binding Constraints</v>
      </c>
      <c r="B12" s="4" t="str">
        <v>AfricaRice</v>
      </c>
      <c r="C12" s="4" t="str">
        <v>Senegal</v>
      </c>
      <c r="D12" s="5">
        <v>53</v>
      </c>
      <c r="E12" s="4">
        <v>1893</v>
      </c>
    </row>
    <row r="13" ht="45" customHeight="1">
      <c r="A13" s="8" t="str">
        <v>AOW05: Accelerating Impact</v>
      </c>
      <c r="B13" s="4" t="str">
        <v>AfricaRice</v>
      </c>
      <c r="C13" s="4" t="str">
        <v>Côte d'Ivoire</v>
      </c>
      <c r="D13" s="5">
        <v>30</v>
      </c>
      <c r="E13" s="4">
        <v>3133</v>
      </c>
    </row>
    <row r="14" ht="45" customHeight="1">
      <c r="A14" s="4" t="str">
        <v>AOW05: Accelerating Impact</v>
      </c>
      <c r="B14" s="4" t="str">
        <v>AfricaRice</v>
      </c>
      <c r="C14" s="4" t="str">
        <v>Senegal</v>
      </c>
      <c r="D14" s="5">
        <v>70</v>
      </c>
      <c r="E14" s="4">
        <v>3131</v>
      </c>
    </row>
  </sheetData>
  <mergeCells count="5">
    <mergeCell ref="A2"/>
    <mergeCell ref="A3:A8"/>
    <mergeCell ref="A9:A10"/>
    <mergeCell ref="A11:A12"/>
    <mergeCell ref="A13:A14"/>
  </mergeCells>
  <ignoredErrors>
    <ignoredError numberStoredAsText="1" sqref="A1:E14"/>
  </ignoredErrors>
</worksheet>
</file>

<file path=xl/worksheets/sheet9.xml><?xml version="1.0" encoding="utf-8"?>
<worksheet xmlns="http://schemas.openxmlformats.org/spreadsheetml/2006/main" xmlns:r="http://schemas.openxmlformats.org/officeDocument/2006/relationships">
  <dimension ref="A1:F8"/>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AfricaRice</v>
      </c>
      <c r="C2" s="4" t="str">
        <v>Global</v>
      </c>
      <c r="D2" s="4" t="str">
        <v>global</v>
      </c>
      <c r="E2" s="5">
        <v>100</v>
      </c>
      <c r="F2" s="4">
        <v>645</v>
      </c>
    </row>
    <row r="3" ht="45" customHeight="1">
      <c r="A3" s="8" t="str">
        <v>AOW01: Accelerating AI-Enabled Farm Advisory at Scale.</v>
      </c>
      <c r="B3" s="4" t="str">
        <v>AfricaRice</v>
      </c>
      <c r="C3" s="4" t="str">
        <v>Western Africa</v>
      </c>
      <c r="D3" s="4" t="str">
        <v>region</v>
      </c>
      <c r="E3" s="5">
        <v>100</v>
      </c>
      <c r="F3" s="4">
        <v>434</v>
      </c>
    </row>
    <row r="4" ht="45" customHeight="1">
      <c r="A4" s="8" t="str">
        <v>AOW02: Enabling Preparedness and Rapid Response to Emerging Shocks</v>
      </c>
      <c r="B4" s="4" t="str">
        <v>AfricaRice</v>
      </c>
      <c r="C4" s="4" t="str">
        <v>Global</v>
      </c>
      <c r="D4" s="4" t="str">
        <v>global</v>
      </c>
      <c r="E4" s="5">
        <v>100</v>
      </c>
      <c r="F4" s="4">
        <v>577</v>
      </c>
    </row>
    <row r="5" ht="45" customHeight="1">
      <c r="A5" s="8" t="str">
        <v>AOW03: Delivering Integrated Solutions to Systemic Farm-Level Binding Constraints</v>
      </c>
      <c r="B5" s="4" t="str">
        <v>AfricaRice</v>
      </c>
      <c r="C5" s="4" t="str">
        <v>Global</v>
      </c>
      <c r="D5" s="4" t="str">
        <v>global</v>
      </c>
      <c r="E5" s="5">
        <v>100</v>
      </c>
      <c r="F5" s="4">
        <v>654</v>
      </c>
    </row>
    <row r="6" ht="45" customHeight="1">
      <c r="A6" s="8" t="str">
        <v>AOW05: Accelerating Impact</v>
      </c>
      <c r="B6" s="4" t="str">
        <v>AfricaRice</v>
      </c>
      <c r="C6" s="4" t="str">
        <v>Côte d'Ivoire</v>
      </c>
      <c r="D6" s="4" t="str">
        <v>country</v>
      </c>
      <c r="E6" s="5">
        <v>25</v>
      </c>
      <c r="F6" s="4">
        <v>1245</v>
      </c>
    </row>
    <row r="7" ht="45" customHeight="1">
      <c r="A7" s="4" t="str">
        <v>AOW05: Accelerating Impact</v>
      </c>
      <c r="B7" s="4" t="str">
        <v>AfricaRice</v>
      </c>
      <c r="C7" s="4" t="str">
        <v>Nigeria</v>
      </c>
      <c r="D7" s="4" t="str">
        <v>country</v>
      </c>
      <c r="E7" s="5">
        <v>25</v>
      </c>
      <c r="F7" s="4">
        <v>1244</v>
      </c>
    </row>
    <row r="8" ht="45" customHeight="1">
      <c r="A8" s="4" t="str">
        <v>AOW05: Accelerating Impact</v>
      </c>
      <c r="B8" s="4" t="str">
        <v>AfricaRice</v>
      </c>
      <c r="C8" s="4" t="str">
        <v>Senegal</v>
      </c>
      <c r="D8" s="4" t="str">
        <v>country</v>
      </c>
      <c r="E8" s="5">
        <v>50</v>
      </c>
      <c r="F8" s="4">
        <v>1246</v>
      </c>
    </row>
  </sheetData>
  <mergeCells count="5">
    <mergeCell ref="A2"/>
    <mergeCell ref="A3"/>
    <mergeCell ref="A4"/>
    <mergeCell ref="A5"/>
    <mergeCell ref="A6:A8"/>
  </mergeCells>
  <ignoredErrors>
    <ignoredError numberStoredAsText="1" sqref="A1:F8"/>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Number of Policy (Policy Change)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10</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40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10</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40</v>
      </c>
      <c r="G16" s="4">
        <v>510</v>
      </c>
    </row>
    <row r="17" ht="60" customHeight="1">
      <c r="A17" s="4" t="str">
        <v>AOW00: Cross Cutting</v>
      </c>
      <c r="B17" s="4" t="str">
        <v>8: Partnership-Driven Agronomic Gains at Scale</v>
      </c>
      <c r="C17" s="4" t="str">
        <v/>
      </c>
      <c r="D17" s="4" t="str">
        <v>Innovation Use</v>
      </c>
      <c r="E17" s="4" t="str">
        <v>Global</v>
      </c>
      <c r="F17" s="5">
        <v>100</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