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169</v>
      </c>
    </row>
    <row r="5" ht="20" customHeight="1">
      <c r="A5" s="4" t="str">
        <v>AOW01: Accelerating AI-Enabled Farm Advisory at Scale.</v>
      </c>
      <c r="B5" s="5">
        <v>1</v>
      </c>
      <c r="C5" s="5">
        <v>11513</v>
      </c>
      <c r="D5" s="5">
        <v>2</v>
      </c>
      <c r="E5" s="5">
        <v>71596</v>
      </c>
      <c r="F5" s="5">
        <v>0</v>
      </c>
      <c r="G5" s="5">
        <v>0</v>
      </c>
      <c r="H5" s="5">
        <v>0</v>
      </c>
      <c r="I5" s="5">
        <v>0</v>
      </c>
      <c r="J5" s="5">
        <v>83109</v>
      </c>
      <c r="K5" s="5">
        <v>83109</v>
      </c>
      <c r="L5" s="5">
        <v>5000</v>
      </c>
      <c r="M5" s="5">
        <v>0</v>
      </c>
      <c r="N5" s="4">
        <v>168</v>
      </c>
    </row>
    <row r="6" ht="20" customHeight="1">
      <c r="A6" s="4" t="str">
        <v>AOW02: Enabling Preparedness and Rapid Response to Emerging Shocks</v>
      </c>
      <c r="B6" s="5">
        <v>0</v>
      </c>
      <c r="C6" s="5">
        <v>0</v>
      </c>
      <c r="D6" s="5">
        <v>1</v>
      </c>
      <c r="E6" s="5">
        <v>161399</v>
      </c>
      <c r="F6" s="5">
        <v>0</v>
      </c>
      <c r="G6" s="5">
        <v>0</v>
      </c>
      <c r="H6" s="5">
        <v>0</v>
      </c>
      <c r="I6" s="5">
        <v>0</v>
      </c>
      <c r="J6" s="5">
        <v>161399</v>
      </c>
      <c r="K6" s="5">
        <v>161399</v>
      </c>
      <c r="L6" s="5">
        <v>10000</v>
      </c>
      <c r="M6" s="5">
        <v>0</v>
      </c>
      <c r="N6" s="4">
        <v>166</v>
      </c>
    </row>
    <row r="7" ht="20" customHeight="1">
      <c r="A7" s="4" t="str">
        <v>AOW03: Delivering Integrated Solutions to Systemic Farm-Level Binding Constraints</v>
      </c>
      <c r="B7" s="5">
        <v>3</v>
      </c>
      <c r="C7" s="5">
        <v>116525</v>
      </c>
      <c r="D7" s="5">
        <v>5</v>
      </c>
      <c r="E7" s="5">
        <v>50760</v>
      </c>
      <c r="F7" s="5">
        <v>10000</v>
      </c>
      <c r="G7" s="5">
        <v>27293</v>
      </c>
      <c r="H7" s="5">
        <v>0</v>
      </c>
      <c r="I7" s="5">
        <v>0</v>
      </c>
      <c r="J7" s="5">
        <v>194578</v>
      </c>
      <c r="K7" s="5">
        <v>194578</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2</v>
      </c>
      <c r="C9" s="5">
        <v>42304</v>
      </c>
      <c r="D9" s="5">
        <v>3</v>
      </c>
      <c r="E9" s="5">
        <v>31820</v>
      </c>
      <c r="F9" s="5">
        <v>0</v>
      </c>
      <c r="G9" s="5">
        <v>0</v>
      </c>
      <c r="H9" s="5">
        <v>0</v>
      </c>
      <c r="I9" s="5">
        <v>0</v>
      </c>
      <c r="J9" s="5">
        <v>74124</v>
      </c>
      <c r="K9" s="5">
        <v>74124</v>
      </c>
      <c r="L9" s="5">
        <v>0</v>
      </c>
      <c r="M9" s="5">
        <v>0</v>
      </c>
      <c r="N9" s="4">
        <v>167</v>
      </c>
    </row>
    <row r="10" ht="25" customHeight="1">
      <c r="A10" s="6" t="str">
        <v>Total</v>
      </c>
      <c r="B10" s="7" t="str">
        <v/>
      </c>
      <c r="C10" s="7">
        <v>170342</v>
      </c>
      <c r="D10" s="7" t="str">
        <v/>
      </c>
      <c r="E10" s="7">
        <v>315575</v>
      </c>
      <c r="F10" s="7" t="str">
        <v/>
      </c>
      <c r="G10" s="7">
        <v>27293</v>
      </c>
      <c r="H10" s="7" t="str">
        <v/>
      </c>
      <c r="I10" s="7">
        <v>0</v>
      </c>
      <c r="J10" s="7">
        <v>513210</v>
      </c>
      <c r="K10" s="7">
        <v>513210</v>
      </c>
      <c r="L10" s="7">
        <v>15000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Bioversity (Alliance)</v>
      </c>
      <c r="C3" s="4" t="str">
        <v xml:space="preserve">1.2: Benchmarking and performance validation systems </v>
      </c>
      <c r="D3" s="4" t="str">
        <v>Science-based benchmarking protocols for independent in-field and external performance evaluation of AI/digital advisory systems, coupled with a Responsible AI and Ethical Guardrails workshop on human-centred AI — including context, gender, and risk considerations — for East Africa use cases.</v>
      </c>
      <c r="E3" s="4" t="str">
        <v>Number of knowledge products</v>
      </c>
      <c r="F3" s="4" t="str">
        <v>Kenya, Ethiopia, India</v>
      </c>
      <c r="G3" s="5">
        <v>2</v>
      </c>
      <c r="H3" s="5">
        <v>71596</v>
      </c>
      <c r="I3" s="4" t="str">
        <v>No budget assumption</v>
      </c>
      <c r="J3" s="4">
        <v>7943</v>
      </c>
    </row>
    <row r="4" ht="50" customHeight="1">
      <c r="A4" s="4" t="str">
        <v>AOW01: Accelerating AI-Enabled Farm Advisory at Scale.</v>
      </c>
      <c r="B4" s="4" t="str">
        <v>Bioversity (Alliance)</v>
      </c>
      <c r="C4" s="4" t="str">
        <v xml:space="preserve"> 1.1: Agronomic and farm management scientific data and analytics  </v>
      </c>
      <c r="D4" s="4" t="str">
        <v>Integrate cultivar recommendation into the AgWise decision support tool, beginning with harmonized datasets from Ethiopia, Kenya, Ghana, and Malawi for 2026</v>
      </c>
      <c r="E4" s="4" t="str">
        <v>Number of innovations (innovation development)</v>
      </c>
      <c r="F4" s="4" t="str">
        <v>Ethiopia, Ghana, Malawi, Kenya</v>
      </c>
      <c r="G4" s="5">
        <v>1</v>
      </c>
      <c r="H4" s="5">
        <v>11513</v>
      </c>
      <c r="I4" s="4" t="str">
        <v>no budget assumption</v>
      </c>
      <c r="J4" s="4">
        <v>7944</v>
      </c>
    </row>
    <row r="5" ht="25" customHeight="1">
      <c r="C5" s="9" t="str">
        <v>HLO budget subtotal</v>
      </c>
      <c r="H5" s="9">
        <v>83109</v>
      </c>
      <c r="J5" s="9" t="str">
        <v/>
      </c>
    </row>
    <row r="6" ht="50" customHeight="1">
      <c r="A6" s="8" t="str">
        <v>AOW02: Enabling Preparedness and Rapid Response to Emerging Shocks</v>
      </c>
      <c r="B6" s="4" t="str">
        <v>Bioversity (Alliance)</v>
      </c>
      <c r="C6" s="4" t="str">
        <v xml:space="preserve">2.1: Enhanced resolution, accuracy and timeliness of early warning system </v>
      </c>
      <c r="D6" s="4" t="str">
        <v>Enhanced operational early warning systems for pests and disease forecasting in different cropping systems (banana, bean)</v>
      </c>
      <c r="E6" s="4" t="str">
        <v>Number of knowledge products</v>
      </c>
      <c r="F6" s="4" t="str">
        <v>Colombia, Rwanda, Uganda, The Socialist Republic of Viet Nam, The Democratic Republic of the Congo</v>
      </c>
      <c r="G6" s="5">
        <v>1</v>
      </c>
      <c r="H6" s="5">
        <v>161399</v>
      </c>
      <c r="I6" s="4" t="str">
        <v>Additional funding added</v>
      </c>
      <c r="J6" s="4">
        <v>4935</v>
      </c>
    </row>
    <row r="7" ht="25" customHeight="1">
      <c r="C7" s="9" t="str">
        <v>HLO budget subtotal</v>
      </c>
      <c r="H7" s="9">
        <v>161399</v>
      </c>
      <c r="J7" s="9" t="str">
        <v/>
      </c>
    </row>
    <row r="8" ht="50" customHeight="1">
      <c r="A8" s="8" t="str">
        <v>AOW03: Delivering Integrated Solutions to Systemic Farm-Level Binding Constraints</v>
      </c>
      <c r="B8" s="4" t="str">
        <v>Bioversity (Alliance)</v>
      </c>
      <c r="C8" s="4" t="str">
        <v xml:space="preserve">3.2. Validated, farm-level management solutions </v>
      </c>
      <c r="D8" s="4" t="str">
        <v>KPI 3.4.1: Develop and validate integrated plant health solutions that reduce biotic constraints through combined agronomic, biological, and ecological approaches adapted to smallholder systems.</v>
      </c>
      <c r="E8" s="4" t="str">
        <v>Number of innovations (innovation development)</v>
      </c>
      <c r="F8" s="4" t="str">
        <v>Ethiopia, Morocco, Malawi, The Socialist Republic of Viet Nam, Uganda, Kenya, Madagascar, Tanzania, United Republic, Nigeria</v>
      </c>
      <c r="G8" s="5">
        <v>3</v>
      </c>
      <c r="H8" s="5">
        <v>116525</v>
      </c>
      <c r="I8" s="4" t="str">
        <v>no budget assumption</v>
      </c>
      <c r="J8" s="4">
        <v>5040</v>
      </c>
    </row>
    <row r="9" ht="50" customHeight="1">
      <c r="A9" s="4" t="str">
        <v>AOW03: Delivering Integrated Solutions to Systemic Farm-Level Binding Constraints</v>
      </c>
      <c r="B9" s="4" t="str">
        <v>Bioversity (Alliance)</v>
      </c>
      <c r="C9" s="4" t="str">
        <v xml:space="preserve">3.3: Scaled and adopted farm management solutions </v>
      </c>
      <c r="D9" s="4" t="str">
        <v>KPI 3.6.2: Strengthen capacities of farmers, extension agents, and partners through training, advisory services, and digital platforms to enable widespread uptake of solutions addressing farm-level binding constraints.</v>
      </c>
      <c r="E9" s="4" t="str">
        <v>Number of people trained (capacity sharing for development)</v>
      </c>
      <c r="F9" s="4" t="str">
        <v>Zambia, Mexico, Ethiopia, Malawi, Nepal, Kenya, India, The Democratic Republic of the Congo, The Socialist Republic of Viet Nam, Uganda</v>
      </c>
      <c r="G9" s="5">
        <v>10000</v>
      </c>
      <c r="H9" s="5">
        <v>27293</v>
      </c>
      <c r="I9" s="4" t="str">
        <v>no budget assumption</v>
      </c>
      <c r="J9" s="4">
        <v>5057</v>
      </c>
    </row>
    <row r="10" ht="50" customHeight="1">
      <c r="B10" s="4" t="str">
        <v>Bioversity (Alliance)</v>
      </c>
      <c r="D10" s="4" t="str">
        <v>KPI 3.6.1: Assess, document, and communicate adoption, scaling, and impact of validated solutions, generating evidence on how addressing binding constraints improves productivity, and income.</v>
      </c>
      <c r="E10" s="4" t="str">
        <v>Number of knowledge products</v>
      </c>
      <c r="F10" s="4" t="str">
        <v>The Democratic Republic of the Congo, Ethiopia, Ghana, Rwanda, The Socialist Republic of Viet Nam, Malawi, Kenya</v>
      </c>
      <c r="G10" s="5">
        <v>4</v>
      </c>
      <c r="H10" s="5">
        <v>6000</v>
      </c>
      <c r="I10" s="4" t="str">
        <v>no budget assumption</v>
      </c>
      <c r="J10" s="4">
        <v>7820</v>
      </c>
    </row>
    <row r="11" ht="50" customHeight="1">
      <c r="A11" s="4" t="str">
        <v>AOW03: Delivering Integrated Solutions to Systemic Farm-Level Binding Constraints</v>
      </c>
      <c r="B11" s="4" t="str">
        <v>Bioversity (Alliance)</v>
      </c>
      <c r="C11" s="4" t="str">
        <v xml:space="preserve">3.1: Farm-level diagnostic evidence on soil, plant, water, and socio-economic constraints </v>
      </c>
      <c r="D11" s="4" t="str">
        <v>KPI 3.1.2: Generate, standardize, and disseminate diagnostic frameworks, spatial analyses, and evidence products that characterize farm-level binding constraints and guide context-specific intervention targeting.</v>
      </c>
      <c r="E11" s="4" t="str">
        <v>Number of knowledge products</v>
      </c>
      <c r="F11" s="4" t="str">
        <v>Rwanda, India, Malawi, Kenya, Ethiopia, Nepal, Peru, Ghana</v>
      </c>
      <c r="G11" s="5">
        <v>1</v>
      </c>
      <c r="H11" s="5">
        <v>44760</v>
      </c>
      <c r="I11" s="4" t="str">
        <v>with the additional budget</v>
      </c>
      <c r="J11" s="4">
        <v>7774</v>
      </c>
    </row>
    <row r="12" ht="25" customHeight="1">
      <c r="C12" s="9" t="str">
        <v>HLO budget subtotal</v>
      </c>
      <c r="H12" s="9">
        <v>194578</v>
      </c>
      <c r="J12" s="9" t="str">
        <v/>
      </c>
    </row>
    <row r="13" ht="50" customHeight="1">
      <c r="A13" s="8" t="str">
        <v>AOW05: Accelerating Impact</v>
      </c>
      <c r="B13" s="4" t="str">
        <v>Bioversity (Alliance)</v>
      </c>
      <c r="C13" s="4" t="str">
        <v>5.3 FAIR, AI-ready data corpus, data and metadata standards</v>
      </c>
      <c r="D13" s="4" t="str">
        <v>Number of knowledge products on FAIR data and modeling tools</v>
      </c>
      <c r="E13" s="4" t="str">
        <v>Number of knowledge products</v>
      </c>
      <c r="F13" s="4" t="str">
        <v>India, Rwanda, Zimbabwe, Ethiopia, Kenya</v>
      </c>
      <c r="G13" s="5">
        <v>3</v>
      </c>
      <c r="H13" s="5">
        <v>31820</v>
      </c>
      <c r="I13" s="4" t="str">
        <v>new KPI description</v>
      </c>
      <c r="J13" s="4">
        <v>7823</v>
      </c>
    </row>
    <row r="14" ht="50" customHeight="1">
      <c r="B14" s="4" t="str">
        <v>Bioversity (Alliance)</v>
      </c>
      <c r="D14" s="4" t="str">
        <v>Integrated portals and dashboards across AoWs, for stakeholders to interactively explore assets, outputs and impact, analytical tools and download aggregated data to accelerate research and innovation by humans and machines</v>
      </c>
      <c r="E14" s="4" t="str">
        <v>Number of innovations (innovation development)</v>
      </c>
      <c r="F14" s="4" t="str">
        <v>France, Ethiopia, Morocco, Greece, Kenya</v>
      </c>
      <c r="G14" s="5">
        <v>1</v>
      </c>
      <c r="H14" s="5">
        <v>31820</v>
      </c>
      <c r="I14" s="4" t="str">
        <v>as per initial budget</v>
      </c>
      <c r="J14" s="4">
        <v>7825</v>
      </c>
    </row>
    <row r="15" ht="50" customHeight="1">
      <c r="A15" s="4" t="str">
        <v>AOW05: Accelerating Impact</v>
      </c>
      <c r="B15" s="4" t="str">
        <v>Bioversity (Alliance)</v>
      </c>
      <c r="C15" s="4" t="str">
        <v xml:space="preserve">5.5. Well-documented, widely applicable and replicable partnership platforms </v>
      </c>
      <c r="D15"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15" s="4" t="str">
        <v>Number of innovations (innovation development)</v>
      </c>
      <c r="F15" s="4" t="str">
        <v>Côte d'Ivoire, Uganda, Zambia, Nepal, Bangladesh, The Democratic Republic of the Congo, Ghana, Kenya, Nigeria, Tanzania, United Republic, Malawi, Mexico, Ethiopia, Egypt, Morocco, The Socialist Republic of Viet Nam, India, Philippines, Cambodia</v>
      </c>
      <c r="G15" s="5">
        <v>1</v>
      </c>
      <c r="H15" s="5">
        <v>10484</v>
      </c>
      <c r="I15" s="4" t="str">
        <v>additional budget</v>
      </c>
      <c r="J15" s="4">
        <v>7904</v>
      </c>
    </row>
    <row r="16" ht="25" customHeight="1">
      <c r="C16" s="9" t="str">
        <v>HLO budget subtotal</v>
      </c>
      <c r="H16" s="9">
        <v>74124</v>
      </c>
      <c r="J16" s="9" t="str">
        <v/>
      </c>
    </row>
  </sheetData>
  <mergeCells count="16">
    <mergeCell ref="A1:A2"/>
    <mergeCell ref="B1:B2"/>
    <mergeCell ref="C1:C2"/>
    <mergeCell ref="D1:H1"/>
    <mergeCell ref="I1:I2"/>
    <mergeCell ref="J1:J2"/>
    <mergeCell ref="C5:G5"/>
    <mergeCell ref="A3:A5"/>
    <mergeCell ref="C7:G7"/>
    <mergeCell ref="A6:A7"/>
    <mergeCell ref="C9:C10"/>
    <mergeCell ref="C12:G12"/>
    <mergeCell ref="A8:A12"/>
    <mergeCell ref="C13:C14"/>
    <mergeCell ref="C16:G16"/>
    <mergeCell ref="A13:A16"/>
  </mergeCells>
  <ignoredErrors>
    <ignoredError numberStoredAsText="1" sqref="A1:J16"/>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AI-Enabled Farm Advisory at Scale.</v>
      </c>
      <c r="B2" s="4" t="str">
        <v>Kenya Agricultural and Livestock Research Organization</v>
      </c>
      <c r="C2" s="4" t="str">
        <v>Bioversity (Alliance)</v>
      </c>
      <c r="D2" s="4" t="str">
        <v>Kenya</v>
      </c>
      <c r="E2" s="5">
        <v>5000</v>
      </c>
      <c r="F2" s="4" t="str">
        <v>No assumption</v>
      </c>
      <c r="G2" s="4">
        <v>206</v>
      </c>
    </row>
    <row r="3" ht="25" customHeight="1">
      <c r="B3" s="9" t="str">
        <v>Contracted partners subtotal</v>
      </c>
      <c r="E3" s="9">
        <v>5000</v>
      </c>
      <c r="F3" s="9" t="str">
        <v/>
      </c>
      <c r="G3" s="9" t="str">
        <v/>
      </c>
    </row>
    <row r="4" ht="50" customHeight="1">
      <c r="A4" s="8" t="str">
        <v>AOW02: Enabling Preparedness and Rapid Response to Emerging Shocks</v>
      </c>
      <c r="B4" s="4" t="str">
        <v>Rwanda Agriculture and Animal Resources Development Board</v>
      </c>
      <c r="C4" s="4" t="str">
        <v>Bioversity (Alliance)</v>
      </c>
      <c r="D4" s="4" t="str">
        <v>Rwanda</v>
      </c>
      <c r="E4" s="5">
        <v>10000</v>
      </c>
      <c r="F4" s="4" t="str">
        <v>as per initial budget</v>
      </c>
      <c r="G4" s="4">
        <v>256</v>
      </c>
    </row>
    <row r="5" ht="25" customHeight="1">
      <c r="B5" s="9" t="str">
        <v>Contracted partners subtotal</v>
      </c>
      <c r="E5" s="9">
        <v>10000</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54676</v>
      </c>
      <c r="D2" s="5">
        <v>105979</v>
      </c>
      <c r="E2" s="5">
        <v>136205</v>
      </c>
      <c r="F2" s="5">
        <v>0</v>
      </c>
      <c r="G2" s="5">
        <v>51886</v>
      </c>
      <c r="H2" s="5">
        <f>=SUM(B2:G2)</f>
        <v>0</v>
      </c>
    </row>
    <row r="3" ht="20" customHeight="1">
      <c r="A3" s="4" t="str">
        <v>Operations (supplies, consultants, travels, workshops, other)</v>
      </c>
      <c r="B3" s="5">
        <v>0</v>
      </c>
      <c r="C3" s="5">
        <v>23433</v>
      </c>
      <c r="D3" s="5">
        <v>45420</v>
      </c>
      <c r="E3" s="5">
        <v>58373</v>
      </c>
      <c r="F3" s="5">
        <v>0</v>
      </c>
      <c r="G3" s="5">
        <v>22238</v>
      </c>
      <c r="H3" s="5">
        <f>=SUM(B3:G3)</f>
        <v>0</v>
      </c>
    </row>
    <row r="4" ht="20" customHeight="1">
      <c r="A4" s="4" t="str">
        <v>Collaborators non-CGIAR centers</v>
      </c>
      <c r="B4" s="5">
        <v>0</v>
      </c>
      <c r="C4" s="5">
        <v>5000</v>
      </c>
      <c r="D4" s="5">
        <v>10000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AI-Enabled Farm Advisory at Scale.</v>
      </c>
      <c r="B2" s="4" t="str">
        <v>Bioversity (Alliance)</v>
      </c>
      <c r="C2" s="4" t="str">
        <v>Ethiopia</v>
      </c>
      <c r="D2" s="5">
        <v>41</v>
      </c>
      <c r="E2" s="4">
        <v>1249</v>
      </c>
    </row>
    <row r="3" ht="45" customHeight="1">
      <c r="A3" s="4" t="str">
        <v>AOW01: Accelerating AI-Enabled Farm Advisory at Scale.</v>
      </c>
      <c r="B3" s="4" t="str">
        <v>Bioversity (Alliance)</v>
      </c>
      <c r="C3" s="4" t="str">
        <v>Ghana</v>
      </c>
      <c r="D3" s="5">
        <v>0</v>
      </c>
      <c r="E3" s="4">
        <v>1251</v>
      </c>
    </row>
    <row r="4" ht="45" customHeight="1">
      <c r="A4" s="4" t="str">
        <v>AOW01: Accelerating AI-Enabled Farm Advisory at Scale.</v>
      </c>
      <c r="B4" s="4" t="str">
        <v>Bioversity (Alliance)</v>
      </c>
      <c r="C4" s="4" t="str">
        <v>India</v>
      </c>
      <c r="D4" s="5">
        <v>35</v>
      </c>
      <c r="E4" s="4">
        <v>1248</v>
      </c>
    </row>
    <row r="5" ht="45" customHeight="1">
      <c r="A5" s="4" t="str">
        <v>AOW01: Accelerating AI-Enabled Farm Advisory at Scale.</v>
      </c>
      <c r="B5" s="4" t="str">
        <v>Bioversity (Alliance)</v>
      </c>
      <c r="C5" s="4" t="str">
        <v>Kenya</v>
      </c>
      <c r="D5" s="5">
        <v>18</v>
      </c>
      <c r="E5" s="4">
        <v>1250</v>
      </c>
    </row>
    <row r="6" ht="45" customHeight="1">
      <c r="A6" s="4" t="str">
        <v>AOW01: Accelerating AI-Enabled Farm Advisory at Scale.</v>
      </c>
      <c r="B6" s="4" t="str">
        <v>Bioversity (Alliance)</v>
      </c>
      <c r="C6" s="4" t="str">
        <v>Malawi</v>
      </c>
      <c r="D6" s="5">
        <v>6</v>
      </c>
      <c r="E6" s="4">
        <v>1252</v>
      </c>
    </row>
    <row r="7" ht="45" customHeight="1">
      <c r="A7" s="8" t="str">
        <v>AOW02: Enabling Preparedness and Rapid Response to Emerging Shocks</v>
      </c>
      <c r="B7" s="4" t="str">
        <v>Bioversity (Alliance)</v>
      </c>
      <c r="C7" s="4" t="str">
        <v>Colombia</v>
      </c>
      <c r="D7" s="5">
        <v>20</v>
      </c>
      <c r="E7" s="4">
        <v>1643</v>
      </c>
    </row>
    <row r="8" ht="45" customHeight="1">
      <c r="A8" s="4" t="str">
        <v>AOW02: Enabling Preparedness and Rapid Response to Emerging Shocks</v>
      </c>
      <c r="B8" s="4" t="str">
        <v>Bioversity (Alliance)</v>
      </c>
      <c r="C8" s="4" t="str">
        <v>Rwanda</v>
      </c>
      <c r="D8" s="5">
        <v>20</v>
      </c>
      <c r="E8" s="4">
        <v>1644</v>
      </c>
    </row>
    <row r="9" ht="45" customHeight="1">
      <c r="A9" s="4" t="str">
        <v>AOW02: Enabling Preparedness and Rapid Response to Emerging Shocks</v>
      </c>
      <c r="B9" s="4" t="str">
        <v>Bioversity (Alliance)</v>
      </c>
      <c r="C9" s="4" t="str">
        <v>The Democratic Republic of the Congo</v>
      </c>
      <c r="D9" s="5">
        <v>20</v>
      </c>
      <c r="E9" s="4">
        <v>1645</v>
      </c>
    </row>
    <row r="10" ht="45" customHeight="1">
      <c r="A10" s="4" t="str">
        <v>AOW02: Enabling Preparedness and Rapid Response to Emerging Shocks</v>
      </c>
      <c r="B10" s="4" t="str">
        <v>Bioversity (Alliance)</v>
      </c>
      <c r="C10" s="4" t="str">
        <v>The Socialist Republic of Viet Nam</v>
      </c>
      <c r="D10" s="5">
        <v>20</v>
      </c>
      <c r="E10" s="4">
        <v>1646</v>
      </c>
    </row>
    <row r="11" ht="45" customHeight="1">
      <c r="A11" s="4" t="str">
        <v>AOW02: Enabling Preparedness and Rapid Response to Emerging Shocks</v>
      </c>
      <c r="B11" s="4" t="str">
        <v>Bioversity (Alliance)</v>
      </c>
      <c r="C11" s="4" t="str">
        <v>Uganda</v>
      </c>
      <c r="D11" s="5">
        <v>20</v>
      </c>
      <c r="E11" s="4">
        <v>1647</v>
      </c>
    </row>
    <row r="12" ht="45" customHeight="1">
      <c r="A12" s="8" t="str">
        <v>AOW03: Delivering Integrated Solutions to Systemic Farm-Level Binding Constraints</v>
      </c>
      <c r="B12" s="4" t="str">
        <v>Bioversity (Alliance)</v>
      </c>
      <c r="C12" s="4" t="str">
        <v>Ethiopia</v>
      </c>
      <c r="D12" s="5">
        <v>12</v>
      </c>
      <c r="E12" s="4">
        <v>1894</v>
      </c>
    </row>
    <row r="13" ht="45" customHeight="1">
      <c r="A13" s="4" t="str">
        <v>AOW03: Delivering Integrated Solutions to Systemic Farm-Level Binding Constraints</v>
      </c>
      <c r="B13" s="4" t="str">
        <v>Bioversity (Alliance)</v>
      </c>
      <c r="C13" s="4" t="str">
        <v>Malawi</v>
      </c>
      <c r="D13" s="5">
        <v>12</v>
      </c>
      <c r="E13" s="4">
        <v>1895</v>
      </c>
    </row>
    <row r="14" ht="45" customHeight="1">
      <c r="A14" s="4" t="str">
        <v>AOW03: Delivering Integrated Solutions to Systemic Farm-Level Binding Constraints</v>
      </c>
      <c r="B14" s="4" t="str">
        <v>Bioversity (Alliance)</v>
      </c>
      <c r="C14" s="4" t="str">
        <v>Rwanda</v>
      </c>
      <c r="D14" s="5">
        <v>19</v>
      </c>
      <c r="E14" s="4">
        <v>1896</v>
      </c>
    </row>
    <row r="15" ht="45" customHeight="1">
      <c r="A15" s="4" t="str">
        <v>AOW03: Delivering Integrated Solutions to Systemic Farm-Level Binding Constraints</v>
      </c>
      <c r="B15" s="4" t="str">
        <v>Bioversity (Alliance)</v>
      </c>
      <c r="C15" s="4" t="str">
        <v>The Democratic Republic of the Congo</v>
      </c>
      <c r="D15" s="5">
        <v>19</v>
      </c>
      <c r="E15" s="4">
        <v>1898</v>
      </c>
    </row>
    <row r="16" ht="45" customHeight="1">
      <c r="A16" s="4" t="str">
        <v>AOW03: Delivering Integrated Solutions to Systemic Farm-Level Binding Constraints</v>
      </c>
      <c r="B16" s="4" t="str">
        <v>Bioversity (Alliance)</v>
      </c>
      <c r="C16" s="4" t="str">
        <v>The Socialist Republic of Viet Nam</v>
      </c>
      <c r="D16" s="5">
        <v>19</v>
      </c>
      <c r="E16" s="4">
        <v>1899</v>
      </c>
    </row>
    <row r="17" ht="45" customHeight="1">
      <c r="A17" s="4" t="str">
        <v>AOW03: Delivering Integrated Solutions to Systemic Farm-Level Binding Constraints</v>
      </c>
      <c r="B17" s="4" t="str">
        <v>Bioversity (Alliance)</v>
      </c>
      <c r="C17" s="4" t="str">
        <v>Uganda</v>
      </c>
      <c r="D17" s="5">
        <v>19</v>
      </c>
      <c r="E17" s="4">
        <v>1897</v>
      </c>
    </row>
    <row r="18" ht="45" customHeight="1">
      <c r="A18" s="8" t="str">
        <v>AOW05: Accelerating Impact</v>
      </c>
      <c r="B18" s="4" t="str">
        <v>Bioversity (Alliance)</v>
      </c>
      <c r="C18" s="4" t="str">
        <v>Côte d'Ivoire</v>
      </c>
      <c r="D18" s="5">
        <v>0</v>
      </c>
      <c r="E18" s="4">
        <v>3132</v>
      </c>
    </row>
    <row r="19" ht="45" customHeight="1">
      <c r="A19" s="4" t="str">
        <v>AOW05: Accelerating Impact</v>
      </c>
      <c r="B19" s="4" t="str">
        <v>Bioversity (Alliance)</v>
      </c>
      <c r="C19" s="4" t="str">
        <v>Ethiopia</v>
      </c>
      <c r="D19" s="5">
        <v>16</v>
      </c>
      <c r="E19" s="4">
        <v>3135</v>
      </c>
    </row>
    <row r="20" ht="45" customHeight="1">
      <c r="A20" s="4" t="str">
        <v>AOW05: Accelerating Impact</v>
      </c>
      <c r="B20" s="4" t="str">
        <v>Bioversity (Alliance)</v>
      </c>
      <c r="C20" s="4" t="str">
        <v>Kenya</v>
      </c>
      <c r="D20" s="5">
        <v>84</v>
      </c>
      <c r="E20" s="4">
        <v>3136</v>
      </c>
    </row>
  </sheetData>
  <mergeCells count="4">
    <mergeCell ref="A2:A6"/>
    <mergeCell ref="A7:A11"/>
    <mergeCell ref="A12:A17"/>
    <mergeCell ref="A18:A20"/>
  </mergeCells>
  <ignoredErrors>
    <ignoredError numberStoredAsText="1" sqref="A1:E20"/>
  </ignoredErrors>
</worksheet>
</file>

<file path=xl/worksheets/sheet9.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AI-Enabled Farm Advisory at Scale.</v>
      </c>
      <c r="B2" s="4" t="str">
        <v>Bioversity (Alliance)</v>
      </c>
      <c r="C2" s="4" t="str">
        <v>Global</v>
      </c>
      <c r="D2" s="4" t="str">
        <v>global</v>
      </c>
      <c r="E2" s="5">
        <v>100</v>
      </c>
      <c r="F2" s="4">
        <v>435</v>
      </c>
    </row>
    <row r="3" ht="45" customHeight="1">
      <c r="A3" s="8" t="str">
        <v>AOW02: Enabling Preparedness and Rapid Response to Emerging Shocks</v>
      </c>
      <c r="B3" s="4" t="str">
        <v>Bioversity (Alliance)</v>
      </c>
      <c r="C3" s="4" t="str">
        <v>Global</v>
      </c>
      <c r="D3" s="4" t="str">
        <v>global</v>
      </c>
      <c r="E3" s="5">
        <v>100</v>
      </c>
      <c r="F3" s="4">
        <v>578</v>
      </c>
    </row>
    <row r="4" ht="45" customHeight="1">
      <c r="A4" s="8" t="str">
        <v>AOW03: Delivering Integrated Solutions to Systemic Farm-Level Binding Constraints</v>
      </c>
      <c r="B4" s="4" t="str">
        <v>Bioversity (Alliance)</v>
      </c>
      <c r="C4" s="4" t="str">
        <v>Ethiopia</v>
      </c>
      <c r="D4" s="4" t="str">
        <v>country</v>
      </c>
      <c r="E4" s="5">
        <v>12</v>
      </c>
      <c r="F4" s="4">
        <v>1251</v>
      </c>
    </row>
    <row r="5" ht="45" customHeight="1">
      <c r="A5" s="4" t="str">
        <v>AOW03: Delivering Integrated Solutions to Systemic Farm-Level Binding Constraints</v>
      </c>
      <c r="B5" s="4" t="str">
        <v>Bioversity (Alliance)</v>
      </c>
      <c r="C5" s="4" t="str">
        <v>Malawi</v>
      </c>
      <c r="D5" s="4" t="str">
        <v>country</v>
      </c>
      <c r="E5" s="5">
        <v>12</v>
      </c>
      <c r="F5" s="4">
        <v>1252</v>
      </c>
    </row>
    <row r="6" ht="45" customHeight="1">
      <c r="A6" s="4" t="str">
        <v>AOW03: Delivering Integrated Solutions to Systemic Farm-Level Binding Constraints</v>
      </c>
      <c r="B6" s="4" t="str">
        <v>Bioversity (Alliance)</v>
      </c>
      <c r="C6" s="4" t="str">
        <v>Rwanda</v>
      </c>
      <c r="D6" s="4" t="str">
        <v>country</v>
      </c>
      <c r="E6" s="5">
        <v>19</v>
      </c>
      <c r="F6" s="4">
        <v>1253</v>
      </c>
    </row>
    <row r="7" ht="45" customHeight="1">
      <c r="A7" s="4" t="str">
        <v>AOW03: Delivering Integrated Solutions to Systemic Farm-Level Binding Constraints</v>
      </c>
      <c r="B7" s="4" t="str">
        <v>Bioversity (Alliance)</v>
      </c>
      <c r="C7" s="4" t="str">
        <v>The Democratic Republic of the Congo</v>
      </c>
      <c r="D7" s="4" t="str">
        <v>country</v>
      </c>
      <c r="E7" s="5">
        <v>19</v>
      </c>
      <c r="F7" s="4">
        <v>1254</v>
      </c>
    </row>
    <row r="8" ht="45" customHeight="1">
      <c r="A8" s="4" t="str">
        <v>AOW03: Delivering Integrated Solutions to Systemic Farm-Level Binding Constraints</v>
      </c>
      <c r="B8" s="4" t="str">
        <v>Bioversity (Alliance)</v>
      </c>
      <c r="C8" s="4" t="str">
        <v>The Socialist Republic of Viet Nam</v>
      </c>
      <c r="D8" s="4" t="str">
        <v>country</v>
      </c>
      <c r="E8" s="5">
        <v>19</v>
      </c>
      <c r="F8" s="4">
        <v>1255</v>
      </c>
    </row>
    <row r="9" ht="45" customHeight="1">
      <c r="A9" s="4" t="str">
        <v>AOW03: Delivering Integrated Solutions to Systemic Farm-Level Binding Constraints</v>
      </c>
      <c r="B9" s="4" t="str">
        <v>Bioversity (Alliance)</v>
      </c>
      <c r="C9" s="4" t="str">
        <v>Uganda</v>
      </c>
      <c r="D9" s="4" t="str">
        <v>country</v>
      </c>
      <c r="E9" s="5">
        <v>19</v>
      </c>
      <c r="F9" s="4">
        <v>1256</v>
      </c>
    </row>
    <row r="10" ht="45" customHeight="1">
      <c r="A10" s="8" t="str">
        <v>AOW05: Accelerating Impact</v>
      </c>
      <c r="B10" s="4" t="str">
        <v>Bioversity (Alliance)</v>
      </c>
      <c r="C10" s="4" t="str">
        <v>Global</v>
      </c>
      <c r="D10" s="4" t="str">
        <v>global</v>
      </c>
      <c r="E10" s="5">
        <v>86</v>
      </c>
      <c r="F10" s="4">
        <v>1249</v>
      </c>
    </row>
    <row r="11" ht="45" customHeight="1">
      <c r="A11" s="4" t="str">
        <v>AOW05: Accelerating Impact</v>
      </c>
      <c r="B11" s="4" t="str">
        <v>Bioversity (Alliance)</v>
      </c>
      <c r="C11" s="4" t="str">
        <v>Ethiopia</v>
      </c>
      <c r="D11" s="4" t="str">
        <v>country</v>
      </c>
      <c r="E11" s="5">
        <v>14</v>
      </c>
      <c r="F11" s="4">
        <v>1250</v>
      </c>
    </row>
  </sheetData>
  <mergeCells count="4">
    <mergeCell ref="A2"/>
    <mergeCell ref="A3"/>
    <mergeCell ref="A4:A9"/>
    <mergeCell ref="A10:A11"/>
  </mergeCells>
  <ignoredErrors>
    <ignoredError numberStoredAsText="1" sqref="A1:F11"/>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