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3600</v>
      </c>
      <c r="K4" s="5">
        <v>3600</v>
      </c>
      <c r="L4" s="5">
        <v>0</v>
      </c>
      <c r="M4" s="5">
        <v>0</v>
      </c>
      <c r="N4" s="4">
        <v>169</v>
      </c>
    </row>
    <row r="5" ht="20" customHeight="1">
      <c r="A5" s="4" t="str">
        <v>AOW01: Accelerating AI-Enabled Farm Advisory at Scale.</v>
      </c>
      <c r="B5" s="5">
        <v>3</v>
      </c>
      <c r="C5" s="5">
        <v>68000</v>
      </c>
      <c r="D5" s="5">
        <v>2</v>
      </c>
      <c r="E5" s="5">
        <v>37672</v>
      </c>
      <c r="F5" s="5">
        <v>0</v>
      </c>
      <c r="G5" s="5">
        <v>0</v>
      </c>
      <c r="H5" s="5">
        <v>0</v>
      </c>
      <c r="I5" s="5">
        <v>0</v>
      </c>
      <c r="J5" s="5">
        <v>105672</v>
      </c>
      <c r="K5" s="5">
        <v>105672</v>
      </c>
      <c r="L5" s="5">
        <v>0</v>
      </c>
      <c r="M5" s="5">
        <v>0</v>
      </c>
      <c r="N5" s="4">
        <v>168</v>
      </c>
    </row>
    <row r="6" ht="20" customHeight="1">
      <c r="A6" s="4" t="str">
        <v>AOW02: Enabling Preparedness and Rapid Response to Emerging Shocks</v>
      </c>
      <c r="B6" s="5">
        <v>0</v>
      </c>
      <c r="C6" s="5">
        <v>0</v>
      </c>
      <c r="D6" s="5">
        <v>0</v>
      </c>
      <c r="E6" s="5">
        <v>0</v>
      </c>
      <c r="F6" s="5">
        <v>0</v>
      </c>
      <c r="G6" s="5">
        <v>0</v>
      </c>
      <c r="H6" s="5">
        <v>0</v>
      </c>
      <c r="I6" s="5">
        <v>0</v>
      </c>
      <c r="J6" s="5">
        <v>0</v>
      </c>
      <c r="K6" s="5">
        <v>0</v>
      </c>
      <c r="L6" s="5">
        <v>0</v>
      </c>
      <c r="M6" s="5">
        <v>0</v>
      </c>
      <c r="N6" s="4">
        <v>166</v>
      </c>
    </row>
    <row r="7" ht="20" customHeight="1">
      <c r="A7" s="4" t="str">
        <v>AOW03: Delivering Integrated Solutions to Systemic Farm-Level Binding Constraints</v>
      </c>
      <c r="B7" s="5">
        <v>12</v>
      </c>
      <c r="C7" s="5">
        <v>140737</v>
      </c>
      <c r="D7" s="5">
        <v>7</v>
      </c>
      <c r="E7" s="5">
        <v>34500</v>
      </c>
      <c r="F7" s="5">
        <v>110</v>
      </c>
      <c r="G7" s="5">
        <v>62324</v>
      </c>
      <c r="H7" s="5">
        <v>0</v>
      </c>
      <c r="I7" s="5">
        <v>0</v>
      </c>
      <c r="J7" s="5">
        <v>237561</v>
      </c>
      <c r="K7" s="5">
        <v>237561</v>
      </c>
      <c r="L7" s="5">
        <v>0</v>
      </c>
      <c r="M7" s="5">
        <v>0</v>
      </c>
      <c r="N7" s="4">
        <v>164</v>
      </c>
    </row>
    <row r="8" ht="20" customHeight="1">
      <c r="A8" s="4" t="str">
        <v>AOW04: Incubating Innovation in Sustainable Farming</v>
      </c>
      <c r="B8" s="5">
        <v>0</v>
      </c>
      <c r="C8" s="5">
        <v>0</v>
      </c>
      <c r="D8" s="5">
        <v>0</v>
      </c>
      <c r="E8" s="5">
        <v>0</v>
      </c>
      <c r="F8" s="5">
        <v>0</v>
      </c>
      <c r="G8" s="5">
        <v>0</v>
      </c>
      <c r="H8" s="5">
        <v>0</v>
      </c>
      <c r="I8" s="5">
        <v>0</v>
      </c>
      <c r="J8" s="5">
        <v>0</v>
      </c>
      <c r="K8" s="5">
        <v>0</v>
      </c>
      <c r="L8" s="5">
        <v>0</v>
      </c>
      <c r="M8" s="5">
        <v>0</v>
      </c>
      <c r="N8" s="4">
        <v>165</v>
      </c>
    </row>
    <row r="9" ht="20" customHeight="1">
      <c r="A9" s="4" t="str">
        <v>AOW05: Accelerating Impact</v>
      </c>
      <c r="B9" s="5">
        <v>2</v>
      </c>
      <c r="C9" s="5">
        <v>49165</v>
      </c>
      <c r="D9" s="5">
        <v>3</v>
      </c>
      <c r="E9" s="5">
        <v>66427</v>
      </c>
      <c r="F9" s="5">
        <v>50000</v>
      </c>
      <c r="G9" s="5">
        <v>69417</v>
      </c>
      <c r="H9" s="5">
        <v>0</v>
      </c>
      <c r="I9" s="5">
        <v>0</v>
      </c>
      <c r="J9" s="5">
        <v>185009</v>
      </c>
      <c r="K9" s="5">
        <v>185009</v>
      </c>
      <c r="L9" s="5">
        <v>0</v>
      </c>
      <c r="M9" s="5">
        <v>15000</v>
      </c>
      <c r="N9" s="4">
        <v>167</v>
      </c>
    </row>
    <row r="10" ht="25" customHeight="1">
      <c r="A10" s="6" t="str">
        <v>Total</v>
      </c>
      <c r="B10" s="7" t="str">
        <v/>
      </c>
      <c r="C10" s="7">
        <v>257902</v>
      </c>
      <c r="D10" s="7" t="str">
        <v/>
      </c>
      <c r="E10" s="7">
        <v>138599</v>
      </c>
      <c r="F10" s="7" t="str">
        <v/>
      </c>
      <c r="G10" s="7">
        <v>131741</v>
      </c>
      <c r="H10" s="7" t="str">
        <v/>
      </c>
      <c r="I10" s="7">
        <v>0</v>
      </c>
      <c r="J10" s="7">
        <v>531842</v>
      </c>
      <c r="K10" s="7">
        <v>531842</v>
      </c>
      <c r="L10" s="7">
        <v>0</v>
      </c>
      <c r="M10" s="7">
        <v>15000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Accelerating AI-Enabled Farm Advisory at Scale.</v>
      </c>
      <c r="B3" s="4" t="str">
        <v>ICRISAT</v>
      </c>
      <c r="C3" s="4" t="str">
        <v xml:space="preserve"> 1.1: Agronomic and farm management scientific data and analytics  </v>
      </c>
      <c r="D3" s="4" t="str">
        <v>A centralized data repository for sourcing, storing, and managing soil, climate, cropping system, and agronomic data</v>
      </c>
      <c r="E3" s="4" t="str">
        <v>Number of innovations (innovation development)</v>
      </c>
      <c r="F3" s="4" t="str">
        <v>Ethiopia</v>
      </c>
      <c r="G3" s="5">
        <v>1</v>
      </c>
      <c r="H3" s="5">
        <v>22000</v>
      </c>
      <c r="I3" s="4" t="str" xml:space="preserve">
        <v xml:space="preserve">Accessing a high-capacity server, collaborative centers share data 
</v>
      </c>
      <c r="J3" s="4">
        <v>5006</v>
      </c>
    </row>
    <row r="4" ht="50" customHeight="1" xml:space="preserve">
      <c r="B4" s="4" t="str">
        <v>ICRISAT</v>
      </c>
      <c r="D4" s="4" t="str" xml:space="preserve">
        <v xml:space="preserve">Machine Learning (ML) models for crop-type classification and yield monitoring with reproducible training scripts, and benchmark datasets
 </v>
      </c>
      <c r="E4" s="4" t="str">
        <v>Number of innovations (innovation development)</v>
      </c>
      <c r="F4" s="4" t="str">
        <v>Ethiopia</v>
      </c>
      <c r="G4" s="5">
        <v>1</v>
      </c>
      <c r="H4" s="5">
        <v>30000</v>
      </c>
      <c r="I4" s="4" t="str" xml:space="preserve">
        <v xml:space="preserve">Maintaining of current budget scenario and collection of real time feature data 
</v>
      </c>
      <c r="J4" s="4">
        <v>5007</v>
      </c>
    </row>
    <row r="5" ht="50" customHeight="1" xml:space="preserve">
      <c r="B5" s="4" t="str">
        <v>ICRISAT</v>
      </c>
      <c r="D5" s="4" t="str">
        <v>Machine Learning (ML) models for crop-type classification and yield monitoring with reproducible training scripts, and benchmark datasets (Report)</v>
      </c>
      <c r="E5" s="4" t="str">
        <v>Number of knowledge products</v>
      </c>
      <c r="F5" s="4" t="str">
        <v>Ethiopia</v>
      </c>
      <c r="G5" s="5">
        <v>1</v>
      </c>
      <c r="H5" s="5">
        <v>8033</v>
      </c>
      <c r="I5" s="4" t="str" xml:space="preserve">
        <v xml:space="preserve">Maintaining of current budget scenario and collection of real time feature data 
</v>
      </c>
      <c r="J5" s="4">
        <v>5008</v>
      </c>
    </row>
    <row r="6" ht="50" customHeight="1" xml:space="preserve">
      <c r="B6" s="4" t="str">
        <v>ICRISAT</v>
      </c>
      <c r="D6" s="4" t="str">
        <v>Farmer input data (Q&amp;A data entries) on fertilizer and agronomy advisory services under various user disparities and local conditions of farms across representative cropping systems and geographies</v>
      </c>
      <c r="E6" s="4" t="str">
        <v>Number of knowledge products</v>
      </c>
      <c r="F6" s="4" t="str">
        <v>Ethiopia</v>
      </c>
      <c r="G6" s="5">
        <v>1</v>
      </c>
      <c r="H6" s="5">
        <v>29639</v>
      </c>
      <c r="I6" s="4" t="str" xml:space="preserve">
        <v xml:space="preserve">Accessing a high-capacity server, collaborative centers share data 
</v>
      </c>
      <c r="J6" s="4">
        <v>7936</v>
      </c>
    </row>
    <row r="7" ht="50" customHeight="1" xml:space="preserve">
      <c r="B7" s="4" t="str">
        <v>ICRISAT</v>
      </c>
      <c r="D7" s="4" t="str">
        <v xml:space="preserve">AI/ML analytics modules from combined field experimentation data and Q&amp;A entries to enable tailored AI/ML content generation across various contexts and users that input into the Telegram Chatbot, enabling refined and improved content generation and site-specific recommendations, e.g., AI/ML model scripts and role-based access.  </v>
      </c>
      <c r="E7" s="4" t="str">
        <v>Number of innovations (innovation development)</v>
      </c>
      <c r="F7" s="4" t="str">
        <v>Ethiopia</v>
      </c>
      <c r="G7" s="5">
        <v>1</v>
      </c>
      <c r="H7" s="5">
        <v>16000</v>
      </c>
      <c r="I7" s="4" t="str" xml:space="preserve">
        <v xml:space="preserve">Budget allocation assumes staff time for AI analytic content development for the local context and interfaces for farmer service delivery 
</v>
      </c>
      <c r="J7" s="4">
        <v>7981</v>
      </c>
    </row>
    <row r="8" ht="25" customHeight="1">
      <c r="C8" s="9" t="str">
        <v>HLO budget subtotal</v>
      </c>
      <c r="H8" s="9">
        <v>105672</v>
      </c>
      <c r="J8" s="9" t="str">
        <v/>
      </c>
    </row>
    <row r="9" ht="50" customHeight="1">
      <c r="A9" s="8" t="str">
        <v>AOW03: Delivering Integrated Solutions to Systemic Farm-Level Binding Constraints</v>
      </c>
      <c r="B9" s="4" t="str">
        <v>ICRISAT</v>
      </c>
      <c r="C9" s="4" t="str">
        <v xml:space="preserve">3.2. Validated, farm-level management solutions </v>
      </c>
      <c r="D9" s="4" t="str">
        <v>KPI 3.2.2: (Critical capabilities) Generate and curate high-quality datasets, methodologies, and scientific evidence that improve understanding of soil-crop-water interactions and support data-driven solution design.</v>
      </c>
      <c r="E9" s="4" t="str">
        <v>Number of knowledge products</v>
      </c>
      <c r="F9" s="4" t="str">
        <v>Egypt, Morocco, Philippines, India, Malawi, Ethiopia, Nigeria, Cameroon, Côte d'Ivoire, Ghana, Kenya</v>
      </c>
      <c r="G9" s="5">
        <v>1</v>
      </c>
      <c r="H9" s="5">
        <v>8000</v>
      </c>
      <c r="I9" s="4" t="str">
        <v>no budget assumption</v>
      </c>
      <c r="J9" s="4">
        <v>5024</v>
      </c>
    </row>
    <row r="10" ht="50" customHeight="1">
      <c r="B10" s="4" t="str">
        <v>ICRISAT</v>
      </c>
      <c r="D10" s="4" t="str">
        <v>KPI 3.4.1: Develop and validate integrated plant health solutions that reduce biotic constraints through combined agronomic, biological, and ecological approaches adapted to smallholder systems.</v>
      </c>
      <c r="E10" s="4" t="str">
        <v>Number of innovations (innovation development)</v>
      </c>
      <c r="F10" s="4" t="str">
        <v>Ethiopia, Morocco, Malawi, The Socialist Republic of Viet Nam, Uganda, Kenya, Madagascar, Tanzania, United Republic, Nigeria</v>
      </c>
      <c r="G10" s="5">
        <v>3</v>
      </c>
      <c r="H10" s="5">
        <v>32000</v>
      </c>
      <c r="I10" s="4" t="str">
        <v>with additional budget</v>
      </c>
      <c r="J10" s="4">
        <v>5039</v>
      </c>
    </row>
    <row r="11" ht="50" customHeight="1">
      <c r="B11" s="4" t="str">
        <v>ICRISAT</v>
      </c>
      <c r="D11" s="4" t="str">
        <v>KPI 3.5.1: (Critical capabilities) Co-design and validate integrated farm-level solution packages that simultaneously address multiple interacting constraints (soil, water, crops, labor, livestock) to optimize system productivity and resilience.</v>
      </c>
      <c r="E11" s="4" t="str">
        <v>Number of innovations (innovation development)</v>
      </c>
      <c r="F11" s="4" t="str">
        <v>Colombia, Lao People's Democratic Republic, Bangladesh, Mexico, Cambodia, Côte d'Ivoire, Philippines, Nigeria, The Socialist Republic of Viet Nam, Cameroon, Ghana, Malawi, Tanzania, United Republic, Kenya, India, Ethiopia, Madagascar</v>
      </c>
      <c r="G11" s="5">
        <v>7</v>
      </c>
      <c r="H11" s="5">
        <v>80237</v>
      </c>
      <c r="I11" s="4" t="str">
        <v>with the additional budget</v>
      </c>
      <c r="J11" s="4">
        <v>5053</v>
      </c>
    </row>
    <row r="12" ht="50" customHeight="1">
      <c r="B12" s="4" t="str">
        <v>ICRISAT</v>
      </c>
      <c r="D12" s="4" t="str">
        <v>KPI 3.5.2: (Critical Capabilities) Develop and document system-level evidence, tools, and frameworks (including GESI-informed approaches) that guide the design and scaling of integrated, constraint-responsive farming systems.</v>
      </c>
      <c r="E12" s="4" t="str">
        <v>Number of knowledge products</v>
      </c>
      <c r="F12" s="4" t="str">
        <v>Malawi, Peru, Ghana, Ethiopia, Kenya, Tanzania, United Republic, India, The Socialist Republic of Viet Nam</v>
      </c>
      <c r="G12" s="5">
        <v>3</v>
      </c>
      <c r="H12" s="5">
        <v>19000</v>
      </c>
      <c r="I12" s="4" t="str">
        <v>with additional budget</v>
      </c>
      <c r="J12" s="4">
        <v>7812</v>
      </c>
    </row>
    <row r="13" ht="50" customHeight="1">
      <c r="A13" s="4" t="str">
        <v>AOW03: Delivering Integrated Solutions to Systemic Farm-Level Binding Constraints</v>
      </c>
      <c r="B13" s="4" t="str">
        <v>ICRISAT</v>
      </c>
      <c r="C13" s="4" t="str">
        <v xml:space="preserve">3.3: Scaled and adopted farm management solutions </v>
      </c>
      <c r="D13" s="4" t="str">
        <v>KPI 3.6.2: Strengthen capacities of farmers, extension agents, and partners through training, advisory services, and digital platforms to enable widespread uptake of solutions addressing farm-level binding constraints.</v>
      </c>
      <c r="E13" s="4" t="str">
        <v>Number of people trained (capacity sharing for development)</v>
      </c>
      <c r="F13" s="4" t="str">
        <v>Zambia, Mexico, Ethiopia, Malawi, Nepal, Kenya, India, The Democratic Republic of the Congo, The Socialist Republic of Viet Nam, Uganda</v>
      </c>
      <c r="G13" s="5">
        <v>110</v>
      </c>
      <c r="H13" s="5">
        <v>62324</v>
      </c>
      <c r="I13" s="4" t="str">
        <v>with the additional budget</v>
      </c>
      <c r="J13" s="4">
        <v>5055</v>
      </c>
    </row>
    <row r="14" ht="50" customHeight="1">
      <c r="A14" s="4" t="str">
        <v>AOW03: Delivering Integrated Solutions to Systemic Farm-Level Binding Constraints</v>
      </c>
      <c r="B14" s="4" t="str">
        <v>ICRISAT</v>
      </c>
      <c r="C14" s="4" t="str">
        <v xml:space="preserve">3.1: Farm-level diagnostic evidence on soil, plant, water, and socio-economic constraints </v>
      </c>
      <c r="D14" s="4" t="str">
        <v>KPI 3.1.2: Generate, standardize, and disseminate diagnostic frameworks, spatial analyses, and evidence products that characterize farm-level binding constraints and guide context-specific intervention targeting.</v>
      </c>
      <c r="E14" s="4" t="str">
        <v>Number of knowledge products</v>
      </c>
      <c r="F14" s="4" t="str">
        <v>Rwanda, India, Malawi, Kenya, Ethiopia, Nepal, Peru, Ghana</v>
      </c>
      <c r="G14" s="5">
        <v>3</v>
      </c>
      <c r="H14" s="5">
        <v>7500</v>
      </c>
      <c r="I14" s="4" t="str">
        <v>no budget assumption</v>
      </c>
      <c r="J14" s="4">
        <v>5063</v>
      </c>
    </row>
    <row r="15" ht="50" customHeight="1">
      <c r="B15" s="4" t="str">
        <v>ICRISAT</v>
      </c>
      <c r="D15" s="4" t="str">
        <v>KPI 3.1.1: Develop and operationalize integrated, digital diagnostic and decision-support systems that identify, prioritize, and link farm-level soil, water, crop, and socio-economic binding constraints to targeted solution options.</v>
      </c>
      <c r="E15" s="4" t="str">
        <v>Number of innovations (innovation development)</v>
      </c>
      <c r="F15" s="4" t="str">
        <v>Malawi, Ethiopia</v>
      </c>
      <c r="G15" s="5">
        <v>2</v>
      </c>
      <c r="H15" s="5">
        <v>28500</v>
      </c>
      <c r="I15" s="4" t="str">
        <v>with additional budget</v>
      </c>
      <c r="J15" s="4">
        <v>5069</v>
      </c>
    </row>
    <row r="16" ht="25" customHeight="1">
      <c r="C16" s="9" t="str">
        <v>HLO budget subtotal</v>
      </c>
      <c r="H16" s="9">
        <v>237561</v>
      </c>
      <c r="J16" s="9" t="str">
        <v/>
      </c>
    </row>
    <row r="17" ht="50" customHeight="1">
      <c r="A17" s="8" t="str">
        <v>AOW05: Accelerating Impact</v>
      </c>
      <c r="B17" s="4" t="str">
        <v>ICRISAT</v>
      </c>
      <c r="C17" s="4" t="str">
        <v xml:space="preserve">5.5. Well-documented, widely applicable and replicable partnership platforms </v>
      </c>
      <c r="D17" s="4" t="str">
        <v>Critical capabilities: Institutionalizing/enabling digital extension services (Innovation-R package/API)</v>
      </c>
      <c r="E17" s="4" t="str">
        <v>Number of innovations (innovation development)</v>
      </c>
      <c r="F17" s="4" t="str">
        <v>Ethiopia</v>
      </c>
      <c r="G17" s="5">
        <v>1</v>
      </c>
      <c r="H17" s="5">
        <v>22000</v>
      </c>
      <c r="I17" s="4" t="str">
        <v xml:space="preserve">CC as per the initial budget </v>
      </c>
      <c r="J17" s="4">
        <v>4884</v>
      </c>
    </row>
    <row r="18" ht="50" customHeight="1">
      <c r="B18" s="4" t="str">
        <v>ICRISAT</v>
      </c>
      <c r="D18" s="4" t="str">
        <v>Critical capabilities: Stakeholders enabled to institutionalize digital extension services to scale innovations and bundled solutions through the multi-stakeholder platforms</v>
      </c>
      <c r="E18" s="4" t="str">
        <v>Number of knowledge products</v>
      </c>
      <c r="F18" s="4" t="str">
        <v>Ethiopia</v>
      </c>
      <c r="G18" s="5">
        <v>1</v>
      </c>
      <c r="H18" s="5">
        <v>33427</v>
      </c>
      <c r="I18" s="4" t="str">
        <v xml:space="preserve">CC as per the initial budget </v>
      </c>
      <c r="J18" s="4">
        <v>4885</v>
      </c>
    </row>
    <row r="19" ht="50" customHeight="1">
      <c r="B19" s="4" t="str">
        <v>ICRISAT</v>
      </c>
      <c r="D19" s="4" t="str">
        <v>Multi-stakeholder partnership platforms (PAASSs) framework engaging diverse partners to support the scaling of bundled solutions for multiple crops (cassava, maize, sorghum, soybean, teff, rice, cocoa, coffee, etc) and livestock emerging from AoWs 1–3 in different locations and countries.</v>
      </c>
      <c r="E19" s="4" t="str">
        <v>Number of innovations (innovation development)</v>
      </c>
      <c r="F19" s="4" t="str">
        <v>Côte d'Ivoire, Uganda, Zambia, Nepal, Bangladesh, The Democratic Republic of the Congo, Ghana, Kenya, Nigeria, Tanzania, United Republic, Malawi, Mexico, Ethiopia, Egypt, Morocco, The Socialist Republic of Viet Nam, India, Philippines, Cambodia</v>
      </c>
      <c r="G19" s="5">
        <v>1</v>
      </c>
      <c r="H19" s="5">
        <v>27165</v>
      </c>
      <c r="I19" s="4" t="str">
        <v>with the additional budget</v>
      </c>
      <c r="J19" s="4">
        <v>4892</v>
      </c>
    </row>
    <row r="20" ht="50" customHeight="1">
      <c r="B20" s="4" t="str">
        <v>ICRISAT</v>
      </c>
      <c r="D20" s="4" t="str">
        <v xml:space="preserve">Stakeholders (partners, farmers, extension agents, ...) trained on innovations and bundled solutions, across multi-stakeholder partnership platforms (PAASSs) </v>
      </c>
      <c r="E20" s="4" t="str">
        <v>Number of people trained (capacity sharing for development)</v>
      </c>
      <c r="F20" s="4" t="str">
        <v>Ethiopia, Nigeria, Kenya</v>
      </c>
      <c r="G20" s="5">
        <v>50000</v>
      </c>
      <c r="H20" s="5">
        <v>69417</v>
      </c>
      <c r="I20" s="4" t="str">
        <v>with the additional budget</v>
      </c>
      <c r="J20" s="4">
        <v>4905</v>
      </c>
    </row>
    <row r="21" ht="50" customHeight="1">
      <c r="A21" s="4" t="str">
        <v>AOW05: Accelerating Impact</v>
      </c>
      <c r="B21" s="4" t="str">
        <v>ICRISAT</v>
      </c>
      <c r="C21" s="4" t="str">
        <v xml:space="preserve">5.2: Well- documented and communicated SFP impact assessments </v>
      </c>
      <c r="D21" s="4" t="str">
        <v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v>
      </c>
      <c r="E21" s="4" t="str">
        <v>Number of knowledge products</v>
      </c>
      <c r="F21" s="4" t="str">
        <v>Zimbabwe, India, Benin, Ethiopia, Kenya</v>
      </c>
      <c r="G21" s="5">
        <v>1</v>
      </c>
      <c r="H21" s="5">
        <v>18000</v>
      </c>
      <c r="I21" s="4" t="str">
        <v>as per initial budget</v>
      </c>
      <c r="J21" s="4">
        <v>4985</v>
      </c>
    </row>
    <row r="22" ht="50" customHeight="1">
      <c r="A22" s="4" t="str">
        <v>AOW05: Accelerating Impact</v>
      </c>
      <c r="B22" s="4" t="str">
        <v>ICRISAT</v>
      </c>
      <c r="C22" s="4" t="str">
        <v xml:space="preserve">5.4: Tools and approaches to enable rapid insights, learnings and impact </v>
      </c>
      <c r="D22" s="4" t="str">
        <v>Standardized MELIA survey tools and instruments for household and farm-level data collection across AoWs (e.g., survey forms, processes, Ai solutions, other protocols) to improve interoperability and standardization of survey data (MELIA Studies)</v>
      </c>
      <c r="E22" s="4" t="str">
        <v>Number of knowledge products</v>
      </c>
      <c r="F22" s="4" t="str">
        <v>Nepal, Sri Lanka, Benin, Ghana, Egypt, Nigeria, Tanzania, United Republic, Kenya</v>
      </c>
      <c r="G22" s="5">
        <v>1</v>
      </c>
      <c r="H22" s="5">
        <v>15000</v>
      </c>
      <c r="I22" s="4" t="str">
        <v>as per initial budget</v>
      </c>
      <c r="J22" s="4">
        <v>7895</v>
      </c>
    </row>
    <row r="23" ht="25" customHeight="1">
      <c r="C23" s="9" t="str">
        <v>HLO budget subtotal</v>
      </c>
      <c r="H23" s="9">
        <v>185009</v>
      </c>
      <c r="J23" s="9" t="str">
        <v/>
      </c>
    </row>
  </sheetData>
  <mergeCells count="16">
    <mergeCell ref="A1:A2"/>
    <mergeCell ref="B1:B2"/>
    <mergeCell ref="C1:C2"/>
    <mergeCell ref="D1:H1"/>
    <mergeCell ref="I1:I2"/>
    <mergeCell ref="J1:J2"/>
    <mergeCell ref="C3:C7"/>
    <mergeCell ref="C8:G8"/>
    <mergeCell ref="A3:A8"/>
    <mergeCell ref="C9:C12"/>
    <mergeCell ref="C14:C15"/>
    <mergeCell ref="C16:G16"/>
    <mergeCell ref="A9:A16"/>
    <mergeCell ref="C17:C20"/>
    <mergeCell ref="C23:G23"/>
    <mergeCell ref="A17:A23"/>
  </mergeCells>
  <ignoredErrors>
    <ignoredError numberStoredAsText="1" sqref="A1:J23"/>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5"/>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ICRISAT</v>
      </c>
      <c r="B2" s="4" t="str">
        <v>Bihar Centre Of Excellence For Millets Value Chain (BCoEMVC)</v>
      </c>
      <c r="C2" s="4" t="str">
        <v xml:space="preserve">5.5. Well-documented, widely applicable and replicable partnership platforms </v>
      </c>
      <c r="D2" s="5">
        <v>826776</v>
      </c>
      <c r="E2" s="4" t="str">
        <v>Budget figure from the mapping dashboard, no assumption made.</v>
      </c>
      <c r="F2" s="4">
        <v>954</v>
      </c>
    </row>
    <row r="3" ht="60" customHeight="1">
      <c r="A3" s="4" t="str">
        <v>ICRISAT</v>
      </c>
      <c r="B3" s="4" t="str">
        <v>Developing and introducing high-yielding climate-resilient pigeon pea cultivars for intensification and diversification of cropping systems and to satisfy the nutritional requirement of small holder farmers of Odisha</v>
      </c>
      <c r="C3" s="4" t="str">
        <v xml:space="preserve">5.5. Well-documented, widely applicable and replicable partnership platforms </v>
      </c>
      <c r="D3" s="5">
        <v>211684</v>
      </c>
      <c r="E3" s="4" t="str">
        <v>Budget figure from the mapping dashboard, no assumption made.</v>
      </c>
      <c r="F3" s="4">
        <v>946</v>
      </c>
    </row>
    <row r="4" ht="60" customHeight="1">
      <c r="A4" s="4" t="str">
        <v>ICRISAT</v>
      </c>
      <c r="B4" s="4" t="str">
        <v>Enhancing groundnut productivity through increased quality seed access in Odisha</v>
      </c>
      <c r="C4" s="4" t="str">
        <v xml:space="preserve">3.3: Scaled and adopted farm management solutions </v>
      </c>
      <c r="D4" s="5">
        <v>277753</v>
      </c>
      <c r="E4" s="4" t="str">
        <v>Budget figure from the mapping dashboard, no assumption made.</v>
      </c>
      <c r="F4" s="4">
        <v>980</v>
      </c>
    </row>
    <row r="5" ht="25" customHeight="1">
      <c r="B5" s="9" t="str">
        <v>W3/Bilateral budget subtotal</v>
      </c>
      <c r="D5" s="9">
        <v>1316213</v>
      </c>
      <c r="E5" s="9" t="str">
        <v/>
      </c>
      <c r="F5" s="9" t="str">
        <v/>
      </c>
    </row>
  </sheetData>
  <mergeCells count="2">
    <mergeCell ref="B5:C5"/>
    <mergeCell ref="A2:A5"/>
  </mergeCells>
  <ignoredErrors>
    <ignoredError numberStoredAsText="1" sqref="A1:F5"/>
  </ignoredErrors>
</worksheet>
</file>

<file path=xl/worksheets/sheet5.xml><?xml version="1.0" encoding="utf-8"?>
<worksheet xmlns="http://schemas.openxmlformats.org/spreadsheetml/2006/main" xmlns:r="http://schemas.openxmlformats.org/officeDocument/2006/relationships">
  <dimension ref="A1:H7"/>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ICRISAT</v>
      </c>
      <c r="C2" s="4" t="str">
        <v>Tracing of beneficiaries and uptake of recommendations for wheat, teff, and sorghum—particularly fertilizer use and Good Agronomic Practices (GAPs)—through digital advisory platforms, generating evidence on performance, adoption pathways, and scaling mechanisms in Ethiopia</v>
      </c>
      <c r="D2" s="4" t="str">
        <v>5.4: Tools and approaches to enable rapid insights, learnings and impact</v>
      </c>
      <c r="E2" s="4" t="str">
        <v>N/A</v>
      </c>
      <c r="F2" s="5">
        <v>0</v>
      </c>
      <c r="G2" s="4" t="str">
        <v/>
      </c>
      <c r="H2" s="4">
        <v>548</v>
      </c>
    </row>
    <row r="3" ht="60" customHeight="1">
      <c r="A3" s="4" t="str">
        <v>AOW00: Cross Cutting</v>
      </c>
      <c r="B3" s="4" t="str">
        <v>ICRISAT</v>
      </c>
      <c r="C3" s="4" t="str">
        <v>Tracing of beneficiaries and uptake of innovations (e.g., fertilizer recommendations and crop management practices) for cassava through partnership platforms in Ghana, Nigeria and Tanzania to generate credible evidence on performance and adoption mechanisms.</v>
      </c>
      <c r="D3" s="4" t="str">
        <v>5.4: Tools and approaches to enable rapid insights, learnings and impact</v>
      </c>
      <c r="E3" s="4" t="str">
        <v>N/A</v>
      </c>
      <c r="F3" s="5">
        <v>0</v>
      </c>
      <c r="G3" s="4" t="str">
        <v/>
      </c>
      <c r="H3" s="4">
        <v>571</v>
      </c>
    </row>
    <row r="4" ht="25" customHeight="1">
      <c r="C4" s="9" t="str">
        <v>MELIA budget subtotal</v>
      </c>
      <c r="F4" s="9">
        <v>0</v>
      </c>
      <c r="G4" s="9" t="str">
        <v/>
      </c>
      <c r="H4" s="9" t="str">
        <v/>
      </c>
    </row>
    <row r="5" ht="60" customHeight="1">
      <c r="A5" s="8" t="str">
        <v>AOW05: Accelerating Impact</v>
      </c>
      <c r="B5" s="4" t="str">
        <v>ICRISAT</v>
      </c>
      <c r="C5" s="4" t="str">
        <v>Tracing of beneficiaries and uptake of recommendations for wheat, teff, and sorghum—particularly fertilizer use and Good Agronomic Practices (GAPs)—through digital advisory platforms, generating evidence on performance, adoption pathways, and scaling mechanisms in Ethiopia</v>
      </c>
      <c r="D5" s="4" t="str">
        <v>5.4: Tools and approaches to enable rapid insights, learnings and impact</v>
      </c>
      <c r="E5" s="4" t="str">
        <v>N/A</v>
      </c>
      <c r="F5" s="5">
        <v>15000</v>
      </c>
      <c r="G5" s="4" t="str">
        <v>MELIA studies</v>
      </c>
      <c r="H5" s="4">
        <v>547</v>
      </c>
    </row>
    <row r="6" ht="60" customHeight="1">
      <c r="A6" s="4" t="str">
        <v>AOW05: Accelerating Impact</v>
      </c>
      <c r="B6" s="4" t="str">
        <v>ICRISAT</v>
      </c>
      <c r="C6" s="4" t="str">
        <v>Tracing of beneficiaries and uptake of innovations (e.g., fertilizer recommendations and crop management practices) for cassava through partnership platforms in Ghana, Nigeria and Tanzania to generate credible evidence on performance and adoption mechanisms.</v>
      </c>
      <c r="D6" s="4" t="str">
        <v>5.4: Tools and approaches to enable rapid insights, learnings and impact</v>
      </c>
      <c r="E6" s="4" t="str">
        <v>N/A</v>
      </c>
      <c r="F6" s="5">
        <v>0</v>
      </c>
      <c r="G6" s="4" t="str">
        <v/>
      </c>
      <c r="H6" s="4">
        <v>563</v>
      </c>
    </row>
    <row r="7" ht="25" customHeight="1">
      <c r="C7" s="9" t="str">
        <v>MELIA budget subtotal</v>
      </c>
      <c r="F7" s="9">
        <v>15000</v>
      </c>
      <c r="G7" s="9" t="str">
        <v/>
      </c>
      <c r="H7" s="9" t="str">
        <v/>
      </c>
    </row>
  </sheetData>
  <mergeCells count="4">
    <mergeCell ref="C4:E4"/>
    <mergeCell ref="A2:A4"/>
    <mergeCell ref="C7:E7"/>
    <mergeCell ref="A5:A7"/>
  </mergeCells>
  <ignoredErrors>
    <ignoredError numberStoredAsText="1" sqref="A1:H7"/>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ICRISAT</v>
      </c>
      <c r="C2" s="4" t="str">
        <v>Area of Work Leads</v>
      </c>
      <c r="D2" s="5">
        <v>3600</v>
      </c>
      <c r="E2" s="4" t="str">
        <v>AoW lead Q1 2026 only</v>
      </c>
      <c r="F2" s="4">
        <v>164</v>
      </c>
      <c r="G2" s="4">
        <v>3</v>
      </c>
    </row>
    <row r="3" ht="25" customHeight="1">
      <c r="C3" s="9" t="str">
        <v>Cross-cutting budget subtotal</v>
      </c>
      <c r="D3" s="9">
        <v>3600</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3600</v>
      </c>
      <c r="C2" s="5">
        <v>65176</v>
      </c>
      <c r="D2" s="5">
        <v>0</v>
      </c>
      <c r="E2" s="5">
        <v>176030</v>
      </c>
      <c r="F2" s="5">
        <v>0</v>
      </c>
      <c r="G2" s="5">
        <v>130156</v>
      </c>
      <c r="H2" s="5">
        <f>=SUM(B2:G2)</f>
        <v>0</v>
      </c>
    </row>
    <row r="3" ht="20" customHeight="1">
      <c r="A3" s="4" t="str">
        <v>Operations (supplies, consultants, travels, workshops, other)</v>
      </c>
      <c r="B3" s="5">
        <v>0</v>
      </c>
      <c r="C3" s="5">
        <v>40496</v>
      </c>
      <c r="D3" s="5">
        <v>0</v>
      </c>
      <c r="E3" s="5">
        <v>61531</v>
      </c>
      <c r="F3" s="5">
        <v>0</v>
      </c>
      <c r="G3" s="5">
        <v>54853</v>
      </c>
      <c r="H3" s="5">
        <f>=SUM(B3:G3)</f>
        <v>0</v>
      </c>
    </row>
    <row r="4" ht="20" customHeight="1">
      <c r="A4" s="6" t="str">
        <v>Subtotal</v>
      </c>
      <c r="B4" s="7">
        <f>=SUM(B2:B3)</f>
        <v>0</v>
      </c>
      <c r="C4" s="7">
        <f>=SUM(C2:C3)</f>
        <v>0</v>
      </c>
      <c r="D4" s="7">
        <f>=SUM(D2:D3)</f>
        <v>0</v>
      </c>
      <c r="E4" s="7">
        <f>=SUM(E2:E3)</f>
        <v>0</v>
      </c>
      <c r="F4" s="7">
        <f>=SUM(F2:F3)</f>
        <v>0</v>
      </c>
      <c r="G4" s="7">
        <f>=SUM(G2:G3)</f>
        <v>0</v>
      </c>
      <c r="H4" s="7">
        <f>=SUM(H2:H3)</f>
        <v>0</v>
      </c>
    </row>
  </sheetData>
  <ignoredErrors>
    <ignoredError numberStoredAsText="1" sqref="A1:H4"/>
  </ignoredErrors>
</worksheet>
</file>

<file path=xl/worksheets/sheet8.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ICRISAT</v>
      </c>
      <c r="C2" s="4" t="str">
        <v>Kenya</v>
      </c>
      <c r="D2" s="5">
        <v>100</v>
      </c>
      <c r="E2" s="4">
        <v>1882</v>
      </c>
    </row>
    <row r="3" ht="45" customHeight="1">
      <c r="A3" s="8" t="str">
        <v>AOW01: Accelerating AI-Enabled Farm Advisory at Scale.</v>
      </c>
      <c r="B3" s="4" t="str">
        <v>ICRISAT</v>
      </c>
      <c r="C3" s="4" t="str">
        <v>Ethiopia</v>
      </c>
      <c r="D3" s="5">
        <v>100</v>
      </c>
      <c r="E3" s="4">
        <v>1381</v>
      </c>
    </row>
    <row r="4" ht="45" customHeight="1">
      <c r="A4" s="8" t="str">
        <v>AOW03: Delivering Integrated Solutions to Systemic Farm-Level Binding Constraints</v>
      </c>
      <c r="B4" s="4" t="str">
        <v>ICRISAT</v>
      </c>
      <c r="C4" s="4" t="str">
        <v>Ethiopia</v>
      </c>
      <c r="D4" s="5">
        <v>30</v>
      </c>
      <c r="E4" s="4">
        <v>3187</v>
      </c>
    </row>
    <row r="5" ht="45" customHeight="1">
      <c r="A5" s="4" t="str">
        <v>AOW03: Delivering Integrated Solutions to Systemic Farm-Level Binding Constraints</v>
      </c>
      <c r="B5" s="4" t="str">
        <v>ICRISAT</v>
      </c>
      <c r="C5" s="4" t="str">
        <v>India</v>
      </c>
      <c r="D5" s="5">
        <v>15</v>
      </c>
      <c r="E5" s="4">
        <v>3186</v>
      </c>
    </row>
    <row r="6" ht="45" customHeight="1">
      <c r="A6" s="4" t="str">
        <v>AOW03: Delivering Integrated Solutions to Systemic Farm-Level Binding Constraints</v>
      </c>
      <c r="B6" s="4" t="str">
        <v>ICRISAT</v>
      </c>
      <c r="C6" s="4" t="str">
        <v>Kenya</v>
      </c>
      <c r="D6" s="5">
        <v>15</v>
      </c>
      <c r="E6" s="4">
        <v>3188</v>
      </c>
    </row>
    <row r="7" ht="45" customHeight="1">
      <c r="A7" s="4" t="str">
        <v>AOW03: Delivering Integrated Solutions to Systemic Farm-Level Binding Constraints</v>
      </c>
      <c r="B7" s="4" t="str">
        <v>ICRISAT</v>
      </c>
      <c r="C7" s="4" t="str">
        <v>Malawi</v>
      </c>
      <c r="D7" s="5">
        <v>40</v>
      </c>
      <c r="E7" s="4">
        <v>3185</v>
      </c>
    </row>
    <row r="8" ht="45" customHeight="1">
      <c r="A8" s="8" t="str">
        <v>AOW05: Accelerating Impact</v>
      </c>
      <c r="B8" s="4" t="str">
        <v>ICRISAT</v>
      </c>
      <c r="C8" s="4" t="str">
        <v>Ethiopia</v>
      </c>
      <c r="D8" s="5">
        <v>100</v>
      </c>
      <c r="E8" s="4">
        <v>3189</v>
      </c>
    </row>
  </sheetData>
  <mergeCells count="4">
    <mergeCell ref="A2"/>
    <mergeCell ref="A3"/>
    <mergeCell ref="A4:A7"/>
    <mergeCell ref="A8"/>
  </mergeCells>
  <ignoredErrors>
    <ignoredError numberStoredAsText="1" sqref="A1:E8"/>
  </ignoredErrors>
</worksheet>
</file>

<file path=xl/worksheets/sheet9.xml><?xml version="1.0" encoding="utf-8"?>
<worksheet xmlns="http://schemas.openxmlformats.org/spreadsheetml/2006/main" xmlns:r="http://schemas.openxmlformats.org/officeDocument/2006/relationships">
  <dimension ref="A1:F9"/>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ICRISAT</v>
      </c>
      <c r="C2" s="4" t="str">
        <v>Global</v>
      </c>
      <c r="D2" s="4" t="str">
        <v>global</v>
      </c>
      <c r="E2" s="5">
        <v>100</v>
      </c>
      <c r="F2" s="4">
        <v>650</v>
      </c>
    </row>
    <row r="3" ht="45" customHeight="1">
      <c r="A3" s="8" t="str">
        <v>AOW01: Accelerating AI-Enabled Farm Advisory at Scale.</v>
      </c>
      <c r="B3" s="4" t="str">
        <v>ICRISAT</v>
      </c>
      <c r="C3" s="4" t="str">
        <v>Eastern Africa</v>
      </c>
      <c r="D3" s="4" t="str">
        <v>region</v>
      </c>
      <c r="E3" s="5">
        <v>100</v>
      </c>
      <c r="F3" s="4">
        <v>490</v>
      </c>
    </row>
    <row r="4" ht="45" customHeight="1">
      <c r="A4" s="8" t="str">
        <v>AOW03: Delivering Integrated Solutions to Systemic Farm-Level Binding Constraints</v>
      </c>
      <c r="B4" s="4" t="str">
        <v>ICRISAT</v>
      </c>
      <c r="C4" s="4" t="str">
        <v>Ethiopia</v>
      </c>
      <c r="D4" s="4" t="str">
        <v>country</v>
      </c>
      <c r="E4" s="5">
        <v>15</v>
      </c>
      <c r="F4" s="4">
        <v>1439</v>
      </c>
    </row>
    <row r="5" ht="45" customHeight="1">
      <c r="A5" s="4" t="str">
        <v>AOW03: Delivering Integrated Solutions to Systemic Farm-Level Binding Constraints</v>
      </c>
      <c r="B5" s="4" t="str">
        <v>ICRISAT</v>
      </c>
      <c r="C5" s="4" t="str">
        <v>India</v>
      </c>
      <c r="D5" s="4" t="str">
        <v>country</v>
      </c>
      <c r="E5" s="5">
        <v>15</v>
      </c>
      <c r="F5" s="4">
        <v>1440</v>
      </c>
    </row>
    <row r="6" ht="45" customHeight="1">
      <c r="A6" s="4" t="str">
        <v>AOW03: Delivering Integrated Solutions to Systemic Farm-Level Binding Constraints</v>
      </c>
      <c r="B6" s="4" t="str">
        <v>ICRISAT</v>
      </c>
      <c r="C6" s="4" t="str">
        <v>Kenya</v>
      </c>
      <c r="D6" s="4" t="str">
        <v>country</v>
      </c>
      <c r="E6" s="5">
        <v>25</v>
      </c>
      <c r="F6" s="4">
        <v>1443</v>
      </c>
    </row>
    <row r="7" ht="45" customHeight="1">
      <c r="A7" s="4" t="str">
        <v>AOW03: Delivering Integrated Solutions to Systemic Farm-Level Binding Constraints</v>
      </c>
      <c r="B7" s="4" t="str">
        <v>ICRISAT</v>
      </c>
      <c r="C7" s="4" t="str">
        <v>Malawi</v>
      </c>
      <c r="D7" s="4" t="str">
        <v>country</v>
      </c>
      <c r="E7" s="5">
        <v>40</v>
      </c>
      <c r="F7" s="4">
        <v>1441</v>
      </c>
    </row>
    <row r="8" ht="45" customHeight="1">
      <c r="A8" s="4" t="str">
        <v>AOW03: Delivering Integrated Solutions to Systemic Farm-Level Binding Constraints</v>
      </c>
      <c r="B8" s="4" t="str">
        <v>ICRISAT</v>
      </c>
      <c r="C8" s="4" t="str">
        <v>Tanzania, United Republic</v>
      </c>
      <c r="D8" s="4" t="str">
        <v>country</v>
      </c>
      <c r="E8" s="5">
        <v>5</v>
      </c>
      <c r="F8" s="4">
        <v>1442</v>
      </c>
    </row>
    <row r="9" ht="45" customHeight="1">
      <c r="A9" s="8" t="str">
        <v>AOW05: Accelerating Impact</v>
      </c>
      <c r="B9" s="4" t="str">
        <v>ICRISAT</v>
      </c>
      <c r="C9" s="4" t="str">
        <v>Global</v>
      </c>
      <c r="D9" s="4" t="str">
        <v>global</v>
      </c>
      <c r="E9" s="5">
        <v>100</v>
      </c>
      <c r="F9" s="4">
        <v>1445</v>
      </c>
    </row>
  </sheetData>
  <mergeCells count="4">
    <mergeCell ref="A2"/>
    <mergeCell ref="A3"/>
    <mergeCell ref="A4:A8"/>
    <mergeCell ref="A9"/>
  </mergeCells>
  <ignoredErrors>
    <ignoredError numberStoredAsText="1" sqref="A1:F9"/>
  </ignoredErrors>
</worksheet>
</file>

<file path=xl/worksheets/sheet10.xml><?xml version="1.0" encoding="utf-8"?>
<worksheet xmlns="http://schemas.openxmlformats.org/spreadsheetml/2006/main" xmlns:r="http://schemas.openxmlformats.org/officeDocument/2006/relationships">
  <dimension ref="A1:E60"/>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Accelerating AI-Enabled Farm Advisory at Scale.</v>
      </c>
      <c r="B2" s="4" t="str">
        <v xml:space="preserve">Sustainable Animal and Aquatic Foods </v>
      </c>
      <c r="C2" s="4" t="str">
        <v xml:space="preserve">1.3: Farmer utilization and adoption of AI-enabled advisory services </v>
      </c>
      <c r="D2" s="4" t="str">
        <v/>
      </c>
      <c r="E2" s="4">
        <v>882</v>
      </c>
    </row>
    <row r="3" ht="60" customHeight="1">
      <c r="A3" s="4" t="str">
        <v>AOW01: Accelerating AI-Enabled Farm Advisory at Scale.</v>
      </c>
      <c r="B3" s="4" t="str">
        <v xml:space="preserve">Digital Transformation </v>
      </c>
      <c r="C3" s="4" t="str">
        <v xml:space="preserve">1.3: Farmer utilization and adoption of AI-enabled advisory services </v>
      </c>
      <c r="D3"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 s="4">
        <v>883</v>
      </c>
    </row>
    <row r="4" ht="60" customHeight="1">
      <c r="A4" s="4" t="str">
        <v>AOW01: Accelerating AI-Enabled Farm Advisory at Scale.</v>
      </c>
      <c r="B4" s="4" t="str">
        <v>Breeding for Tomorrow</v>
      </c>
      <c r="C4" s="4" t="str">
        <v xml:space="preserve">1.3: Farmer utilization and adoption of AI-enabled advisory services </v>
      </c>
      <c r="D4"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4" s="4">
        <v>884</v>
      </c>
    </row>
    <row r="5" ht="60" customHeight="1">
      <c r="A5" s="4" t="str">
        <v>AOW01: Accelerating AI-Enabled Farm Advisory at Scale.</v>
      </c>
      <c r="B5" s="4" t="str">
        <v>Breeding for Tomorrow</v>
      </c>
      <c r="C5" s="4" t="str">
        <v xml:space="preserve"> 1.1: Agronomic and farm management scientific data and analytics  </v>
      </c>
      <c r="D5" s="4" t="str">
        <v>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v>
      </c>
      <c r="E5" s="4">
        <v>912</v>
      </c>
    </row>
    <row r="6" ht="60" customHeight="1">
      <c r="A6" s="4" t="str">
        <v>AOW01: Accelerating AI-Enabled Farm Advisory at Scale.</v>
      </c>
      <c r="B6" s="4" t="str">
        <v xml:space="preserve">Digital Transformation </v>
      </c>
      <c r="C6" s="4" t="str">
        <v xml:space="preserve"> 1.1: Agronomic and farm management scientific data and analytics  </v>
      </c>
      <c r="D6"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6" s="4">
        <v>913</v>
      </c>
    </row>
    <row r="7" ht="60" customHeight="1">
      <c r="A7" s="4" t="str">
        <v>AOW01: Accelerating AI-Enabled Farm Advisory at Scale.</v>
      </c>
      <c r="B7" s="4" t="str">
        <v xml:space="preserve">Sustainable Animal and Aquatic Foods </v>
      </c>
      <c r="C7" s="4" t="str">
        <v xml:space="preserve"> 1.1: Agronomic and farm management scientific data and analytics  </v>
      </c>
      <c r="D7" s="4" t="str">
        <v/>
      </c>
      <c r="E7" s="4">
        <v>914</v>
      </c>
    </row>
    <row r="8" ht="60" customHeight="1">
      <c r="A8" s="4" t="str">
        <v>AOW01: Accelerating AI-Enabled Farm Advisory at Scale.</v>
      </c>
      <c r="B8" s="4" t="str">
        <v xml:space="preserve">Sustainable Animal and Aquatic Foods </v>
      </c>
      <c r="C8" s="4" t="str">
        <v xml:space="preserve">1.2: Benchmarking and performance validation systems </v>
      </c>
      <c r="D8" s="4" t="str">
        <v/>
      </c>
      <c r="E8" s="4">
        <v>915</v>
      </c>
    </row>
    <row r="9" ht="60" customHeight="1">
      <c r="A9" s="4" t="str">
        <v>AOW01: Accelerating AI-Enabled Farm Advisory at Scale.</v>
      </c>
      <c r="B9" s="4" t="str">
        <v xml:space="preserve">Digital Transformation </v>
      </c>
      <c r="C9" s="4" t="str">
        <v xml:space="preserve">1.2: Benchmarking and performance validation systems </v>
      </c>
      <c r="D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9" s="4">
        <v>916</v>
      </c>
    </row>
    <row r="10" ht="60" customHeight="1">
      <c r="A10" s="4" t="str">
        <v>AOW01: Accelerating AI-Enabled Farm Advisory at Scale.</v>
      </c>
      <c r="B10" s="4" t="str">
        <v>Breeding for Tomorrow</v>
      </c>
      <c r="C10" s="4" t="str">
        <v xml:space="preserve">1.2: Benchmarking and performance validation systems </v>
      </c>
      <c r="D10"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0" s="4">
        <v>917</v>
      </c>
    </row>
    <row r="11" ht="60" customHeight="1">
      <c r="A11" s="8" t="str">
        <v>AOW02: Enabling Preparedness and Rapid Response to Emerging Shocks</v>
      </c>
      <c r="B11" s="4" t="str">
        <v xml:space="preserve">Sustainable Animal and Aquatic Foods </v>
      </c>
      <c r="C11" s="4" t="str">
        <v xml:space="preserve">2.3: Responses effectiveness and trade-offs to climate, pests and diseases shocks </v>
      </c>
      <c r="D11" s="4" t="str">
        <v/>
      </c>
      <c r="E11" s="4">
        <v>885</v>
      </c>
    </row>
    <row r="12" ht="60" customHeight="1">
      <c r="A12" s="4" t="str">
        <v>AOW02: Enabling Preparedness and Rapid Response to Emerging Shocks</v>
      </c>
      <c r="B12" s="4" t="str">
        <v>Genebank</v>
      </c>
      <c r="C12" s="4" t="str">
        <v xml:space="preserve">2.3: Responses effectiveness and trade-offs to climate, pests and diseases shocks </v>
      </c>
      <c r="D12"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2" s="4">
        <v>886</v>
      </c>
    </row>
    <row r="13" ht="60" customHeight="1">
      <c r="A13" s="4" t="str">
        <v>AOW02: Enabling Preparedness and Rapid Response to Emerging Shocks</v>
      </c>
      <c r="B13" s="4" t="str">
        <v>Climate Action</v>
      </c>
      <c r="C13" s="4" t="str">
        <v xml:space="preserve">2.3: Responses effectiveness and trade-offs to climate, pests and diseases shocks </v>
      </c>
      <c r="D1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3" s="4">
        <v>887</v>
      </c>
    </row>
    <row r="14" ht="60" customHeight="1">
      <c r="A14" s="4" t="str">
        <v>AOW02: Enabling Preparedness and Rapid Response to Emerging Shocks</v>
      </c>
      <c r="B14" s="4" t="str">
        <v xml:space="preserve">Multifunctional Landscapes </v>
      </c>
      <c r="C14" s="4" t="str">
        <v xml:space="preserve">2.3: Responses effectiveness and trade-offs to climate, pests and diseases shocks </v>
      </c>
      <c r="D14"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4" s="4">
        <v>888</v>
      </c>
    </row>
    <row r="15" ht="60" customHeight="1">
      <c r="A15" s="4" t="str">
        <v>AOW02: Enabling Preparedness and Rapid Response to Emerging Shocks</v>
      </c>
      <c r="B15" s="4" t="str">
        <v>Breeding for Tomorrow</v>
      </c>
      <c r="C15" s="4" t="str">
        <v xml:space="preserve">2.3: Responses effectiveness and trade-offs to climate, pests and diseases shocks </v>
      </c>
      <c r="D15"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5" s="4">
        <v>889</v>
      </c>
    </row>
    <row r="16" ht="60" customHeight="1">
      <c r="A16" s="4" t="str">
        <v>AOW02: Enabling Preparedness and Rapid Response to Emerging Shocks</v>
      </c>
      <c r="B16" s="4" t="str">
        <v>Breeding for Tomorrow</v>
      </c>
      <c r="C16" s="4" t="str">
        <v>2.2: Strategies for response to water related shocks</v>
      </c>
      <c r="D1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6" s="4">
        <v>890</v>
      </c>
    </row>
    <row r="17" ht="60" customHeight="1">
      <c r="A17" s="4" t="str">
        <v>AOW02: Enabling Preparedness and Rapid Response to Emerging Shocks</v>
      </c>
      <c r="B17" s="4" t="str">
        <v xml:space="preserve">Multifunctional Landscapes </v>
      </c>
      <c r="C17" s="4" t="str">
        <v>2.2: Strategies for response to water related shocks</v>
      </c>
      <c r="D1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7" s="4">
        <v>891</v>
      </c>
    </row>
    <row r="18" ht="60" customHeight="1">
      <c r="A18" s="4" t="str">
        <v>AOW02: Enabling Preparedness and Rapid Response to Emerging Shocks</v>
      </c>
      <c r="B18" s="4" t="str">
        <v>Climate Action</v>
      </c>
      <c r="C18" s="4" t="str">
        <v>2.2: Strategies for response to water related shocks</v>
      </c>
      <c r="D18"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8" s="4">
        <v>892</v>
      </c>
    </row>
    <row r="19" ht="60" customHeight="1">
      <c r="A19" s="4" t="str">
        <v>AOW02: Enabling Preparedness and Rapid Response to Emerging Shocks</v>
      </c>
      <c r="B19" s="4" t="str">
        <v>Genebank</v>
      </c>
      <c r="C19" s="4" t="str">
        <v>2.2: Strategies for response to water related shocks</v>
      </c>
      <c r="D19"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9" s="4">
        <v>893</v>
      </c>
    </row>
    <row r="20" ht="60" customHeight="1">
      <c r="A20" s="4" t="str">
        <v>AOW02: Enabling Preparedness and Rapid Response to Emerging Shocks</v>
      </c>
      <c r="B20" s="4" t="str">
        <v xml:space="preserve">Sustainable Animal and Aquatic Foods </v>
      </c>
      <c r="C20" s="4" t="str">
        <v>2.2: Strategies for response to water related shocks</v>
      </c>
      <c r="D20" s="4" t="str">
        <v/>
      </c>
      <c r="E20" s="4">
        <v>894</v>
      </c>
    </row>
    <row r="21" ht="60" customHeight="1">
      <c r="A21" s="4" t="str">
        <v>AOW02: Enabling Preparedness and Rapid Response to Emerging Shocks</v>
      </c>
      <c r="B21" s="4" t="str">
        <v>Breeding for Tomorrow</v>
      </c>
      <c r="C21" s="4" t="str">
        <v xml:space="preserve">2.1: Enhanced resolution, accuracy and timeliness of early warning system </v>
      </c>
      <c r="D21"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1" s="4">
        <v>895</v>
      </c>
    </row>
    <row r="22" ht="60" customHeight="1">
      <c r="A22" s="4" t="str">
        <v>AOW02: Enabling Preparedness and Rapid Response to Emerging Shocks</v>
      </c>
      <c r="B22" s="4" t="str">
        <v xml:space="preserve">Multifunctional Landscapes </v>
      </c>
      <c r="C22" s="4" t="str">
        <v xml:space="preserve">2.1: Enhanced resolution, accuracy and timeliness of early warning system </v>
      </c>
      <c r="D22"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2" s="4">
        <v>896</v>
      </c>
    </row>
    <row r="23" ht="60" customHeight="1">
      <c r="A23" s="4" t="str">
        <v>AOW02: Enabling Preparedness and Rapid Response to Emerging Shocks</v>
      </c>
      <c r="B23" s="4" t="str">
        <v>Climate Action</v>
      </c>
      <c r="C23" s="4" t="str">
        <v xml:space="preserve">2.1: Enhanced resolution, accuracy and timeliness of early warning system </v>
      </c>
      <c r="D2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23" s="4">
        <v>897</v>
      </c>
    </row>
    <row r="24" ht="60" customHeight="1">
      <c r="A24" s="4" t="str">
        <v>AOW02: Enabling Preparedness and Rapid Response to Emerging Shocks</v>
      </c>
      <c r="B24" s="4" t="str">
        <v>Genebank</v>
      </c>
      <c r="C24" s="4" t="str">
        <v xml:space="preserve">2.1: Enhanced resolution, accuracy and timeliness of early warning system </v>
      </c>
      <c r="D24"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v>
      </c>
      <c r="E24" s="4">
        <v>898</v>
      </c>
    </row>
    <row r="25" ht="60" customHeight="1">
      <c r="A25" s="4" t="str">
        <v>AOW02: Enabling Preparedness and Rapid Response to Emerging Shocks</v>
      </c>
      <c r="B25" s="4" t="str">
        <v xml:space="preserve">Sustainable Animal and Aquatic Foods </v>
      </c>
      <c r="C25" s="4" t="str">
        <v xml:space="preserve">2.1: Enhanced resolution, accuracy and timeliness of early warning system </v>
      </c>
      <c r="D25" s="4" t="str">
        <v/>
      </c>
      <c r="E25" s="4">
        <v>899</v>
      </c>
    </row>
    <row r="26" ht="60" customHeight="1">
      <c r="A26" s="8" t="str">
        <v>AOW03: Delivering Integrated Solutions to Systemic Farm-Level Binding Constraints</v>
      </c>
      <c r="B26" s="4" t="str">
        <v>Breeding for Tomorrow</v>
      </c>
      <c r="C26" s="4" t="str">
        <v xml:space="preserve">3.2. Validated, farm-level management solutions </v>
      </c>
      <c r="D2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6" s="4">
        <v>918</v>
      </c>
    </row>
    <row r="27" ht="60" customHeight="1">
      <c r="A27" s="4" t="str">
        <v>AOW03: Delivering Integrated Solutions to Systemic Farm-Level Binding Constraints</v>
      </c>
      <c r="B27" s="4" t="str">
        <v xml:space="preserve">Multifunctional Landscapes </v>
      </c>
      <c r="C27" s="4" t="str">
        <v xml:space="preserve">3.2. Validated, farm-level management solutions </v>
      </c>
      <c r="D2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7" s="4">
        <v>919</v>
      </c>
    </row>
    <row r="28" ht="60" customHeight="1">
      <c r="A28" s="4" t="str">
        <v>AOW03: Delivering Integrated Solutions to Systemic Farm-Level Binding Constraints</v>
      </c>
      <c r="B28" s="4" t="str">
        <v>Policy Innovations</v>
      </c>
      <c r="C28" s="4" t="str">
        <v xml:space="preserve">3.2. Validated, farm-level management solutions </v>
      </c>
      <c r="D28"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28" s="4">
        <v>920</v>
      </c>
    </row>
    <row r="29" ht="60" customHeight="1">
      <c r="A29" s="4" t="str">
        <v>AOW03: Delivering Integrated Solutions to Systemic Farm-Level Binding Constraints</v>
      </c>
      <c r="B29" s="4" t="str">
        <v xml:space="preserve">Digital Transformation </v>
      </c>
      <c r="C29" s="4" t="str">
        <v xml:space="preserve">3.2. Validated, farm-level management solutions </v>
      </c>
      <c r="D2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29" s="4">
        <v>921</v>
      </c>
    </row>
    <row r="30" ht="60" customHeight="1">
      <c r="A30" s="4" t="str">
        <v>AOW03: Delivering Integrated Solutions to Systemic Farm-Level Binding Constraints</v>
      </c>
      <c r="B30" s="4" t="str">
        <v xml:space="preserve">Gender Equality and Inclusion </v>
      </c>
      <c r="C30" s="4" t="str">
        <v xml:space="preserve">3.2. Validated, farm-level management solutions </v>
      </c>
      <c r="D30"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0" s="4">
        <v>922</v>
      </c>
    </row>
    <row r="31" ht="60" customHeight="1">
      <c r="A31" s="4" t="str">
        <v>AOW03: Delivering Integrated Solutions to Systemic Farm-Level Binding Constraints</v>
      </c>
      <c r="B31" s="4" t="str">
        <v xml:space="preserve">Sustainable Animal and Aquatic Foods </v>
      </c>
      <c r="C31" s="4" t="str">
        <v xml:space="preserve">3.2. Validated, farm-level management solutions </v>
      </c>
      <c r="D31" s="4" t="str">
        <v/>
      </c>
      <c r="E31" s="4">
        <v>923</v>
      </c>
    </row>
    <row r="32" ht="60" customHeight="1">
      <c r="A32" s="4" t="str">
        <v>AOW03: Delivering Integrated Solutions to Systemic Farm-Level Binding Constraints</v>
      </c>
      <c r="B32" s="4" t="str">
        <v>Breeding for Tomorrow</v>
      </c>
      <c r="C32" s="4" t="str">
        <v xml:space="preserve">3.3: Scaled and adopted farm management solutions </v>
      </c>
      <c r="D32"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2" s="4">
        <v>924</v>
      </c>
    </row>
    <row r="33" ht="60" customHeight="1">
      <c r="A33" s="4" t="str">
        <v>AOW03: Delivering Integrated Solutions to Systemic Farm-Level Binding Constraints</v>
      </c>
      <c r="B33" s="4" t="str">
        <v xml:space="preserve">Multifunctional Landscapes </v>
      </c>
      <c r="C33" s="4" t="str">
        <v xml:space="preserve">3.3: Scaled and adopted farm management solutions </v>
      </c>
      <c r="D33"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3" s="4">
        <v>925</v>
      </c>
    </row>
    <row r="34" ht="60" customHeight="1">
      <c r="A34" s="4" t="str">
        <v>AOW03: Delivering Integrated Solutions to Systemic Farm-Level Binding Constraints</v>
      </c>
      <c r="B34" s="4" t="str">
        <v>Policy Innovations</v>
      </c>
      <c r="C34" s="4" t="str">
        <v xml:space="preserve">3.3: Scaled and adopted farm management solutions </v>
      </c>
      <c r="D3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34" s="4">
        <v>926</v>
      </c>
    </row>
    <row r="35" ht="60" customHeight="1">
      <c r="A35" s="4" t="str">
        <v>AOW03: Delivering Integrated Solutions to Systemic Farm-Level Binding Constraints</v>
      </c>
      <c r="B35" s="4" t="str">
        <v xml:space="preserve">Digital Transformation </v>
      </c>
      <c r="C35" s="4" t="str">
        <v xml:space="preserve">3.3: Scaled and adopted farm management solutions </v>
      </c>
      <c r="D3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5" s="4">
        <v>927</v>
      </c>
    </row>
    <row r="36" ht="60" customHeight="1">
      <c r="A36" s="4" t="str">
        <v>AOW03: Delivering Integrated Solutions to Systemic Farm-Level Binding Constraints</v>
      </c>
      <c r="B36" s="4" t="str">
        <v xml:space="preserve">Gender Equality and Inclusion </v>
      </c>
      <c r="C36" s="4" t="str">
        <v xml:space="preserve">3.3: Scaled and adopted farm management solutions </v>
      </c>
      <c r="D36"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6" s="4">
        <v>928</v>
      </c>
    </row>
    <row r="37" ht="60" customHeight="1">
      <c r="A37" s="4" t="str">
        <v>AOW03: Delivering Integrated Solutions to Systemic Farm-Level Binding Constraints</v>
      </c>
      <c r="B37" s="4" t="str">
        <v xml:space="preserve">Sustainable Animal and Aquatic Foods </v>
      </c>
      <c r="C37" s="4" t="str">
        <v xml:space="preserve">3.3: Scaled and adopted farm management solutions </v>
      </c>
      <c r="D37" s="4" t="str">
        <v/>
      </c>
      <c r="E37" s="4">
        <v>929</v>
      </c>
    </row>
    <row r="38" ht="60" customHeight="1">
      <c r="A38" s="4" t="str">
        <v>AOW03: Delivering Integrated Solutions to Systemic Farm-Level Binding Constraints</v>
      </c>
      <c r="B38" s="4" t="str">
        <v>Breeding for Tomorrow</v>
      </c>
      <c r="C38" s="4" t="str">
        <v xml:space="preserve">3.1: Farm-level diagnostic evidence on soil, plant, water, and socio-economic constraints </v>
      </c>
      <c r="D38"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8" s="4">
        <v>930</v>
      </c>
    </row>
    <row r="39" ht="60" customHeight="1">
      <c r="A39" s="4" t="str">
        <v>AOW03: Delivering Integrated Solutions to Systemic Farm-Level Binding Constraints</v>
      </c>
      <c r="B39" s="4" t="str">
        <v xml:space="preserve">Multifunctional Landscapes </v>
      </c>
      <c r="C39" s="4" t="str">
        <v xml:space="preserve">3.1: Farm-level diagnostic evidence on soil, plant, water, and socio-economic constraints </v>
      </c>
      <c r="D39"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9" s="4">
        <v>931</v>
      </c>
    </row>
    <row r="40" ht="60" customHeight="1">
      <c r="A40" s="4" t="str">
        <v>AOW03: Delivering Integrated Solutions to Systemic Farm-Level Binding Constraints</v>
      </c>
      <c r="B40" s="4" t="str">
        <v>Climate Action</v>
      </c>
      <c r="C40" s="4" t="str">
        <v xml:space="preserve">3.1: Farm-level diagnostic evidence on soil, plant, water, and socio-economic constraints </v>
      </c>
      <c r="D40"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40" s="4">
        <v>932</v>
      </c>
    </row>
    <row r="41" ht="60" customHeight="1">
      <c r="A41" s="4" t="str">
        <v>AOW03: Delivering Integrated Solutions to Systemic Farm-Level Binding Constraints</v>
      </c>
      <c r="B41" s="4" t="str">
        <v>Policy Innovations</v>
      </c>
      <c r="C41" s="4" t="str">
        <v xml:space="preserve">3.1: Farm-level diagnostic evidence on soil, plant, water, and socio-economic constraints </v>
      </c>
      <c r="D4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1" s="4">
        <v>933</v>
      </c>
    </row>
    <row r="42" ht="60" customHeight="1">
      <c r="A42" s="4" t="str">
        <v>AOW03: Delivering Integrated Solutions to Systemic Farm-Level Binding Constraints</v>
      </c>
      <c r="B42" s="4" t="str">
        <v xml:space="preserve">Digital Transformation </v>
      </c>
      <c r="C42" s="4" t="str">
        <v xml:space="preserve">3.1: Farm-level diagnostic evidence on soil, plant, water, and socio-economic constraints </v>
      </c>
      <c r="D4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2" s="4">
        <v>934</v>
      </c>
    </row>
    <row r="43" ht="60" customHeight="1">
      <c r="A43" s="4" t="str">
        <v>AOW03: Delivering Integrated Solutions to Systemic Farm-Level Binding Constraints</v>
      </c>
      <c r="B43" s="4" t="str">
        <v xml:space="preserve">Gender Equality and Inclusion </v>
      </c>
      <c r="C43" s="4" t="str">
        <v xml:space="preserve">3.1: Farm-level diagnostic evidence on soil, plant, water, and socio-economic constraints </v>
      </c>
      <c r="D43"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43" s="4">
        <v>935</v>
      </c>
    </row>
    <row r="44" ht="60" customHeight="1">
      <c r="A44" s="4" t="str">
        <v>AOW03: Delivering Integrated Solutions to Systemic Farm-Level Binding Constraints</v>
      </c>
      <c r="B44" s="4" t="str">
        <v xml:space="preserve">Sustainable Animal and Aquatic Foods </v>
      </c>
      <c r="C44" s="4" t="str">
        <v xml:space="preserve">3.1: Farm-level diagnostic evidence on soil, plant, water, and socio-economic constraints </v>
      </c>
      <c r="D44" s="4" t="str">
        <v/>
      </c>
      <c r="E44" s="4">
        <v>936</v>
      </c>
    </row>
    <row r="45" ht="60" customHeight="1">
      <c r="A45" s="4" t="str">
        <v>AOW04: Incubating Innovation in Sustainable Farming</v>
      </c>
      <c r="B45" s="4" t="str">
        <v xml:space="preserve">Digital Transformation </v>
      </c>
      <c r="C45" s="4" t="str">
        <v xml:space="preserve">4.1. A pipeline of at least eight high-risk, high-reward, early-stage research ideas </v>
      </c>
      <c r="D45" s="4" t="str">
        <v>AI is area of common interest between SFP and DTA. SFP will explore potential avenues for future collaboration in the coming months.</v>
      </c>
      <c r="E45" s="4">
        <v>1282</v>
      </c>
    </row>
    <row r="46" ht="60" customHeight="1">
      <c r="A46" s="8" t="str">
        <v>AOW05: Accelerating Impact</v>
      </c>
      <c r="B46" s="4" t="str">
        <v>Policy Innovations</v>
      </c>
      <c r="C46" s="4" t="str">
        <v xml:space="preserve">5.5. Well-documented, widely applicable and replicable partnership platforms </v>
      </c>
      <c r="D46"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6" s="4">
        <v>879</v>
      </c>
    </row>
    <row r="47" ht="60" customHeight="1">
      <c r="A47" s="4" t="str">
        <v>AOW05: Accelerating Impact</v>
      </c>
      <c r="B47" s="4" t="str">
        <v>Scaling for Impact</v>
      </c>
      <c r="C47" s="4" t="str">
        <v xml:space="preserve">5.5. Well-documented, widely applicable and replicable partnership platforms </v>
      </c>
      <c r="D47"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47" s="4">
        <v>880</v>
      </c>
    </row>
    <row r="48" ht="60" customHeight="1">
      <c r="A48" s="4" t="str">
        <v>AOW05: Accelerating Impact</v>
      </c>
      <c r="B48" s="4" t="str">
        <v xml:space="preserve">Digital Transformation </v>
      </c>
      <c r="C48" s="4" t="str">
        <v xml:space="preserve">5.5. Well-documented, widely applicable and replicable partnership platforms </v>
      </c>
      <c r="D4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8" s="4">
        <v>881</v>
      </c>
    </row>
    <row r="49" ht="60" customHeight="1">
      <c r="A49" s="4" t="str">
        <v>AOW05: Accelerating Impact</v>
      </c>
      <c r="B49" s="4" t="str">
        <v xml:space="preserve">Digital Transformation </v>
      </c>
      <c r="C49" s="4" t="str">
        <v xml:space="preserve">5.4: Tools and approaches to enable rapid insights, learnings and impact </v>
      </c>
      <c r="D4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9" s="4">
        <v>900</v>
      </c>
    </row>
    <row r="50" ht="60" customHeight="1">
      <c r="A50" s="4" t="str">
        <v>AOW05: Accelerating Impact</v>
      </c>
      <c r="B50" s="4" t="str">
        <v>Scaling for Impact</v>
      </c>
      <c r="C50" s="4" t="str">
        <v xml:space="preserve">5.4: Tools and approaches to enable rapid insights, learnings and impact </v>
      </c>
      <c r="D50"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0" s="4">
        <v>901</v>
      </c>
    </row>
    <row r="51" ht="60" customHeight="1">
      <c r="A51" s="4" t="str">
        <v>AOW05: Accelerating Impact</v>
      </c>
      <c r="B51" s="4" t="str">
        <v>Policy Innovations</v>
      </c>
      <c r="C51" s="4" t="str">
        <v xml:space="preserve">5.4: Tools and approaches to enable rapid insights, learnings and impact </v>
      </c>
      <c r="D5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1" s="4">
        <v>902</v>
      </c>
    </row>
    <row r="52" ht="60" customHeight="1">
      <c r="A52" s="4" t="str">
        <v>AOW05: Accelerating Impact</v>
      </c>
      <c r="B52" s="4" t="str">
        <v xml:space="preserve">Digital Transformation </v>
      </c>
      <c r="C52" s="4" t="str">
        <v>5.3 FAIR, AI-ready data corpus, data and metadata standards</v>
      </c>
      <c r="D5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2" s="4">
        <v>903</v>
      </c>
    </row>
    <row r="53" ht="60" customHeight="1">
      <c r="A53" s="4" t="str">
        <v>AOW05: Accelerating Impact</v>
      </c>
      <c r="B53" s="4" t="str">
        <v>Scaling for Impact</v>
      </c>
      <c r="C53" s="4" t="str">
        <v>5.3 FAIR, AI-ready data corpus, data and metadata standards</v>
      </c>
      <c r="D53"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3" s="4">
        <v>904</v>
      </c>
    </row>
    <row r="54" ht="60" customHeight="1">
      <c r="A54" s="4" t="str">
        <v>AOW05: Accelerating Impact</v>
      </c>
      <c r="B54" s="4" t="str">
        <v>Policy Innovations</v>
      </c>
      <c r="C54" s="4" t="str">
        <v>5.3 FAIR, AI-ready data corpus, data and metadata standards</v>
      </c>
      <c r="D5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4" s="4">
        <v>905</v>
      </c>
    </row>
    <row r="55" ht="60" customHeight="1">
      <c r="A55" s="4" t="str">
        <v>AOW05: Accelerating Impact</v>
      </c>
      <c r="B55" s="4" t="str">
        <v xml:space="preserve">Digital Transformation </v>
      </c>
      <c r="C55" s="4" t="str">
        <v xml:space="preserve">5.2: Well- documented and communicated SFP impact assessments </v>
      </c>
      <c r="D5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5" s="4">
        <v>906</v>
      </c>
    </row>
    <row r="56" ht="60" customHeight="1">
      <c r="A56" s="4" t="str">
        <v>AOW05: Accelerating Impact</v>
      </c>
      <c r="B56" s="4" t="str">
        <v>Scaling for Impact</v>
      </c>
      <c r="C56" s="4" t="str">
        <v xml:space="preserve">5.2: Well- documented and communicated SFP impact assessments </v>
      </c>
      <c r="D56"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6" s="4">
        <v>907</v>
      </c>
    </row>
    <row r="57" ht="60" customHeight="1">
      <c r="A57" s="4" t="str">
        <v>AOW05: Accelerating Impact</v>
      </c>
      <c r="B57" s="4" t="str">
        <v>Policy Innovations</v>
      </c>
      <c r="C57" s="4" t="str">
        <v xml:space="preserve">5.2: Well- documented and communicated SFP impact assessments </v>
      </c>
      <c r="D57"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7" s="4">
        <v>908</v>
      </c>
    </row>
    <row r="58" ht="60" customHeight="1">
      <c r="A58" s="4" t="str">
        <v>AOW05: Accelerating Impact</v>
      </c>
      <c r="B58" s="4" t="str">
        <v xml:space="preserve">Digital Transformation </v>
      </c>
      <c r="C58" s="4" t="str">
        <v xml:space="preserve">5.1. Prioritization logic for deployment via partnership platforms available </v>
      </c>
      <c r="D5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8" s="4">
        <v>909</v>
      </c>
    </row>
    <row r="59" ht="60" customHeight="1">
      <c r="A59" s="4" t="str">
        <v>AOW05: Accelerating Impact</v>
      </c>
      <c r="B59" s="4" t="str">
        <v>Scaling for Impact</v>
      </c>
      <c r="C59" s="4" t="str">
        <v xml:space="preserve">5.1. Prioritization logic for deployment via partnership platforms available </v>
      </c>
      <c r="D59"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9" s="4">
        <v>910</v>
      </c>
    </row>
    <row r="60" ht="60" customHeight="1">
      <c r="A60" s="4" t="str">
        <v>AOW05: Accelerating Impact</v>
      </c>
      <c r="B60" s="4" t="str">
        <v>Policy Innovations</v>
      </c>
      <c r="C60" s="4" t="str">
        <v xml:space="preserve">5.1. Prioritization logic for deployment via partnership platforms available </v>
      </c>
      <c r="D60"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60" s="4">
        <v>911</v>
      </c>
    </row>
  </sheetData>
  <mergeCells count="4">
    <mergeCell ref="A2:A10"/>
    <mergeCell ref="A11:A25"/>
    <mergeCell ref="A26:A44"/>
    <mergeCell ref="A46:A60"/>
  </mergeCells>
  <ignoredErrors>
    <ignoredError numberStoredAsText="1" sqref="A1:E60"/>
  </ignoredErrors>
</worksheet>
</file>

<file path=xl/worksheets/sheet11.xml><?xml version="1.0" encoding="utf-8"?>
<worksheet xmlns="http://schemas.openxmlformats.org/spreadsheetml/2006/main" xmlns:r="http://schemas.openxmlformats.org/officeDocument/2006/relationships">
  <dimension ref="A1:G2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4: Integrated solutions embedded in investment, policy, and scaling systems</v>
      </c>
      <c r="C2" s="4" t="str">
        <v/>
      </c>
      <c r="D2" s="4" t="str">
        <v>Innovation Use</v>
      </c>
      <c r="E2" s="4" t="str">
        <v>Global</v>
      </c>
      <c r="F2" s="5">
        <v>100</v>
      </c>
      <c r="G2" s="4">
        <v>481</v>
      </c>
    </row>
    <row r="3" ht="60" customHeight="1">
      <c r="A3" s="4" t="str">
        <v>AOW00: Cross Cutting</v>
      </c>
      <c r="B3" s="4" t="str">
        <v>4: Integrated solutions embedded in investment, policy, and scaling systems</v>
      </c>
      <c r="C3" s="4" t="str">
        <v/>
      </c>
      <c r="D3" s="4" t="str">
        <v>Number of Policy (Policy Change)</v>
      </c>
      <c r="E3" s="4" t="str">
        <v>Global</v>
      </c>
      <c r="F3" s="5">
        <v>1</v>
      </c>
      <c r="G3" s="4">
        <v>481</v>
      </c>
    </row>
    <row r="4" ht="60" customHeight="1">
      <c r="A4" s="4" t="str">
        <v>AOW00: Cross Cutting</v>
      </c>
      <c r="B4" s="4" t="str">
        <v>1: Strengthened and widely used knowledge and advisory systems for decision-making</v>
      </c>
      <c r="C4" s="4" t="str">
        <v/>
      </c>
      <c r="D4" s="4" t="str">
        <v>Innovation Use</v>
      </c>
      <c r="E4" s="4" t="str">
        <v>Global</v>
      </c>
      <c r="F4" s="5">
        <v>25</v>
      </c>
      <c r="G4" s="4">
        <v>482</v>
      </c>
    </row>
    <row r="5" ht="60" customHeight="1">
      <c r="A5" s="4" t="str">
        <v>AOW00: Cross Cutting</v>
      </c>
      <c r="B5" s="4" t="str">
        <v xml:space="preserve">5: Enhanced skills of service providers and R&amp;D partners </v>
      </c>
      <c r="C5" s="4" t="str">
        <v/>
      </c>
      <c r="D5" s="4" t="str">
        <v>Innovation Use</v>
      </c>
      <c r="E5" s="4" t="str">
        <v>Global</v>
      </c>
      <c r="F5" s="5">
        <v>30</v>
      </c>
      <c r="G5" s="4">
        <v>485</v>
      </c>
    </row>
    <row r="6" ht="60" customHeight="1">
      <c r="A6" s="4" t="str">
        <v>AOW00: Cross Cutting</v>
      </c>
      <c r="B6" s="4" t="str">
        <v>2: National partners leading and sustaining innovation and research systems</v>
      </c>
      <c r="C6" s="4" t="str">
        <v/>
      </c>
      <c r="D6" s="4" t="str">
        <v>Innovation Use</v>
      </c>
      <c r="E6" s="4" t="str">
        <v>Global</v>
      </c>
      <c r="F6" s="5">
        <v>50</v>
      </c>
      <c r="G6" s="4">
        <v>495</v>
      </c>
    </row>
    <row r="7" ht="60" customHeight="1">
      <c r="A7" s="4" t="str">
        <v>AOW00: Cross Cutting</v>
      </c>
      <c r="B7" s="4" t="str">
        <v>2: National partners leading and sustaining innovation and research systems</v>
      </c>
      <c r="C7" s="4" t="str">
        <v/>
      </c>
      <c r="D7" s="4" t="str">
        <v>Innovation Use</v>
      </c>
      <c r="E7" s="4" t="str">
        <v>Global</v>
      </c>
      <c r="F7" s="5">
        <v>2</v>
      </c>
      <c r="G7" s="4">
        <v>495</v>
      </c>
    </row>
    <row r="8" ht="60" customHeight="1">
      <c r="A8" s="4" t="str">
        <v>AOW00: Cross Cutting</v>
      </c>
      <c r="B8" s="4" t="str">
        <v>7: Investment in Enabling Environment &amp; Advisory Services</v>
      </c>
      <c r="C8" s="4" t="str">
        <v/>
      </c>
      <c r="D8" s="4" t="str">
        <v>Number of Policy (Policy Change)</v>
      </c>
      <c r="E8" s="4" t="str">
        <v>Global</v>
      </c>
      <c r="F8" s="5">
        <v>1</v>
      </c>
      <c r="G8" s="4">
        <v>502</v>
      </c>
    </row>
    <row r="9" ht="60" customHeight="1">
      <c r="A9" s="4" t="str">
        <v>AOW00: Cross Cutting</v>
      </c>
      <c r="B9" s="4" t="str">
        <v>7: Investment in Enabling Environment &amp; Advisory Services</v>
      </c>
      <c r="C9" s="4" t="str">
        <v/>
      </c>
      <c r="D9" s="4" t="str">
        <v>Innovation Use</v>
      </c>
      <c r="E9" s="4" t="str">
        <v>Global</v>
      </c>
      <c r="F9" s="5">
        <v>2</v>
      </c>
      <c r="G9" s="4">
        <v>502</v>
      </c>
    </row>
    <row r="10" ht="60" customHeight="1">
      <c r="A10" s="4" t="str">
        <v>AOW00: Cross Cutting</v>
      </c>
      <c r="B10" s="4" t="str">
        <v>6: Farm advisory services and institutions enable agronomic gain at scale</v>
      </c>
      <c r="C10" s="4" t="str">
        <v/>
      </c>
      <c r="D10" s="4" t="str">
        <v>Innovation Use</v>
      </c>
      <c r="E10" s="4" t="str">
        <v>Global</v>
      </c>
      <c r="F10" s="5">
        <v>10</v>
      </c>
      <c r="G10" s="4">
        <v>503</v>
      </c>
    </row>
    <row r="11" ht="60" customHeight="1">
      <c r="A11" s="4" t="str">
        <v>AOW00: Cross Cutting</v>
      </c>
      <c r="B11" s="4" t="str">
        <v>1: Data Sharing &amp; Analytics for Advisory Services</v>
      </c>
      <c r="C11" s="4" t="str">
        <v/>
      </c>
      <c r="D11" s="4" t="str">
        <v>Innovation Use</v>
      </c>
      <c r="E11" s="4" t="str">
        <v>Global</v>
      </c>
      <c r="F11" s="5">
        <v>25</v>
      </c>
      <c r="G11" s="4">
        <v>504</v>
      </c>
    </row>
    <row r="12" ht="60" customHeight="1">
      <c r="A12" s="4" t="str">
        <v>AOW00: Cross Cutting</v>
      </c>
      <c r="B12" s="4" t="str">
        <v>2: Contextualized innovation bundles tested by partners</v>
      </c>
      <c r="C12" s="4" t="str">
        <v/>
      </c>
      <c r="D12" s="4" t="str">
        <v xml:space="preserve"> Number of innovation bundles contextualized</v>
      </c>
      <c r="E12" s="4" t="str">
        <v>Global</v>
      </c>
      <c r="F12" s="5">
        <v>5</v>
      </c>
      <c r="G12" s="4">
        <v>505</v>
      </c>
    </row>
    <row r="13" ht="60" customHeight="1">
      <c r="A13" s="4" t="str">
        <v>AOW00: Cross Cutting</v>
      </c>
      <c r="B13" s="4" t="str">
        <v>2: Contextualized innovation bundles tested by partners</v>
      </c>
      <c r="C13" s="4" t="str">
        <v/>
      </c>
      <c r="D13" s="4" t="str">
        <v>Innovation Use</v>
      </c>
      <c r="E13" s="4" t="str">
        <v>Global</v>
      </c>
      <c r="F13" s="5">
        <v>40</v>
      </c>
      <c r="G13" s="4">
        <v>505</v>
      </c>
    </row>
    <row r="14" ht="60" customHeight="1">
      <c r="A14" s="4" t="str">
        <v>AOW00: Cross Cutting</v>
      </c>
      <c r="B14" s="4" t="str">
        <v>3: Partners adopt methods to co-create integrated farm management solutions including inclusivity</v>
      </c>
      <c r="C14" s="4" t="str">
        <v/>
      </c>
      <c r="D14" s="4" t="str">
        <v>Innovation Use</v>
      </c>
      <c r="E14" s="4" t="str">
        <v>Global</v>
      </c>
      <c r="F14" s="5">
        <v>10</v>
      </c>
      <c r="G14" s="4">
        <v>509</v>
      </c>
    </row>
    <row r="15" ht="60" customHeight="1">
      <c r="A15" s="4" t="str">
        <v>AOW00: Cross Cutting</v>
      </c>
      <c r="B15" s="4" t="str">
        <v>4: Farming communities adapt and adopt solutions</v>
      </c>
      <c r="C15" s="4" t="str">
        <v/>
      </c>
      <c r="D15" s="4" t="str">
        <v>Innovation Use</v>
      </c>
      <c r="E15" s="4" t="str">
        <v>Global</v>
      </c>
      <c r="F15" s="5">
        <v>500000</v>
      </c>
      <c r="G15" s="4">
        <v>510</v>
      </c>
    </row>
    <row r="16" ht="60" customHeight="1">
      <c r="A16" s="4" t="str">
        <v>AOW00: Cross Cutting</v>
      </c>
      <c r="B16" s="4" t="str">
        <v>4: Farming communities adapt and adopt solutions</v>
      </c>
      <c r="C16" s="4" t="str">
        <v/>
      </c>
      <c r="D16" s="4" t="str">
        <v>Innovation Use</v>
      </c>
      <c r="E16" s="4" t="str">
        <v>Global</v>
      </c>
      <c r="F16" s="5">
        <v>40</v>
      </c>
      <c r="G16" s="4">
        <v>510</v>
      </c>
    </row>
    <row r="17" ht="60" customHeight="1">
      <c r="A17" s="4" t="str">
        <v>AOW00: Cross Cutting</v>
      </c>
      <c r="B17" s="4" t="str">
        <v>8: Partnership-Driven Agronomic Gains at Scale</v>
      </c>
      <c r="C17" s="4" t="str">
        <v/>
      </c>
      <c r="D17" s="4" t="str">
        <v>Innovation Use</v>
      </c>
      <c r="E17" s="4" t="str">
        <v>Global</v>
      </c>
      <c r="F17" s="5">
        <v>100</v>
      </c>
      <c r="G17" s="4">
        <v>511</v>
      </c>
    </row>
    <row r="18" ht="60" customHeight="1">
      <c r="A18" s="4" t="str">
        <v>AOW00: Cross Cutting</v>
      </c>
      <c r="B18" s="4" t="str">
        <v>8: Partnership-Driven Agronomic Gains at Scale</v>
      </c>
      <c r="C18" s="4" t="str">
        <v/>
      </c>
      <c r="D18" s="4" t="str">
        <v>Innovation Use</v>
      </c>
      <c r="E18" s="4" t="str">
        <v>Global</v>
      </c>
      <c r="F18" s="5">
        <v>2</v>
      </c>
      <c r="G18" s="4">
        <v>511</v>
      </c>
    </row>
    <row r="19" ht="60" customHeight="1">
      <c r="A19" s="4" t="str">
        <v>AOW00: Cross Cutting</v>
      </c>
      <c r="B19" s="4" t="str">
        <v>3: Large scale adoption of integrated farm management solutions by farmers</v>
      </c>
      <c r="C19" s="4" t="str">
        <v/>
      </c>
      <c r="D19" s="4" t="str">
        <v>Innovation Use</v>
      </c>
      <c r="E19" s="4" t="str">
        <v>Global</v>
      </c>
      <c r="F19" s="5">
        <v>5</v>
      </c>
      <c r="G19" s="4">
        <v>512</v>
      </c>
    </row>
    <row r="20" ht="60" customHeight="1">
      <c r="A20" s="4" t="str">
        <v>AOW00: Cross Cutting</v>
      </c>
      <c r="B20" s="4" t="str">
        <v>3: Large scale adoption of integrated farm management solutions by farmers</v>
      </c>
      <c r="C20" s="4" t="str">
        <v/>
      </c>
      <c r="D20" s="4" t="str">
        <v>Innovation Use</v>
      </c>
      <c r="E20" s="4" t="str">
        <v>Global</v>
      </c>
      <c r="F20" s="5">
        <v>5</v>
      </c>
      <c r="G20" s="4">
        <v>512</v>
      </c>
    </row>
    <row r="21" ht="60" customHeight="1">
      <c r="A21" s="4" t="str">
        <v>AOW00: Cross Cutting</v>
      </c>
      <c r="B21" s="4" t="str">
        <v>3: Large scale adoption of integrated farm management solutions by farmers</v>
      </c>
      <c r="C21" s="4" t="str">
        <v/>
      </c>
      <c r="D21" s="4" t="str">
        <v>Innovation Use</v>
      </c>
      <c r="E21" s="4" t="str">
        <v>Global</v>
      </c>
      <c r="F21" s="5">
        <v>500000</v>
      </c>
      <c r="G21" s="4">
        <v>512</v>
      </c>
    </row>
    <row r="22" ht="60" customHeight="1">
      <c r="A22" s="4" t="str">
        <v>AOW00: Cross Cutting</v>
      </c>
      <c r="B22" s="4" t="str">
        <v>3: Large scale adoption of integrated farm management solutions by farmers</v>
      </c>
      <c r="C22" s="4" t="str">
        <v/>
      </c>
      <c r="D22" s="4" t="str">
        <v>Number of food producers using CGIAR innovations.</v>
      </c>
      <c r="E22" s="4" t="str">
        <v>Global</v>
      </c>
      <c r="F22" s="5">
        <v>500000</v>
      </c>
      <c r="G22" s="4">
        <v>512</v>
      </c>
    </row>
  </sheetData>
  <mergeCells count="15">
    <mergeCell ref="B2:B3"/>
    <mergeCell ref="C2:C3"/>
    <mergeCell ref="B6:B7"/>
    <mergeCell ref="C6:C7"/>
    <mergeCell ref="B8:B9"/>
    <mergeCell ref="C8:C9"/>
    <mergeCell ref="B12:B13"/>
    <mergeCell ref="C12:C13"/>
    <mergeCell ref="B15:B16"/>
    <mergeCell ref="C15:C16"/>
    <mergeCell ref="B17:B18"/>
    <mergeCell ref="C17:C18"/>
    <mergeCell ref="B19:B22"/>
    <mergeCell ref="C19:C22"/>
    <mergeCell ref="A2:A22"/>
  </mergeCells>
  <ignoredErrors>
    <ignoredError numberStoredAsText="1" sqref="A1:G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