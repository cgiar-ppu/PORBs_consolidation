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7200</v>
      </c>
      <c r="K4" s="5">
        <v>7200</v>
      </c>
      <c r="L4" s="5">
        <v>0</v>
      </c>
      <c r="M4" s="5">
        <v>0</v>
      </c>
      <c r="N4" s="4">
        <v>169</v>
      </c>
    </row>
    <row r="5" ht="20" customHeight="1">
      <c r="A5" s="4" t="str">
        <v>AOW01: Accelerating AI-Enabled Farm Advisory at Scale.</v>
      </c>
      <c r="B5" s="5">
        <v>5</v>
      </c>
      <c r="C5" s="5">
        <v>166193</v>
      </c>
      <c r="D5" s="5">
        <v>0</v>
      </c>
      <c r="E5" s="5">
        <v>0</v>
      </c>
      <c r="F5" s="5">
        <v>0</v>
      </c>
      <c r="G5" s="5">
        <v>0</v>
      </c>
      <c r="H5" s="5">
        <v>0</v>
      </c>
      <c r="I5" s="5">
        <v>0</v>
      </c>
      <c r="J5" s="5">
        <v>166193</v>
      </c>
      <c r="K5" s="5">
        <v>166193</v>
      </c>
      <c r="L5" s="5">
        <v>20000</v>
      </c>
      <c r="M5" s="5">
        <v>0</v>
      </c>
      <c r="N5" s="4">
        <v>168</v>
      </c>
    </row>
    <row r="6" ht="20" customHeight="1">
      <c r="A6" s="4" t="str">
        <v>AOW02: Enabling Preparedness and Rapid Response to Emerging Shocks</v>
      </c>
      <c r="B6" s="5">
        <v>0</v>
      </c>
      <c r="C6" s="5">
        <v>0</v>
      </c>
      <c r="D6" s="5">
        <v>4</v>
      </c>
      <c r="E6" s="5">
        <v>129206</v>
      </c>
      <c r="F6" s="5">
        <v>3</v>
      </c>
      <c r="G6" s="5">
        <v>3000</v>
      </c>
      <c r="H6" s="5">
        <v>0</v>
      </c>
      <c r="I6" s="5">
        <v>0</v>
      </c>
      <c r="J6" s="5">
        <v>132206</v>
      </c>
      <c r="K6" s="5">
        <v>132206</v>
      </c>
      <c r="L6" s="5">
        <v>0</v>
      </c>
      <c r="M6" s="5">
        <v>0</v>
      </c>
      <c r="N6" s="4">
        <v>166</v>
      </c>
    </row>
    <row r="7" ht="20" customHeight="1">
      <c r="A7" s="4" t="str">
        <v>AOW03: Delivering Integrated Solutions to Systemic Farm-Level Binding Constraints</v>
      </c>
      <c r="B7" s="5">
        <v>1</v>
      </c>
      <c r="C7" s="5">
        <v>91882</v>
      </c>
      <c r="D7" s="5">
        <v>7</v>
      </c>
      <c r="E7" s="5">
        <v>351768</v>
      </c>
      <c r="F7" s="5">
        <v>0</v>
      </c>
      <c r="G7" s="5">
        <v>0</v>
      </c>
      <c r="H7" s="5">
        <v>0</v>
      </c>
      <c r="I7" s="5">
        <v>0</v>
      </c>
      <c r="J7" s="5">
        <v>443650</v>
      </c>
      <c r="K7" s="5">
        <v>443650</v>
      </c>
      <c r="L7" s="5">
        <v>31000</v>
      </c>
      <c r="M7" s="5">
        <v>0</v>
      </c>
      <c r="N7" s="4">
        <v>164</v>
      </c>
    </row>
    <row r="8" ht="20" customHeight="1">
      <c r="A8" s="4" t="str">
        <v>AOW04: Incubating Innovation in Sustainable Farming</v>
      </c>
      <c r="B8" s="5">
        <v>0</v>
      </c>
      <c r="C8" s="5">
        <v>0</v>
      </c>
      <c r="D8" s="5">
        <v>2</v>
      </c>
      <c r="E8" s="5">
        <v>200000</v>
      </c>
      <c r="F8" s="5">
        <v>0</v>
      </c>
      <c r="G8" s="5">
        <v>0</v>
      </c>
      <c r="H8" s="5">
        <v>0</v>
      </c>
      <c r="I8" s="5">
        <v>0</v>
      </c>
      <c r="J8" s="5">
        <v>200000</v>
      </c>
      <c r="K8" s="5">
        <v>200000</v>
      </c>
      <c r="L8" s="5">
        <v>48500</v>
      </c>
      <c r="M8" s="5">
        <v>0</v>
      </c>
      <c r="N8" s="4">
        <v>165</v>
      </c>
    </row>
    <row r="9" ht="20" customHeight="1">
      <c r="A9" s="4" t="str">
        <v>AOW05: Accelerating Impact</v>
      </c>
      <c r="B9" s="5">
        <v>5</v>
      </c>
      <c r="C9" s="5">
        <v>167356</v>
      </c>
      <c r="D9" s="5">
        <v>3</v>
      </c>
      <c r="E9" s="5">
        <v>32486</v>
      </c>
      <c r="F9" s="5">
        <v>0</v>
      </c>
      <c r="G9" s="5">
        <v>0</v>
      </c>
      <c r="H9" s="5">
        <v>0</v>
      </c>
      <c r="I9" s="5">
        <v>0</v>
      </c>
      <c r="J9" s="5">
        <v>199842</v>
      </c>
      <c r="K9" s="5">
        <v>199842</v>
      </c>
      <c r="L9" s="5">
        <v>30000</v>
      </c>
      <c r="M9" s="5">
        <v>10000</v>
      </c>
      <c r="N9" s="4">
        <v>167</v>
      </c>
    </row>
    <row r="10" ht="25" customHeight="1">
      <c r="A10" s="6" t="str">
        <v>Total</v>
      </c>
      <c r="B10" s="7" t="str">
        <v/>
      </c>
      <c r="C10" s="7">
        <v>425431</v>
      </c>
      <c r="D10" s="7" t="str">
        <v/>
      </c>
      <c r="E10" s="7">
        <v>713460</v>
      </c>
      <c r="F10" s="7" t="str">
        <v/>
      </c>
      <c r="G10" s="7">
        <v>3000</v>
      </c>
      <c r="H10" s="7" t="str">
        <v/>
      </c>
      <c r="I10" s="7">
        <v>0</v>
      </c>
      <c r="J10" s="7">
        <v>1149091</v>
      </c>
      <c r="K10" s="7">
        <v>1149091</v>
      </c>
      <c r="L10" s="7">
        <v>129500</v>
      </c>
      <c r="M10" s="7">
        <v>10000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AI-Enabled Farm Advisory at Scale.</v>
      </c>
      <c r="B3" s="4" t="str">
        <v>ICARDA</v>
      </c>
      <c r="C3" s="4" t="str">
        <v xml:space="preserve">1.3: Farmer utilization and adoption of AI-enabled advisory services </v>
      </c>
      <c r="D3" s="4" t="str" xml:space="preserve">
        <v xml:space="preserve">A predictive agronomic management system for anticipating soil water availability to enable planting and crop management decision-making in drylands. The bundle integrates three components:
1) Predictive moisture engine: Soil water balance modeling combining rainfall forecasts (10-day, seasonal) with residual soil moisture estimation to project plant-available water 5-15 days forward
2) APSIM Next Generation crop model for simulating crop water stress, nitrogen response, and yield outcomes under predicted moisture scenarios
3) Tailored/Customized  advisories delivered Mobile App providing recommendation of customized practices considering moisture windows</v>
      </c>
      <c r="E3" s="4" t="str">
        <v>Number of innovations (innovation development)</v>
      </c>
      <c r="F3" s="4" t="str">
        <v>Morocco</v>
      </c>
      <c r="G3" s="5">
        <v>2</v>
      </c>
      <c r="H3" s="5">
        <v>41500</v>
      </c>
      <c r="I3" s="4" t="str">
        <v>Inclusive of partner budget</v>
      </c>
      <c r="J3" s="4">
        <v>4908</v>
      </c>
    </row>
    <row r="4" ht="50" customHeight="1">
      <c r="B4" s="4" t="str">
        <v>ICARDA</v>
      </c>
      <c r="D4" s="4" t="str">
        <v>Integrating APSIM Next Generation crop simulation backend to deliver dynamic, model-driven suitability and customized yield gap diagnostics for wheat, barley, and legume systems across MENA drylands</v>
      </c>
      <c r="E4" s="4" t="str">
        <v>Number of innovations (innovation development)</v>
      </c>
      <c r="F4" s="4" t="str">
        <v>Egypt, Morocco</v>
      </c>
      <c r="G4" s="5">
        <v>2</v>
      </c>
      <c r="H4" s="5">
        <v>59006</v>
      </c>
      <c r="I4" s="4" t="str">
        <v>Inclusive of partner budget</v>
      </c>
      <c r="J4" s="4">
        <v>4915</v>
      </c>
    </row>
    <row r="5" ht="50" customHeight="1" xml:space="preserve">
      <c r="A5" s="4" t="str">
        <v>AOW01: Accelerating AI-Enabled Farm Advisory at Scale.</v>
      </c>
      <c r="B5" s="4" t="str">
        <v>ICARDA</v>
      </c>
      <c r="C5" s="4" t="str">
        <v xml:space="preserve"> 1.1: Agronomic and farm management scientific data and analytics  </v>
      </c>
      <c r="D5" s="4" t="str">
        <v xml:space="preserve">Critical capability: Well calibrated APSIM Next Generation model for wheat simulating Genotype × Environment × Management (GxExM) interactions across Morocco, Egypt, and CWANA dryland agro-ecologies. It consists calibrated varieties (conventional high yielding and climate-resilient). </v>
      </c>
      <c r="E5" s="4" t="str">
        <v>Number of innovations (innovation development)</v>
      </c>
      <c r="F5" s="4" t="str">
        <v>Ethiopia, Morocco, Egypt</v>
      </c>
      <c r="G5" s="5">
        <v>1</v>
      </c>
      <c r="H5" s="5">
        <v>65687</v>
      </c>
      <c r="I5" s="4" t="str" xml:space="preserve">
        <v xml:space="preserve">Critical capability for ICARDA to spend for AoW1 Deliverable
</v>
      </c>
      <c r="J5" s="4">
        <v>4989</v>
      </c>
    </row>
    <row r="6" ht="25" customHeight="1">
      <c r="C6" s="9" t="str">
        <v>HLO budget subtotal</v>
      </c>
      <c r="H6" s="9">
        <v>166193</v>
      </c>
      <c r="J6" s="9" t="str">
        <v/>
      </c>
    </row>
    <row r="7" ht="50" customHeight="1" xml:space="preserve">
      <c r="A7" s="8" t="str">
        <v>AOW02: Enabling Preparedness and Rapid Response to Emerging Shocks</v>
      </c>
      <c r="B7" s="4" t="str">
        <v>ICARDA</v>
      </c>
      <c r="C7" s="4" t="str">
        <v>2.2: Strategies for response to water related shocks</v>
      </c>
      <c r="D7" s="4" t="str">
        <v>Training material and training activities to enhance farmer level response.</v>
      </c>
      <c r="E7" s="4" t="str">
        <v>Number of people trained (capacity sharing for development)</v>
      </c>
      <c r="F7" s="4" t="str">
        <v>Morocco, Lebanon, Ethiopia</v>
      </c>
      <c r="G7" s="5">
        <v>3</v>
      </c>
      <c r="H7" s="5">
        <v>3000</v>
      </c>
      <c r="I7" s="4" t="str" xml:space="preserve">
        <v xml:space="preserve">This for training
</v>
      </c>
      <c r="J7" s="4">
        <v>4917</v>
      </c>
    </row>
    <row r="8" ht="50" customHeight="1" xml:space="preserve">
      <c r="B8" s="4" t="str">
        <v>ICARDA</v>
      </c>
      <c r="D8" s="4" t="str" xml:space="preserve">
        <v xml:space="preserve"> Wheat rust molecular diagnostics datasets: Real-time genotyping and pathogen monitoring data across Africa and Asia to guide integrated management and breeding of resistant cultivars
</v>
      </c>
      <c r="E8" s="4" t="str">
        <v>Number of knowledge products</v>
      </c>
      <c r="F8" s="4" t="str">
        <v>Ethiopia, Morocco</v>
      </c>
      <c r="G8" s="5">
        <v>1</v>
      </c>
      <c r="H8" s="5">
        <v>42978</v>
      </c>
      <c r="I8" s="4" t="str" xml:space="preserve">
        <v xml:space="preserve">as per the description 
</v>
      </c>
      <c r="J8" s="4">
        <v>4925</v>
      </c>
    </row>
    <row r="9" ht="50" customHeight="1">
      <c r="B9" s="4" t="str">
        <v>ICARDA</v>
      </c>
      <c r="D9" s="4" t="str">
        <v>1 Data-driven cropping system design (considering different scenarios), 1 reports/publications on cropping system design,</v>
      </c>
      <c r="E9" s="4" t="str">
        <v>Number of knowledge products</v>
      </c>
      <c r="F9" s="4" t="str">
        <v>Morocco, Egypt, India</v>
      </c>
      <c r="G9" s="5">
        <v>2</v>
      </c>
      <c r="H9" s="5">
        <v>46249</v>
      </c>
      <c r="I9" s="4" t="str">
        <v>additional budget added</v>
      </c>
      <c r="J9" s="4">
        <v>7917</v>
      </c>
    </row>
    <row r="10" ht="50" customHeight="1" xml:space="preserve">
      <c r="B10" s="4" t="str">
        <v>ICARDA</v>
      </c>
      <c r="D10" s="4" t="str">
        <v xml:space="preserve"> Legume Viral disease knowledge products: Technical reports, publications, and field survey outputs on virus and vector identification, management strategies, and interventions for food legumes.</v>
      </c>
      <c r="E10" s="4" t="str">
        <v>Number of knowledge products</v>
      </c>
      <c r="F10" s="4" t="str">
        <v>Lebanon, Morocco, Ethiopia</v>
      </c>
      <c r="G10" s="5">
        <v>1</v>
      </c>
      <c r="H10" s="5">
        <v>39979</v>
      </c>
      <c r="I10" s="4" t="str" xml:space="preserve">
        <v xml:space="preserve">as per the description 
</v>
      </c>
      <c r="J10" s="4">
        <v>7919</v>
      </c>
    </row>
    <row r="11" ht="25" customHeight="1">
      <c r="C11" s="9" t="str">
        <v>HLO budget subtotal</v>
      </c>
      <c r="H11" s="9">
        <v>132206</v>
      </c>
      <c r="J11" s="9" t="str">
        <v/>
      </c>
    </row>
    <row r="12" ht="50" customHeight="1">
      <c r="A12" s="8" t="str">
        <v>AOW03: Delivering Integrated Solutions to Systemic Farm-Level Binding Constraints</v>
      </c>
      <c r="B12" s="4" t="str">
        <v>ICARDA</v>
      </c>
      <c r="C12" s="4" t="str">
        <v xml:space="preserve">3.2. Validated, farm-level management solutions </v>
      </c>
      <c r="D12" s="4" t="str">
        <v>KPI 3.2.2: (Critical capabilities) Generate and curate high-quality datasets, methodologies, and scientific evidence that improve understanding of soil-crop-water interactions and support data-driven solution design.</v>
      </c>
      <c r="E12" s="4" t="str">
        <v>Number of knowledge products</v>
      </c>
      <c r="F12" s="4" t="str">
        <v>Egypt, Morocco, Philippines, India, Malawi, Ethiopia, Nigeria, Cameroon, Côte d'Ivoire, Ghana, Kenya</v>
      </c>
      <c r="G12" s="5">
        <v>2</v>
      </c>
      <c r="H12" s="5">
        <v>100000</v>
      </c>
      <c r="I12" s="4" t="str">
        <v>no budget assumption</v>
      </c>
      <c r="J12" s="4">
        <v>5027</v>
      </c>
    </row>
    <row r="13" ht="50" customHeight="1">
      <c r="B13" s="4" t="str">
        <v>ICARDA</v>
      </c>
      <c r="D13" s="4" t="str">
        <v>KPI 3.2.2: Synthesize and disseminate technical guidance and scientific evidence on agronomic solutions, identifying effectiveness, trade-offs, and scaling pathways for resolving key constraints.</v>
      </c>
      <c r="E13" s="4" t="str">
        <v>Number of knowledge products</v>
      </c>
      <c r="F13" s="4" t="str">
        <v>Mozambique, The Democratic Republic of the Congo, Peru, Ghana, Kenya, Malawi, Egypt, Morocco, Ethiopia, India</v>
      </c>
      <c r="G13" s="5">
        <v>3</v>
      </c>
      <c r="H13" s="5">
        <v>76101</v>
      </c>
      <c r="I13" s="4" t="str">
        <v>with partner budget</v>
      </c>
      <c r="J13" s="4">
        <v>5031</v>
      </c>
    </row>
    <row r="14" ht="50" customHeight="1">
      <c r="B14" s="4" t="str">
        <v>ICARDA</v>
      </c>
      <c r="D14" s="4" t="str">
        <v>KPI 3.4.1: Develop and validate integrated plant health solutions that reduce biotic constraints through combined agronomic, biological, and ecological approaches adapted to smallholder systems.</v>
      </c>
      <c r="E14" s="4" t="str">
        <v>Number of innovations (innovation development)</v>
      </c>
      <c r="F14" s="4" t="str">
        <v>Ethiopia, Morocco, Malawi, The Socialist Republic of Viet Nam, Uganda, Kenya, Madagascar, Tanzania, United Republic, Nigeria</v>
      </c>
      <c r="G14" s="5">
        <v>1</v>
      </c>
      <c r="H14" s="5">
        <v>91882</v>
      </c>
      <c r="I14" s="4" t="str">
        <v>with partner budget</v>
      </c>
      <c r="J14" s="4">
        <v>7784</v>
      </c>
    </row>
    <row r="15" ht="50" customHeight="1">
      <c r="B15" s="4" t="str">
        <v>ICARDA</v>
      </c>
      <c r="D15" s="4" t="str">
        <v>KPI 3.5.2: (Critical Capabilities) Develop and document system-level evidence, tools, and frameworks (including GESI-informed approaches) that guide the design and scaling of integrated, constraint-responsive farming systems.</v>
      </c>
      <c r="E15" s="4" t="str">
        <v>Number of knowledge products</v>
      </c>
      <c r="F15" s="4" t="str">
        <v>Malawi, Peru, Ghana, Ethiopia, Kenya, Tanzania, United Republic, India, The Socialist Republic of Viet Nam</v>
      </c>
      <c r="G15" s="5">
        <v>2</v>
      </c>
      <c r="H15" s="5">
        <v>175667</v>
      </c>
      <c r="I15" s="4" t="str">
        <v>with partner budget</v>
      </c>
      <c r="J15" s="4">
        <v>7810</v>
      </c>
    </row>
    <row r="16" ht="25" customHeight="1">
      <c r="C16" s="9" t="str">
        <v>HLO budget subtotal</v>
      </c>
      <c r="H16" s="9">
        <v>443650</v>
      </c>
      <c r="J16" s="9" t="str">
        <v/>
      </c>
    </row>
    <row r="17" ht="50" customHeight="1">
      <c r="A17" s="8" t="str">
        <v>AOW04: Incubating Innovation in Sustainable Farming</v>
      </c>
      <c r="B17" s="4" t="str">
        <v>ICARDA</v>
      </c>
      <c r="C17" s="4" t="str">
        <v xml:space="preserve">4.1. A pipeline of at least eight high-risk, high-reward, early-stage research ideas </v>
      </c>
      <c r="D17" s="4" t="str">
        <v>Results from at least 4 seed grant-funded tests, demonstrating the feasibility, potential impact and sustainability of the proposed solutions; including data on their viability and initial performance in relevant agricultural contexts</v>
      </c>
      <c r="E17" s="4" t="str">
        <v>Number of knowledge products</v>
      </c>
      <c r="F17" s="4" t="str">
        <v>Ecuador, Malawi, Kenya, Egypt, Ethiopia, India, Zambia, Peru, Morocco, Philippines</v>
      </c>
      <c r="G17" s="5">
        <v>2</v>
      </c>
      <c r="H17" s="5">
        <v>200000</v>
      </c>
      <c r="I17" s="4" t="str">
        <v>Budget allocated based on the result of the competitive process.</v>
      </c>
      <c r="J17" s="4">
        <v>6934</v>
      </c>
    </row>
    <row r="18" ht="25" customHeight="1">
      <c r="C18" s="9" t="str">
        <v>HLO budget subtotal</v>
      </c>
      <c r="H18" s="9">
        <v>200000</v>
      </c>
      <c r="J18" s="9" t="str">
        <v/>
      </c>
    </row>
    <row r="19" ht="50" customHeight="1">
      <c r="A19" s="8" t="str">
        <v>AOW05: Accelerating Impact</v>
      </c>
      <c r="B19" s="4" t="str">
        <v>ICARDA</v>
      </c>
      <c r="C19" s="4" t="str">
        <v xml:space="preserve">5.5. Well-documented, widely applicable and replicable partnership platforms </v>
      </c>
      <c r="D19"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9" s="4" t="str">
        <v>Number of innovations (innovation development)</v>
      </c>
      <c r="F19" s="4" t="str">
        <v>Côte d'Ivoire, Uganda, Zambia, Nepal, Bangladesh, The Democratic Republic of the Congo, Ghana, Kenya, Nigeria, Tanzania, United Republic, Malawi, Mexico, Ethiopia, Egypt, Morocco, The Socialist Republic of Viet Nam, India, Philippines, Cambodia</v>
      </c>
      <c r="G19" s="5">
        <v>1</v>
      </c>
      <c r="H19" s="5">
        <v>85000</v>
      </c>
      <c r="I19" s="4" t="str">
        <v>with partner and additional budget</v>
      </c>
      <c r="J19" s="4">
        <v>4894</v>
      </c>
    </row>
    <row r="20" ht="50" customHeight="1" xml:space="preserve">
      <c r="A20" s="4" t="str">
        <v>AOW05: Accelerating Impact</v>
      </c>
      <c r="B20" s="4" t="str">
        <v>ICARDA</v>
      </c>
      <c r="C20" s="4" t="str">
        <v xml:space="preserve">5.4: Tools and approaches to enable rapid insights, learnings and impact </v>
      </c>
      <c r="D20" s="4" t="str" xml:space="preserve">
        <v xml:space="preserve">Standardized approaches and guidelines for assessing KPIs across AoWs 1–3 developed, including an agreed list of indicators and assessment framework to ensure consistency and comparability in performance measurement.
 </v>
      </c>
      <c r="E20" s="4" t="str">
        <v>Number of innovations (innovation development)</v>
      </c>
      <c r="F20" s="4" t="str">
        <v>Morocco, Senegal, Nigeria, Tanzania, United Republic, Ethiopia, Ghana, Rwanda, Philippines</v>
      </c>
      <c r="G20" s="5">
        <v>1</v>
      </c>
      <c r="H20" s="5">
        <v>21356</v>
      </c>
      <c r="I20" s="4" t="str">
        <v>with the additional budget</v>
      </c>
      <c r="J20" s="4">
        <v>4955</v>
      </c>
    </row>
    <row r="21" ht="50" customHeight="1">
      <c r="B21" s="4" t="str">
        <v>ICARDA</v>
      </c>
      <c r="D21" s="4" t="str">
        <v>Standardized MELIA survey tools and instruments for household and farm-level data collection across AoWs (e.g., survey forms, processes, Ai solutions, other protocols) to improve interoperability and standardization of survey data</v>
      </c>
      <c r="E21" s="4" t="str">
        <v>Number of innovations (innovation development)</v>
      </c>
      <c r="F21" s="4" t="str">
        <v>Nigeria, Tanzania, United Republic, Egypt, Ghana</v>
      </c>
      <c r="G21" s="5">
        <v>1</v>
      </c>
      <c r="H21" s="5">
        <v>5000</v>
      </c>
      <c r="I21" s="4" t="str">
        <v>additional budget</v>
      </c>
      <c r="J21" s="4">
        <v>7890</v>
      </c>
    </row>
    <row r="22" ht="50" customHeight="1">
      <c r="B22" s="4" t="str">
        <v>ICARDA</v>
      </c>
      <c r="D22" s="4" t="str">
        <v>Standardized MELIA survey tools and instruments for household and farm-level data collection across AoWs (e.g., survey forms, processes, Ai solutions, other protocols) to improve interoperability and standardization of survey data (MELIA Studies)</v>
      </c>
      <c r="E22" s="4" t="str">
        <v>Number of knowledge products</v>
      </c>
      <c r="F22" s="4" t="str">
        <v>Nepal, Sri Lanka, Benin, Ghana, Egypt, Nigeria, Tanzania, United Republic, Kenya</v>
      </c>
      <c r="G22" s="5">
        <v>2</v>
      </c>
      <c r="H22" s="5">
        <v>5000</v>
      </c>
      <c r="I22" s="4" t="str">
        <v>additional budget</v>
      </c>
      <c r="J22" s="4">
        <v>7896</v>
      </c>
    </row>
    <row r="23" ht="50" customHeight="1">
      <c r="A23" s="4" t="str">
        <v>AOW05: Accelerating Impact</v>
      </c>
      <c r="B23" s="4" t="str">
        <v>ICARDA</v>
      </c>
      <c r="C23" s="4" t="str">
        <v>5.3 FAIR, AI-ready data corpus, data and metadata standards</v>
      </c>
      <c r="D23" s="4" t="str">
        <v>Critical Capability: New standardized, quality-controlled datasets that serve AoWs 1, 2, and 3 added to an existing corpus of about 2M records ("Carob") for analytics and decision support and assessment of Carob as training dataset for AI.</v>
      </c>
      <c r="E23" s="4" t="str">
        <v>Number of knowledge products</v>
      </c>
      <c r="F23" s="4" t="str">
        <v>Morocco</v>
      </c>
      <c r="G23" s="5">
        <v>1</v>
      </c>
      <c r="H23" s="5">
        <v>27486</v>
      </c>
      <c r="I23" s="4" t="str">
        <v>as per initial budget</v>
      </c>
      <c r="J23" s="4">
        <v>4964</v>
      </c>
    </row>
    <row r="24" ht="50" customHeight="1">
      <c r="B24" s="4" t="str">
        <v>ICARDA</v>
      </c>
      <c r="D24" s="4" t="str">
        <v>Integrated portals and dashboards across AoWs, for stakeholders to interactively explore assets, outputs and impact, analytical tools and download aggregated data to accelerate research and innovation by humans and machines</v>
      </c>
      <c r="E24" s="4" t="str">
        <v>Number of innovations (innovation development)</v>
      </c>
      <c r="F24" s="4" t="str">
        <v>France, Ethiopia, Morocco, Greece, Kenya</v>
      </c>
      <c r="G24" s="5">
        <v>1</v>
      </c>
      <c r="H24" s="5">
        <v>6000</v>
      </c>
      <c r="I24" s="4" t="str">
        <v>additional budget</v>
      </c>
      <c r="J24" s="4">
        <v>7824</v>
      </c>
    </row>
    <row r="25" ht="50" customHeight="1">
      <c r="A25" s="4" t="str">
        <v>AOW05: Accelerating Impact</v>
      </c>
      <c r="B25" s="4" t="str">
        <v>ICARDA</v>
      </c>
      <c r="C25" s="4" t="str">
        <v xml:space="preserve">5.1. Prioritization logic for deployment via partnership platforms available </v>
      </c>
      <c r="D25" s="4" t="str">
        <v>Standardized data collection tool (LCAS-APT; Landscape Crop Assessment Survey-Agronomy Prioritization Tool) supported by rapid analytics pipeline for AI-ready insights through a repository of R scripts.</v>
      </c>
      <c r="E25" s="4" t="str">
        <v>Number of innovations (innovation development)</v>
      </c>
      <c r="F25" s="4" t="str">
        <v>Morocco, Philippines</v>
      </c>
      <c r="G25" s="5">
        <v>1</v>
      </c>
      <c r="H25" s="5">
        <v>50000</v>
      </c>
      <c r="I25" s="4" t="str">
        <v>as per initial budget</v>
      </c>
      <c r="J25" s="4">
        <v>4987</v>
      </c>
    </row>
    <row r="26" ht="25" customHeight="1">
      <c r="C26" s="9" t="str">
        <v>HLO budget subtotal</v>
      </c>
      <c r="H26" s="9">
        <v>199842</v>
      </c>
      <c r="J26" s="9" t="str">
        <v/>
      </c>
    </row>
  </sheetData>
  <mergeCells count="21">
    <mergeCell ref="A1:A2"/>
    <mergeCell ref="B1:B2"/>
    <mergeCell ref="C1:C2"/>
    <mergeCell ref="D1:H1"/>
    <mergeCell ref="I1:I2"/>
    <mergeCell ref="J1:J2"/>
    <mergeCell ref="C3:C4"/>
    <mergeCell ref="C6:G6"/>
    <mergeCell ref="A3:A6"/>
    <mergeCell ref="C7:C10"/>
    <mergeCell ref="C11:G11"/>
    <mergeCell ref="A7:A11"/>
    <mergeCell ref="C12:C15"/>
    <mergeCell ref="C16:G16"/>
    <mergeCell ref="A12:A16"/>
    <mergeCell ref="C18:G18"/>
    <mergeCell ref="A17:A18"/>
    <mergeCell ref="C20:C22"/>
    <mergeCell ref="C23:C24"/>
    <mergeCell ref="C26:G26"/>
    <mergeCell ref="A19:A26"/>
  </mergeCells>
  <ignoredErrors>
    <ignoredError numberStoredAsText="1" sqref="A1:J26"/>
  </ignoredErrors>
</worksheet>
</file>

<file path=xl/worksheets/sheet3.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xml:space="preserve">
      <c r="A2" s="8" t="str">
        <v>AOW01: Accelerating AI-Enabled Farm Advisory at Scale.</v>
      </c>
      <c r="B2" s="4" t="str">
        <v>Institut National de la Recherche Agronomique (Morocco)</v>
      </c>
      <c r="C2" s="4" t="str">
        <v>ICARDA</v>
      </c>
      <c r="D2" s="4" t="str">
        <v>Morocco</v>
      </c>
      <c r="E2" s="5">
        <v>10000</v>
      </c>
      <c r="F2" s="4" t="str" xml:space="preserve">
        <v xml:space="preserve">partners willingness to co-invest resources
</v>
      </c>
      <c r="G2" s="4">
        <v>210</v>
      </c>
    </row>
    <row r="3" ht="50" customHeight="1" xml:space="preserve">
      <c r="A3" s="4" t="str">
        <v>AOW01: Accelerating AI-Enabled Farm Advisory at Scale.</v>
      </c>
      <c r="B3" s="4" t="str">
        <v>Agricultural Research Center (Egypt)</v>
      </c>
      <c r="C3" s="4" t="str">
        <v>ICARDA</v>
      </c>
      <c r="D3" s="4" t="str">
        <v>Egypt</v>
      </c>
      <c r="E3" s="5">
        <v>10000</v>
      </c>
      <c r="F3" s="4" t="str" xml:space="preserve">
        <v xml:space="preserve">partners willingness to co-invest resources
</v>
      </c>
      <c r="G3" s="4">
        <v>211</v>
      </c>
    </row>
    <row r="4" ht="25" customHeight="1">
      <c r="B4" s="9" t="str">
        <v>Contracted partners subtotal</v>
      </c>
      <c r="E4" s="9">
        <v>20000</v>
      </c>
      <c r="F4" s="9" t="str">
        <v/>
      </c>
      <c r="G4" s="9" t="str">
        <v/>
      </c>
    </row>
    <row r="5" ht="50" customHeight="1">
      <c r="A5" s="8" t="str">
        <v>AOW03: Delivering Integrated Solutions to Systemic Farm-Level Binding Constraints</v>
      </c>
      <c r="B5" s="4" t="str">
        <v>Ethiopian Institute of Agricultural Research</v>
      </c>
      <c r="C5" s="4" t="str">
        <v>ICARDA</v>
      </c>
      <c r="D5" s="4" t="str">
        <v>Ethiopia</v>
      </c>
      <c r="E5" s="5">
        <v>8000</v>
      </c>
      <c r="F5" s="4" t="str">
        <v>as per initial budget</v>
      </c>
      <c r="G5" s="4">
        <v>316</v>
      </c>
    </row>
    <row r="6" ht="50" customHeight="1">
      <c r="A6" s="4" t="str">
        <v>AOW03: Delivering Integrated Solutions to Systemic Farm-Level Binding Constraints</v>
      </c>
      <c r="B6" s="4" t="str">
        <v>Amhara Regional Agricultural Research Institute</v>
      </c>
      <c r="C6" s="4" t="str">
        <v>ICARDA</v>
      </c>
      <c r="D6" s="4" t="str">
        <v>Ethiopia</v>
      </c>
      <c r="E6" s="5">
        <v>7000</v>
      </c>
      <c r="F6" s="4" t="str">
        <v>as per initial budget</v>
      </c>
      <c r="G6" s="4">
        <v>318</v>
      </c>
    </row>
    <row r="7" ht="50" customHeight="1">
      <c r="A7" s="4" t="str">
        <v>AOW03: Delivering Integrated Solutions to Systemic Farm-Level Binding Constraints</v>
      </c>
      <c r="B7" s="4" t="str">
        <v>Agricultural Research Center (Egypt)</v>
      </c>
      <c r="C7" s="4" t="str">
        <v>ICARDA</v>
      </c>
      <c r="D7" s="4" t="str">
        <v>Egypt</v>
      </c>
      <c r="E7" s="5">
        <v>6000</v>
      </c>
      <c r="F7" s="4" t="str">
        <v>no budget assumption</v>
      </c>
      <c r="G7" s="4">
        <v>319</v>
      </c>
    </row>
    <row r="8" ht="50" customHeight="1">
      <c r="A8" s="4" t="str">
        <v>AOW03: Delivering Integrated Solutions to Systemic Farm-Level Binding Constraints</v>
      </c>
      <c r="B8" s="4" t="str">
        <v>Institut National de la Recherche Agronomique (Morocco)</v>
      </c>
      <c r="C8" s="4" t="str">
        <v>ICARDA</v>
      </c>
      <c r="D8" s="4" t="str">
        <v>Morocco</v>
      </c>
      <c r="E8" s="5">
        <v>10000</v>
      </c>
      <c r="F8" s="4" t="str">
        <v>no budget assumption</v>
      </c>
      <c r="G8" s="4">
        <v>320</v>
      </c>
    </row>
    <row r="9" ht="25" customHeight="1">
      <c r="B9" s="9" t="str">
        <v>Contracted partners subtotal</v>
      </c>
      <c r="E9" s="9">
        <v>31000</v>
      </c>
      <c r="F9" s="9" t="str">
        <v/>
      </c>
      <c r="G9" s="9" t="str">
        <v/>
      </c>
    </row>
    <row r="10" ht="50" customHeight="1">
      <c r="A10" s="8" t="str">
        <v>AOW04: Incubating Innovation in Sustainable Farming</v>
      </c>
      <c r="B10" s="4" t="str">
        <v>Cornell University</v>
      </c>
      <c r="C10" s="4" t="str">
        <v>ICARDA</v>
      </c>
      <c r="D10" s="4" t="str">
        <v>Morocco, Ethiopia, Egypt</v>
      </c>
      <c r="E10" s="5">
        <v>20000</v>
      </c>
      <c r="F10" s="4" t="str">
        <v>no budget assumption</v>
      </c>
      <c r="G10" s="4">
        <v>212</v>
      </c>
    </row>
    <row r="11" ht="50" customHeight="1">
      <c r="A11" s="4" t="str">
        <v>AOW04: Incubating Innovation in Sustainable Farming</v>
      </c>
      <c r="B11" s="4" t="str">
        <v>Julius Kühn-Institut</v>
      </c>
      <c r="C11" s="4" t="str">
        <v>ICARDA</v>
      </c>
      <c r="D11" s="4" t="str">
        <v>Morocco</v>
      </c>
      <c r="E11" s="5">
        <v>14250</v>
      </c>
      <c r="F11" s="4" t="str">
        <v>Partner budget shared equally among the two partners</v>
      </c>
      <c r="G11" s="4">
        <v>243</v>
      </c>
    </row>
    <row r="12" ht="50" customHeight="1">
      <c r="A12" s="4" t="str">
        <v>AOW04: Incubating Innovation in Sustainable Farming</v>
      </c>
      <c r="B12" s="4" t="str">
        <v>Indian institute of soil science</v>
      </c>
      <c r="C12" s="4" t="str">
        <v>ICARDA</v>
      </c>
      <c r="D12" s="4" t="str">
        <v>India</v>
      </c>
      <c r="E12" s="5">
        <v>14250</v>
      </c>
      <c r="F12" s="4" t="str">
        <v>Partner budget shared equally among the two partners</v>
      </c>
      <c r="G12" s="4">
        <v>258</v>
      </c>
    </row>
    <row r="13" ht="25" customHeight="1">
      <c r="B13" s="9" t="str">
        <v>Contracted partners subtotal</v>
      </c>
      <c r="E13" s="9">
        <v>48500</v>
      </c>
      <c r="F13" s="9" t="str">
        <v/>
      </c>
      <c r="G13" s="9" t="str">
        <v/>
      </c>
    </row>
    <row r="14" ht="50" customHeight="1">
      <c r="A14" s="8" t="str">
        <v>AOW05: Accelerating Impact</v>
      </c>
      <c r="B14" s="4" t="str">
        <v>Institut National de la Recherche Agronomique (Morocco)</v>
      </c>
      <c r="C14" s="4" t="str">
        <v>ICARDA</v>
      </c>
      <c r="D14" s="4" t="str">
        <v>Morocco</v>
      </c>
      <c r="E14" s="5">
        <v>15000</v>
      </c>
      <c r="F14" s="4" t="str">
        <v>as per initial budget</v>
      </c>
      <c r="G14" s="4">
        <v>384</v>
      </c>
    </row>
    <row r="15" ht="50" customHeight="1">
      <c r="A15" s="4" t="str">
        <v>AOW05: Accelerating Impact</v>
      </c>
      <c r="B15" s="4" t="str">
        <v>Agricultural Research Center (Egypt)</v>
      </c>
      <c r="C15" s="4" t="str">
        <v>ICARDA</v>
      </c>
      <c r="D15" s="4" t="str">
        <v>Egypt</v>
      </c>
      <c r="E15" s="5">
        <v>15000</v>
      </c>
      <c r="F15" s="4" t="str">
        <v>as per initial budget</v>
      </c>
      <c r="G15" s="4">
        <v>385</v>
      </c>
    </row>
    <row r="16" ht="25" customHeight="1">
      <c r="B16" s="9" t="str">
        <v>Contracted partners subtotal</v>
      </c>
      <c r="E16" s="9">
        <v>30000</v>
      </c>
      <c r="F16" s="9" t="str">
        <v/>
      </c>
      <c r="G16" s="9" t="str">
        <v/>
      </c>
    </row>
  </sheetData>
  <mergeCells count="8">
    <mergeCell ref="B4:D4"/>
    <mergeCell ref="A2:A4"/>
    <mergeCell ref="B9:D9"/>
    <mergeCell ref="A5:A9"/>
    <mergeCell ref="B13:D13"/>
    <mergeCell ref="A10:A13"/>
    <mergeCell ref="B16:D16"/>
    <mergeCell ref="A14:A16"/>
  </mergeCells>
  <ignoredErrors>
    <ignoredError numberStoredAsText="1" sqref="A1:G16"/>
  </ignoredErrors>
</worksheet>
</file>

<file path=xl/worksheets/sheet4.xml><?xml version="1.0" encoding="utf-8"?>
<worksheet xmlns="http://schemas.openxmlformats.org/spreadsheetml/2006/main" xmlns:r="http://schemas.openxmlformats.org/officeDocument/2006/relationships">
  <dimension ref="A1:F12"/>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D-100777-GCC Date Palm</v>
      </c>
      <c r="C2" s="4" t="str">
        <v xml:space="preserve">3.3: Scaled and adopted farm management solutions </v>
      </c>
      <c r="D2" s="5">
        <v>351105</v>
      </c>
      <c r="E2" s="4" t="str">
        <v>Budget figure from the mapping dashboard, no assumption made.</v>
      </c>
      <c r="F2" s="4">
        <v>979</v>
      </c>
    </row>
    <row r="3" ht="60" customHeight="1">
      <c r="A3" s="4" t="str">
        <v>ICARDA</v>
      </c>
      <c r="B3" s="4" t="str">
        <v>D-100894- UAE -Red Palm Weevil</v>
      </c>
      <c r="C3" s="4" t="str">
        <v xml:space="preserve">3.3: Scaled and adopted farm management solutions </v>
      </c>
      <c r="D3" s="5">
        <v>3336380</v>
      </c>
      <c r="E3" s="4" t="str">
        <v>Budget figure from the mapping dashboard, no assumption made.</v>
      </c>
      <c r="F3" s="4">
        <v>956</v>
      </c>
    </row>
    <row r="4" ht="60" customHeight="1">
      <c r="A4" s="4" t="str">
        <v>ICARDA</v>
      </c>
      <c r="B4" s="4" t="str">
        <v>D-100894-BMGF: Preparatory phase for the Red Palm Weevil project</v>
      </c>
      <c r="C4" s="4" t="str">
        <v xml:space="preserve">3.3: Scaled and adopted farm management solutions </v>
      </c>
      <c r="D4" s="5">
        <v>0</v>
      </c>
      <c r="E4" s="4" t="str">
        <v/>
      </c>
      <c r="F4" s="4">
        <v>973</v>
      </c>
    </row>
    <row r="5" ht="60" customHeight="1">
      <c r="A5" s="4" t="str">
        <v>ICARDA</v>
      </c>
      <c r="B5" s="4" t="str">
        <v>D-200086-Ultra-Low Energy Drip Irrigation for MENA Countries</v>
      </c>
      <c r="C5" s="4" t="str">
        <v xml:space="preserve">3.2. Validated, farm-level management solutions </v>
      </c>
      <c r="D5" s="5">
        <v>208346</v>
      </c>
      <c r="E5" s="4" t="str">
        <v>Budget figure from the mapping dashboard, no assumption made.</v>
      </c>
      <c r="F5" s="4">
        <v>968</v>
      </c>
    </row>
    <row r="6" ht="60" customHeight="1">
      <c r="A6" s="4" t="str">
        <v>ICARDA</v>
      </c>
      <c r="B6" s="4" t="str">
        <v>D-200340-CARINA - CARinata and CamelINA to boost the sustain</v>
      </c>
      <c r="C6" s="4" t="str">
        <v xml:space="preserve">3.2. Validated, farm-level management solutions </v>
      </c>
      <c r="D6" s="5">
        <v>57506</v>
      </c>
      <c r="E6" s="4" t="str">
        <v>Budget figure from the mapping dashboard, no assumption made.</v>
      </c>
      <c r="F6" s="4">
        <v>969</v>
      </c>
    </row>
    <row r="7" ht="60" customHeight="1">
      <c r="A7" s="4" t="str">
        <v>ICARDA</v>
      </c>
      <c r="B7" s="4" t="str">
        <v>D-200352-SOILS4MED -Soil Health Monitoring and Information</v>
      </c>
      <c r="C7" s="4" t="str">
        <v xml:space="preserve">3.1: Farm-level diagnostic evidence on soil, plant, water, and socio-economic constraints </v>
      </c>
      <c r="D7" s="5">
        <v>99195</v>
      </c>
      <c r="E7" s="4" t="str">
        <v>Budget figure from the mapping dashboard, no assumption made.</v>
      </c>
      <c r="F7" s="4">
        <v>988</v>
      </c>
    </row>
    <row r="8" ht="60" customHeight="1">
      <c r="A8" s="4" t="str">
        <v>ICARDA</v>
      </c>
      <c r="B8" s="4" t="str">
        <v>D-200364-Wheat Disease Early Warning Advisory System DEWAS</v>
      </c>
      <c r="C8" s="4" t="str">
        <v xml:space="preserve">4.1. A pipeline of at least eight high-risk, high-reward, early-stage research ideas </v>
      </c>
      <c r="D8" s="5">
        <v>15426</v>
      </c>
      <c r="E8" s="4" t="str">
        <v>Budget figure from the mapping dashboard, no assumption made.</v>
      </c>
      <c r="F8" s="4">
        <v>992</v>
      </c>
    </row>
    <row r="9" ht="60" customHeight="1">
      <c r="A9" s="4" t="str">
        <v>ICARDA</v>
      </c>
      <c r="B9" s="4" t="str">
        <v>D-200369-Fertilize Right - Pakistan</v>
      </c>
      <c r="C9" s="4" t="str">
        <v xml:space="preserve">3.2. Validated, farm-level management solutions </v>
      </c>
      <c r="D9" s="5">
        <v>499999</v>
      </c>
      <c r="E9" s="4" t="str">
        <v>Budget figure from the mapping dashboard, no assumption made.</v>
      </c>
      <c r="F9" s="4">
        <v>966</v>
      </c>
    </row>
    <row r="10" ht="60" customHeight="1">
      <c r="A10" s="4" t="str">
        <v>ICARDA</v>
      </c>
      <c r="B10" s="4" t="str">
        <v>D-200371-Development and Scaling of Introduced Plant Species</v>
      </c>
      <c r="C10" s="4" t="str">
        <v xml:space="preserve">3.2. Validated, farm-level management solutions </v>
      </c>
      <c r="D10" s="5">
        <v>40103</v>
      </c>
      <c r="E10" s="4" t="str">
        <v>Budget figure from the mapping dashboard, no assumption made.</v>
      </c>
      <c r="F10" s="4">
        <v>970</v>
      </c>
    </row>
    <row r="11" ht="60" customHeight="1">
      <c r="A11" s="4" t="str">
        <v>ICARDA</v>
      </c>
      <c r="B11" s="4" t="str">
        <v>D-200394-Program 2- International host / pathogen Differential Sets:</v>
      </c>
      <c r="C11" s="4" t="str">
        <v xml:space="preserve">1.3: Farmer utilization and adoption of AI-enabled advisory services </v>
      </c>
      <c r="D11" s="5">
        <v>68474</v>
      </c>
      <c r="E11" s="4" t="str">
        <v>Budget figure from the mapping dashboard, no assumption made.</v>
      </c>
      <c r="F11" s="4">
        <v>978</v>
      </c>
    </row>
    <row r="12" ht="25" customHeight="1">
      <c r="B12" s="9" t="str">
        <v>W3/Bilateral budget subtotal</v>
      </c>
      <c r="D12" s="9">
        <v>4676534</v>
      </c>
      <c r="E12" s="9" t="str">
        <v/>
      </c>
      <c r="F12" s="9" t="str">
        <v/>
      </c>
    </row>
  </sheetData>
  <mergeCells count="2">
    <mergeCell ref="B12:C12"/>
    <mergeCell ref="A2:A12"/>
  </mergeCells>
  <ignoredErrors>
    <ignoredError numberStoredAsText="1" sqref="A1:F12"/>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ICARDA</v>
      </c>
      <c r="C2" s="4" t="str">
        <v>Tracing of beneficiaries and uptake of conservation agriculture and mechanization interventions in Morocco</v>
      </c>
      <c r="D2" s="4" t="str">
        <v>5.4: Tools and approaches to enable rapid insights, learnings and impact</v>
      </c>
      <c r="E2" s="4" t="str">
        <v>N/A</v>
      </c>
      <c r="F2" s="5">
        <v>0</v>
      </c>
      <c r="G2" s="4" t="str">
        <v/>
      </c>
      <c r="H2" s="4">
        <v>546</v>
      </c>
    </row>
    <row r="3" ht="60" customHeight="1">
      <c r="A3" s="4" t="str">
        <v>AOW00: Cross Cutting</v>
      </c>
      <c r="B3" s="4" t="str">
        <v>ICARDA</v>
      </c>
      <c r="C3" s="4" t="str">
        <v>Tracing of beneficiaries and uptake of innovations (e.g., fertilizer recommendations and crop management practices) for cassava through partnership platforms in Ghana, Nigeria and Tanzania to generate credible evidence on performance and adoption mechanisms.</v>
      </c>
      <c r="D3" s="4" t="str">
        <v>5.4: Tools and approaches to enable rapid insights, learnings and impact</v>
      </c>
      <c r="E3" s="4" t="str">
        <v>N/A</v>
      </c>
      <c r="F3" s="5">
        <v>0</v>
      </c>
      <c r="G3" s="4" t="str">
        <v/>
      </c>
      <c r="H3" s="4">
        <v>570</v>
      </c>
    </row>
    <row r="4" ht="25" customHeight="1">
      <c r="C4" s="9" t="str">
        <v>MELIA budget subtotal</v>
      </c>
      <c r="F4" s="9">
        <v>0</v>
      </c>
      <c r="G4" s="9" t="str">
        <v/>
      </c>
      <c r="H4" s="9" t="str">
        <v/>
      </c>
    </row>
    <row r="5" ht="60" customHeight="1">
      <c r="A5" s="8" t="str">
        <v>AOW05: Accelerating Impact</v>
      </c>
      <c r="B5" s="4" t="str">
        <v>ICARDA</v>
      </c>
      <c r="C5" s="4" t="str">
        <v>Tracing of beneficiaries and uptake of conservation agriculture and mechanization interventions in Morocco</v>
      </c>
      <c r="D5" s="4" t="str">
        <v>5.4: Tools and approaches to enable rapid insights, learnings and impact</v>
      </c>
      <c r="E5" s="4" t="str">
        <v>N/A</v>
      </c>
      <c r="F5" s="5">
        <v>10000</v>
      </c>
      <c r="G5" s="4" t="str">
        <v>MELIA studies</v>
      </c>
      <c r="H5" s="4">
        <v>544</v>
      </c>
    </row>
    <row r="6" ht="60" customHeight="1">
      <c r="A6" s="4" t="str">
        <v>AOW05: Accelerating Impact</v>
      </c>
      <c r="B6" s="4" t="str">
        <v>ICARDA</v>
      </c>
      <c r="C6" s="4" t="str">
        <v>Tracing of beneficiaries and uptake of innovations (e.g., fertilizer recommendations and crop management practices) for cassava through partnership platforms in Ghana, Nigeria and Tanzania to generate credible evidence on performance and adoption mechanisms.</v>
      </c>
      <c r="D6" s="4" t="str">
        <v>5.4: Tools and approaches to enable rapid insights, learnings and impact</v>
      </c>
      <c r="E6" s="4" t="str">
        <v>N/A</v>
      </c>
      <c r="F6" s="5">
        <v>0</v>
      </c>
      <c r="G6" s="4" t="str">
        <v/>
      </c>
      <c r="H6" s="4">
        <v>562</v>
      </c>
    </row>
    <row r="7" ht="25" customHeight="1">
      <c r="C7" s="9" t="str">
        <v>MELIA budget subtotal</v>
      </c>
      <c r="F7" s="9">
        <v>10000</v>
      </c>
      <c r="G7" s="9" t="str">
        <v/>
      </c>
      <c r="H7" s="9" t="str">
        <v/>
      </c>
    </row>
  </sheetData>
  <mergeCells count="4">
    <mergeCell ref="C4:E4"/>
    <mergeCell ref="A2:A4"/>
    <mergeCell ref="C7:E7"/>
    <mergeCell ref="A5: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ICARDA</v>
      </c>
      <c r="C2" s="4" t="str">
        <v>Area of Work Leads</v>
      </c>
      <c r="D2" s="5">
        <v>7200</v>
      </c>
      <c r="E2" s="4" t="str">
        <v>AoW lead Q1 2026 only</v>
      </c>
      <c r="F2" s="4">
        <v>163</v>
      </c>
      <c r="G2" s="4">
        <v>3</v>
      </c>
    </row>
    <row r="3" ht="25" customHeight="1">
      <c r="C3" s="9" t="str">
        <v>Cross-cutting budget subtotal</v>
      </c>
      <c r="D3" s="9">
        <v>7200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7200</v>
      </c>
      <c r="C2" s="5">
        <v>74978</v>
      </c>
      <c r="D2" s="5">
        <v>83300</v>
      </c>
      <c r="E2" s="5">
        <v>234849</v>
      </c>
      <c r="F2" s="5">
        <v>0</v>
      </c>
      <c r="G2" s="5">
        <v>92448</v>
      </c>
      <c r="H2" s="5">
        <f>=SUM(B2:G2)</f>
        <v>0</v>
      </c>
    </row>
    <row r="3" ht="20" customHeight="1">
      <c r="A3" s="4" t="str">
        <v>Operations (supplies, consultants, travels, workshops, other)</v>
      </c>
      <c r="B3" s="5">
        <v>0</v>
      </c>
      <c r="C3" s="5">
        <v>71215</v>
      </c>
      <c r="D3" s="5">
        <v>48906</v>
      </c>
      <c r="E3" s="5">
        <v>177801</v>
      </c>
      <c r="F3" s="5">
        <v>151500</v>
      </c>
      <c r="G3" s="5">
        <v>77394</v>
      </c>
      <c r="H3" s="5">
        <f>=SUM(B3:G3)</f>
        <v>0</v>
      </c>
    </row>
    <row r="4" ht="20" customHeight="1">
      <c r="A4" s="4" t="str">
        <v>Collaborators non-CGIAR centers</v>
      </c>
      <c r="B4" s="5">
        <v>0</v>
      </c>
      <c r="C4" s="5">
        <v>20000</v>
      </c>
      <c r="D4" s="5">
        <v>0</v>
      </c>
      <c r="E4" s="5">
        <v>31000</v>
      </c>
      <c r="F4" s="5">
        <v>48500</v>
      </c>
      <c r="G4" s="5">
        <v>30000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ICARDA</v>
      </c>
      <c r="C2" s="4" t="str">
        <v>Egypt</v>
      </c>
      <c r="D2" s="5">
        <v>100</v>
      </c>
      <c r="E2" s="4">
        <v>1881</v>
      </c>
    </row>
    <row r="3" ht="45" customHeight="1">
      <c r="A3" s="8" t="str">
        <v>AOW01: Accelerating AI-Enabled Farm Advisory at Scale.</v>
      </c>
      <c r="B3" s="4" t="str">
        <v>ICARDA</v>
      </c>
      <c r="C3" s="4" t="str">
        <v>Egypt</v>
      </c>
      <c r="D3" s="5">
        <v>29</v>
      </c>
      <c r="E3" s="4">
        <v>1403</v>
      </c>
    </row>
    <row r="4" ht="45" customHeight="1">
      <c r="A4" s="4" t="str">
        <v>AOW01: Accelerating AI-Enabled Farm Advisory at Scale.</v>
      </c>
      <c r="B4" s="4" t="str">
        <v>ICARDA</v>
      </c>
      <c r="C4" s="4" t="str">
        <v>Ethiopia</v>
      </c>
      <c r="D4" s="5">
        <v>13</v>
      </c>
      <c r="E4" s="4">
        <v>1402</v>
      </c>
    </row>
    <row r="5" ht="45" customHeight="1">
      <c r="A5" s="4" t="str">
        <v>AOW01: Accelerating AI-Enabled Farm Advisory at Scale.</v>
      </c>
      <c r="B5" s="4" t="str">
        <v>ICARDA</v>
      </c>
      <c r="C5" s="4" t="str">
        <v>Morocco</v>
      </c>
      <c r="D5" s="5">
        <v>58</v>
      </c>
      <c r="E5" s="4">
        <v>1400</v>
      </c>
    </row>
    <row r="6" ht="45" customHeight="1">
      <c r="A6" s="8" t="str">
        <v>AOW02: Enabling Preparedness and Rapid Response to Emerging Shocks</v>
      </c>
      <c r="B6" s="4" t="str">
        <v>ICARDA</v>
      </c>
      <c r="C6" s="4" t="str">
        <v>Egypt</v>
      </c>
      <c r="D6" s="5">
        <v>20</v>
      </c>
      <c r="E6" s="4">
        <v>1710</v>
      </c>
    </row>
    <row r="7" ht="45" customHeight="1">
      <c r="A7" s="4" t="str">
        <v>AOW02: Enabling Preparedness and Rapid Response to Emerging Shocks</v>
      </c>
      <c r="B7" s="4" t="str">
        <v>ICARDA</v>
      </c>
      <c r="C7" s="4" t="str">
        <v>Ethiopia</v>
      </c>
      <c r="D7" s="5">
        <v>20</v>
      </c>
      <c r="E7" s="4">
        <v>1711</v>
      </c>
    </row>
    <row r="8" ht="45" customHeight="1">
      <c r="A8" s="4" t="str">
        <v>AOW02: Enabling Preparedness and Rapid Response to Emerging Shocks</v>
      </c>
      <c r="B8" s="4" t="str">
        <v>ICARDA</v>
      </c>
      <c r="C8" s="4" t="str">
        <v>India</v>
      </c>
      <c r="D8" s="5">
        <v>20</v>
      </c>
      <c r="E8" s="4">
        <v>1712</v>
      </c>
    </row>
    <row r="9" ht="45" customHeight="1">
      <c r="A9" s="4" t="str">
        <v>AOW02: Enabling Preparedness and Rapid Response to Emerging Shocks</v>
      </c>
      <c r="B9" s="4" t="str">
        <v>ICARDA</v>
      </c>
      <c r="C9" s="4" t="str">
        <v>Lebanon</v>
      </c>
      <c r="D9" s="5">
        <v>20</v>
      </c>
      <c r="E9" s="4">
        <v>1713</v>
      </c>
    </row>
    <row r="10" ht="45" customHeight="1">
      <c r="A10" s="4" t="str">
        <v>AOW02: Enabling Preparedness and Rapid Response to Emerging Shocks</v>
      </c>
      <c r="B10" s="4" t="str">
        <v>ICARDA</v>
      </c>
      <c r="C10" s="4" t="str">
        <v>Morocco</v>
      </c>
      <c r="D10" s="5">
        <v>20</v>
      </c>
      <c r="E10" s="4">
        <v>1714</v>
      </c>
    </row>
    <row r="11" ht="45" customHeight="1">
      <c r="A11" s="8" t="str">
        <v>AOW03: Delivering Integrated Solutions to Systemic Farm-Level Binding Constraints</v>
      </c>
      <c r="B11" s="4" t="str">
        <v>ICARDA</v>
      </c>
      <c r="C11" s="4" t="str">
        <v>Egypt</v>
      </c>
      <c r="D11" s="5">
        <v>20</v>
      </c>
      <c r="E11" s="4">
        <v>3178</v>
      </c>
    </row>
    <row r="12" ht="45" customHeight="1">
      <c r="A12" s="4" t="str">
        <v>AOW03: Delivering Integrated Solutions to Systemic Farm-Level Binding Constraints</v>
      </c>
      <c r="B12" s="4" t="str">
        <v>ICARDA</v>
      </c>
      <c r="C12" s="4" t="str">
        <v>Ethiopia</v>
      </c>
      <c r="D12" s="5">
        <v>20</v>
      </c>
      <c r="E12" s="4">
        <v>3180</v>
      </c>
    </row>
    <row r="13" ht="45" customHeight="1">
      <c r="A13" s="4" t="str">
        <v>AOW03: Delivering Integrated Solutions to Systemic Farm-Level Binding Constraints</v>
      </c>
      <c r="B13" s="4" t="str">
        <v>ICARDA</v>
      </c>
      <c r="C13" s="4" t="str">
        <v>India</v>
      </c>
      <c r="D13" s="5">
        <v>20</v>
      </c>
      <c r="E13" s="4">
        <v>3179</v>
      </c>
    </row>
    <row r="14" ht="45" customHeight="1">
      <c r="A14" s="4" t="str">
        <v>AOW03: Delivering Integrated Solutions to Systemic Farm-Level Binding Constraints</v>
      </c>
      <c r="B14" s="4" t="str">
        <v>ICARDA</v>
      </c>
      <c r="C14" s="4" t="str">
        <v>Morocco</v>
      </c>
      <c r="D14" s="5">
        <v>20</v>
      </c>
      <c r="E14" s="4">
        <v>3181</v>
      </c>
    </row>
    <row r="15" ht="45" customHeight="1">
      <c r="A15" s="4" t="str">
        <v>AOW03: Delivering Integrated Solutions to Systemic Farm-Level Binding Constraints</v>
      </c>
      <c r="B15" s="4" t="str">
        <v>ICARDA</v>
      </c>
      <c r="C15" s="4" t="str">
        <v>The Democratic Republic of the Congo</v>
      </c>
      <c r="D15" s="5">
        <v>20</v>
      </c>
      <c r="E15" s="4">
        <v>3182</v>
      </c>
    </row>
    <row r="16" ht="45" customHeight="1">
      <c r="A16" s="8" t="str">
        <v>AOW04: Incubating Innovation in Sustainable Farming</v>
      </c>
      <c r="B16" s="4" t="str">
        <v>ICARDA</v>
      </c>
      <c r="C16" s="4" t="str">
        <v>Ecuador</v>
      </c>
      <c r="D16" s="5">
        <v>7</v>
      </c>
      <c r="E16" s="4">
        <v>1408</v>
      </c>
    </row>
    <row r="17" ht="45" customHeight="1">
      <c r="A17" s="4" t="str">
        <v>AOW04: Incubating Innovation in Sustainable Farming</v>
      </c>
      <c r="B17" s="4" t="str">
        <v>ICARDA</v>
      </c>
      <c r="C17" s="4" t="str">
        <v>Egypt</v>
      </c>
      <c r="D17" s="5">
        <v>5</v>
      </c>
      <c r="E17" s="4">
        <v>1414</v>
      </c>
    </row>
    <row r="18" ht="45" customHeight="1">
      <c r="A18" s="4" t="str">
        <v>AOW04: Incubating Innovation in Sustainable Farming</v>
      </c>
      <c r="B18" s="4" t="str">
        <v>ICARDA</v>
      </c>
      <c r="C18" s="4" t="str">
        <v>Ethiopia</v>
      </c>
      <c r="D18" s="5">
        <v>5</v>
      </c>
      <c r="E18" s="4">
        <v>1410</v>
      </c>
    </row>
    <row r="19" ht="45" customHeight="1">
      <c r="A19" s="4" t="str">
        <v>AOW04: Incubating Innovation in Sustainable Farming</v>
      </c>
      <c r="B19" s="4" t="str">
        <v>ICARDA</v>
      </c>
      <c r="C19" s="4" t="str">
        <v>India</v>
      </c>
      <c r="D19" s="5">
        <v>8</v>
      </c>
      <c r="E19" s="4">
        <v>1415</v>
      </c>
    </row>
    <row r="20" ht="45" customHeight="1">
      <c r="A20" s="4" t="str">
        <v>AOW04: Incubating Innovation in Sustainable Farming</v>
      </c>
      <c r="B20" s="4" t="str">
        <v>ICARDA</v>
      </c>
      <c r="C20" s="4" t="str">
        <v>Kenya</v>
      </c>
      <c r="D20" s="5">
        <v>14</v>
      </c>
      <c r="E20" s="4">
        <v>1413</v>
      </c>
    </row>
    <row r="21" ht="45" customHeight="1">
      <c r="A21" s="4" t="str">
        <v>AOW04: Incubating Innovation in Sustainable Farming</v>
      </c>
      <c r="B21" s="4" t="str">
        <v>ICARDA</v>
      </c>
      <c r="C21" s="4" t="str">
        <v>Malawi</v>
      </c>
      <c r="D21" s="5">
        <v>14</v>
      </c>
      <c r="E21" s="4">
        <v>1411</v>
      </c>
    </row>
    <row r="22" ht="45" customHeight="1">
      <c r="A22" s="4" t="str">
        <v>AOW04: Incubating Innovation in Sustainable Farming</v>
      </c>
      <c r="B22" s="4" t="str">
        <v>ICARDA</v>
      </c>
      <c r="C22" s="4" t="str">
        <v>Morocco</v>
      </c>
      <c r="D22" s="5">
        <v>12</v>
      </c>
      <c r="E22" s="4">
        <v>1409</v>
      </c>
    </row>
    <row r="23" ht="45" customHeight="1">
      <c r="A23" s="4" t="str">
        <v>AOW04: Incubating Innovation in Sustainable Farming</v>
      </c>
      <c r="B23" s="4" t="str">
        <v>ICARDA</v>
      </c>
      <c r="C23" s="4" t="str">
        <v>Peru</v>
      </c>
      <c r="D23" s="5">
        <v>7</v>
      </c>
      <c r="E23" s="4">
        <v>1407</v>
      </c>
    </row>
    <row r="24" ht="45" customHeight="1">
      <c r="A24" s="4" t="str">
        <v>AOW04: Incubating Innovation in Sustainable Farming</v>
      </c>
      <c r="B24" s="4" t="str">
        <v>ICARDA</v>
      </c>
      <c r="C24" s="4" t="str">
        <v>Philippines</v>
      </c>
      <c r="D24" s="5">
        <v>14</v>
      </c>
      <c r="E24" s="4">
        <v>1406</v>
      </c>
    </row>
    <row r="25" ht="45" customHeight="1">
      <c r="A25" s="4" t="str">
        <v>AOW04: Incubating Innovation in Sustainable Farming</v>
      </c>
      <c r="B25" s="4" t="str">
        <v>ICARDA</v>
      </c>
      <c r="C25" s="4" t="str">
        <v>Zambia</v>
      </c>
      <c r="D25" s="5">
        <v>14</v>
      </c>
      <c r="E25" s="4">
        <v>1412</v>
      </c>
    </row>
    <row r="26" ht="45" customHeight="1">
      <c r="A26" s="8" t="str">
        <v>AOW05: Accelerating Impact</v>
      </c>
      <c r="B26" s="4" t="str">
        <v>ICARDA</v>
      </c>
      <c r="C26" s="4" t="str">
        <v>Egypt</v>
      </c>
      <c r="D26" s="5">
        <v>50</v>
      </c>
      <c r="E26" s="4">
        <v>3183</v>
      </c>
    </row>
    <row r="27" ht="45" customHeight="1">
      <c r="A27" s="4" t="str">
        <v>AOW05: Accelerating Impact</v>
      </c>
      <c r="B27" s="4" t="str">
        <v>ICARDA</v>
      </c>
      <c r="C27" s="4" t="str">
        <v>Morocco</v>
      </c>
      <c r="D27" s="5">
        <v>50</v>
      </c>
      <c r="E27" s="4">
        <v>3184</v>
      </c>
    </row>
  </sheetData>
  <mergeCells count="6">
    <mergeCell ref="A2"/>
    <mergeCell ref="A3:A5"/>
    <mergeCell ref="A6:A10"/>
    <mergeCell ref="A11:A15"/>
    <mergeCell ref="A16:A25"/>
    <mergeCell ref="A26:A27"/>
  </mergeCells>
  <ignoredErrors>
    <ignoredError numberStoredAsText="1" sqref="A1:E27"/>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ICARDA</v>
      </c>
      <c r="C2" s="4" t="str">
        <v>Global</v>
      </c>
      <c r="D2" s="4" t="str">
        <v>global</v>
      </c>
      <c r="E2" s="5">
        <v>100</v>
      </c>
      <c r="F2" s="4">
        <v>649</v>
      </c>
    </row>
    <row r="3" ht="45" customHeight="1">
      <c r="A3" s="8" t="str">
        <v>AOW01: Accelerating AI-Enabled Farm Advisory at Scale.</v>
      </c>
      <c r="B3" s="4" t="str">
        <v>ICARDA</v>
      </c>
      <c r="C3" s="4" t="str">
        <v>Eastern Africa</v>
      </c>
      <c r="D3" s="4" t="str">
        <v>region</v>
      </c>
      <c r="E3" s="5">
        <v>13</v>
      </c>
      <c r="F3" s="4">
        <v>496</v>
      </c>
    </row>
    <row r="4" ht="45" customHeight="1">
      <c r="A4" s="4" t="str">
        <v>AOW01: Accelerating AI-Enabled Farm Advisory at Scale.</v>
      </c>
      <c r="B4" s="4" t="str">
        <v>ICARDA</v>
      </c>
      <c r="C4" s="4" t="str">
        <v>Northern Africa</v>
      </c>
      <c r="D4" s="4" t="str">
        <v>region</v>
      </c>
      <c r="E4" s="5">
        <v>87</v>
      </c>
      <c r="F4" s="4">
        <v>495</v>
      </c>
    </row>
    <row r="5" ht="45" customHeight="1">
      <c r="A5" s="8" t="str">
        <v>AOW02: Enabling Preparedness and Rapid Response to Emerging Shocks</v>
      </c>
      <c r="B5" s="4" t="str">
        <v>ICARDA</v>
      </c>
      <c r="C5" s="4" t="str">
        <v>Global</v>
      </c>
      <c r="D5" s="4" t="str">
        <v>global</v>
      </c>
      <c r="E5" s="5">
        <v>13</v>
      </c>
      <c r="F5" s="4">
        <v>583</v>
      </c>
    </row>
    <row r="6" ht="45" customHeight="1">
      <c r="A6" s="4" t="str">
        <v>AOW02: Enabling Preparedness and Rapid Response to Emerging Shocks</v>
      </c>
      <c r="B6" s="4" t="str">
        <v>ICARDA</v>
      </c>
      <c r="C6" s="4" t="str">
        <v>Northern Africa</v>
      </c>
      <c r="D6" s="4" t="str">
        <v>region</v>
      </c>
      <c r="E6" s="5">
        <v>12</v>
      </c>
      <c r="F6" s="4">
        <v>584</v>
      </c>
    </row>
    <row r="7" ht="45" customHeight="1">
      <c r="A7" s="4" t="str">
        <v>AOW02: Enabling Preparedness and Rapid Response to Emerging Shocks</v>
      </c>
      <c r="B7" s="4" t="str">
        <v>ICARDA</v>
      </c>
      <c r="C7" s="4" t="str">
        <v>Southern Asia</v>
      </c>
      <c r="D7" s="4" t="str">
        <v>region</v>
      </c>
      <c r="E7" s="5">
        <v>12</v>
      </c>
      <c r="F7" s="4">
        <v>586</v>
      </c>
    </row>
    <row r="8" ht="45" customHeight="1">
      <c r="A8" s="4" t="str">
        <v>AOW02: Enabling Preparedness and Rapid Response to Emerging Shocks</v>
      </c>
      <c r="B8" s="4" t="str">
        <v>ICARDA</v>
      </c>
      <c r="C8" s="4" t="str">
        <v>Lebanon</v>
      </c>
      <c r="D8" s="4" t="str">
        <v>country</v>
      </c>
      <c r="E8" s="5">
        <v>63</v>
      </c>
      <c r="F8" s="4">
        <v>585</v>
      </c>
    </row>
    <row r="9" ht="45" customHeight="1">
      <c r="A9" s="8" t="str">
        <v>AOW03: Delivering Integrated Solutions to Systemic Farm-Level Binding Constraints</v>
      </c>
      <c r="B9" s="4" t="str">
        <v>ICARDA</v>
      </c>
      <c r="C9" s="4" t="str">
        <v>Global</v>
      </c>
      <c r="D9" s="4" t="str">
        <v>global</v>
      </c>
      <c r="E9" s="5">
        <v>100</v>
      </c>
      <c r="F9" s="4">
        <v>1436</v>
      </c>
    </row>
    <row r="10" ht="45" customHeight="1">
      <c r="A10" s="8" t="str">
        <v>AOW04: Incubating Innovation in Sustainable Farming</v>
      </c>
      <c r="B10" s="4" t="str">
        <v>ICARDA</v>
      </c>
      <c r="C10" s="4" t="str">
        <v>Global</v>
      </c>
      <c r="D10" s="4" t="str">
        <v>global</v>
      </c>
      <c r="E10" s="5">
        <v>100</v>
      </c>
      <c r="F10" s="4">
        <v>499</v>
      </c>
    </row>
    <row r="11" ht="45" customHeight="1">
      <c r="A11" s="8" t="str">
        <v>AOW05: Accelerating Impact</v>
      </c>
      <c r="B11" s="4" t="str">
        <v>ICARDA</v>
      </c>
      <c r="C11" s="4" t="str">
        <v>Egypt</v>
      </c>
      <c r="D11" s="4" t="str">
        <v>country</v>
      </c>
      <c r="E11" s="5">
        <v>50</v>
      </c>
      <c r="F11" s="4">
        <v>1438</v>
      </c>
    </row>
    <row r="12" ht="45" customHeight="1">
      <c r="A12" s="4" t="str">
        <v>AOW05: Accelerating Impact</v>
      </c>
      <c r="B12" s="4" t="str">
        <v>ICARDA</v>
      </c>
      <c r="C12" s="4" t="str">
        <v>Morocco</v>
      </c>
      <c r="D12" s="4" t="str">
        <v>country</v>
      </c>
      <c r="E12" s="5">
        <v>50</v>
      </c>
      <c r="F12" s="4">
        <v>1437</v>
      </c>
    </row>
  </sheetData>
  <mergeCells count="6">
    <mergeCell ref="A2"/>
    <mergeCell ref="A3:A4"/>
    <mergeCell ref="A5:A8"/>
    <mergeCell ref="A9"/>
    <mergeCell ref="A10"/>
    <mergeCell ref="A11: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