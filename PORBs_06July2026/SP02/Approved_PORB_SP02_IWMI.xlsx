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80917</v>
      </c>
      <c r="K4" s="5">
        <v>80917</v>
      </c>
      <c r="L4" s="5">
        <v>0</v>
      </c>
      <c r="M4" s="5">
        <v>0</v>
      </c>
      <c r="N4" s="4">
        <v>169</v>
      </c>
    </row>
    <row r="5" ht="20" customHeight="1">
      <c r="A5" s="4" t="str">
        <v>AOW01: Accelerating AI-Enabled Farm Advisory at Scale.</v>
      </c>
      <c r="B5" s="5">
        <v>0</v>
      </c>
      <c r="C5" s="5">
        <v>0</v>
      </c>
      <c r="D5" s="5">
        <v>0</v>
      </c>
      <c r="E5" s="5">
        <v>0</v>
      </c>
      <c r="F5" s="5">
        <v>0</v>
      </c>
      <c r="G5" s="5">
        <v>0</v>
      </c>
      <c r="H5" s="5">
        <v>0</v>
      </c>
      <c r="I5" s="5">
        <v>0</v>
      </c>
      <c r="J5" s="5">
        <v>0</v>
      </c>
      <c r="K5" s="5">
        <v>0</v>
      </c>
      <c r="L5" s="5">
        <v>0</v>
      </c>
      <c r="M5" s="5">
        <v>0</v>
      </c>
      <c r="N5" s="4">
        <v>168</v>
      </c>
    </row>
    <row r="6" ht="20" customHeight="1">
      <c r="A6" s="4" t="str">
        <v>AOW02: Enabling Preparedness and Rapid Response to Emerging Shocks</v>
      </c>
      <c r="B6" s="5">
        <v>3</v>
      </c>
      <c r="C6" s="5">
        <v>222311</v>
      </c>
      <c r="D6" s="5">
        <v>6</v>
      </c>
      <c r="E6" s="5">
        <v>145327</v>
      </c>
      <c r="F6" s="5">
        <v>0</v>
      </c>
      <c r="G6" s="5">
        <v>0</v>
      </c>
      <c r="H6" s="5">
        <v>0</v>
      </c>
      <c r="I6" s="5">
        <v>0</v>
      </c>
      <c r="J6" s="5">
        <v>367638</v>
      </c>
      <c r="K6" s="5">
        <v>367638</v>
      </c>
      <c r="L6" s="5">
        <v>32000</v>
      </c>
      <c r="M6" s="5">
        <v>0</v>
      </c>
      <c r="N6" s="4">
        <v>166</v>
      </c>
    </row>
    <row r="7" ht="20" customHeight="1">
      <c r="A7" s="4" t="str">
        <v>AOW03: Delivering Integrated Solutions to Systemic Farm-Level Binding Constraints</v>
      </c>
      <c r="B7" s="5">
        <v>1</v>
      </c>
      <c r="C7" s="5">
        <v>204927</v>
      </c>
      <c r="D7" s="5">
        <v>2</v>
      </c>
      <c r="E7" s="5">
        <v>55130</v>
      </c>
      <c r="F7" s="5">
        <v>0</v>
      </c>
      <c r="G7" s="5">
        <v>0</v>
      </c>
      <c r="H7" s="5">
        <v>0</v>
      </c>
      <c r="I7" s="5">
        <v>0</v>
      </c>
      <c r="J7" s="5">
        <v>260057</v>
      </c>
      <c r="K7" s="5">
        <v>260057</v>
      </c>
      <c r="L7" s="5">
        <v>0</v>
      </c>
      <c r="M7" s="5">
        <v>0</v>
      </c>
      <c r="N7" s="4">
        <v>164</v>
      </c>
    </row>
    <row r="8" ht="20" customHeight="1">
      <c r="A8" s="4" t="str">
        <v>AOW04: Incubating Innovation in Sustainable Farming</v>
      </c>
      <c r="B8" s="5">
        <v>0</v>
      </c>
      <c r="C8" s="5">
        <v>0</v>
      </c>
      <c r="D8" s="5">
        <v>1</v>
      </c>
      <c r="E8" s="5">
        <v>100000</v>
      </c>
      <c r="F8" s="5">
        <v>0</v>
      </c>
      <c r="G8" s="5">
        <v>0</v>
      </c>
      <c r="H8" s="5">
        <v>0</v>
      </c>
      <c r="I8" s="5">
        <v>0</v>
      </c>
      <c r="J8" s="5">
        <v>100000</v>
      </c>
      <c r="K8" s="5">
        <v>100000</v>
      </c>
      <c r="L8" s="5">
        <v>7000</v>
      </c>
      <c r="M8" s="5">
        <v>0</v>
      </c>
      <c r="N8" s="4">
        <v>165</v>
      </c>
    </row>
    <row r="9" ht="20" customHeight="1">
      <c r="A9" s="4" t="str">
        <v>AOW05: Accelerating Impact</v>
      </c>
      <c r="B9" s="5">
        <v>0</v>
      </c>
      <c r="C9" s="5">
        <v>0</v>
      </c>
      <c r="D9" s="5">
        <v>1</v>
      </c>
      <c r="E9" s="5">
        <v>120191</v>
      </c>
      <c r="F9" s="5">
        <v>0</v>
      </c>
      <c r="G9" s="5">
        <v>0</v>
      </c>
      <c r="H9" s="5">
        <v>0</v>
      </c>
      <c r="I9" s="5">
        <v>0</v>
      </c>
      <c r="J9" s="5">
        <v>120191</v>
      </c>
      <c r="K9" s="5">
        <v>120191</v>
      </c>
      <c r="L9" s="5">
        <v>0</v>
      </c>
      <c r="M9" s="5">
        <v>0</v>
      </c>
      <c r="N9" s="4">
        <v>167</v>
      </c>
    </row>
    <row r="10" ht="25" customHeight="1">
      <c r="A10" s="6" t="str">
        <v>Total</v>
      </c>
      <c r="B10" s="7" t="str">
        <v/>
      </c>
      <c r="C10" s="7">
        <v>427238</v>
      </c>
      <c r="D10" s="7" t="str">
        <v/>
      </c>
      <c r="E10" s="7">
        <v>420648</v>
      </c>
      <c r="F10" s="7" t="str">
        <v/>
      </c>
      <c r="G10" s="7">
        <v>0</v>
      </c>
      <c r="H10" s="7" t="str">
        <v/>
      </c>
      <c r="I10" s="7">
        <v>0</v>
      </c>
      <c r="J10" s="7">
        <v>928803</v>
      </c>
      <c r="K10" s="7">
        <v>928803</v>
      </c>
      <c r="L10" s="7">
        <v>39000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AOW02: Enabling Preparedness and Rapid Response to Emerging Shocks</v>
      </c>
      <c r="B3" s="4" t="str">
        <v>IWMI</v>
      </c>
      <c r="C3" s="4" t="str">
        <v xml:space="preserve">2.1: Enhanced resolution, accuracy and timeliness of early warning system </v>
      </c>
      <c r="D3" s="4" t="str">
        <v>Enhanced models, templates, frameworks, maps or data tools to detect climate related water risks for different cropping systems (maize, soybean, cocoa)</v>
      </c>
      <c r="E3" s="4" t="str">
        <v>Number of knowledge products</v>
      </c>
      <c r="F3" s="4" t="str">
        <v>Ghana</v>
      </c>
      <c r="G3" s="5">
        <v>2</v>
      </c>
      <c r="H3" s="5">
        <v>29707</v>
      </c>
      <c r="I3" s="4" t="str" xml:space="preserve">
        <v xml:space="preserve">We assume that the model has been successfully developed to write up the knowledge product
</v>
      </c>
      <c r="J3" s="4">
        <v>4941</v>
      </c>
    </row>
    <row r="4" ht="50" customHeight="1" xml:space="preserve">
      <c r="B4" s="4" t="str">
        <v>IWMI</v>
      </c>
      <c r="D4" s="4" t="str">
        <v>Enhanced models, templates, frameworks, maps or data tools to detect climate related water risks for different cropping systems (maize, soybean, cocoa)</v>
      </c>
      <c r="E4" s="4" t="str">
        <v>Number of innovations (innovation development)</v>
      </c>
      <c r="F4" s="4" t="str">
        <v>Nigeria, Benin, Ghana, Kenya</v>
      </c>
      <c r="G4" s="5">
        <v>1</v>
      </c>
      <c r="H4" s="5">
        <v>111283</v>
      </c>
      <c r="I4" s="4" t="str" xml:space="preserve">
        <v xml:space="preserve">We assume that 85% of the budget is supporting the tool development using the data from our private sector partner. We assume that the data will continue to be available and that the seasonal advances from climate action will include enhanced forecasts in
</v>
      </c>
      <c r="J4" s="4">
        <v>4952</v>
      </c>
    </row>
    <row r="5" ht="50" customHeight="1">
      <c r="A5" s="4" t="str">
        <v>AOW02: Enabling Preparedness and Rapid Response to Emerging Shocks</v>
      </c>
      <c r="B5" s="4" t="str">
        <v>IWMI</v>
      </c>
      <c r="C5" s="4" t="str">
        <v>2.2: Strategies for response to water related shocks</v>
      </c>
      <c r="D5" s="4" t="str">
        <v>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v>
      </c>
      <c r="E5" s="4" t="str">
        <v>Number of innovations (innovation development)</v>
      </c>
      <c r="F5" s="4" t="str">
        <v>Ghana, Nigeria, Kenya</v>
      </c>
      <c r="G5" s="5">
        <v>1</v>
      </c>
      <c r="H5" s="5">
        <v>20000</v>
      </c>
      <c r="I5" s="4" t="str">
        <v>additional budget</v>
      </c>
      <c r="J5" s="4">
        <v>7932</v>
      </c>
    </row>
    <row r="6" ht="50" customHeight="1" xml:space="preserve">
      <c r="B6" s="4" t="str">
        <v>IWMI</v>
      </c>
      <c r="D6" s="4" t="str">
        <v>Data-driven platforms, dashboards, and modeling tools that support enhanced farmer level response towards water related shocks (e.g. droughts, floods), pests and disease outbreaks (e.g. BBTV, BXW, and FoC TR4 )</v>
      </c>
      <c r="E6" s="4" t="str">
        <v>Number of knowledge products</v>
      </c>
      <c r="F6" s="4" t="str">
        <v>Cameroon, Uganda, Nigeria, Tanzania, United Republic, India</v>
      </c>
      <c r="G6" s="5">
        <v>1</v>
      </c>
      <c r="H6" s="5">
        <v>10114</v>
      </c>
      <c r="I6" s="4" t="str" xml:space="preserve">
        <v xml:space="preserve">We assume that the model has been successfully developed to write up the knowledge product
</v>
      </c>
      <c r="J6" s="4">
        <v>7956</v>
      </c>
    </row>
    <row r="7" ht="50" customHeight="1" xml:space="preserve">
      <c r="B7" s="4" t="str">
        <v>IWMI</v>
      </c>
      <c r="D7" s="4" t="str">
        <v>Data-driven platforms, dashboards, and modeling tools that support enhanced farmer level response towards water related shocks (e.g. droughts, floods), pests and disease outbreaks (e.g. BBTV, BXW, and FoC TR4 )</v>
      </c>
      <c r="E7" s="4" t="str">
        <v>Number of innovations (innovation development)</v>
      </c>
      <c r="F7" s="4" t="str">
        <v>Ghana</v>
      </c>
      <c r="G7" s="5">
        <v>1</v>
      </c>
      <c r="H7" s="5">
        <v>91028</v>
      </c>
      <c r="I7" s="4" t="str" xml:space="preserve">
        <v xml:space="preserve">We assume that the crop -water relevant data collected in 2025 will be sufficient to establish the crop-water model for cocoa.
</v>
      </c>
      <c r="J7" s="4">
        <v>7957</v>
      </c>
    </row>
    <row r="8" ht="50" customHeight="1" xml:space="preserve">
      <c r="B8" s="4" t="str">
        <v>IWMI</v>
      </c>
      <c r="D8" s="4" t="str">
        <v>Datasets of field (e.g. longterm experiments, validation trials) or farm household level (impact assessments, response behaviour, adoption likelihood) to guide and evaluate response options.</v>
      </c>
      <c r="E8" s="4" t="str">
        <v>Number of knowledge products</v>
      </c>
      <c r="F8" s="4" t="str">
        <v>India</v>
      </c>
      <c r="G8" s="5">
        <v>2</v>
      </c>
      <c r="H8" s="5">
        <v>55506</v>
      </c>
      <c r="I8" s="4" t="str" xml:space="preserve">
        <v xml:space="preserve">We assume that the Indian government continues to collaborate and collaborates with SFP to include the farm advisories and support its validation 
</v>
      </c>
      <c r="J8" s="4">
        <v>7959</v>
      </c>
    </row>
    <row r="9" ht="50" customHeight="1">
      <c r="A9" s="4" t="str">
        <v>AOW02: Enabling Preparedness and Rapid Response to Emerging Shocks</v>
      </c>
      <c r="B9" s="4" t="str">
        <v>IWMI</v>
      </c>
      <c r="C9" s="4" t="str">
        <v xml:space="preserve">2.3: Responses effectiveness and trade-offs to climate, pests and diseases shocks </v>
      </c>
      <c r="D9" s="4" t="str">
        <v>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v>
      </c>
      <c r="E9" s="4" t="str">
        <v>Number of knowledge products</v>
      </c>
      <c r="F9" s="4" t="str">
        <v>Ghana, Bangladesh, Kenya, Nigeria</v>
      </c>
      <c r="G9" s="5">
        <v>1</v>
      </c>
      <c r="H9" s="5">
        <v>50000</v>
      </c>
      <c r="I9" s="4" t="str">
        <v>additional budget</v>
      </c>
      <c r="J9" s="4">
        <v>8321</v>
      </c>
    </row>
    <row r="10" ht="25" customHeight="1">
      <c r="C10" s="9" t="str">
        <v>HLO budget subtotal</v>
      </c>
      <c r="H10" s="9">
        <v>367638</v>
      </c>
      <c r="J10" s="9" t="str">
        <v/>
      </c>
    </row>
    <row r="11" ht="50" customHeight="1">
      <c r="A11" s="8" t="str">
        <v>AOW03: Delivering Integrated Solutions to Systemic Farm-Level Binding Constraints</v>
      </c>
      <c r="B11" s="4" t="str">
        <v>IWMI</v>
      </c>
      <c r="C11" s="4" t="str">
        <v xml:space="preserve">3.2. Validated, farm-level management solutions </v>
      </c>
      <c r="D11" s="4" t="str">
        <v>KPI 3.5.1: (Critical capabilities) Co-design and validate integrated farm-level solution packages that simultaneously address multiple interacting constraints (soil, water, crops, labor, livestock) to optimize system productivity and resilience.</v>
      </c>
      <c r="E11" s="4" t="str">
        <v>Number of innovations (innovation development)</v>
      </c>
      <c r="F11" s="4" t="str">
        <v>Colombia, Lao People's Democratic Republic, Bangladesh, Mexico, Cambodia, Côte d'Ivoire, Philippines, Nigeria, The Socialist Republic of Viet Nam, Cameroon, Ghana, Malawi, Tanzania, United Republic, Kenya, India, Ethiopia, Madagascar</v>
      </c>
      <c r="G11" s="5">
        <v>1</v>
      </c>
      <c r="H11" s="5">
        <v>204927</v>
      </c>
      <c r="I11" s="4" t="str">
        <v>with the additional budget</v>
      </c>
      <c r="J11" s="4">
        <v>5049</v>
      </c>
    </row>
    <row r="12" ht="50" customHeight="1">
      <c r="B12" s="4" t="str">
        <v>IWMI</v>
      </c>
      <c r="D12" s="4" t="str">
        <v>KPI 3.5.1: Co-design and validate integrated farm-level solution packages that simultaneously address multiple interacting constraints (soil, water, crops, labor, livestock) to optimize system productivity and resilience.</v>
      </c>
      <c r="E12" s="4" t="str">
        <v>Number of knowledge products</v>
      </c>
      <c r="F12" s="4" t="str">
        <v>Mexico, Kenya</v>
      </c>
      <c r="G12" s="5">
        <v>1</v>
      </c>
      <c r="H12" s="5">
        <v>13126</v>
      </c>
      <c r="I12" s="4" t="str">
        <v>no budget assumption</v>
      </c>
      <c r="J12" s="4">
        <v>7805</v>
      </c>
    </row>
    <row r="13" ht="50" customHeight="1">
      <c r="B13" s="4" t="str">
        <v>IWMI</v>
      </c>
      <c r="D13" s="4" t="str">
        <v>KPI 3.5.2: (Critical Capabilities) Develop and document system-level evidence, tools, and frameworks (including GESI-informed approaches) that guide the design and scaling of integrated, constraint-responsive farming systems.</v>
      </c>
      <c r="E13" s="4" t="str">
        <v>Number of knowledge products</v>
      </c>
      <c r="F13" s="4" t="str">
        <v>Malawi, Peru, Ghana, Ethiopia, Kenya, Tanzania, United Republic, India, The Socialist Republic of Viet Nam</v>
      </c>
      <c r="G13" s="5">
        <v>1</v>
      </c>
      <c r="H13" s="5">
        <v>42004</v>
      </c>
      <c r="I13" s="4" t="str">
        <v>no budget assumption</v>
      </c>
      <c r="J13" s="4">
        <v>7954</v>
      </c>
    </row>
    <row r="14" ht="25" customHeight="1">
      <c r="C14" s="9" t="str">
        <v>HLO budget subtotal</v>
      </c>
      <c r="H14" s="9">
        <v>260057</v>
      </c>
      <c r="J14" s="9" t="str">
        <v/>
      </c>
    </row>
    <row r="15" ht="50" customHeight="1">
      <c r="A15" s="8" t="str">
        <v>AOW04: Incubating Innovation in Sustainable Farming</v>
      </c>
      <c r="B15" s="4" t="str">
        <v>IWMI</v>
      </c>
      <c r="C15" s="4" t="str">
        <v xml:space="preserve">4.1. A pipeline of at least eight high-risk, high-reward, early-stage research ideas </v>
      </c>
      <c r="D15" s="4" t="str">
        <v>Results from at least 4 seed grant-funded tests, demonstrating the feasibility, potential impact and sustainability of the proposed solutions; including data on their viability and initial performance in relevant agricultural contexts</v>
      </c>
      <c r="E15" s="4" t="str">
        <v>Number of knowledge products</v>
      </c>
      <c r="F15" s="4" t="str">
        <v>Ecuador, Malawi, Kenya, Egypt, Ethiopia, India, Zambia, Peru, Morocco, Philippines</v>
      </c>
      <c r="G15" s="5">
        <v>1</v>
      </c>
      <c r="H15" s="5">
        <v>100000</v>
      </c>
      <c r="I15" s="4" t="str">
        <v>Budget allocated based on the result of the competitive process</v>
      </c>
      <c r="J15" s="4">
        <v>6933</v>
      </c>
    </row>
    <row r="16" ht="25" customHeight="1">
      <c r="C16" s="9" t="str">
        <v>HLO budget subtotal</v>
      </c>
      <c r="H16" s="9">
        <v>100000</v>
      </c>
      <c r="J16" s="9" t="str">
        <v/>
      </c>
    </row>
    <row r="17" ht="50" customHeight="1">
      <c r="A17" s="8" t="str">
        <v>AOW05: Accelerating Impact</v>
      </c>
      <c r="B17" s="4" t="str">
        <v>IWMI</v>
      </c>
      <c r="C17" s="4" t="str">
        <v xml:space="preserve">5.4: Tools and approaches to enable rapid insights, learnings and impact </v>
      </c>
      <c r="D17" s="4" t="str">
        <v>Standardized MELIA survey tools and instruments for household and farm-level data collection across AoWs (e.g., survey forms, processes, Ai solutions, other protocols) to improve interoperability and standardization of survey data (MELIA Studies)</v>
      </c>
      <c r="E17" s="4" t="str">
        <v>Number of knowledge products</v>
      </c>
      <c r="F17" s="4" t="str">
        <v>Nepal, Sri Lanka, Benin, Ghana, Egypt, Nigeria, Tanzania, United Republic, Kenya</v>
      </c>
      <c r="G17" s="5">
        <v>1</v>
      </c>
      <c r="H17" s="5">
        <v>120191</v>
      </c>
      <c r="I17" s="4" t="str">
        <v>with the additional budget</v>
      </c>
      <c r="J17" s="4">
        <v>7897</v>
      </c>
    </row>
    <row r="18" ht="25" customHeight="1">
      <c r="C18" s="9" t="str">
        <v>HLO budget subtotal</v>
      </c>
      <c r="H18" s="9">
        <v>120191</v>
      </c>
      <c r="J18" s="9" t="str">
        <v/>
      </c>
    </row>
  </sheetData>
  <mergeCells count="17">
    <mergeCell ref="A1:A2"/>
    <mergeCell ref="B1:B2"/>
    <mergeCell ref="C1:C2"/>
    <mergeCell ref="D1:H1"/>
    <mergeCell ref="I1:I2"/>
    <mergeCell ref="J1:J2"/>
    <mergeCell ref="C3:C4"/>
    <mergeCell ref="C5:C8"/>
    <mergeCell ref="C10:G10"/>
    <mergeCell ref="A3:A10"/>
    <mergeCell ref="C11:C13"/>
    <mergeCell ref="C14:G14"/>
    <mergeCell ref="A11:A14"/>
    <mergeCell ref="C16:G16"/>
    <mergeCell ref="A15:A16"/>
    <mergeCell ref="C18:G18"/>
    <mergeCell ref="A17:A18"/>
  </mergeCells>
  <ignoredErrors>
    <ignoredError numberStoredAsText="1" sqref="A1:J18"/>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Enabling Preparedness and Rapid Response to Emerging Shocks</v>
      </c>
      <c r="B2" s="4" t="str">
        <v>Indian Council of Agricultural Research</v>
      </c>
      <c r="C2" s="4" t="str">
        <v>IWMI</v>
      </c>
      <c r="D2" s="4" t="str">
        <v>India</v>
      </c>
      <c r="E2" s="5">
        <v>32000</v>
      </c>
      <c r="F2" s="4" t="str">
        <v>As per the initial budget</v>
      </c>
      <c r="G2" s="4">
        <v>273</v>
      </c>
    </row>
    <row r="3" ht="25" customHeight="1">
      <c r="B3" s="9" t="str">
        <v>Contracted partners subtotal</v>
      </c>
      <c r="E3" s="9">
        <v>32000</v>
      </c>
      <c r="F3" s="9" t="str">
        <v/>
      </c>
      <c r="G3" s="9" t="str">
        <v/>
      </c>
    </row>
    <row r="4" ht="50" customHeight="1">
      <c r="A4" s="8" t="str">
        <v>AOW04: Incubating Innovation in Sustainable Farming</v>
      </c>
      <c r="B4" s="4" t="str">
        <v>SunCulture</v>
      </c>
      <c r="C4" s="4" t="str">
        <v>IWMI</v>
      </c>
      <c r="D4" s="4" t="str">
        <v>Kenya</v>
      </c>
      <c r="E4" s="5">
        <v>7000</v>
      </c>
      <c r="F4" s="4" t="str">
        <v>no budget assumption</v>
      </c>
      <c r="G4" s="4">
        <v>213</v>
      </c>
    </row>
    <row r="5" ht="25" customHeight="1">
      <c r="B5" s="9" t="str">
        <v>Contracted partners subtotal</v>
      </c>
      <c r="E5" s="9">
        <v>7000</v>
      </c>
      <c r="F5" s="9" t="str">
        <v/>
      </c>
      <c r="G5" s="9" t="str">
        <v/>
      </c>
    </row>
  </sheetData>
  <mergeCells count="4">
    <mergeCell ref="B3:D3"/>
    <mergeCell ref="A2:A3"/>
    <mergeCell ref="B5:D5"/>
    <mergeCell ref="A4: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IWMI</v>
      </c>
      <c r="B2" s="4" t="str">
        <v>P-1743 SoLAR Phase 2</v>
      </c>
      <c r="C2" s="4" t="str">
        <v xml:space="preserve">5.1. Prioritization logic for deployment via partnership platforms available </v>
      </c>
      <c r="D2" s="5">
        <v>893249</v>
      </c>
      <c r="E2" s="4" t="str">
        <v>Budget figure from the mapping dashboard, no assumption made.</v>
      </c>
      <c r="F2" s="4">
        <v>961</v>
      </c>
    </row>
    <row r="3" ht="60" customHeight="1">
      <c r="A3" s="4" t="str">
        <v>IWMI</v>
      </c>
      <c r="B3" s="4" t="str">
        <v>W-D-0424-WRAP C1</v>
      </c>
      <c r="C3" s="4" t="str">
        <v xml:space="preserve">3.3: Scaled and adopted farm management solutions </v>
      </c>
      <c r="D3" s="5">
        <v>686520</v>
      </c>
      <c r="E3" s="4" t="str">
        <v>Budget figure from the mapping dashboard, no assumption made.</v>
      </c>
      <c r="F3" s="4">
        <v>972</v>
      </c>
    </row>
    <row r="4" ht="60" customHeight="1">
      <c r="A4" s="4" t="str">
        <v>IWMI</v>
      </c>
      <c r="B4" s="4" t="str">
        <v>W-D-0467-EU - Balochistan WR Programme</v>
      </c>
      <c r="C4" s="4" t="str">
        <v>2.2: Strategies for response to water related shocks</v>
      </c>
      <c r="D4" s="5">
        <v>333045</v>
      </c>
      <c r="E4" s="4" t="str">
        <v>Budget figure from the mapping dashboard, no assumption made.</v>
      </c>
      <c r="F4" s="4">
        <v>958</v>
      </c>
    </row>
    <row r="5" ht="60" customHeight="1">
      <c r="A5" s="4" t="str">
        <v>IWMI</v>
      </c>
      <c r="B5" s="4" t="str">
        <v>W-D-0525- Subsidy Soil Fertility Programme - West Africa</v>
      </c>
      <c r="C5" s="4" t="str">
        <v>6: Farm advisory services and institutions enable agronomic gain at scale</v>
      </c>
      <c r="D5" s="5">
        <v>620467</v>
      </c>
      <c r="E5" s="4" t="str">
        <v>Budget figure from the mapping dashboard, no assumption made.</v>
      </c>
      <c r="F5" s="4">
        <v>962</v>
      </c>
    </row>
    <row r="6" ht="25" customHeight="1">
      <c r="B6" s="9" t="str">
        <v>W3/Bilateral budget subtotal</v>
      </c>
      <c r="D6" s="9">
        <v>2533281</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xml:space="preserve">
      <c r="A2" s="8" t="str">
        <v>AOW00: Cross Cutting</v>
      </c>
      <c r="B2" s="4" t="str">
        <v>IWMI</v>
      </c>
      <c r="C2" s="4" t="str" xml:space="preserve">
        <v xml:space="preserve">Digital inclusivity of AI advisories and SFP solutions assessed using CGIAR Inclusivity Index to ensure equitable access for women, youth, and disadvantaged groups.
 </v>
      </c>
      <c r="D2" s="4" t="str">
        <v>1: Strengthened and widely used knowledge and advisory systems for decision-making 1: Data Sharing &amp;amp; Analytics for Advisory Services 2: Contextualized innovation bundles tested by partners</v>
      </c>
      <c r="E2" s="4" t="str">
        <v>N/A</v>
      </c>
      <c r="F2" s="5">
        <v>0</v>
      </c>
      <c r="G2" s="4" t="str">
        <v/>
      </c>
      <c r="H2" s="4">
        <v>737</v>
      </c>
    </row>
    <row r="3" ht="25" customHeight="1">
      <c r="C3" s="9" t="str">
        <v>MELIA budget subtotal</v>
      </c>
      <c r="F3" s="9">
        <v>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IWMI</v>
      </c>
      <c r="C2" s="4" t="str">
        <v>Area of Work Leads</v>
      </c>
      <c r="D2" s="5">
        <v>70917</v>
      </c>
      <c r="E2" s="4" t="str">
        <v>AoW leads Q1-Q4 2026</v>
      </c>
      <c r="F2" s="4">
        <v>181</v>
      </c>
      <c r="G2" s="4">
        <v>3</v>
      </c>
    </row>
    <row r="3" ht="45" customHeight="1">
      <c r="A3" s="4" t="str">
        <v>AOW00: Cross Cutting</v>
      </c>
      <c r="B3" s="4" t="str">
        <v>IWMI</v>
      </c>
      <c r="C3" s="4" t="str">
        <v>Operations</v>
      </c>
      <c r="D3" s="5">
        <v>10000</v>
      </c>
      <c r="E3" s="4" t="str">
        <v>AoW lead travels to program leadership meetings</v>
      </c>
      <c r="F3" s="4">
        <v>182</v>
      </c>
      <c r="G3" s="4">
        <v>4</v>
      </c>
    </row>
    <row r="4" ht="25" customHeight="1">
      <c r="C4" s="9" t="str">
        <v>Cross-cutting budget subtotal</v>
      </c>
      <c r="D4" s="9">
        <v>80917</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70917</v>
      </c>
      <c r="C2" s="5">
        <v>0</v>
      </c>
      <c r="D2" s="5">
        <v>272415</v>
      </c>
      <c r="E2" s="5">
        <v>234968</v>
      </c>
      <c r="F2" s="5">
        <v>0</v>
      </c>
      <c r="G2" s="5">
        <v>51065</v>
      </c>
      <c r="H2" s="5">
        <f>=SUM(B2:G2)</f>
        <v>0</v>
      </c>
    </row>
    <row r="3" ht="20" customHeight="1">
      <c r="A3" s="4" t="str">
        <v>Operations (supplies, consultants, travels, workshops, other)</v>
      </c>
      <c r="B3" s="5">
        <v>10000</v>
      </c>
      <c r="C3" s="5">
        <v>0</v>
      </c>
      <c r="D3" s="5">
        <v>63223</v>
      </c>
      <c r="E3" s="5">
        <v>25089</v>
      </c>
      <c r="F3" s="5">
        <v>93000</v>
      </c>
      <c r="G3" s="5">
        <v>69126</v>
      </c>
      <c r="H3" s="5">
        <f>=SUM(B3:G3)</f>
        <v>0</v>
      </c>
    </row>
    <row r="4" ht="20" customHeight="1">
      <c r="A4" s="4" t="str">
        <v>Collaborators non-CGIAR centers</v>
      </c>
      <c r="B4" s="5">
        <v>0</v>
      </c>
      <c r="C4" s="5">
        <v>0</v>
      </c>
      <c r="D4" s="5">
        <v>32000</v>
      </c>
      <c r="E4" s="5">
        <v>0</v>
      </c>
      <c r="F4" s="5">
        <v>7000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IWMI</v>
      </c>
      <c r="C2" s="4" t="str">
        <v>Sri Lanka</v>
      </c>
      <c r="D2" s="5">
        <v>100</v>
      </c>
      <c r="E2" s="4">
        <v>1887</v>
      </c>
    </row>
    <row r="3" ht="45" customHeight="1">
      <c r="A3" s="8" t="str">
        <v>AOW02: Enabling Preparedness and Rapid Response to Emerging Shocks</v>
      </c>
      <c r="B3" s="4" t="str">
        <v>IWMI</v>
      </c>
      <c r="C3" s="4" t="str">
        <v>Ghana</v>
      </c>
      <c r="D3" s="5">
        <v>63</v>
      </c>
      <c r="E3" s="4">
        <v>1871</v>
      </c>
    </row>
    <row r="4" ht="45" customHeight="1">
      <c r="A4" s="4" t="str">
        <v>AOW02: Enabling Preparedness and Rapid Response to Emerging Shocks</v>
      </c>
      <c r="B4" s="4" t="str">
        <v>IWMI</v>
      </c>
      <c r="C4" s="4" t="str">
        <v>India</v>
      </c>
      <c r="D4" s="5">
        <v>18</v>
      </c>
      <c r="E4" s="4">
        <v>1872</v>
      </c>
    </row>
    <row r="5" ht="45" customHeight="1">
      <c r="A5" s="4" t="str">
        <v>AOW02: Enabling Preparedness and Rapid Response to Emerging Shocks</v>
      </c>
      <c r="B5" s="4" t="str">
        <v>IWMI</v>
      </c>
      <c r="C5" s="4" t="str">
        <v>Kenya</v>
      </c>
      <c r="D5" s="5">
        <v>19</v>
      </c>
      <c r="E5" s="4">
        <v>1873</v>
      </c>
    </row>
    <row r="6" ht="45" customHeight="1">
      <c r="A6" s="8" t="str">
        <v>AOW03: Delivering Integrated Solutions to Systemic Farm-Level Binding Constraints</v>
      </c>
      <c r="B6" s="4" t="str">
        <v>IWMI</v>
      </c>
      <c r="C6" s="4" t="str">
        <v>Kenya</v>
      </c>
      <c r="D6" s="5">
        <v>100</v>
      </c>
      <c r="E6" s="4">
        <v>1922</v>
      </c>
    </row>
    <row r="7" ht="45" customHeight="1">
      <c r="A7" s="8" t="str">
        <v>AOW04: Incubating Innovation in Sustainable Farming</v>
      </c>
      <c r="B7" s="4" t="str">
        <v>IWMI</v>
      </c>
      <c r="C7" s="4" t="str">
        <v>Ecuador</v>
      </c>
      <c r="D7" s="5">
        <v>8</v>
      </c>
      <c r="E7" s="4">
        <v>1423</v>
      </c>
    </row>
    <row r="8" ht="45" customHeight="1">
      <c r="A8" s="4" t="str">
        <v>AOW04: Incubating Innovation in Sustainable Farming</v>
      </c>
      <c r="B8" s="4" t="str">
        <v>IWMI</v>
      </c>
      <c r="C8" s="4" t="str">
        <v>Egypt</v>
      </c>
      <c r="D8" s="5">
        <v>5</v>
      </c>
      <c r="E8" s="4">
        <v>1424</v>
      </c>
    </row>
    <row r="9" ht="45" customHeight="1">
      <c r="A9" s="4" t="str">
        <v>AOW04: Incubating Innovation in Sustainable Farming</v>
      </c>
      <c r="B9" s="4" t="str">
        <v>IWMI</v>
      </c>
      <c r="C9" s="4" t="str">
        <v>Ethiopia</v>
      </c>
      <c r="D9" s="5">
        <v>5</v>
      </c>
      <c r="E9" s="4">
        <v>1425</v>
      </c>
    </row>
    <row r="10" ht="45" customHeight="1">
      <c r="A10" s="4" t="str">
        <v>AOW04: Incubating Innovation in Sustainable Farming</v>
      </c>
      <c r="B10" s="4" t="str">
        <v>IWMI</v>
      </c>
      <c r="C10" s="4" t="str">
        <v>India</v>
      </c>
      <c r="D10" s="5">
        <v>7</v>
      </c>
      <c r="E10" s="4">
        <v>1426</v>
      </c>
    </row>
    <row r="11" ht="45" customHeight="1">
      <c r="A11" s="4" t="str">
        <v>AOW04: Incubating Innovation in Sustainable Farming</v>
      </c>
      <c r="B11" s="4" t="str">
        <v>IWMI</v>
      </c>
      <c r="C11" s="4" t="str">
        <v>Kenya</v>
      </c>
      <c r="D11" s="5">
        <v>14</v>
      </c>
      <c r="E11" s="4">
        <v>1427</v>
      </c>
    </row>
    <row r="12" ht="45" customHeight="1">
      <c r="A12" s="4" t="str">
        <v>AOW04: Incubating Innovation in Sustainable Farming</v>
      </c>
      <c r="B12" s="4" t="str">
        <v>IWMI</v>
      </c>
      <c r="C12" s="4" t="str">
        <v>Malawi</v>
      </c>
      <c r="D12" s="5">
        <v>14</v>
      </c>
      <c r="E12" s="4">
        <v>1428</v>
      </c>
    </row>
    <row r="13" ht="45" customHeight="1">
      <c r="A13" s="4" t="str">
        <v>AOW04: Incubating Innovation in Sustainable Farming</v>
      </c>
      <c r="B13" s="4" t="str">
        <v>IWMI</v>
      </c>
      <c r="C13" s="4" t="str">
        <v>Morocco</v>
      </c>
      <c r="D13" s="5">
        <v>12</v>
      </c>
      <c r="E13" s="4">
        <v>1430</v>
      </c>
    </row>
    <row r="14" ht="45" customHeight="1">
      <c r="A14" s="4" t="str">
        <v>AOW04: Incubating Innovation in Sustainable Farming</v>
      </c>
      <c r="B14" s="4" t="str">
        <v>IWMI</v>
      </c>
      <c r="C14" s="4" t="str">
        <v>Peru</v>
      </c>
      <c r="D14" s="5">
        <v>7</v>
      </c>
      <c r="E14" s="4">
        <v>1431</v>
      </c>
    </row>
    <row r="15" ht="45" customHeight="1">
      <c r="A15" s="4" t="str">
        <v>AOW04: Incubating Innovation in Sustainable Farming</v>
      </c>
      <c r="B15" s="4" t="str">
        <v>IWMI</v>
      </c>
      <c r="C15" s="4" t="str">
        <v>Philippines</v>
      </c>
      <c r="D15" s="5">
        <v>14</v>
      </c>
      <c r="E15" s="4">
        <v>1435</v>
      </c>
    </row>
    <row r="16" ht="45" customHeight="1">
      <c r="A16" s="4" t="str">
        <v>AOW04: Incubating Innovation in Sustainable Farming</v>
      </c>
      <c r="B16" s="4" t="str">
        <v>IWMI</v>
      </c>
      <c r="C16" s="4" t="str">
        <v>Zambia</v>
      </c>
      <c r="D16" s="5">
        <v>14</v>
      </c>
      <c r="E16" s="4">
        <v>1437</v>
      </c>
    </row>
    <row r="17" ht="45" customHeight="1">
      <c r="A17" s="8" t="str">
        <v>AOW05: Accelerating Impact</v>
      </c>
      <c r="B17" s="4" t="str">
        <v>IWMI</v>
      </c>
      <c r="C17" s="4" t="str">
        <v>Nepal</v>
      </c>
      <c r="D17" s="5">
        <v>33</v>
      </c>
      <c r="E17" s="4">
        <v>3229</v>
      </c>
    </row>
    <row r="18" ht="45" customHeight="1">
      <c r="A18" s="4" t="str">
        <v>AOW05: Accelerating Impact</v>
      </c>
      <c r="B18" s="4" t="str">
        <v>IWMI</v>
      </c>
      <c r="C18" s="4" t="str">
        <v>Sri Lanka</v>
      </c>
      <c r="D18" s="5">
        <v>34</v>
      </c>
      <c r="E18" s="4">
        <v>3230</v>
      </c>
    </row>
  </sheetData>
  <mergeCells count="5">
    <mergeCell ref="A2"/>
    <mergeCell ref="A3:A5"/>
    <mergeCell ref="A6"/>
    <mergeCell ref="A7:A16"/>
    <mergeCell ref="A17:A18"/>
  </mergeCells>
  <ignoredErrors>
    <ignoredError numberStoredAsText="1" sqref="A1:E18"/>
  </ignoredErrors>
</worksheet>
</file>

<file path=xl/worksheets/sheet9.xml><?xml version="1.0" encoding="utf-8"?>
<worksheet xmlns="http://schemas.openxmlformats.org/spreadsheetml/2006/main" xmlns:r="http://schemas.openxmlformats.org/officeDocument/2006/relationships">
  <dimension ref="A1:F8"/>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IWMI</v>
      </c>
      <c r="C2" s="4" t="str">
        <v>Global</v>
      </c>
      <c r="D2" s="4" t="str">
        <v>global</v>
      </c>
      <c r="E2" s="5">
        <v>100</v>
      </c>
      <c r="F2" s="4">
        <v>653</v>
      </c>
    </row>
    <row r="3" ht="45" customHeight="1">
      <c r="A3" s="8" t="str">
        <v>AOW02: Enabling Preparedness and Rapid Response to Emerging Shocks</v>
      </c>
      <c r="B3" s="4" t="str">
        <v>IWMI</v>
      </c>
      <c r="C3" s="4" t="str">
        <v>Ghana</v>
      </c>
      <c r="D3" s="4" t="str">
        <v>country</v>
      </c>
      <c r="E3" s="5">
        <v>63</v>
      </c>
      <c r="F3" s="4">
        <v>641</v>
      </c>
    </row>
    <row r="4" ht="45" customHeight="1">
      <c r="A4" s="4" t="str">
        <v>AOW02: Enabling Preparedness and Rapid Response to Emerging Shocks</v>
      </c>
      <c r="B4" s="4" t="str">
        <v>IWMI</v>
      </c>
      <c r="C4" s="4" t="str">
        <v>India</v>
      </c>
      <c r="D4" s="4" t="str">
        <v>country</v>
      </c>
      <c r="E4" s="5">
        <v>18</v>
      </c>
      <c r="F4" s="4">
        <v>1467</v>
      </c>
    </row>
    <row r="5" ht="45" customHeight="1">
      <c r="A5" s="4" t="str">
        <v>AOW02: Enabling Preparedness and Rapid Response to Emerging Shocks</v>
      </c>
      <c r="B5" s="4" t="str">
        <v>IWMI</v>
      </c>
      <c r="C5" s="4" t="str">
        <v>Kenya</v>
      </c>
      <c r="D5" s="4" t="str">
        <v>country</v>
      </c>
      <c r="E5" s="5">
        <v>19</v>
      </c>
      <c r="F5" s="4">
        <v>1468</v>
      </c>
    </row>
    <row r="6" ht="45" customHeight="1">
      <c r="A6" s="8" t="str">
        <v>AOW03: Delivering Integrated Solutions to Systemic Farm-Level Binding Constraints</v>
      </c>
      <c r="B6" s="4" t="str">
        <v>IWMI</v>
      </c>
      <c r="C6" s="4" t="str">
        <v>Kenya</v>
      </c>
      <c r="D6" s="4" t="str">
        <v>country</v>
      </c>
      <c r="E6" s="5">
        <v>100</v>
      </c>
      <c r="F6" s="4">
        <v>1469</v>
      </c>
    </row>
    <row r="7" ht="45" customHeight="1">
      <c r="A7" s="8" t="str">
        <v>AOW04: Incubating Innovation in Sustainable Farming</v>
      </c>
      <c r="B7" s="4" t="str">
        <v>IWMI</v>
      </c>
      <c r="C7" s="4" t="str">
        <v>Global</v>
      </c>
      <c r="D7" s="4" t="str">
        <v>global</v>
      </c>
      <c r="E7" s="5">
        <v>100</v>
      </c>
      <c r="F7" s="4">
        <v>505</v>
      </c>
    </row>
    <row r="8" ht="45" customHeight="1">
      <c r="A8" s="8" t="str">
        <v>AOW05: Accelerating Impact</v>
      </c>
      <c r="B8" s="4" t="str">
        <v>IWMI</v>
      </c>
      <c r="C8" s="4" t="str">
        <v>Global</v>
      </c>
      <c r="D8" s="4" t="str">
        <v>global</v>
      </c>
      <c r="E8" s="5">
        <v>100</v>
      </c>
      <c r="F8" s="4">
        <v>1470</v>
      </c>
    </row>
  </sheetData>
  <mergeCells count="5">
    <mergeCell ref="A2"/>
    <mergeCell ref="A3:A5"/>
    <mergeCell ref="A6"/>
    <mergeCell ref="A7"/>
    <mergeCell ref="A8"/>
  </mergeCells>
  <ignoredErrors>
    <ignoredError numberStoredAsText="1" sqref="A1:F8"/>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Number of Policy (Policy Change)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10</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40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10</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40</v>
      </c>
      <c r="G16" s="4">
        <v>510</v>
      </c>
    </row>
    <row r="17" ht="60" customHeight="1">
      <c r="A17" s="4" t="str">
        <v>AOW00: Cross Cutting</v>
      </c>
      <c r="B17" s="4" t="str">
        <v>8: Partnership-Driven Agronomic Gains at Scale</v>
      </c>
      <c r="C17" s="4" t="str">
        <v/>
      </c>
      <c r="D17" s="4" t="str">
        <v>Innovation Use</v>
      </c>
      <c r="E17" s="4" t="str">
        <v>Global</v>
      </c>
      <c r="F17" s="5">
        <v>100</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