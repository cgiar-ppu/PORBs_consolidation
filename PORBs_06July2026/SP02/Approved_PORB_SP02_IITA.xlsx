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561064</v>
      </c>
      <c r="K4" s="5">
        <v>561064</v>
      </c>
      <c r="L4" s="5">
        <v>0</v>
      </c>
      <c r="M4" s="5">
        <v>0</v>
      </c>
      <c r="N4" s="4">
        <v>169</v>
      </c>
    </row>
    <row r="5" ht="20" customHeight="1">
      <c r="A5" s="4" t="str">
        <v>AOW01: Accelerating AI-Enabled Farm Advisory at Scale.</v>
      </c>
      <c r="B5" s="5">
        <v>7</v>
      </c>
      <c r="C5" s="5">
        <v>246500</v>
      </c>
      <c r="D5" s="5">
        <v>8</v>
      </c>
      <c r="E5" s="5">
        <v>265100</v>
      </c>
      <c r="F5" s="5">
        <v>50000</v>
      </c>
      <c r="G5" s="5">
        <v>50000</v>
      </c>
      <c r="H5" s="5">
        <v>0</v>
      </c>
      <c r="I5" s="5">
        <v>0</v>
      </c>
      <c r="J5" s="5">
        <v>561600</v>
      </c>
      <c r="K5" s="5">
        <v>561600</v>
      </c>
      <c r="L5" s="5">
        <v>57000</v>
      </c>
      <c r="M5" s="5">
        <v>0</v>
      </c>
      <c r="N5" s="4">
        <v>168</v>
      </c>
    </row>
    <row r="6" ht="20" customHeight="1">
      <c r="A6" s="4" t="str">
        <v>AOW02: Enabling Preparedness and Rapid Response to Emerging Shocks</v>
      </c>
      <c r="B6" s="5">
        <v>4</v>
      </c>
      <c r="C6" s="5">
        <v>263730</v>
      </c>
      <c r="D6" s="5">
        <v>13</v>
      </c>
      <c r="E6" s="5">
        <v>697536</v>
      </c>
      <c r="F6" s="5">
        <v>0</v>
      </c>
      <c r="G6" s="5">
        <v>0</v>
      </c>
      <c r="H6" s="5">
        <v>0</v>
      </c>
      <c r="I6" s="5">
        <v>0</v>
      </c>
      <c r="J6" s="5">
        <v>961266</v>
      </c>
      <c r="K6" s="5">
        <v>961266</v>
      </c>
      <c r="L6" s="5">
        <v>0</v>
      </c>
      <c r="M6" s="5">
        <v>0</v>
      </c>
      <c r="N6" s="4">
        <v>166</v>
      </c>
    </row>
    <row r="7" ht="20" customHeight="1">
      <c r="A7" s="4" t="str">
        <v>AOW03: Delivering Integrated Solutions to Systemic Farm-Level Binding Constraints</v>
      </c>
      <c r="B7" s="5">
        <v>3</v>
      </c>
      <c r="C7" s="5">
        <v>582873</v>
      </c>
      <c r="D7" s="5">
        <v>20</v>
      </c>
      <c r="E7" s="5">
        <v>869507</v>
      </c>
      <c r="F7" s="5">
        <v>0</v>
      </c>
      <c r="G7" s="5">
        <v>0</v>
      </c>
      <c r="H7" s="5">
        <v>0</v>
      </c>
      <c r="I7" s="5">
        <v>0</v>
      </c>
      <c r="J7" s="5">
        <v>1452380</v>
      </c>
      <c r="K7" s="5">
        <v>1452380</v>
      </c>
      <c r="L7" s="5">
        <v>30000</v>
      </c>
      <c r="M7" s="5">
        <v>0</v>
      </c>
      <c r="N7" s="4">
        <v>164</v>
      </c>
    </row>
    <row r="8" ht="20" customHeight="1">
      <c r="A8" s="4" t="str">
        <v>AOW04: Incubating Innovation in Sustainable Farming</v>
      </c>
      <c r="B8" s="5">
        <v>0</v>
      </c>
      <c r="C8" s="5">
        <v>0</v>
      </c>
      <c r="D8" s="5">
        <v>1</v>
      </c>
      <c r="E8" s="5">
        <v>100000</v>
      </c>
      <c r="F8" s="5">
        <v>0</v>
      </c>
      <c r="G8" s="5">
        <v>0</v>
      </c>
      <c r="H8" s="5">
        <v>0</v>
      </c>
      <c r="I8" s="5">
        <v>0</v>
      </c>
      <c r="J8" s="5">
        <v>100000</v>
      </c>
      <c r="K8" s="5">
        <v>100000</v>
      </c>
      <c r="L8" s="5">
        <v>27500</v>
      </c>
      <c r="M8" s="5">
        <v>0</v>
      </c>
      <c r="N8" s="4">
        <v>165</v>
      </c>
    </row>
    <row r="9" ht="20" customHeight="1">
      <c r="A9" s="4" t="str">
        <v>AOW05: Accelerating Impact</v>
      </c>
      <c r="B9" s="5">
        <v>24</v>
      </c>
      <c r="C9" s="5">
        <v>685464</v>
      </c>
      <c r="D9" s="5">
        <v>11</v>
      </c>
      <c r="E9" s="5">
        <v>121490</v>
      </c>
      <c r="F9" s="5">
        <v>70130</v>
      </c>
      <c r="G9" s="5">
        <v>218325</v>
      </c>
      <c r="H9" s="5">
        <v>0</v>
      </c>
      <c r="I9" s="5">
        <v>0</v>
      </c>
      <c r="J9" s="5">
        <v>1025279</v>
      </c>
      <c r="K9" s="5">
        <v>1025279</v>
      </c>
      <c r="L9" s="5">
        <v>26606</v>
      </c>
      <c r="M9" s="5">
        <v>168914</v>
      </c>
      <c r="N9" s="4">
        <v>167</v>
      </c>
    </row>
    <row r="10" ht="25" customHeight="1">
      <c r="A10" s="6" t="str">
        <v>Total</v>
      </c>
      <c r="B10" s="7" t="str">
        <v/>
      </c>
      <c r="C10" s="7">
        <v>1778567</v>
      </c>
      <c r="D10" s="7" t="str">
        <v/>
      </c>
      <c r="E10" s="7">
        <v>2053633</v>
      </c>
      <c r="F10" s="7" t="str">
        <v/>
      </c>
      <c r="G10" s="7">
        <v>268325</v>
      </c>
      <c r="H10" s="7" t="str">
        <v/>
      </c>
      <c r="I10" s="7">
        <v>0</v>
      </c>
      <c r="J10" s="7">
        <v>4661589</v>
      </c>
      <c r="K10" s="7">
        <v>4661589</v>
      </c>
      <c r="L10" s="7">
        <v>141106</v>
      </c>
      <c r="M10" s="7">
        <v>168914</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5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AI-Enabled Farm Advisory at Scale.</v>
      </c>
      <c r="B3" s="4" t="str">
        <v>IITA</v>
      </c>
      <c r="C3" s="4" t="str">
        <v xml:space="preserve">1.3: Farmer utilization and adoption of AI-enabled advisory services </v>
      </c>
      <c r="D3" s="4" t="str">
        <v>Systematic analysis of user and farmer prompts collected from chatbot platforms to identify dominant user needs, queries and emerging trends, generating evidence to prioritize agronomic solutions and inform policy recommendations aligned with real-world user demand.</v>
      </c>
      <c r="E3" s="4" t="str">
        <v>Number of knowledge products</v>
      </c>
      <c r="F3" s="4" t="str">
        <v>Mozambique, Zambia, Malawi</v>
      </c>
      <c r="G3" s="5">
        <v>1</v>
      </c>
      <c r="H3" s="5">
        <v>38100</v>
      </c>
      <c r="I3" s="4" t="str">
        <v>no budget assumption</v>
      </c>
      <c r="J3" s="4">
        <v>4906</v>
      </c>
    </row>
    <row r="4" ht="50" customHeight="1">
      <c r="B4" s="4" t="str">
        <v>IITA</v>
      </c>
      <c r="D4" s="4" t="str">
        <v>Cassava fertilizer recommendations and good agronomic practices from AgWise and other sources integrated into the AKILIMO chatbot for user-accessible cassava advisories, with quality assessment of chatbot recommendations (based on LLMs trained on farmer Q&amp;As) and of maize planting-date recommendations prior to AKILIMO integration.</v>
      </c>
      <c r="E4" s="4" t="str">
        <v>Number of innovations (innovation development)</v>
      </c>
      <c r="F4" s="4" t="str">
        <v>Nigeria</v>
      </c>
      <c r="G4" s="5">
        <v>1</v>
      </c>
      <c r="H4" s="5">
        <v>42300</v>
      </c>
      <c r="I4" s="4" t="str">
        <v>no budget assumption</v>
      </c>
      <c r="J4" s="4">
        <v>4907</v>
      </c>
    </row>
    <row r="5" ht="50" customHeight="1">
      <c r="B5" s="4" t="str">
        <v>IITA</v>
      </c>
      <c r="D5" s="4" t="str">
        <v>Support farmer onboarding and uptake of the AI-enabled SNS agricultural services suite, leveraging the 2.5 million farmers already onboarded to SNS to reach ~500,000 farmers at a 20% adoption rate without additional customer acquisition costs.</v>
      </c>
      <c r="E5" s="4" t="str">
        <v>Number of people trained (capacity sharing for development)</v>
      </c>
      <c r="F5" s="4" t="str">
        <v>Rwanda</v>
      </c>
      <c r="G5" s="5">
        <v>50000</v>
      </c>
      <c r="H5" s="5">
        <v>50000</v>
      </c>
      <c r="I5" s="4" t="str">
        <v>No budget assumption</v>
      </c>
      <c r="J5" s="4">
        <v>7948</v>
      </c>
    </row>
    <row r="6" ht="50" customHeight="1">
      <c r="A6" s="4" t="str">
        <v>AOW01: Accelerating AI-Enabled Farm Advisory at Scale.</v>
      </c>
      <c r="B6" s="4" t="str">
        <v>IITA</v>
      </c>
      <c r="C6" s="4" t="str">
        <v xml:space="preserve"> 1.1: Agronomic and farm management scientific data and analytics  </v>
      </c>
      <c r="D6" s="4" t="str">
        <v>Strengthened AgWise Decision Support Framework through three integrated upgrades: evaluation and integration of improved weather, soil, NDVI and topography data products across SSA agro-ecological zones; an AI-enhanced AgWise Soil Health Module producing data-driven soil diagnostics and farmer-specific soil-health advisories; and a streamlined seasonal forecasting component interoperable with other AgWise modules and the AKILIMO DST.</v>
      </c>
      <c r="E6" s="4" t="str">
        <v>Number of innovations (innovation development)</v>
      </c>
      <c r="F6" s="4" t="str">
        <v>Malawi, Zambia, Mozambique</v>
      </c>
      <c r="G6" s="5">
        <v>3</v>
      </c>
      <c r="H6" s="5">
        <v>79300</v>
      </c>
      <c r="I6" s="4" t="str">
        <v>No budget assumption</v>
      </c>
      <c r="J6" s="4">
        <v>5011</v>
      </c>
    </row>
    <row r="7" ht="50" customHeight="1">
      <c r="B7" s="4" t="str">
        <v>IITA</v>
      </c>
      <c r="D7" s="4" t="str">
        <v>Integration of AgWise agronomic recommendations (nutrient management and seasonal-forecast-based planting-date advisories) into the AKILIMO decision support tool, positioning AgWise as the R&amp;D engine and AKILIMO as the farmer-facing delivery platform.</v>
      </c>
      <c r="E7" s="4" t="str">
        <v>Number of innovations (innovation development)</v>
      </c>
      <c r="F7" s="4" t="str">
        <v>Nigeria</v>
      </c>
      <c r="G7" s="5">
        <v>2</v>
      </c>
      <c r="H7" s="5">
        <v>77300</v>
      </c>
      <c r="I7" s="4" t="str">
        <v>no budget assumption</v>
      </c>
      <c r="J7" s="4">
        <v>5012</v>
      </c>
    </row>
    <row r="8" ht="50" customHeight="1">
      <c r="B8" s="4" t="str">
        <v>IITA</v>
      </c>
      <c r="D8" s="4" t="str">
        <v>Develop and validate a data set of at least 250 farmer Q &amp; A pairs on Cassava production for Nigeria, co-created with smallholder farmers and key partners through participatory workshops. The data set will be used to train and fine tune LLMs, to enhance the quality and contextual accuracy of the advisories from the AKILIMO decision support tool.</v>
      </c>
      <c r="E8" s="4" t="str">
        <v>Number of knowledge products</v>
      </c>
      <c r="F8" s="4" t="str">
        <v>Nigeria</v>
      </c>
      <c r="G8" s="5">
        <v>1</v>
      </c>
      <c r="H8" s="5">
        <v>39100</v>
      </c>
      <c r="I8" s="4" t="str">
        <v>no budget assumption</v>
      </c>
      <c r="J8" s="4">
        <v>7937</v>
      </c>
    </row>
    <row r="9" ht="50" customHeight="1">
      <c r="B9" s="4" t="str">
        <v>IITA</v>
      </c>
      <c r="D9" s="4" t="str">
        <v>Harmonized biophysical, socio-economic and farm-management knowledge corpus (fertilizer prices, input access, trials, literature) used to train and validate LLMs (LLaMA, Mistral) and classical ML models (XGBoost, Random Forest, Gradient Boosting) for contextualized agronomic recommendations in Ethiopian wheat systems, complemented by a global systematic literature review on LLM use for agronomic data sourcing and recommendation generation.</v>
      </c>
      <c r="E9" s="4" t="str">
        <v>Number of knowledge products</v>
      </c>
      <c r="F9" s="4" t="str">
        <v>Ethiopia</v>
      </c>
      <c r="G9" s="5">
        <v>2</v>
      </c>
      <c r="H9" s="5">
        <v>70900</v>
      </c>
      <c r="I9" s="4" t="str">
        <v>no budget assumption</v>
      </c>
      <c r="J9" s="4">
        <v>7940</v>
      </c>
    </row>
    <row r="10" ht="50" customHeight="1">
      <c r="B10" s="4" t="str">
        <v>IITA</v>
      </c>
      <c r="D10" s="4" t="str">
        <v>Standardize and publish at least 50 agronomic, socio-economic, and related input–output datasets by harmonizing schemas and adopting controlled vocabularies, and disseminate them through open public repositories to ensure interoperability, transparency, and AI readiness and explore AI assisted data curation</v>
      </c>
      <c r="E10" s="4" t="str">
        <v>Number of knowledge products</v>
      </c>
      <c r="F10" s="4" t="str">
        <v>Mozambique, Ghana, Kenya, Zambia, Malawi</v>
      </c>
      <c r="G10" s="5">
        <v>1</v>
      </c>
      <c r="H10" s="5">
        <v>37000</v>
      </c>
      <c r="I10" s="4" t="str">
        <v>no budget assumption</v>
      </c>
      <c r="J10" s="4">
        <v>7942</v>
      </c>
    </row>
    <row r="11" ht="50" customHeight="1">
      <c r="B11" s="4" t="str">
        <v>IITA</v>
      </c>
      <c r="D11" s="4" t="str">
        <v>Systematic literature review on the integration of Earth observation, AI and crop modelling for yield estimation in sub-Saharan Africa — covering appropriate AI methods (Random Forest, Gradient Boosting, SVM), crop models (APSIM, DSSAT, STICS) and remote-sensing datasets for data-scarce smallholder systems — paired with a workflow codebase that operationalizes this EO-AI-CM integration and is validated for feasibility in Kenyan smallholder farming systems.</v>
      </c>
      <c r="E11" s="4" t="str">
        <v>Number of innovations (innovation development)</v>
      </c>
      <c r="F11" s="4" t="str">
        <v>Kenya</v>
      </c>
      <c r="G11" s="5">
        <v>1</v>
      </c>
      <c r="H11" s="5">
        <v>47600</v>
      </c>
      <c r="I11" s="4" t="str">
        <v>No budget assumption</v>
      </c>
      <c r="J11" s="4">
        <v>7984</v>
      </c>
    </row>
    <row r="12" ht="50" customHeight="1">
      <c r="A12" s="4" t="str">
        <v>AOW01: Accelerating AI-Enabled Farm Advisory at Scale.</v>
      </c>
      <c r="B12" s="4" t="str">
        <v>IITA</v>
      </c>
      <c r="C12" s="4" t="str">
        <v xml:space="preserve">1.2: Benchmarking and performance validation systems </v>
      </c>
      <c r="D12" s="4" t="str">
        <v>Comparative evaluation of traditional and AI-enabled agro-advisory systems across three dimensions: dissemination methodologies (SMS, USSD, radio) for reach and user engagement; platform performance (e.g., AKILIMO) for usability, interoperability and data integration; and advisory content quality for accuracy, contextual relevance, timeliness, and the added value of AI in precision and adaptability.</v>
      </c>
      <c r="E12" s="4" t="str">
        <v>Number of knowledge products</v>
      </c>
      <c r="F12" s="4" t="str">
        <v>Malawi, Nigeria, Rwanda</v>
      </c>
      <c r="G12" s="5">
        <v>3</v>
      </c>
      <c r="H12" s="5">
        <v>80000</v>
      </c>
      <c r="I12" s="4" t="str">
        <v>No budget assumption</v>
      </c>
      <c r="J12" s="4">
        <v>5018</v>
      </c>
    </row>
    <row r="13" ht="25" customHeight="1">
      <c r="C13" s="9" t="str">
        <v>HLO budget subtotal</v>
      </c>
      <c r="H13" s="9">
        <v>561600</v>
      </c>
      <c r="J13" s="9" t="str">
        <v/>
      </c>
    </row>
    <row r="14" ht="50" customHeight="1">
      <c r="A14" s="8" t="str">
        <v>AOW02: Enabling Preparedness and Rapid Response to Emerging Shocks</v>
      </c>
      <c r="B14" s="4" t="str">
        <v>IITA</v>
      </c>
      <c r="C14" s="4" t="str">
        <v>2.2: Strategies for response to water related shocks</v>
      </c>
      <c r="D14" s="4" t="str">
        <v>Knowledge products that enhance farmer level response towards water related shocks (e.g. droughts, floods), pests and disease outbreaks (e.g. BBTV, BXW, and FoC TR4, legume viral disease, potato purple top complex disease)</v>
      </c>
      <c r="E14" s="4" t="str">
        <v>Number of knowledge products</v>
      </c>
      <c r="F14" s="4" t="str">
        <v>Kenya, Zambia, Peru, Ethiopia, Lebanon, Tanzania, United Republic, Nigeria, Cameroon, Uganda</v>
      </c>
      <c r="G14" s="5">
        <v>1</v>
      </c>
      <c r="H14" s="5">
        <v>85000</v>
      </c>
      <c r="I14" s="4" t="str">
        <v>with additional budget</v>
      </c>
      <c r="J14" s="4">
        <v>4928</v>
      </c>
    </row>
    <row r="15" ht="50" customHeight="1">
      <c r="B15" s="4" t="str">
        <v>IITA</v>
      </c>
      <c r="D15" s="4" t="str">
        <v>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v>
      </c>
      <c r="E15" s="4" t="str">
        <v>Number of innovations (innovation development)</v>
      </c>
      <c r="F15" s="4" t="str">
        <v>Ghana, Nigeria, Kenya</v>
      </c>
      <c r="G15" s="5">
        <v>1</v>
      </c>
      <c r="H15" s="5">
        <v>20131</v>
      </c>
      <c r="I15" s="4" t="str">
        <v>additional budget</v>
      </c>
      <c r="J15" s="4">
        <v>7933</v>
      </c>
    </row>
    <row r="16" ht="50" customHeight="1">
      <c r="B16" s="4" t="str">
        <v>IITA</v>
      </c>
      <c r="D16" s="4" t="str">
        <v>Data-driven platforms, dashboards, and modeling tools that support enhanced farmer level response towards water related shocks (e.g. droughts, floods), pests and disease outbreaks (e.g. BBTV, BXW, and FoC TR4 )</v>
      </c>
      <c r="E16" s="4" t="str">
        <v>Number of knowledge products</v>
      </c>
      <c r="F16" s="4" t="str">
        <v>Cameroon, Uganda, Nigeria, Tanzania, United Republic, India</v>
      </c>
      <c r="G16" s="5">
        <v>4</v>
      </c>
      <c r="H16" s="5">
        <v>211046</v>
      </c>
      <c r="I16" s="4" t="str">
        <v>no budget assumption</v>
      </c>
      <c r="J16" s="4">
        <v>7955</v>
      </c>
    </row>
    <row r="17" ht="50" customHeight="1">
      <c r="A17" s="4" t="str">
        <v>AOW02: Enabling Preparedness and Rapid Response to Emerging Shocks</v>
      </c>
      <c r="B17" s="4" t="str">
        <v>IITA</v>
      </c>
      <c r="C17" s="4" t="str">
        <v xml:space="preserve">2.1: Enhanced resolution, accuracy and timeliness of early warning system </v>
      </c>
      <c r="D17" s="4" t="str">
        <v>Critical capabilities: Laboratory services on pests and disease diagnostics of cassava, banana, yam, potato, and sweet potato, and mycotoxin testing (maize, rice, forages and legumes), including performing life-cycle models under different thermal conditions to generate data for ILCYM tool jointly with CIP for three pests (banana aphid, cassava mealybugs, and cassava green mite)</v>
      </c>
      <c r="E17" s="4" t="str">
        <v>Number of knowledge products</v>
      </c>
      <c r="F17" s="4" t="str">
        <v>Nigeria</v>
      </c>
      <c r="G17" s="5">
        <v>2</v>
      </c>
      <c r="H17" s="5">
        <v>48242</v>
      </c>
      <c r="I17" s="4" t="str">
        <v>critical capabilities budget</v>
      </c>
      <c r="J17" s="4">
        <v>4932</v>
      </c>
    </row>
    <row r="18" ht="50" customHeight="1">
      <c r="B18" s="4" t="str">
        <v>IITA</v>
      </c>
      <c r="D18" s="4" t="str">
        <v xml:space="preserve">Critical capabilities: Data sets on distribution and diversity of emerging pests and diseases of cassava, banana, yam, potato, and sweet potato available for integrating risk modeling to strengthen forecast models and early warning systems. </v>
      </c>
      <c r="E18" s="4" t="str">
        <v>Number of knowledge products</v>
      </c>
      <c r="F18" s="4" t="str">
        <v>Nigeria</v>
      </c>
      <c r="G18" s="5">
        <v>2</v>
      </c>
      <c r="H18" s="5">
        <v>34586</v>
      </c>
      <c r="I18" s="4" t="str">
        <v>critical capabilities budget</v>
      </c>
      <c r="J18" s="4">
        <v>4933</v>
      </c>
    </row>
    <row r="19" ht="50" customHeight="1">
      <c r="B19" s="4" t="str">
        <v>IITA</v>
      </c>
      <c r="D19" s="4"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E19" s="4" t="str">
        <v>Number of knowledge products</v>
      </c>
      <c r="F19" s="4" t="str">
        <v>Rwanda, Malawi, Benin, Kenya, Côte d'Ivoire, Zambia, Philippines, Uganda, Peru, Nigeria</v>
      </c>
      <c r="G19" s="5">
        <v>1</v>
      </c>
      <c r="H19" s="5">
        <v>94088</v>
      </c>
      <c r="I19" s="4" t="str">
        <v>no budget assumption</v>
      </c>
      <c r="J19" s="4">
        <v>4939</v>
      </c>
    </row>
    <row r="20" ht="50" customHeight="1">
      <c r="B20" s="4" t="str">
        <v>IITA</v>
      </c>
      <c r="D20" s="4"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E20" s="4" t="str">
        <v>Number of innovations (innovation development)</v>
      </c>
      <c r="F20" s="4" t="str">
        <v>Ghana, Rwanda, Benin, Philippines, Zambia, Kenya, Malawi, Côte d'Ivoire, Uganda, Nigeria</v>
      </c>
      <c r="G20" s="5">
        <v>1</v>
      </c>
      <c r="H20" s="5">
        <v>105406</v>
      </c>
      <c r="I20" s="4" t="str">
        <v>with additional budget</v>
      </c>
      <c r="J20" s="4">
        <v>4943</v>
      </c>
    </row>
    <row r="21" ht="50" customHeight="1">
      <c r="B21" s="4" t="str">
        <v>IITA</v>
      </c>
      <c r="D21" s="4" t="str">
        <v>Enhanced data sets to enhance detection, distribution, diversity and forecasting of current and emerging pests or diseases for different cropping systems (yam, bean, cassava, banana, sorghum, potato, and sweet potato)</v>
      </c>
      <c r="E21" s="4" t="str">
        <v>Number of knowledge products</v>
      </c>
      <c r="F21" s="4" t="str">
        <v>Malawi, Ethiopia, Tanzania, United Republic, Togo, Niger, Zambia, Burkina Faso, South Sudan, Kenya, Mozambique, Uganda, Colombia, Ghana, Senegal, Zimbabwe, Cameroon, Mali, India, Chad, Nigeria</v>
      </c>
      <c r="G21" s="5">
        <v>1</v>
      </c>
      <c r="H21" s="5">
        <v>109000</v>
      </c>
      <c r="I21" s="4" t="str">
        <v>with additional budget</v>
      </c>
      <c r="J21" s="4">
        <v>4947</v>
      </c>
    </row>
    <row r="22" ht="50" customHeight="1">
      <c r="B22" s="4" t="str">
        <v>IITA</v>
      </c>
      <c r="D22" s="4" t="str">
        <v>Training material and training activities to enhance early detection of water related shocks, pests and disease occurrence using AI and digital tools</v>
      </c>
      <c r="E22" s="4" t="str">
        <v>Number of knowledge products</v>
      </c>
      <c r="F22" s="4" t="str">
        <v>Netherlands (Kingdom of the), Kenya, Philippines, Ethiopia, Cameroon, Nigeria, Tanzania, United Republic, The Democratic Republic of the Congo</v>
      </c>
      <c r="G22" s="5">
        <v>1</v>
      </c>
      <c r="H22" s="5">
        <v>85574</v>
      </c>
      <c r="I22" s="4" t="str">
        <v>with additional budget</v>
      </c>
      <c r="J22" s="4">
        <v>4949</v>
      </c>
    </row>
    <row r="23" ht="50" customHeight="1">
      <c r="B23" s="4" t="str">
        <v>IITA</v>
      </c>
      <c r="D23" s="4" t="str">
        <v>Enhanced models, templates, frameworks, maps or data tools to detect climate related water risks for different cropping systems (maize, soybean, cocoa)</v>
      </c>
      <c r="E23" s="4" t="str">
        <v>Number of innovations (innovation development)</v>
      </c>
      <c r="F23" s="4" t="str">
        <v>Nigeria, Benin, Ghana, Kenya</v>
      </c>
      <c r="G23" s="5">
        <v>2</v>
      </c>
      <c r="H23" s="5">
        <v>138193</v>
      </c>
      <c r="I23" s="4" t="str">
        <v>with additional budget</v>
      </c>
      <c r="J23" s="4">
        <v>4953</v>
      </c>
    </row>
    <row r="24" ht="50" customHeight="1">
      <c r="A24" s="4" t="str">
        <v>AOW02: Enabling Preparedness and Rapid Response to Emerging Shocks</v>
      </c>
      <c r="B24" s="4" t="str">
        <v>IITA</v>
      </c>
      <c r="C24" s="4" t="str">
        <v xml:space="preserve">2.3: Responses effectiveness and trade-offs to climate, pests and diseases shocks </v>
      </c>
      <c r="D24" s="4" t="str">
        <v>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v>
      </c>
      <c r="E24" s="4" t="str">
        <v>Number of knowledge products</v>
      </c>
      <c r="F24" s="4" t="str">
        <v>Ghana, Bangladesh, Kenya, Nigeria</v>
      </c>
      <c r="G24" s="5">
        <v>1</v>
      </c>
      <c r="H24" s="5">
        <v>30000</v>
      </c>
      <c r="I24" s="4" t="str">
        <v>additional budget</v>
      </c>
      <c r="J24" s="4">
        <v>8323</v>
      </c>
    </row>
    <row r="25" ht="25" customHeight="1">
      <c r="C25" s="9" t="str">
        <v>HLO budget subtotal</v>
      </c>
      <c r="H25" s="9">
        <v>961266</v>
      </c>
      <c r="J25" s="9" t="str">
        <v/>
      </c>
    </row>
    <row r="26" ht="50" customHeight="1">
      <c r="A26" s="8" t="str">
        <v>AOW03: Delivering Integrated Solutions to Systemic Farm-Level Binding Constraints</v>
      </c>
      <c r="B26" s="4" t="str">
        <v>IITA</v>
      </c>
      <c r="C26" s="4" t="str">
        <v xml:space="preserve">3.2. Validated, farm-level management solutions </v>
      </c>
      <c r="D26" s="4" t="str">
        <v>KPI 3.2.2: (Critical capabilities) Generate and curate high-quality datasets, methodologies, and scientific evidence that improve understanding of soil-crop-water interactions and support data-driven solution design.</v>
      </c>
      <c r="E26" s="4" t="str">
        <v>Number of knowledge products</v>
      </c>
      <c r="F26" s="4" t="str">
        <v>Egypt, Morocco, Philippines, India, Malawi, Ethiopia, Nigeria, Cameroon, Côte d'Ivoire, Ghana, Kenya</v>
      </c>
      <c r="G26" s="5">
        <v>10</v>
      </c>
      <c r="H26" s="5">
        <v>216197</v>
      </c>
      <c r="I26" s="4" t="str">
        <v>with additional budget</v>
      </c>
      <c r="J26" s="4">
        <v>5028</v>
      </c>
    </row>
    <row r="27" ht="50" customHeight="1">
      <c r="B27" s="4" t="str">
        <v>IITA</v>
      </c>
      <c r="D27" s="4" t="str">
        <v>KPI 3.4.1: Develop and validate integrated plant health solutions that reduce biotic constraints through combined agronomic, biological, and ecological approaches adapted to smallholder systems.</v>
      </c>
      <c r="E27" s="4" t="str">
        <v>Number of innovations (innovation development)</v>
      </c>
      <c r="F27" s="4" t="str">
        <v>Ethiopia, Morocco, Malawi, The Socialist Republic of Viet Nam, Uganda, Kenya, Madagascar, Tanzania, United Republic, Nigeria</v>
      </c>
      <c r="G27" s="5">
        <v>1</v>
      </c>
      <c r="H27" s="5">
        <v>203429</v>
      </c>
      <c r="I27" s="4" t="str">
        <v>with the additional budget</v>
      </c>
      <c r="J27" s="4">
        <v>5042</v>
      </c>
    </row>
    <row r="28" ht="50" customHeight="1">
      <c r="B28" s="4" t="str">
        <v>IITA</v>
      </c>
      <c r="D28" s="4" t="str">
        <v>KPI 3.3.1: Develop and validate agronomic technologies and management practices that directly address priority soil and production constraints and improve productivity, soil health, and system resilience.</v>
      </c>
      <c r="E28" s="4" t="str">
        <v>Number of innovations (innovation development)</v>
      </c>
      <c r="F28" s="4" t="str">
        <v>Senegal, The Democratic Republic of the Congo</v>
      </c>
      <c r="G28" s="5">
        <v>1</v>
      </c>
      <c r="H28" s="5">
        <v>186297</v>
      </c>
      <c r="I28" s="4" t="str">
        <v>additional funding with partner budget (AALI)</v>
      </c>
      <c r="J28" s="4">
        <v>5045</v>
      </c>
    </row>
    <row r="29" ht="50" customHeight="1">
      <c r="B29" s="4" t="str">
        <v>IITA</v>
      </c>
      <c r="D29" s="4" t="str">
        <v>KPI 3.4.2: Generate and disseminate evidence on plant health management strategies, demonstrating their effectiveness in reducing pest and disease pressures and improving system performance.</v>
      </c>
      <c r="E29" s="4" t="str">
        <v>Number of knowledge products</v>
      </c>
      <c r="F29" s="4" t="str">
        <v>Ethiopia, Rwanda, Malawi, Tanzania, United Republic, Nigeria, Uganda, Honduras, Kenya</v>
      </c>
      <c r="G29" s="5">
        <v>1</v>
      </c>
      <c r="H29" s="5">
        <v>196308</v>
      </c>
      <c r="I29" s="4" t="str">
        <v>with the additional budget</v>
      </c>
      <c r="J29" s="4">
        <v>7786</v>
      </c>
    </row>
    <row r="30" ht="50" customHeight="1">
      <c r="B30" s="4" t="str">
        <v>IITA</v>
      </c>
      <c r="D30" s="4" t="str">
        <v>KPI 3.5.1: (Critical capabilities) Co-design and validate integrated farm-level solution packages that simultaneously address multiple interacting constraints (soil, water, crops, labor, livestock) to optimize system productivity and resilience.</v>
      </c>
      <c r="E30" s="4" t="str">
        <v>Number of innovations (innovation development)</v>
      </c>
      <c r="F30" s="4" t="str">
        <v>Colombia, Lao People's Democratic Republic, Bangladesh, Mexico, Cambodia, Côte d'Ivoire, Philippines, Nigeria, The Socialist Republic of Viet Nam, Cameroon, Ghana, Malawi, Tanzania, United Republic, Kenya, India, Ethiopia, Madagascar</v>
      </c>
      <c r="G30" s="5">
        <v>1</v>
      </c>
      <c r="H30" s="5">
        <v>193147</v>
      </c>
      <c r="I30" s="4" t="str">
        <v>with partner budget</v>
      </c>
      <c r="J30" s="4">
        <v>7802</v>
      </c>
    </row>
    <row r="31" ht="50" customHeight="1">
      <c r="B31" s="4" t="str">
        <v>IITA</v>
      </c>
      <c r="D31" s="4" t="str">
        <v>KPI 3.5.2: (Critical Capabilities) Develop and document system-level evidence, tools, and frameworks (including GESI-informed approaches) that guide the design and scaling of integrated, constraint-responsive farming systems.</v>
      </c>
      <c r="E31" s="4" t="str">
        <v>Number of knowledge products</v>
      </c>
      <c r="F31" s="4" t="str">
        <v>Malawi, Peru, Ghana, Ethiopia, Kenya, Tanzania, United Republic, India, The Socialist Republic of Viet Nam</v>
      </c>
      <c r="G31" s="5">
        <v>3</v>
      </c>
      <c r="H31" s="5">
        <v>54163</v>
      </c>
      <c r="I31" s="4" t="str">
        <v>no budget assumption</v>
      </c>
      <c r="J31" s="4">
        <v>7814</v>
      </c>
    </row>
    <row r="32" ht="50" customHeight="1">
      <c r="A32" s="4" t="str">
        <v>AOW03: Delivering Integrated Solutions to Systemic Farm-Level Binding Constraints</v>
      </c>
      <c r="B32" s="4" t="str">
        <v>IITA</v>
      </c>
      <c r="C32" s="4" t="str">
        <v xml:space="preserve">3.3: Scaled and adopted farm management solutions </v>
      </c>
      <c r="D32" s="4" t="str">
        <v>KPI 3.6.1: Assess, document, and communicate adoption, scaling, and impact of validated solutions, generating evidence on how addressing binding constraints improves productivity, and income.</v>
      </c>
      <c r="E32" s="4" t="str">
        <v>Number of knowledge products</v>
      </c>
      <c r="F32" s="4" t="str">
        <v>The Democratic Republic of the Congo, Ethiopia, Ghana, Rwanda, The Socialist Republic of Viet Nam, Malawi, Kenya</v>
      </c>
      <c r="G32" s="5">
        <v>5</v>
      </c>
      <c r="H32" s="5">
        <v>240775</v>
      </c>
      <c r="I32" s="4" t="str">
        <v>with the additional budget</v>
      </c>
      <c r="J32" s="4">
        <v>5060</v>
      </c>
    </row>
    <row r="33" ht="50" customHeight="1">
      <c r="A33" s="4" t="str">
        <v>AOW03: Delivering Integrated Solutions to Systemic Farm-Level Binding Constraints</v>
      </c>
      <c r="B33" s="4" t="str">
        <v>IITA</v>
      </c>
      <c r="C33" s="4" t="str">
        <v xml:space="preserve">3.1: Farm-level diagnostic evidence on soil, plant, water, and socio-economic constraints </v>
      </c>
      <c r="D33" s="4" t="str">
        <v>KPI 3.1.2: Generate, standardize, and disseminate diagnostic frameworks, spatial analyses, and evidence products that characterize farm-level binding constraints and guide context-specific intervention targeting.</v>
      </c>
      <c r="E33" s="4" t="str">
        <v>Number of knowledge products</v>
      </c>
      <c r="F33" s="4" t="str">
        <v>Rwanda, India, Malawi, Kenya, Ethiopia, Nepal, Peru, Ghana</v>
      </c>
      <c r="G33" s="5">
        <v>1</v>
      </c>
      <c r="H33" s="5">
        <v>162064</v>
      </c>
      <c r="I33" s="4" t="str">
        <v>with the additional budget</v>
      </c>
      <c r="J33" s="4">
        <v>5068</v>
      </c>
    </row>
    <row r="34" ht="25" customHeight="1">
      <c r="C34" s="9" t="str">
        <v>HLO budget subtotal</v>
      </c>
      <c r="H34" s="9">
        <v>1452380</v>
      </c>
      <c r="J34" s="9" t="str">
        <v/>
      </c>
    </row>
    <row r="35" ht="50" customHeight="1">
      <c r="A35" s="8" t="str">
        <v>AOW04: Incubating Innovation in Sustainable Farming</v>
      </c>
      <c r="B35" s="4" t="str">
        <v>IITA</v>
      </c>
      <c r="C35" s="4" t="str">
        <v xml:space="preserve">4.1. A pipeline of at least eight high-risk, high-reward, early-stage research ideas </v>
      </c>
      <c r="D35" s="4" t="str">
        <v>Results from at least 4 seed grant-funded tests, demonstrating the feasibility, potential impact and sustainability of the proposed solutions; including data on their viability and initial performance in relevant agricultural contexts</v>
      </c>
      <c r="E35" s="4" t="str">
        <v>Number of knowledge products</v>
      </c>
      <c r="F35" s="4" t="str">
        <v>Ecuador, Malawi, Kenya, Egypt, Ethiopia, India, Zambia, Peru, Morocco, Philippines</v>
      </c>
      <c r="G35" s="5">
        <v>1</v>
      </c>
      <c r="H35" s="5">
        <v>100000</v>
      </c>
      <c r="I35" s="4" t="str">
        <v>Budget allocated based on the result of the competitive process.</v>
      </c>
      <c r="J35" s="4">
        <v>6936</v>
      </c>
    </row>
    <row r="36" ht="25" customHeight="1">
      <c r="C36" s="9" t="str">
        <v>HLO budget subtotal</v>
      </c>
      <c r="H36" s="9">
        <v>100000</v>
      </c>
      <c r="J36" s="9" t="str">
        <v/>
      </c>
    </row>
    <row r="37" ht="50" customHeight="1">
      <c r="A37" s="8" t="str">
        <v>AOW05: Accelerating Impact</v>
      </c>
      <c r="B37" s="4" t="str">
        <v>IITA</v>
      </c>
      <c r="C37" s="4" t="str">
        <v xml:space="preserve">5.5. Well-documented, widely applicable and replicable partnership platforms </v>
      </c>
      <c r="D37" s="4" t="str">
        <v>Practical guidance and partnership tools (e.g., MoU templates, governance guides) for establishing multi-stakeholder platforms that align research, extension, private sector, and government actors - facilitating co-creation, tracking, and scaling agronomic solutions with clear pathways for institutionalization and local handover.</v>
      </c>
      <c r="E37" s="4" t="str">
        <v>Number of knowledge products</v>
      </c>
      <c r="F37" s="4" t="str">
        <v>Kenya, Nigeria</v>
      </c>
      <c r="G37" s="5">
        <v>1</v>
      </c>
      <c r="H37" s="5">
        <v>49875</v>
      </c>
      <c r="I37" s="4" t="str">
        <v>as per initial budget</v>
      </c>
      <c r="J37" s="4">
        <v>4889</v>
      </c>
    </row>
    <row r="38" ht="50" customHeight="1">
      <c r="B38" s="4" t="str">
        <v>IITA</v>
      </c>
      <c r="D38"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38" s="4" t="str">
        <v>Number of innovations (innovation development)</v>
      </c>
      <c r="F38" s="4" t="str">
        <v>Côte d'Ivoire, Uganda, Zambia, Nepal, Bangladesh, The Democratic Republic of the Congo, Ghana, Kenya, Nigeria, Tanzania, United Republic, Malawi, Mexico, Ethiopia, Egypt, Morocco, The Socialist Republic of Viet Nam, India, Philippines, Cambodia</v>
      </c>
      <c r="G38" s="5">
        <v>6</v>
      </c>
      <c r="H38" s="5">
        <v>404643</v>
      </c>
      <c r="I38" s="4" t="str">
        <v>PASS with additional budget</v>
      </c>
      <c r="J38" s="4">
        <v>4890</v>
      </c>
    </row>
    <row r="39" ht="50" customHeight="1">
      <c r="B39" s="4" t="str">
        <v>IITA</v>
      </c>
      <c r="D39" s="4" t="str">
        <v xml:space="preserve">Stakeholders (partners, farmers, extension agents, ...) trained on innovations and bundled solutions, across multi-stakeholder partnership platforms (PAASSs) </v>
      </c>
      <c r="E39" s="4" t="str">
        <v>Number of people trained (capacity sharing for development)</v>
      </c>
      <c r="F39" s="4" t="str">
        <v>Ethiopia, Nigeria, Kenya</v>
      </c>
      <c r="G39" s="5">
        <v>70000</v>
      </c>
      <c r="H39" s="5">
        <v>111296</v>
      </c>
      <c r="I39" s="4" t="str">
        <v>as per initial budget</v>
      </c>
      <c r="J39" s="4">
        <v>4904</v>
      </c>
    </row>
    <row r="40" ht="50" customHeight="1">
      <c r="A40" s="4" t="str">
        <v>AOW05: Accelerating Impact</v>
      </c>
      <c r="B40" s="4" t="str">
        <v>IITA</v>
      </c>
      <c r="C40" s="4" t="str">
        <v xml:space="preserve">5.4: Tools and approaches to enable rapid insights, learnings and impact </v>
      </c>
      <c r="D40" s="4" t="str">
        <v>Standardized MELIA survey tools and instruments for household and farm-level data collection across AoWs (e.g., survey forms, processes, Ai solutions, other protocols) to improve interoperability and standardization of survey data</v>
      </c>
      <c r="E40" s="4" t="str">
        <v>Number of innovations (innovation development)</v>
      </c>
      <c r="F40" s="4" t="str">
        <v>Nigeria, Tanzania, United Republic, Egypt, Ghana</v>
      </c>
      <c r="G40" s="5">
        <v>1</v>
      </c>
      <c r="H40" s="5">
        <v>93992</v>
      </c>
      <c r="I40" s="4" t="str">
        <v>MELIA studies inclusive of additional budget</v>
      </c>
      <c r="J40" s="4">
        <v>4954</v>
      </c>
    </row>
    <row r="41" ht="50" customHeight="1" xml:space="preserve">
      <c r="B41" s="4" t="str">
        <v>IITA</v>
      </c>
      <c r="D41" s="4" t="str" xml:space="preserve">
        <v xml:space="preserve">Standardized approaches and guidelines for assessing KPIs across AoWs 1–3 developed, including an agreed list of indicators and assessment framework to ensure consistency and comparability in performance measurement.
 </v>
      </c>
      <c r="E41" s="4" t="str">
        <v>Number of innovations (innovation development)</v>
      </c>
      <c r="F41" s="4" t="str">
        <v>Morocco, Senegal, Nigeria, Tanzania, United Republic, Ethiopia, Ghana, Rwanda, Philippines</v>
      </c>
      <c r="G41" s="5">
        <v>1</v>
      </c>
      <c r="H41" s="5">
        <v>39899</v>
      </c>
      <c r="I41" s="4" t="str">
        <v>as per initial budget</v>
      </c>
      <c r="J41" s="4">
        <v>4957</v>
      </c>
    </row>
    <row r="42" ht="50" customHeight="1">
      <c r="B42" s="4" t="str">
        <v>IITA</v>
      </c>
      <c r="D42" s="4" t="str">
        <v>Standardized MELIA survey tools and instruments for household and farm-level data collection across AoWs (e.g., survey forms, processes, AI solutions, other protocols) to improve interoperability and standardization of survey data</v>
      </c>
      <c r="E42" s="4" t="str">
        <v>Number of people trained (capacity sharing for development)</v>
      </c>
      <c r="F42" s="4" t="str">
        <v>Benin, Ghana</v>
      </c>
      <c r="G42" s="5">
        <v>30</v>
      </c>
      <c r="H42" s="5">
        <v>20836</v>
      </c>
      <c r="I42" s="4" t="str">
        <v>no assumption</v>
      </c>
      <c r="J42" s="4">
        <v>7892</v>
      </c>
    </row>
    <row r="43" ht="50" customHeight="1">
      <c r="B43" s="4" t="str">
        <v>IITA</v>
      </c>
      <c r="D43" s="4" t="str">
        <v>Standardized MELIA survey tools and instruments for household and farm-level data collection across AoWs (e.g., survey forms, processes, Ai solutions, other protocols) to improve interoperability and standardization of survey data (MELIA Studies)</v>
      </c>
      <c r="E43" s="4" t="str">
        <v>Number of knowledge products</v>
      </c>
      <c r="F43" s="4" t="str">
        <v>Nepal, Sri Lanka, Benin, Ghana, Egypt, Nigeria, Tanzania, United Republic, Kenya</v>
      </c>
      <c r="G43" s="5">
        <v>3</v>
      </c>
      <c r="H43" s="5">
        <v>54086</v>
      </c>
      <c r="I43" s="4" t="str">
        <v>no assumption</v>
      </c>
      <c r="J43" s="4">
        <v>7893</v>
      </c>
    </row>
    <row r="44" ht="50" customHeight="1">
      <c r="A44" s="4" t="str">
        <v>AOW05: Accelerating Impact</v>
      </c>
      <c r="B44" s="4" t="str">
        <v>IITA</v>
      </c>
      <c r="C44" s="4" t="str">
        <v>5.3 FAIR, AI-ready data corpus, data and metadata standards</v>
      </c>
      <c r="D44" s="4" t="str">
        <v>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v>
      </c>
      <c r="E44" s="4" t="str">
        <v>Number of people trained (capacity sharing for development)</v>
      </c>
      <c r="F44" s="4" t="str">
        <v>Kenya</v>
      </c>
      <c r="G44" s="5">
        <v>100</v>
      </c>
      <c r="H44" s="5">
        <v>86193</v>
      </c>
      <c r="I44" s="4" t="str">
        <v>as per initial budget</v>
      </c>
      <c r="J44" s="4">
        <v>4963</v>
      </c>
    </row>
    <row r="45" ht="50" customHeight="1">
      <c r="B45" s="4" t="str">
        <v>IITA</v>
      </c>
      <c r="D45" s="4" t="str">
        <v>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v>
      </c>
      <c r="E45" s="4" t="str">
        <v>Number of innovations (innovation development)</v>
      </c>
      <c r="F45" s="4" t="str">
        <v>Greece, Kenya</v>
      </c>
      <c r="G45" s="5">
        <v>3</v>
      </c>
      <c r="H45" s="5">
        <v>7463</v>
      </c>
      <c r="I45" s="4" t="str">
        <v>as per initial budget</v>
      </c>
      <c r="J45" s="4">
        <v>4965</v>
      </c>
    </row>
    <row r="46" ht="50" customHeight="1">
      <c r="B46" s="4" t="str">
        <v>IITA</v>
      </c>
      <c r="D46" s="4" t="str">
        <v>Open, extensible toolkit, including data-to-model pipelines, APIs, and computing infrastructure for researchers and technical users to perform analytics and compare, adapt, and deploy decision support models &amp; workflows quickly.</v>
      </c>
      <c r="E46" s="4" t="str">
        <v>Number of innovations (innovation development)</v>
      </c>
      <c r="F46" s="4" t="str">
        <v>Nigeria, Rwanda, Greece, Ethiopia</v>
      </c>
      <c r="G46" s="5">
        <v>5</v>
      </c>
      <c r="H46" s="5">
        <v>34200</v>
      </c>
      <c r="I46" s="4" t="str">
        <v>as per initial budget</v>
      </c>
      <c r="J46" s="4">
        <v>4967</v>
      </c>
    </row>
    <row r="47" ht="50" customHeight="1">
      <c r="B47" s="4" t="str">
        <v>IITA</v>
      </c>
      <c r="D47" s="4" t="str">
        <v>Integrated portals and dashboards across AoWs, for stakeholders to interactively explore assets, outputs and impact, analytical tools and download aggregated data to accelerate research and innovation by humans and machines</v>
      </c>
      <c r="E47" s="4" t="str">
        <v>Number of innovations (innovation development)</v>
      </c>
      <c r="F47" s="4" t="str">
        <v>France, Ethiopia, Morocco, Greece, Kenya</v>
      </c>
      <c r="G47" s="5">
        <v>2</v>
      </c>
      <c r="H47" s="5">
        <v>72588</v>
      </c>
      <c r="I47" s="4" t="str">
        <v>with additional budget</v>
      </c>
      <c r="J47" s="4">
        <v>4973</v>
      </c>
    </row>
    <row r="48" ht="50" customHeight="1" xml:space="preserve">
      <c r="B48" s="4" t="str">
        <v>IITA</v>
      </c>
      <c r="D48" s="4" t="str" xml:space="preserve">
        <v xml:space="preserve">Database of standards-compliant data ("Carob") including workflows to quality-control, clean and render data standards-compliant using R scripts and R packages, enabled by minimum required agronomy data and standards-compliant data collection protocols and tools 
</v>
      </c>
      <c r="E48" s="4" t="str">
        <v>Number of innovations (innovation development)</v>
      </c>
      <c r="F48" s="4" t="str">
        <v>France, Nigeria, Zimbabwe, Kenya, United States of America</v>
      </c>
      <c r="G48" s="5">
        <v>6</v>
      </c>
      <c r="H48" s="5">
        <v>32679</v>
      </c>
      <c r="I48" s="4" t="str">
        <v>as per initial budget</v>
      </c>
      <c r="J48" s="4">
        <v>4978</v>
      </c>
    </row>
    <row r="49" ht="50" customHeight="1">
      <c r="B49" s="4" t="str">
        <v>IITA</v>
      </c>
      <c r="D49" s="4" t="str">
        <v>New standardized, quality-controlled datasets that serve AoWs 1, 2, and 3 (250 datasets, 0.5M new standardized observations) added to an existing corpus of about 2M records ("Carob") for analytics and decision support and assessment of Carob as training dataset for AI.</v>
      </c>
      <c r="E49" s="4" t="str">
        <v>Number of knowledge products</v>
      </c>
      <c r="F49" s="4" t="str">
        <v>Kenya, Zimbabwe, Rwanda</v>
      </c>
      <c r="G49" s="5">
        <v>1</v>
      </c>
      <c r="H49" s="5">
        <v>9888</v>
      </c>
      <c r="I49" s="4" t="str">
        <v>as per initial budget</v>
      </c>
      <c r="J49" s="4">
        <v>7819</v>
      </c>
    </row>
    <row r="50" ht="50" customHeight="1">
      <c r="B50" s="4" t="str">
        <v>IITA</v>
      </c>
      <c r="D50" s="4" t="str">
        <v>Number of knowledge products on FAIR data and modeling tools</v>
      </c>
      <c r="E50" s="4" t="str">
        <v>Number of knowledge products</v>
      </c>
      <c r="F50" s="4" t="str">
        <v>India, Rwanda, Zimbabwe, Ethiopia, Kenya</v>
      </c>
      <c r="G50" s="5">
        <v>6</v>
      </c>
      <c r="H50" s="5">
        <v>7641</v>
      </c>
      <c r="I50" s="4" t="str">
        <v>as per initial budget</v>
      </c>
      <c r="J50" s="4">
        <v>7821</v>
      </c>
    </row>
    <row r="51" ht="25" customHeight="1">
      <c r="C51" s="9" t="str">
        <v>HLO budget subtotal</v>
      </c>
      <c r="H51" s="9">
        <v>1025279</v>
      </c>
      <c r="J51" s="9" t="str">
        <v/>
      </c>
    </row>
  </sheetData>
  <mergeCells count="24">
    <mergeCell ref="A1:A2"/>
    <mergeCell ref="B1:B2"/>
    <mergeCell ref="C1:C2"/>
    <mergeCell ref="D1:H1"/>
    <mergeCell ref="I1:I2"/>
    <mergeCell ref="J1:J2"/>
    <mergeCell ref="C3:C5"/>
    <mergeCell ref="C6:C11"/>
    <mergeCell ref="C13:G13"/>
    <mergeCell ref="A3:A13"/>
    <mergeCell ref="C14:C16"/>
    <mergeCell ref="C17:C23"/>
    <mergeCell ref="C25:G25"/>
    <mergeCell ref="A14:A25"/>
    <mergeCell ref="C26:C31"/>
    <mergeCell ref="C34:G34"/>
    <mergeCell ref="A26:A34"/>
    <mergeCell ref="C36:G36"/>
    <mergeCell ref="A35:A36"/>
    <mergeCell ref="C37:C39"/>
    <mergeCell ref="C40:C43"/>
    <mergeCell ref="C44:C50"/>
    <mergeCell ref="C51:G51"/>
    <mergeCell ref="A37:A51"/>
  </mergeCells>
  <ignoredErrors>
    <ignoredError numberStoredAsText="1" sqref="A1:J51"/>
  </ignoredErrors>
</worksheet>
</file>

<file path=xl/worksheets/sheet3.xml><?xml version="1.0" encoding="utf-8"?>
<worksheet xmlns="http://schemas.openxmlformats.org/spreadsheetml/2006/main" xmlns:r="http://schemas.openxmlformats.org/officeDocument/2006/relationships">
  <dimension ref="A1:G1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xml:space="preserve">
      <c r="A2" s="8" t="str">
        <v>AOW01: Accelerating AI-Enabled Farm Advisory at Scale.</v>
      </c>
      <c r="B2" s="4" t="str">
        <v>Firm Builders International Services</v>
      </c>
      <c r="C2" s="4" t="str">
        <v>IITA</v>
      </c>
      <c r="D2" s="4" t="str">
        <v>Nigeria</v>
      </c>
      <c r="E2" s="5">
        <v>27000</v>
      </c>
      <c r="F2" s="4" t="str" xml:space="preserve">
        <v xml:space="preserve">re-directed initial allocation plus additional funding
</v>
      </c>
      <c r="G2" s="4">
        <v>250</v>
      </c>
    </row>
    <row r="3" ht="50" customHeight="1" xml:space="preserve">
      <c r="A3" s="4" t="str">
        <v>AOW01: Accelerating AI-Enabled Farm Advisory at Scale.</v>
      </c>
      <c r="B3" s="4" t="str">
        <v>Centre de coopération internationale en recherche agronomique pour le développement</v>
      </c>
      <c r="C3" s="4" t="str">
        <v>IITA</v>
      </c>
      <c r="D3" s="4" t="str">
        <v>France</v>
      </c>
      <c r="E3" s="5">
        <v>30000</v>
      </c>
      <c r="F3" s="4" t="str" xml:space="preserve">
        <v xml:space="preserve">initial budget allocation, but redirected
</v>
      </c>
      <c r="G3" s="4">
        <v>560</v>
      </c>
    </row>
    <row r="4" ht="25" customHeight="1">
      <c r="B4" s="9" t="str">
        <v>Contracted partners subtotal</v>
      </c>
      <c r="E4" s="9">
        <v>57000</v>
      </c>
      <c r="F4" s="9" t="str">
        <v/>
      </c>
      <c r="G4" s="9" t="str">
        <v/>
      </c>
    </row>
    <row r="5" ht="50" customHeight="1" xml:space="preserve">
      <c r="A5" s="8" t="str">
        <v>AOW03: Delivering Integrated Solutions to Systemic Farm-Level Binding Constraints</v>
      </c>
      <c r="B5" s="4" t="str">
        <v>Cocoa Research Institute of Ghana</v>
      </c>
      <c r="C5" s="4" t="str">
        <v>IITA</v>
      </c>
      <c r="D5" s="4" t="str">
        <v>Ghana</v>
      </c>
      <c r="E5" s="5">
        <v>10000</v>
      </c>
      <c r="F5" s="4" t="str" xml:space="preserve">
        <v xml:space="preserve">support cocoa trials
</v>
      </c>
      <c r="G5" s="4">
        <v>326</v>
      </c>
    </row>
    <row r="6" ht="50" customHeight="1" xml:space="preserve">
      <c r="A6" s="4" t="str">
        <v>AOW03: Delivering Integrated Solutions to Systemic Farm-Level Binding Constraints</v>
      </c>
      <c r="B6" s="4" t="str">
        <v>Cocoa Research Institute of Nigeria</v>
      </c>
      <c r="C6" s="4" t="str">
        <v>IITA</v>
      </c>
      <c r="D6" s="4" t="str">
        <v>Nigeria</v>
      </c>
      <c r="E6" s="5">
        <v>10000</v>
      </c>
      <c r="F6" s="4" t="str" xml:space="preserve">
        <v xml:space="preserve">support cocoa trials
</v>
      </c>
      <c r="G6" s="4">
        <v>327</v>
      </c>
    </row>
    <row r="7" ht="50" customHeight="1">
      <c r="A7" s="4" t="str">
        <v>AOW03: Delivering Integrated Solutions to Systemic Farm-Level Binding Constraints</v>
      </c>
      <c r="B7" s="4" t="str">
        <v>Centre national de recherche agronomique</v>
      </c>
      <c r="C7" s="4" t="str">
        <v>IITA</v>
      </c>
      <c r="D7" s="4" t="str">
        <v>Côte d'Ivoire</v>
      </c>
      <c r="E7" s="5">
        <v>10000</v>
      </c>
      <c r="F7" s="4" t="str">
        <v>support cocoa trials</v>
      </c>
      <c r="G7" s="4">
        <v>334</v>
      </c>
    </row>
    <row r="8" ht="25" customHeight="1">
      <c r="B8" s="9" t="str">
        <v>Contracted partners subtotal</v>
      </c>
      <c r="E8" s="9">
        <v>30000</v>
      </c>
      <c r="F8" s="9" t="str">
        <v/>
      </c>
      <c r="G8" s="9" t="str">
        <v/>
      </c>
    </row>
    <row r="9" ht="50" customHeight="1">
      <c r="A9" s="8" t="str">
        <v>AOW04: Incubating Innovation in Sustainable Farming</v>
      </c>
      <c r="B9" s="4" t="str">
        <v>Solidaridad Network</v>
      </c>
      <c r="C9" s="4" t="str">
        <v>IITA</v>
      </c>
      <c r="D9" s="4" t="str">
        <v>Malawi, Zambia, Nigeria</v>
      </c>
      <c r="E9" s="5">
        <v>5250</v>
      </c>
      <c r="F9" s="4" t="str">
        <v>partner budget shared equally among the two partners</v>
      </c>
      <c r="G9" s="4">
        <v>239</v>
      </c>
    </row>
    <row r="10" ht="50" customHeight="1">
      <c r="A10" s="4" t="str">
        <v>AOW04: Incubating Innovation in Sustainable Farming</v>
      </c>
      <c r="B10" s="4" t="str">
        <v>Nelson Mandela African Institute of Science and Technology</v>
      </c>
      <c r="C10" s="4" t="str">
        <v>IITA</v>
      </c>
      <c r="D10" s="4" t="str">
        <v>Tanzania, United Republic</v>
      </c>
      <c r="E10" s="5">
        <v>17000</v>
      </c>
      <c r="F10" s="4" t="str">
        <v>no assumption</v>
      </c>
      <c r="G10" s="4">
        <v>561</v>
      </c>
    </row>
    <row r="11" ht="50" customHeight="1">
      <c r="A11" s="4" t="str">
        <v>AOW04: Incubating Innovation in Sustainable Farming</v>
      </c>
      <c r="B11" s="4" t="str">
        <v xml:space="preserve">Good Nature Agro </v>
      </c>
      <c r="C11" s="4" t="str">
        <v>IITA</v>
      </c>
      <c r="D11" s="4" t="str">
        <v>Zambia</v>
      </c>
      <c r="E11" s="5">
        <v>5250</v>
      </c>
      <c r="F11" s="4" t="str">
        <v>no assumption</v>
      </c>
      <c r="G11" s="4">
        <v>562</v>
      </c>
    </row>
    <row r="12" ht="25" customHeight="1">
      <c r="B12" s="9" t="str">
        <v>Contracted partners subtotal</v>
      </c>
      <c r="E12" s="9">
        <v>27500</v>
      </c>
      <c r="F12" s="9" t="str">
        <v/>
      </c>
      <c r="G12" s="9" t="str">
        <v/>
      </c>
    </row>
    <row r="13" ht="50" customHeight="1" xml:space="preserve">
      <c r="A13" s="8" t="str">
        <v>AOW05: Accelerating Impact</v>
      </c>
      <c r="B13" s="4" t="str">
        <v>Firm Builders International Services</v>
      </c>
      <c r="C13" s="4" t="str">
        <v>IITA</v>
      </c>
      <c r="D13" s="4" t="str">
        <v>Nigeria</v>
      </c>
      <c r="E13" s="5">
        <v>26606</v>
      </c>
      <c r="F13" s="4" t="str" xml:space="preserve">
        <v xml:space="preserve">added funds
</v>
      </c>
      <c r="G13" s="4">
        <v>566</v>
      </c>
    </row>
    <row r="14" ht="25" customHeight="1">
      <c r="B14" s="9" t="str">
        <v>Contracted partners subtotal</v>
      </c>
      <c r="E14" s="9">
        <v>26606</v>
      </c>
      <c r="F14" s="9" t="str">
        <v/>
      </c>
      <c r="G14" s="9" t="str">
        <v/>
      </c>
    </row>
  </sheetData>
  <mergeCells count="8">
    <mergeCell ref="B4:D4"/>
    <mergeCell ref="A2:A4"/>
    <mergeCell ref="B8:D8"/>
    <mergeCell ref="A5:A8"/>
    <mergeCell ref="B12:D12"/>
    <mergeCell ref="A9:A12"/>
    <mergeCell ref="B14:D14"/>
    <mergeCell ref="A13:A14"/>
  </mergeCells>
  <ignoredErrors>
    <ignoredError numberStoredAsText="1" sqref="A1:G14"/>
  </ignoredErrors>
</worksheet>
</file>

<file path=xl/worksheets/sheet4.xml><?xml version="1.0" encoding="utf-8"?>
<worksheet xmlns="http://schemas.openxmlformats.org/spreadsheetml/2006/main" xmlns:r="http://schemas.openxmlformats.org/officeDocument/2006/relationships">
  <dimension ref="A1:F8"/>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IITA</v>
      </c>
      <c r="B2" s="4" t="str">
        <v>PJ-003897: Soil Values</v>
      </c>
      <c r="C2" s="4" t="str">
        <v xml:space="preserve">5.1. Prioritization logic for deployment via partnership platforms available </v>
      </c>
      <c r="D2" s="5">
        <v>388579</v>
      </c>
      <c r="E2" s="4" t="str">
        <v>Budget figure from the mapping dashboard, no assumption made.</v>
      </c>
      <c r="F2" s="4">
        <v>960</v>
      </c>
    </row>
    <row r="3" ht="60" customHeight="1">
      <c r="A3" s="4" t="str">
        <v>IITA</v>
      </c>
      <c r="B3" s="4" t="str">
        <v>PJ-003938: Food Systems Resilience Program interventions in Feed Salone</v>
      </c>
      <c r="C3" s="4" t="str">
        <v xml:space="preserve">3.3: Scaled and adopted farm management solutions </v>
      </c>
      <c r="D3" s="5">
        <v>494432</v>
      </c>
      <c r="E3" s="4" t="str">
        <v>Budget figure from the mapping dashboard, no assumption made.</v>
      </c>
      <c r="F3" s="4">
        <v>976</v>
      </c>
    </row>
    <row r="4" ht="60" customHeight="1">
      <c r="A4" s="4" t="str">
        <v>IITA</v>
      </c>
      <c r="B4" s="4" t="str">
        <v>T-PJ-003835-EU/IITA - FOOD SAFETY FOR AFRICA - ADDRESSING FO</v>
      </c>
      <c r="C4" s="4" t="str">
        <v xml:space="preserve">3.3: Scaled and adopted farm management solutions </v>
      </c>
      <c r="D4" s="5">
        <v>276490</v>
      </c>
      <c r="E4" s="4" t="str">
        <v>Budget figure from the mapping dashboard, no assumption made.</v>
      </c>
      <c r="F4" s="4">
        <v>971</v>
      </c>
    </row>
    <row r="5" ht="60" customHeight="1">
      <c r="A5" s="4" t="str">
        <v>IITA</v>
      </c>
      <c r="B5" s="4" t="str">
        <v>T-PJ-003866-Liberia Land and Soil Resources Knowledge project (Soils4Liberia)</v>
      </c>
      <c r="C5" s="4" t="str">
        <v xml:space="preserve">3.1: Farm-level diagnostic evidence on soil, plant, water, and socio-economic constraints </v>
      </c>
      <c r="D5" s="5">
        <v>524677</v>
      </c>
      <c r="E5" s="4" t="str">
        <v>Budget figure from the mapping dashboard, no assumption made.</v>
      </c>
      <c r="F5" s="4">
        <v>984</v>
      </c>
    </row>
    <row r="6" ht="60" customHeight="1">
      <c r="A6" s="4" t="str">
        <v>IITA</v>
      </c>
      <c r="B6" s="4" t="str">
        <v>T-PJ-003871-Making effective bioinputs work for smallholder farmers in SSA (Bio-SSA)</v>
      </c>
      <c r="C6" s="4" t="str">
        <v xml:space="preserve">3.1: Farm-level diagnostic evidence on soil, plant, water, and socio-economic constraints </v>
      </c>
      <c r="D6" s="5">
        <v>1240618</v>
      </c>
      <c r="E6" s="4" t="str">
        <v>Budget figure from the mapping dashboard, no assumption made.</v>
      </c>
      <c r="F6" s="4">
        <v>991</v>
      </c>
    </row>
    <row r="7" ht="60" customHeight="1">
      <c r="A7" s="4" t="str">
        <v>IITA</v>
      </c>
      <c r="B7" s="4" t="str">
        <v>T-PJ-003942-IITA Accelerated Innovation Delivery Initiative (AID-I) for Mozambique</v>
      </c>
      <c r="C7" s="4" t="str">
        <v xml:space="preserve">3.3: Scaled and adopted farm management solutions </v>
      </c>
      <c r="D7" s="5">
        <v>487297</v>
      </c>
      <c r="E7" s="4" t="str">
        <v>Budget figure from the mapping dashboard, no assumption made.</v>
      </c>
      <c r="F7" s="4">
        <v>983</v>
      </c>
    </row>
    <row r="8" ht="25" customHeight="1">
      <c r="B8" s="9" t="str">
        <v>W3/Bilateral budget subtotal</v>
      </c>
      <c r="D8" s="9">
        <v>3412093</v>
      </c>
      <c r="E8" s="9" t="str">
        <v/>
      </c>
      <c r="F8" s="9" t="str">
        <v/>
      </c>
    </row>
  </sheetData>
  <mergeCells count="2">
    <mergeCell ref="B8:C8"/>
    <mergeCell ref="A2:A8"/>
  </mergeCells>
  <ignoredErrors>
    <ignoredError numberStoredAsText="1" sqref="A1:F8"/>
  </ignoredErrors>
</worksheet>
</file>

<file path=xl/worksheets/sheet5.xml><?xml version="1.0" encoding="utf-8"?>
<worksheet xmlns="http://schemas.openxmlformats.org/spreadsheetml/2006/main" xmlns:r="http://schemas.openxmlformats.org/officeDocument/2006/relationships">
  <dimension ref="A1:H1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IITA</v>
      </c>
      <c r="C2" s="4" t="str">
        <v>Tracing of beneficiaries and uptake of innovations (e.g., fertilizer recommendations and crop management practices) for cassava through partnership platforms in Ghana, Nigeria and Tanzania to generate credible evidence on performance and adoption mechanisms.</v>
      </c>
      <c r="D2" s="4" t="str">
        <v>5.4: Tools and approaches to enable rapid insights, learnings and impact</v>
      </c>
      <c r="E2" s="4" t="str">
        <v>N/A</v>
      </c>
      <c r="F2" s="5">
        <v>0</v>
      </c>
      <c r="G2" s="4" t="str">
        <v/>
      </c>
      <c r="H2" s="4">
        <v>293</v>
      </c>
    </row>
    <row r="3" ht="60" customHeight="1">
      <c r="A3" s="4" t="str">
        <v>AOW00: Cross Cutting</v>
      </c>
      <c r="B3" s="4" t="str">
        <v>IITA</v>
      </c>
      <c r="C3" s="4" t="str">
        <v>Partners satisfaction survey in developing and scaling mixed farming solutions</v>
      </c>
      <c r="D3" s="4" t="str">
        <v>4: Integrated solutions embedded in investment, policy, and scaling systems 5: Enhanced skills of service providers and R&amp;amp;D partners 2: National partners leading and sustaining innovation and research systems 7: Investment in Enabling Environment &amp;amp; Advisory Services 1: Data Sharing &amp;amp; Analytics for Advisory Services 2: Contextualized innovation bundles tested by partners 3: Partners adopt methods to co-create integrated farm management solutions including inclusivity</v>
      </c>
      <c r="E3" s="4" t="str">
        <v>N/A</v>
      </c>
      <c r="F3" s="5">
        <v>0</v>
      </c>
      <c r="G3" s="4" t="str">
        <v/>
      </c>
      <c r="H3" s="4">
        <v>299</v>
      </c>
    </row>
    <row r="4" ht="60" customHeight="1">
      <c r="A4" s="4" t="str">
        <v>AOW00: Cross Cutting</v>
      </c>
      <c r="B4" s="4" t="str">
        <v>IITA</v>
      </c>
      <c r="C4" s="4" t="str">
        <v>Causal impact assessment study on adoption and impacts of site-specific agronomy advisories implemented through a public-private partnership extension model in Rwanda, evaluating innovation performance, adoption mechanisms, and gender inclusivity to inform scaling.</v>
      </c>
      <c r="D4" s="4" t="str">
        <v>4: Farming communities adapt and adopt solutions</v>
      </c>
      <c r="E4" s="4" t="str">
        <v>N/A</v>
      </c>
      <c r="F4" s="5">
        <v>0</v>
      </c>
      <c r="G4" s="4" t="str">
        <v/>
      </c>
      <c r="H4" s="4">
        <v>304</v>
      </c>
    </row>
    <row r="5" ht="60" customHeight="1">
      <c r="A5" s="4" t="str">
        <v>AOW00: Cross Cutting</v>
      </c>
      <c r="B5" s="4" t="str">
        <v>IITA</v>
      </c>
      <c r="C5" s="4" t="str">
        <v>A survey report on adoption and diffusion study through partnership platforms to track uptake and scaling of integrated farm management solutions, generating evidence for informed scaling.</v>
      </c>
      <c r="D5" s="4" t="str">
        <v>4: Farming communities adapt and adopt solutions 3: Large scale adoption of integrated farm management solutions by farmers</v>
      </c>
      <c r="E5" s="4" t="str">
        <v>N/A</v>
      </c>
      <c r="F5" s="5">
        <v>0</v>
      </c>
      <c r="G5" s="4" t="str">
        <v/>
      </c>
      <c r="H5" s="4">
        <v>307</v>
      </c>
    </row>
    <row r="6" ht="60" customHeight="1">
      <c r="A6" s="4" t="str">
        <v>AOW00: Cross Cutting</v>
      </c>
      <c r="B6" s="4" t="str">
        <v>IITA</v>
      </c>
      <c r="C6" s="4" t="str">
        <v>Systematic assessment capturing farmer uptake, contextual adaptation, and scaling trajectories of validated solutions addressing binding constraints in Malawi</v>
      </c>
      <c r="D6" s="4" t="str">
        <v>4: Farming communities adapt and adopt solutions</v>
      </c>
      <c r="E6" s="4" t="str">
        <v>N/A</v>
      </c>
      <c r="F6" s="5">
        <v>0</v>
      </c>
      <c r="G6" s="4" t="str">
        <v/>
      </c>
      <c r="H6" s="4">
        <v>311</v>
      </c>
    </row>
    <row r="7" ht="25" customHeight="1">
      <c r="C7" s="9" t="str">
        <v>MELIA budget subtotal</v>
      </c>
      <c r="F7" s="9">
        <v>0</v>
      </c>
      <c r="G7" s="9" t="str">
        <v/>
      </c>
      <c r="H7" s="9" t="str">
        <v/>
      </c>
    </row>
    <row r="8" ht="60" customHeight="1">
      <c r="A8" s="8" t="str">
        <v>AOW05: Accelerating Impact</v>
      </c>
      <c r="B8" s="4" t="str">
        <v>IITA</v>
      </c>
      <c r="C8" s="4" t="str">
        <v>Tracing of beneficiaries and uptake of innovations (e.g., fertilizer recommendations and crop management practices) for cassava through partnership platforms in Ghana, Nigeria and Tanzania to generate credible evidence on performance and adoption mechanisms.</v>
      </c>
      <c r="D8" s="4" t="str">
        <v>5.4: Tools and approaches to enable rapid insights, learnings and impact</v>
      </c>
      <c r="E8" s="4" t="str">
        <v>N/A</v>
      </c>
      <c r="F8" s="5">
        <v>0</v>
      </c>
      <c r="G8" s="4" t="str">
        <v/>
      </c>
      <c r="H8" s="4">
        <v>290</v>
      </c>
    </row>
    <row r="9" ht="60" customHeight="1">
      <c r="A9" s="4" t="str">
        <v>AOW05: Accelerating Impact</v>
      </c>
      <c r="B9" s="4" t="str">
        <v>IITA</v>
      </c>
      <c r="C9" s="4" t="str">
        <v>Partners satisfaction survey in developing and scaling mixed farming solutions</v>
      </c>
      <c r="D9" s="4" t="str">
        <v>4: Integrated solutions embedded in investment, policy, and scaling systems 5: Enhanced skills of service providers and R&amp;amp;D partners 2: National partners leading and sustaining innovation and research systems 7: Investment in Enabling Environment &amp;amp; Advisory Services 1: Data Sharing &amp;amp; Analytics for Advisory Services 2: Contextualized innovation bundles tested by partners 3: Partners adopt methods to co-create integrated farm management solutions including inclusivity</v>
      </c>
      <c r="E9" s="4" t="str">
        <v>N/A</v>
      </c>
      <c r="F9" s="5">
        <v>168914</v>
      </c>
      <c r="G9" s="4" t="str">
        <v>MELIA studies with the additional budget</v>
      </c>
      <c r="H9" s="4">
        <v>294</v>
      </c>
    </row>
    <row r="10" ht="25" customHeight="1">
      <c r="C10" s="9" t="str">
        <v>MELIA budget subtotal</v>
      </c>
      <c r="F10" s="9">
        <v>168914</v>
      </c>
      <c r="G10" s="9" t="str">
        <v/>
      </c>
      <c r="H10" s="9" t="str">
        <v/>
      </c>
    </row>
  </sheetData>
  <mergeCells count="4">
    <mergeCell ref="C7:E7"/>
    <mergeCell ref="A2:A7"/>
    <mergeCell ref="C10:E10"/>
    <mergeCell ref="A8:A10"/>
  </mergeCells>
  <ignoredErrors>
    <ignoredError numberStoredAsText="1" sqref="A1:H10"/>
  </ignoredErrors>
</worksheet>
</file>

<file path=xl/worksheets/sheet6.xml><?xml version="1.0" encoding="utf-8"?>
<worksheet xmlns="http://schemas.openxmlformats.org/spreadsheetml/2006/main" xmlns:r="http://schemas.openxmlformats.org/officeDocument/2006/relationships">
  <dimension ref="A1:G8"/>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IITA</v>
      </c>
      <c r="C2" s="4" t="str">
        <v>Area of Work Leads</v>
      </c>
      <c r="D2" s="5">
        <v>92571</v>
      </c>
      <c r="E2" s="4" t="str">
        <v>AoW leads Q1-Q4 2026</v>
      </c>
      <c r="F2" s="4">
        <v>168</v>
      </c>
      <c r="G2" s="4">
        <v>3</v>
      </c>
    </row>
    <row r="3" ht="45" customHeight="1" xml:space="preserve">
      <c r="A3" s="4" t="str">
        <v>AOW00: Cross Cutting</v>
      </c>
      <c r="B3" s="4" t="str">
        <v>IITA</v>
      </c>
      <c r="C3" s="4" t="str">
        <v>Operations</v>
      </c>
      <c r="D3" s="5">
        <v>70935</v>
      </c>
      <c r="E3" s="4" t="str" xml:space="preserve">
        <v xml:space="preserve">AoW leads travels to program leadership meetings: $15k
PMU members office costs, supplies, services, travel and other operational expenses: $55,935</v>
      </c>
      <c r="F3" s="4">
        <v>169</v>
      </c>
      <c r="G3" s="4">
        <v>4</v>
      </c>
    </row>
    <row r="4" ht="45" customHeight="1">
      <c r="A4" s="4" t="str">
        <v>AOW00: Cross Cutting</v>
      </c>
      <c r="B4" s="4" t="str">
        <v>IITA</v>
      </c>
      <c r="C4" s="4" t="str">
        <v>PMU, CGIAR Program Finance Support and associated Allocation</v>
      </c>
      <c r="D4" s="5">
        <v>222558</v>
      </c>
      <c r="E4" s="4" t="str">
        <v>MELIA focal person, including budget for technical support for Communication. Finance function (Q1 2026 only).</v>
      </c>
      <c r="F4" s="4">
        <v>170</v>
      </c>
      <c r="G4" s="4">
        <v>2</v>
      </c>
    </row>
    <row r="5" ht="45" customHeight="1" xml:space="preserve">
      <c r="A5" s="4" t="str">
        <v>AOW00: Cross Cutting</v>
      </c>
      <c r="B5" s="4" t="str">
        <v>IITA</v>
      </c>
      <c r="C5" s="4" t="str">
        <v>Communication/Knowledge management</v>
      </c>
      <c r="D5" s="5">
        <v>40000</v>
      </c>
      <c r="E5" s="4" t="str" xml:space="preserve">
        <v xml:space="preserve">Cross-cutting program level communications activities
</v>
      </c>
      <c r="F5" s="4">
        <v>173</v>
      </c>
      <c r="G5" s="4">
        <v>5</v>
      </c>
    </row>
    <row r="6" ht="45" customHeight="1" xml:space="preserve">
      <c r="A6" s="4" t="str">
        <v>AOW00: Cross Cutting</v>
      </c>
      <c r="B6" s="4" t="str">
        <v>IITA</v>
      </c>
      <c r="C6" s="4" t="str">
        <v>MELIA</v>
      </c>
      <c r="D6" s="5">
        <v>60000</v>
      </c>
      <c r="E6" s="4" t="str" xml:space="preserve">
        <v xml:space="preserve">Program MELIA studies
</v>
      </c>
      <c r="F6" s="4">
        <v>175</v>
      </c>
      <c r="G6" s="4">
        <v>6</v>
      </c>
    </row>
    <row r="7" ht="45" customHeight="1" xml:space="preserve">
      <c r="A7" s="4" t="str">
        <v>AOW00: Cross Cutting</v>
      </c>
      <c r="B7" s="4" t="str">
        <v>IITA</v>
      </c>
      <c r="C7" s="4" t="str">
        <v>Discretionary funds</v>
      </c>
      <c r="D7" s="5">
        <v>75000</v>
      </c>
      <c r="E7" s="4" t="str" xml:space="preserve">
        <v xml:space="preserve">MELIA / Impact Assessment Planning Workshop: $30k
SFP Communication Support: $35k
Support dashboard elaboration: $10k</v>
      </c>
      <c r="F7" s="4">
        <v>185</v>
      </c>
      <c r="G7" s="4">
        <v>7</v>
      </c>
    </row>
    <row r="8" ht="25" customHeight="1">
      <c r="C8" s="9" t="str">
        <v>Cross-cutting budget subtotal</v>
      </c>
      <c r="D8" s="9">
        <v>561064</v>
      </c>
      <c r="E8" s="9" t="str">
        <v/>
      </c>
      <c r="F8" s="9" t="str">
        <v/>
      </c>
      <c r="G8" s="9" t="str">
        <v/>
      </c>
    </row>
  </sheetData>
  <mergeCells count="1">
    <mergeCell ref="A2:A8"/>
  </mergeCells>
  <ignoredErrors>
    <ignoredError numberStoredAsText="1" sqref="A1:G8"/>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358096</v>
      </c>
      <c r="C2" s="5">
        <v>440152</v>
      </c>
      <c r="D2" s="5">
        <v>694475</v>
      </c>
      <c r="E2" s="5">
        <v>887034</v>
      </c>
      <c r="F2" s="5">
        <v>32001</v>
      </c>
      <c r="G2" s="5">
        <v>701494</v>
      </c>
      <c r="H2" s="5">
        <f>=SUM(B2:G2)</f>
        <v>0</v>
      </c>
    </row>
    <row r="3" ht="20" customHeight="1">
      <c r="A3" s="4" t="str">
        <v>Operations (supplies, consultants, travels, workshops, other)</v>
      </c>
      <c r="B3" s="5">
        <v>202968</v>
      </c>
      <c r="C3" s="5">
        <v>64448</v>
      </c>
      <c r="D3" s="5">
        <v>266791</v>
      </c>
      <c r="E3" s="5">
        <v>535346</v>
      </c>
      <c r="F3" s="5">
        <v>40499</v>
      </c>
      <c r="G3" s="5">
        <v>297179</v>
      </c>
      <c r="H3" s="5">
        <f>=SUM(B3:G3)</f>
        <v>0</v>
      </c>
    </row>
    <row r="4" ht="20" customHeight="1">
      <c r="A4" s="4" t="str">
        <v>Collaborators non-CGIAR centers</v>
      </c>
      <c r="B4" s="5">
        <v>0</v>
      </c>
      <c r="C4" s="5">
        <v>57000</v>
      </c>
      <c r="D4" s="5">
        <v>0</v>
      </c>
      <c r="E4" s="5">
        <v>30000</v>
      </c>
      <c r="F4" s="5">
        <v>27500</v>
      </c>
      <c r="G4" s="5">
        <v>26606</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77"/>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IITA</v>
      </c>
      <c r="C2" s="4" t="str">
        <v>Ghana</v>
      </c>
      <c r="D2" s="5">
        <v>36</v>
      </c>
      <c r="E2" s="4">
        <v>1884</v>
      </c>
    </row>
    <row r="3" ht="45" customHeight="1">
      <c r="A3" s="4" t="str">
        <v>AOW00: Cross Cutting</v>
      </c>
      <c r="B3" s="4" t="str">
        <v>IITA</v>
      </c>
      <c r="C3" s="4" t="str">
        <v>Kenya</v>
      </c>
      <c r="D3" s="5">
        <v>25</v>
      </c>
      <c r="E3" s="4">
        <v>1885</v>
      </c>
    </row>
    <row r="4" ht="45" customHeight="1">
      <c r="A4" s="4" t="str">
        <v>AOW00: Cross Cutting</v>
      </c>
      <c r="B4" s="4" t="str">
        <v>IITA</v>
      </c>
      <c r="C4" s="4" t="str">
        <v>Nigeria</v>
      </c>
      <c r="D4" s="5">
        <v>39</v>
      </c>
      <c r="E4" s="4">
        <v>1883</v>
      </c>
    </row>
    <row r="5" ht="45" customHeight="1">
      <c r="A5" s="8" t="str">
        <v>AOW01: Accelerating AI-Enabled Farm Advisory at Scale.</v>
      </c>
      <c r="B5" s="4" t="str">
        <v>IITA</v>
      </c>
      <c r="C5" s="4" t="str">
        <v>Ethiopia</v>
      </c>
      <c r="D5" s="5">
        <v>9</v>
      </c>
      <c r="E5" s="4">
        <v>1606</v>
      </c>
    </row>
    <row r="6" ht="45" customHeight="1">
      <c r="A6" s="4" t="str">
        <v>AOW01: Accelerating AI-Enabled Farm Advisory at Scale.</v>
      </c>
      <c r="B6" s="4" t="str">
        <v>IITA</v>
      </c>
      <c r="C6" s="4" t="str">
        <v>Ghana</v>
      </c>
      <c r="D6" s="5">
        <v>9</v>
      </c>
      <c r="E6" s="4">
        <v>1607</v>
      </c>
    </row>
    <row r="7" ht="45" customHeight="1">
      <c r="A7" s="4" t="str">
        <v>AOW01: Accelerating AI-Enabled Farm Advisory at Scale.</v>
      </c>
      <c r="B7" s="4" t="str">
        <v>IITA</v>
      </c>
      <c r="C7" s="4" t="str">
        <v>Kenya</v>
      </c>
      <c r="D7" s="5">
        <v>9</v>
      </c>
      <c r="E7" s="4">
        <v>1608</v>
      </c>
    </row>
    <row r="8" ht="45" customHeight="1">
      <c r="A8" s="4" t="str">
        <v>AOW01: Accelerating AI-Enabled Farm Advisory at Scale.</v>
      </c>
      <c r="B8" s="4" t="str">
        <v>IITA</v>
      </c>
      <c r="C8" s="4" t="str">
        <v>Malawi</v>
      </c>
      <c r="D8" s="5">
        <v>8</v>
      </c>
      <c r="E8" s="4">
        <v>1609</v>
      </c>
    </row>
    <row r="9" ht="45" customHeight="1">
      <c r="A9" s="4" t="str">
        <v>AOW01: Accelerating AI-Enabled Farm Advisory at Scale.</v>
      </c>
      <c r="B9" s="4" t="str">
        <v>IITA</v>
      </c>
      <c r="C9" s="4" t="str">
        <v>Mozambique</v>
      </c>
      <c r="D9" s="5">
        <v>8</v>
      </c>
      <c r="E9" s="4">
        <v>1610</v>
      </c>
    </row>
    <row r="10" ht="45" customHeight="1">
      <c r="A10" s="4" t="str">
        <v>AOW01: Accelerating AI-Enabled Farm Advisory at Scale.</v>
      </c>
      <c r="B10" s="4" t="str">
        <v>IITA</v>
      </c>
      <c r="C10" s="4" t="str">
        <v>Nigeria</v>
      </c>
      <c r="D10" s="5">
        <v>8</v>
      </c>
      <c r="E10" s="4">
        <v>1611</v>
      </c>
    </row>
    <row r="11" ht="45" customHeight="1">
      <c r="A11" s="4" t="str">
        <v>AOW01: Accelerating AI-Enabled Farm Advisory at Scale.</v>
      </c>
      <c r="B11" s="4" t="str">
        <v>IITA</v>
      </c>
      <c r="C11" s="4" t="str">
        <v>Rwanda</v>
      </c>
      <c r="D11" s="5">
        <v>8</v>
      </c>
      <c r="E11" s="4">
        <v>1612</v>
      </c>
    </row>
    <row r="12" ht="45" customHeight="1">
      <c r="A12" s="4" t="str">
        <v>AOW01: Accelerating AI-Enabled Farm Advisory at Scale.</v>
      </c>
      <c r="B12" s="4" t="str">
        <v>IITA</v>
      </c>
      <c r="C12" s="4" t="str">
        <v>Zambia</v>
      </c>
      <c r="D12" s="5">
        <v>8</v>
      </c>
      <c r="E12" s="4">
        <v>1616</v>
      </c>
    </row>
    <row r="13" ht="45" customHeight="1">
      <c r="A13" s="8" t="str">
        <v>AOW02: Enabling Preparedness and Rapid Response to Emerging Shocks</v>
      </c>
      <c r="B13" s="4" t="str">
        <v>IITA</v>
      </c>
      <c r="C13" s="4" t="str">
        <v>Bangladesh</v>
      </c>
      <c r="D13" s="5">
        <v>4</v>
      </c>
      <c r="E13" s="4">
        <v>1814</v>
      </c>
    </row>
    <row r="14" ht="45" customHeight="1">
      <c r="A14" s="4" t="str">
        <v>AOW02: Enabling Preparedness and Rapid Response to Emerging Shocks</v>
      </c>
      <c r="B14" s="4" t="str">
        <v>IITA</v>
      </c>
      <c r="C14" s="4" t="str">
        <v>Benin</v>
      </c>
      <c r="D14" s="5">
        <v>4</v>
      </c>
      <c r="E14" s="4">
        <v>1815</v>
      </c>
    </row>
    <row r="15" ht="45" customHeight="1">
      <c r="A15" s="4" t="str">
        <v>AOW02: Enabling Preparedness and Rapid Response to Emerging Shocks</v>
      </c>
      <c r="B15" s="4" t="str">
        <v>IITA</v>
      </c>
      <c r="C15" s="4" t="str">
        <v>Burkina Faso</v>
      </c>
      <c r="D15" s="5">
        <v>4</v>
      </c>
      <c r="E15" s="4">
        <v>1816</v>
      </c>
    </row>
    <row r="16" ht="45" customHeight="1">
      <c r="A16" s="4" t="str">
        <v>AOW02: Enabling Preparedness and Rapid Response to Emerging Shocks</v>
      </c>
      <c r="B16" s="4" t="str">
        <v>IITA</v>
      </c>
      <c r="C16" s="4" t="str">
        <v>Cameroon</v>
      </c>
      <c r="D16" s="5">
        <v>4</v>
      </c>
      <c r="E16" s="4">
        <v>1817</v>
      </c>
    </row>
    <row r="17" ht="45" customHeight="1">
      <c r="A17" s="4" t="str">
        <v>AOW02: Enabling Preparedness and Rapid Response to Emerging Shocks</v>
      </c>
      <c r="B17" s="4" t="str">
        <v>IITA</v>
      </c>
      <c r="C17" s="4" t="str">
        <v>Chad</v>
      </c>
      <c r="D17" s="5">
        <v>4</v>
      </c>
      <c r="E17" s="4">
        <v>1818</v>
      </c>
    </row>
    <row r="18" ht="45" customHeight="1">
      <c r="A18" s="4" t="str">
        <v>AOW02: Enabling Preparedness and Rapid Response to Emerging Shocks</v>
      </c>
      <c r="B18" s="4" t="str">
        <v>IITA</v>
      </c>
      <c r="C18" s="4" t="str">
        <v>Colombia</v>
      </c>
      <c r="D18" s="5">
        <v>4</v>
      </c>
      <c r="E18" s="4">
        <v>1819</v>
      </c>
    </row>
    <row r="19" ht="45" customHeight="1">
      <c r="A19" s="4" t="str">
        <v>AOW02: Enabling Preparedness and Rapid Response to Emerging Shocks</v>
      </c>
      <c r="B19" s="4" t="str">
        <v>IITA</v>
      </c>
      <c r="C19" s="4" t="str">
        <v>Côte d'Ivoire</v>
      </c>
      <c r="D19" s="5">
        <v>4</v>
      </c>
      <c r="E19" s="4">
        <v>1820</v>
      </c>
    </row>
    <row r="20" ht="45" customHeight="1">
      <c r="A20" s="4" t="str">
        <v>AOW02: Enabling Preparedness and Rapid Response to Emerging Shocks</v>
      </c>
      <c r="B20" s="4" t="str">
        <v>IITA</v>
      </c>
      <c r="C20" s="4" t="str">
        <v>Ethiopia</v>
      </c>
      <c r="D20" s="5">
        <v>4</v>
      </c>
      <c r="E20" s="4">
        <v>1821</v>
      </c>
    </row>
    <row r="21" ht="45" customHeight="1">
      <c r="A21" s="4" t="str">
        <v>AOW02: Enabling Preparedness and Rapid Response to Emerging Shocks</v>
      </c>
      <c r="B21" s="4" t="str">
        <v>IITA</v>
      </c>
      <c r="C21" s="4" t="str">
        <v>Ghana</v>
      </c>
      <c r="D21" s="5">
        <v>4</v>
      </c>
      <c r="E21" s="4">
        <v>1822</v>
      </c>
    </row>
    <row r="22" ht="45" customHeight="1">
      <c r="A22" s="4" t="str">
        <v>AOW02: Enabling Preparedness and Rapid Response to Emerging Shocks</v>
      </c>
      <c r="B22" s="4" t="str">
        <v>IITA</v>
      </c>
      <c r="C22" s="4" t="str">
        <v>India</v>
      </c>
      <c r="D22" s="5">
        <v>4</v>
      </c>
      <c r="E22" s="4">
        <v>1823</v>
      </c>
    </row>
    <row r="23" ht="45" customHeight="1">
      <c r="A23" s="4" t="str">
        <v>AOW02: Enabling Preparedness and Rapid Response to Emerging Shocks</v>
      </c>
      <c r="B23" s="4" t="str">
        <v>IITA</v>
      </c>
      <c r="C23" s="4" t="str">
        <v>Kenya</v>
      </c>
      <c r="D23" s="5">
        <v>3</v>
      </c>
      <c r="E23" s="4">
        <v>1824</v>
      </c>
    </row>
    <row r="24" ht="45" customHeight="1">
      <c r="A24" s="4" t="str">
        <v>AOW02: Enabling Preparedness and Rapid Response to Emerging Shocks</v>
      </c>
      <c r="B24" s="4" t="str">
        <v>IITA</v>
      </c>
      <c r="C24" s="4" t="str">
        <v>Lebanon</v>
      </c>
      <c r="D24" s="5">
        <v>3</v>
      </c>
      <c r="E24" s="4">
        <v>1825</v>
      </c>
    </row>
    <row r="25" ht="45" customHeight="1">
      <c r="A25" s="4" t="str">
        <v>AOW02: Enabling Preparedness and Rapid Response to Emerging Shocks</v>
      </c>
      <c r="B25" s="4" t="str">
        <v>IITA</v>
      </c>
      <c r="C25" s="4" t="str">
        <v>Malawi</v>
      </c>
      <c r="D25" s="5">
        <v>3</v>
      </c>
      <c r="E25" s="4">
        <v>1826</v>
      </c>
    </row>
    <row r="26" ht="45" customHeight="1">
      <c r="A26" s="4" t="str">
        <v>AOW02: Enabling Preparedness and Rapid Response to Emerging Shocks</v>
      </c>
      <c r="B26" s="4" t="str">
        <v>IITA</v>
      </c>
      <c r="C26" s="4" t="str">
        <v>Mali</v>
      </c>
      <c r="D26" s="5">
        <v>3</v>
      </c>
      <c r="E26" s="4">
        <v>1827</v>
      </c>
    </row>
    <row r="27" ht="45" customHeight="1">
      <c r="A27" s="4" t="str">
        <v>AOW02: Enabling Preparedness and Rapid Response to Emerging Shocks</v>
      </c>
      <c r="B27" s="4" t="str">
        <v>IITA</v>
      </c>
      <c r="C27" s="4" t="str">
        <v>Mozambique</v>
      </c>
      <c r="D27" s="5">
        <v>3</v>
      </c>
      <c r="E27" s="4">
        <v>1829</v>
      </c>
    </row>
    <row r="28" ht="45" customHeight="1">
      <c r="A28" s="4" t="str">
        <v>AOW02: Enabling Preparedness and Rapid Response to Emerging Shocks</v>
      </c>
      <c r="B28" s="4" t="str">
        <v>IITA</v>
      </c>
      <c r="C28" s="4" t="str">
        <v>Netherlands (Kingdom of the)</v>
      </c>
      <c r="D28" s="5">
        <v>3</v>
      </c>
      <c r="E28" s="4">
        <v>1830</v>
      </c>
    </row>
    <row r="29" ht="45" customHeight="1">
      <c r="A29" s="4" t="str">
        <v>AOW02: Enabling Preparedness and Rapid Response to Emerging Shocks</v>
      </c>
      <c r="B29" s="4" t="str">
        <v>IITA</v>
      </c>
      <c r="C29" s="4" t="str">
        <v>Niger</v>
      </c>
      <c r="D29" s="5">
        <v>3</v>
      </c>
      <c r="E29" s="4">
        <v>1831</v>
      </c>
    </row>
    <row r="30" ht="45" customHeight="1">
      <c r="A30" s="4" t="str">
        <v>AOW02: Enabling Preparedness and Rapid Response to Emerging Shocks</v>
      </c>
      <c r="B30" s="4" t="str">
        <v>IITA</v>
      </c>
      <c r="C30" s="4" t="str">
        <v>Nigeria</v>
      </c>
      <c r="D30" s="5">
        <v>3</v>
      </c>
      <c r="E30" s="4">
        <v>1832</v>
      </c>
    </row>
    <row r="31" ht="45" customHeight="1">
      <c r="A31" s="4" t="str">
        <v>AOW02: Enabling Preparedness and Rapid Response to Emerging Shocks</v>
      </c>
      <c r="B31" s="4" t="str">
        <v>IITA</v>
      </c>
      <c r="C31" s="4" t="str">
        <v>Peru</v>
      </c>
      <c r="D31" s="5">
        <v>3</v>
      </c>
      <c r="E31" s="4">
        <v>1833</v>
      </c>
    </row>
    <row r="32" ht="45" customHeight="1">
      <c r="A32" s="4" t="str">
        <v>AOW02: Enabling Preparedness and Rapid Response to Emerging Shocks</v>
      </c>
      <c r="B32" s="4" t="str">
        <v>IITA</v>
      </c>
      <c r="C32" s="4" t="str">
        <v>Philippines</v>
      </c>
      <c r="D32" s="5">
        <v>3</v>
      </c>
      <c r="E32" s="4">
        <v>1834</v>
      </c>
    </row>
    <row r="33" ht="45" customHeight="1">
      <c r="A33" s="4" t="str">
        <v>AOW02: Enabling Preparedness and Rapid Response to Emerging Shocks</v>
      </c>
      <c r="B33" s="4" t="str">
        <v>IITA</v>
      </c>
      <c r="C33" s="4" t="str">
        <v>Rwanda</v>
      </c>
      <c r="D33" s="5">
        <v>3</v>
      </c>
      <c r="E33" s="4">
        <v>1835</v>
      </c>
    </row>
    <row r="34" ht="45" customHeight="1">
      <c r="A34" s="4" t="str">
        <v>AOW02: Enabling Preparedness and Rapid Response to Emerging Shocks</v>
      </c>
      <c r="B34" s="4" t="str">
        <v>IITA</v>
      </c>
      <c r="C34" s="4" t="str">
        <v>Senegal</v>
      </c>
      <c r="D34" s="5">
        <v>3</v>
      </c>
      <c r="E34" s="4">
        <v>1836</v>
      </c>
    </row>
    <row r="35" ht="45" customHeight="1">
      <c r="A35" s="4" t="str">
        <v>AOW02: Enabling Preparedness and Rapid Response to Emerging Shocks</v>
      </c>
      <c r="B35" s="4" t="str">
        <v>IITA</v>
      </c>
      <c r="C35" s="4" t="str">
        <v>South Sudan</v>
      </c>
      <c r="D35" s="5">
        <v>3</v>
      </c>
      <c r="E35" s="4">
        <v>1837</v>
      </c>
    </row>
    <row r="36" ht="45" customHeight="1">
      <c r="A36" s="4" t="str">
        <v>AOW02: Enabling Preparedness and Rapid Response to Emerging Shocks</v>
      </c>
      <c r="B36" s="4" t="str">
        <v>IITA</v>
      </c>
      <c r="C36" s="4" t="str">
        <v>Tanzania</v>
      </c>
      <c r="D36" s="5">
        <v>3</v>
      </c>
      <c r="E36" s="4">
        <v>1838</v>
      </c>
    </row>
    <row r="37" ht="45" customHeight="1">
      <c r="A37" s="4" t="str">
        <v>AOW02: Enabling Preparedness and Rapid Response to Emerging Shocks</v>
      </c>
      <c r="B37" s="4" t="str">
        <v>IITA</v>
      </c>
      <c r="C37" s="4" t="str">
        <v>The Democratic Republic of the Congo</v>
      </c>
      <c r="D37" s="5">
        <v>3</v>
      </c>
      <c r="E37" s="4">
        <v>1839</v>
      </c>
    </row>
    <row r="38" ht="45" customHeight="1">
      <c r="A38" s="4" t="str">
        <v>AOW02: Enabling Preparedness and Rapid Response to Emerging Shocks</v>
      </c>
      <c r="B38" s="4" t="str">
        <v>IITA</v>
      </c>
      <c r="C38" s="4" t="str">
        <v>Togo</v>
      </c>
      <c r="D38" s="5">
        <v>3</v>
      </c>
      <c r="E38" s="4">
        <v>1840</v>
      </c>
    </row>
    <row r="39" ht="45" customHeight="1">
      <c r="A39" s="4" t="str">
        <v>AOW02: Enabling Preparedness and Rapid Response to Emerging Shocks</v>
      </c>
      <c r="B39" s="4" t="str">
        <v>IITA</v>
      </c>
      <c r="C39" s="4" t="str">
        <v>Uganda</v>
      </c>
      <c r="D39" s="5">
        <v>3</v>
      </c>
      <c r="E39" s="4">
        <v>1841</v>
      </c>
    </row>
    <row r="40" ht="45" customHeight="1">
      <c r="A40" s="4" t="str">
        <v>AOW02: Enabling Preparedness and Rapid Response to Emerging Shocks</v>
      </c>
      <c r="B40" s="4" t="str">
        <v>IITA</v>
      </c>
      <c r="C40" s="4" t="str">
        <v>United Republic</v>
      </c>
      <c r="D40" s="5">
        <v>3</v>
      </c>
      <c r="E40" s="4">
        <v>1842</v>
      </c>
    </row>
    <row r="41" ht="45" customHeight="1">
      <c r="A41" s="4" t="str">
        <v>AOW02: Enabling Preparedness and Rapid Response to Emerging Shocks</v>
      </c>
      <c r="B41" s="4" t="str">
        <v>IITA</v>
      </c>
      <c r="C41" s="4" t="str">
        <v>Zambia</v>
      </c>
      <c r="D41" s="5">
        <v>3</v>
      </c>
      <c r="E41" s="4">
        <v>1843</v>
      </c>
    </row>
    <row r="42" ht="45" customHeight="1">
      <c r="A42" s="4" t="str">
        <v>AOW02: Enabling Preparedness and Rapid Response to Emerging Shocks</v>
      </c>
      <c r="B42" s="4" t="str">
        <v>IITA</v>
      </c>
      <c r="C42" s="4" t="str">
        <v>Zimbabwe</v>
      </c>
      <c r="D42" s="5">
        <v>3</v>
      </c>
      <c r="E42" s="4">
        <v>1844</v>
      </c>
    </row>
    <row r="43" ht="45" customHeight="1">
      <c r="A43" s="8" t="str">
        <v>AOW03: Delivering Integrated Solutions to Systemic Farm-Level Binding Constraints</v>
      </c>
      <c r="B43" s="4" t="str">
        <v>IITA</v>
      </c>
      <c r="C43" s="4" t="str">
        <v>Cameroon</v>
      </c>
      <c r="D43" s="5">
        <v>10</v>
      </c>
      <c r="E43" s="4">
        <v>3195</v>
      </c>
    </row>
    <row r="44" ht="45" customHeight="1">
      <c r="A44" s="4" t="str">
        <v>AOW03: Delivering Integrated Solutions to Systemic Farm-Level Binding Constraints</v>
      </c>
      <c r="B44" s="4" t="str">
        <v>IITA</v>
      </c>
      <c r="C44" s="4" t="str">
        <v>Colombia</v>
      </c>
      <c r="D44" s="5">
        <v>0</v>
      </c>
      <c r="E44" s="4">
        <v>3196</v>
      </c>
    </row>
    <row r="45" ht="45" customHeight="1">
      <c r="A45" s="4" t="str">
        <v>AOW03: Delivering Integrated Solutions to Systemic Farm-Level Binding Constraints</v>
      </c>
      <c r="B45" s="4" t="str">
        <v>IITA</v>
      </c>
      <c r="C45" s="4" t="str">
        <v>Côte d'Ivoire</v>
      </c>
      <c r="D45" s="5">
        <v>10</v>
      </c>
      <c r="E45" s="4">
        <v>3197</v>
      </c>
    </row>
    <row r="46" ht="45" customHeight="1">
      <c r="A46" s="4" t="str">
        <v>AOW03: Delivering Integrated Solutions to Systemic Farm-Level Binding Constraints</v>
      </c>
      <c r="B46" s="4" t="str">
        <v>IITA</v>
      </c>
      <c r="C46" s="4" t="str">
        <v>Egypt</v>
      </c>
      <c r="D46" s="5">
        <v>0</v>
      </c>
      <c r="E46" s="4">
        <v>3198</v>
      </c>
    </row>
    <row r="47" ht="45" customHeight="1">
      <c r="A47" s="4" t="str">
        <v>AOW03: Delivering Integrated Solutions to Systemic Farm-Level Binding Constraints</v>
      </c>
      <c r="B47" s="4" t="str">
        <v>IITA</v>
      </c>
      <c r="C47" s="4" t="str">
        <v>Ethiopia</v>
      </c>
      <c r="D47" s="5">
        <v>0</v>
      </c>
      <c r="E47" s="4">
        <v>3199</v>
      </c>
    </row>
    <row r="48" ht="45" customHeight="1">
      <c r="A48" s="4" t="str">
        <v>AOW03: Delivering Integrated Solutions to Systemic Farm-Level Binding Constraints</v>
      </c>
      <c r="B48" s="4" t="str">
        <v>IITA</v>
      </c>
      <c r="C48" s="4" t="str">
        <v>Ghana</v>
      </c>
      <c r="D48" s="5">
        <v>10</v>
      </c>
      <c r="E48" s="4">
        <v>3200</v>
      </c>
    </row>
    <row r="49" ht="45" customHeight="1">
      <c r="A49" s="4" t="str">
        <v>AOW03: Delivering Integrated Solutions to Systemic Farm-Level Binding Constraints</v>
      </c>
      <c r="B49" s="4" t="str">
        <v>IITA</v>
      </c>
      <c r="C49" s="4" t="str">
        <v>Honduras</v>
      </c>
      <c r="D49" s="5">
        <v>0</v>
      </c>
      <c r="E49" s="4">
        <v>3201</v>
      </c>
    </row>
    <row r="50" ht="45" customHeight="1">
      <c r="A50" s="4" t="str">
        <v>AOW03: Delivering Integrated Solutions to Systemic Farm-Level Binding Constraints</v>
      </c>
      <c r="B50" s="4" t="str">
        <v>IITA</v>
      </c>
      <c r="C50" s="4" t="str">
        <v>India</v>
      </c>
      <c r="D50" s="5">
        <v>0</v>
      </c>
      <c r="E50" s="4">
        <v>3202</v>
      </c>
    </row>
    <row r="51" ht="45" customHeight="1">
      <c r="A51" s="4" t="str">
        <v>AOW03: Delivering Integrated Solutions to Systemic Farm-Level Binding Constraints</v>
      </c>
      <c r="B51" s="4" t="str">
        <v>IITA</v>
      </c>
      <c r="C51" s="4" t="str">
        <v>Kenya</v>
      </c>
      <c r="D51" s="5">
        <v>10</v>
      </c>
      <c r="E51" s="4">
        <v>3203</v>
      </c>
    </row>
    <row r="52" ht="45" customHeight="1">
      <c r="A52" s="4" t="str">
        <v>AOW03: Delivering Integrated Solutions to Systemic Farm-Level Binding Constraints</v>
      </c>
      <c r="B52" s="4" t="str">
        <v>IITA</v>
      </c>
      <c r="C52" s="4" t="str">
        <v>Lao People's Democratic Republic</v>
      </c>
      <c r="D52" s="5">
        <v>0</v>
      </c>
      <c r="E52" s="4">
        <v>3204</v>
      </c>
    </row>
    <row r="53" ht="45" customHeight="1">
      <c r="A53" s="4" t="str">
        <v>AOW03: Delivering Integrated Solutions to Systemic Farm-Level Binding Constraints</v>
      </c>
      <c r="B53" s="4" t="str">
        <v>IITA</v>
      </c>
      <c r="C53" s="4" t="str">
        <v>Madagascar</v>
      </c>
      <c r="D53" s="5">
        <v>10</v>
      </c>
      <c r="E53" s="4">
        <v>3205</v>
      </c>
    </row>
    <row r="54" ht="45" customHeight="1">
      <c r="A54" s="4" t="str">
        <v>AOW03: Delivering Integrated Solutions to Systemic Farm-Level Binding Constraints</v>
      </c>
      <c r="B54" s="4" t="str">
        <v>IITA</v>
      </c>
      <c r="C54" s="4" t="str">
        <v>Malawi</v>
      </c>
      <c r="D54" s="5">
        <v>10</v>
      </c>
      <c r="E54" s="4">
        <v>3206</v>
      </c>
    </row>
    <row r="55" ht="45" customHeight="1">
      <c r="A55" s="4" t="str">
        <v>AOW03: Delivering Integrated Solutions to Systemic Farm-Level Binding Constraints</v>
      </c>
      <c r="B55" s="4" t="str">
        <v>IITA</v>
      </c>
      <c r="C55" s="4" t="str">
        <v>Nigeria</v>
      </c>
      <c r="D55" s="5">
        <v>10</v>
      </c>
      <c r="E55" s="4">
        <v>3207</v>
      </c>
    </row>
    <row r="56" ht="45" customHeight="1">
      <c r="A56" s="4" t="str">
        <v>AOW03: Delivering Integrated Solutions to Systemic Farm-Level Binding Constraints</v>
      </c>
      <c r="B56" s="4" t="str">
        <v>IITA</v>
      </c>
      <c r="C56" s="4" t="str">
        <v>The Democratic Republic of the Congo</v>
      </c>
      <c r="D56" s="5">
        <v>10</v>
      </c>
      <c r="E56" s="4">
        <v>3208</v>
      </c>
    </row>
    <row r="57" ht="45" customHeight="1">
      <c r="A57" s="4" t="str">
        <v>AOW03: Delivering Integrated Solutions to Systemic Farm-Level Binding Constraints</v>
      </c>
      <c r="B57" s="4" t="str">
        <v>IITA</v>
      </c>
      <c r="C57" s="4" t="str">
        <v>Uganda</v>
      </c>
      <c r="D57" s="5">
        <v>10</v>
      </c>
      <c r="E57" s="4">
        <v>3209</v>
      </c>
    </row>
    <row r="58" ht="45" customHeight="1">
      <c r="A58" s="4" t="str">
        <v>AOW03: Delivering Integrated Solutions to Systemic Farm-Level Binding Constraints</v>
      </c>
      <c r="B58" s="4" t="str">
        <v>IITA</v>
      </c>
      <c r="C58" s="4" t="str">
        <v>United Republic</v>
      </c>
      <c r="D58" s="5">
        <v>10</v>
      </c>
      <c r="E58" s="4">
        <v>3210</v>
      </c>
    </row>
    <row r="59" ht="45" customHeight="1">
      <c r="A59" s="8" t="str">
        <v>AOW04: Incubating Innovation in Sustainable Farming</v>
      </c>
      <c r="B59" s="4" t="str">
        <v>IITA</v>
      </c>
      <c r="C59" s="4" t="str">
        <v>Ecuador</v>
      </c>
      <c r="D59" s="5">
        <v>7</v>
      </c>
      <c r="E59" s="4">
        <v>1527</v>
      </c>
    </row>
    <row r="60" ht="45" customHeight="1">
      <c r="A60" s="4" t="str">
        <v>AOW04: Incubating Innovation in Sustainable Farming</v>
      </c>
      <c r="B60" s="4" t="str">
        <v>IITA</v>
      </c>
      <c r="C60" s="4" t="str">
        <v>Egypt</v>
      </c>
      <c r="D60" s="5">
        <v>5</v>
      </c>
      <c r="E60" s="4">
        <v>1528</v>
      </c>
    </row>
    <row r="61" ht="45" customHeight="1">
      <c r="A61" s="4" t="str">
        <v>AOW04: Incubating Innovation in Sustainable Farming</v>
      </c>
      <c r="B61" s="4" t="str">
        <v>IITA</v>
      </c>
      <c r="C61" s="4" t="str">
        <v>Ethiopia</v>
      </c>
      <c r="D61" s="5">
        <v>5</v>
      </c>
      <c r="E61" s="4">
        <v>1530</v>
      </c>
    </row>
    <row r="62" ht="45" customHeight="1">
      <c r="A62" s="4" t="str">
        <v>AOW04: Incubating Innovation in Sustainable Farming</v>
      </c>
      <c r="B62" s="4" t="str">
        <v>IITA</v>
      </c>
      <c r="C62" s="4" t="str">
        <v>India</v>
      </c>
      <c r="D62" s="5">
        <v>8</v>
      </c>
      <c r="E62" s="4">
        <v>1531</v>
      </c>
    </row>
    <row r="63" ht="45" customHeight="1">
      <c r="A63" s="4" t="str">
        <v>AOW04: Incubating Innovation in Sustainable Farming</v>
      </c>
      <c r="B63" s="4" t="str">
        <v>IITA</v>
      </c>
      <c r="C63" s="4" t="str">
        <v>Kenya</v>
      </c>
      <c r="D63" s="5">
        <v>14</v>
      </c>
      <c r="E63" s="4">
        <v>1534</v>
      </c>
    </row>
    <row r="64" ht="45" customHeight="1">
      <c r="A64" s="4" t="str">
        <v>AOW04: Incubating Innovation in Sustainable Farming</v>
      </c>
      <c r="B64" s="4" t="str">
        <v>IITA</v>
      </c>
      <c r="C64" s="4" t="str">
        <v>Malawi</v>
      </c>
      <c r="D64" s="5">
        <v>14</v>
      </c>
      <c r="E64" s="4">
        <v>1532</v>
      </c>
    </row>
    <row r="65" ht="45" customHeight="1">
      <c r="A65" s="4" t="str">
        <v>AOW04: Incubating Innovation in Sustainable Farming</v>
      </c>
      <c r="B65" s="4" t="str">
        <v>IITA</v>
      </c>
      <c r="C65" s="4" t="str">
        <v>Morocco</v>
      </c>
      <c r="D65" s="5">
        <v>12</v>
      </c>
      <c r="E65" s="4">
        <v>1529</v>
      </c>
    </row>
    <row r="66" ht="45" customHeight="1">
      <c r="A66" s="4" t="str">
        <v>AOW04: Incubating Innovation in Sustainable Farming</v>
      </c>
      <c r="B66" s="4" t="str">
        <v>IITA</v>
      </c>
      <c r="C66" s="4" t="str">
        <v>Peru</v>
      </c>
      <c r="D66" s="5">
        <v>7</v>
      </c>
      <c r="E66" s="4">
        <v>1526</v>
      </c>
    </row>
    <row r="67" ht="45" customHeight="1">
      <c r="A67" s="4" t="str">
        <v>AOW04: Incubating Innovation in Sustainable Farming</v>
      </c>
      <c r="B67" s="4" t="str">
        <v>IITA</v>
      </c>
      <c r="C67" s="4" t="str">
        <v>Philippines</v>
      </c>
      <c r="D67" s="5">
        <v>14</v>
      </c>
      <c r="E67" s="4">
        <v>1525</v>
      </c>
    </row>
    <row r="68" ht="45" customHeight="1">
      <c r="A68" s="4" t="str">
        <v>AOW04: Incubating Innovation in Sustainable Farming</v>
      </c>
      <c r="B68" s="4" t="str">
        <v>IITA</v>
      </c>
      <c r="C68" s="4" t="str">
        <v>Zambia</v>
      </c>
      <c r="D68" s="5">
        <v>14</v>
      </c>
      <c r="E68" s="4">
        <v>1533</v>
      </c>
    </row>
    <row r="69" ht="45" customHeight="1">
      <c r="A69" s="8" t="str">
        <v>AOW05: Accelerating Impact</v>
      </c>
      <c r="B69" s="4" t="str">
        <v>IITA</v>
      </c>
      <c r="C69" s="4" t="str">
        <v>Benin</v>
      </c>
      <c r="D69" s="5">
        <v>2</v>
      </c>
      <c r="E69" s="4">
        <v>3217</v>
      </c>
    </row>
    <row r="70" ht="45" customHeight="1">
      <c r="A70" s="4" t="str">
        <v>AOW05: Accelerating Impact</v>
      </c>
      <c r="B70" s="4" t="str">
        <v>IITA</v>
      </c>
      <c r="C70" s="4" t="str">
        <v>Côte d'Ivoire</v>
      </c>
      <c r="D70" s="5">
        <v>2</v>
      </c>
      <c r="E70" s="4">
        <v>3216</v>
      </c>
    </row>
    <row r="71" ht="45" customHeight="1">
      <c r="A71" s="4" t="str">
        <v>AOW05: Accelerating Impact</v>
      </c>
      <c r="B71" s="4" t="str">
        <v>IITA</v>
      </c>
      <c r="C71" s="4" t="str">
        <v>France</v>
      </c>
      <c r="D71" s="5">
        <v>5</v>
      </c>
      <c r="E71" s="4">
        <v>3231</v>
      </c>
    </row>
    <row r="72" ht="45" customHeight="1">
      <c r="A72" s="4" t="str">
        <v>AOW05: Accelerating Impact</v>
      </c>
      <c r="B72" s="4" t="str">
        <v>IITA</v>
      </c>
      <c r="C72" s="4" t="str">
        <v>Ghana</v>
      </c>
      <c r="D72" s="5">
        <v>25</v>
      </c>
      <c r="E72" s="4">
        <v>3211</v>
      </c>
    </row>
    <row r="73" ht="45" customHeight="1">
      <c r="A73" s="4" t="str">
        <v>AOW05: Accelerating Impact</v>
      </c>
      <c r="B73" s="4" t="str">
        <v>IITA</v>
      </c>
      <c r="C73" s="4" t="str">
        <v>Greece</v>
      </c>
      <c r="D73" s="5">
        <v>2</v>
      </c>
      <c r="E73" s="4">
        <v>3215</v>
      </c>
    </row>
    <row r="74" ht="45" customHeight="1">
      <c r="A74" s="4" t="str">
        <v>AOW05: Accelerating Impact</v>
      </c>
      <c r="B74" s="4" t="str">
        <v>IITA</v>
      </c>
      <c r="C74" s="4" t="str">
        <v>Kenya</v>
      </c>
      <c r="D74" s="5">
        <v>27</v>
      </c>
      <c r="E74" s="4">
        <v>3212</v>
      </c>
    </row>
    <row r="75" ht="45" customHeight="1">
      <c r="A75" s="4" t="str">
        <v>AOW05: Accelerating Impact</v>
      </c>
      <c r="B75" s="4" t="str">
        <v>IITA</v>
      </c>
      <c r="C75" s="4" t="str">
        <v>Nigeria</v>
      </c>
      <c r="D75" s="5">
        <v>32</v>
      </c>
      <c r="E75" s="4">
        <v>3213</v>
      </c>
    </row>
    <row r="76" ht="45" customHeight="1">
      <c r="A76" s="4" t="str">
        <v>AOW05: Accelerating Impact</v>
      </c>
      <c r="B76" s="4" t="str">
        <v>IITA</v>
      </c>
      <c r="C76" s="4" t="str">
        <v>The Democratic Republic of the Congo</v>
      </c>
      <c r="D76" s="5">
        <v>2</v>
      </c>
      <c r="E76" s="4">
        <v>3218</v>
      </c>
    </row>
    <row r="77" ht="45" customHeight="1">
      <c r="A77" s="4" t="str">
        <v>AOW05: Accelerating Impact</v>
      </c>
      <c r="B77" s="4" t="str">
        <v>IITA</v>
      </c>
      <c r="C77" s="4" t="str">
        <v>United States of America</v>
      </c>
      <c r="D77" s="5">
        <v>3</v>
      </c>
      <c r="E77" s="4">
        <v>3214</v>
      </c>
    </row>
  </sheetData>
  <mergeCells count="6">
    <mergeCell ref="A2:A4"/>
    <mergeCell ref="A5:A12"/>
    <mergeCell ref="A13:A42"/>
    <mergeCell ref="A43:A58"/>
    <mergeCell ref="A59:A68"/>
    <mergeCell ref="A69:A77"/>
  </mergeCells>
  <ignoredErrors>
    <ignoredError numberStoredAsText="1" sqref="A1:E77"/>
  </ignoredErrors>
</worksheet>
</file>

<file path=xl/worksheets/sheet9.xml><?xml version="1.0" encoding="utf-8"?>
<worksheet xmlns="http://schemas.openxmlformats.org/spreadsheetml/2006/main" xmlns:r="http://schemas.openxmlformats.org/officeDocument/2006/relationships">
  <dimension ref="A1:F1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IITA</v>
      </c>
      <c r="C2" s="4" t="str">
        <v>Global</v>
      </c>
      <c r="D2" s="4" t="str">
        <v>global</v>
      </c>
      <c r="E2" s="5">
        <v>100</v>
      </c>
      <c r="F2" s="4">
        <v>651</v>
      </c>
    </row>
    <row r="3" ht="45" customHeight="1">
      <c r="A3" s="8" t="str">
        <v>AOW01: Accelerating AI-Enabled Farm Advisory at Scale.</v>
      </c>
      <c r="B3" s="4" t="str">
        <v>IITA</v>
      </c>
      <c r="C3" s="4" t="str">
        <v>Global</v>
      </c>
      <c r="D3" s="4" t="str">
        <v>global</v>
      </c>
      <c r="E3" s="5">
        <v>100</v>
      </c>
      <c r="F3" s="4">
        <v>565</v>
      </c>
    </row>
    <row r="4" ht="45" customHeight="1">
      <c r="A4" s="8" t="str">
        <v>AOW02: Enabling Preparedness and Rapid Response to Emerging Shocks</v>
      </c>
      <c r="B4" s="4" t="str">
        <v>IITA</v>
      </c>
      <c r="C4" s="4" t="str">
        <v>Global</v>
      </c>
      <c r="D4" s="4" t="str">
        <v>global</v>
      </c>
      <c r="E4" s="5">
        <v>100</v>
      </c>
      <c r="F4" s="4">
        <v>638</v>
      </c>
    </row>
    <row r="5" ht="45" customHeight="1">
      <c r="A5" s="8" t="str">
        <v>AOW03: Delivering Integrated Solutions to Systemic Farm-Level Binding Constraints</v>
      </c>
      <c r="B5" s="4" t="str">
        <v>IITA</v>
      </c>
      <c r="C5" s="4" t="str">
        <v>Global</v>
      </c>
      <c r="D5" s="4" t="str">
        <v>global</v>
      </c>
      <c r="E5" s="5">
        <v>100</v>
      </c>
      <c r="F5" s="4">
        <v>1447</v>
      </c>
    </row>
    <row r="6" ht="45" customHeight="1">
      <c r="A6" s="8" t="str">
        <v>AOW04: Incubating Innovation in Sustainable Farming</v>
      </c>
      <c r="B6" s="4" t="str">
        <v>IITA</v>
      </c>
      <c r="C6" s="4" t="str">
        <v>Global</v>
      </c>
      <c r="D6" s="4" t="str">
        <v>global</v>
      </c>
      <c r="E6" s="5">
        <v>100</v>
      </c>
      <c r="F6" s="4">
        <v>90</v>
      </c>
    </row>
    <row r="7" ht="45" customHeight="1">
      <c r="A7" s="8" t="str">
        <v>AOW05: Accelerating Impact</v>
      </c>
      <c r="B7" s="4" t="str">
        <v>IITA</v>
      </c>
      <c r="C7" s="4" t="str">
        <v>Ethiopia</v>
      </c>
      <c r="D7" s="4" t="str">
        <v>country</v>
      </c>
      <c r="E7" s="5">
        <v>5</v>
      </c>
      <c r="F7" s="4">
        <v>1454</v>
      </c>
    </row>
    <row r="8" ht="45" customHeight="1">
      <c r="A8" s="4" t="str">
        <v>AOW05: Accelerating Impact</v>
      </c>
      <c r="B8" s="4" t="str">
        <v>IITA</v>
      </c>
      <c r="C8" s="4" t="str">
        <v>Ghana</v>
      </c>
      <c r="D8" s="4" t="str">
        <v>country</v>
      </c>
      <c r="E8" s="5">
        <v>20</v>
      </c>
      <c r="F8" s="4">
        <v>1448</v>
      </c>
    </row>
    <row r="9" ht="45" customHeight="1">
      <c r="A9" s="4" t="str">
        <v>AOW05: Accelerating Impact</v>
      </c>
      <c r="B9" s="4" t="str">
        <v>IITA</v>
      </c>
      <c r="C9" s="4" t="str">
        <v>Kenya</v>
      </c>
      <c r="D9" s="4" t="str">
        <v>country</v>
      </c>
      <c r="E9" s="5">
        <v>25</v>
      </c>
      <c r="F9" s="4">
        <v>1452</v>
      </c>
    </row>
    <row r="10" ht="45" customHeight="1">
      <c r="A10" s="4" t="str">
        <v>AOW05: Accelerating Impact</v>
      </c>
      <c r="B10" s="4" t="str">
        <v>IITA</v>
      </c>
      <c r="C10" s="4" t="str">
        <v>Malawi</v>
      </c>
      <c r="D10" s="4" t="str">
        <v>country</v>
      </c>
      <c r="E10" s="5">
        <v>5</v>
      </c>
      <c r="F10" s="4">
        <v>1451</v>
      </c>
    </row>
    <row r="11" ht="45" customHeight="1">
      <c r="A11" s="4" t="str">
        <v>AOW05: Accelerating Impact</v>
      </c>
      <c r="B11" s="4" t="str">
        <v>IITA</v>
      </c>
      <c r="C11" s="4" t="str">
        <v>Nigeria</v>
      </c>
      <c r="D11" s="4" t="str">
        <v>country</v>
      </c>
      <c r="E11" s="5">
        <v>25</v>
      </c>
      <c r="F11" s="4">
        <v>1449</v>
      </c>
    </row>
    <row r="12" ht="45" customHeight="1">
      <c r="A12" s="4" t="str">
        <v>AOW05: Accelerating Impact</v>
      </c>
      <c r="B12" s="4" t="str">
        <v>IITA</v>
      </c>
      <c r="C12" s="4" t="str">
        <v>Rwanda</v>
      </c>
      <c r="D12" s="4" t="str">
        <v>country</v>
      </c>
      <c r="E12" s="5">
        <v>5</v>
      </c>
      <c r="F12" s="4">
        <v>1453</v>
      </c>
    </row>
    <row r="13" ht="45" customHeight="1">
      <c r="A13" s="4" t="str">
        <v>AOW05: Accelerating Impact</v>
      </c>
      <c r="B13" s="4" t="str">
        <v>IITA</v>
      </c>
      <c r="C13" s="4" t="str">
        <v>Tanzania, United Republic</v>
      </c>
      <c r="D13" s="4" t="str">
        <v>country</v>
      </c>
      <c r="E13" s="5">
        <v>10</v>
      </c>
      <c r="F13" s="4">
        <v>1450</v>
      </c>
    </row>
    <row r="14" ht="45" customHeight="1">
      <c r="A14" s="4" t="str">
        <v>AOW05: Accelerating Impact</v>
      </c>
      <c r="B14" s="4" t="str">
        <v>IITA</v>
      </c>
      <c r="C14" s="4" t="str">
        <v>The Democratic Republic of the Congo</v>
      </c>
      <c r="D14" s="4" t="str">
        <v>country</v>
      </c>
      <c r="E14" s="5">
        <v>5</v>
      </c>
      <c r="F14" s="4">
        <v>1455</v>
      </c>
    </row>
  </sheetData>
  <mergeCells count="6">
    <mergeCell ref="A2"/>
    <mergeCell ref="A3"/>
    <mergeCell ref="A4"/>
    <mergeCell ref="A5"/>
    <mergeCell ref="A6"/>
    <mergeCell ref="A7:A14"/>
  </mergeCells>
  <ignoredErrors>
    <ignoredError numberStoredAsText="1" sqref="A1:F14"/>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Number of Policy (Policy Change)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10</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40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10</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40</v>
      </c>
      <c r="G16" s="4">
        <v>510</v>
      </c>
    </row>
    <row r="17" ht="60" customHeight="1">
      <c r="A17" s="4" t="str">
        <v>AOW00: Cross Cutting</v>
      </c>
      <c r="B17" s="4" t="str">
        <v>8: Partnership-Driven Agronomic Gains at Scale</v>
      </c>
      <c r="C17" s="4" t="str">
        <v/>
      </c>
      <c r="D17" s="4" t="str">
        <v>Innovation Use</v>
      </c>
      <c r="E17" s="4" t="str">
        <v>Global</v>
      </c>
      <c r="F17" s="5">
        <v>100</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