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543447</v>
      </c>
      <c r="K4" s="5">
        <v>543447</v>
      </c>
      <c r="L4" s="5">
        <v>0</v>
      </c>
      <c r="M4" s="5">
        <v>0</v>
      </c>
      <c r="N4" s="4">
        <v>157</v>
      </c>
    </row>
    <row r="5" ht="20" customHeight="1">
      <c r="A5" s="4" t="str">
        <v xml:space="preserve">AOW01: Foresight and Prioritization 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151</v>
      </c>
    </row>
    <row r="6" ht="20" customHeight="1">
      <c r="A6" s="4" t="str">
        <v>AOW02: Market-led Transformation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153</v>
      </c>
    </row>
    <row r="7" ht="20" customHeight="1">
      <c r="A7" s="4" t="str">
        <v xml:space="preserve">AOW03: Governance and Political Economy 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156</v>
      </c>
    </row>
    <row r="8" ht="20" customHeight="1">
      <c r="A8" s="4" t="str">
        <v>AOW04: Water, Energy, Food Nexus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154</v>
      </c>
    </row>
    <row r="9" ht="20" customHeight="1">
      <c r="A9" s="4" t="str">
        <v>AOW05: Country Engagement/PI Hubs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152</v>
      </c>
    </row>
    <row r="10" ht="20" customHeight="1">
      <c r="A10" s="4" t="str">
        <v>AOW06: Social Policy and Employment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155</v>
      </c>
    </row>
    <row r="11" ht="25" customHeight="1">
      <c r="A11" s="6" t="str">
        <v>Total</v>
      </c>
      <c r="B11" s="7" t="str">
        <v/>
      </c>
      <c r="C11" s="7">
        <v>0</v>
      </c>
      <c r="D11" s="7" t="str">
        <v/>
      </c>
      <c r="E11" s="7">
        <v>0</v>
      </c>
      <c r="F11" s="7" t="str">
        <v/>
      </c>
      <c r="G11" s="7">
        <v>0</v>
      </c>
      <c r="H11" s="7" t="str">
        <v/>
      </c>
      <c r="I11" s="7">
        <v>0</v>
      </c>
      <c r="J11" s="7">
        <v>543447</v>
      </c>
      <c r="K11" s="7">
        <v>543447</v>
      </c>
      <c r="L11" s="7">
        <v>0</v>
      </c>
      <c r="M11" s="7">
        <v>0</v>
      </c>
      <c r="N11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</sheetData>
  <mergeCells count="6">
    <mergeCell ref="A1:A2"/>
    <mergeCell ref="B1:B2"/>
    <mergeCell ref="C1:C2"/>
    <mergeCell ref="D1:H1"/>
    <mergeCell ref="I1:I2"/>
    <mergeCell ref="J1:J2"/>
  </mergeCells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  <row r="2" ht="45" customHeight="1">
      <c r="A2" s="8" t="str">
        <v>AOW00: Cross Cutting</v>
      </c>
      <c r="B2" s="4" t="str">
        <v>SO</v>
      </c>
      <c r="C2" s="4" t="str">
        <v>Program Director and Associated Allocation</v>
      </c>
      <c r="D2" s="5">
        <v>510000</v>
      </c>
      <c r="E2" s="4" t="str">
        <v>Program director and other costs</v>
      </c>
      <c r="F2" s="4">
        <v>66</v>
      </c>
      <c r="G2" s="4">
        <v>1</v>
      </c>
    </row>
    <row r="3" ht="45" customHeight="1">
      <c r="A3" s="4" t="str">
        <v>AOW00: Cross Cutting</v>
      </c>
      <c r="B3" s="4" t="str">
        <v>SO</v>
      </c>
      <c r="C3" s="4" t="str">
        <v>PMU, CGIAR Program Finance Support and associated Allocation</v>
      </c>
      <c r="D3" s="5">
        <v>33447</v>
      </c>
      <c r="E3" s="4" t="str">
        <v>Program finance support</v>
      </c>
      <c r="F3" s="4">
        <v>67</v>
      </c>
      <c r="G3" s="4">
        <v>2</v>
      </c>
    </row>
    <row r="4" ht="25" customHeight="1">
      <c r="C4" s="9" t="str">
        <v>Cross-cutting budget subtotal</v>
      </c>
      <c r="D4" s="9">
        <v>543447</v>
      </c>
      <c r="E4" s="9" t="str">
        <v/>
      </c>
      <c r="F4" s="9" t="str">
        <v/>
      </c>
      <c r="G4" s="9" t="str">
        <v/>
      </c>
    </row>
  </sheetData>
  <mergeCells count="1">
    <mergeCell ref="A2:A4"/>
  </mergeCells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4" t="str">
        <v>Staffing, Chargebacks and Indirect</v>
      </c>
      <c r="B2" s="5">
        <v>543447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f>=SUM(B2:H2)</f>
        <v>0</v>
      </c>
    </row>
    <row r="3" ht="20" customHeight="1">
      <c r="A3" s="6" t="str">
        <v>Subtotal</v>
      </c>
      <c r="B3" s="7">
        <f>=SUM(B2:B2)</f>
        <v>0</v>
      </c>
      <c r="C3" s="7">
        <f>=SUM(C2:C2)</f>
        <v>0</v>
      </c>
      <c r="D3" s="7">
        <f>=SUM(D2:D2)</f>
        <v>0</v>
      </c>
      <c r="E3" s="7">
        <f>=SUM(E2:E2)</f>
        <v>0</v>
      </c>
      <c r="F3" s="7">
        <f>=SUM(F2:F2)</f>
        <v>0</v>
      </c>
      <c r="G3" s="7">
        <f>=SUM(G2:G2)</f>
        <v>0</v>
      </c>
      <c r="H3" s="7">
        <f>=SUM(H2:H2)</f>
        <v>0</v>
      </c>
      <c r="I3" s="7">
        <f>=SUM(I2:I2)</f>
        <v>0</v>
      </c>
    </row>
  </sheetData>
  <ignoredErrors>
    <ignoredError numberStoredAsText="1" sqref="A1:I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AOW00: Cross Cutting</v>
      </c>
      <c r="B2" s="4" t="str">
        <v>SO</v>
      </c>
      <c r="C2" s="4" t="str">
        <v>Kenya</v>
      </c>
      <c r="D2" s="5">
        <v>96</v>
      </c>
      <c r="E2" s="4">
        <v>338</v>
      </c>
    </row>
    <row r="3" ht="45" customHeight="1">
      <c r="A3" s="4" t="str">
        <v>AOW00: Cross Cutting</v>
      </c>
      <c r="B3" s="4" t="str">
        <v>SO</v>
      </c>
      <c r="C3" s="4" t="str">
        <v>Nigeria</v>
      </c>
      <c r="D3" s="5">
        <v>4</v>
      </c>
      <c r="E3" s="4">
        <v>339</v>
      </c>
    </row>
  </sheetData>
  <mergeCells count="1">
    <mergeCell ref="A2:A3"/>
  </mergeCells>
  <ignoredErrors>
    <ignoredError numberStoredAsText="1" sqref="A1:E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AOW00: Cross Cutting</v>
      </c>
      <c r="B2" s="4" t="str">
        <v>SO</v>
      </c>
      <c r="C2" s="4" t="str">
        <v>Global</v>
      </c>
      <c r="D2" s="4" t="str">
        <v>global</v>
      </c>
      <c r="E2" s="5">
        <v>100</v>
      </c>
      <c r="F2" s="4">
        <v>185</v>
      </c>
    </row>
  </sheetData>
  <mergeCells count="1">
    <mergeCell ref="A2"/>
  </mergeCells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 xml:space="preserve">AOW01: Foresight and Prioritization </v>
      </c>
      <c r="B2" s="4" t="str">
        <v>Breeding for Tomorrow</v>
      </c>
      <c r="C2" s="4" t="str">
        <v>1.2. Policy evaluations, investment studies, and crisis response</v>
      </c>
      <c r="D2" s="4" t="str">
        <v>Global R&amp;D Impacts and Opportunities (RIO) Report. Policy Innovations is developing the global modeling system and using it to measure returns. B4T is leading analysis of direct returns to R&amp;D spending using ASTI data.</v>
      </c>
      <c r="E2" s="4">
        <v>857</v>
      </c>
    </row>
    <row r="3" ht="60" customHeight="1">
      <c r="A3" s="4" t="str">
        <v xml:space="preserve">AOW01: Foresight and Prioritization </v>
      </c>
      <c r="B3" s="4" t="str">
        <v xml:space="preserve">Sustainable Animal and Aquatic Foods </v>
      </c>
      <c r="C3" s="4" t="str">
        <v xml:space="preserve">1.1 Global and regional outlooks </v>
      </c>
      <c r="D3" s="4" t="str">
        <v>2027 Global Outlook Report: Animals in Low-Carbon Food Systems. Policy Innovations is leading the development of the report, and people from SAAF are contributing to chapters.</v>
      </c>
      <c r="E3" s="4">
        <v>858</v>
      </c>
    </row>
    <row r="4" ht="60" customHeight="1" xml:space="preserve">
      <c r="A4" s="8" t="str">
        <v>AOW02: Market-led Transformation</v>
      </c>
      <c r="B4" s="4" t="str">
        <v xml:space="preserve">Sustainable Farming </v>
      </c>
      <c r="C4" s="4" t="str">
        <v>2.2.  National Policy Response on agricultural Reforms</v>
      </c>
      <c r="D4" s="4" t="str" xml:space="preserve">
        <v xml:space="preserve">Fertilizer subsidy innovation study
</v>
      </c>
      <c r="E4" s="4">
        <v>856</v>
      </c>
    </row>
    <row r="5" ht="60" customHeight="1">
      <c r="A5" s="4" t="str">
        <v>AOW02: Market-led Transformation</v>
      </c>
      <c r="B5" s="4" t="str">
        <v>Better Diets and Nutrition</v>
      </c>
      <c r="C5" s="4" t="str">
        <v>2.2.  National Policy Response on agricultural Reforms</v>
      </c>
      <c r="D5" s="4" t="str">
        <v>Evidence based policy insights for promoting nutrient dense crops and commodities</v>
      </c>
      <c r="E5" s="4">
        <v>1285</v>
      </c>
    </row>
    <row r="6" ht="60" customHeight="1">
      <c r="A6" s="8" t="str">
        <v xml:space="preserve">AOW03: Governance and Political Economy </v>
      </c>
      <c r="B6" s="4" t="str">
        <v>Scaling for Impact</v>
      </c>
      <c r="C6" s="4" t="str">
        <v>3.3. Capacity sharing on political economy and policy process tools and methods</v>
      </c>
      <c r="D6" s="4" t="str">
        <v>Scaling of Innovations/tools.</v>
      </c>
      <c r="E6" s="4">
        <v>853</v>
      </c>
    </row>
    <row r="7" ht="60" customHeight="1">
      <c r="A7" s="4" t="str">
        <v xml:space="preserve">AOW03: Governance and Political Economy </v>
      </c>
      <c r="B7" s="4" t="str">
        <v>Better Diets and Nutrition</v>
      </c>
      <c r="C7" s="4" t="str">
        <v>3.2. Improved coherence, coordination, and implementation</v>
      </c>
      <c r="D7" s="4" t="str">
        <v xml:space="preserve">Analytical report and mapping of global food system governance initiatives by multilateral and regional bodies that identifies why some have been sustainable and others have faltered </v>
      </c>
      <c r="E7" s="4">
        <v>854</v>
      </c>
    </row>
    <row r="8" ht="60" customHeight="1" xml:space="preserve">
      <c r="A8" s="4" t="str">
        <v xml:space="preserve">AOW03: Governance and Political Economy </v>
      </c>
      <c r="B8" s="4" t="str">
        <v>Better Diets and Nutrition</v>
      </c>
      <c r="C8" s="4" t="str">
        <v>3.1. Global Governance Agenda Setting</v>
      </c>
      <c r="D8" s="4" t="str" xml:space="preserve">
        <v xml:space="preserve">Special journal issue on Rebuilding Global Food Systems Governance under a crisis of Multilateralism 
</v>
      </c>
      <c r="E8" s="4">
        <v>855</v>
      </c>
    </row>
    <row r="9" ht="60" customHeight="1">
      <c r="A9" s="8" t="str">
        <v>AOW04: Water, Energy, Food Nexus</v>
      </c>
      <c r="B9" s="4" t="str">
        <v xml:space="preserve">Multifunctional Landscapes </v>
      </c>
      <c r="C9" s="4" t="str">
        <v>4.3. Local Institutional Capacity sharing on WEFE Nexus</v>
      </c>
      <c r="D9" s="4" t="str">
        <v>Capacity development of professional on improved environmental flow tools for National Governments</v>
      </c>
      <c r="E9" s="4">
        <v>849</v>
      </c>
    </row>
    <row r="10" ht="60" customHeight="1">
      <c r="A10" s="4" t="str">
        <v>AOW04: Water, Energy, Food Nexus</v>
      </c>
      <c r="B10" s="4" t="str">
        <v>Climate Action</v>
      </c>
      <c r="C10" s="4" t="str">
        <v>4.2. National Policy response on WEFE Nexus</v>
      </c>
      <c r="D10" s="4" t="str">
        <v xml:space="preserve">Development of Drought Action Plan for optimizing resource use, enhancing resilience, and deliver cross-sector benefits for the food system in the changing climate. </v>
      </c>
      <c r="E10" s="4">
        <v>850</v>
      </c>
    </row>
    <row r="11" ht="60" customHeight="1">
      <c r="A11" s="4" t="str">
        <v>AOW04: Water, Energy, Food Nexus</v>
      </c>
      <c r="B11" s="4" t="str">
        <v xml:space="preserve">Sustainable Farming </v>
      </c>
      <c r="C11" s="4" t="str">
        <v>4.2. National Policy response on WEFE Nexus</v>
      </c>
      <c r="D11" s="4" t="str">
        <v>Water binding constraint - linked with Critical Capability on estimation of Water productivity in Agriculture</v>
      </c>
      <c r="E11" s="4">
        <v>851</v>
      </c>
    </row>
    <row r="12" ht="60" customHeight="1">
      <c r="A12" s="4" t="str">
        <v>AOW04: Water, Energy, Food Nexus</v>
      </c>
      <c r="B12" s="4" t="str">
        <v>Scaling for Impact</v>
      </c>
      <c r="C12" s="4" t="str">
        <v>4.2. National Policy response on WEFE Nexus</v>
      </c>
      <c r="D12" s="4" t="str">
        <v>Development of the Joint Action Plan to support the Kenya's Irrigation Authority for the extension of the Irrigated area based on water availability</v>
      </c>
      <c r="E12" s="4">
        <v>852</v>
      </c>
    </row>
    <row r="13" ht="60" customHeight="1">
      <c r="A13" s="8" t="str">
        <v>AOW05: Country Engagement/PI Hubs</v>
      </c>
      <c r="B13" s="4" t="str">
        <v>Scaling for Impact</v>
      </c>
      <c r="C13" s="4" t="str">
        <v>5.1. Global Agenda Setting</v>
      </c>
      <c r="D13" s="4" t="str">
        <v>Collaboration on Country Demand Signaling, incl. joint development of country TOCs based on demand letters, survey</v>
      </c>
      <c r="E13" s="4">
        <v>846</v>
      </c>
    </row>
    <row r="14" ht="60" customHeight="1">
      <c r="A14" s="4" t="str">
        <v>AOW05: Country Engagement/PI Hubs</v>
      </c>
      <c r="B14" s="4" t="str">
        <v>Scaling for Impact</v>
      </c>
      <c r="C14" s="4" t="str">
        <v>5.3.  Local Institutional Capacity sharing to adopt and utilize CGIAR tools and methods</v>
      </c>
      <c r="D14" s="4" t="str">
        <v>Convenings with key policy and scaling partners, structured as a policy learning journey using Adaptive Management</v>
      </c>
      <c r="E14" s="4">
        <v>847</v>
      </c>
    </row>
    <row r="15" ht="60" customHeight="1">
      <c r="A15" s="4" t="str">
        <v>AOW05: Country Engagement/PI Hubs</v>
      </c>
      <c r="B15" s="4" t="str">
        <v>Scaling for Impact</v>
      </c>
      <c r="C15" s="4" t="str">
        <v>5.2. National Policy response</v>
      </c>
      <c r="D15" s="4" t="str">
        <v>Convenings with key policy and scaling partners, structured as a policy learning journey using Adaptive Management</v>
      </c>
      <c r="E15" s="4">
        <v>848</v>
      </c>
    </row>
    <row r="16" ht="60" customHeight="1">
      <c r="A16" s="4" t="str">
        <v>AOW05: Country Engagement/PI Hubs</v>
      </c>
      <c r="B16" s="4" t="str">
        <v xml:space="preserve">Multifunctional Landscapes </v>
      </c>
      <c r="C16" s="4" t="str">
        <v>5.2. National Policy response</v>
      </c>
      <c r="D16" s="4" t="str">
        <v>Convenings with key policy and scaling partners, structured as a policy learning journey using Adaptive Management to promote innovations in drought and natural resource management policies</v>
      </c>
      <c r="E16" s="4">
        <v>1286</v>
      </c>
    </row>
    <row r="17" ht="60" customHeight="1">
      <c r="A17" s="8" t="str">
        <v>AOW06: Social Policy and Employment</v>
      </c>
      <c r="B17" s="4" t="str">
        <v>Scaling for Impact</v>
      </c>
      <c r="C17" s="4" t="str">
        <v>6.3. Local Institutional Capacity sharing to strengthen social and employment policies</v>
      </c>
      <c r="D17" s="4" t="str">
        <v>Enabling environment, youth and jobs coordination</v>
      </c>
      <c r="E17" s="4">
        <v>843</v>
      </c>
    </row>
    <row r="18" ht="60" customHeight="1">
      <c r="A18" s="4" t="str">
        <v>AOW06: Social Policy and Employment</v>
      </c>
      <c r="B18" s="4" t="str">
        <v>Food Frontiers and Security</v>
      </c>
      <c r="C18" s="4" t="str">
        <v>6.2. National Policy response to support Social Policies and Employment/jobs creation</v>
      </c>
      <c r="D18" s="4" t="str">
        <v>Social protection, youth and job creation</v>
      </c>
      <c r="E18" s="4">
        <v>844</v>
      </c>
    </row>
    <row r="19" ht="60" customHeight="1">
      <c r="A19" s="4" t="str">
        <v>AOW06: Social Policy and Employment</v>
      </c>
      <c r="B19" s="4" t="str">
        <v xml:space="preserve">Gender Equality and Inclusion </v>
      </c>
      <c r="C19" s="4" t="str">
        <v>6.1. Global Agenda Setting in social policies and jobs</v>
      </c>
      <c r="D19" s="4" t="str">
        <v>Youth inclusion and jobs in agrifood systems</v>
      </c>
      <c r="E19" s="4">
        <v>845</v>
      </c>
    </row>
  </sheetData>
  <mergeCells count="6">
    <mergeCell ref="A2:A3"/>
    <mergeCell ref="A4:A5"/>
    <mergeCell ref="A6:A8"/>
    <mergeCell ref="A9:A12"/>
    <mergeCell ref="A13:A16"/>
    <mergeCell ref="A17:A19"/>
  </mergeCells>
  <ignoredErrors>
    <ignoredError numberStoredAsText="1" sqref="A1:E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Policy Changes</v>
      </c>
      <c r="C2" s="4" t="str">
        <v/>
      </c>
      <c r="D2" s="4" t="str">
        <v>Number of Policy (Policy Change)</v>
      </c>
      <c r="E2" s="4" t="str">
        <v>Region: Africa, Asia</v>
      </c>
      <c r="F2" s="5">
        <v>33</v>
      </c>
      <c r="G2" s="4">
        <v>471</v>
      </c>
    </row>
    <row r="3" ht="60" customHeight="1">
      <c r="A3" s="4" t="str">
        <v>AOW00: Cross Cutting</v>
      </c>
      <c r="B3" s="4" t="str">
        <v>Innovations used</v>
      </c>
      <c r="C3" s="4" t="str">
        <v/>
      </c>
      <c r="D3" s="4" t="str">
        <v>Innovation Use</v>
      </c>
      <c r="E3" s="4" t="str">
        <v>Region: Africa, Asia</v>
      </c>
      <c r="F3" s="5">
        <v>110</v>
      </c>
      <c r="G3" s="4">
        <v>472</v>
      </c>
    </row>
    <row r="4" ht="60" customHeight="1">
      <c r="A4" s="4" t="str">
        <v>AOW00: Cross Cutting</v>
      </c>
      <c r="B4" s="4" t="str">
        <v>Policies Informed</v>
      </c>
      <c r="C4" s="4" t="str">
        <v/>
      </c>
      <c r="D4" s="4" t="str">
        <v>Number of Policy (Policy Change)</v>
      </c>
      <c r="E4" s="4" t="str">
        <v>Region: Africa, Asia</v>
      </c>
      <c r="F4" s="5">
        <v>69</v>
      </c>
      <c r="G4" s="4">
        <v>473</v>
      </c>
    </row>
  </sheetData>
  <mergeCells count="1">
    <mergeCell ref="A2:A4"/>
  </mergeCell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