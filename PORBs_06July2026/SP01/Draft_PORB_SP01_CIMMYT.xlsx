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470003</v>
      </c>
      <c r="K4" s="5">
        <v>470003</v>
      </c>
      <c r="L4" s="5">
        <v>0</v>
      </c>
      <c r="M4" s="5">
        <v>0</v>
      </c>
      <c r="N4" s="4">
        <v>163</v>
      </c>
    </row>
    <row r="5" ht="20" customHeight="1">
      <c r="A5" s="4" t="str">
        <v>AOW01: Market Intelligence</v>
      </c>
      <c r="B5" s="5">
        <v>0</v>
      </c>
      <c r="C5" s="5">
        <v>0</v>
      </c>
      <c r="D5" s="5">
        <v>2</v>
      </c>
      <c r="E5" s="5">
        <v>271281</v>
      </c>
      <c r="F5" s="5">
        <v>0</v>
      </c>
      <c r="G5" s="5">
        <v>0</v>
      </c>
      <c r="H5" s="5">
        <v>3</v>
      </c>
      <c r="I5" s="5">
        <v>21932</v>
      </c>
      <c r="J5" s="5">
        <v>293213</v>
      </c>
      <c r="K5" s="5">
        <v>293213</v>
      </c>
      <c r="L5" s="5">
        <v>0</v>
      </c>
      <c r="M5" s="5">
        <v>0</v>
      </c>
      <c r="N5" s="4">
        <v>161</v>
      </c>
    </row>
    <row r="6" ht="20" customHeight="1">
      <c r="A6" s="4" t="str">
        <v>AOW02: Accelerated Breeding</v>
      </c>
      <c r="B6" s="5">
        <v>991</v>
      </c>
      <c r="C6" s="5">
        <v>4813593</v>
      </c>
      <c r="D6" s="5">
        <v>1</v>
      </c>
      <c r="E6" s="5">
        <v>8773</v>
      </c>
      <c r="F6" s="5">
        <v>0</v>
      </c>
      <c r="G6" s="5">
        <v>0</v>
      </c>
      <c r="H6" s="5">
        <v>69</v>
      </c>
      <c r="I6" s="5">
        <v>797689</v>
      </c>
      <c r="J6" s="5">
        <v>5620055</v>
      </c>
      <c r="K6" s="5">
        <v>5620055</v>
      </c>
      <c r="L6" s="5">
        <v>275719</v>
      </c>
      <c r="M6" s="5">
        <v>0</v>
      </c>
      <c r="N6" s="4">
        <v>160</v>
      </c>
    </row>
    <row r="7" ht="20" customHeight="1">
      <c r="A7" s="4" t="str">
        <v>AOW03: Inclusive Delivery</v>
      </c>
      <c r="B7" s="5">
        <v>0</v>
      </c>
      <c r="C7" s="5">
        <v>0</v>
      </c>
      <c r="D7" s="5">
        <v>14</v>
      </c>
      <c r="E7" s="5">
        <v>1003824</v>
      </c>
      <c r="F7" s="5">
        <v>30</v>
      </c>
      <c r="G7" s="5">
        <v>70162</v>
      </c>
      <c r="H7" s="5">
        <v>367</v>
      </c>
      <c r="I7" s="5">
        <v>1319624</v>
      </c>
      <c r="J7" s="5">
        <v>2393610</v>
      </c>
      <c r="K7" s="5">
        <v>2393610</v>
      </c>
      <c r="L7" s="5">
        <v>244500</v>
      </c>
      <c r="M7" s="5">
        <v>0</v>
      </c>
      <c r="N7" s="4">
        <v>159</v>
      </c>
    </row>
    <row r="8" ht="20" customHeight="1">
      <c r="A8" s="4" t="str">
        <v>AOW04: Breeding Resources</v>
      </c>
      <c r="B8" s="5">
        <v>1</v>
      </c>
      <c r="C8" s="5">
        <v>106949</v>
      </c>
      <c r="D8" s="5">
        <v>5</v>
      </c>
      <c r="E8" s="5">
        <v>280379</v>
      </c>
      <c r="F8" s="5">
        <v>376</v>
      </c>
      <c r="G8" s="5">
        <v>334655</v>
      </c>
      <c r="H8" s="5">
        <v>2473</v>
      </c>
      <c r="I8" s="5">
        <v>1570664</v>
      </c>
      <c r="J8" s="5">
        <v>2292647</v>
      </c>
      <c r="K8" s="5">
        <v>2292647</v>
      </c>
      <c r="L8" s="5">
        <v>0</v>
      </c>
      <c r="M8" s="5">
        <v>0</v>
      </c>
      <c r="N8" s="4">
        <v>158</v>
      </c>
    </row>
    <row r="9" ht="20" customHeight="1">
      <c r="A9" s="4" t="str">
        <v>AOW05: Enable</v>
      </c>
      <c r="B9" s="5">
        <v>171</v>
      </c>
      <c r="C9" s="5">
        <v>217053</v>
      </c>
      <c r="D9" s="5">
        <v>2</v>
      </c>
      <c r="E9" s="5">
        <v>50000</v>
      </c>
      <c r="F9" s="5">
        <v>130</v>
      </c>
      <c r="G9" s="5">
        <v>149319</v>
      </c>
      <c r="H9" s="5">
        <v>429</v>
      </c>
      <c r="I9" s="5">
        <v>564797</v>
      </c>
      <c r="J9" s="5">
        <v>981169</v>
      </c>
      <c r="K9" s="5">
        <v>981169</v>
      </c>
      <c r="L9" s="5">
        <v>0</v>
      </c>
      <c r="M9" s="5">
        <v>0</v>
      </c>
      <c r="N9" s="4">
        <v>162</v>
      </c>
    </row>
    <row r="10" ht="25" customHeight="1">
      <c r="A10" s="6" t="str">
        <v>Total</v>
      </c>
      <c r="B10" s="7" t="str">
        <v/>
      </c>
      <c r="C10" s="7">
        <v>5137595</v>
      </c>
      <c r="D10" s="7" t="str">
        <v/>
      </c>
      <c r="E10" s="7">
        <v>1614257</v>
      </c>
      <c r="F10" s="7" t="str">
        <v/>
      </c>
      <c r="G10" s="7">
        <v>554136</v>
      </c>
      <c r="H10" s="7" t="str">
        <v/>
      </c>
      <c r="I10" s="7">
        <v>4274706</v>
      </c>
      <c r="J10" s="7">
        <v>12050697</v>
      </c>
      <c r="K10" s="7">
        <v>12050697</v>
      </c>
      <c r="L10" s="7">
        <v>520219</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2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CIMMYT</v>
      </c>
      <c r="C3" s="4" t="str">
        <v>HLO3.AOW1.IO1 Design concepts</v>
      </c>
      <c r="D3" s="4" t="str">
        <v>7---. --------------------- CRITICAL CAPABILITIES - CIMMYT - CROP AGNOSTIC - (Strengthening and standardizing PDT and advancement meeting processes, tools, and data flows to guide CGIAR breeding and ensure new crop varieties align with farmer, market, and stakeholder needs.) ----------------------------.-----------ACTIVITY DESCRIPTION: The process of PDTs and integration of advancement meetings will be documented and described in detail as a product design standard including guidelines for NARS and other partners.-----------BREEDING PIPELINE: Global.-----------MARKET SEGMENT: Global.-----------INDICATOR: Number of knowledge products (disaggregated by type; reports )</v>
      </c>
      <c r="E3" s="4" t="str">
        <v>Number of knowledge products</v>
      </c>
      <c r="F3" s="4" t="str">
        <v>Kenya</v>
      </c>
      <c r="G3" s="5">
        <v>1</v>
      </c>
      <c r="H3" s="5">
        <v>200000</v>
      </c>
      <c r="I3" s="4" t="str">
        <v>.</v>
      </c>
      <c r="J3" s="4">
        <v>4728</v>
      </c>
    </row>
    <row r="4" ht="50" customHeight="1" xml:space="preserve">
      <c r="A4" s="4" t="str">
        <v>AOW01: Market Intelligence</v>
      </c>
      <c r="B4" s="4" t="str">
        <v>CIMMYT</v>
      </c>
      <c r="C4" s="4" t="str">
        <v>HLO2.AOW1.IO1 Target markets</v>
      </c>
      <c r="D4" s="4" t="str" xml:space="preserve">
        <v xml:space="preserve">5---.--------------CIMMYT - (Maize, wheat, Sorghum, Pearl Millet, Finger Millet) -----------.-----------ACTIVITY DESCRIPTION: Design and test  product concepts for wheat in Ethiopia, and sorghum in Nigeria to map the future demand for hybrids and guide the development of breakthrough product of the breeding programs. .-----------BREEDING PIPELINE: BP00005, BP00069
BP00226, BP00225, BP00228, BP00229.-----------MARKET SEGMENT: MS00700, MS00701
MS00400, MS00673, MS00674, MS00675.-----------INDICATOR: Number of knowledge products developed</v>
      </c>
      <c r="E4" s="4" t="str">
        <v>Number of knowledge products</v>
      </c>
      <c r="F4" s="4" t="str">
        <v>Kenya</v>
      </c>
      <c r="G4" s="5">
        <v>1</v>
      </c>
      <c r="H4" s="5">
        <v>71281</v>
      </c>
      <c r="I4" s="4" t="str">
        <v>.</v>
      </c>
      <c r="J4" s="4">
        <v>4732</v>
      </c>
    </row>
    <row r="5" ht="50" customHeight="1">
      <c r="B5" s="4" t="str">
        <v>CIMMYT</v>
      </c>
      <c r="D5" s="4" t="str">
        <v>01-GATES W2 DLC.--------------------- CIMMYT.--------------------- CROP: Groundnut ESA W2 Gates.--------------------- BREEDING PIPELINE: BP00145, BP00146 and BP00147.--------------------- MARKET SEGMENT: MS00388/MS00393, TPP00413/TPP00416 and MS00390/MS00395, TPP00414/TPP00417.--------------------- HIGH LEVEL OUTPUT STATEMENT:    Product design team developed Market segment for breakthrough product.--------------------- 2026 DELIVERABLE: Concept testing  of large market segment of groundnut in the breakthrough product MS00388/MS00393 at least to [the 2 countries] to guide on the market drive traits.--------------------- INDICATOR: Number of market segments identified and described for breakthrough product and uploaded to the breeding portal</v>
      </c>
      <c r="E5" s="4" t="str">
        <v>custom</v>
      </c>
      <c r="F5" s="4" t="str">
        <v>Tanzania, United Republic</v>
      </c>
      <c r="G5" s="5">
        <v>3</v>
      </c>
      <c r="H5" s="5">
        <v>21932</v>
      </c>
      <c r="I5" s="4" t="str">
        <v>.</v>
      </c>
      <c r="J5" s="4">
        <v>8617</v>
      </c>
    </row>
    <row r="6" ht="25" customHeight="1">
      <c r="C6" s="9" t="str">
        <v>HLO budget subtotal</v>
      </c>
      <c r="H6" s="9">
        <v>293213</v>
      </c>
      <c r="J6" s="9" t="str">
        <v/>
      </c>
    </row>
    <row r="7" ht="50" customHeight="1" xml:space="preserve">
      <c r="A7" s="8" t="str">
        <v>AOW02: Accelerated Breeding</v>
      </c>
      <c r="B7" s="4" t="str">
        <v>CIMMYT</v>
      </c>
      <c r="C7" s="4" t="str">
        <v>HLO8.AOW2.IO2 Discover genetic potential</v>
      </c>
      <c r="D7" s="4" t="str">
        <v>33---. ---- CIMMYT - CROP AGNOSITC ------------.-----------ACTIVITY DESCRIPTION: This is to support convening and development of trait discovery and deployment standards across B4T.-----------BREEDING PIPELINE: Global.-----------MARKET SEGMENT: Global.-----------INDICATOR: Number of TD&amp;D projects updates in the breeding portal.</v>
      </c>
      <c r="E7" s="4" t="str">
        <v>Number of innovations (innovation development)</v>
      </c>
      <c r="F7" s="4" t="str">
        <v>Kenya, Mexico</v>
      </c>
      <c r="G7" s="5">
        <v>20</v>
      </c>
      <c r="H7" s="5">
        <v>127191</v>
      </c>
      <c r="I7" s="4" t="str" xml:space="preserve">
        <v xml:space="preserve">.
</v>
      </c>
      <c r="J7" s="4">
        <v>4762</v>
      </c>
    </row>
    <row r="8" ht="50" customHeight="1">
      <c r="B8" s="4" t="str">
        <v>CIMMYT</v>
      </c>
      <c r="D8" s="4" t="str">
        <v>16---. ---- CIMMYT - CROP AGNOSTIC --------.-----------ACTIVITY DESCRIPTION: This is to support convening and development of trait discovery and deployment standards across B4T.-----------BREEDING PIPELINE: Global.-----------MARKET SEGMENT: Global.-----------INDICATOR: Number of TD&amp;D projects updates in the breeding portal</v>
      </c>
      <c r="E8" s="4" t="str">
        <v>Number of innovations (innovation development)</v>
      </c>
      <c r="F8" s="4" t="str">
        <v>Kenya, Mexico</v>
      </c>
      <c r="G8" s="5">
        <v>150</v>
      </c>
      <c r="H8" s="5">
        <v>227191</v>
      </c>
      <c r="I8" s="4" t="str">
        <v>.</v>
      </c>
      <c r="J8" s="4">
        <v>8404</v>
      </c>
    </row>
    <row r="9" ht="50" customHeight="1" xml:space="preserve">
      <c r="B9" s="4" t="str">
        <v>CIMMYT</v>
      </c>
      <c r="D9" s="4" t="str" xml:space="preserve">
        <v xml:space="preserve">06-GATES W2 DLC.--------------------- CIMMYT.--------------------- CROP: Groundnut ESA W2 Gates.--------------------- BREEDING PIPELINE: BP00145, BP00146.--------------------- MARKET SEGMENT: MS00388/MS00393, TPP00413/TPP00416 and MS00390/MS00395, TPP00414/TPP00417.--------------------- HIGH LEVEL OUTPUT STATEMENT:    Prioritized trait discovery portfolio for the essintial traits on the TPP to develop breakthrough product.--------------------- 2026 DELIVERABLE: 1. Advanced priority trait discovery activities for GRD through targeted phenotyping, stress screening
2. Continuing trait introgressions activities to accelerate breakthrough product delivery
3. Research teams consistently apply standardized trait dictionaries and metadata standards across all experiments, resulting in harmonized, high-quality datasets across breeding programs.
4. FAIR-compliant data management practices are fully operational, with all research data captured, curated, and made interoperable and reusable through standardized metadata frameworks within EBS and associated platforms.
5. Data impedance is mitigated through implementation of HLO17 FAIR principles commitments, supporting readiness for future program assessments
6. Annual progress toward the funded Target Product Profile is assessed through the Breakthrough Product Pipeline Performance Report (Appendix 1, Sections C and D), in accordance with B4T Data Management Standards (Appendix 1).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validated donor lines (founder candidates) identified and advanced for deployment in breakthrough product breeding pipelines for rosette, rust, leaf spot, and high oleic acid traits.</v>
      </c>
      <c r="E9" s="4" t="str">
        <v>custom</v>
      </c>
      <c r="F9" s="4" t="str">
        <v>Tanzania, United Republic</v>
      </c>
      <c r="G9" s="5">
        <v>3</v>
      </c>
      <c r="H9" s="5">
        <v>43865</v>
      </c>
      <c r="I9" s="4" t="str">
        <v>gates w2</v>
      </c>
      <c r="J9" s="4">
        <v>8476</v>
      </c>
    </row>
    <row r="10" ht="50" customHeight="1" xml:space="preserve">
      <c r="B10" s="4" t="str">
        <v>CIMMYT</v>
      </c>
      <c r="D10" s="4" t="str" xml:space="preserve">
        <v xml:space="preserve">23-GATES W2 DLC.--------------------- CIMMYT.--------------------- CROP: Groundnut WCA W2 Gates.--------------------- BREEDING PIPELINE: BP00143, BP00144.--------------------- MARKET SEGMENT: MS00630/TPP00338, MS00631/TPP00365.--------------------- HIGH LEVEL OUTPUT STATEMENT:    ▪ Priority groundnut traits will be identified and studied through germplasm screening, phenotyping, and early validation..--------------------- 2026 DELIVERABLE: &gt;=70 founder parents identified across MS00630 and MS00631 based on multi-year phenotyping and genotyping evidence.
Annual progress toward the funded Target Product Profile is assessed through the Breakthrough Product Pipeline Performance Report (Appendix 1, Sections C and D), in accordance with B4T Data Management Standards (Appendix 1)..--------------------- INDICATOR: Number of founder lines identified</v>
      </c>
      <c r="E10" s="4" t="str">
        <v>Number of innovations (innovation development)</v>
      </c>
      <c r="F10" s="4" t="str">
        <v>Tanzania, United Republic</v>
      </c>
      <c r="G10" s="5">
        <v>70</v>
      </c>
      <c r="H10" s="5">
        <v>34215</v>
      </c>
      <c r="I10" s="4" t="str">
        <v>gates</v>
      </c>
      <c r="J10" s="4">
        <v>8487</v>
      </c>
    </row>
    <row r="11" ht="50" customHeight="1">
      <c r="B11" s="4" t="str">
        <v>CIMMYT</v>
      </c>
      <c r="D11" s="4" t="str">
        <v>24-GATES W2 DLC.--------------------- CIMMYT.--------------------- CROP: Groundnut WCA W2 Gates.--------------------- BREEDING PIPELINE: BP00143 &amp; BP00144.--------------------- MARKET SEGMENT: MS00630/TPP00338, MS00631/TPP00365.--------------------- HIGH LEVEL OUTPUT STATEMENT:    ▪ Validated priority traits will be introduced into pre-breeding and early breeding materials so they can be used in future groundnut products..--------------------- 2026 DELIVERABLE: Partner-nominated lines/cultivars (7 genotypes) from Ghana, Nigeria, and Senegal were identified as recurrent parents for LLS and HOA conversion. Donor × recipient crossing matrices were finalized, and initial [number] F1s will be generated and true-F1s confirmed to initiate the qLLSA02 and FAD2A/FAD2B introgression pipelines. In parallel, selected LLS-resistant introgression lines derived from Fleur 11 × (A. valida × A. duranensis), Fleur 11 × (A. ipaensis × A. correntina), and Fleur 11 × (A. batizoicoi × A. duranensis) under WCA Trait Champ activities will be advanced into regional testing and pre-breeding use..--------------------- INDICATOR: Number of validated trait donor lines advanced to regional testing and pre-breeding pipelines for breakthrough product development</v>
      </c>
      <c r="E11" s="4" t="str">
        <v>Number of innovations (innovation development)</v>
      </c>
      <c r="F11" s="4" t="str">
        <v>Tanzania, United Republic</v>
      </c>
      <c r="G11" s="5">
        <v>10</v>
      </c>
      <c r="H11" s="5">
        <v>34215</v>
      </c>
      <c r="I11" s="4" t="str">
        <v>gates</v>
      </c>
      <c r="J11" s="4">
        <v>8488</v>
      </c>
    </row>
    <row r="12" ht="50" customHeight="1">
      <c r="B12" s="4" t="str">
        <v>CIMMYT</v>
      </c>
      <c r="D12" s="4" t="str">
        <v>25-GATES W2 DLC.--------------------- CIMMYT.--------------------- CROP: Groundnut WCA W2 Gates.--------------------- BREEDING PIPELINE: BP00143 &amp; BP00144.--------------------- MARKET SEGMENT: MS00630/TPP00338, MS00631/TPP00365.--------------------- HIGH LEVEL OUTPUT STATEMENT:    ▪ Deployment tools, markers, datasets will be developed so partners can use important groundnut traits more efficiently in breeding programs..--------------------- 2026 DELIVERABLE: Two GRD mapping populations based on Serenut 9T and Serenut 11T, with approximately 280 progenies each, advanced toward F5/F6 with seed increased. Around 50–60 promising genotypes selected for sparse testing/regional plant-health trials. GRD regional hotspot phenotyping datasets  that will be used mapping the GRD tolerant QTLs.--------------------- INDICATOR: Number of promising genotypes advanced to sparse testing/regional trials</v>
      </c>
      <c r="E12" s="4" t="str">
        <v>Number of innovations (innovation development)</v>
      </c>
      <c r="F12" s="4" t="str">
        <v>Tanzania, United Republic</v>
      </c>
      <c r="G12" s="5">
        <v>60</v>
      </c>
      <c r="H12" s="5">
        <v>34215</v>
      </c>
      <c r="I12" s="4" t="str">
        <v>gates</v>
      </c>
      <c r="J12" s="4">
        <v>8489</v>
      </c>
    </row>
    <row r="13" ht="50" customHeight="1" xml:space="preserve">
      <c r="B13" s="4" t="str">
        <v>CIMMYT</v>
      </c>
      <c r="D13" s="4" t="str" xml:space="preserve">
        <v xml:space="preserve">44-GATES W2 DLC.--------------------- CIMMYT.--------------------- CROP: Pearl Millet W2 Gates.--------------------- BREEDING PIPELINE: BP00139,
BP00140,
BP00141,
BP00158.--------------------- MARKET SEGMENT: MS00641/TPP00319
MS00643/TPP00329
MS00644/TPP00330
MS00925/TPP00411
MS00950/TPP00410.--------------------- HIGH LEVEL OUTPUT STATEMENT:    Striga resistance gene discovery, validation and deployement.--------------------- 2026 DELIVERABLE: ≥1 conserved ortholog striga resistance gene identified and ≥2 breeder-friendly markers developed and validated in breeding populations to support trait deployment..--------------------- INDICATOR: 
Number of markers validated (disaggregated by marker type/trait)</v>
      </c>
      <c r="E13" s="4" t="str">
        <v>Number of innovations (innovation development)</v>
      </c>
      <c r="F13" s="4" t="str">
        <v>Tanzania, United Republic</v>
      </c>
      <c r="G13" s="5">
        <v>2</v>
      </c>
      <c r="H13" s="5">
        <v>13757</v>
      </c>
      <c r="I13" s="4" t="str">
        <v>gate</v>
      </c>
      <c r="J13" s="4">
        <v>8505</v>
      </c>
    </row>
    <row r="14" ht="50" customHeight="1" xml:space="preserve">
      <c r="B14" s="4" t="str">
        <v>CIMMYT</v>
      </c>
      <c r="D14" s="4" t="str" xml:space="preserve">
        <v xml:space="preserve">45-GATES W2 DLC.--------------------- CIMMYT.--------------------- CROP: Pearl Millet W2 Gates.--------------------- BREEDING PIPELINE: BP00139,
BP00140,
BP00141,
BP00158.--------------------- MARKET SEGMENT: MS00641/TPP00319
MS00643/TPP00329
MS00644/TPP00330
MS00925/TPP00411
MS00950/TPP00410.--------------------- HIGH LEVEL OUTPUT STATEMENT:    Downy mildew resistant gene discovery, validation and deployement.--------------------- 2026 DELIVERABLE: Rsg1 resistance gene identified and ≥2 breeder-friendly markers developed and validated to support deployment of downy mildew resistance..--------------------- INDICATOR: 
Number of markers validated (disaggregated by marker type/trait)</v>
      </c>
      <c r="E14" s="4" t="str">
        <v>custom</v>
      </c>
      <c r="F14" s="4" t="str">
        <v>Tanzania, United Republic</v>
      </c>
      <c r="G14" s="5">
        <v>2</v>
      </c>
      <c r="H14" s="5">
        <v>6879</v>
      </c>
      <c r="I14" s="4" t="str">
        <v>gate</v>
      </c>
      <c r="J14" s="4">
        <v>8506</v>
      </c>
    </row>
    <row r="15" ht="50" customHeight="1" xml:space="preserve">
      <c r="B15" s="4" t="str">
        <v>CIMMYT</v>
      </c>
      <c r="D15" s="4" t="str" xml:space="preserve">
        <v xml:space="preserve">46-GATES W2 DLC.--------------------- CIMMYT.--------------------- CROP: Pearl Millet W2 Gates.--------------------- BREEDING PIPELINE: BP00139,
BP00140,
BP00141,
BP00158.--------------------- MARKET SEGMENT: MS00641/TPP00319
MS00643/TPP00329
MS00644/TPP00330
MS00925/TPP00411
MS00950/TPP00410.--------------------- HIGH LEVEL OUTPUT STATEMENT:    Fertility restoration (Rf) gene discovery, validation and deployement.--------------------- 2026 DELIVERABLE: At least two known conserved ortholog genes for fertility restoration of rice, pearl millet, and maize in pearl millet are identified to develop and validate two breeder-friendly markers in breeding populations.--------------------- INDICATOR: 
Number of markers validated (disaggregated by marker type/trait)</v>
      </c>
      <c r="E15" s="4" t="str">
        <v>Number of innovations (innovation development)</v>
      </c>
      <c r="F15" s="4" t="str">
        <v>Tanzania, United Republic</v>
      </c>
      <c r="G15" s="5">
        <v>2</v>
      </c>
      <c r="H15" s="5">
        <v>6879</v>
      </c>
      <c r="I15" s="4" t="str">
        <v>gates w2</v>
      </c>
      <c r="J15" s="4">
        <v>8507</v>
      </c>
    </row>
    <row r="16" ht="50" customHeight="1" xml:space="preserve">
      <c r="B16" s="4" t="str">
        <v>CIMMYT</v>
      </c>
      <c r="D16" s="4" t="str" xml:space="preserve">
        <v xml:space="preserve">67-GATES W2 DLC.--------------------- CIMMYT.--------------------- CROP: Sorghum ESA W2 Gates.--------------------- BREEDING PIPELINE: BP00148
BP00149
BP00150
BP00151.--------------------- MARKET SEGMENT: MS00665/TPP00388
MS00666/TPP00389
MS00661/TPP00391
MS00667/TPP00400
MS00662/TPP00390
MS00672/TPP00392
MS00918
MS00663/TPP00394
MS00664/TPP00395.--------------------- HIGH LEVEL OUTPUT STATEMENT:    Prioritized Sorghenix trait discovery activities initiated, generating early validation evidence for essential traits aligned with 2025 TPP needs..--------------------- 2026 DELIVERABLE: 1. Targeted phenotyping and biotic‑stress screening completed, generating validated donor sources for priority Sorghenix traits and preparing them for integration into pre‑breeding.
2. Validated anthracnose and Striga resistance sources incorporated into pre‑breeding populations using harmonized selection protocols and shared germplasm workflows.
3. Updated markers, phenotyping protocols, and trait datasets delivered to CGIAR–NARES–SME partners to enable consistent deployment of priority Sorghenix breakthrough traits.
4. Striga and anthracnose response of selected differential lines validated across locations and stable resistance sources identified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trait donors identified and incorporated into pre-breeding for priority TPP traits</v>
      </c>
      <c r="E16" s="4" t="str">
        <v>custom</v>
      </c>
      <c r="F16" s="4" t="str">
        <v>Tanzania, United Republic</v>
      </c>
      <c r="G16" s="5">
        <v>5</v>
      </c>
      <c r="H16" s="5">
        <v>42036</v>
      </c>
      <c r="I16" s="4" t="str" xml:space="preserve">
        <v xml:space="preserve">
gates</v>
      </c>
      <c r="J16" s="4">
        <v>8522</v>
      </c>
    </row>
    <row r="17" ht="50" customHeight="1" xml:space="preserve">
      <c r="B17" s="4" t="str">
        <v>CIMMYT</v>
      </c>
      <c r="D17" s="4" t="str" xml:space="preserve">
        <v xml:space="preserve">84-GATES W2 DLC.--------------------- CIMMYT.--------------------- CROP: Sorghum WCA W2 Gates.--------------------- BREEDING PIPELINE: BP00225, BP00226, BP00227, BP00228, BP00229.--------------------- MARKET SEGMENT: MS00673/MS01241, MS00400/MS01242, MS00681/MS01243, MS00674, MS00675.--------------------- HIGH LEVEL OUTPUT STATEMENT:    Prioritized Sorghenix trait discovery activities initiated, generating early validation evidence for essential traits aligned with 2025 TPP needs..--------------------- 2026 DELIVERABLE: &gt;=120 parental lines screened for priority traits; validated markers deployed across all supported breeding pipelines. Favorable allele frequencies quantified, with approximately 9% of lines carrying lgs1-associated Striga resistance alleles and approximately 5% carrying ARG-associated anthracnose resistance alleles. Elite lines carrying the trait will be prioritized as trait donors,to increase the allele frequency in the following cohort.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validated markers deployed for priority TPP traits</v>
      </c>
      <c r="E17" s="4" t="str">
        <v>custom</v>
      </c>
      <c r="F17" s="4" t="str">
        <v>Tanzania, United Republic</v>
      </c>
      <c r="G17" s="5">
        <v>3</v>
      </c>
      <c r="H17" s="5">
        <v>116937</v>
      </c>
      <c r="I17" s="4" t="str" xml:space="preserve">
        <v xml:space="preserve">
gates</v>
      </c>
      <c r="J17" s="4">
        <v>8531</v>
      </c>
    </row>
    <row r="18" ht="50" customHeight="1">
      <c r="A18" s="4" t="str">
        <v>AOW02: Accelerated Breeding</v>
      </c>
      <c r="B18" s="4" t="str">
        <v>CIMMYT</v>
      </c>
      <c r="C18" s="4" t="str">
        <v>HLO7.AOW2.IO2 Accelerating genetic gain</v>
      </c>
      <c r="D18" s="4" t="str">
        <v>21---.------------------ CRITICAL CAPABILITIES - CIMMYT --- maize, sorghum, finger millet, pearl millet, pigeon pea, groundnut, chickpea (Sparse phenotyping standard operating procedures and analysis development, including downstream analysis steps) --------------------.-----------ACTIVITY DESCRIPTION: Methods for sparse testing trial designs and analysis are developed and validated and three SOPs and scripts are created for sparse tetsing trial design, data colleciton, data management and analysis. Scripts are validated by Bioflow Community and added to Bioflow/EBS.-----------BREEDING PIPELINE: Global.-----------MARKET SEGMENT: Global.-----------INDICATOR: Number of SOPs/protocols developed ( disaggregated by use; for sparse testing trial design, data collection, data management, and analysis)</v>
      </c>
      <c r="E18" s="4" t="str">
        <v>custom</v>
      </c>
      <c r="F18" s="4" t="str">
        <v>Mexico, Kenya</v>
      </c>
      <c r="G18" s="5">
        <v>3</v>
      </c>
      <c r="H18" s="5">
        <v>100982</v>
      </c>
      <c r="I18" s="4" t="str">
        <v>.</v>
      </c>
      <c r="J18" s="4">
        <v>4771</v>
      </c>
    </row>
    <row r="19" ht="50" customHeight="1">
      <c r="B19" s="4" t="str">
        <v>CIMMYT</v>
      </c>
      <c r="D19" s="4" t="str">
        <v>23---. -----  CIMMYT --- WHEAT  (Breeding program optimization plan designed and approved for implementation in CIMMYT bread wheat breeding pipelines)-----.-----------ACTIVITY DESCRIPTION: 5 wheat breeding pipelines optimized and redesigned to maximize the potential for genetic gain, using quantitative genetics simulations. New designs of optimized breeding schemes are agreed with breeders for implementation in the 5 breeding pipelines.-----------BREEDING PIPELINE: BP0001, BP0002, BP0003,BP0004,BP0005.-----------MARKET SEGMENT: MS00700, MS00701, MS00702, MS00709, MS00710, MS00711, MS01031, MS01032.-----------INDICATOR:  Number of breeding pipelines in which the cycle time was reduced from the cycle time reported in 2025.</v>
      </c>
      <c r="E19" s="4" t="str">
        <v>Number of innovations (innovation development)</v>
      </c>
      <c r="F19" s="4" t="str">
        <v>Kenya, Mexico</v>
      </c>
      <c r="G19" s="5">
        <v>5</v>
      </c>
      <c r="H19" s="5">
        <v>73000</v>
      </c>
      <c r="I19" s="4" t="str">
        <v>.</v>
      </c>
      <c r="J19" s="4">
        <v>4773</v>
      </c>
    </row>
    <row r="20" ht="50" customHeight="1">
      <c r="B20" s="4" t="str">
        <v>CIMMYT</v>
      </c>
      <c r="D20" s="4" t="str">
        <v>27---. ----- CIMMYT --- maize, sorghum, finger millet, pearl millet, groundnut, chickpea, pigeon pea (Provision of breeding program optimization in CIMMYT maize and DCP breeding pipelines)-----.-----------ACTIVITY DESCRIPTION: 5 maize and DCP breeding pipelines optimized and redesigned to maximize the potential for genetic gain, using quantitative genetics simulations. New designs of optimized breeding schemes are agreed with breeders for implementation in the 5 breeding pipelines.-----------BREEDING PIPELINE: BP00032, BP00033 (maize), BP00151 (Sorghum), BP00228 (Sorghum), BP00141 (Pearl Millet) .-----------MARKET SEGMENT: MS00355, MS00356 (maize), all the BPs are linked to MS in GloMip, this is redudant informaiton, in any case here it is: MS00663, MS00664, MS00674, MS00644.-----------INDICATOR: Number of breeding pipelines that have a reduced cycle time in 2026 compared to 2025.</v>
      </c>
      <c r="E20" s="4" t="str">
        <v>Number of innovations (innovation development)</v>
      </c>
      <c r="F20" s="4" t="str">
        <v>Mexico, Senegal, Kenya</v>
      </c>
      <c r="G20" s="5">
        <v>5</v>
      </c>
      <c r="H20" s="5">
        <v>40000</v>
      </c>
      <c r="I20" s="4" t="str">
        <v>.</v>
      </c>
      <c r="J20" s="4">
        <v>4777</v>
      </c>
    </row>
    <row r="21" ht="50" customHeight="1">
      <c r="B21" s="4" t="str">
        <v>CIMMYT</v>
      </c>
      <c r="D21" s="4" t="str">
        <v>22---.------------------ CRITICAL CAPABILITIES - CIMMYT --- maize, sorghum, finger millet, pearl millet, pigeon pea,  groundnut, chickpea (Late stage On-Farm Trial standard operating procedure and analysis development) --------------------.-----------ACTIVITY DESCRIPTION: Methods for OFVT trial designs and analysis are developed and validated and three SOPs and scripts are created for sparse tetsing trial design, data colleciton, data nmanagement and analysis. Scripts are validated by Bioflow Community and added to Bioflow/EBS.-----------BREEDING PIPELINE: Global.-----------MARKET SEGMENT: Global.-----------INDICATOR: Number of SOPs/protocols developed ( disaggregated by use; for on-farm trial design, data collection, data management, and analysis)</v>
      </c>
      <c r="E21" s="4" t="str">
        <v>custom</v>
      </c>
      <c r="F21" s="4" t="str">
        <v>Kenya, Mexico</v>
      </c>
      <c r="G21" s="5">
        <v>3</v>
      </c>
      <c r="H21" s="5">
        <v>125000</v>
      </c>
      <c r="I21" s="4" t="str">
        <v>.</v>
      </c>
      <c r="J21" s="4">
        <v>8407</v>
      </c>
    </row>
    <row r="22" ht="50" customHeight="1" xml:space="preserve">
      <c r="B22" s="4" t="str">
        <v>CIMMYT</v>
      </c>
      <c r="D22" s="4" t="str" xml:space="preserve">
        <v xml:space="preserve">07-GATES W2 DLC.--------------------- CIMMYT.--------------------- CROP: Groundnut ESA W2 Gates.--------------------- BREEDING PIPELINE: BP00145, BP00146.--------------------- MARKET SEGMENT: MS00388/MS00393, TPP00413/TPP00416 and MS00390/MS00395, TPP00414/TPP00417.--------------------- HIGH LEVEL OUTPUT STATEMENT:    Breeding schema optimized for high priority breeding pipelines to deliver high rate of genetic gains.--------------------- 2026 DELIVERABLE: Partners  decided with 20 parents to be used in population development from the regional trials with  50 success cross combination. Established crossing blocks for BP00145 TARI (40%), IIAM (10%), ZARI (10) and CIMMYT (40%) and BP00146 NARO (25%), DARS (15%), ZARI (15%) and CIMMYT (25%), TARI (20%) and conducted 2nd year regional trial to update founder lines.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successful cross combinations generated from 20 selected founder parents for breakthrough product population development.</v>
      </c>
      <c r="E22" s="4" t="str">
        <v>Number of innovations (innovation development)</v>
      </c>
      <c r="F22" s="4" t="str">
        <v>Tanzania, United Republic</v>
      </c>
      <c r="G22" s="5">
        <v>50</v>
      </c>
      <c r="H22" s="5">
        <v>87730</v>
      </c>
      <c r="I22" s="4" t="str">
        <v>gates w2</v>
      </c>
      <c r="J22" s="4">
        <v>8477</v>
      </c>
    </row>
    <row r="23" ht="50" customHeight="1" xml:space="preserve">
      <c r="B23" s="4" t="str">
        <v>CIMMYT</v>
      </c>
      <c r="D23" s="4" t="str" xml:space="preserve">
        <v xml:space="preserve">47-GATES W2 DLC.--------------------- CIMMYT.--------------------- CROP: Pearl Millet W2 Gates.--------------------- BREEDING PIPELINE: BP00139,
BP00140,
BP00141,
BP00158.--------------------- MARKET SEGMENT: MS00641/TPP00319
MS00643/TPP00329
MS00644/TPP00330
MS00925/TPP00411
MS00950/TPP00410.--------------------- HIGH LEVEL OUTPUT STATEMENT:    Segment-specific pearl millet breekthrough product breeding scheme refined, integrating companents capturing priority traits and modern breeding appoach (GS, RGA, sparse testcrossing and sparse testing).--------------------- 2026 DELIVERABLE: Stable Pearl millet breakthrough product breeding scheme integrating optimized crossing strategies, early testing and data driven on all priority traits is being used across the network.
Executive summary of breeding scheme reported with clearly defined roles and responsibilities.
Breeding scheme captured in breeding scheme manager.--------------------- INDICATOR: Number of pearl millet breakthrough product pipelines using the approved breeding scheme</v>
      </c>
      <c r="E23" s="4" t="str">
        <v>Number of innovations (innovation development)</v>
      </c>
      <c r="F23" s="4" t="str">
        <v>Tanzania, United Republic</v>
      </c>
      <c r="G23" s="5">
        <v>4</v>
      </c>
      <c r="H23" s="5">
        <v>6879</v>
      </c>
      <c r="I23" s="4" t="str" xml:space="preserve">
        <v xml:space="preserve">
gates</v>
      </c>
      <c r="J23" s="4">
        <v>8508</v>
      </c>
    </row>
    <row r="24" ht="50" customHeight="1" xml:space="preserve">
      <c r="B24" s="4" t="str">
        <v>CIMMYT</v>
      </c>
      <c r="D24" s="4" t="str" xml:space="preserve">
        <v xml:space="preserve">48-GATES W2 DLC.--------------------- CIMMYT.--------------------- CROP: Pearl Millet W2 Gates.--------------------- BREEDING PIPELINE: BP00139,
BP00140,
BP00141,
BP00158.--------------------- MARKET SEGMENT: MS00641/TPP00319
MS00643/TPP00329
MS00644/TPP00330
MS00925/TPP00411
MS00950/TPP00410.--------------------- HIGH LEVEL OUTPUT STATEMENT:    Genomic selection models Implemented  across CGIAR-NARS and SME network breeding pipeline to accelarate population developement of pearl millet breakthrough product.--------------------- 2026 DELIVERABLE: First-generation genomic selection models with a moderate accuracy (0.3 - 0.5)  developed and applied to support data-driven advancement of pearl millet breeding pipelines..--------------------- INDICATOR: Number of genomic selection models developed and applied</v>
      </c>
      <c r="E24" s="4" t="str">
        <v>Number of innovations (innovation development)</v>
      </c>
      <c r="F24" s="4" t="str">
        <v>Tanzania, United Republic</v>
      </c>
      <c r="G24" s="5">
        <v>1</v>
      </c>
      <c r="H24" s="5">
        <v>6879</v>
      </c>
      <c r="I24" s="4" t="str" xml:space="preserve">
        <v xml:space="preserve">
gates</v>
      </c>
      <c r="J24" s="4">
        <v>8509</v>
      </c>
    </row>
    <row r="25" ht="50" customHeight="1" xml:space="preserve">
      <c r="B25" s="4" t="str">
        <v>CIMMYT</v>
      </c>
      <c r="D25" s="4" t="str" xml:space="preserve">
        <v xml:space="preserve">68-GATES W2 DLC.--------------------- CIMMYT.--------------------- CROP: Sorghum ESA W2 Gates.--------------------- BREEDING PIPELINE: BP00148
BP00149
BP00150
BP00151.--------------------- MARKET SEGMENT: MS00665/TPP00388
MS00666/TPP00389
MS00661/TPP00391
MS00667/TPP00400
MS00662/TPP00390
MS00672/TPP00392
MS00918
MS00663/TPP00394
MS00664/TPP00395.--------------------- HIGH LEVEL OUTPUT STATEMENT:    Initial optimization of Sorghenix breeding schemes completed, incorporating opportunities for genomic selection, RGA, and improved phenotyping workflows..--------------------- 2026 DELIVERABLE: 1. Optimized Sorghenix breeding schemes implemented, with routine use of improved crossing designs, marker QAQC, early‑generation testing workflows, and standardized data‑driven advancement criteria.
2. First‑generation genomic selection models deployed for Sorghenix Cohort 1 and Cohort 2, enabling GS‑based early‑generation selection and generating baseline estimates of model accuracy [target accuracy?]
3. High‑throughput phenotyping tools and harmonized protocols deployed across priority partner sites, improving stand counts and other basic trait measurements to accelerate Sorghenix evaluation workflows.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breeding pipelines implementing optimized breeding schemes</v>
      </c>
      <c r="E25" s="4" t="str">
        <v>custom</v>
      </c>
      <c r="F25" s="4" t="str">
        <v>Tanzania, United Republic</v>
      </c>
      <c r="G25" s="5">
        <v>5</v>
      </c>
      <c r="H25" s="5">
        <v>111587</v>
      </c>
      <c r="I25" s="4" t="str" xml:space="preserve">
        <v xml:space="preserve">
gates</v>
      </c>
      <c r="J25" s="4">
        <v>8523</v>
      </c>
    </row>
    <row r="26" ht="50" customHeight="1">
      <c r="A26" s="4" t="str">
        <v>AOW02: Accelerated Breeding</v>
      </c>
      <c r="B26" s="4" t="str">
        <v>CIMMYT</v>
      </c>
      <c r="C26" s="4" t="str">
        <v>HLO9.AOW2.IO2 Create products</v>
      </c>
      <c r="D26" s="4" t="str">
        <v>44---. ---- CIMMYT - WHEAT (Climate resilient bread wheat lines with 1.5% yield gains, durable disease resistance and enhanced nutritional value.)----------.-----------ACTIVITY DESCRIPTION: Number of elite lines released to partners in  Ethiopia.-----------BREEDING PIPELINE: BP0003, BP0005.-----------MARKET SEGMENT: MS00700, MS00701.-----------INDICATOR:    Number of ELITE BREEDING LINES released to partners</v>
      </c>
      <c r="E26" s="4" t="str">
        <v>Number of innovations (innovation development)</v>
      </c>
      <c r="F26" s="4" t="str">
        <v>Ethiopia</v>
      </c>
      <c r="G26" s="5">
        <v>50</v>
      </c>
      <c r="H26" s="5">
        <v>663814</v>
      </c>
      <c r="I26" s="4" t="str">
        <v>.</v>
      </c>
      <c r="J26" s="4">
        <v>4783</v>
      </c>
    </row>
    <row r="27" ht="50" customHeight="1">
      <c r="B27" s="4" t="str">
        <v>CIMMYT</v>
      </c>
      <c r="D27" s="4" t="str">
        <v>45---. ---- CIMMYT - WHEAT - (Climate resilient, yellow rust-resistant wheat lines with 1.5% yield gain and enhanced nutritional quality.) ----------.-----------ACTIVITY DESCRIPTION: Number of elite lines released to partners in India and Nepal.-----------BREEDING PIPELINE: BP0002, BP0004.-----------MARKET SEGMENT: MS01031, MS01032.-----------INDICATOR:  Number of elite breeding lines released to partners</v>
      </c>
      <c r="E27" s="4" t="str">
        <v>Number of innovations (innovation development)</v>
      </c>
      <c r="F27" s="4" t="str">
        <v>Mexico</v>
      </c>
      <c r="G27" s="5">
        <v>50</v>
      </c>
      <c r="H27" s="5">
        <v>325449</v>
      </c>
      <c r="I27" s="4" t="str">
        <v>.</v>
      </c>
      <c r="J27" s="4">
        <v>4784</v>
      </c>
    </row>
    <row r="28" ht="50" customHeight="1">
      <c r="B28" s="4" t="str">
        <v>CIMMYT</v>
      </c>
      <c r="D28" s="4" t="str">
        <v>46---. ---- CIMMYT - WHEAT - (Climate resilient wheat lines with 1.5% annual yield gain, enhanced  nutritional benefits and protection of yield losses from biotic stress.) --------------------.-----------ACTIVITY DESCRIPTION: Number of elite lines released to partners in Pakistan.-----------BREEDING PIPELINE: BP0001.-----------MARKET SEGMENT: MS00709.-----------INDICATOR:  Number of elite breeding lines released to partners</v>
      </c>
      <c r="E28" s="4" t="str">
        <v>Number of innovations (innovation development)</v>
      </c>
      <c r="F28" s="4" t="str">
        <v>Mexico</v>
      </c>
      <c r="G28" s="5">
        <v>50</v>
      </c>
      <c r="H28" s="5">
        <v>325449</v>
      </c>
      <c r="I28" s="4" t="str">
        <v>.</v>
      </c>
      <c r="J28" s="4">
        <v>4785</v>
      </c>
    </row>
    <row r="29" ht="50" customHeight="1">
      <c r="B29" s="4" t="str">
        <v>CIMMYT</v>
      </c>
      <c r="D29" s="4" t="str">
        <v>47---. ---- CIMMYT - sorghum, pearl millet, groundnut, pigeon pea, finger millet, chickpea--- (Breakthrough Maize Hybrids and CMLs for Eastern Africa.) --------.-----------ACTIVITY DESCRIPTION: Number of stage 1and higher candidate varieties released to ADCIN partners across Dryland Legumes and Finger Millet (pigeon pea, chickpea, finger millet).-----------BREEDING PIPELINE:  BP00152, BP00153 (F. Millet), Chickpea (Ethiopia PDC): BP00197, BP00200 (Pigeonpea).-----------MARKET SEGMENT:  MS00652, MS00655 (F. millet),   MS00695, MS0696 (Pigeon Pea), MS00687, MS00685 (Chickpea).-----------INDICATOR:   Number of candidate varieties released to partners</v>
      </c>
      <c r="E29" s="4" t="str">
        <v>Number of innovations (innovation development)</v>
      </c>
      <c r="F29" s="4" t="str">
        <v>Kenya, Senegal</v>
      </c>
      <c r="G29" s="5">
        <v>36</v>
      </c>
      <c r="H29" s="5">
        <v>226804</v>
      </c>
      <c r="I29" s="4" t="str">
        <v>.</v>
      </c>
      <c r="J29" s="4">
        <v>4786</v>
      </c>
    </row>
    <row r="30" ht="50" customHeight="1">
      <c r="B30" s="4" t="str">
        <v>CIMMYT</v>
      </c>
      <c r="D30" s="4" t="str">
        <v>48---. ---- CIMMYT -MAIZE (Breakthrough Maize Hybrids and CMLs for Southern Africa.) --------.-----------ACTIVITY DESCRIPTION: Number of varieties released to partners for scaling (5 CMLS, 3 hybrids).-----------BREEDING PIPELINE: BP00032, BP00033.-----------MARKET SEGMENT: MS00355, MS00356.-----------INDICATOR: Number of varieties released to partners for scaling</v>
      </c>
      <c r="E30" s="4" t="str">
        <v>Number of innovations (innovation development)</v>
      </c>
      <c r="F30" s="4" t="str">
        <v>Zimbabwe</v>
      </c>
      <c r="G30" s="5">
        <v>8</v>
      </c>
      <c r="H30" s="5">
        <v>400000</v>
      </c>
      <c r="I30" s="4" t="str">
        <v>.</v>
      </c>
      <c r="J30" s="4">
        <v>4787</v>
      </c>
    </row>
    <row r="31" ht="50" customHeight="1">
      <c r="B31" s="4" t="str">
        <v>CIMMYT</v>
      </c>
      <c r="D31" s="4" t="str">
        <v>54---. ---- CIMMYT -MAIZE (Breakthrough Maize Hybrids and CMLs for Eastern Africa.) --------.-----------ACTIVITY DESCRIPTION: Number of varieties released to partners for scaling (4 CMLS, 3 hybrids).-----------BREEDING PIPELINE: BP00029, BP00125.-----------MARKET SEGMENT: MS00373, MS00375.-----------INDICATOR: Number of varieties released to partners for scaling</v>
      </c>
      <c r="E31" s="4" t="str">
        <v>Number of innovations (innovation development)</v>
      </c>
      <c r="F31" s="4" t="str">
        <v>Kenya</v>
      </c>
      <c r="G31" s="5">
        <v>7</v>
      </c>
      <c r="H31" s="5">
        <v>400000</v>
      </c>
      <c r="I31" s="4" t="str">
        <v>.</v>
      </c>
      <c r="J31" s="4">
        <v>4793</v>
      </c>
    </row>
    <row r="32" ht="50" customHeight="1">
      <c r="B32" s="4" t="str">
        <v>CIMMYT</v>
      </c>
      <c r="D32" s="4" t="str">
        <v>new -cimmyt-1---.------CIMMYT (DCP SORGHUM)-----Stage 1 onwards testing of sorghum OPV and hybrids with ADCIN Network in coordination with ICRISAT.-----------ACTIVITY DESCRIPTION: Sparse testing of the new sorghum lines developed at ESA and WCA Population Development Center within ADCIN network .-----------BREEDING PIPELINE: Sorghum — BP00149 — ESA, Sorghum — BP00150 — ESA, Sorghum — BP00226 — WCA,  .-----------MARKET SEGMENT: MS00665,MS00661, MS00400,MS00673, MS00681 (Sorghum),  .-----------INDICATOR: Number of lines in stage 1 testing in 2026 (disaggregated by breeding pipelines and market segment)</v>
      </c>
      <c r="E32" s="4" t="str">
        <v>Number of innovations (innovation development)</v>
      </c>
      <c r="F32" s="4" t="str">
        <v>Kenya, Senegal</v>
      </c>
      <c r="G32" s="5">
        <v>3</v>
      </c>
      <c r="H32" s="5">
        <v>125000</v>
      </c>
      <c r="I32" s="4" t="str">
        <v>.</v>
      </c>
      <c r="J32" s="4">
        <v>8212</v>
      </c>
    </row>
    <row r="33" ht="50" customHeight="1">
      <c r="B33" s="4" t="str">
        <v>CIMMYT</v>
      </c>
      <c r="D33" s="4" t="str">
        <v>new -cimmyt-2---.------CIMMYT (DCP PEARL MILLET) -----Stage 1 onwards testing of Pearl Millet OPV and hybrids with ADCIN Network in coordination with ICRISAT.-----------ACTIVITY DESCRIPTION: Sparse testing of the new pearl millet OPV and hybrids developed at WCA Population Development Center within the ADCIN network .-----------BREEDING PIPELINE: Pearl Millet — BP00139 — ESA/WCA.-----------MARKET SEGMENT: MS00648, MS00641, MS00643 (P. Millet),  .-----------INDICATOR:  Number of lines in stage 1 testing in 2026 (disaggregated by breeding pipelines and market segment)</v>
      </c>
      <c r="E33" s="4" t="str">
        <v>Number of innovations (innovation development)</v>
      </c>
      <c r="F33" s="4" t="str">
        <v>Kenya, Senegal</v>
      </c>
      <c r="G33" s="5">
        <v>1</v>
      </c>
      <c r="H33" s="5">
        <v>226804</v>
      </c>
      <c r="I33" s="4" t="str">
        <v>.</v>
      </c>
      <c r="J33" s="4">
        <v>8213</v>
      </c>
    </row>
    <row r="34" ht="50" customHeight="1" xml:space="preserve">
      <c r="B34" s="4" t="str">
        <v>CIMMYT</v>
      </c>
      <c r="D34" s="4" t="str" xml:space="preserve">
        <v xml:space="preserve">08-GATES W2 DLC.--------------------- CIMMYT.--------------------- CROP: Groundnut ESA W2 Gates.--------------------- BREEDING PIPELINE: BP00145, BP00146.--------------------- MARKET SEGMENT: MS00388/MS00393, TPP00413/TPP00416 and MS00390/MS00395, TPP00414/TPP00417.--------------------- HIGH LEVEL OUTPUT STATEMENT:    Population development Center of CG-NARES using modern population improvement approaches.--------------------- 2026 DELIVERABLE: Population development with agreed shared breeding pipeline. Pathology screening of 1st cohort of breding lines in Tanzania and Kenya to identify potential candidates for RosetteGurdNutSD and RosetteGurdNutMD. Selected materials to be included in multilocation pathology screening in Uganda, Malawi Zambia and Mozambique.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v>
      </c>
      <c r="E34" s="4" t="str">
        <v>Number of innovations (innovation development)</v>
      </c>
      <c r="F34" s="4" t="str">
        <v>Tanzania, United Republic</v>
      </c>
      <c r="G34" s="5">
        <v>1</v>
      </c>
      <c r="H34" s="5">
        <v>87730</v>
      </c>
      <c r="I34" s="4" t="str">
        <v>gates w2</v>
      </c>
      <c r="J34" s="4">
        <v>8478</v>
      </c>
    </row>
    <row r="35" ht="50" customHeight="1" xml:space="preserve">
      <c r="B35" s="4" t="str">
        <v>CIMMYT</v>
      </c>
      <c r="D35" s="4" t="str" xml:space="preserve">
        <v xml:space="preserve">26-GATES W2 DLC.--------------------- CIMMYT.--------------------- CROP: Groundnut WCA W2 Gates.--------------------- BREEDING PIPELINE: BP00143 &amp; BP00144.--------------------- MARKET SEGMENT: MS00630/TPP00338, MS00631/TPP00365.--------------------- HIGH LEVEL OUTPUT STATEMENT:    ▪ CIMMYT-NARES shared breeding pipelines operationalized to develop breakthrough products (RosetteGuardSD/MD and Afla-RosetteGuardSD/MD) for priority market segments.--------------------- 2026 DELIVERABLE: QAQC of 90 F1s from cohort 2 and advancement of at least 45 populations; &gt;= 40 new breeding populations (cohort 3) developed for each pipeline.
Annual progress toward the funded Target Product Profile is assessed through the Breakthrough Product Pipeline Performance Report (Appendix 1, Sections C and D), in accordance with B4T Data Management Standards (Appendix 1)..--------------------- INDICATOR: 
Number of new breeding populations developed</v>
      </c>
      <c r="E35" s="4" t="str">
        <v>custom</v>
      </c>
      <c r="F35" s="4" t="str">
        <v>Tanzania, United Republic</v>
      </c>
      <c r="G35" s="5">
        <v>40</v>
      </c>
      <c r="H35" s="5">
        <v>245206</v>
      </c>
      <c r="I35" s="4" t="str">
        <v>.</v>
      </c>
      <c r="J35" s="4">
        <v>8491</v>
      </c>
    </row>
    <row r="36" ht="50" customHeight="1" xml:space="preserve">
      <c r="B36" s="4" t="str">
        <v>CIMMYT</v>
      </c>
      <c r="D36" s="4" t="str" xml:space="preserve">
        <v xml:space="preserve">27-GATES W2 DLC.--------------------- CIMMYT.--------------------- CROP: Groundnut WCA W2 Gates.--------------------- BREEDING PIPELINE: BP00143 &amp; BP00144.--------------------- MARKET SEGMENT: MS00630/TPP00338, MS00632/TPP00370, MS01247/TPP00885, MS00627/TPP00371, MS00916/TPP00372, MS00631/TPP00365, MS01248/TPP00889, MS00629/TPP00368, MS00633/TPP00366, MS00634/TPP00367.--------------------- HIGH LEVEL OUTPUT STATEMENT:    ▪ CIMMYT-NARES shared breeding pipelines operationalized to develop breakthrough products (RosetteGuardSD/MD and Afla-RosetteGuardSD/MD) for priority market segments.--------------------- 2026 DELIVERABLE: At least 1200 lines to be identified out of ~ 1500 (MS00630) and 500 (MS00631) single plant rows developed by PDCs and evaluated in an observation nursery using augmented design to identify lines best lines for further evaluation.
Annual progress toward the funded Target Product Profile is assessed through the Breakthrough Product Pipeline Performance Report (Appendix 1, Sections C and D), in accordance with B4T Data Management Standards (Appendix 1)..--------------------- INDICATOR: Number of varieties released by partners</v>
      </c>
      <c r="E36" s="4" t="str">
        <v>Number of innovations (innovation development)</v>
      </c>
      <c r="F36" s="4" t="str">
        <v>Tanzania, United Republic</v>
      </c>
      <c r="G36" s="5">
        <v>1</v>
      </c>
      <c r="H36" s="5">
        <v>353553</v>
      </c>
      <c r="I36" s="4" t="str">
        <v>gates</v>
      </c>
      <c r="J36" s="4">
        <v>8492</v>
      </c>
    </row>
    <row r="37" ht="50" customHeight="1" xml:space="preserve">
      <c r="B37" s="4" t="str">
        <v>CIMMYT</v>
      </c>
      <c r="D37" s="4" t="str" xml:space="preserve">
        <v xml:space="preserve">49-GATES W2 DLC.--------------------- CIMMYT.--------------------- CROP: Pearl Millet W2 Gates.--------------------- BREEDING PIPELINE: BP00139,
BP00140,
BP00141,
BP00158.--------------------- MARKET SEGMENT: MS00641/TPP00319
MS00643/TPP00329
MS00644/TPP00330
MS00925/TPP00411
MS00950/TPP00410.--------------------- HIGH LEVEL OUTPUT STATEMENT:    Promissing pearl millet breakthrough product generated in alignment with TPPs.--------------------- 2026 DELIVERABLE: 
At least 1000 test cross hybrid from cohorte 1 will be generated for stage 1 sparse testing, 
seed increased for 4 hybrids from network partners to be tested in onfarm;   for the identification of the first generation (downy mildew resistant) of pearl millet breakthrough products (MilGen 1.0 and MilGen-H 1.0 )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varieties released by partners</v>
      </c>
      <c r="E37" s="4" t="str">
        <v>Number of innovations (innovation development)</v>
      </c>
      <c r="F37" s="4" t="str">
        <v>Tanzania, United Republic</v>
      </c>
      <c r="G37" s="5">
        <v>2</v>
      </c>
      <c r="H37" s="5">
        <v>206359</v>
      </c>
      <c r="I37" s="4" t="str" xml:space="preserve">
        <v xml:space="preserve">
gates</v>
      </c>
      <c r="J37" s="4">
        <v>8510</v>
      </c>
    </row>
    <row r="38" ht="50" customHeight="1" xml:space="preserve">
      <c r="B38" s="4" t="str">
        <v>CIMMYT</v>
      </c>
      <c r="D38" s="4" t="str" xml:space="preserve">
        <v xml:space="preserve">50-GATES W2 DLC.--------------------- CIMMYT.--------------------- CROP: Pearl Millet W2 Gates.--------------------- BREEDING PIPELINE: BP00139,
BP00140,
BP00141,
BP00158.--------------------- MARKET SEGMENT: MS00641/TPP00319
MS00643/TPP00329
MS00644/TPP00330
MS00925/TPP00411
MS00950/TPP00410.--------------------- HIGH LEVEL OUTPUT STATEMENT:    Breakthrough pearl millet products (MilGen) tested and screenned in multi-locacation across CGIAR-NARS and SME network.--------------------- 2026 DELIVERABLE: At least 1000 test cross hybrid MilGen-H 1.0 evaluated in sparse testing in 10 to 16 locations in stage 1  trial and ~500 hybrid parental lines screened for downy mildew resistance in greenhouse and in and at least 300 samples screened for grain quality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candidate products advanced to stage 2 evaluation</v>
      </c>
      <c r="E38" s="4" t="str">
        <v>Number of innovations (innovation development)</v>
      </c>
      <c r="F38" s="4" t="str">
        <v>Tanzania, United Republic</v>
      </c>
      <c r="G38" s="5">
        <v>400</v>
      </c>
      <c r="H38" s="5">
        <v>123815</v>
      </c>
      <c r="I38" s="4" t="str" xml:space="preserve">
        <v xml:space="preserve">
gates</v>
      </c>
      <c r="J38" s="4">
        <v>8511</v>
      </c>
    </row>
    <row r="39" ht="50" customHeight="1" xml:space="preserve">
      <c r="B39" s="4" t="str">
        <v>CIMMYT</v>
      </c>
      <c r="D39" s="4" t="str" xml:space="preserve">
        <v xml:space="preserve">69-GATES W2 DLC.--------------------- CIMMYT.--------------------- CROP: Sorghum ESA W2 Gates.--------------------- BREEDING PIPELINE: BP00148
BP00149
BP00150
BP00151.--------------------- MARKET SEGMENT: MS00665/TPP00388
MS00666/TPP00389
MS00661/TPP00391
MS00667/TPP00400
MS00662/TPP00390
MS00672/TPP00392
MS00918
MS00663/TPP00394
MS00664/TPP00395.--------------------- HIGH LEVEL OUTPUT STATEMENT:    Initial Sorghenix product portfolio established, with early‑stage lines or hybrids identified as potential breakthrough products for future advancement..--------------------- 2026 DELIVERABLE: 1. Sparse testing of Cohorts 1 and 2 completed across 70 locations in nine countries; RGA advancement initiated for Cohort 3 Sorghenix populations; and hybrid seed generated from Sorghenix H Plus and H Max parental lines for downstream evaluation.
2. At least one Sorghenix and Sorghenix Plus candidate product validated per country through national testing; 800 hybrids evaluated across 4–5 countries and promising Sorghenix H Plus and H Max hybrid products identified.
3. Updated Sorghenix and Sorghenix Plus product portfolio completed, with a consolidated portfolio of Sorghenix H Plus and H Max hybrid candidates compiled for advancement and planning.
Advancement of sorghum candidate products through large-scale multi-location testing (70 sites, 9 countries), with &gt;=1 candidate validated for at least six countries - Ethiopia, Kenya, Uganda, Tanzania, Malawi and Zambia from a total of 800 hybrids evaluated.
4. Annual progress toward the funded Target Product Profile is assessed through the Breakthrough Product Pipeline Performance Report (Appendix 1, Sections C and D), in accordance with B4T Data Management Standards (Appendix 1).
5. Data impedance is mitigated through implementation of HLO17 FAIR principles commitments, supporting readiness for future program assessments
6.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v>
      </c>
      <c r="E39" s="4" t="str">
        <v>Number of innovations (innovation development)</v>
      </c>
      <c r="F39" s="4" t="str">
        <v>Tanzania, United Republic</v>
      </c>
      <c r="G39" s="5">
        <v>2</v>
      </c>
      <c r="H39" s="5">
        <v>153837</v>
      </c>
      <c r="I39" s="4" t="str" xml:space="preserve">
        <v xml:space="preserve">
gates</v>
      </c>
      <c r="J39" s="4">
        <v>8524</v>
      </c>
    </row>
    <row r="40" ht="50" customHeight="1" xml:space="preserve">
      <c r="B40" s="4" t="str">
        <v>CIMMYT</v>
      </c>
      <c r="D40" s="4" t="str" xml:space="preserve">
        <v xml:space="preserve">85-GATES W2 DLC.--------------------- CIMMYT.--------------------- CROP: Sorghum WCA W2 Gates.--------------------- BREEDING PIPELINE: BP00225, BP00226, BP00227, BP00228, BP00229.--------------------- MARKET SEGMENT: MS00673/MS01241, MS00400/MS01242, MS00681/MS01243, MS00674, MS00675.--------------------- HIGH LEVEL OUTPUT STATEMENT:    i) Population developed for different pipelines and promising breeding lines identified as potential Sorghenix candidate products based on trait performance and alignment with TPP priorities.
ii) Sorghenix candidate products advanced through multi‑environment testing and product development stages using standardized evaluation protocols..--------------------- 2026 DELIVERABLE: i) Generate and QC of over 200 F1s of cohort 3 for different pipelines
ii) 800 F3 from the cohort 1 advanced to F4  and at least 120 F2 populations from cohort 2 advanced to F3 using single seed descent method
iii)  New lines (~400) from the first cohort of ADCIN shared pipeline evaluated for yield and anthracnose tolerance in at least 10 locations and identification on maintner and restorers lines from this cohort to be used in hybrids development.
iv) A total of 120 hybrids parents to be used as fonder lines, evaluated for agronomic traits and main stressed including anthracnose, striga and midge.
v) Heterotic groups for WCA sorghum hybrids development finalized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varieties released by partners</v>
      </c>
      <c r="E40" s="4" t="str">
        <v>Number of innovations (innovation development)</v>
      </c>
      <c r="F40" s="4" t="str">
        <v>Tanzania, United Republic</v>
      </c>
      <c r="G40" s="5">
        <v>1</v>
      </c>
      <c r="H40" s="5">
        <v>502828</v>
      </c>
      <c r="I40" s="4" t="str" xml:space="preserve">
        <v xml:space="preserve">
gates</v>
      </c>
      <c r="J40" s="4">
        <v>8532</v>
      </c>
    </row>
    <row r="41" ht="50" customHeight="1">
      <c r="A41" s="4" t="str">
        <v>AOW02: Accelerated Breeding</v>
      </c>
      <c r="B41" s="4" t="str">
        <v>CIMMYT</v>
      </c>
      <c r="C41" s="4" t="str">
        <v>HLO6.AOW2.IO1 Refocus to markets</v>
      </c>
      <c r="D41" s="4" t="str">
        <v>04-GATES W2 DLC.--------------------- CIMMYT.--------------------- CROP: Groundnut ESA W2 Gates.--------------------- BREEDING PIPELINE: BP00145, BP00146 and BP00147.--------------------- MARKET SEGMENT: MS00388/MS00393, TPP00413/TPP00416 and MS00390/MS00395, TPP00414/TPP00417.--------------------- HIGH LEVEL OUTPUT STATEMENT:    ESA groundnut breeding pipeline alligned with breakthrough product MS and TPP.--------------------- 2026 DELIVERABLE: MS/TPP updated to incorporate feasibility of breakthrough product concepts with gender-intentional design..--------------------- INDICATOR: Number of knowledge products developed (disaggregated by type;report)</v>
      </c>
      <c r="E41" s="4" t="str">
        <v>Number of knowledge products</v>
      </c>
      <c r="F41" s="4" t="str">
        <v>Tanzania, United Republic</v>
      </c>
      <c r="G41" s="5">
        <v>1</v>
      </c>
      <c r="H41" s="5">
        <v>8773</v>
      </c>
      <c r="I41" s="4" t="str">
        <v>gates w2</v>
      </c>
      <c r="J41" s="4">
        <v>8474</v>
      </c>
    </row>
    <row r="42" ht="50" customHeight="1" xml:space="preserve">
      <c r="B42" s="4" t="str">
        <v>CIMMYT</v>
      </c>
      <c r="D42" s="4" t="str" xml:space="preserve">
        <v xml:space="preserve">65-GATES W2 DLC.--------------------- CIMMYT.--------------------- CROP: Sorghum ESA W2 Gates.--------------------- BREEDING PIPELINE: BP00148
BP00149
BP00150
BP00151.--------------------- MARKET SEGMENT: MS00665/TPP00388
MS00666/TPP00389
MS00661/TPP00391
MS00667/TPP00400
MS00662/TPP00390
MS00672/TPP00392
MS00918
MS00663/TPP00394
MS00664/TPP00395.--------------------- HIGH LEVEL OUTPUT STATEMENT:    Updated TPPs and breeding strategies developed in collaboration with CGIAR, NARES, and SME partners, ensuring alignment with segment‑specific needs, priority traits, and feasibility assessments for breakthrough product advancement..--------------------- 2026 DELIVERABLE: Updated TPPs incorporating breakthrough sorghum product concepts, feasibility analysis, and GEI-intentional design elements, and agreed with CGIAR–NARES–SME breeding teams after consultations..--------------------- INDICATOR: Number of TPPs updated to reflect market segment needs, breakthrough product opportunities, and GEI considerations</v>
      </c>
      <c r="E42" s="4" t="str">
        <v>custom</v>
      </c>
      <c r="F42" s="4" t="str">
        <v>Tanzania, United Republic</v>
      </c>
      <c r="G42" s="5">
        <v>5</v>
      </c>
      <c r="H42" s="5">
        <v>5197</v>
      </c>
      <c r="I42" s="4" t="str">
        <v>.</v>
      </c>
      <c r="J42" s="4">
        <v>8618</v>
      </c>
    </row>
    <row r="43" ht="25" customHeight="1">
      <c r="C43" s="9" t="str">
        <v>HLO budget subtotal</v>
      </c>
      <c r="H43" s="9">
        <v>5620055</v>
      </c>
      <c r="J43" s="9" t="str">
        <v/>
      </c>
    </row>
    <row r="44" ht="50" customHeight="1" xml:space="preserve">
      <c r="A44" s="8" t="str">
        <v>AOW03: Inclusive Delivery</v>
      </c>
      <c r="B44" s="4" t="str">
        <v>CIMMYT</v>
      </c>
      <c r="C44" s="4" t="str">
        <v>HLO11.AOW3.IO4 Position for demand</v>
      </c>
      <c r="D44" s="4" t="str" xml:space="preserve">
        <v xml:space="preserve">66---.-------CIMMYT --MAIZE - (Farmer-preferred maize hybrids announced to partners)-----------.-----------ACTIVITY DESCRIPTION: - Conduct extensve on-farm testing (stage 5) network with partners in target countries
'- Generate performance data of new breakthrough maize products (BtP) against market dominant commercial and farmer preferred checks targetted for replacement
'- Conduct stage-gate advancement of high performing hybrids
'- Announce advanced hybrids for licensing &amp; commercialization by seed company partners
'- Produce product catalog with detailed variety description, performance  &amp; producibility data.-----------BREEDING PIPELINE: BP00125, BP00029, BP00030, BP00032, BP00033, BP00126.-----------MARKET SEGMENT: Maize EAF MS00372
Maize EAF MS00373
Maize EAF MS00375
Maize SAF MS00354
Maize SAF MS00355
Maize SAF MS00356.-----------INDICATOR: Number of new products per segments validated or introduced</v>
      </c>
      <c r="E44" s="4" t="str">
        <v>custom</v>
      </c>
      <c r="F44" s="4" t="str">
        <v>Zimbabwe, Kenya</v>
      </c>
      <c r="G44" s="5">
        <v>15</v>
      </c>
      <c r="H44" s="5">
        <v>282478</v>
      </c>
      <c r="I44" s="4" t="str">
        <v>.</v>
      </c>
      <c r="J44" s="4">
        <v>4805</v>
      </c>
    </row>
    <row r="45" ht="50" customHeight="1" xml:space="preserve">
      <c r="B45" s="4" t="str">
        <v>CIMMYT</v>
      </c>
      <c r="D45" s="4" t="str" xml:space="preserve">
        <v xml:space="preserve">72---. -----CIMMYT - MAIZE (Seed producibility data generated for advanced hybrids).-----------ACTIVITY DESCRIPTION: - Conduct seed production research to generate seed producibility data of hybrids in on-farm trials
'- Share seed producibility data of licensed hybrids with partners commercialization the products
'- Producibility data will be included in the product catalog on announcement.-----------BREEDING PIPELINE: BP00125, BP00029, BP00030, BP00032, BP00033, BP00126.-----------MARKET SEGMENT: Maize EAF MS00372
Maize EAF MS00373
Maize EAF MS00375
Maize SAF MS00354
Maize SAF MS00355
Maize SAF MS00356.-----------INDICATOR:  Number of datasets 
</v>
      </c>
      <c r="E45" s="4" t="str">
        <v>custom</v>
      </c>
      <c r="F45" s="4" t="str">
        <v>Zimbabwe, Kenya</v>
      </c>
      <c r="G45" s="5">
        <v>1</v>
      </c>
      <c r="H45" s="5">
        <v>145982</v>
      </c>
      <c r="I45" s="4" t="str">
        <v>.</v>
      </c>
      <c r="J45" s="4">
        <v>4811</v>
      </c>
    </row>
    <row r="46" ht="50" customHeight="1" xml:space="preserve">
      <c r="B46" s="4" t="str">
        <v>CIMMYT</v>
      </c>
      <c r="D46" s="4" t="str" xml:space="preserve">
        <v xml:space="preserve">new-fcdo- cimmyt-1----.------ CIMMYT (FCDO) ------Conduct participatory variety selection for at least 5 varieties each of sorghum and groundnut in Nigeria and generate performance and preference data to recommend 2 varieties per crop for production in target agroecologies.--------------.-----------ACTIVITY DESCRIPTION: Evaluate at least 4-5 varieties each of sorghum and groundnut in Nigeria through participatory approaches to generate  agronomic performance, farmer and user preference data and, based on the evidence, recommend 2 varieties per crop for production and dissemination..-----------BREEDING PIPELINE: Sorghum (Nigeria): BP00226, BP00229 
Groundnut (Nigeria): BP00143, BP00144
.-----------MARKET SEGMENT: Sorghum Nigeria:  MS00400; MS00675
Groundnut Nigeria:  MS00627, MS00631
.-----------INDICATOR: Number of varieties evaluated</v>
      </c>
      <c r="E46" s="4" t="str">
        <v>custom</v>
      </c>
      <c r="F46" s="4" t="str">
        <v>Nigeria</v>
      </c>
      <c r="G46" s="5">
        <v>9</v>
      </c>
      <c r="H46" s="5">
        <v>72989</v>
      </c>
      <c r="I46" s="4" t="str">
        <v>fcdo w2 funding</v>
      </c>
      <c r="J46" s="4">
        <v>8206</v>
      </c>
    </row>
    <row r="47" ht="50" customHeight="1" xml:space="preserve">
      <c r="B47" s="4" t="str">
        <v>CIMMYT</v>
      </c>
      <c r="D47" s="4" t="str" xml:space="preserve">
        <v xml:space="preserve">new-fcdo-cimmyt-2----.------ CIMMYT (FCDO)--------Conduct participatory variety selection for at least 5 varieties each of  sorghum and chickpea in Ethiopia, and generate performance and preference data to recommend 2 varieties per crop for production in target agroecologies.--------------.-----------ACTIVITY DESCRIPTION: Evaluate at least 4-5 varieties each of sorghum and chickpea in Ethiopia, through participatory approaches to generate  agronomic performance, farmer and user preference data and, based on the evidence, recommend 2 varieties per crop for production and dissemination...-----------BREEDING PIPELINE: Sorghum (Ethiopia):BP00148,  BP00150
Chickpea (Ethiopia): BP00197, BP00200.-----------MARKET SEGMENT: Sorghum (Ethiopia): MS00665; MS00672
Chickpea (Ethiopia):  MS00687, MS00685.-----------INDICATOR: Number of varieties evaluated</v>
      </c>
      <c r="E47" s="4" t="str">
        <v>custom</v>
      </c>
      <c r="F47" s="4" t="str">
        <v>Ethiopia</v>
      </c>
      <c r="G47" s="5">
        <v>9</v>
      </c>
      <c r="H47" s="5">
        <v>72988</v>
      </c>
      <c r="I47" s="4" t="str">
        <v>fcdo w2 funding</v>
      </c>
      <c r="J47" s="4">
        <v>8207</v>
      </c>
    </row>
    <row r="48" ht="50" customHeight="1" xml:space="preserve">
      <c r="B48" s="4" t="str">
        <v>CIMMYT</v>
      </c>
      <c r="D48" s="4" t="str" xml:space="preserve">
        <v xml:space="preserve">10-GATES W2 DLC.--------------------- CIMMYT.--------------------- CROP: Groundnut ESA W2 Gates.--------------------- BREEDING PIPELINE: BP000145 ; BP00146  .--------------------- MARKET SEGMENT: MS00388/MS00393, TPP00413/TPP00416 and MS00390/MS00395, TPP00414/TPP00417.--------------------- HIGH LEVEL OUTPUT STATEMENT:    Product positioning packages developed, integrating benchmarking, demand segmentation, and trait prioritization, and used to guide advancement and commercialization decisions..--------------------- 2026 DELIVERABLE: 1.Validate market innovations to accelerate the uptake and commercialization of breakthrough groundnut products. ≥1 market innovation validated. [number of innovations]
 2.Identify and profile best-in-class groundnut products through TRICOT and complementary market and seed system assessments. ≥3 best-in-class product profiles developed.
3. Facilitate a business-to-business engagement platform to showcase flagship and breakthrough groundnut products and stimulate commercial partnerships. ≥1 B2B forum conducted. 
4. Generate evidence for the replacement potential of breakthrough groundnut products through comparative evaluations, including head-to-head trials, against best-in-class products to inform product advancement and commercialization decisions. ≥2 product advancement and replacement evidence packages generated
5. Research teams consistently apply standardized trait dictionaries and metadata standards across all experiments, resulting in harmonized, high-quality datasets across breeding programs.
6. FAIR-compliant data management practices are fully operational, with all research data captured, curated, and made interoperable and reusable through standardized metadata frameworks within EBS and associated platforms.
7. Data impedance is mitigated through implementation of HLO17 FAIR principles commitments, supporting readiness for future program assessments
8. Annual progress toward the funded Target Product Profile is assessed through the Breakthrough Product Pipeline Performance Report (Appendix 1, Sections C and D), in accordance with B4T Data Management Standards (Appendix 1).
9.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 INDICATOR: Number of knowledge products developed (disaggregated by type ;product advancement and replacement packages)</v>
      </c>
      <c r="E48" s="4" t="str">
        <v>Number of knowledge products</v>
      </c>
      <c r="F48" s="4" t="str">
        <v>Tanzania, United Republic</v>
      </c>
      <c r="G48" s="5">
        <v>2</v>
      </c>
      <c r="H48" s="5">
        <v>30267</v>
      </c>
      <c r="I48" s="4" t="str" xml:space="preserve">
        <v xml:space="preserve">
gates</v>
      </c>
      <c r="J48" s="4">
        <v>8480</v>
      </c>
    </row>
    <row r="49" ht="50" customHeight="1" xml:space="preserve">
      <c r="B49" s="4" t="str">
        <v>CIMMYT</v>
      </c>
      <c r="D49" s="4" t="str" xml:space="preserve">
        <v xml:space="preserve">28-GATES W2 DLC.--------------------- CIMMYT.--------------------- CROP: Groundnut WCA W2 Gates.--------------------- BREEDING PIPELINE: BP00143 &amp; BP00144.--------------------- MARKET SEGMENT: MS00630/TPP00338, MS00631/TPP00365.--------------------- HIGH LEVEL OUTPUT STATEMENT:    ▪ Priority groundnut varieties are clearly defined, profiled, and positioned within validated market segments using farmer and end-user evidence to guide targeting and scaling decisions..--------------------- 2026 DELIVERABLE: &gt;=10 priority varieties from previous breeding efforts profiled and aligned to market segments, to identify the 2 best in class (BIC) varieties/MS for scaling. Demand-creation strategies adapted and implemented in Ghana, Mali and Nigeriria to stimulate demand
Farmer and end-user preference data about released and near-term varieties generated to inform placement and commercialization decisions in at least 3 countries including, Mali, Nigeria and Ghana
Seed production and marketing readiness assessment conducted in partner countries..--------------------- INDICATOR: 
Number of knowledge products developed (disaggregated by type; framework)
</v>
      </c>
      <c r="E49" s="4" t="str">
        <v>Number of knowledge products</v>
      </c>
      <c r="F49" s="4" t="str">
        <v>Tanzania, United Republic</v>
      </c>
      <c r="G49" s="5">
        <v>1</v>
      </c>
      <c r="H49" s="5">
        <v>102644</v>
      </c>
      <c r="I49" s="4" t="str" xml:space="preserve">
        <v xml:space="preserve">
gates</v>
      </c>
      <c r="J49" s="4">
        <v>8493</v>
      </c>
    </row>
    <row r="50" ht="50" customHeight="1" xml:space="preserve">
      <c r="B50" s="4" t="str">
        <v>CIMMYT</v>
      </c>
      <c r="D50" s="4" t="str" xml:space="preserve">
        <v xml:space="preserve">52-GATES W2 DLC.--------------------- CIMMYT.--------------------- CROP: Pearl Millet W2 Gates.--------------------- BREEDING PIPELINE: BP00139,
BP00140,
BP00141,
BP00159.--------------------- MARKET SEGMENT: MS00641/TPP00319
MS00643/TPP00329
MS00644/TPP00330
MS00925/TPP00411
MS00950/TPP00411.--------------------- HIGH LEVEL OUTPUT STATEMENT:    Improved varieties (including hybrids) are effectively positioned in target market segments with clear value propositions and demand pathways
Demand for breakthrough products is strengthened through increased evidence-based targeting.--------------------- 2026 DELIVERABLE: 3.1.1 At least 10 priority varieties/hybrids from previous breeding efforts profiled and aligned to market segments, to identify the best in class (BIC) varieties/hybrids for scaling in at least 3 countries. 
3.1.2 Farmer and end-user preference about released and pre-released hybrids generated, to inform placement and commercialization decisions.
3.1.3 Demand-creation strategies adapted and implementated in at least 3 countries to stimulate demand for new varieties.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;report,crop,country,blog article)</v>
      </c>
      <c r="E50" s="4" t="str">
        <v>Number of knowledge products</v>
      </c>
      <c r="F50" s="4" t="str">
        <v>Tanzania, United Republic</v>
      </c>
      <c r="G50" s="5">
        <v>1</v>
      </c>
      <c r="H50" s="5">
        <v>34393</v>
      </c>
      <c r="I50" s="4" t="str">
        <v>.</v>
      </c>
      <c r="J50" s="4">
        <v>8513</v>
      </c>
    </row>
    <row r="51" ht="50" customHeight="1" xml:space="preserve">
      <c r="B51" s="4" t="str">
        <v>CIMMYT</v>
      </c>
      <c r="D51" s="4" t="str" xml:space="preserve">
        <v xml:space="preserve">70-GATES W2 DLC.--------------------- CIMMYT.--------------------- CROP: Sorghum ESA W2 Gates.--------------------- BREEDING PIPELINE: Missing.--------------------- MARKET SEGMENT: Missing.--------------------- 2026 DELIVERABLE: 1. Validate market innovations to accelerate the uptake and commercialization of breakthrough sorghum products. ≥1 innovation 
2. Identify and profile best-in-class sorghum products through TRICOT and complementary market and seed system assessments. ≥3 profiles
3.  Generate evidence for the replacement potential of breakthrough sorghum products through comparative evaluations, including head-to-head trials, against best-in-class products to inform product advancement and commercialization decisions. ≥2 evidence packages 
4. Facilitate a business-to-business engagement platform to showcase flagship and breakthrough sorghum products and stimulate commercial partnerships. ≥1 B2B forum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knowledge products developed (disaggregated by type; crop, spec sheets)</v>
      </c>
      <c r="E51" s="4" t="str">
        <v>Number of knowledge products</v>
      </c>
      <c r="F51" s="4" t="str">
        <v>Tanzania, United Republic</v>
      </c>
      <c r="G51" s="5">
        <v>1</v>
      </c>
      <c r="H51" s="5">
        <v>51972</v>
      </c>
      <c r="I51" s="4" t="str">
        <v>.</v>
      </c>
      <c r="J51" s="4">
        <v>8525</v>
      </c>
    </row>
    <row r="52" ht="50" customHeight="1" xml:space="preserve">
      <c r="B52" s="4" t="str">
        <v>CIMMYT</v>
      </c>
      <c r="D52" s="4" t="str" xml:space="preserve">
        <v xml:space="preserve">86-GATES W2 DLC.--------------------- CIMMYT.--------------------- CROP: Sorghum WCA W2 Gates.--------------------- BREEDING PIPELINE: BP00225, BP00226, BP00227, BP00228, BP00229.--------------------- MARKET SEGMENT: MS00673/MS01241, MS00400/MS01242, MS00681/MS01243, MS00674, MS00675.--------------------- HIGH LEVEL OUTPUT STATEMENT:    i) Improved varieties (including hybrids) are effectively positioned in target market segments with clear value propositions and demand pathways
ii) Demand for breakthrough products is strengthened through increased evidence-based targeting.--------------------- 2026 DELIVERABLE: &gt;=10 priority varieties profiled and farmer preference data collected in Ghana, Mali, Burkina Faso, Nigeria and Senegals countrie. Hybrid seed production and marketing readiness assessment completed in Mali and Senegal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type;report)</v>
      </c>
      <c r="E52" s="4" t="str">
        <v>Number of knowledge products</v>
      </c>
      <c r="F52" s="4" t="str">
        <v>Tanzania, United Republic</v>
      </c>
      <c r="G52" s="5">
        <v>1</v>
      </c>
      <c r="H52" s="5">
        <v>76399</v>
      </c>
      <c r="I52" s="4" t="str">
        <v>.</v>
      </c>
      <c r="J52" s="4">
        <v>8533</v>
      </c>
    </row>
    <row r="53" ht="50" customHeight="1" xml:space="preserve">
      <c r="A53" s="4" t="str">
        <v>AOW03: Inclusive Delivery</v>
      </c>
      <c r="B53" s="4" t="str">
        <v>CIMMYT</v>
      </c>
      <c r="C53" s="4" t="str">
        <v>HLO12.AOW3.IO5 Deploy seed</v>
      </c>
      <c r="D53" s="4" t="str" xml:space="preserve">
        <v xml:space="preserve">67---.--------------CIMMYT --MAIZE - (Breeder seed of parents of advanced hybrids produced)----------------.-----------ACTIVITY DESCRIPTION: - Produce enough breeder seed of announced products to be shared with licensed seed companies
'- Produce enough breeder seed of recently announced hybrids to be shared with licensed partners on demand.-----------BREEDING PIPELINE: BP00125, BP00029, BP00030, BP00032, BP00033, BP00126.-----------MARKET SEGMENT: Maize EAF MS00372
Maize EAF MS00373
Maize EAF MS00375
Maize SAF MS00354
Maize SAF MS00355
Maize SAF MS00356.-----------INDICATOR: Quantity of breeder seed produced</v>
      </c>
      <c r="E53" s="4" t="str">
        <v>custom</v>
      </c>
      <c r="F53" s="4" t="str">
        <v>Kenya, Zimbabwe</v>
      </c>
      <c r="G53" s="5">
        <v>15</v>
      </c>
      <c r="H53" s="5">
        <v>80000</v>
      </c>
      <c r="I53" s="4" t="str">
        <v>.</v>
      </c>
      <c r="J53" s="4">
        <v>4806</v>
      </c>
    </row>
    <row r="54" ht="50" customHeight="1" xml:space="preserve">
      <c r="B54" s="4" t="str">
        <v>CIMMYT</v>
      </c>
      <c r="D54" s="4" t="str" xml:space="preserve">
        <v xml:space="preserve">new-fcdo-cimmyt-3----. --------CIMMYT (FCDO)----------Support production and availability of 12.5 MT of EGS of sorghum and groundnut  --------.-----------ACTIVITY DESCRIPTION: Facilitate the production, distribution, and market availability of 11 MT of EGS through scaling partners in Nigeria.-----------BREEDING PIPELINE: Sorghum (Nigeria): BP00226, BP00229 
Groundnut (Nigeria): BP00143, BP00144
.-----------MARKET SEGMENT: Sorghum Nigeria:  MS00400; MS00675
Groundnut Nigeria:  MS00627, MS00631
.-----------INDICATOR: Quantities of quality Early Generation Seed (MT) produced</v>
      </c>
      <c r="E54" s="4" t="str">
        <v>custom</v>
      </c>
      <c r="F54" s="4" t="str">
        <v>Nigeria</v>
      </c>
      <c r="G54" s="5">
        <v>11</v>
      </c>
      <c r="H54" s="5">
        <v>30996</v>
      </c>
      <c r="I54" s="4" t="str">
        <v>fcdo w2 funding</v>
      </c>
      <c r="J54" s="4">
        <v>8208</v>
      </c>
    </row>
    <row r="55" ht="50" customHeight="1" xml:space="preserve">
      <c r="B55" s="4" t="str">
        <v>CIMMYT</v>
      </c>
      <c r="D55" s="4" t="str" xml:space="preserve">
        <v xml:space="preserve">new-fcdo-cimmyt-4----. --------CIMMYT (FCDO)----------Support production and availability of 125 MT of certified seed of sorghum and groundnut reaching at least 5000 farming households---------.-----------ACTIVITY DESCRIPTION: Facilitate the production, distribution, and market availability of 110 MT of certified seed through scaling partners in Nigeria with seed projected to serve at least 4,500 farming households in the target intervention areas...-----------BREEDING PIPELINE: Sorghum (Nigeria): BP00226, BP00229 
Groundnut (Nigeria): BP00143, BP00144
.-----------MARKET SEGMENT: Sorghum Nigeria:  MS00400; MS00675
Groundnut Nigeria:  MS00627, MS00631
.-----------INDICATOR: Quantities of quality commercial seed (MT) produced</v>
      </c>
      <c r="E55" s="4" t="str">
        <v>custom</v>
      </c>
      <c r="F55" s="4" t="str">
        <v>Nigeria</v>
      </c>
      <c r="G55" s="5">
        <v>110</v>
      </c>
      <c r="H55" s="5">
        <v>139310</v>
      </c>
      <c r="I55" s="4" t="str">
        <v>fcdo w2 funding</v>
      </c>
      <c r="J55" s="4">
        <v>8209</v>
      </c>
    </row>
    <row r="56" ht="50" customHeight="1" xml:space="preserve">
      <c r="B56" s="4" t="str">
        <v>CIMMYT</v>
      </c>
      <c r="D56" s="4" t="str" xml:space="preserve">
        <v xml:space="preserve">new-fcdo-cimmyt-5----. --------CIMMYT (FCDO)----------Support production and availability of 12.5 MT of EGS of sorghum and chickpea---------.-----------ACTIVITY DESCRIPTION: Facilitate the production, distribution, and market availability of 11 MT of EGS through scaling partners in Ethiopia.-----------BREEDING PIPELINE: Sorghum (Ethiopia):BP00148,  BP00150
Chickpea (Ethiopia): BP00197, BP00200.-----------MARKET SEGMENT: Sorghum (Ethiopia): MS00665; MS00672
Chickpea (Ethiopia):  MS00687, MS00685.-----------INDICATOR: Quantities of quality Early Generation Seed (MT) produced</v>
      </c>
      <c r="E56" s="4" t="str">
        <v>custom</v>
      </c>
      <c r="F56" s="4" t="str">
        <v>Ethiopia</v>
      </c>
      <c r="G56" s="5">
        <v>11</v>
      </c>
      <c r="H56" s="5">
        <v>30997</v>
      </c>
      <c r="I56" s="4" t="str">
        <v>fcdo w2 funds</v>
      </c>
      <c r="J56" s="4">
        <v>8210</v>
      </c>
    </row>
    <row r="57" ht="50" customHeight="1" xml:space="preserve">
      <c r="B57" s="4" t="str">
        <v>CIMMYT</v>
      </c>
      <c r="D57" s="4" t="str" xml:space="preserve">
        <v xml:space="preserve">new-fcdo-cimmyt-6----. --------CIMMYT (FCDO)----------Support production and availability of 125 MT of certified seed of sorghum and chickpea reaching at least 5000 farming households---------.-----------ACTIVITY DESCRIPTION: Facilitate the production, distribution, and market availability of 110 MT of certified seed through scaling partners in Ethiopia with seed projected to serve at least 4,500 farming households in the target intervention areas..-----------BREEDING PIPELINE: Sorghum (Ethiopia):BP00148,  BP00150
Chickpea (Ethiopia): BP00197, BP00200.-----------MARKET SEGMENT: Sorghum (Ethiopia): MS00665; MS00672
Chickpea (Ethiopia):  MS00687, MS00685.-----------INDICATOR: Quantities of quality commercial seed (MT) produced</v>
      </c>
      <c r="E57" s="4" t="str">
        <v>custom</v>
      </c>
      <c r="F57" s="4" t="str">
        <v>Ethiopia</v>
      </c>
      <c r="G57" s="5">
        <v>110</v>
      </c>
      <c r="H57" s="5">
        <v>139310</v>
      </c>
      <c r="I57" s="4" t="str">
        <v>fcdo funds</v>
      </c>
      <c r="J57" s="4">
        <v>8211</v>
      </c>
    </row>
    <row r="58" ht="50" customHeight="1" xml:space="preserve">
      <c r="B58" s="4" t="str">
        <v>CIMMYT</v>
      </c>
      <c r="D58" s="4" t="str" xml:space="preserve">
        <v xml:space="preserve">11-GATES W2 DLC.--------------------- CIMMYT.--------------------- CROP: Groundnut ESA W2 Gates.--------------------- BREEDING PIPELINE: BP000145 ; BP00146  .--------------------- MARKET SEGMENT: MS00388/MS00393, TPP00413/TPP00416 and MS00390/MS00395, TPP00414/TPP00417.--------------------- HIGH LEVEL OUTPUT STATEMENT:    Development of co-designed, evidence-based seed production and delivery roadmaps for BT products, integrating production models, viability analysis, readiness assessment for deployment and scaling, and clear variety handover pathways to enable scalable deployment..--------------------- 2026 DELIVERABLE: 1. Support the production of early generation seed (EGS) of flagship and breakthrough groundnut products across [priority countries]. ≥30 MT EGS produced across [3 countries].
2.  Assess and document groundnut delivery models and identify modifications required to enhance the scaling of breakthrough products≥2 delivery model assessments and adaptation recommendations developed. 
3. Establish or strengthen a digital EGS pre-booking system for flagship and breakthrough groundnut products to improve demand forecasting and seed production planning. ≥1 digital EGS pre-booking system operational..--------------------- INDICATOR: Quantity (MT) of early generation seeds produced</v>
      </c>
      <c r="E58" s="4" t="str">
        <v>custom</v>
      </c>
      <c r="F58" s="4" t="str">
        <v>Tanzania, United Republic</v>
      </c>
      <c r="G58" s="5">
        <v>30</v>
      </c>
      <c r="H58" s="5">
        <v>30267</v>
      </c>
      <c r="I58" s="4" t="str" xml:space="preserve">
        <v xml:space="preserve">
gates</v>
      </c>
      <c r="J58" s="4">
        <v>8481</v>
      </c>
    </row>
    <row r="59" ht="50" customHeight="1" xml:space="preserve">
      <c r="B59" s="4" t="str">
        <v>CIMMYT</v>
      </c>
      <c r="D59" s="4" t="str" xml:space="preserve">
        <v xml:space="preserve">29-GATES W2 DLC.--------------------- CIMMYT.--------------------- CROP: Groundnut WCA W2 Gates.--------------------- BREEDING PIPELINE: BP00143 &amp; BP00144.--------------------- MARKET SEGMENT: MS00630/TPP00338, MS00631/TPP00365.--------------------- HIGH LEVEL OUTPUT STATEMENT:    ▪ Demand-driven, cost-efficient seed production and delivery systems are operationalized, ensuring timely availability and access to quality seed of priority groundnut varieties across target geographies..--------------------- 2026 DELIVERABLE: Demand for EGS identified for Ghana, Mali, Nigeria. &gt;=10 seed companies engaged in seed production and delivery networks to make at least 40mt of EGS avaialble.Seed delivery models piloted in Mali, Nigeria, Ghana, Burkina Faso to reach one region in each country. Seed production frameworks developed with NARS and seed companies. Seed production spec sheets generated for at least 2 groundnut varieties for Ghana, Mali, Burkina, Senega and Nigeria.
Annual progress toward the funded Target Product Profile is assessed through the Breakthrough Product Pipeline Performance Report (Appendix 1, Sections C and D), in accordance with B4T Data Management Standards (Appendix 1)..--------------------- INDICATOR: Number of seed companies/seed cooperatives engaged in seed production and delivery networks for priority groundnut varieties</v>
      </c>
      <c r="E59" s="4" t="str">
        <v>custom</v>
      </c>
      <c r="F59" s="4" t="str">
        <v>Tanzania, United Republic</v>
      </c>
      <c r="G59" s="5">
        <v>10</v>
      </c>
      <c r="H59" s="5">
        <v>102644</v>
      </c>
      <c r="I59" s="4" t="str" xml:space="preserve">
        <v xml:space="preserve">
gates</v>
      </c>
      <c r="J59" s="4">
        <v>8494</v>
      </c>
    </row>
    <row r="60" ht="50" customHeight="1" xml:space="preserve">
      <c r="B60" s="4" t="str">
        <v>CIMMYT</v>
      </c>
      <c r="D60" s="4" t="str" xml:space="preserve">
        <v xml:space="preserve">53-GATES W2 DLC.--------------------- CIMMYT.--------------------- CROP: Pearl Millet W2 Gates.--------------------- BREEDING PIPELINE: BP00139,
BP00140,
BP00141,
BP00160.--------------------- MARKET SEGMENT: MS00641/TPP00319
MS00643/TPP00329
MS00644/TPP00330
MS00925/TPP00411
MS00950/TPP00412.--------------------- HIGH LEVEL OUTPUT STATEMENT:    Efficient, demand-driven variety/hybrid seed production systems established and operational
Hybrid seed production systems optimized for quality, yield, and profitability.--------------------- 2026 DELIVERABLE: 3.2.1 EGS production aligned with demand for hybrids and high performing varieties with market preferred traits in partnership with NARS and selected seed companies/producers (2 per country) 
3.2.2 At least 2 seed delivery models piloted in new target geographies.
3.2.4 Seed delivery models tailored for crop/seed type/country context implemented in 4 countries for scaling varieties
3.2.5 Seed production research framework piloted with NARS and other partners, and production feasibility report developed for at least two pearl millet hybrids.--------------------- INDICATOR: Number of seed delivery models tailored for crop/seed type/country context introduced in partner countries/geographies for scaling products</v>
      </c>
      <c r="E60" s="4" t="str">
        <v>custom</v>
      </c>
      <c r="F60" s="4" t="str">
        <v>Tanzania, United Republic</v>
      </c>
      <c r="G60" s="5">
        <v>2</v>
      </c>
      <c r="H60" s="5">
        <v>68786</v>
      </c>
      <c r="I60" s="4" t="str" xml:space="preserve">
        <v xml:space="preserve">
gates</v>
      </c>
      <c r="J60" s="4">
        <v>8514</v>
      </c>
    </row>
    <row r="61" ht="50" customHeight="1" xml:space="preserve">
      <c r="B61" s="4" t="str">
        <v>CIMMYT</v>
      </c>
      <c r="D61" s="4" t="str" xml:space="preserve">
        <v xml:space="preserve">71-GATES W2 DLC.--------------------- CIMMYT.--------------------- CROP: Sorghum ESA W2 Gates.--------------------- BREEDING PIPELINE: Missing.--------------------- MARKET SEGMENT: Missing.--------------------- 2026 DELIVERABLE: 1. Support the production of at least 30 MT of early generation seed (EGS) of flagship and breakthrough sorghum products across priority countries. 
2. Develop and validate practical hybrid seed production packages for breakthrough sorghum hybrids to support commercial seed production. ≥2 packages. 
3. Assess and document sorghum delivery models and identify modifications required to enhance the scaling of breakthrough products. ≥2 assessments.
 4. Establish or strengthen a digital EGS pre-booking system for flagship and breakthrough sorghum products to improve demand forecasting and seed production planning. ≥1 system
5. Annual progress toward the funded Target Product Profile is assessed through the Breakthrough Product Pipeline Performance Report (Appendix 1, Sections C and D), in accordance with B4T Data Management Standards (Appendix 1)..--------------------- INDICATOR: Quantity (MT) of early generation seeds produced</v>
      </c>
      <c r="E61" s="4" t="str">
        <v>custom</v>
      </c>
      <c r="F61" s="4" t="str">
        <v>Tanzania, United Republic</v>
      </c>
      <c r="G61" s="5">
        <v>30</v>
      </c>
      <c r="H61" s="5">
        <v>51972</v>
      </c>
      <c r="I61" s="4" t="str">
        <v>gates</v>
      </c>
      <c r="J61" s="4">
        <v>8526</v>
      </c>
    </row>
    <row r="62" ht="50" customHeight="1" xml:space="preserve">
      <c r="B62" s="4" t="str">
        <v>CIMMYT</v>
      </c>
      <c r="D62" s="4" t="str" xml:space="preserve">
        <v xml:space="preserve">87-GATES W2 DLC.--------------------- CIMMYT.--------------------- CROP: Sorghum WCA W2 Gates.--------------------- BREEDING PIPELINE: BP00225, BP00226, BP00227, BP00228, BP00229.--------------------- MARKET SEGMENT: MS00673/MS01241, MS00400/MS01242, MS00681/MS01243, MS00674, MS00675.--------------------- HIGH LEVEL OUTPUT STATEMENT:    Efficient, demand-driven variety/hybrid seed production systems established and operational
Hybrid seed production systems optimized for quality, yield, and profitability.--------------------- 2026 DELIVERABLE: Demand for EGS identified for Ghana, Mali, Nigeria, Burkina Faso and Senegal. &gt;=2 seed companies per country engaged in seed production and delivery networks 
&gt;=2 seed delivery models piloted in in two countrie, Mali and Nigeria. 
Seed production specification sheets developed for at least two sorghum hybrids [for which MS?].--------------------- INDICATOR: Number of knowledge products developed (disaggregated by type; protocol)</v>
      </c>
      <c r="E62" s="4" t="str">
        <v>Number of knowledge products</v>
      </c>
      <c r="F62" s="4" t="str">
        <v>Tanzania, United Republic</v>
      </c>
      <c r="G62" s="5">
        <v>1</v>
      </c>
      <c r="H62" s="5">
        <v>116937</v>
      </c>
      <c r="I62" s="4" t="str">
        <v>.</v>
      </c>
      <c r="J62" s="4">
        <v>8534</v>
      </c>
    </row>
    <row r="63" ht="50" customHeight="1" xml:space="preserve">
      <c r="A63" s="4" t="str">
        <v>AOW03: Inclusive Delivery</v>
      </c>
      <c r="B63" s="4" t="str">
        <v>CIMMYT</v>
      </c>
      <c r="C63" s="4" t="str">
        <v>HLO14.AOW3.IO5 TRACK adoption</v>
      </c>
      <c r="D63" s="4" t="str" xml:space="preserve">
        <v xml:space="preserve">101---. ---- CIMMYT - sorghum, pearl millet, groundnut, pigeon pea, finger millet, chickpea-  (Assessment of seed system functionality and readiness of target countries to absorb new dryland crop varieties) -----.-----------ACTIVITY DESCRIPTION: Assess the readiness of at least three priority countries to absorb newly released breakthrough product varieties in sorghum, pearl millet, and groundnut through a structured diagnosis using seed system readiness indicators, and produce country specific readiness reports..-----------BREEDING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	
High Level Output - HLO14.AOW3.IO5 TRACK adoption
</v>
      </c>
      <c r="E63" s="4" t="str">
        <v>Number of knowledge products</v>
      </c>
      <c r="F63" s="4" t="str">
        <v>Senegal, Kenya</v>
      </c>
      <c r="G63" s="5">
        <v>1</v>
      </c>
      <c r="H63" s="5">
        <v>119072</v>
      </c>
      <c r="I63" s="4" t="str">
        <v>.</v>
      </c>
      <c r="J63" s="4">
        <v>4878</v>
      </c>
    </row>
    <row r="64" ht="50" customHeight="1" xml:space="preserve">
      <c r="B64" s="4" t="str">
        <v>CIMMYT</v>
      </c>
      <c r="D64" s="4" t="str" xml:space="preserve">
        <v xml:space="preserve">102---. ----CIMMYT - (sorghum, pearl millet, groundnut, pigeon pea, finger millet, chickpea) - (Characterizing leading dryland crop varieties to inform product design, strengthen breeding pipelines, and position new varieties in the market.) -----.-----------ACTIVITY DESCRIPTION: Detailed profiling of dominant legacy and currently preferred varieties of dryland crops against pipeline candidates, using evidence from diverse users, to define trait benchmarks and market reference standards that guide target product profiles, advancement decisions, and variety positioning..-----------BREEDING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v>
      </c>
      <c r="E64" s="4" t="str">
        <v>Number of knowledge products</v>
      </c>
      <c r="F64" s="4" t="str">
        <v>Senegal, Kenya</v>
      </c>
      <c r="G64" s="5">
        <v>1</v>
      </c>
      <c r="H64" s="5">
        <v>191366</v>
      </c>
      <c r="I64" s="4" t="str">
        <v>.</v>
      </c>
      <c r="J64" s="4">
        <v>4879</v>
      </c>
    </row>
    <row r="65" ht="50" customHeight="1" xml:space="preserve">
      <c r="B65" s="4" t="str">
        <v>CIMMYT</v>
      </c>
      <c r="D65" s="4" t="str" xml:space="preserve">
        <v xml:space="preserve">103---. ---------------CIMMYT -- sorghum, pearl millet, groundnut, pigeon pea, finger millet, chickpea--- Analysis of varietal adoption, varietal turnover, seed replacement, and quality seed use in dryland crops) -----------------.-----------ACTIVITY DESCRIPTION: Systematic analysis of varietal adoption, varietal turnover, seed replacement behavior, and use of quality seed in dryland crops, using farmer, market, and seed system data, to generate evidence on uptake patterns, persistence of legacy varieties, rates of seed renewal, and constraints to quality seed use, and to guide breeding and deployment interventions..-----------BREEDING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v>
      </c>
      <c r="E65" s="4" t="str">
        <v>Number of knowledge products</v>
      </c>
      <c r="F65" s="4" t="str">
        <v>Senegal, Kenya</v>
      </c>
      <c r="G65" s="5">
        <v>1</v>
      </c>
      <c r="H65" s="5">
        <v>114819</v>
      </c>
      <c r="I65" s="4" t="str">
        <v>.</v>
      </c>
      <c r="J65" s="4">
        <v>4880</v>
      </c>
    </row>
    <row r="66" ht="50" customHeight="1" xml:space="preserve">
      <c r="B66" s="4" t="str">
        <v>CIMMYT</v>
      </c>
      <c r="D66" s="4" t="str">
        <v>12-GATES W2 DLC.--------------------- CIMMYT.--------------------- CROP: Groundnut ESA W2 Gates.--------------------- BREEDING PIPELINE: BP000145 ; BP00146  .--------------------- MARKET SEGMENT: MS00388/MS00393, TPP00413/TPP00416 and MS00390/MS00395, TPP00414/TPP00417.--------------------- HIGH LEVEL OUTPUT STATEMENT:    Development and validation of methods and tools to assess varietal adoption, varietal turnover, seed replacement rates, seed tracking,  and to generate dashboards and feedback for breeding, delivery, and policy decisions..--------------------- 2026 DELIVERABLE: Monitor farmer seed use and varietal replacement for groundnut to generate evidence for commercialization and future product design. ≥1 seed use and varietal replacement dataset generated..--------------------- INDICATOR: Number of datasets generated on seed adoption (use) by farmers</v>
      </c>
      <c r="E66" s="4" t="str">
        <v>custom</v>
      </c>
      <c r="F66" s="4" t="str">
        <v>Tanzania, United Republic</v>
      </c>
      <c r="G66" s="5">
        <v>1</v>
      </c>
      <c r="H66" s="5">
        <v>8334</v>
      </c>
      <c r="I66" s="4" t="str" xml:space="preserve">
        <v xml:space="preserve">
gates</v>
      </c>
      <c r="J66" s="4">
        <v>8482</v>
      </c>
    </row>
    <row r="67" ht="50" customHeight="1" xml:space="preserve">
      <c r="B67" s="4" t="str">
        <v>CIMMYT</v>
      </c>
      <c r="D67" s="4" t="str" xml:space="preserve">
        <v xml:space="preserve">54-GATES W2 DLC.--------------------- CIMMYT.--------------------- CROP: Pearl Millet W2 Gates.--------------------- BREEDING PIPELINE: BP00139,
BP00140,
BP00141,
BP00161.--------------------- MARKET SEGMENT: MS00641/TPP00319
MS00643/TPP00329
MS00644/TPP00330
MS00925/TPP00411
MS00950/TPP00413.--------------------- HIGH LEVEL OUTPUT STATEMENT:    Evidence-based decision-making systems established to guide scaling and continuous improvement.--------------------- 2026 DELIVERABLE: Variety use tracked by various seed industry stakeholders to inform dissemination and scaling decisions.
Annual progress toward the funded Target Product Profile is assessed through the Breakthrough Product Pipeline Performance Report (Appendix 1, Sections C and D), in accordance with B4T Data Management Standards (Appendix 1)..--------------------- INDICATOR: Number of datasets generated on seed adoption (use) by farmers (disaggregated by crop and country)</v>
      </c>
      <c r="E67" s="4" t="str">
        <v>custom</v>
      </c>
      <c r="F67" s="4" t="str">
        <v>Tanzania, United Republic</v>
      </c>
      <c r="G67" s="5">
        <v>1</v>
      </c>
      <c r="H67" s="5">
        <v>13757</v>
      </c>
      <c r="I67" s="4" t="str">
        <v>gat</v>
      </c>
      <c r="J67" s="4">
        <v>8515</v>
      </c>
    </row>
    <row r="68" ht="50" customHeight="1">
      <c r="B68" s="4" t="str">
        <v>CIMMYT</v>
      </c>
      <c r="D68" s="4" t="str">
        <v>72-GATES W2 DLC.--------------------- CIMMYT.--------------------- CROP: Sorghum ESA W2 Gates.--------------------- BREEDING PIPELINE: Missing.--------------------- MARKET SEGMENT: Missing.--------------------- 2026 DELIVERABLE: Monitor farmer seed use and varietal replacement for sorghum to generate evidence for commercialization and future product design. ≥1 dataset.--------------------- INDICATOR: Number of datasets generated on seed adoption (use) by farmers</v>
      </c>
      <c r="E68" s="4" t="str">
        <v>custom</v>
      </c>
      <c r="F68" s="4" t="str">
        <v>Tanzania, United Republic</v>
      </c>
      <c r="G68" s="5">
        <v>1</v>
      </c>
      <c r="H68" s="5">
        <v>26986</v>
      </c>
      <c r="I68" s="4" t="str">
        <v>.</v>
      </c>
      <c r="J68" s="4">
        <v>8527</v>
      </c>
    </row>
    <row r="69" ht="50" customHeight="1">
      <c r="B69" s="4" t="str">
        <v>CIMMYT</v>
      </c>
      <c r="D69" s="4" t="str">
        <v>88-GATES W2 DLC.--------------------- CIMMYT.--------------------- CROP: Sorghum WCA W2 Gates.--------------------- BREEDING PIPELINE: BP00225, BP00226, BP00227, BP00228, BP00229.--------------------- MARKET SEGMENT: MS00673/MS01241, MS00400/MS01242, MS00681/MS01243, MS00674, MS00675.--------------------- HIGH LEVEL OUTPUT STATEMENT:    Evidence-based decision-making systems established to guide scaling and continuous improvement.--------------------- 2026 DELIVERABLE: Missing.--------------------- INDICATOR: Number of datasets developed</v>
      </c>
      <c r="E69" s="4" t="str">
        <v>custom</v>
      </c>
      <c r="F69" s="4" t="str">
        <v>Tanzania, United Republic</v>
      </c>
      <c r="G69" s="5">
        <v>1</v>
      </c>
      <c r="H69" s="5">
        <v>21828</v>
      </c>
      <c r="I69" s="4" t="str">
        <v>.</v>
      </c>
      <c r="J69" s="4">
        <v>8535</v>
      </c>
    </row>
    <row r="70" ht="50" customHeight="1" xml:space="preserve">
      <c r="A70" s="4" t="str">
        <v>AOW03: Inclusive Delivery</v>
      </c>
      <c r="B70" s="4" t="str">
        <v>CIMMYT</v>
      </c>
      <c r="C70" s="4" t="str">
        <v>HLO13.AOW3.IO5 Power seed scaling</v>
      </c>
      <c r="D70" s="4" t="str" xml:space="preserve">
        <v xml:space="preserve">13-GATES W2 DLC.--------------------- CIMMYT.--------------------- CROP: Groundnut ESA W2 Gates.--------------------- BREEDING PIPELINE: BP000145 ; BP00146  .--------------------- MARKET SEGMENT: MS00388/MS00393, TPP00413/TPP00416 and MS00390/MS00395, TPP00414/TPP00417.--------------------- HIGH LEVEL OUTPUT STATEMENT:    System enablers for scaling BT products developed and strengthened through strategic partnerships, capacity strengthening, policy recommendations, and gender and social inclusion strategies..--------------------- 2026 DELIVERABLE: 1. Implement recommendations from baseline assessments of licensing procedures in priority countries. ≥2 licensing improvement actions implemented. 
2. Strengthen the licensing environment through stakeholder engagement, policy dialogue, and institutional support. Licensing environment strengthened in ≥1 country.
3.  Facilitate multi-stakeholder licensing dialogue and develop action plans to improve private-sector participation in groundnut variety licensing. ≥1 licensing dialogue and action plan completed..--------------------- INDICATOR: Number of knowledge products developed (disaggregated by type;report)</v>
      </c>
      <c r="E70" s="4" t="str">
        <v>Number of knowledge products</v>
      </c>
      <c r="F70" s="4" t="str">
        <v>Tanzania, United Republic</v>
      </c>
      <c r="G70" s="5">
        <v>1</v>
      </c>
      <c r="H70" s="5">
        <v>18862</v>
      </c>
      <c r="I70" s="4" t="str" xml:space="preserve">
        <v xml:space="preserve">
gates</v>
      </c>
      <c r="J70" s="4">
        <v>8483</v>
      </c>
    </row>
    <row r="71" ht="50" customHeight="1" xml:space="preserve">
      <c r="B71" s="4" t="str">
        <v>CIMMYT</v>
      </c>
      <c r="D71" s="4" t="str">
        <v>31-GATES W2 DLC.--------------------- CIMMYT.--------------------- CROP: Groundnut WCA W2 Gates.--------------------- BREEDING PIPELINE: BP00143 &amp; BP00144.--------------------- MARKET SEGMENT: MS00630/TPP00338, MS00631/TPP00365.--------------------- HIGH LEVEL OUTPUT STATEMENT:    ▪ Effective partnerships, institutional capacities, and enabling environments are strengthened to accelerate commercialization and scaling of breakthrough products (RosetteGuardSD/MD and Afla-RosetteGuardSD/MD)..--------------------- 2026 DELIVERABLE: Innovative seed delivery model piloted in Mali with at least 2 partners At least 3 MSPs in Ghana, Burkina Faso, Nigeria strengthened and made operational for scaling groundnut varieties. ▪ Licensing systems explored in Mali, Ghana, Nigeria to support commercialization ▪ Technical, business and organizational capacities of 50 seed sector stakeholders enhanced to support seed systems functioning..--------------------- INDICATOR: Number of knowledge products developed (disaggregated by type;report)</v>
      </c>
      <c r="E71" s="4" t="str">
        <v>Number of knowledge products</v>
      </c>
      <c r="F71" s="4" t="str">
        <v>Tanzania, United Republic</v>
      </c>
      <c r="G71" s="5">
        <v>1</v>
      </c>
      <c r="H71" s="5">
        <v>79835</v>
      </c>
      <c r="I71" s="4" t="str" xml:space="preserve">
        <v xml:space="preserve">
gates</v>
      </c>
      <c r="J71" s="4">
        <v>8496</v>
      </c>
    </row>
    <row r="72" ht="50" customHeight="1" xml:space="preserve">
      <c r="B72" s="4" t="str">
        <v>CIMMYT</v>
      </c>
      <c r="D72" s="4" t="str" xml:space="preserve">
        <v xml:space="preserve">55-GATES W2 DLC.--------------------- CIMMYT.--------------------- CROP: Pearl Millet W2 Gates.--------------------- BREEDING PIPELINE: BP00139,
BP00140,
BP00141,
BP00162.--------------------- MARKET SEGMENT: MS00641/TPP00319
MS00643/TPP00329
MS00644/TPP00330
MS00925/TPP00411
MS00950/TPP00414.--------------------- HIGH LEVEL OUTPUT STATEMENT:    Strong partnerships and coordination mechanisms established to support scaling of hybrid seed
Technical capacity of seed system actors strengthened to produce and deliver quality hybrid seed.--------------------- 2026 DELIVERABLE: 3.4.1 The capacity of at least 2 partners built to implement innovative delivery models tailored for crop/country context.
3.4.2 Knowledge of seed sector stakeholders in at least two countries enhanced in variety licensing 
3.4.3 At least one royalty-based licensing agreement developed with a seed company. 
3.4.4 Capacities of at least 30 seed companies and NARS/producers and seed unit personnel built in hybrid seed production. 
3.4.5 Seed companies profiled per country to assess readiness for testing, producing and marketing pearl millet varieties/hybrids.
.--------------------- INDICATOR: Number of knowledge products developed (disaggregated by type ;report,crop,country,blog article)</v>
      </c>
      <c r="E72" s="4" t="str">
        <v>Number of knowledge products</v>
      </c>
      <c r="F72" s="4" t="str">
        <v>Tanzania, United Republic</v>
      </c>
      <c r="G72" s="5">
        <v>1</v>
      </c>
      <c r="H72" s="5">
        <v>41272</v>
      </c>
      <c r="I72" s="4" t="str">
        <v>.</v>
      </c>
      <c r="J72" s="4">
        <v>8516</v>
      </c>
    </row>
    <row r="73" ht="50" customHeight="1" xml:space="preserve">
      <c r="B73" s="4" t="str">
        <v>CIMMYT</v>
      </c>
      <c r="D73" s="4" t="str" xml:space="preserve">
        <v xml:space="preserve">73-GATES W2 DLC.--------------------- CIMMYT.--------------------- CROP: Sorghum ESA W2 Gates.--------------------- BREEDING PIPELINE: Missing.--------------------- MARKET SEGMENT: Missing.--------------------- 2026 DELIVERABLE: 1. Implement recommendations from baseline assessments of commercialization and licensing systems in priority countries. ≥2 actions
 2. Facilitate targeted engagement with seed companies to promote the licensing and commercialization of breakthrough sorghum products. ≥1 engagement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;report,crop,country,blog article)</v>
      </c>
      <c r="E73" s="4" t="str">
        <v>Number of knowledge products</v>
      </c>
      <c r="F73" s="4" t="str">
        <v>Tanzania, United Republic</v>
      </c>
      <c r="G73" s="5">
        <v>1</v>
      </c>
      <c r="H73" s="5">
        <v>25986</v>
      </c>
      <c r="I73" s="4" t="str">
        <v>.</v>
      </c>
      <c r="J73" s="4">
        <v>8528</v>
      </c>
    </row>
    <row r="74" ht="50" customHeight="1" xml:space="preserve">
      <c r="B74" s="4" t="str">
        <v>CIMMYT</v>
      </c>
      <c r="D74" s="4" t="str" xml:space="preserve">
        <v xml:space="preserve">89-GATES W2 DLC.--------------------- CIMMYT.--------------------- CROP: Sorghum WCA W2 Gates.--------------------- BREEDING PIPELINE: BP00225, BP00226, BP00227, BP00228, BP00229.--------------------- MARKET SEGMENT: MS00673/MS01241, MS00400/MS01242, MS00681/MS01243, MS00674, MS00675.--------------------- HIGH LEVEL OUTPUT STATEMENT:    Strong partnerships and coordination mechanisms established to support scaling of hybrid seed
Technical capacity of seed system actors strengthened to produce and deliver quality hybrid seed.--------------------- 2026 DELIVERABLE: &gt;=30 seed-sector personnel trained across WCA countries, Senegal, Mali, Burkina Faso and Nigeria. &gt;=10 seed companies profiled for readiness for testing, producing and marketing sorghum varieties/hybrids At least 1 innovative delivery model piloted with at least 2 partners in in Mali and Nigeria.--------------------- INDICATOR: Number of people trained (disaggregated by type of training, country, institutions)</v>
      </c>
      <c r="E74" s="4" t="str">
        <v>Number of people trained (capacity sharing for development)</v>
      </c>
      <c r="F74" s="4" t="str">
        <v>Tanzania, United Republic</v>
      </c>
      <c r="G74" s="5">
        <v>30</v>
      </c>
      <c r="H74" s="5">
        <v>70162</v>
      </c>
      <c r="I74" s="4" t="str">
        <v>.</v>
      </c>
      <c r="J74" s="4">
        <v>8536</v>
      </c>
    </row>
    <row r="75" ht="25" customHeight="1">
      <c r="C75" s="9" t="str">
        <v>HLO budget subtotal</v>
      </c>
      <c r="H75" s="9">
        <v>2393610</v>
      </c>
      <c r="J75" s="9" t="str">
        <v/>
      </c>
    </row>
    <row r="76" ht="50" customHeight="1">
      <c r="A76" s="8" t="str">
        <v>AOW04: Breeding Resources</v>
      </c>
      <c r="B76" s="4" t="str">
        <v>CIMMYT</v>
      </c>
      <c r="C76" s="4" t="str">
        <v>HLO17.AOW4.IO3 FAIR principles</v>
      </c>
      <c r="D76" s="4" t="str">
        <v>146---. ---- CIMMYT - CROP AGNOSTIC (Pilot interoperability across breeding, agronomy and genebank systems)--------------.-----------ACTIVITY DESCRIPTION: Note: this is a cross cutting software development. Once developed, all EBS users will be have the data connectivity..-----------BREEDING PIPELINE: Global.-----------MARKET SEGMENT: Global.-----------INDICATOR: Number of tools and services offered</v>
      </c>
      <c r="E76" s="4" t="str">
        <v>custom</v>
      </c>
      <c r="F76" s="4" t="str">
        <v>Mexico, Kenya, Philippines</v>
      </c>
      <c r="G76" s="5">
        <v>3</v>
      </c>
      <c r="H76" s="5">
        <v>200000</v>
      </c>
      <c r="I76" s="4" t="str">
        <v>.</v>
      </c>
      <c r="J76" s="4">
        <v>4722</v>
      </c>
    </row>
    <row r="77" ht="50" customHeight="1" xml:space="preserve">
      <c r="B77" s="4" t="str">
        <v>CIMMYT</v>
      </c>
      <c r="D77" s="4" t="str" xml:space="preserve">
        <v xml:space="preserve">16-GATES W2 DLC.--------------------- CIMMYT.--------------------- CROP: Groundnut ESA W2 Gates.--------------------- BREEDING PIPELINE: BP000145 ; BP00146  .--------------------- MARKET SEGMENT: MS00388/MS00393, TPP00413/TPP00416 and MS00390/MS00395, TPP00414/TPP00417.---------------------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Demonstration of the GF stipuations in a report or otherwise</v>
      </c>
      <c r="E77" s="4" t="str">
        <v>Number of knowledge products</v>
      </c>
      <c r="F77" s="4" t="str">
        <v>Tanzania, United Republic</v>
      </c>
      <c r="G77" s="5">
        <v>1</v>
      </c>
      <c r="H77" s="5">
        <v>35689</v>
      </c>
      <c r="I77" s="4" t="str">
        <v>.</v>
      </c>
      <c r="J77" s="4">
        <v>8484</v>
      </c>
    </row>
    <row r="78" ht="50" customHeight="1" xml:space="preserve">
      <c r="B78" s="4" t="str">
        <v>CIMMYT</v>
      </c>
      <c r="D78" s="4" t="str" xml:space="preserve">
        <v xml:space="preserve">36-GATES W2 DLC.--------------------- CIMMYT.--------------------- CROP: Groundnut WCA W2 Gates.--------------------- BREEDING PIPELINE: BP00143 &amp; BP00145.--------------------- MARKET SEGMENT: MS00630/TPP00338, MS00631/TPP00366.---------------------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KP that outlines how the GF asks have been addressed</v>
      </c>
      <c r="E78" s="4" t="str">
        <v>Number of knowledge products</v>
      </c>
      <c r="F78" s="4" t="str">
        <v>Tanzania, United Republic</v>
      </c>
      <c r="G78" s="5">
        <v>1</v>
      </c>
      <c r="H78" s="5">
        <v>82690</v>
      </c>
      <c r="I78" s="4" t="str">
        <v>,</v>
      </c>
      <c r="J78" s="4">
        <v>8501</v>
      </c>
    </row>
    <row r="79" ht="50" customHeight="1" xml:space="preserve">
      <c r="B79" s="4" t="str">
        <v>CIMMYT</v>
      </c>
      <c r="D79" s="4" t="str" xml:space="preserve">
        <v xml:space="preserve">57-GATES W2 DLC.--------------------- CIMMYT.--------------------- CROP: Pearl Millet W2 Gates.--------------------- BREEDING PIPELINE: BP00139,
BP00140,
BP00141,
BP00158.--------------------- MARKET SEGMENT: MS00641/TPP00319
MS00643/TPP00329
MS00644/TPP00330
MS00925/TPP00411
MS00950/TPP00410.---------------------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5. Annual progress toward the funded Target Product Profile is assessed through the Breakthrough Product Pipeline Performance Report (Appendix 1, Sections C and D), in accordance with B4T Data Management Standards (Appendix 1)..--------------------- INDICATOR: Number of people trained (disaggregated by type of training; participating institution)</v>
      </c>
      <c r="E79" s="4" t="str">
        <v>Number of people trained (capacity sharing for development)</v>
      </c>
      <c r="F79" s="4" t="str">
        <v>Tanzania, United Republic</v>
      </c>
      <c r="G79" s="5">
        <v>25</v>
      </c>
      <c r="H79" s="5">
        <v>6879</v>
      </c>
      <c r="I79" s="4" t="str">
        <v>.</v>
      </c>
      <c r="J79" s="4">
        <v>8517</v>
      </c>
    </row>
    <row r="80" ht="50" customHeight="1" xml:space="preserve">
      <c r="B80" s="4" t="str">
        <v>CIMMYT</v>
      </c>
      <c r="D80" s="4" t="str" xml:space="preserve">
        <v xml:space="preserve">60-GATES W2 DLC.--------------------- CIMMYT.--------------------- CROP: Pearl Millet W2 Gates.--------------------- BREEDING PIPELINE: BP00139,
BP00140,
BP00141,
BP00159.--------------------- MARKET SEGMENT: MS00641/TPP00319
MS00643/TPP00329
MS00644/TPP00330
MS00925/TPP00411
MS00950/TPP00411.---------------------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data management framework)</v>
      </c>
      <c r="E80" s="4" t="str">
        <v>Number of knowledge products</v>
      </c>
      <c r="F80" s="4" t="str">
        <v>Tanzania, United Republic</v>
      </c>
      <c r="G80" s="5">
        <v>1</v>
      </c>
      <c r="H80" s="5">
        <v>54000</v>
      </c>
      <c r="I80" s="4" t="str">
        <v>.</v>
      </c>
      <c r="J80" s="4">
        <v>8520</v>
      </c>
    </row>
    <row r="81" ht="50" customHeight="1" xml:space="preserve">
      <c r="B81" s="4" t="str">
        <v>CIMMYT</v>
      </c>
      <c r="D81" s="4" t="str" xml:space="preserve">
        <v xml:space="preserve">77-GATES W2 DLC.--------------------- CIMMYT.--------------------- CROP: Sorghum ESA W2 Gates.--------------------- BREEDING PIPELINE: BP00148
BP00149
BP00150
BP00151.--------------------- MARKET SEGMENT: MS00665/TPP00388
MS00666/TPP00389
MS00661/TPP00391
MS00667/TPP00400
MS00662/TPP00390
MS00672/TPP00392
MS00918
MS00663/TPP00394
MS00664/TPP00395.---------------------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data management framework)</v>
      </c>
      <c r="E81" s="4" t="str">
        <v>Number of knowledge products</v>
      </c>
      <c r="F81" s="4" t="str">
        <v>Tanzania, United Republic</v>
      </c>
      <c r="G81" s="5">
        <v>1</v>
      </c>
      <c r="H81" s="5">
        <v>54000</v>
      </c>
      <c r="I81" s="4" t="str">
        <v>.</v>
      </c>
      <c r="J81" s="4">
        <v>8529</v>
      </c>
    </row>
    <row r="82" ht="50" customHeight="1" xml:space="preserve">
      <c r="B82" s="4" t="str">
        <v>CIMMYT</v>
      </c>
      <c r="D82" s="4" t="str" xml:space="preserve">
        <v xml:space="preserve">91-GATES W2 DLC.--------------------- CIMMYT.--------------------- CROP: Sorghum WCA W2 Gates.--------------------- BREEDING PIPELINE: BP00225, BP00226, BP00227, BP00228, BP00229.--------------------- MARKET SEGMENT: MS00673/MS01241, MS00400/MS01242, MS00681/MS01243, MS00674, MS00675.---------------------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Research teams consistently apply standardized trait dictionaries and metadata standards across all experiments, resulting in harmonized, high-quality datasets across breeding programs.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breeding datasets meeting FAIR-compliant metadata standards</v>
      </c>
      <c r="E82" s="4" t="str">
        <v>custom</v>
      </c>
      <c r="F82" s="4" t="str">
        <v>Tanzania, United Republic</v>
      </c>
      <c r="G82" s="5">
        <v>1</v>
      </c>
      <c r="H82" s="5">
        <v>7796</v>
      </c>
      <c r="I82" s="4" t="str">
        <v>.</v>
      </c>
      <c r="J82" s="4">
        <v>8538</v>
      </c>
    </row>
    <row r="83" ht="50" customHeight="1" xml:space="preserve">
      <c r="B83" s="4" t="str">
        <v>CIMMYT</v>
      </c>
      <c r="D83" s="4" t="str" xml:space="preserve">
        <v xml:space="preserve">94-GATES W2 DLC.--------------------- CIMMYT.--------------------- CROP: Sorghum WCA W2 Gates.--------------------- BREEDING PIPELINE: BP00225, BP00226, BP00227, BP00228, BP00229.--------------------- MARKET SEGMENT: MS00673/MS01241, MS00400/MS01242, MS00681/MS01243, MS00674, MS00675.---------------------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(dissagregated by type ;data management framework)</v>
      </c>
      <c r="E83" s="4" t="str">
        <v>Number of knowledge products</v>
      </c>
      <c r="F83" s="4" t="str">
        <v>Tanzania, United Republic</v>
      </c>
      <c r="G83" s="5">
        <v>1</v>
      </c>
      <c r="H83" s="5">
        <v>54000</v>
      </c>
      <c r="I83" s="4" t="str">
        <v>.</v>
      </c>
      <c r="J83" s="4">
        <v>8541</v>
      </c>
    </row>
    <row r="84" ht="50" customHeight="1">
      <c r="A84" s="4" t="str">
        <v>AOW04: Breeding Resources</v>
      </c>
      <c r="B84" s="4" t="str">
        <v>CIMMYT</v>
      </c>
      <c r="C84" s="4" t="str">
        <v>HLO15.AOW4.IO2 Hub &amp; spoke scaling</v>
      </c>
      <c r="D84" s="4" t="str">
        <v>107---. ---- CIMMYT (wheat, maize, sorghum, finger millet, pearl millet, pigeon pea, groundnut, chickpea ) - ------.-----------ACTIVITY DESCRIPTION: CIMMYT data team provide backstopping support for EBS and Bioflow for CIMMYT breeding programs by acting as a hub responding to requests from colleagues across the globe..-----------BREEDING PIPELINE: BP00001, BP00002, BP00003, BP00004, BP00005 (wheat), BP00029, BP00032, BP00033, BP00125 (maize), P00149, BP00225, BP00226 (Sorghum),  BP00227, BP00139 BP00139, BP00140 (P. Millet), BP00152, BP00153 (F. Millet), BP00147, BP00143, BP00144 (Groundnut).-----------MARKET SEGMENT: MS00355, MS00356, MS00373, MS00375 (maize), MS00700, M00701, MS00702, MS00709, M00710, MS00711,MS01031, MS01032 (wheat), MS00665,MS00661, MS00400,MS00673, MS00681 (Sorghum),  MS00648, MS00641, MS00643 (P. Millet), MS00652, MS00655 (F. millet),    MS00392, MS00397, MS00630, MS00631 (Groundnut), MS00695, MS0696 (Pigeon Pea).-----------INDICATOR: Number of tools and services</v>
      </c>
      <c r="E84" s="4" t="str">
        <v>custom</v>
      </c>
      <c r="F84" s="4" t="str">
        <v>Zimbabwe, India, Kenya, Mexico</v>
      </c>
      <c r="G84" s="5">
        <v>1</v>
      </c>
      <c r="H84" s="5">
        <v>56496</v>
      </c>
      <c r="I84" s="4" t="str">
        <v>.</v>
      </c>
      <c r="J84" s="4">
        <v>4836</v>
      </c>
    </row>
    <row r="85" ht="50" customHeight="1">
      <c r="B85" s="4" t="str">
        <v>CIMMYT</v>
      </c>
      <c r="D85" s="4" t="str">
        <v>108---. ---------------------CIMMYT (CROP AGNOSTIC)CGIAR Centers Breeding Operations Assessments conducted and technical support -----.-----------ACTIVITY DESCRIPTION: This is a joint activity across multiple CG centers.-----------BREEDING PIPELINE: Global.-----------MARKET SEGMENT: Global.-----------INDICATOR: Number of assesments conducted</v>
      </c>
      <c r="E85" s="4" t="str">
        <v>custom</v>
      </c>
      <c r="F85" s="4" t="str">
        <v>Mexico, Senegal, Kenya</v>
      </c>
      <c r="G85" s="5">
        <v>500</v>
      </c>
      <c r="H85" s="5">
        <v>100000</v>
      </c>
      <c r="I85" s="4" t="str">
        <v>.</v>
      </c>
      <c r="J85" s="4">
        <v>4837</v>
      </c>
    </row>
    <row r="86" ht="50" customHeight="1">
      <c r="B86" s="4" t="str">
        <v>CIMMYT</v>
      </c>
      <c r="D86" s="4" t="str">
        <v xml:space="preserve">109---. ----- CIMMYT - CROP AGNOSTIC (Develop and deploy SOPs, QC protocols and cost-recovery model)----.-----------ACTIVITY DESCRIPTION: This is a joint activity across multiple CG centers.-----------BREEDING PIPELINE: Global.-----------MARKET SEGMENT: Global.-----------INDICATOR: Number of SOPs/protocols developed </v>
      </c>
      <c r="E86" s="4" t="str">
        <v>custom</v>
      </c>
      <c r="F86" s="4" t="str">
        <v>Mexico, Senegal, Kenya</v>
      </c>
      <c r="G86" s="5">
        <v>2</v>
      </c>
      <c r="H86" s="5">
        <v>80000</v>
      </c>
      <c r="I86" s="4" t="str">
        <v>.</v>
      </c>
      <c r="J86" s="4">
        <v>4838</v>
      </c>
    </row>
    <row r="87" ht="50" customHeight="1">
      <c r="B87" s="4" t="str">
        <v>CIMMYT</v>
      </c>
      <c r="D87" s="4" t="str">
        <v>112---.-----------------------------------CRITICAL CAPABILITIES - CIMMYT - CROP AGNOSTIC - (EBS and Bioflow Backstopping) -------------.-----------ACTIVITY DESCRIPTION: CIMMYT data team provide backstopping support for EBS and Bioflow for CGIAR breeding programs by acting as a hub responding to requests from colleagues in 7 priority African countries.-----------BREEDING PIPELINE: Multi-crop, multi-pipeline (details under discussion, project is country-based).-----------MARKET SEGMENT: Multi-crop, multi-pipeline (details under discussion, project is country-based).-----------INDICATOR: Number of High-capacity partners acting as central hub, providing breeding network support services to less resourced partners</v>
      </c>
      <c r="E87" s="4" t="str">
        <v>custom</v>
      </c>
      <c r="F87" s="4" t="str">
        <v>Kenya, Mexico</v>
      </c>
      <c r="G87" s="5">
        <v>1</v>
      </c>
      <c r="H87" s="5">
        <v>80000</v>
      </c>
      <c r="I87" s="4" t="str">
        <v>.</v>
      </c>
      <c r="J87" s="4">
        <v>4841</v>
      </c>
    </row>
    <row r="88" ht="50" customHeight="1" xml:space="preserve">
      <c r="B88" s="4" t="str">
        <v>CIMMYT</v>
      </c>
      <c r="D88" s="4" t="str" xml:space="preserve">
        <v xml:space="preserve">116---.
---------------------CIMMYT (CROP AGNOSTIC) Expand EBS adoption across CGIAR-NARES networks -----.-----------ACTIVITY DESCRIPTION: .-----------BREEDING PIPELINE: Global.-----------MARKET SEGMENT: Global.-----------INDICATOR: Number of tools and services</v>
      </c>
      <c r="E88" s="4" t="str">
        <v>custom</v>
      </c>
      <c r="F88" s="4" t="str">
        <v>Philippines, Kenya, Mexico</v>
      </c>
      <c r="G88" s="5">
        <v>750</v>
      </c>
      <c r="H88" s="5">
        <v>250000</v>
      </c>
      <c r="I88" s="4" t="str">
        <v>.</v>
      </c>
      <c r="J88" s="4">
        <v>4845</v>
      </c>
    </row>
    <row r="89" ht="50" customHeight="1">
      <c r="B89" s="4" t="str">
        <v>CIMMYT</v>
      </c>
      <c r="D89" s="4" t="str">
        <v>117---. ----- CIMMYT - CROP AGNOSTIC - (South Asia Elemental Analysis Hub strengthened with QMS and SOPs) ------------------.-----------ACTIVITY DESCRIPTION: .-----------BREEDING PIPELINE: Global.-----------MARKET SEGMENT: Global.-----------INDICATOR: Number of tools and services</v>
      </c>
      <c r="E89" s="4" t="str">
        <v>custom</v>
      </c>
      <c r="F89" s="4" t="str">
        <v>India</v>
      </c>
      <c r="G89" s="5">
        <v>1</v>
      </c>
      <c r="H89" s="5">
        <v>75000</v>
      </c>
      <c r="I89" s="4" t="str">
        <v>.</v>
      </c>
      <c r="J89" s="4">
        <v>4846</v>
      </c>
    </row>
    <row r="90" ht="50" customHeight="1" xml:space="preserve">
      <c r="B90" s="4" t="str">
        <v>CIMMYT</v>
      </c>
      <c r="D90" s="4" t="str" xml:space="preserve">
        <v xml:space="preserve">33-GATES W2 DLC.--------------------- CIMMYT.--------------------- CROP: Groundnut WCA W2 Gates.--------------------- BREEDING PIPELINE: BP00143 &amp; BP00144.--------------------- MARKET SEGMENT: MS00630/TPP00338, MS00631/TPP00365.--------------------- HIGH LEVEL OUTPUT STATEMENT:    ▪ CIMMYT and NARES supported to fully adopt EBS for data management of breakthrough products (RosetteGuardSD/MD and Afla-RosetteGuardSD/MD) development..--------------------- 2026 DELIVERABLE: Backstopping and support in place for 7 NARES partners for EBS and Bioflow. 
1. Data impedance is mitigated through implementation of HLO17 FAIR principles commitments, supporting readiness for future program assessments.
Annual progress toward the funded Target Product Profile is assessed through the Breakthrough Product Pipeline Performance Report (Appendix 1, Sections C and D), in accordance with B4T Data Management Standards (Appendix 1).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people trained (disaggregated by type of training; participating institution)</v>
      </c>
      <c r="E90" s="4" t="str">
        <v>Number of people trained (capacity sharing for development)</v>
      </c>
      <c r="F90" s="4" t="str">
        <v>Tanzania, United Republic</v>
      </c>
      <c r="G90" s="5">
        <v>1</v>
      </c>
      <c r="H90" s="5">
        <v>11405</v>
      </c>
      <c r="I90" s="4" t="str">
        <v>.</v>
      </c>
      <c r="J90" s="4">
        <v>8498</v>
      </c>
    </row>
    <row r="91" ht="50" customHeight="1" xml:space="preserve">
      <c r="B91" s="4" t="str">
        <v>CIMMYT</v>
      </c>
      <c r="D91" s="4" t="str" xml:space="preserve">
        <v xml:space="preserve">58-GATES W2 DLC.--------------------- CIMMYT.--------------------- CROP: Pearl Millet W2 Gates.--------------------- BREEDING PIPELINE: BP00139,
BP00140,
BP00141,
BP00158.--------------------- MARKET SEGMENT: MS00641/TPP00319
MS00643/TPP00329
MS00644/TPP00330
MS00925/TPP00411
MS00950/TPP00410.--------------------- HIGH LEVEL OUTPUT STATEMENT:    Establish a central hub to provide governance frameworks, standardized tools, and scalable digital platforms with integrated data analytics for decision support using BioFlow, while strengthening regional partners to adapt, co-develop, and deploy innovations through data-driven insights tailored to local contexts, and enabling local spokes to support field-level implementation via coordinated trials, real-time data capture, and analytics..--------------------- 2026 DELIVERABLE: 1. Central hub scales advanced analytics, interoperability, and decision-support systems.
2. Regional partners operationalize data-driven decision-making with integrated analytics.
3. Field-level actors achieve real-time data capture and analytics-informed implementation and scaling.
4. Data impedance is mitigated through implementation of HLO17 FAIR principles commitments, supporting readiness for future program assessments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6. Annual progress toward the funded Target Product Profile is assessed through the Breakthrough Product Pipeline Performance Report (Appendix 1, Sections C and D), in accordance with B4T Data Management Standards (Appendix 1).
.--------------------- INDICATOR: Number of breakthrough product pipelines integrated into the BioFlow reporting analytics pipeline and submitting quarterly performance reports</v>
      </c>
      <c r="E91" s="4" t="str">
        <v>custom</v>
      </c>
      <c r="F91" s="4" t="str">
        <v>Tanzania, United Republic</v>
      </c>
      <c r="G91" s="5">
        <v>1</v>
      </c>
      <c r="H91" s="5">
        <v>13757</v>
      </c>
      <c r="I91" s="4" t="str">
        <v>.</v>
      </c>
      <c r="J91" s="4">
        <v>8518</v>
      </c>
    </row>
    <row r="92" ht="50" customHeight="1" xml:space="preserve">
      <c r="B92" s="4" t="str">
        <v>CIMMYT</v>
      </c>
      <c r="D92" s="4" t="str" xml:space="preserve">
        <v xml:space="preserve">92-GATES W2 DLC.--------------------- CIMMYT.--------------------- CROP: Sorghum WCA W2 Gates.--------------------- BREEDING PIPELINE: BP00225, BP00226, BP00227, BP00228, BP00229.--------------------- MARKET SEGMENT: MS00673/MS01241, MS00400/MS01242, MS00681/MS01243, MS00674, MS00675.--------------------- HIGH LEVEL OUTPUT STATEMENT:    Establish a central hub to provide governance frameworks, standardized tools, and scalable digital platforms with integrated data analytics for decision support using BioFlow, while strengthening regional partners to adapt, co-develop, and deploy innovations through data-driven insights tailored to local contexts, and enabling local spokes to support field-level implementation via coordinated trials, real-time data capture, and analytics..--------------------- 2026 DELIVERABLE: i) Central hub scales advanced analytics, interoperability, and decision-support systems.
ii) Field-technicians trained on real-time data capture and analytics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partner organizations submitting data through BioFlow and the reporting analytics pipeline</v>
      </c>
      <c r="E92" s="4" t="str">
        <v>custom</v>
      </c>
      <c r="F92" s="4" t="str">
        <v>Tanzania, United Republic</v>
      </c>
      <c r="G92" s="5">
        <v>5</v>
      </c>
      <c r="H92" s="5">
        <v>24947</v>
      </c>
      <c r="I92" s="4" t="str">
        <v>.</v>
      </c>
      <c r="J92" s="4">
        <v>8539</v>
      </c>
    </row>
    <row r="93" ht="50" customHeight="1">
      <c r="A93" s="4" t="str">
        <v>AOW04: Breeding Resources</v>
      </c>
      <c r="B93" s="4" t="str">
        <v>CIMMYT</v>
      </c>
      <c r="C93" s="4" t="str">
        <v>HLO16.AOW4.IO3 Shared services</v>
      </c>
      <c r="D93" s="4" t="str">
        <v>A portfolio of connected tools and services that collectively meet current and emerging needs for modernized breeding is made available to breeding networks ---------------------CIMMYT (CROP AGNOSTIC) Upgrade CGIAR genotyping QA/QC workflows, forecast planning and quality control</v>
      </c>
      <c r="E93" s="4" t="str">
        <v>custom</v>
      </c>
      <c r="F93" s="4" t="str">
        <v>India, Philippines, Mexico, Kenya</v>
      </c>
      <c r="G93" s="5">
        <v>1</v>
      </c>
      <c r="H93" s="5">
        <v>0</v>
      </c>
      <c r="I93" s="4" t="str">
        <v/>
      </c>
      <c r="J93" s="4">
        <v>4847</v>
      </c>
    </row>
    <row r="94" ht="50" customHeight="1">
      <c r="B94" s="4" t="str">
        <v>CIMMYT</v>
      </c>
      <c r="D94" s="4" t="str">
        <v>123---. ------------------------------- CIMMYT - CROP AGNOSTIC (Integrated Return on Investment methodology used in 2 priority breeding pipelines) - (CIMMYT_Breeding for Tomorrow_CC5 (ex. IRRI_Breeding for Tomorrow_05)) ----------------------.-----------ACTIVITY DESCRIPTION: Return on Investment methodology, developed in PORB 67, is used and validated in two priority breeding pipelines.-----------BREEDING PIPELINE: BP0003, BP00029.-----------MARKET SEGMENT: MS00701, MS00373.-----------INDICATOR: Number of services</v>
      </c>
      <c r="E94" s="4" t="str">
        <v>custom</v>
      </c>
      <c r="F94" s="4" t="str">
        <v>Ethiopia, Kenya</v>
      </c>
      <c r="G94" s="5">
        <v>2</v>
      </c>
      <c r="H94" s="5">
        <v>70587</v>
      </c>
      <c r="I94" s="4" t="str">
        <v>.</v>
      </c>
      <c r="J94" s="4">
        <v>4852</v>
      </c>
    </row>
    <row r="95" ht="50" customHeight="1">
      <c r="B95" s="4" t="str">
        <v>CIMMYT</v>
      </c>
      <c r="D95" s="4" t="str">
        <v>124---. ---- CIMMYT - CROP AGNOSTIC (Return on Investment estimation methodlogy developed, integrating quantitative genetics and market intelligence) - (CIMMYT_Breeding for Tomorrow_CC5 (ex. IRRI_Breeding for Tomorrow_05)) ----.-----------ACTIVITY DESCRIPTION: Return on Investment  methodology developed, integrating quantitative genetics and market intelligence, and report and recommendations prooduced..-----------BREEDING PIPELINE: Global.-----------MARKET SEGMENT: Global.-----------INDICATOR: Number of tools and services offered</v>
      </c>
      <c r="E95" s="4" t="str">
        <v>custom</v>
      </c>
      <c r="F95" s="4" t="str">
        <v>Mexico, Kenya</v>
      </c>
      <c r="G95" s="5">
        <v>1</v>
      </c>
      <c r="H95" s="5">
        <v>60000</v>
      </c>
      <c r="I95" s="4" t="str">
        <v>.</v>
      </c>
      <c r="J95" s="4">
        <v>4853</v>
      </c>
    </row>
    <row r="96" ht="50" customHeight="1">
      <c r="B96" s="4" t="str">
        <v>CIMMYT</v>
      </c>
      <c r="D96" s="4" t="str">
        <v>125---. ---- CRITICAL CAPABILITIES - CIMMYT - CROP AGNOSTIC (Mapping future climate scenarios for CGIAR crops in Africa: future TPEs, risks, and altered cropping systems.) ----.-----------ACTIVITY DESCRIPTION: Maps of future climate and crop suitability in Africa plus a report on the most likely cropping system scenarios for priority African countries in 2045, and the implications for CIMMYT crop TPEs and TPPs. .-----------BREEDING PIPELINE: Africa.-----------MARKET SEGMENT: Africa.-----------INDICATOR: Number of tools and services offered</v>
      </c>
      <c r="E96" s="4" t="str">
        <v>custom</v>
      </c>
      <c r="F96" s="4" t="str">
        <v>Mexico</v>
      </c>
      <c r="G96" s="5">
        <v>1</v>
      </c>
      <c r="H96" s="5">
        <v>80000</v>
      </c>
      <c r="I96" s="4" t="str">
        <v>.</v>
      </c>
      <c r="J96" s="4">
        <v>4854</v>
      </c>
    </row>
    <row r="97" ht="50" customHeight="1" xml:space="preserve">
      <c r="B97" s="4" t="str">
        <v>CIMMYT</v>
      </c>
      <c r="D97" s="4" t="str" xml:space="preserve">
        <v xml:space="preserve">126---. ---- CRITICAL CAPABILITIES - CIMMYT - CROP AGNOSTIC (High resolution environmental data extraction service developed and validated) ----.-----------ACTIVITY DESCRIPTION: Provision of a CGIAR-wide service of automatized environmental data extraction for any breeding site globally, for incoporation of environmental data in breeding protocols..-----------BREEDING PIPELINE: Global.-----------MARKET SEGMENT: Global.-----------INDICATOR: Number of tools and services offered	
</v>
      </c>
      <c r="E97" s="4" t="str">
        <v>custom</v>
      </c>
      <c r="F97" s="4" t="str">
        <v>Mexico</v>
      </c>
      <c r="G97" s="5">
        <v>1</v>
      </c>
      <c r="H97" s="5">
        <v>40000</v>
      </c>
      <c r="I97" s="4" t="str">
        <v>.</v>
      </c>
      <c r="J97" s="4">
        <v>4855</v>
      </c>
    </row>
    <row r="98" ht="50" customHeight="1" xml:space="preserve">
      <c r="B98" s="4" t="str">
        <v>CIMMYT</v>
      </c>
      <c r="D98" s="4" t="str" xml:space="preserve">
        <v xml:space="preserve">127---.---------INDICATOR Number of people trained
 ----.-----------ACTIVITY DESCRIPTION: (Users trained and have access to shared services).-----------BREEDING PIPELINE: Global.-----------MARKET SEGMENT: Global.-----------INDICATOR: Number of individuals from research or scaling partner organizations who attended CGIAR trainings</v>
      </c>
      <c r="E98" s="4" t="str">
        <v>Number of people trained (capacity sharing for development)</v>
      </c>
      <c r="F98" s="4" t="str">
        <v>Mexico, Philippines, Kenya</v>
      </c>
      <c r="G98" s="5">
        <v>100</v>
      </c>
      <c r="H98" s="5">
        <v>29311</v>
      </c>
      <c r="I98" s="4" t="str">
        <v>.</v>
      </c>
      <c r="J98" s="4">
        <v>4856</v>
      </c>
    </row>
    <row r="99" ht="50" customHeight="1">
      <c r="B99" s="4" t="str">
        <v>CIMMYT</v>
      </c>
      <c r="D99" s="4" t="str">
        <v xml:space="preserve">138---. ---------------- CRITICAL CAPABILITIES - CIMMYT - CROP AGNOSTIC - (EBS and Bioflow Capacity Sharing)  ----------------------------.-----------ACTIVITY DESCRIPTION: Provide initial training in EBS and Bioflow for EBS adoption for National Partners, training at least 50 individuals from research or scaling partner organizations across 7 priority African countries..-----------BREEDING PIPELINE: Multi-crop, multi-pipeline (details under discussion, project is country-based).-----------MARKET SEGMENT: Multi-crop, multi-pipeline (details under discussion, project is country-based).-----------INDICATOR: Number of people trained </v>
      </c>
      <c r="E99" s="4" t="str">
        <v>Number of people trained (capacity sharing for development)</v>
      </c>
      <c r="F99" s="4" t="str">
        <v>Mexico, Kenya</v>
      </c>
      <c r="G99" s="5">
        <v>50</v>
      </c>
      <c r="H99" s="5">
        <v>120000</v>
      </c>
      <c r="I99" s="4" t="str">
        <v>.</v>
      </c>
      <c r="J99" s="4">
        <v>4867</v>
      </c>
    </row>
    <row r="100" ht="50" customHeight="1" xml:space="preserve">
      <c r="B100" s="4" t="str">
        <v>CIMMYT</v>
      </c>
      <c r="D100" s="4" t="str" xml:space="preserve">
        <v xml:space="preserve">141---.---------CIMMYT (Users trained and have access to image analysis shared services and technical backstopping support) ----.-----------ACTIVITY DESCRIPTION: .-----------BREEDING PIPELINE: Global.-----------MARKET SEGMENT: Global.-----------INDICATOR: Number of people trained
</v>
      </c>
      <c r="E100" s="4" t="str">
        <v>Number of people trained (capacity sharing for development)</v>
      </c>
      <c r="F100" s="4" t="str">
        <v>Senegal, Kenya, Mexico</v>
      </c>
      <c r="G100" s="5">
        <v>100</v>
      </c>
      <c r="H100" s="5">
        <v>80000</v>
      </c>
      <c r="I100" s="4" t="str">
        <v>.</v>
      </c>
      <c r="J100" s="4">
        <v>4869</v>
      </c>
    </row>
    <row r="101" ht="50" customHeight="1">
      <c r="B101" s="4" t="str">
        <v>CIMMYT</v>
      </c>
      <c r="D101" s="4" t="str">
        <v>140---.---------CIMMYT (Users trained and have access to shared services and technical backstopping support) ----.-----------ACTIVITY DESCRIPTION: .-----------BREEDING PIPELINE: Global.-----------MARKET SEGMENT: Global.-----------INDICATOR: Number of people trained</v>
      </c>
      <c r="E101" s="4" t="str">
        <v>Number of people trained (capacity sharing for development)</v>
      </c>
      <c r="F101" s="4" t="str">
        <v>India, Philippines, Mexico, Kenya</v>
      </c>
      <c r="G101" s="5">
        <v>100</v>
      </c>
      <c r="H101" s="5">
        <v>87060</v>
      </c>
      <c r="I101" s="4" t="str">
        <v>.</v>
      </c>
      <c r="J101" s="4">
        <v>4870</v>
      </c>
    </row>
    <row r="102" ht="50" customHeight="1">
      <c r="B102" s="4" t="str">
        <v>CIMMYT</v>
      </c>
      <c r="D102" s="4" t="str">
        <v>142---. ---- CIMMYT - CROP AGNOSTIC - (Release BioFlow 2026 with enhanced QA/QC, MTA, DGI and mate-optimization modules) ----.-----------ACTIVITY DESCRIPTION: .-----------BREEDING PIPELINE: Global.-----------MARKET SEGMENT: Global.-----------INDICATOR: Number of tools and services offered</v>
      </c>
      <c r="E102" s="4" t="str">
        <v>custom</v>
      </c>
      <c r="F102" s="4" t="str">
        <v>Philippines, Kenya, Mexico</v>
      </c>
      <c r="G102" s="5">
        <v>1</v>
      </c>
      <c r="H102" s="5">
        <v>170000</v>
      </c>
      <c r="I102" s="4" t="str">
        <v>.</v>
      </c>
      <c r="J102" s="4">
        <v>4871</v>
      </c>
    </row>
    <row r="103" ht="50" customHeight="1">
      <c r="B103" s="4" t="str">
        <v>CIMMYT</v>
      </c>
      <c r="D103" s="4" t="str">
        <v>143---. ---- CIMMYT - CROP AGNOSTIC (Establish phenotyping platform as shared service) ----.-----------ACTIVITY DESCRIPTION: .-----------BREEDING PIPELINE: Global.-----------MARKET SEGMENT: Global.-----------INDICATOR: Number of tools and services offered</v>
      </c>
      <c r="E103" s="4" t="str">
        <v>Number of innovations (innovation development)</v>
      </c>
      <c r="F103" s="4" t="str">
        <v>Kenya, Senegal, Mexico</v>
      </c>
      <c r="G103" s="5">
        <v>1</v>
      </c>
      <c r="H103" s="5">
        <v>106949</v>
      </c>
      <c r="I103" s="4" t="str">
        <v>to be updated ---- new funding in 2026</v>
      </c>
      <c r="J103" s="4">
        <v>4872</v>
      </c>
    </row>
    <row r="104" ht="50" customHeight="1">
      <c r="B104" s="4" t="str">
        <v>CIMMYT</v>
      </c>
      <c r="D104" s="4" t="str">
        <v>118---. ---------------------CIMMYT (CROP AGNOSTIC).-----------ACTIVITY DESCRIPTION: Upgrade CGIAR genotyping QA/QC workflows, forecast planning and quality control.-----------BREEDING PIPELINE: Global.-----------MARKET SEGMENT: Global.-----------INDICATOR:  Number of tools and services</v>
      </c>
      <c r="E104" s="4" t="str">
        <v>custom</v>
      </c>
      <c r="F104" s="4" t="str">
        <v>Kenya, Philippines, India, Mexico</v>
      </c>
      <c r="G104" s="5">
        <v>1</v>
      </c>
      <c r="H104" s="5">
        <v>100000</v>
      </c>
      <c r="I104" s="4" t="str">
        <v>.</v>
      </c>
      <c r="J104" s="4">
        <v>8204</v>
      </c>
    </row>
    <row r="105" ht="50" customHeight="1" xml:space="preserve">
      <c r="B105" s="4" t="str">
        <v>CIMMYT</v>
      </c>
      <c r="D105" s="4" t="str" xml:space="preserve">
        <v xml:space="preserve">new-cimmyt-BR-1---. ---- CRITICAL CAPABILITIES - CIMMYT - CROP AGNOSTIC (Breeding Hub AI capabilities) ---- 
.-----------ACTIVITY DESCRIPTION: This is to develop AI capabilities to enhance usability of Breeding Hub.-----------BREEDING PIPELINE: Global.-----------MARKET SEGMENT: Global.-----------INDICATOR: Number of services</v>
      </c>
      <c r="E105" s="4" t="str">
        <v>custom</v>
      </c>
      <c r="F105" s="4" t="str">
        <v>United Kingdom of Great Britain and Northern Ireland</v>
      </c>
      <c r="G105" s="5">
        <v>1</v>
      </c>
      <c r="H105" s="5">
        <v>127000</v>
      </c>
      <c r="I105" s="4" t="str">
        <v>.</v>
      </c>
      <c r="J105" s="4">
        <v>8205</v>
      </c>
    </row>
    <row r="106" ht="50" customHeight="1" xml:space="preserve">
      <c r="B106" s="4" t="str">
        <v>CIMMYT</v>
      </c>
      <c r="D106" s="4" t="str" xml:space="preserve">
        <v xml:space="preserve">90-GATES W2 DLC.--------------------- CIMMYT.--------------------- CROP: Sorghum WCA W2 Gates.--------------------- BREEDING PIPELINE: BP00225, BP00226, BP00227, BP00228, BP00229.--------------------- MARKET SEGMENT: MS00673/MS01241, MS00400/MS01242, MS00681/MS01243, MS00674, MS00675.--------------------- HIGH LEVEL OUTPUT STATEMENT:    The breeding lines and F1 populations are systematically geneotyped using different set on markers.--------------------- 2026 DELIVERABLE: i) QA/QC for 1,200 samples
ii) Genotyping around 600 F4 lines with mid-density
iii) Generate GBS data for parents screened for anthracnose, striga, midge and headbug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samples processed through shared QA/QC and genotyping services</v>
      </c>
      <c r="E106" s="4" t="str">
        <v>custom</v>
      </c>
      <c r="F106" s="4" t="str">
        <v>Tanzania, United Republic</v>
      </c>
      <c r="G106" s="5">
        <v>1200</v>
      </c>
      <c r="H106" s="5">
        <v>35081</v>
      </c>
      <c r="I106" s="4" t="str">
        <v>.</v>
      </c>
      <c r="J106" s="4">
        <v>8537</v>
      </c>
    </row>
    <row r="107" ht="25" customHeight="1">
      <c r="C107" s="9" t="str">
        <v>HLO budget subtotal</v>
      </c>
      <c r="H107" s="9">
        <v>2292647</v>
      </c>
      <c r="J107" s="9" t="str">
        <v/>
      </c>
    </row>
    <row r="108" ht="50" customHeight="1">
      <c r="A108" s="8" t="str">
        <v>AOW05: Enable</v>
      </c>
      <c r="B108" s="4" t="str">
        <v>CIMMYT</v>
      </c>
      <c r="C108" s="4" t="str">
        <v>HLO20.AOW5.IO3 Assess performance</v>
      </c>
      <c r="D108" s="4" t="str">
        <v>164---Evaluation and assessment of performance data gathered by AOWS and any additional data gathering required to address gaps in the MELIA framework. Number of AoWs, with MELIA performance reports completed, addressing identified data gaps. CIMMYT - CROP AGNOSTIC - .-----------ACTIVITY DESCRIPTION: This is to cover updates and feature enhancement of Breeding Hub, updates on trait naming across systems.-----------BREEDING PIPELINE: .-----------MARKET SEGMENT: .-----------INDICATOR: Number of portfolio level performance dashboard made available</v>
      </c>
      <c r="E108" s="4" t="str">
        <v>custom</v>
      </c>
      <c r="F108" s="4" t="str">
        <v>Mexico</v>
      </c>
      <c r="G108" s="5">
        <v>1</v>
      </c>
      <c r="H108" s="5">
        <v>150000</v>
      </c>
      <c r="I108" s="4" t="str">
        <v>.</v>
      </c>
      <c r="J108" s="4">
        <v>4716</v>
      </c>
    </row>
    <row r="109" ht="50" customHeight="1">
      <c r="B109" s="4" t="str">
        <v>CIMMYT</v>
      </c>
      <c r="D109" s="4" t="str">
        <v>167---Evaluation and assessment of performance data gathered by AOWS and any additional data gathering required to address gaps in the MELIA framework. Number of AoWs, with MELIA performance reports completed, addressing identified data gaps. CIMMYT - CROP AGNOSTIC - .-----------ACTIVITY DESCRIPTION: Capability enhancement for Harmonized Crop Report.-----------BREEDING PIPELINE: .-----------MARKET SEGMENT: .-----------INDICATOR: Number of knowledge products</v>
      </c>
      <c r="E109" s="4" t="str">
        <v>custom</v>
      </c>
      <c r="F109" s="4" t="str">
        <v>Mexico</v>
      </c>
      <c r="G109" s="5">
        <v>1</v>
      </c>
      <c r="H109" s="5">
        <v>190787</v>
      </c>
      <c r="I109" s="4" t="str">
        <v>.</v>
      </c>
      <c r="J109" s="4">
        <v>4719</v>
      </c>
    </row>
    <row r="110" ht="50" customHeight="1">
      <c r="A110" s="4" t="str">
        <v>AOW05: Enable</v>
      </c>
      <c r="B110" s="4" t="str">
        <v>CIMMYT</v>
      </c>
      <c r="C110" s="4" t="str">
        <v>HLO18.AOW5.IO2 Partnered networks</v>
      </c>
      <c r="D110" s="4" t="str">
        <v>151---.----CIMMYT - CROP AGNOSTIC - (Network agreements with clearly defined and updated roles and responsibilities ) -----------.-----------ACTIVITY DESCRIPTION: This is to covenene CG NARES meetings, leading to updated network agreements.-----------BREEDING PIPELINE: .-----------MARKET SEGMENT: .-----------INDICATOR: Number of meetings conducted</v>
      </c>
      <c r="E110" s="4" t="str">
        <v>custom</v>
      </c>
      <c r="F110" s="4" t="str">
        <v>Kenya, Mexico</v>
      </c>
      <c r="G110" s="5">
        <v>20</v>
      </c>
      <c r="H110" s="5">
        <v>30000</v>
      </c>
      <c r="I110" s="4" t="str">
        <v>.</v>
      </c>
      <c r="J110" s="4">
        <v>4741</v>
      </c>
    </row>
    <row r="111" ht="50" customHeight="1">
      <c r="B111" s="4" t="str">
        <v>CIMMYT</v>
      </c>
      <c r="D111" s="4" t="str">
        <v>157---.----CIMMYT - CROP AGNOSTIC (Network assessments to support development of strategic improvement plans) ---------.-----------ACTIVITY DESCRIPTION: This is to conduct partner netwrok assessment.-----------BREEDING PIPELINE: .-----------MARKET SEGMENT: .-----------INDICATOR: Number of network assesments conducted</v>
      </c>
      <c r="E111" s="4" t="str">
        <v>custom</v>
      </c>
      <c r="F111" s="4" t="str">
        <v>Kenya, Mexico</v>
      </c>
      <c r="G111" s="5">
        <v>6</v>
      </c>
      <c r="H111" s="5">
        <v>40000</v>
      </c>
      <c r="I111" s="4" t="str">
        <v>.</v>
      </c>
      <c r="J111" s="4">
        <v>4747</v>
      </c>
    </row>
    <row r="112" ht="50" customHeight="1" xml:space="preserve">
      <c r="B112" s="4" t="str">
        <v>CIMMYT</v>
      </c>
      <c r="D112" s="4" t="str" xml:space="preserve">
        <v xml:space="preserve">05-GATES W2 DLC.--------------------- CIMMYT.--------------------- CROP: Groundnut ESA W2 Gates.--------------------- BREEDING PIPELINE: BP00145, BP00146.--------------------- MARKET SEGMENT: MS00388/MS00393, TPP00413/TPP00416 and MS00390/MS00395, TPP00414/TPP00417.--------------------- HIGH LEVEL OUTPUT STATEMENT:    Sharing breeding pipeline and jointly conducted multilocational trials using harmonized protocol.--------------------- 2026 DELIVERABLE: Second year regional trial with some of the material from partners in 14 locations, which were not part of first testing to update the founder line list [with how many entries?]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founder lines identified and added to the ESA groundnut founder line list following second-year regional trials conducted in 14 location</v>
      </c>
      <c r="E112" s="4" t="str">
        <v>Number of innovations (innovation development)</v>
      </c>
      <c r="F112" s="4" t="str">
        <v>Tanzania, United Republic</v>
      </c>
      <c r="G112" s="5">
        <v>20</v>
      </c>
      <c r="H112" s="5">
        <v>43865</v>
      </c>
      <c r="I112" s="4" t="str">
        <v>.</v>
      </c>
      <c r="J112" s="4">
        <v>8475</v>
      </c>
    </row>
    <row r="113" ht="50" customHeight="1">
      <c r="B113" s="4" t="str">
        <v>CIMMYT</v>
      </c>
      <c r="D113" s="4" t="str">
        <v>09-GATES W2 DLC.--------------------- CIMMYT.--------------------- CROP: Groundnut ESA W2 Gates.--------------------- BREEDING PIPELINE: BP000145 ; BP00146  .--------------------- MARKET SEGMENT: MS00388/MS00393, TPP00413/TPP00416 and MS00390/MS00395, TPP00414/TPP00417.--------------------- HIGH LEVEL OUTPUT STATEMENT:    A portifolio for groundnut breakthrough product developed for delivery.--------------------- 2026 DELIVERABLE: Product Advancement meeting conducted atleast in [2 countries] to validate the performace of breakthtough candidate.--------------------- INDICATOR: Number of product advancement meetings conducted to validate breakthrough candidates</v>
      </c>
      <c r="E113" s="4" t="str">
        <v>custom</v>
      </c>
      <c r="F113" s="4" t="str">
        <v>Tanzania, United Republic</v>
      </c>
      <c r="G113" s="5">
        <v>3</v>
      </c>
      <c r="H113" s="5">
        <v>43865</v>
      </c>
      <c r="I113" s="4" t="str">
        <v>.</v>
      </c>
      <c r="J113" s="4">
        <v>8479</v>
      </c>
    </row>
    <row r="114" ht="50" customHeight="1">
      <c r="B114" s="4" t="str">
        <v>CIMMYT</v>
      </c>
      <c r="D114" s="4" t="str">
        <v>17-GATES W2 DLC.--------------------- CIMMYT.--------------------- CROP: Groundnut ESA W2 Gates.--------------------- HIGH LEVEL OUTPUT STATEMENT:    Network governance principles defined and a network steering committee established with clear responsibilities.--------------------- 2026 DELIVERABLE: Strengthned ADCIN partners in capacity building (Infrastructures and human resorces) to deleivery breakthrough product.--------------------- INDICATOR: Number of people trained (disaggregated by type of training; participating institution)</v>
      </c>
      <c r="E114" s="4" t="str">
        <v>Number of people trained (capacity sharing for development)</v>
      </c>
      <c r="F114" s="4" t="str">
        <v>Tanzania, United Republic</v>
      </c>
      <c r="G114" s="5">
        <v>50</v>
      </c>
      <c r="H114" s="5">
        <v>26319</v>
      </c>
      <c r="I114" s="4" t="str">
        <v>.</v>
      </c>
      <c r="J114" s="4">
        <v>8485</v>
      </c>
    </row>
    <row r="115" ht="50" customHeight="1">
      <c r="B115" s="4" t="str">
        <v>CIMMYT</v>
      </c>
      <c r="D115" s="4" t="str">
        <v>34-GATES W2 DLC.--------------------- CIMMYT.--------------------- CROP: Groundnut WCA W2 Gates.--------------------- BREEDING PIPELINE: BP00143 &amp; BP00144.--------------------- MARKET SEGMENT: MS00630/TPP00338, MS00631/TPP00365.--------------------- HIGH LEVEL OUTPUT STATEMENT:    NARES programs and PDTs technically backstopped and supported.--------------------- 2026 DELIVERABLE: Crop tour in Burkina Faso, Nigeria and Ghana conducted for scientific exchange on breakthrough product deployment..--------------------- INDICATOR: Number of crop tour visits conducted</v>
      </c>
      <c r="E115" s="4" t="str">
        <v>custom</v>
      </c>
      <c r="F115" s="4" t="str">
        <v>Tanzania, United Republic</v>
      </c>
      <c r="G115" s="5">
        <v>6</v>
      </c>
      <c r="H115" s="5">
        <v>48878</v>
      </c>
      <c r="I115" s="4" t="str">
        <v>.</v>
      </c>
      <c r="J115" s="4">
        <v>8499</v>
      </c>
    </row>
    <row r="116" ht="50" customHeight="1" xml:space="preserve">
      <c r="B116" s="4" t="str">
        <v>CIMMYT</v>
      </c>
      <c r="D116" s="4" t="str" xml:space="preserve">
        <v xml:space="preserve">41-GATES W2 DLC.--------------------- CIMMYT.--------------------- CROP: Pearl Millet W2 Gates.--------------------- BREEDING PIPELINE: BP00139,
BP00140,
BP00141,
BP00158.--------------------- MARKET SEGMENT: MS00641/TPP00319
MS00643/TPP00329
MS00644/TPP00330
MS00925/TPP00411
MS00950/TPP00410.--------------------- HIGH LEVEL OUTPUT STATEMENT:    Partners collaborate on coordinated, shared population development across the network, effectively delivering on their respective responsibilities. Their efforts are aligned with priority market segments, collectively driving the development of pearl millet breakthrough products, including MilGen and MilGen-H..--------------------- 2026 DELIVERABLE: Map new partners if necessary and reshare the pipeline among PDCs to generate at least 300  new OPV from cohort 2 fulsib of 2 short and medium duration OPV pipelines and make 70 crosses for  cohort 2 hybrid pipeline to support rapid developement and delivery of pearl millet breakthrough product (MilGen and MilGen-H). (≥300 new OPV lines generated and ≥70 hybrid crosses developed to strengthen pearl millet breeding pipelines and support accelerated delivery of breakthrough products.).--------------------- INDICATOR: Number of breeding populations generated through the shared breeding pipeline (disaggregated by;OPVs and hybrid crosses) </v>
      </c>
      <c r="E116" s="4" t="str">
        <v>custom</v>
      </c>
      <c r="F116" s="4" t="str">
        <v>Tanzania, United Republic</v>
      </c>
      <c r="G116" s="5">
        <v>370</v>
      </c>
      <c r="H116" s="5">
        <v>6879</v>
      </c>
      <c r="I116" s="4" t="str">
        <v>.</v>
      </c>
      <c r="J116" s="4">
        <v>8502</v>
      </c>
    </row>
    <row r="117" ht="50" customHeight="1" xml:space="preserve">
      <c r="B117" s="4" t="str">
        <v>CIMMYT</v>
      </c>
      <c r="D117" s="4" t="str" xml:space="preserve">
        <v xml:space="preserve">42-GATES W2 DLC.--------------------- CIMMYT.--------------------- CROP: Pearl Millet W2 Gates.--------------------- BREEDING PIPELINE: BP00139,
BP00140,
BP00141,
BP00158.--------------------- MARKET SEGMENT: MS00641/TPP00319
MS00643/TPP00329
MS00644/TPP00330
MS00925/TPP00411
MS00950/TPP00410.--------------------- HIGH LEVEL OUTPUT STATEMENT:    CGIAR-NARS and SME multilocation trialing network is operationalized and generating quality data to advance breakthrough pearl millet candidates (MilGen and MilGen-H).--------------------- 2026 DELIVERABLE: Regional multilocation trialing network fully operational with at least 16 locations across the network and generating high quality data to enable advancement of candidate pearl millet breakthrough product  (MilGen and MilGen-H)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 INDICATOR: Number of multi-location trial sites operationalized and generating quality data through the CGIAR–NARS–SME testing network</v>
      </c>
      <c r="E117" s="4" t="str">
        <v>custom</v>
      </c>
      <c r="F117" s="4" t="str">
        <v>Tanzania, United Republic</v>
      </c>
      <c r="G117" s="5">
        <v>16</v>
      </c>
      <c r="H117" s="5">
        <v>6879</v>
      </c>
      <c r="I117" s="4" t="str">
        <v>.</v>
      </c>
      <c r="J117" s="4">
        <v>8503</v>
      </c>
    </row>
    <row r="118" ht="50" customHeight="1" xml:space="preserve">
      <c r="B118" s="4" t="str">
        <v>CIMMYT</v>
      </c>
      <c r="D118" s="4" t="str" xml:space="preserve">
        <v xml:space="preserve">43-GATES W2 DLC.--------------------- CROP: Pearl Millet W2 Gates.--------------------- BREEDING PIPELINE: BP00139,
BP00140,
BP00141,
BP00159.--------------------- MARKET SEGMENT: MS00641/TPP00319
MS00643/TPP00329
MS00644/TPP00330
MS00925/TPP00411
MS00950/TPP00411.--------------------- HIGH LEVEL OUTPUT STATEMENT:    CGIAR-NARS and SME multilocation biotic  stresses  screening network is operationalized and generating quality data to support advancement of  breakthrough pearl millet candidates (MilGen and MilGen-H).--------------------- 2026 DELIVERABLE: Screening for downy mildew will be  conducted under field conditions at three locations in Ghana, Mali, and Nigeria, along with seedling screening in greenhouse at 2  locations at Burkina Faso and Senegal. Striga screening will be carried out under field conditions at two locations in Burkina Faso and Mali.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pearl millet candidate lines advanced based on multilocation biotic stress screening results</v>
      </c>
      <c r="E118" s="4" t="str">
        <v>Number of innovations (innovation development)</v>
      </c>
      <c r="F118" s="4" t="str">
        <v>Tanzania, United Republic</v>
      </c>
      <c r="G118" s="5">
        <v>1</v>
      </c>
      <c r="H118" s="5">
        <v>34393</v>
      </c>
      <c r="I118" s="4" t="str">
        <v>.</v>
      </c>
      <c r="J118" s="4">
        <v>8504</v>
      </c>
    </row>
    <row r="119" ht="50" customHeight="1" xml:space="preserve">
      <c r="B119" s="4" t="str">
        <v>CIMMYT</v>
      </c>
      <c r="D119" s="4" t="str" xml:space="preserve">
        <v xml:space="preserve">51-GATES W2 DLC.--------------------- CIMMYT.--------------------- CROP: Pearl Millet W2 Gates.--------------------- BREEDING PIPELINE: BP00139,
BP00140,
BP00141,
BP00158.--------------------- MARKET SEGMENT: MS00641/TPP00319
MS00643/TPP00329
MS00644/TPP00330
MS00925/TPP00411
MS00950/TPP00410.--------------------- HIGH LEVEL OUTPUT STATEMENT:    A portfolio of pearl millet breakthrough product (MilGen) developed for delivery.--------------------- 2026 DELIVERABLE: Conduct product advancement meeting to advance breakthrough product and Review and updated pearl millet breakthrough product MilGen  and MilGen-H portfolio available for delivery planning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lines advanced</v>
      </c>
      <c r="E119" s="4" t="str">
        <v>Number of innovations (innovation development)</v>
      </c>
      <c r="F119" s="4" t="str">
        <v>Tanzania, United Republic</v>
      </c>
      <c r="G119" s="5">
        <v>50</v>
      </c>
      <c r="H119" s="5">
        <v>48150</v>
      </c>
      <c r="I119" s="4" t="str">
        <v>.</v>
      </c>
      <c r="J119" s="4">
        <v>8512</v>
      </c>
    </row>
    <row r="120" ht="50" customHeight="1" xml:space="preserve">
      <c r="B120" s="4" t="str">
        <v>CIMMYT</v>
      </c>
      <c r="D120" s="4" t="str" xml:space="preserve">
        <v xml:space="preserve">59-GATES W2 DLC.--------------------- CIMMYT.--------------------- CROP: Pearl Millet W2 Gates.--------------------- BREEDING PIPELINE: BP00139,
BP00140,
BP00141,
BP00159.--------------------- MARKET SEGMENT: MS00641/TPP00319
MS00643/TPP00329
MS00644/TPP00330
MS00925/TPP00411
MS00950/TPP00411.--------------------- HIGH LEVEL OUTPUT STATEMENT:    Anual and midyear meeting conducted to review and refine strategies.--------------------- 2026 DELIVERABLE: Pearl millet Workgroup annual meeting conducted to review the performance of breakthrough product revise strategies and plan 2027 activities
Annual progress toward the funded Target Product Profile is assessed through the Breakthrough Product Pipeline Performance Report (Appendix 1, Sections C and D), in accordance with B4T Data Management Standards (Appendix 1)..--------------------- INDICATOR: Number of meetings conducted</v>
      </c>
      <c r="E120" s="4" t="str">
        <v>custom</v>
      </c>
      <c r="F120" s="4" t="str">
        <v>Tanzania, United Republic</v>
      </c>
      <c r="G120" s="5">
        <v>1</v>
      </c>
      <c r="H120" s="5">
        <v>41272</v>
      </c>
      <c r="I120" s="4" t="str">
        <v>.</v>
      </c>
      <c r="J120" s="4">
        <v>8519</v>
      </c>
    </row>
    <row r="121" ht="50" customHeight="1" xml:space="preserve">
      <c r="B121" s="4" t="str">
        <v>CIMMYT</v>
      </c>
      <c r="D121" s="4" t="str" xml:space="preserve">
        <v xml:space="preserve">66-GATES W2 DLC.--------------------- CIMMYT.--------------------- CROP: Sorghum ESA W2 Gates.--------------------- BREEDING PIPELINE: BP00148
BP00149
BP00150
BP00151.--------------------- MARKET SEGMENT: MS00665/TPP00388
MS00666/TPP00389
MS00661/TPP00391
MS00667/TPP00400
MS00662/TPP00390
MS00672/TPP00392
MS00918
MS00663/TPP00394
MS00664/TPP00395.--------------------- HIGH LEVEL OUTPUT STATEMENT:    Sorghenix teams engaged in coordinated use of shared CGIAR–NARES–SME breeding workflows to support early product development in 2025..--------------------- 2026 DELIVERABLE: 1. Routine shared‑pipeline workflows implemented, with aligned breeding operations, standardized data capture, and coordinated advancement decisions executed jointly with partners.
2. Decentralized population development expanded across partner programs, with shared germplasm, harmonized selection criteria, and partner capacity strengthened through targeted training
3. Multi‑location agronomic and pathology trials fully implemented across partner sites, generating harmonized cross‑site datasets to support evidence‑based advancement of Sorghenix breakthrough candidates.
4. Multi-country breeding network operationalized, delivering coordinated trials and shared data to support evidence-based advancement decisions.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lines advanced through coordinated CGIAR–NARES–SME breeding networks</v>
      </c>
      <c r="E121" s="4" t="str">
        <v>Number of innovations (innovation development)</v>
      </c>
      <c r="F121" s="4" t="str">
        <v>Tanzania, United Republic</v>
      </c>
      <c r="G121" s="5">
        <v>50</v>
      </c>
      <c r="H121" s="5">
        <v>12687</v>
      </c>
      <c r="I121" s="4" t="str">
        <v>.</v>
      </c>
      <c r="J121" s="4">
        <v>8521</v>
      </c>
    </row>
    <row r="122" ht="50" customHeight="1" xml:space="preserve">
      <c r="B122" s="4" t="str">
        <v>CIMMYT</v>
      </c>
      <c r="D122" s="4" t="str" xml:space="preserve">
        <v xml:space="preserve">83-GATES W2 DLC.--------------------- CIMMYT.--------------------- CROP: Sorghum WCA W2 Gates.--------------------- BREEDING PIPELINE: BP00225, BP00226, BP00227, BP00228, BP00229.--------------------- MARKET SEGMENT: MS00673/MS01241, MS00400/MS01242, MS00681/MS01243, MS00674, MS00675.--------------------- HIGH LEVEL OUTPUT STATEMENT:    i) CGIAR–NARES–SME partners operate a coordinated, shared sorghum breeding pipeline with aligned roles, responsibilities, and data flows supporting breakthrough product development. 
ii) A harmonized CGIAR–NARES–SME multi‑location trialing network (agronomy and pathology) established and generating high‑quality, comparable data to advance breakthrough sorghum product candidates..--------------------- 2026 DELIVERABLE: Fields for agronomic performance evaluation identified and mapped for stages trials across the region and platforms/fields for stress tolerance phenotypingmapped and used to generating quality data to support population development and product identification.
At least 3 locations for population development and screening upgraded, contributing to improving data quality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lines advanced through the shared CGIAR–NARES–SME breeding network</v>
      </c>
      <c r="E122" s="4" t="str">
        <v>Number of innovations (innovation development)</v>
      </c>
      <c r="F122" s="4" t="str">
        <v>Tanzania, United Republic</v>
      </c>
      <c r="G122" s="5">
        <v>50</v>
      </c>
      <c r="H122" s="5">
        <v>77958</v>
      </c>
      <c r="I122" s="4" t="str">
        <v>.</v>
      </c>
      <c r="J122" s="4">
        <v>8530</v>
      </c>
    </row>
    <row r="123" ht="50" customHeight="1" xml:space="preserve">
      <c r="B123" s="4" t="str">
        <v>CIMMYT</v>
      </c>
      <c r="D123" s="4" t="str" xml:space="preserve">
        <v xml:space="preserve">93-GATES W2 DLC.--------------------- CIMMYT.--------------------- CROP: Sorghum WCA W2 Gates.--------------------- BREEDING PIPELINE: BP00225, BP00226, BP00227, BP00228, BP00229.--------------------- MARKET SEGMENT: MS00673/MS01241, MS00400/MS01242, MS00681/MS01243, MS00674, MS00675.--------------------- HIGH LEVEL OUTPUT STATEMENT:    Regular online and physical meetings organized and strategy to develop and deliver high performance breakthrough product designed and agreed.--------------------- 2026 DELIVERABLE: i) Regular (monthly or quarterly) meetings are convened to review progress and facilitate knowledge exchange among network members.
ii) An annual review (online) is conducted to assess trial results, evaluate population development pipelines, and inform strategic planning.
1. Annual progress toward the funded Target Product Profile is assessed through the Breakthrough Product Pipeline Performance Report (Appendix 1, Sections C and D), in accordance with B4T Data Management Standards (Appendix 1)..--------------------- INDICATOR: Number of meetings conducted</v>
      </c>
      <c r="E123" s="4" t="str">
        <v>custom</v>
      </c>
      <c r="F123" s="4" t="str">
        <v>Tanzania, United Republic</v>
      </c>
      <c r="G123" s="5">
        <v>5</v>
      </c>
      <c r="H123" s="5">
        <v>6237</v>
      </c>
      <c r="I123" s="4" t="str">
        <v>.</v>
      </c>
      <c r="J123" s="4">
        <v>8540</v>
      </c>
    </row>
    <row r="124" ht="50" customHeight="1" xml:space="preserve">
      <c r="A124" s="4" t="str">
        <v>AOW05: Enable</v>
      </c>
      <c r="B124" s="4" t="str">
        <v>CIMMYT</v>
      </c>
      <c r="C124" s="4" t="str">
        <v>HLO19.AOW5.IO2 Share capacity</v>
      </c>
      <c r="D124" s="4" t="str" xml:space="preserve">
        <v xml:space="preserve">159---. ---- CIMMYT -WHEAT - (Breeding network support)--------------.-----------ACTIVITY DESCRIPTION: CIMMYT data team provide backstopping support for networked breeding communities in wheat, including trial designs, analytics, EBS and Bioflow usage, by acting as a hub responding to requests from colleagues in South Asia and East Africa.-----------BREEDING PIPELINE: BP0001, BP0002, BP0003,BP0004,BP0005.-----------MARKET SEGMENT: MS00700, MS00701, MS00702, MS00709, MS00710, MS00711, MS01031, MS01032.-----------INDICATOR: Number of people trained (capacity sharing for development)
</v>
      </c>
      <c r="E124" s="4" t="str">
        <v>Number of people trained (capacity sharing for development)</v>
      </c>
      <c r="F124" s="4" t="str">
        <v>Uganda, Nepal, Kenya, Mexico, Bangladesh, Ethiopia, India</v>
      </c>
      <c r="G124" s="5">
        <v>40</v>
      </c>
      <c r="H124" s="5">
        <v>64500</v>
      </c>
      <c r="I124" s="4" t="str">
        <v>TO BE UPDATED, NEW FUNDING FROM 2026</v>
      </c>
      <c r="J124" s="4">
        <v>4749</v>
      </c>
    </row>
    <row r="125" ht="50" customHeight="1">
      <c r="B125" s="4" t="str">
        <v>CIMMYT</v>
      </c>
      <c r="D125" s="4" t="str">
        <v>161---. ---- CIMMYT -WHEAT - (Breeding network capacity building including communities of practice)--------------.-----------ACTIVITY DESCRIPTION: Number of participants trained in two Community of Practice meetings for networked breeding in wheat in: (1) East Africa (Ethiopia) and (2) South Asia (Nepal)..-----------BREEDING PIPELINE: BP0001, BP0002, BP0003,BP0004,BP0005.-----------MARKET SEGMENT: MS00700, MS00701, MS00702, MS00709, MS00710, MS00711, MS01031, MS01032.-----------INDICATOR: Number of people trained (capacity sharing for development)</v>
      </c>
      <c r="E125" s="4" t="str">
        <v>Number of people trained (capacity sharing for development)</v>
      </c>
      <c r="F125" s="4" t="str">
        <v>Pakistan, Uganda, Bangladesh, Tanzania, United Republic, India, Mexico, Ethiopia, Kenya, Nepal</v>
      </c>
      <c r="G125" s="5">
        <v>40</v>
      </c>
      <c r="H125" s="5">
        <v>58500</v>
      </c>
      <c r="I125" s="4" t="str">
        <v>.</v>
      </c>
      <c r="J125" s="4">
        <v>4751</v>
      </c>
    </row>
    <row r="126" ht="50" customHeight="1" xml:space="preserve">
      <c r="A126" s="4" t="str">
        <v>AOW05: Enable</v>
      </c>
      <c r="B126" s="4" t="str">
        <v>CIMMYT</v>
      </c>
      <c r="C126" s="4" t="str">
        <v>HLO22.AOW5.IO5 Exchange genetic resources</v>
      </c>
      <c r="D126" s="4" t="str" xml:space="preserve">
        <v xml:space="preserve">new -cimmyt-6--- CIMMYT (CROP NOT YET DECIDED) ----------- ACTIVITIES: Work with Africa Agricultural Technology Foundation to support the development of two licensing templates in two countries in Africa ---- INDICATOR: Development of licencing templates
</v>
      </c>
      <c r="E126" s="4" t="str">
        <v>Number of knowledge products</v>
      </c>
      <c r="F126" s="4" t="str">
        <v>Kenya, Malawi</v>
      </c>
      <c r="G126" s="5">
        <v>2</v>
      </c>
      <c r="H126" s="5">
        <v>50000</v>
      </c>
      <c r="I126" s="4" t="str">
        <v>crops not yet decided --- countries also tentative</v>
      </c>
      <c r="J126" s="4">
        <v>8306</v>
      </c>
    </row>
    <row r="127" ht="25" customHeight="1">
      <c r="C127" s="9" t="str">
        <v>HLO budget subtotal</v>
      </c>
      <c r="H127" s="9">
        <v>981169</v>
      </c>
      <c r="J127" s="9" t="str">
        <v/>
      </c>
    </row>
  </sheetData>
  <mergeCells count="31">
    <mergeCell ref="A1:A2"/>
    <mergeCell ref="B1:B2"/>
    <mergeCell ref="C1:C2"/>
    <mergeCell ref="D1:H1"/>
    <mergeCell ref="I1:I2"/>
    <mergeCell ref="J1:J2"/>
    <mergeCell ref="C4:C5"/>
    <mergeCell ref="C6:G6"/>
    <mergeCell ref="A3:A6"/>
    <mergeCell ref="C7:C17"/>
    <mergeCell ref="C18:C25"/>
    <mergeCell ref="C26:C40"/>
    <mergeCell ref="C41:C42"/>
    <mergeCell ref="C43:G43"/>
    <mergeCell ref="A7:A43"/>
    <mergeCell ref="C44:C52"/>
    <mergeCell ref="C53:C62"/>
    <mergeCell ref="C63:C69"/>
    <mergeCell ref="C70:C74"/>
    <mergeCell ref="C75:G75"/>
    <mergeCell ref="A44:A75"/>
    <mergeCell ref="C76:C83"/>
    <mergeCell ref="C84:C92"/>
    <mergeCell ref="C93:C106"/>
    <mergeCell ref="C107:G107"/>
    <mergeCell ref="A76:A107"/>
    <mergeCell ref="C108:C109"/>
    <mergeCell ref="C110:C123"/>
    <mergeCell ref="C124:C125"/>
    <mergeCell ref="C127:G127"/>
    <mergeCell ref="A108:A127"/>
  </mergeCells>
  <ignoredErrors>
    <ignoredError numberStoredAsText="1" sqref="A1:J127"/>
  </ignoredErrors>
</worksheet>
</file>

<file path=xl/worksheets/sheet3.xml><?xml version="1.0" encoding="utf-8"?>
<worksheet xmlns="http://schemas.openxmlformats.org/spreadsheetml/2006/main" xmlns:r="http://schemas.openxmlformats.org/officeDocument/2006/relationships">
  <dimension ref="A1:G1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Ethiopian Institute of Agricultural Research</v>
      </c>
      <c r="C2" s="4" t="str">
        <v>CIMMYT</v>
      </c>
      <c r="D2" s="4" t="str">
        <v>Ethiopia</v>
      </c>
      <c r="E2" s="5">
        <v>51553</v>
      </c>
      <c r="F2" s="4" t="str">
        <v>.</v>
      </c>
      <c r="G2" s="4">
        <v>570</v>
      </c>
    </row>
    <row r="3" ht="50" customHeight="1">
      <c r="A3" s="4" t="str">
        <v>AOW02: Accelerated Breeding</v>
      </c>
      <c r="B3" s="4" t="str">
        <v>Indian Council of Agricultural Research</v>
      </c>
      <c r="C3" s="4" t="str">
        <v>CIMMYT</v>
      </c>
      <c r="D3" s="4" t="str">
        <v>India</v>
      </c>
      <c r="E3" s="5">
        <v>9000</v>
      </c>
      <c r="F3" s="4" t="str">
        <v>.</v>
      </c>
      <c r="G3" s="4">
        <v>571</v>
      </c>
    </row>
    <row r="4" ht="50" customHeight="1">
      <c r="A4" s="4" t="str">
        <v>AOW02: Accelerated Breeding</v>
      </c>
      <c r="B4" s="4" t="str">
        <v>Nepal Agricultural Research Council</v>
      </c>
      <c r="C4" s="4" t="str">
        <v>CIMMYT</v>
      </c>
      <c r="D4" s="4" t="str">
        <v>Nepal</v>
      </c>
      <c r="E4" s="5">
        <v>4500</v>
      </c>
      <c r="F4" s="4" t="str">
        <v>.</v>
      </c>
      <c r="G4" s="4">
        <v>572</v>
      </c>
    </row>
    <row r="5" ht="50" customHeight="1">
      <c r="A5" s="4" t="str">
        <v>AOW02: Accelerated Breeding</v>
      </c>
      <c r="B5" s="4" t="str">
        <v>Pakistan Agricultural Research Council</v>
      </c>
      <c r="C5" s="4" t="str">
        <v>CIMMYT</v>
      </c>
      <c r="D5" s="4" t="str">
        <v>Pakistan</v>
      </c>
      <c r="E5" s="5">
        <v>13500</v>
      </c>
      <c r="F5" s="4" t="str">
        <v>.</v>
      </c>
      <c r="G5" s="4">
        <v>573</v>
      </c>
    </row>
    <row r="6" ht="50" customHeight="1">
      <c r="A6" s="4" t="str">
        <v>AOW02: Accelerated Breeding</v>
      </c>
      <c r="B6" s="4" t="str">
        <v>Department of Agricultural Research Services</v>
      </c>
      <c r="C6" s="4" t="str">
        <v>CIMMYT</v>
      </c>
      <c r="D6" s="4" t="str">
        <v>United States of America</v>
      </c>
      <c r="E6" s="5">
        <v>90000</v>
      </c>
      <c r="F6" s="4" t="str">
        <v>.</v>
      </c>
      <c r="G6" s="4">
        <v>574</v>
      </c>
    </row>
    <row r="7" ht="50" customHeight="1">
      <c r="A7" s="4" t="str">
        <v>AOW02: Accelerated Breeding</v>
      </c>
      <c r="B7" s="4" t="str">
        <v>Agricultural Research Institute - Tanzania</v>
      </c>
      <c r="C7" s="4" t="str">
        <v>CIMMYT</v>
      </c>
      <c r="D7" s="4" t="str">
        <v>Tanzania, United Republic</v>
      </c>
      <c r="E7" s="5">
        <v>10000</v>
      </c>
      <c r="F7" s="4" t="str">
        <v>.</v>
      </c>
      <c r="G7" s="4">
        <v>575</v>
      </c>
    </row>
    <row r="8" ht="50" customHeight="1">
      <c r="A8" s="4" t="str">
        <v>AOW02: Accelerated Breeding</v>
      </c>
      <c r="B8" s="4" t="str">
        <v>Kenya Agricultural and Livestock Research Organization</v>
      </c>
      <c r="C8" s="4" t="str">
        <v>CIMMYT</v>
      </c>
      <c r="D8" s="4" t="str">
        <v>Kenya</v>
      </c>
      <c r="E8" s="5">
        <v>25000</v>
      </c>
      <c r="F8" s="4" t="str">
        <v>.</v>
      </c>
      <c r="G8" s="4">
        <v>576</v>
      </c>
    </row>
    <row r="9" ht="50" customHeight="1">
      <c r="A9" s="4" t="str">
        <v>AOW02: Accelerated Breeding</v>
      </c>
      <c r="B9" s="4" t="str">
        <v>Egerton University</v>
      </c>
      <c r="C9" s="4" t="str">
        <v>CIMMYT</v>
      </c>
      <c r="D9" s="4" t="str">
        <v>Kenya</v>
      </c>
      <c r="E9" s="5">
        <v>15000</v>
      </c>
      <c r="F9" s="4" t="str">
        <v>.</v>
      </c>
      <c r="G9" s="4">
        <v>577</v>
      </c>
    </row>
    <row r="10" ht="50" customHeight="1">
      <c r="A10" s="4" t="str">
        <v>AOW02: Accelerated Breeding</v>
      </c>
      <c r="B10" s="4" t="str">
        <v>Instituto de Investigacao Agraria de Mozambique</v>
      </c>
      <c r="C10" s="4" t="str">
        <v>CIMMYT</v>
      </c>
      <c r="D10" s="4" t="str">
        <v>Mozambique</v>
      </c>
      <c r="E10" s="5">
        <v>5000</v>
      </c>
      <c r="F10" s="4" t="str">
        <v>.</v>
      </c>
      <c r="G10" s="4">
        <v>578</v>
      </c>
    </row>
    <row r="11" ht="50" customHeight="1">
      <c r="A11" s="4" t="str">
        <v>AOW02: Accelerated Breeding</v>
      </c>
      <c r="B11" s="4" t="str">
        <v>Savannah Agricultural Research Institute</v>
      </c>
      <c r="C11" s="4" t="str">
        <v>CIMMYT</v>
      </c>
      <c r="D11" s="4" t="str">
        <v>Ghana</v>
      </c>
      <c r="E11" s="5">
        <v>16000</v>
      </c>
      <c r="F11" s="4" t="str">
        <v>.</v>
      </c>
      <c r="G11" s="4">
        <v>584</v>
      </c>
    </row>
    <row r="12" ht="50" customHeight="1">
      <c r="A12" s="4" t="str">
        <v>AOW02: Accelerated Breeding</v>
      </c>
      <c r="B12" s="4" t="str">
        <v>Institut de l’Environnement et de Recherches Agricoles (Burkina Faso)</v>
      </c>
      <c r="C12" s="4" t="str">
        <v>CIMMYT</v>
      </c>
      <c r="D12" s="4" t="str">
        <v>Burkina Faso</v>
      </c>
      <c r="E12" s="5">
        <v>10000</v>
      </c>
      <c r="F12" s="4" t="str">
        <v>.</v>
      </c>
      <c r="G12" s="4">
        <v>585</v>
      </c>
    </row>
    <row r="13" ht="50" customHeight="1">
      <c r="A13" s="4" t="str">
        <v>AOW02: Accelerated Breeding</v>
      </c>
      <c r="B13" s="4" t="str">
        <v>Institut Senegalais de Recherche Agricole</v>
      </c>
      <c r="C13" s="4" t="str">
        <v>CIMMYT</v>
      </c>
      <c r="D13" s="4" t="str">
        <v>Senegal</v>
      </c>
      <c r="E13" s="5">
        <v>10000</v>
      </c>
      <c r="F13" s="4" t="str">
        <v>.</v>
      </c>
      <c r="G13" s="4">
        <v>586</v>
      </c>
    </row>
    <row r="14" ht="50" customHeight="1">
      <c r="A14" s="4" t="str">
        <v>AOW02: Accelerated Breeding</v>
      </c>
      <c r="B14" s="4" t="str">
        <v>Institute for Rural Economy (Mali) / Institut d’Economie Rurale (Mali)</v>
      </c>
      <c r="C14" s="4" t="str">
        <v>CIMMYT</v>
      </c>
      <c r="D14" s="4" t="str">
        <v>Mali</v>
      </c>
      <c r="E14" s="5">
        <v>16166</v>
      </c>
      <c r="F14" s="4" t="str">
        <v>.</v>
      </c>
      <c r="G14" s="4">
        <v>587</v>
      </c>
    </row>
    <row r="15" ht="25" customHeight="1">
      <c r="B15" s="9" t="str">
        <v>Contracted partners subtotal</v>
      </c>
      <c r="E15" s="9">
        <v>275719</v>
      </c>
      <c r="F15" s="9" t="str">
        <v/>
      </c>
      <c r="G15" s="9" t="str">
        <v/>
      </c>
    </row>
    <row r="16" ht="50" customHeight="1">
      <c r="A16" s="8" t="str">
        <v>AOW03: Inclusive Delivery</v>
      </c>
      <c r="B16" s="4" t="str">
        <v>Institute of Agricultural Research (Nigeria)</v>
      </c>
      <c r="C16" s="4" t="str">
        <v>CIMMYT</v>
      </c>
      <c r="D16" s="4" t="str">
        <v>Nigeria</v>
      </c>
      <c r="E16" s="5">
        <v>122250</v>
      </c>
      <c r="F16" s="4" t="str">
        <v>.</v>
      </c>
      <c r="G16" s="4">
        <v>580</v>
      </c>
    </row>
    <row r="17" ht="50" customHeight="1">
      <c r="A17" s="4" t="str">
        <v>AOW03: Inclusive Delivery</v>
      </c>
      <c r="B17" s="4" t="str">
        <v>Ethiopian Institute of Agricultural Research</v>
      </c>
      <c r="C17" s="4" t="str">
        <v>CIMMYT</v>
      </c>
      <c r="D17" s="4" t="str">
        <v>Ethiopia</v>
      </c>
      <c r="E17" s="5">
        <v>122250</v>
      </c>
      <c r="F17" s="4" t="str">
        <v>.</v>
      </c>
      <c r="G17" s="4">
        <v>581</v>
      </c>
    </row>
    <row r="18" ht="25" customHeight="1">
      <c r="B18" s="9" t="str">
        <v>Contracted partners subtotal</v>
      </c>
      <c r="E18" s="9">
        <v>244500</v>
      </c>
      <c r="F18" s="9" t="str">
        <v/>
      </c>
      <c r="G18" s="9" t="str">
        <v/>
      </c>
    </row>
  </sheetData>
  <mergeCells count="4">
    <mergeCell ref="B15:D15"/>
    <mergeCell ref="A2:A15"/>
    <mergeCell ref="B18:D18"/>
    <mergeCell ref="A16:A18"/>
  </mergeCells>
  <ignoredErrors>
    <ignoredError numberStoredAsText="1" sqref="A1:G18"/>
  </ignoredErrors>
</worksheet>
</file>

<file path=xl/worksheets/sheet4.xml><?xml version="1.0" encoding="utf-8"?>
<worksheet xmlns="http://schemas.openxmlformats.org/spreadsheetml/2006/main" xmlns:r="http://schemas.openxmlformats.org/officeDocument/2006/relationships">
  <dimension ref="A1:F1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CIMMYT</v>
      </c>
      <c r="B2" s="4" t="str">
        <v>D0001-SGP-AVISA Accelerated varietal improvement and seed delivery of legumes and cereals in Africa</v>
      </c>
      <c r="C2" s="4" t="str">
        <v>I-OC 3.5. Women, men, youth, and marginalized social groups accessing quality seed of improved varieties</v>
      </c>
      <c r="D2" s="5">
        <v>0</v>
      </c>
      <c r="E2" s="4" t="str">
        <v/>
      </c>
      <c r="F2" s="4">
        <v>876</v>
      </c>
    </row>
    <row r="3" ht="60" customHeight="1">
      <c r="A3" s="4" t="str">
        <v>CIMMYT</v>
      </c>
      <c r="B3" s="4" t="str">
        <v>D0006-VACS Crop Improvement Coalition</v>
      </c>
      <c r="C3" s="4" t="str">
        <v>I-OC 3.5. Women, men, youth, and marginalized social groups accessing quality seed of improved varieties</v>
      </c>
      <c r="D3" s="5">
        <v>0</v>
      </c>
      <c r="E3" s="4" t="str">
        <v/>
      </c>
      <c r="F3" s="4">
        <v>893</v>
      </c>
    </row>
    <row r="4" ht="60" customHeight="1">
      <c r="A4" s="4" t="str">
        <v>CIMMYT</v>
      </c>
      <c r="B4" s="4" t="str">
        <v>I0001 - SGP-BMI Genetic Innovation Transition Plan</v>
      </c>
      <c r="C4" s="4" t="str">
        <v>I-OC 1.3. Breeding network actors orient product development toward delivery of the greatest benefits across the 5 Impact Areas</v>
      </c>
      <c r="D4" s="5">
        <v>0</v>
      </c>
      <c r="E4" s="4" t="str">
        <v/>
      </c>
      <c r="F4" s="4">
        <v>904</v>
      </c>
    </row>
    <row r="5" ht="60" customHeight="1">
      <c r="A5" s="4" t="str">
        <v>CIMMYT</v>
      </c>
      <c r="B5" s="4" t="str">
        <v>M0369-1000Farms-MaizeSelect</v>
      </c>
      <c r="C5" s="4" t="str">
        <v>I-OC 1.2. Breeding network actors adopt transformative partnership approaches driving equity and sustainability for analyzing markets and opportunities, product development, product delivery and scaling</v>
      </c>
      <c r="D5" s="5">
        <v>0</v>
      </c>
      <c r="E5" s="4" t="str">
        <v/>
      </c>
      <c r="F5" s="4">
        <v>924</v>
      </c>
    </row>
    <row r="6" ht="60" customHeight="1">
      <c r="A6" s="4" t="str">
        <v>CIMMYT</v>
      </c>
      <c r="B6" s="4" t="str">
        <v>M0377-VACS Quick Wins Project</v>
      </c>
      <c r="C6" s="4" t="str">
        <v>I-OC 1.2. Breeding network actors adopt transformative partnership approaches driving equity and sustainability for analyzing markets and opportunities, product development, product delivery and scaling</v>
      </c>
      <c r="D6" s="5">
        <v>0</v>
      </c>
      <c r="E6" s="4" t="str">
        <v/>
      </c>
      <c r="F6" s="4">
        <v>936</v>
      </c>
    </row>
    <row r="7" ht="60" customHeight="1">
      <c r="A7" s="4" t="str">
        <v>CIMMYT</v>
      </c>
      <c r="B7" s="4" t="str">
        <v>R0218-Accelerating Genetic Gains in Maize &amp; Wheat (DFID-DF</v>
      </c>
      <c r="C7" s="4" t="str">
        <v>I-OC 3.5. Women, men, youth, and marginalized social groups accessing quality seed of improved varieties</v>
      </c>
      <c r="D7" s="5">
        <v>0</v>
      </c>
      <c r="E7" s="4" t="str">
        <v/>
      </c>
      <c r="F7" s="4">
        <v>895</v>
      </c>
    </row>
    <row r="8" ht="60" customHeight="1">
      <c r="A8" s="4" t="str">
        <v>CIMMYT</v>
      </c>
      <c r="B8" s="4" t="str">
        <v>R0223-Mining useful alleles for climate change adaptation</v>
      </c>
      <c r="C8" s="4" t="str">
        <v>I-OC 1.3. Breeding network actors orient product development toward delivery of the greatest benefits across the 5 Impact Areas</v>
      </c>
      <c r="D8" s="5">
        <v>0</v>
      </c>
      <c r="E8" s="4" t="str">
        <v/>
      </c>
      <c r="F8" s="4">
        <v>901</v>
      </c>
    </row>
    <row r="9" ht="60" customHeight="1">
      <c r="A9" s="4" t="str">
        <v>CIMMYT</v>
      </c>
      <c r="B9" s="4" t="str">
        <v>R0230-Mining useful alleles for climate change adaptation</v>
      </c>
      <c r="C9" s="4" t="str">
        <v>I-OC 1.2. Breeding network actors adopt transformative partnership approaches driving equity and sustainability for analyzing markets and opportunities, product development, product delivery and scaling</v>
      </c>
      <c r="D9" s="5">
        <v>0</v>
      </c>
      <c r="E9" s="4" t="str">
        <v/>
      </c>
      <c r="F9" s="4">
        <v>941</v>
      </c>
    </row>
    <row r="10" ht="60" customHeight="1">
      <c r="A10" s="4" t="str">
        <v>CIMMYT</v>
      </c>
      <c r="B10" s="4" t="str">
        <v>R0235-USAID-VACS BT Pigeon Pea</v>
      </c>
      <c r="C10" s="4" t="str">
        <v>I-OC 1.3. Breeding network actors orient product development toward delivery of the greatest benefits across the 5 Impact Areas</v>
      </c>
      <c r="D10" s="5">
        <v>0</v>
      </c>
      <c r="E10" s="4" t="str">
        <v/>
      </c>
      <c r="F10" s="4">
        <v>896</v>
      </c>
    </row>
    <row r="11" ht="60" customHeight="1">
      <c r="A11" s="4" t="str">
        <v>CIMMYT</v>
      </c>
      <c r="B11" s="4" t="str">
        <v>S0003 -Piloting a Private-Public Genotyping Consortium for Crops in LMICs</v>
      </c>
      <c r="C11" s="4" t="str">
        <v>I-OC 3.5. Women, men, youth, and marginalized social groups accessing quality seed of improved varieties</v>
      </c>
      <c r="D11" s="5">
        <v>0</v>
      </c>
      <c r="E11" s="4" t="str">
        <v/>
      </c>
      <c r="F11" s="4">
        <v>894</v>
      </c>
    </row>
    <row r="12" ht="60" customHeight="1">
      <c r="A12" s="4" t="str">
        <v>CIMMYT</v>
      </c>
      <c r="B12" s="4" t="str">
        <v>W0500-Verify global potential of biologic. Nitrific. inhib</v>
      </c>
      <c r="C12" s="4" t="str">
        <v>I-OC 1.2. Breeding network actors adopt transformative partnership approaches driving equity and sustainability for analyzing markets and opportunities, product development, product delivery and scaling</v>
      </c>
      <c r="D12" s="5">
        <v>0</v>
      </c>
      <c r="E12" s="4" t="str">
        <v/>
      </c>
      <c r="F12" s="4">
        <v>929</v>
      </c>
    </row>
    <row r="13" ht="60" customHeight="1">
      <c r="A13" s="4" t="str">
        <v>CIMMYT</v>
      </c>
      <c r="B13" s="4" t="str">
        <v>W0516 W-Shandong Maize and wheat production caused by abiotic an biotic stresses and Global climate chan</v>
      </c>
      <c r="C13" s="4" t="str">
        <v>HLO18.AOW5.IO2 Partnered networks</v>
      </c>
      <c r="D13" s="5">
        <v>0</v>
      </c>
      <c r="E13" s="4" t="str">
        <v/>
      </c>
      <c r="F13" s="4">
        <v>917</v>
      </c>
    </row>
    <row r="14" ht="25" customHeight="1">
      <c r="B14" s="9" t="str">
        <v>W3/Bilateral budget subtotal</v>
      </c>
      <c r="D14" s="9">
        <v>0</v>
      </c>
      <c r="E14" s="9" t="str">
        <v/>
      </c>
      <c r="F14" s="9" t="str">
        <v/>
      </c>
    </row>
  </sheetData>
  <mergeCells count="2">
    <mergeCell ref="B14:C14"/>
    <mergeCell ref="A2:A14"/>
  </mergeCells>
  <ignoredErrors>
    <ignoredError numberStoredAsText="1" sqref="A1:F1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CIMMYT</v>
      </c>
      <c r="C2" s="4" t="str">
        <v>Area of Work Leads</v>
      </c>
      <c r="D2" s="5">
        <v>356153</v>
      </c>
      <c r="E2" s="4" t="str" xml:space="preserve">
        <v xml:space="preserve">AoW Lead salaries: 
1) 17,626USD for Chris Oijewo for Jan, Feb, March 2026.
2) 164,127USD for Eng Hwa Ng for all of 2026
3) 119,338USD for Bish Das for all of 2026
4) 55,062USD for Pieter for 8 Months (April-Dec) 2026.
Total of the 4 AOW Lead salaries is 336,336USD
</v>
      </c>
      <c r="F2" s="4">
        <v>39</v>
      </c>
      <c r="G2" s="4">
        <v>3</v>
      </c>
    </row>
    <row r="3" ht="45" customHeight="1" xml:space="preserve">
      <c r="A3" s="4" t="str">
        <v>AOW00: Cross Cutting</v>
      </c>
      <c r="B3" s="4" t="str">
        <v>CIMMYT</v>
      </c>
      <c r="C3" s="4" t="str">
        <v>PMU, CGIAR Program Finance Support and associated Allocation</v>
      </c>
      <c r="D3" s="5">
        <v>53850</v>
      </c>
      <c r="E3" s="4" t="str" xml:space="preserve">
        <v xml:space="preserve">Salaries for PMU costs:
1) 50,000 for Ruth Mawia (MELIA Focal point) for the whole year -- NOTE: A PORTION OF RUTH'S SALARY WAS TAKEN FROM CARRYOVER IN 2025 -- AS APPROVED BY SARAH HEARNE
2)  3,850usd FOR CIMMYT KENYA - FOR THE DESK COSTS OF RUTH MAWIA
TOTAL PM COST: 53,850USD</v>
      </c>
      <c r="F3" s="4">
        <v>40</v>
      </c>
      <c r="G3" s="4">
        <v>2</v>
      </c>
    </row>
    <row r="4" ht="45" customHeight="1">
      <c r="A4" s="4" t="str">
        <v>AOW00: Cross Cutting</v>
      </c>
      <c r="B4" s="4" t="str">
        <v>CIMMYT</v>
      </c>
      <c r="C4" s="4" t="str">
        <v>Operations</v>
      </c>
      <c r="D4" s="5">
        <v>0</v>
      </c>
      <c r="E4" s="4" t="str">
        <v/>
      </c>
      <c r="F4" s="4">
        <v>47</v>
      </c>
      <c r="G4" s="4">
        <v>4</v>
      </c>
    </row>
    <row r="5" ht="45" customHeight="1">
      <c r="A5" s="4" t="str">
        <v>AOW00: Cross Cutting</v>
      </c>
      <c r="B5" s="4" t="str">
        <v>CIMMYT</v>
      </c>
      <c r="C5" s="4" t="str">
        <v>Communication/Knowledge management</v>
      </c>
      <c r="D5" s="5">
        <v>60000</v>
      </c>
      <c r="E5" s="4" t="str">
        <v>1) 60,000USD for Julie Puech (Communications Focal Point) for the whole year</v>
      </c>
      <c r="F5" s="4">
        <v>72</v>
      </c>
      <c r="G5" s="4">
        <v>5</v>
      </c>
    </row>
    <row r="6" ht="25" customHeight="1">
      <c r="C6" s="9" t="str">
        <v>Cross-cutting budget subtotal</v>
      </c>
      <c r="D6" s="9">
        <v>470003</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466153</v>
      </c>
      <c r="C2" s="5">
        <v>0</v>
      </c>
      <c r="D2" s="5">
        <v>0</v>
      </c>
      <c r="E2" s="5">
        <v>0</v>
      </c>
      <c r="F2" s="5">
        <v>0</v>
      </c>
      <c r="G2" s="5">
        <v>0</v>
      </c>
      <c r="H2" s="5">
        <f>=SUM(B2:G2)</f>
        <v>0</v>
      </c>
    </row>
    <row r="3" ht="20" customHeight="1">
      <c r="A3" s="4" t="str">
        <v>Operations (supplies, consultants, travels, workshops, other)</v>
      </c>
      <c r="B3" s="5">
        <v>3850</v>
      </c>
      <c r="C3" s="5">
        <v>293213</v>
      </c>
      <c r="D3" s="5">
        <v>5344336</v>
      </c>
      <c r="E3" s="5">
        <v>2149110</v>
      </c>
      <c r="F3" s="5">
        <v>2292647</v>
      </c>
      <c r="G3" s="5">
        <v>981169</v>
      </c>
      <c r="H3" s="5">
        <f>=SUM(B3:G3)</f>
        <v>0</v>
      </c>
    </row>
    <row r="4" ht="20" customHeight="1">
      <c r="A4" s="4" t="str">
        <v>Collaborators non-CGIAR centers</v>
      </c>
      <c r="B4" s="5">
        <v>0</v>
      </c>
      <c r="C4" s="5">
        <v>0</v>
      </c>
      <c r="D4" s="5">
        <v>275719</v>
      </c>
      <c r="E4" s="5">
        <v>244500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Kenya</v>
      </c>
      <c r="D2" s="5">
        <v>50</v>
      </c>
      <c r="E2" s="4">
        <v>3375</v>
      </c>
    </row>
    <row r="3" ht="45" customHeight="1">
      <c r="A3" s="4" t="str">
        <v>AOW00: Cross Cutting</v>
      </c>
      <c r="B3" s="4" t="str">
        <v>CIMMYT</v>
      </c>
      <c r="C3" s="4" t="str">
        <v>Mexico</v>
      </c>
      <c r="D3" s="5">
        <v>50</v>
      </c>
      <c r="E3" s="4">
        <v>3374</v>
      </c>
    </row>
    <row r="4" ht="45" customHeight="1">
      <c r="A4" s="8" t="str">
        <v>AOW01: Market Intelligence</v>
      </c>
      <c r="B4" s="4" t="str">
        <v>CIMMYT</v>
      </c>
      <c r="C4" s="4" t="str">
        <v>Kenya</v>
      </c>
      <c r="D4" s="5">
        <v>100</v>
      </c>
      <c r="E4" s="4">
        <v>3267</v>
      </c>
    </row>
    <row r="5" ht="45" customHeight="1">
      <c r="A5" s="8" t="str">
        <v>AOW02: Accelerated Breeding</v>
      </c>
      <c r="B5" s="4" t="str">
        <v>CIMMYT</v>
      </c>
      <c r="C5" s="4" t="str">
        <v>Ethiopia</v>
      </c>
      <c r="D5" s="5">
        <v>20</v>
      </c>
      <c r="E5" s="4">
        <v>3268</v>
      </c>
    </row>
    <row r="6" ht="45" customHeight="1">
      <c r="A6" s="4" t="str">
        <v>AOW02: Accelerated Breeding</v>
      </c>
      <c r="B6" s="4" t="str">
        <v>CIMMYT</v>
      </c>
      <c r="C6" s="4" t="str">
        <v>Kenya</v>
      </c>
      <c r="D6" s="5">
        <v>20</v>
      </c>
      <c r="E6" s="4">
        <v>3269</v>
      </c>
    </row>
    <row r="7" ht="45" customHeight="1">
      <c r="A7" s="4" t="str">
        <v>AOW02: Accelerated Breeding</v>
      </c>
      <c r="B7" s="4" t="str">
        <v>CIMMYT</v>
      </c>
      <c r="C7" s="4" t="str">
        <v>Mexico</v>
      </c>
      <c r="D7" s="5">
        <v>20</v>
      </c>
      <c r="E7" s="4">
        <v>3270</v>
      </c>
    </row>
    <row r="8" ht="45" customHeight="1">
      <c r="A8" s="4" t="str">
        <v>AOW02: Accelerated Breeding</v>
      </c>
      <c r="B8" s="4" t="str">
        <v>CIMMYT</v>
      </c>
      <c r="C8" s="4" t="str">
        <v>Senegal</v>
      </c>
      <c r="D8" s="5">
        <v>20</v>
      </c>
      <c r="E8" s="4">
        <v>3271</v>
      </c>
    </row>
    <row r="9" ht="45" customHeight="1">
      <c r="A9" s="4" t="str">
        <v>AOW02: Accelerated Breeding</v>
      </c>
      <c r="B9" s="4" t="str">
        <v>CIMMYT</v>
      </c>
      <c r="C9" s="4" t="str">
        <v>Zimbabwe</v>
      </c>
      <c r="D9" s="5">
        <v>20</v>
      </c>
      <c r="E9" s="4">
        <v>3272</v>
      </c>
    </row>
    <row r="10" ht="45" customHeight="1">
      <c r="A10" s="8" t="str">
        <v>AOW03: Inclusive Delivery</v>
      </c>
      <c r="B10" s="4" t="str">
        <v>CIMMYT</v>
      </c>
      <c r="C10" s="4" t="str">
        <v>Ethiopia</v>
      </c>
      <c r="D10" s="5">
        <v>20</v>
      </c>
      <c r="E10" s="4">
        <v>3273</v>
      </c>
    </row>
    <row r="11" ht="45" customHeight="1">
      <c r="A11" s="4" t="str">
        <v>AOW03: Inclusive Delivery</v>
      </c>
      <c r="B11" s="4" t="str">
        <v>CIMMYT</v>
      </c>
      <c r="C11" s="4" t="str">
        <v>Kenya</v>
      </c>
      <c r="D11" s="5">
        <v>20</v>
      </c>
      <c r="E11" s="4">
        <v>3274</v>
      </c>
    </row>
    <row r="12" ht="45" customHeight="1">
      <c r="A12" s="4" t="str">
        <v>AOW03: Inclusive Delivery</v>
      </c>
      <c r="B12" s="4" t="str">
        <v>CIMMYT</v>
      </c>
      <c r="C12" s="4" t="str">
        <v>Nigeria</v>
      </c>
      <c r="D12" s="5">
        <v>20</v>
      </c>
      <c r="E12" s="4">
        <v>3275</v>
      </c>
    </row>
    <row r="13" ht="45" customHeight="1">
      <c r="A13" s="4" t="str">
        <v>AOW03: Inclusive Delivery</v>
      </c>
      <c r="B13" s="4" t="str">
        <v>CIMMYT</v>
      </c>
      <c r="C13" s="4" t="str">
        <v>Senegal</v>
      </c>
      <c r="D13" s="5">
        <v>20</v>
      </c>
      <c r="E13" s="4">
        <v>3276</v>
      </c>
    </row>
    <row r="14" ht="45" customHeight="1">
      <c r="A14" s="4" t="str">
        <v>AOW03: Inclusive Delivery</v>
      </c>
      <c r="B14" s="4" t="str">
        <v>CIMMYT</v>
      </c>
      <c r="C14" s="4" t="str">
        <v>Zimbabwe</v>
      </c>
      <c r="D14" s="5">
        <v>20</v>
      </c>
      <c r="E14" s="4">
        <v>3277</v>
      </c>
    </row>
    <row r="15" ht="45" customHeight="1">
      <c r="A15" s="8" t="str">
        <v>AOW04: Breeding Resources</v>
      </c>
      <c r="B15" s="4" t="str">
        <v>CIMMYT</v>
      </c>
      <c r="C15" s="4" t="str">
        <v>Ethiopia</v>
      </c>
      <c r="D15" s="5">
        <v>12.5</v>
      </c>
      <c r="E15" s="4">
        <v>3278</v>
      </c>
    </row>
    <row r="16" ht="45" customHeight="1">
      <c r="A16" s="4" t="str">
        <v>AOW04: Breeding Resources</v>
      </c>
      <c r="B16" s="4" t="str">
        <v>CIMMYT</v>
      </c>
      <c r="C16" s="4" t="str">
        <v>India</v>
      </c>
      <c r="D16" s="5">
        <v>12.5</v>
      </c>
      <c r="E16" s="4">
        <v>3279</v>
      </c>
    </row>
    <row r="17" ht="45" customHeight="1">
      <c r="A17" s="4" t="str">
        <v>AOW04: Breeding Resources</v>
      </c>
      <c r="B17" s="4" t="str">
        <v>CIMMYT</v>
      </c>
      <c r="C17" s="4" t="str">
        <v>Kenya</v>
      </c>
      <c r="D17" s="5">
        <v>12.5</v>
      </c>
      <c r="E17" s="4">
        <v>3280</v>
      </c>
    </row>
    <row r="18" ht="45" customHeight="1">
      <c r="A18" s="4" t="str">
        <v>AOW04: Breeding Resources</v>
      </c>
      <c r="B18" s="4" t="str">
        <v>CIMMYT</v>
      </c>
      <c r="C18" s="4" t="str">
        <v>Mexico</v>
      </c>
      <c r="D18" s="5">
        <v>12.5</v>
      </c>
      <c r="E18" s="4">
        <v>3281</v>
      </c>
    </row>
    <row r="19" ht="45" customHeight="1">
      <c r="A19" s="4" t="str">
        <v>AOW04: Breeding Resources</v>
      </c>
      <c r="B19" s="4" t="str">
        <v>CIMMYT</v>
      </c>
      <c r="C19" s="4" t="str">
        <v>Philippines</v>
      </c>
      <c r="D19" s="5">
        <v>12.5</v>
      </c>
      <c r="E19" s="4">
        <v>3282</v>
      </c>
    </row>
    <row r="20" ht="45" customHeight="1">
      <c r="A20" s="4" t="str">
        <v>AOW04: Breeding Resources</v>
      </c>
      <c r="B20" s="4" t="str">
        <v>CIMMYT</v>
      </c>
      <c r="C20" s="4" t="str">
        <v>Senegal</v>
      </c>
      <c r="D20" s="5">
        <v>12.5</v>
      </c>
      <c r="E20" s="4">
        <v>3283</v>
      </c>
    </row>
    <row r="21" ht="45" customHeight="1">
      <c r="A21" s="4" t="str">
        <v>AOW04: Breeding Resources</v>
      </c>
      <c r="B21" s="4" t="str">
        <v>CIMMYT</v>
      </c>
      <c r="C21" s="4" t="str">
        <v>United Kingdom of Great Britain and Northern Ireland</v>
      </c>
      <c r="D21" s="5">
        <v>12.5</v>
      </c>
      <c r="E21" s="4">
        <v>3284</v>
      </c>
    </row>
    <row r="22" ht="45" customHeight="1">
      <c r="A22" s="4" t="str">
        <v>AOW04: Breeding Resources</v>
      </c>
      <c r="B22" s="4" t="str">
        <v>CIMMYT</v>
      </c>
      <c r="C22" s="4" t="str">
        <v>Zimbabwe</v>
      </c>
      <c r="D22" s="5">
        <v>12.5</v>
      </c>
      <c r="E22" s="4">
        <v>3285</v>
      </c>
    </row>
    <row r="23" ht="45" customHeight="1">
      <c r="A23" s="8" t="str">
        <v>AOW05: Enable</v>
      </c>
      <c r="B23" s="4" t="str">
        <v>CIMMYT</v>
      </c>
      <c r="C23" s="4" t="str">
        <v>Bangladesh</v>
      </c>
      <c r="D23" s="5">
        <v>10</v>
      </c>
      <c r="E23" s="4">
        <v>3286</v>
      </c>
    </row>
    <row r="24" ht="45" customHeight="1">
      <c r="A24" s="4" t="str">
        <v>AOW05: Enable</v>
      </c>
      <c r="B24" s="4" t="str">
        <v>CIMMYT</v>
      </c>
      <c r="C24" s="4" t="str">
        <v>Ethiopia</v>
      </c>
      <c r="D24" s="5">
        <v>10</v>
      </c>
      <c r="E24" s="4">
        <v>3287</v>
      </c>
    </row>
    <row r="25" ht="45" customHeight="1">
      <c r="A25" s="4" t="str">
        <v>AOW05: Enable</v>
      </c>
      <c r="B25" s="4" t="str">
        <v>CIMMYT</v>
      </c>
      <c r="C25" s="4" t="str">
        <v>India</v>
      </c>
      <c r="D25" s="5">
        <v>10</v>
      </c>
      <c r="E25" s="4">
        <v>3288</v>
      </c>
    </row>
    <row r="26" ht="45" customHeight="1">
      <c r="A26" s="4" t="str">
        <v>AOW05: Enable</v>
      </c>
      <c r="B26" s="4" t="str">
        <v>CIMMYT</v>
      </c>
      <c r="C26" s="4" t="str">
        <v>Kenya</v>
      </c>
      <c r="D26" s="5">
        <v>10</v>
      </c>
      <c r="E26" s="4">
        <v>3289</v>
      </c>
    </row>
    <row r="27" ht="45" customHeight="1">
      <c r="A27" s="4" t="str">
        <v>AOW05: Enable</v>
      </c>
      <c r="B27" s="4" t="str">
        <v>CIMMYT</v>
      </c>
      <c r="C27" s="4" t="str">
        <v>Malawi</v>
      </c>
      <c r="D27" s="5">
        <v>10</v>
      </c>
      <c r="E27" s="4">
        <v>3290</v>
      </c>
    </row>
    <row r="28" ht="45" customHeight="1">
      <c r="A28" s="4" t="str">
        <v>AOW05: Enable</v>
      </c>
      <c r="B28" s="4" t="str">
        <v>CIMMYT</v>
      </c>
      <c r="C28" s="4" t="str">
        <v>Mexico</v>
      </c>
      <c r="D28" s="5">
        <v>10</v>
      </c>
      <c r="E28" s="4">
        <v>3291</v>
      </c>
    </row>
    <row r="29" ht="45" customHeight="1">
      <c r="A29" s="4" t="str">
        <v>AOW05: Enable</v>
      </c>
      <c r="B29" s="4" t="str">
        <v>CIMMYT</v>
      </c>
      <c r="C29" s="4" t="str">
        <v>Nepal</v>
      </c>
      <c r="D29" s="5">
        <v>10</v>
      </c>
      <c r="E29" s="4">
        <v>3292</v>
      </c>
    </row>
    <row r="30" ht="45" customHeight="1">
      <c r="A30" s="4" t="str">
        <v>AOW05: Enable</v>
      </c>
      <c r="B30" s="4" t="str">
        <v>CIMMYT</v>
      </c>
      <c r="C30" s="4" t="str">
        <v>Pakistan</v>
      </c>
      <c r="D30" s="5">
        <v>10</v>
      </c>
      <c r="E30" s="4">
        <v>3293</v>
      </c>
    </row>
    <row r="31" ht="45" customHeight="1">
      <c r="A31" s="4" t="str">
        <v>AOW05: Enable</v>
      </c>
      <c r="B31" s="4" t="str">
        <v>CIMMYT</v>
      </c>
      <c r="C31" s="4" t="str">
        <v>Tanzania</v>
      </c>
      <c r="D31" s="5">
        <v>10</v>
      </c>
      <c r="E31" s="4">
        <v>3294</v>
      </c>
    </row>
    <row r="32" ht="45" customHeight="1">
      <c r="A32" s="4" t="str">
        <v>AOW05: Enable</v>
      </c>
      <c r="B32" s="4" t="str">
        <v>CIMMYT</v>
      </c>
      <c r="C32" s="4" t="str">
        <v>Uganda</v>
      </c>
      <c r="D32" s="5">
        <v>10</v>
      </c>
      <c r="E32" s="4">
        <v>3295</v>
      </c>
    </row>
  </sheetData>
  <mergeCells count="6">
    <mergeCell ref="A2:A3"/>
    <mergeCell ref="A4"/>
    <mergeCell ref="A5:A9"/>
    <mergeCell ref="A10:A14"/>
    <mergeCell ref="A15:A22"/>
    <mergeCell ref="A23:A32"/>
  </mergeCells>
  <ignoredErrors>
    <ignoredError numberStoredAsText="1" sqref="A1:E32"/>
  </ignoredErrors>
</worksheet>
</file>

<file path=xl/worksheets/sheet9.xml><?xml version="1.0" encoding="utf-8"?>
<worksheet xmlns="http://schemas.openxmlformats.org/spreadsheetml/2006/main" xmlns:r="http://schemas.openxmlformats.org/officeDocument/2006/relationships">
  <dimension ref="A1:F1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1685</v>
      </c>
    </row>
    <row r="3" ht="45" customHeight="1">
      <c r="A3" s="8" t="str">
        <v>AOW01: Market Intelligence</v>
      </c>
      <c r="B3" s="4" t="str">
        <v>CIMMYT</v>
      </c>
      <c r="C3" s="4" t="str">
        <v>Global</v>
      </c>
      <c r="D3" s="4" t="str">
        <v>global</v>
      </c>
      <c r="E3" s="5">
        <v>100</v>
      </c>
      <c r="F3" s="4">
        <v>1505</v>
      </c>
    </row>
    <row r="4" ht="45" customHeight="1">
      <c r="A4" s="8" t="str">
        <v>AOW02: Accelerated Breeding</v>
      </c>
      <c r="B4" s="4" t="str">
        <v>CIMMYT</v>
      </c>
      <c r="C4" s="4" t="str">
        <v>Eastern Africa</v>
      </c>
      <c r="D4" s="4" t="str">
        <v>region</v>
      </c>
      <c r="E4" s="5">
        <v>33.33</v>
      </c>
      <c r="F4" s="4">
        <v>1506</v>
      </c>
    </row>
    <row r="5" ht="45" customHeight="1">
      <c r="A5" s="4" t="str">
        <v>AOW02: Accelerated Breeding</v>
      </c>
      <c r="B5" s="4" t="str">
        <v>CIMMYT</v>
      </c>
      <c r="C5" s="4" t="str">
        <v>Latin America and the Caribbean</v>
      </c>
      <c r="D5" s="4" t="str">
        <v>region</v>
      </c>
      <c r="E5" s="5">
        <v>33.34</v>
      </c>
      <c r="F5" s="4">
        <v>1508</v>
      </c>
    </row>
    <row r="6" ht="45" customHeight="1">
      <c r="A6" s="4" t="str">
        <v>AOW02: Accelerated Breeding</v>
      </c>
      <c r="B6" s="4" t="str">
        <v>CIMMYT</v>
      </c>
      <c r="C6" s="4" t="str">
        <v>Southern Africa</v>
      </c>
      <c r="D6" s="4" t="str">
        <v>region</v>
      </c>
      <c r="E6" s="5">
        <v>33.33</v>
      </c>
      <c r="F6" s="4">
        <v>1507</v>
      </c>
    </row>
    <row r="7" ht="45" customHeight="1">
      <c r="A7" s="8" t="str">
        <v>AOW03: Inclusive Delivery</v>
      </c>
      <c r="B7" s="4" t="str">
        <v>CIMMYT</v>
      </c>
      <c r="C7" s="4" t="str">
        <v>Eastern Africa</v>
      </c>
      <c r="D7" s="4" t="str">
        <v>region</v>
      </c>
      <c r="E7" s="5">
        <v>50</v>
      </c>
      <c r="F7" s="4">
        <v>1509</v>
      </c>
    </row>
    <row r="8" ht="45" customHeight="1">
      <c r="A8" s="4" t="str">
        <v>AOW03: Inclusive Delivery</v>
      </c>
      <c r="B8" s="4" t="str">
        <v>CIMMYT</v>
      </c>
      <c r="C8" s="4" t="str">
        <v>Southern Africa</v>
      </c>
      <c r="D8" s="4" t="str">
        <v>region</v>
      </c>
      <c r="E8" s="5">
        <v>50</v>
      </c>
      <c r="F8" s="4">
        <v>1510</v>
      </c>
    </row>
    <row r="9" ht="45" customHeight="1">
      <c r="A9" s="8" t="str">
        <v>AOW04: Breeding Resources</v>
      </c>
      <c r="B9" s="4" t="str">
        <v>CIMMYT</v>
      </c>
      <c r="C9" s="4" t="str">
        <v>Global</v>
      </c>
      <c r="D9" s="4" t="str">
        <v>global</v>
      </c>
      <c r="E9" s="5">
        <v>100</v>
      </c>
      <c r="F9" s="4">
        <v>1511</v>
      </c>
    </row>
    <row r="10" ht="45" customHeight="1">
      <c r="A10" s="8" t="str">
        <v>AOW05: Enable</v>
      </c>
      <c r="B10" s="4" t="str">
        <v>CIMMYT</v>
      </c>
      <c r="C10" s="4" t="str">
        <v>Bangladesh</v>
      </c>
      <c r="D10" s="4" t="str">
        <v>country</v>
      </c>
      <c r="E10" s="5">
        <v>10</v>
      </c>
      <c r="F10" s="4">
        <v>1512</v>
      </c>
    </row>
    <row r="11" ht="45" customHeight="1">
      <c r="A11" s="4" t="str">
        <v>AOW05: Enable</v>
      </c>
      <c r="B11" s="4" t="str">
        <v>CIMMYT</v>
      </c>
      <c r="C11" s="4" t="str">
        <v>Ethiopia</v>
      </c>
      <c r="D11" s="4" t="str">
        <v>country</v>
      </c>
      <c r="E11" s="5">
        <v>10</v>
      </c>
      <c r="F11" s="4">
        <v>1513</v>
      </c>
    </row>
    <row r="12" ht="45" customHeight="1">
      <c r="A12" s="4" t="str">
        <v>AOW05: Enable</v>
      </c>
      <c r="B12" s="4" t="str">
        <v>CIMMYT</v>
      </c>
      <c r="C12" s="4" t="str">
        <v>India</v>
      </c>
      <c r="D12" s="4" t="str">
        <v>country</v>
      </c>
      <c r="E12" s="5">
        <v>10</v>
      </c>
      <c r="F12" s="4">
        <v>1515</v>
      </c>
    </row>
    <row r="13" ht="45" customHeight="1">
      <c r="A13" s="4" t="str">
        <v>AOW05: Enable</v>
      </c>
      <c r="B13" s="4" t="str">
        <v>CIMMYT</v>
      </c>
      <c r="C13" s="4" t="str">
        <v>Kenya</v>
      </c>
      <c r="D13" s="4" t="str">
        <v>country</v>
      </c>
      <c r="E13" s="5">
        <v>10</v>
      </c>
      <c r="F13" s="4">
        <v>1514</v>
      </c>
    </row>
    <row r="14" ht="45" customHeight="1">
      <c r="A14" s="4" t="str">
        <v>AOW05: Enable</v>
      </c>
      <c r="B14" s="4" t="str">
        <v>CIMMYT</v>
      </c>
      <c r="C14" s="4" t="str">
        <v>Malawi</v>
      </c>
      <c r="D14" s="4" t="str">
        <v>country</v>
      </c>
      <c r="E14" s="5">
        <v>10</v>
      </c>
      <c r="F14" s="4">
        <v>1516</v>
      </c>
    </row>
    <row r="15" ht="45" customHeight="1">
      <c r="A15" s="4" t="str">
        <v>AOW05: Enable</v>
      </c>
      <c r="B15" s="4" t="str">
        <v>CIMMYT</v>
      </c>
      <c r="C15" s="4" t="str">
        <v>Mexico</v>
      </c>
      <c r="D15" s="4" t="str">
        <v>country</v>
      </c>
      <c r="E15" s="5">
        <v>10</v>
      </c>
      <c r="F15" s="4">
        <v>1517</v>
      </c>
    </row>
    <row r="16" ht="45" customHeight="1">
      <c r="A16" s="4" t="str">
        <v>AOW05: Enable</v>
      </c>
      <c r="B16" s="4" t="str">
        <v>CIMMYT</v>
      </c>
      <c r="C16" s="4" t="str">
        <v>Nepal</v>
      </c>
      <c r="D16" s="4" t="str">
        <v>country</v>
      </c>
      <c r="E16" s="5">
        <v>10</v>
      </c>
      <c r="F16" s="4">
        <v>1518</v>
      </c>
    </row>
    <row r="17" ht="45" customHeight="1">
      <c r="A17" s="4" t="str">
        <v>AOW05: Enable</v>
      </c>
      <c r="B17" s="4" t="str">
        <v>CIMMYT</v>
      </c>
      <c r="C17" s="4" t="str">
        <v>Pakistan</v>
      </c>
      <c r="D17" s="4" t="str">
        <v>country</v>
      </c>
      <c r="E17" s="5">
        <v>10</v>
      </c>
      <c r="F17" s="4">
        <v>1519</v>
      </c>
    </row>
    <row r="18" ht="45" customHeight="1">
      <c r="A18" s="4" t="str">
        <v>AOW05: Enable</v>
      </c>
      <c r="B18" s="4" t="str">
        <v>CIMMYT</v>
      </c>
      <c r="C18" s="4" t="str">
        <v>Tanzania, United Republic</v>
      </c>
      <c r="D18" s="4" t="str">
        <v>country</v>
      </c>
      <c r="E18" s="5">
        <v>10</v>
      </c>
      <c r="F18" s="4">
        <v>1520</v>
      </c>
    </row>
    <row r="19" ht="45" customHeight="1">
      <c r="A19" s="4" t="str">
        <v>AOW05: Enable</v>
      </c>
      <c r="B19" s="4" t="str">
        <v>CIMMYT</v>
      </c>
      <c r="C19" s="4" t="str">
        <v>Uganda</v>
      </c>
      <c r="D19" s="4" t="str">
        <v>country</v>
      </c>
      <c r="E19" s="5">
        <v>10</v>
      </c>
      <c r="F19" s="4">
        <v>1521</v>
      </c>
    </row>
  </sheetData>
  <mergeCells count="6">
    <mergeCell ref="A2"/>
    <mergeCell ref="A3"/>
    <mergeCell ref="A4:A6"/>
    <mergeCell ref="A7:A8"/>
    <mergeCell ref="A9"/>
    <mergeCell ref="A10:A19"/>
  </mergeCells>
  <ignoredErrors>
    <ignoredError numberStoredAsText="1" sqref="A1:F19"/>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