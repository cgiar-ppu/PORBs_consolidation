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1</v>
      </c>
      <c r="E5" s="5">
        <v>36000</v>
      </c>
      <c r="F5" s="5">
        <v>0</v>
      </c>
      <c r="G5" s="5">
        <v>0</v>
      </c>
      <c r="H5" s="5">
        <v>0</v>
      </c>
      <c r="I5" s="5">
        <v>0</v>
      </c>
      <c r="J5" s="5">
        <v>36000</v>
      </c>
      <c r="K5" s="5">
        <v>36000</v>
      </c>
      <c r="L5" s="5">
        <v>0</v>
      </c>
      <c r="M5" s="5">
        <v>0</v>
      </c>
      <c r="N5" s="4">
        <v>161</v>
      </c>
    </row>
    <row r="6" ht="20" customHeight="1">
      <c r="A6" s="4" t="str">
        <v>AOW02: Accelerated Breeding</v>
      </c>
      <c r="B6" s="5">
        <v>3</v>
      </c>
      <c r="C6" s="5">
        <v>460000</v>
      </c>
      <c r="D6" s="5">
        <v>0</v>
      </c>
      <c r="E6" s="5">
        <v>0</v>
      </c>
      <c r="F6" s="5">
        <v>0</v>
      </c>
      <c r="G6" s="5">
        <v>0</v>
      </c>
      <c r="H6" s="5">
        <v>0</v>
      </c>
      <c r="I6" s="5">
        <v>0</v>
      </c>
      <c r="J6" s="5">
        <v>460000</v>
      </c>
      <c r="K6" s="5">
        <v>460000</v>
      </c>
      <c r="L6" s="5">
        <v>15000</v>
      </c>
      <c r="M6" s="5">
        <v>0</v>
      </c>
      <c r="N6" s="4">
        <v>160</v>
      </c>
    </row>
    <row r="7" ht="20" customHeight="1">
      <c r="A7" s="4" t="str">
        <v>AOW03: Inclusive Delivery</v>
      </c>
      <c r="B7" s="5">
        <v>0</v>
      </c>
      <c r="C7" s="5">
        <v>0</v>
      </c>
      <c r="D7" s="5">
        <v>2</v>
      </c>
      <c r="E7" s="5">
        <v>100000</v>
      </c>
      <c r="F7" s="5">
        <v>0</v>
      </c>
      <c r="G7" s="5">
        <v>0</v>
      </c>
      <c r="H7" s="5">
        <v>0</v>
      </c>
      <c r="I7" s="5">
        <v>0</v>
      </c>
      <c r="J7" s="5">
        <v>100000</v>
      </c>
      <c r="K7" s="5">
        <v>100000</v>
      </c>
      <c r="L7" s="5">
        <v>10000</v>
      </c>
      <c r="M7" s="5">
        <v>0</v>
      </c>
      <c r="N7" s="4">
        <v>159</v>
      </c>
    </row>
    <row r="8" ht="20" customHeight="1">
      <c r="A8" s="4" t="str">
        <v>AOW04: Breeding Resources</v>
      </c>
      <c r="B8" s="5">
        <v>1</v>
      </c>
      <c r="C8" s="5">
        <v>91000</v>
      </c>
      <c r="D8" s="5">
        <v>0</v>
      </c>
      <c r="E8" s="5">
        <v>0</v>
      </c>
      <c r="F8" s="5">
        <v>0</v>
      </c>
      <c r="G8" s="5">
        <v>0</v>
      </c>
      <c r="H8" s="5">
        <v>3</v>
      </c>
      <c r="I8" s="5">
        <v>60000</v>
      </c>
      <c r="J8" s="5">
        <v>151000</v>
      </c>
      <c r="K8" s="5">
        <v>151000</v>
      </c>
      <c r="L8" s="5">
        <v>0</v>
      </c>
      <c r="M8" s="5">
        <v>0</v>
      </c>
      <c r="N8" s="4">
        <v>158</v>
      </c>
    </row>
    <row r="9" ht="20" customHeight="1">
      <c r="A9" s="4" t="str">
        <v>AOW05: Enable</v>
      </c>
      <c r="B9" s="5">
        <v>0</v>
      </c>
      <c r="C9" s="5">
        <v>0</v>
      </c>
      <c r="D9" s="5">
        <v>0</v>
      </c>
      <c r="E9" s="5">
        <v>0</v>
      </c>
      <c r="F9" s="5">
        <v>0</v>
      </c>
      <c r="G9" s="5">
        <v>0</v>
      </c>
      <c r="H9" s="5">
        <v>3</v>
      </c>
      <c r="I9" s="5">
        <v>169724</v>
      </c>
      <c r="J9" s="5">
        <v>169724</v>
      </c>
      <c r="K9" s="5">
        <v>169724</v>
      </c>
      <c r="L9" s="5">
        <v>25000</v>
      </c>
      <c r="M9" s="5">
        <v>0</v>
      </c>
      <c r="N9" s="4">
        <v>162</v>
      </c>
    </row>
    <row r="10" ht="25" customHeight="1">
      <c r="A10" s="6" t="str">
        <v>Total</v>
      </c>
      <c r="B10" s="7" t="str">
        <v/>
      </c>
      <c r="C10" s="7">
        <v>551000</v>
      </c>
      <c r="D10" s="7" t="str">
        <v/>
      </c>
      <c r="E10" s="7">
        <v>136000</v>
      </c>
      <c r="F10" s="7" t="str">
        <v/>
      </c>
      <c r="G10" s="7">
        <v>0</v>
      </c>
      <c r="H10" s="7" t="str">
        <v/>
      </c>
      <c r="I10" s="7">
        <v>229724</v>
      </c>
      <c r="J10" s="7">
        <v>916724</v>
      </c>
      <c r="K10" s="7">
        <v>916724</v>
      </c>
      <c r="L10" s="7">
        <v>50000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ICARDA</v>
      </c>
      <c r="C3" s="4" t="str">
        <v>HLO4.AOW1.IO1 Foster motivations</v>
      </c>
      <c r="D3" s="4" t="str">
        <v>11-.--------------------ICARDA - BARLEY (Barley EAF ICARDA TPP00143; TPP00144: Gender mainstreaming of barley traits)-------------------..-------- KEY ACTIVITIES FOR THIS DELIVERABLE:      Direct surveys with farmers on preference for specific traits of barley. Analysis by gender and age disaggregation to formulate major gender-responsive traits. These will be provided to AoW02 to ensure their weight in selection and avdancement decisions is properly recognized..-------- BREEDING PIPELINE:     Barley ICARDA BP00062 &amp; Barley ICARDA BP00063.-------- MARKET SEGMENT:     Barley EAF MS00264 &amp; Barley EAF MS00265.-------- INDICATOR:     Number of knowledge products developed (disaggregated by type,report)</v>
      </c>
      <c r="E3" s="4" t="str">
        <v>Number of knowledge products</v>
      </c>
      <c r="F3" s="4" t="str">
        <v>Morocco, Ethiopia</v>
      </c>
      <c r="G3" s="5">
        <v>1</v>
      </c>
      <c r="H3" s="5">
        <v>36000</v>
      </c>
      <c r="I3" s="4" t="str">
        <v>0 POD, 36k Critical capabilities, 0 April surge</v>
      </c>
      <c r="J3" s="4">
        <v>4828</v>
      </c>
    </row>
    <row r="4" ht="25" customHeight="1">
      <c r="C4" s="9" t="str">
        <v>HLO budget subtotal</v>
      </c>
      <c r="H4" s="9">
        <v>36000</v>
      </c>
      <c r="J4" s="9" t="str">
        <v/>
      </c>
    </row>
    <row r="5" ht="50" customHeight="1">
      <c r="A5" s="8" t="str">
        <v>AOW02: Accelerated Breeding</v>
      </c>
      <c r="B5" s="4" t="str">
        <v>ICARDA</v>
      </c>
      <c r="C5" s="4" t="str">
        <v>HLO9.AOW2.IO2 Create products</v>
      </c>
      <c r="D5" s="4" t="str">
        <v>40-.------------------------------ PARTIAL CRITICAL CAPABILITIES (20K) -ICARDA--- BREAD WHEAT; DURUM WHEAT (Wheat Spring EAF ICARDA TPP00157; TPP00157; Wheat Durum EAF ICARDA TPP00166: breeding.) ------------------------------..-------- KEY ACTIVITIES FOR THIS DELIVERABLE:      Conducting breeding advancement deploying all methods to accelerate genetic Gain, perform Stage 2 trials by partners, and deliver a released variety in the MS matching the TPP for durum wheat and spring bread wheat .-------- BREEDING PIPELINE:     Wheat Durum ICARDA BP00074; Wheat Spring ICARDA BP00069; Wheat Spring ICARDA BP00070.-------- MARKET SEGMENT:     Wheat Durum EAF MS00027; Wheat Spring EAF MS00701; Wheat Spring EAF MS00700.-------- INDICATOR:      Number of varieties released to partners for scaling</v>
      </c>
      <c r="E5" s="4" t="str">
        <v>Number of innovations (innovation development)</v>
      </c>
      <c r="F5" s="4" t="str">
        <v>Morocco, Lebanon, Ethiopia</v>
      </c>
      <c r="G5" s="5">
        <v>2</v>
      </c>
      <c r="H5" s="5">
        <v>350000</v>
      </c>
      <c r="I5" s="4" t="str">
        <v>300k POD, 20k Critical capabilities, 30k April surge</v>
      </c>
      <c r="J5" s="4">
        <v>4779</v>
      </c>
    </row>
    <row r="6" ht="50" customHeight="1">
      <c r="B6" s="4" t="str">
        <v>ICARDA</v>
      </c>
      <c r="D6" s="4" t="str">
        <v>42-.------------------------------ ICARDA - BARLEY - (Barley EAF ICARDA TPP00143; TPP00144: breeding) ------------------------------..-------- KEY ACTIVITIES FOR THIS DELIVERABLE:      Conducting breeding advancement deploying all methods to accelerate genetic Gain, perform Stage 2 trials by partners, and deliver a released variety in the MS matching the TPP for barley.-------- BREEDING PIPELINE:     Barley ICARDA BP00062 &amp; Barley ICARDA BP00063.-------- MARKET SEGMENT:     Barley EAF MS00264 &amp; Barley EAF MS00265.-------- INDICATOR:     Number of varieties released to partners for scaling</v>
      </c>
      <c r="E6" s="4" t="str">
        <v>Number of innovations (innovation development)</v>
      </c>
      <c r="F6" s="4" t="str">
        <v>Ethiopia, Kenya</v>
      </c>
      <c r="G6" s="5">
        <v>1</v>
      </c>
      <c r="H6" s="5">
        <v>110000</v>
      </c>
      <c r="I6" s="4" t="str">
        <v>0 POD, 110k Critical capabilities, 0 April surge</v>
      </c>
      <c r="J6" s="4">
        <v>4781</v>
      </c>
    </row>
    <row r="7" ht="25" customHeight="1">
      <c r="C7" s="9" t="str">
        <v>HLO budget subtotal</v>
      </c>
      <c r="H7" s="9">
        <v>460000</v>
      </c>
      <c r="J7" s="9" t="str">
        <v/>
      </c>
    </row>
    <row r="8" ht="50" customHeight="1">
      <c r="A8" s="8" t="str">
        <v>AOW03: Inclusive Delivery</v>
      </c>
      <c r="B8" s="4" t="str">
        <v>ICARDA</v>
      </c>
      <c r="C8" s="4" t="str">
        <v>HLO12.AOW3.IO5 Deploy seed</v>
      </c>
      <c r="D8" s="4" t="str">
        <v>NEW-.---- ICARDA - BREAD WHEAT; DURUM WHEAT; BARLEY (Improve EGS production) ------------------..-------- KEY ACTIVITIES FOR THIS DELIVERABLE:      Review existing EGS production systems, current early seed amounts, and devise clear guidelines to strengthen the partner's ability to deliver varieties of wheat and barley to farmers. Reports will provide deployable technical solutions with a measurable impact to increase early generation seed availability of recently released varieties for the targeted market segment (MS).--------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Report to assess and improve the quantity of Early generation seed produced</v>
      </c>
      <c r="E8" s="4" t="str">
        <v>Number of knowledge products</v>
      </c>
      <c r="F8" s="4" t="str">
        <v>Pakistan, Ethiopia</v>
      </c>
      <c r="G8" s="5">
        <v>2</v>
      </c>
      <c r="H8" s="5">
        <v>100000</v>
      </c>
      <c r="I8" s="4" t="str">
        <v>0 POD, 0 Critical, 100k April surge</v>
      </c>
      <c r="J8" s="4">
        <v>7213</v>
      </c>
    </row>
    <row r="9" ht="25" customHeight="1">
      <c r="C9" s="9" t="str">
        <v>HLO budget subtotal</v>
      </c>
      <c r="H9" s="9">
        <v>100000</v>
      </c>
      <c r="J9" s="9" t="str">
        <v/>
      </c>
    </row>
    <row r="10" ht="50" customHeight="1">
      <c r="A10" s="8" t="str">
        <v>AOW04: Breeding Resources</v>
      </c>
      <c r="B10" s="4" t="str">
        <v>ICARDA</v>
      </c>
      <c r="C10" s="4" t="str">
        <v>HLO16.AOW4.IO3 Shared services</v>
      </c>
      <c r="D10" s="4" t="str">
        <v>137-.----------------------- CRITICAL CAPABILITIES - ICARDA - BREAD WHEAT - DURUM WHEAT - (Biometric support for GG estimation and Bioflow) ----..-------- KEY ACTIVITIES FOR THIS DELIVERABLE:      Biometric support to ensure best practice for field and genomci assesment of traits, supervision of data amangement, and perfom annually the genetic gain evaluations on Boflow..--------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assessments completed for GG determination</v>
      </c>
      <c r="E10" s="4" t="str">
        <v>custom</v>
      </c>
      <c r="F10" s="4" t="str">
        <v>Egypt</v>
      </c>
      <c r="G10" s="5">
        <v>3</v>
      </c>
      <c r="H10" s="5">
        <v>60000</v>
      </c>
      <c r="I10" s="4" t="str">
        <v>0 POD, 60k Critical capabilities, 0 April surge</v>
      </c>
      <c r="J10" s="4">
        <v>4866</v>
      </c>
    </row>
    <row r="11" ht="50" customHeight="1">
      <c r="B11" s="4" t="str">
        <v>ICARDA</v>
      </c>
      <c r="D11" s="4" t="str">
        <v>NEW-.----------------------- ICARDA - BREAD WHEAT - DURUM WHEAT - (Genotyping services) ----..-------- KEY ACTIVITIES FOR THIS DELIVERABLE:      Conduct genotyping of breeding and training population using preferred supplier.--------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tools and services used</v>
      </c>
      <c r="E11" s="4" t="str">
        <v>Number of innovations (innovation development)</v>
      </c>
      <c r="F11" s="4" t="str">
        <v>Morocco, Ethiopia</v>
      </c>
      <c r="G11" s="5">
        <v>1</v>
      </c>
      <c r="H11" s="5">
        <v>91000</v>
      </c>
      <c r="I11" s="4" t="str">
        <v>0 POD, 0 Critical, 91k April surge</v>
      </c>
      <c r="J11" s="4">
        <v>7215</v>
      </c>
    </row>
    <row r="12" ht="25" customHeight="1">
      <c r="C12" s="9" t="str">
        <v>HLO budget subtotal</v>
      </c>
      <c r="H12" s="9">
        <v>151000</v>
      </c>
      <c r="J12" s="9" t="str">
        <v/>
      </c>
    </row>
    <row r="13" ht="50" customHeight="1">
      <c r="A13" s="8" t="str">
        <v>AOW05: Enable</v>
      </c>
      <c r="B13" s="4" t="str">
        <v>ICARDA</v>
      </c>
      <c r="C13" s="4" t="str">
        <v>HLO18.AOW5.IO2 Partnered networks</v>
      </c>
      <c r="D13" s="4" t="str">
        <v>155-.---- ICARDA - BREAD WHEAT; DURUM WHEAT; BARLEY (Coordination and planning within and across country networks - wheat) ------------------..-------- KEY ACTIVITIES FOR THIS DELIVERABLE:      Perform NARES evaluations of EIAR capacities for durum wheat and barley. Provide strategic supervision and coordination of breeding activities across TPPs, crops, and countries. Support the participation of partners to the International Wheat Congress .--------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level 1 and level 2 countries assessed</v>
      </c>
      <c r="E13" s="4" t="str">
        <v>custom</v>
      </c>
      <c r="F13" s="4" t="str">
        <v>Egypt, Morocco, Lebanon</v>
      </c>
      <c r="G13" s="5">
        <v>2</v>
      </c>
      <c r="H13" s="5">
        <v>124724</v>
      </c>
      <c r="I13" s="4" t="str">
        <v>94724 POD, 0 Critical capabilities, 30k April surge</v>
      </c>
      <c r="J13" s="4">
        <v>4745</v>
      </c>
    </row>
    <row r="14" ht="50" customHeight="1">
      <c r="B14" s="4" t="str">
        <v>ICARDA</v>
      </c>
      <c r="D14" s="4" t="str">
        <v>NEW-.---- ICARDA - LEGUMES (Coordination and planning within and across country networks - legumes) ------------------..-------- KEY ACTIVITIES FOR THIS DELIVERABLE:      Perform NARES evaluations of EIAR capacities for ICARDA legumes. Provide strategic supervision and coordination of breeding activities across TPPs, crops, and countries..-------- BREEDING PIPELINE: Lentil ICARDA BP00067; Faba bean ICARDA BP00059;.-------- MARKET SEGMENT: Lentil EAF MS00275; Faba bean EAF MS00273; .-------- INDICATOR:     Number of institutions assessed</v>
      </c>
      <c r="E14" s="4" t="str">
        <v>custom</v>
      </c>
      <c r="F14" s="4" t="str">
        <v>Egypt, Lebanon, Morocco</v>
      </c>
      <c r="G14" s="5">
        <v>1</v>
      </c>
      <c r="H14" s="5">
        <v>45000</v>
      </c>
      <c r="I14" s="4" t="str">
        <v>0 POD, 0 Critical, 45k April surge</v>
      </c>
      <c r="J14" s="4">
        <v>7214</v>
      </c>
    </row>
    <row r="15" ht="25" customHeight="1">
      <c r="C15" s="9" t="str">
        <v>HLO budget subtotal</v>
      </c>
      <c r="H15" s="9">
        <v>169724</v>
      </c>
      <c r="J15" s="9" t="str">
        <v/>
      </c>
    </row>
  </sheetData>
  <mergeCells count="19">
    <mergeCell ref="A1:A2"/>
    <mergeCell ref="B1:B2"/>
    <mergeCell ref="C1:C2"/>
    <mergeCell ref="D1:H1"/>
    <mergeCell ref="I1:I2"/>
    <mergeCell ref="J1:J2"/>
    <mergeCell ref="C4:G4"/>
    <mergeCell ref="A3:A4"/>
    <mergeCell ref="C5:C6"/>
    <mergeCell ref="C7:G7"/>
    <mergeCell ref="A5:A7"/>
    <mergeCell ref="C9:G9"/>
    <mergeCell ref="A8:A9"/>
    <mergeCell ref="C10:C11"/>
    <mergeCell ref="C12:G12"/>
    <mergeCell ref="A10:A12"/>
    <mergeCell ref="C13:C14"/>
    <mergeCell ref="C15:G15"/>
    <mergeCell ref="A13:A15"/>
  </mergeCells>
  <ignoredErrors>
    <ignoredError numberStoredAsText="1" sqref="A1:J15"/>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Ethiopian Institute of Agricultural Research</v>
      </c>
      <c r="C2" s="4" t="str">
        <v>ICARDA</v>
      </c>
      <c r="D2" s="4" t="str">
        <v>Ethiopia</v>
      </c>
      <c r="E2" s="5">
        <v>15000</v>
      </c>
      <c r="F2" s="4" t="str">
        <v>POD: 5k durum, 5k barley, 5k bread</v>
      </c>
      <c r="G2" s="4">
        <v>6</v>
      </c>
    </row>
    <row r="3" ht="25" customHeight="1">
      <c r="B3" s="9" t="str">
        <v>Contracted partners subtotal</v>
      </c>
      <c r="E3" s="9">
        <v>15000</v>
      </c>
      <c r="F3" s="9" t="str">
        <v/>
      </c>
      <c r="G3" s="9" t="str">
        <v/>
      </c>
    </row>
    <row r="4" ht="50" customHeight="1">
      <c r="A4" s="8" t="str">
        <v>AOW03: Inclusive Delivery</v>
      </c>
      <c r="B4" s="4" t="str">
        <v>Ethiopian Institute of Agricultural Research</v>
      </c>
      <c r="C4" s="4" t="str">
        <v>ICARDA</v>
      </c>
      <c r="D4" s="4" t="str">
        <v>Ethiopia</v>
      </c>
      <c r="E4" s="5">
        <v>10000</v>
      </c>
      <c r="F4" s="4" t="str">
        <v>.</v>
      </c>
      <c r="G4" s="4">
        <v>329</v>
      </c>
    </row>
    <row r="5" ht="25" customHeight="1">
      <c r="B5" s="9" t="str">
        <v>Contracted partners subtotal</v>
      </c>
      <c r="E5" s="9">
        <v>10000</v>
      </c>
      <c r="F5" s="9" t="str">
        <v/>
      </c>
      <c r="G5" s="9" t="str">
        <v/>
      </c>
    </row>
    <row r="6" ht="50" customHeight="1">
      <c r="A6" s="8" t="str">
        <v>AOW05: Enable</v>
      </c>
      <c r="B6" s="4" t="str">
        <v>Ethiopian Institute of Agricultural Research</v>
      </c>
      <c r="C6" s="4" t="str">
        <v>ICARDA</v>
      </c>
      <c r="D6" s="4" t="str">
        <v>Ethiopia</v>
      </c>
      <c r="E6" s="5">
        <v>25000</v>
      </c>
      <c r="F6" s="4" t="str">
        <v>April sourge: 20k cereals, 5k legumes</v>
      </c>
      <c r="G6" s="4">
        <v>5</v>
      </c>
    </row>
    <row r="7" ht="25" customHeight="1">
      <c r="B7" s="9" t="str">
        <v>Contracted partners subtotal</v>
      </c>
      <c r="E7" s="9">
        <v>25000</v>
      </c>
      <c r="F7" s="9" t="str">
        <v/>
      </c>
      <c r="G7" s="9" t="str">
        <v/>
      </c>
    </row>
  </sheetData>
  <mergeCells count="6">
    <mergeCell ref="B3:D3"/>
    <mergeCell ref="A2:A3"/>
    <mergeCell ref="B5:D5"/>
    <mergeCell ref="A4: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1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D-100838-GRDC Genetic Diversity</v>
      </c>
      <c r="C2" s="4" t="str">
        <v>I-OC 1.3. Breeding network actors orient product development toward delivery of the greatest benefits across the 5 Impact Areas</v>
      </c>
      <c r="D2" s="5">
        <v>0</v>
      </c>
      <c r="E2" s="4" t="str">
        <v/>
      </c>
      <c r="F2" s="4">
        <v>906</v>
      </c>
    </row>
    <row r="3" ht="60" customHeight="1">
      <c r="A3" s="4" t="str">
        <v>ICARDA</v>
      </c>
      <c r="B3" s="4" t="str">
        <v>D-200211-Intelligent Collections of Food Legumes Genetic Res</v>
      </c>
      <c r="C3" s="4" t="str">
        <v>I-OC 1.3. Breeding network actors orient product development toward delivery of the greatest benefits across the 5 Impact Areas</v>
      </c>
      <c r="D3" s="5">
        <v>0</v>
      </c>
      <c r="E3" s="4" t="str">
        <v/>
      </c>
      <c r="F3" s="4">
        <v>905</v>
      </c>
    </row>
    <row r="4" ht="60" customHeight="1">
      <c r="A4" s="4" t="str">
        <v>ICARDA</v>
      </c>
      <c r="B4" s="4" t="str">
        <v>D-200261-Egypt Bilateral Program 2020-2021 and 2021-2022</v>
      </c>
      <c r="C4" s="4" t="str">
        <v>I-OC 3.5. Women, men, youth, and marginalized social groups accessing quality seed of improved varieties</v>
      </c>
      <c r="D4" s="5">
        <v>0</v>
      </c>
      <c r="E4" s="4" t="str">
        <v/>
      </c>
      <c r="F4" s="4">
        <v>892</v>
      </c>
    </row>
    <row r="5" ht="60" customHeight="1">
      <c r="A5" s="4" t="str">
        <v>ICARDA</v>
      </c>
      <c r="B5" s="4" t="str">
        <v>D-200271-Protecting Ethiopian Lentil Crops</v>
      </c>
      <c r="C5" s="4" t="str">
        <v>I-OC 1.4. Breeding network actors accelerate the development of impactful products that provide large-scale benefits across the 5 Impact Areas</v>
      </c>
      <c r="D5" s="5">
        <v>0</v>
      </c>
      <c r="E5" s="4" t="str">
        <v/>
      </c>
      <c r="F5" s="4">
        <v>909</v>
      </c>
    </row>
    <row r="6" ht="60" customHeight="1">
      <c r="A6" s="4" t="str">
        <v>ICARDA</v>
      </c>
      <c r="B6" s="4" t="str">
        <v>D-200314-BarleyMicroBreed: Strategies for breeding climate c</v>
      </c>
      <c r="C6" s="4" t="str">
        <v>I-OC 1.2. Breeding network actors adopt transformative partnership approaches driving equity and sustainability for analyzing markets and opportunities, product development, product delivery and scaling</v>
      </c>
      <c r="D6" s="5">
        <v>0</v>
      </c>
      <c r="E6" s="4" t="str">
        <v/>
      </c>
      <c r="F6" s="4">
        <v>923</v>
      </c>
    </row>
    <row r="7" ht="60" customHeight="1">
      <c r="A7" s="4" t="str">
        <v>ICARDA</v>
      </c>
      <c r="B7" s="4" t="str">
        <v>D-200319-Accelerating genetic gain in wheat through hybrid breeding</v>
      </c>
      <c r="C7" s="4" t="str">
        <v>I-OC 3.5. Women, men, youth, and marginalized social groups accessing quality seed of improved varieties</v>
      </c>
      <c r="D7" s="5">
        <v>0</v>
      </c>
      <c r="E7" s="4" t="str">
        <v/>
      </c>
      <c r="F7" s="4">
        <v>875</v>
      </c>
    </row>
    <row r="8" ht="60" customHeight="1">
      <c r="A8" s="4" t="str">
        <v>ICARDA</v>
      </c>
      <c r="B8" s="4" t="str">
        <v>D-200323-Root2Resilience: Root phenotyping and genetic improvement</v>
      </c>
      <c r="C8" s="4" t="str">
        <v>I-OC 1.2. Breeding network actors adopt transformative partnership approaches driving equity and sustainability for analyzing markets and opportunities, product development, product delivery and scaling</v>
      </c>
      <c r="D8" s="5">
        <v>0</v>
      </c>
      <c r="E8" s="4" t="str">
        <v/>
      </c>
      <c r="F8" s="4">
        <v>933</v>
      </c>
    </row>
    <row r="9" ht="60" customHeight="1">
      <c r="A9" s="4" t="str">
        <v>ICARDA</v>
      </c>
      <c r="B9" s="4" t="str">
        <v>D-200344-Lentil and Chickpea Development in teh Mediterranea</v>
      </c>
      <c r="C9" s="4" t="str">
        <v>I-OC 1.2. Breeding network actors adopt transformative partnership approaches driving equity and sustainability for analyzing markets and opportunities, product development, product delivery and scaling</v>
      </c>
      <c r="D9" s="5">
        <v>0</v>
      </c>
      <c r="E9" s="4" t="str">
        <v/>
      </c>
      <c r="F9" s="4">
        <v>934</v>
      </c>
    </row>
    <row r="10" ht="60" customHeight="1">
      <c r="A10" s="4" t="str">
        <v>ICARDA</v>
      </c>
      <c r="B10" s="4" t="str">
        <v>D-200347-India Collaborative Program 2022/2023 to 2026/2027</v>
      </c>
      <c r="C10" s="4" t="str">
        <v>I-OC 1.2. Breeding network actors adopt transformative partnership approaches driving equity and sustainability for analyzing markets and opportunities, product development, product delivery and scaling</v>
      </c>
      <c r="D10" s="5">
        <v>0</v>
      </c>
      <c r="E10" s="4" t="str">
        <v/>
      </c>
      <c r="F10" s="4">
        <v>939</v>
      </c>
    </row>
    <row r="11" ht="60" customHeight="1">
      <c r="A11" s="4" t="str">
        <v>ICARDA</v>
      </c>
      <c r="B11" s="4" t="str">
        <v>D-200355-Participation Agreement for Supply of Materials</v>
      </c>
      <c r="C11" s="4" t="str">
        <v>I-OC 1.2. Breeding network actors adopt transformative partnership approaches driving equity and sustainability for analyzing markets and opportunities, product development, product delivery and scaling</v>
      </c>
      <c r="D11" s="5">
        <v>0</v>
      </c>
      <c r="E11" s="4" t="str">
        <v/>
      </c>
      <c r="F11" s="4">
        <v>937</v>
      </c>
    </row>
    <row r="12" ht="60" customHeight="1">
      <c r="A12" s="4" t="str">
        <v>ICARDA</v>
      </c>
      <c r="B12" s="4" t="str">
        <v>D-200358-Enhancing Food Security and Climate Resilience in Morocco and Tunisia</v>
      </c>
      <c r="C12" s="4" t="str">
        <v>I-OC 3.5. Women, men, youth, and marginalized social groups accessing quality seed of improved varieties</v>
      </c>
      <c r="D12" s="5">
        <v>0</v>
      </c>
      <c r="E12" s="4" t="str">
        <v/>
      </c>
      <c r="F12" s="4">
        <v>879</v>
      </c>
    </row>
    <row r="13" ht="60" customHeight="1">
      <c r="A13" s="4" t="str">
        <v>ICARDA</v>
      </c>
      <c r="B13" s="4" t="str">
        <v>D-200359-Breeding European Legumes for Increased Sustainability</v>
      </c>
      <c r="C13" s="4" t="str">
        <v>I-OC 1.4. Breeding network actors accelerate the development of impactful products that provide large-scale benefits across the 5 Impact Areas</v>
      </c>
      <c r="D13" s="5">
        <v>0</v>
      </c>
      <c r="E13" s="4" t="str">
        <v/>
      </c>
      <c r="F13" s="4">
        <v>910</v>
      </c>
    </row>
    <row r="14" ht="60" customHeight="1" xml:space="preserve">
      <c r="A14" s="4" t="str">
        <v>ICARDA</v>
      </c>
      <c r="B14" s="4" t="str">
        <v>D-200388-Back to the future, from landraces to high-yielding, heat an</v>
      </c>
      <c r="C14"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D14" s="5">
        <v>0</v>
      </c>
      <c r="E14" s="4" t="str">
        <v/>
      </c>
      <c r="F14" s="4">
        <v>921</v>
      </c>
    </row>
    <row r="15" ht="60" customHeight="1">
      <c r="A15" s="4" t="str">
        <v>ICARDA</v>
      </c>
      <c r="B15" s="4" t="str">
        <v>D-200390-UK-CGIAR Collaboration: Leveraging genetic innovations for a</v>
      </c>
      <c r="C15" s="4" t="str">
        <v>I-OC 1.2. Breeding network actors adopt transformative partnership approaches driving equity and sustainability for analyzing markets and opportunities, product development, product delivery and scaling</v>
      </c>
      <c r="D15" s="5">
        <v>0</v>
      </c>
      <c r="E15" s="4" t="str">
        <v/>
      </c>
      <c r="F15" s="4">
        <v>927</v>
      </c>
    </row>
    <row r="16" ht="25" customHeight="1">
      <c r="B16" s="9" t="str">
        <v>W3/Bilateral budget subtotal</v>
      </c>
      <c r="D16" s="9">
        <v>0</v>
      </c>
      <c r="E16" s="9" t="str">
        <v/>
      </c>
      <c r="F16" s="9" t="str">
        <v/>
      </c>
    </row>
  </sheetData>
  <mergeCells count="2">
    <mergeCell ref="B16:C16"/>
    <mergeCell ref="A2:A16"/>
  </mergeCells>
  <ignoredErrors>
    <ignoredError numberStoredAsText="1" sqref="A1:F1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Operations</v>
      </c>
      <c r="D2" s="5">
        <v>0</v>
      </c>
      <c r="E2" s="4" t="str">
        <v/>
      </c>
      <c r="F2" s="4">
        <v>51</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31000</v>
      </c>
      <c r="D2" s="5">
        <v>345000</v>
      </c>
      <c r="E2" s="5">
        <v>70000</v>
      </c>
      <c r="F2" s="5">
        <v>60000</v>
      </c>
      <c r="G2" s="5">
        <v>114724</v>
      </c>
      <c r="H2" s="5">
        <f>=SUM(B2:G2)</f>
        <v>0</v>
      </c>
    </row>
    <row r="3" ht="20" customHeight="1">
      <c r="A3" s="4" t="str">
        <v>Operations (supplies, consultants, travels, workshops, other)</v>
      </c>
      <c r="B3" s="5">
        <v>0</v>
      </c>
      <c r="C3" s="5">
        <v>5000</v>
      </c>
      <c r="D3" s="5">
        <v>100000</v>
      </c>
      <c r="E3" s="5">
        <v>20000</v>
      </c>
      <c r="F3" s="5">
        <v>91000</v>
      </c>
      <c r="G3" s="5">
        <v>30000</v>
      </c>
      <c r="H3" s="5">
        <f>=SUM(B3:G3)</f>
        <v>0</v>
      </c>
    </row>
    <row r="4" ht="20" customHeight="1">
      <c r="A4" s="4" t="str">
        <v>Collaborators non-CGIAR centers</v>
      </c>
      <c r="B4" s="5">
        <v>0</v>
      </c>
      <c r="C4" s="5">
        <v>0</v>
      </c>
      <c r="D4" s="5">
        <v>15000</v>
      </c>
      <c r="E4" s="5">
        <v>10000</v>
      </c>
      <c r="F4" s="5">
        <v>0</v>
      </c>
      <c r="G4" s="5">
        <v>25000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Morocco</v>
      </c>
      <c r="D2" s="5">
        <v>100</v>
      </c>
      <c r="E2" s="4">
        <v>3377</v>
      </c>
    </row>
    <row r="3" ht="45" customHeight="1">
      <c r="A3" s="8" t="str">
        <v>AOW01: Market Intelligence</v>
      </c>
      <c r="B3" s="4" t="str">
        <v>ICARDA</v>
      </c>
      <c r="C3" s="4" t="str">
        <v>Ethiopia</v>
      </c>
      <c r="D3" s="5">
        <v>40</v>
      </c>
      <c r="E3" s="4">
        <v>2628</v>
      </c>
    </row>
    <row r="4" ht="45" customHeight="1">
      <c r="A4" s="4" t="str">
        <v>AOW01: Market Intelligence</v>
      </c>
      <c r="B4" s="4" t="str">
        <v>ICARDA</v>
      </c>
      <c r="C4" s="4" t="str">
        <v>Morocco</v>
      </c>
      <c r="D4" s="5">
        <v>60</v>
      </c>
      <c r="E4" s="4">
        <v>2634</v>
      </c>
    </row>
    <row r="5" ht="45" customHeight="1">
      <c r="A5" s="8" t="str">
        <v>AOW02: Accelerated Breeding</v>
      </c>
      <c r="B5" s="4" t="str">
        <v>ICARDA</v>
      </c>
      <c r="C5" s="4" t="str">
        <v>Ethiopia</v>
      </c>
      <c r="D5" s="5">
        <v>40</v>
      </c>
      <c r="E5" s="4">
        <v>2631</v>
      </c>
    </row>
    <row r="6" ht="45" customHeight="1">
      <c r="A6" s="4" t="str">
        <v>AOW02: Accelerated Breeding</v>
      </c>
      <c r="B6" s="4" t="str">
        <v>ICARDA</v>
      </c>
      <c r="C6" s="4" t="str">
        <v>Lebanon</v>
      </c>
      <c r="D6" s="5">
        <v>20</v>
      </c>
      <c r="E6" s="4">
        <v>2630</v>
      </c>
    </row>
    <row r="7" ht="45" customHeight="1">
      <c r="A7" s="4" t="str">
        <v>AOW02: Accelerated Breeding</v>
      </c>
      <c r="B7" s="4" t="str">
        <v>ICARDA</v>
      </c>
      <c r="C7" s="4" t="str">
        <v>Morocco</v>
      </c>
      <c r="D7" s="5">
        <v>40</v>
      </c>
      <c r="E7" s="4">
        <v>2629</v>
      </c>
    </row>
    <row r="8" ht="45" customHeight="1">
      <c r="A8" s="8" t="str">
        <v>AOW03: Inclusive Delivery</v>
      </c>
      <c r="B8" s="4" t="str">
        <v>ICARDA</v>
      </c>
      <c r="C8" s="4" t="str">
        <v>Ethiopia</v>
      </c>
      <c r="D8" s="5">
        <v>50</v>
      </c>
      <c r="E8" s="4">
        <v>28</v>
      </c>
    </row>
    <row r="9" ht="45" customHeight="1">
      <c r="A9" s="4" t="str">
        <v>AOW03: Inclusive Delivery</v>
      </c>
      <c r="B9" s="4" t="str">
        <v>ICARDA</v>
      </c>
      <c r="C9" s="4" t="str">
        <v>Pakistan</v>
      </c>
      <c r="D9" s="5">
        <v>50</v>
      </c>
      <c r="E9" s="4">
        <v>2633</v>
      </c>
    </row>
    <row r="10" ht="45" customHeight="1">
      <c r="A10" s="8" t="str">
        <v>AOW04: Breeding Resources</v>
      </c>
      <c r="B10" s="4" t="str">
        <v>ICARDA</v>
      </c>
      <c r="C10" s="4" t="str">
        <v>Egypt</v>
      </c>
      <c r="D10" s="5">
        <v>60</v>
      </c>
      <c r="E10" s="4">
        <v>27</v>
      </c>
    </row>
    <row r="11" ht="45" customHeight="1">
      <c r="A11" s="4" t="str">
        <v>AOW04: Breeding Resources</v>
      </c>
      <c r="B11" s="4" t="str">
        <v>ICARDA</v>
      </c>
      <c r="C11" s="4" t="str">
        <v>Ethiopia</v>
      </c>
      <c r="D11" s="5">
        <v>20</v>
      </c>
      <c r="E11" s="4">
        <v>30</v>
      </c>
    </row>
    <row r="12" ht="45" customHeight="1">
      <c r="A12" s="4" t="str">
        <v>AOW04: Breeding Resources</v>
      </c>
      <c r="B12" s="4" t="str">
        <v>ICARDA</v>
      </c>
      <c r="C12" s="4" t="str">
        <v>Morocco</v>
      </c>
      <c r="D12" s="5">
        <v>20</v>
      </c>
      <c r="E12" s="4">
        <v>29</v>
      </c>
    </row>
    <row r="13" ht="45" customHeight="1">
      <c r="A13" s="8" t="str">
        <v>AOW05: Enable</v>
      </c>
      <c r="B13" s="4" t="str">
        <v>ICARDA</v>
      </c>
      <c r="C13" s="4" t="str">
        <v>Egypt</v>
      </c>
      <c r="D13" s="5">
        <v>0</v>
      </c>
      <c r="E13" s="4">
        <v>2632</v>
      </c>
    </row>
    <row r="14" ht="45" customHeight="1">
      <c r="A14" s="4" t="str">
        <v>AOW05: Enable</v>
      </c>
      <c r="B14" s="4" t="str">
        <v>ICARDA</v>
      </c>
      <c r="C14" s="4" t="str">
        <v>Lebanon</v>
      </c>
      <c r="D14" s="5">
        <v>20</v>
      </c>
      <c r="E14" s="4">
        <v>31</v>
      </c>
    </row>
    <row r="15" ht="45" customHeight="1">
      <c r="A15" s="4" t="str">
        <v>AOW05: Enable</v>
      </c>
      <c r="B15" s="4" t="str">
        <v>ICARDA</v>
      </c>
      <c r="C15" s="4" t="str">
        <v>Morocco</v>
      </c>
      <c r="D15" s="5">
        <v>80</v>
      </c>
      <c r="E15" s="4">
        <v>26</v>
      </c>
    </row>
  </sheetData>
  <mergeCells count="6">
    <mergeCell ref="A2"/>
    <mergeCell ref="A3:A4"/>
    <mergeCell ref="A5:A7"/>
    <mergeCell ref="A8:A9"/>
    <mergeCell ref="A10:A12"/>
    <mergeCell ref="A13:A15"/>
  </mergeCells>
  <ignoredErrors>
    <ignoredError numberStoredAsText="1" sqref="A1:E15"/>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Global</v>
      </c>
      <c r="D2" s="4" t="str">
        <v>global</v>
      </c>
      <c r="E2" s="5">
        <v>100</v>
      </c>
      <c r="F2" s="4">
        <v>1687</v>
      </c>
    </row>
    <row r="3" ht="45" customHeight="1">
      <c r="A3" s="8" t="str">
        <v>AOW01: Market Intelligence</v>
      </c>
      <c r="B3" s="4" t="str">
        <v>ICARDA</v>
      </c>
      <c r="C3" s="4" t="str">
        <v>Global</v>
      </c>
      <c r="D3" s="4" t="str">
        <v>global</v>
      </c>
      <c r="E3" s="5">
        <v>20</v>
      </c>
      <c r="F3" s="4">
        <v>928</v>
      </c>
    </row>
    <row r="4" ht="45" customHeight="1">
      <c r="A4" s="4" t="str">
        <v>AOW01: Market Intelligence</v>
      </c>
      <c r="B4" s="4" t="str">
        <v>ICARDA</v>
      </c>
      <c r="C4" s="4" t="str">
        <v>Ethiopia</v>
      </c>
      <c r="D4" s="4" t="str">
        <v>country</v>
      </c>
      <c r="E4" s="5">
        <v>80</v>
      </c>
      <c r="F4" s="4">
        <v>929</v>
      </c>
    </row>
    <row r="5" ht="45" customHeight="1">
      <c r="A5" s="8" t="str">
        <v>AOW02: Accelerated Breeding</v>
      </c>
      <c r="B5" s="4" t="str">
        <v>ICARDA</v>
      </c>
      <c r="C5" s="4" t="str">
        <v>Global</v>
      </c>
      <c r="D5" s="4" t="str">
        <v>global</v>
      </c>
      <c r="E5" s="5">
        <v>10</v>
      </c>
      <c r="F5" s="4">
        <v>931</v>
      </c>
    </row>
    <row r="6" ht="45" customHeight="1">
      <c r="A6" s="4" t="str">
        <v>AOW02: Accelerated Breeding</v>
      </c>
      <c r="B6" s="4" t="str">
        <v>ICARDA</v>
      </c>
      <c r="C6" s="4" t="str">
        <v>Ethiopia</v>
      </c>
      <c r="D6" s="4" t="str">
        <v>country</v>
      </c>
      <c r="E6" s="5">
        <v>90</v>
      </c>
      <c r="F6" s="4">
        <v>930</v>
      </c>
    </row>
    <row r="7" ht="45" customHeight="1">
      <c r="A7" s="8" t="str">
        <v>AOW03: Inclusive Delivery</v>
      </c>
      <c r="B7" s="4" t="str">
        <v>ICARDA</v>
      </c>
      <c r="C7" s="4" t="str">
        <v>Global</v>
      </c>
      <c r="D7" s="4" t="str">
        <v>global</v>
      </c>
      <c r="E7" s="5">
        <v>10</v>
      </c>
      <c r="F7" s="4">
        <v>933</v>
      </c>
    </row>
    <row r="8" ht="45" customHeight="1">
      <c r="A8" s="4" t="str">
        <v>AOW03: Inclusive Delivery</v>
      </c>
      <c r="B8" s="4" t="str">
        <v>ICARDA</v>
      </c>
      <c r="C8" s="4" t="str">
        <v>Ethiopia</v>
      </c>
      <c r="D8" s="4" t="str">
        <v>country</v>
      </c>
      <c r="E8" s="5">
        <v>90</v>
      </c>
      <c r="F8" s="4">
        <v>932</v>
      </c>
    </row>
    <row r="9" ht="45" customHeight="1">
      <c r="A9" s="8" t="str">
        <v>AOW04: Breeding Resources</v>
      </c>
      <c r="B9" s="4" t="str">
        <v>ICARDA</v>
      </c>
      <c r="C9" s="4" t="str">
        <v>Global</v>
      </c>
      <c r="D9" s="4" t="str">
        <v>global</v>
      </c>
      <c r="E9" s="5">
        <v>10</v>
      </c>
      <c r="F9" s="4">
        <v>935</v>
      </c>
    </row>
    <row r="10" ht="45" customHeight="1">
      <c r="A10" s="4" t="str">
        <v>AOW04: Breeding Resources</v>
      </c>
      <c r="B10" s="4" t="str">
        <v>ICARDA</v>
      </c>
      <c r="C10" s="4" t="str">
        <v>Ethiopia</v>
      </c>
      <c r="D10" s="4" t="str">
        <v>country</v>
      </c>
      <c r="E10" s="5">
        <v>90</v>
      </c>
      <c r="F10" s="4">
        <v>934</v>
      </c>
    </row>
    <row r="11" ht="45" customHeight="1">
      <c r="A11" s="8" t="str">
        <v>AOW05: Enable</v>
      </c>
      <c r="B11" s="4" t="str">
        <v>ICARDA</v>
      </c>
      <c r="C11" s="4" t="str">
        <v>Global</v>
      </c>
      <c r="D11" s="4" t="str">
        <v>global</v>
      </c>
      <c r="E11" s="5">
        <v>10</v>
      </c>
      <c r="F11" s="4">
        <v>937</v>
      </c>
    </row>
    <row r="12" ht="45" customHeight="1">
      <c r="A12" s="4" t="str">
        <v>AOW05: Enable</v>
      </c>
      <c r="B12" s="4" t="str">
        <v>ICARDA</v>
      </c>
      <c r="C12" s="4" t="str">
        <v>Ethiopia</v>
      </c>
      <c r="D12" s="4" t="str">
        <v>country</v>
      </c>
      <c r="E12" s="5">
        <v>90</v>
      </c>
      <c r="F12" s="4">
        <v>936</v>
      </c>
    </row>
  </sheetData>
  <mergeCells count="6">
    <mergeCell ref="A2"/>
    <mergeCell ref="A3:A4"/>
    <mergeCell ref="A5:A6"/>
    <mergeCell ref="A7:A8"/>
    <mergeCell ref="A9:A10"/>
    <mergeCell ref="A11: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