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0</v>
      </c>
      <c r="C5" s="5">
        <v>0</v>
      </c>
      <c r="D5" s="5">
        <v>2</v>
      </c>
      <c r="E5" s="5">
        <v>22485</v>
      </c>
      <c r="F5" s="5">
        <v>0</v>
      </c>
      <c r="G5" s="5">
        <v>0</v>
      </c>
      <c r="H5" s="5">
        <v>1</v>
      </c>
      <c r="I5" s="5">
        <v>52000</v>
      </c>
      <c r="J5" s="5">
        <v>74485</v>
      </c>
      <c r="K5" s="5">
        <v>74485</v>
      </c>
      <c r="L5" s="5">
        <v>0</v>
      </c>
      <c r="M5" s="5">
        <v>0</v>
      </c>
      <c r="N5" s="4">
        <v>161</v>
      </c>
    </row>
    <row r="6" ht="20" customHeight="1">
      <c r="A6" s="4" t="str">
        <v>AOW02: Accelerated Breeding</v>
      </c>
      <c r="B6" s="5">
        <v>5</v>
      </c>
      <c r="C6" s="5">
        <v>946524</v>
      </c>
      <c r="D6" s="5">
        <v>0</v>
      </c>
      <c r="E6" s="5">
        <v>0</v>
      </c>
      <c r="F6" s="5">
        <v>0</v>
      </c>
      <c r="G6" s="5">
        <v>0</v>
      </c>
      <c r="H6" s="5">
        <v>0</v>
      </c>
      <c r="I6" s="5">
        <v>0</v>
      </c>
      <c r="J6" s="5">
        <v>946524</v>
      </c>
      <c r="K6" s="5">
        <v>946524</v>
      </c>
      <c r="L6" s="5">
        <v>89394</v>
      </c>
      <c r="M6" s="5">
        <v>0</v>
      </c>
      <c r="N6" s="4">
        <v>160</v>
      </c>
    </row>
    <row r="7" ht="20" customHeight="1">
      <c r="A7" s="4" t="str">
        <v>AOW03: Inclusive Delivery</v>
      </c>
      <c r="B7" s="5">
        <v>0</v>
      </c>
      <c r="C7" s="5">
        <v>0</v>
      </c>
      <c r="D7" s="5">
        <v>3</v>
      </c>
      <c r="E7" s="5">
        <v>96566</v>
      </c>
      <c r="F7" s="5">
        <v>21</v>
      </c>
      <c r="G7" s="5">
        <v>48283</v>
      </c>
      <c r="H7" s="5">
        <v>30005</v>
      </c>
      <c r="I7" s="5">
        <v>50000</v>
      </c>
      <c r="J7" s="5">
        <v>194849</v>
      </c>
      <c r="K7" s="5">
        <v>194849</v>
      </c>
      <c r="L7" s="5">
        <v>0</v>
      </c>
      <c r="M7" s="5">
        <v>0</v>
      </c>
      <c r="N7" s="4">
        <v>159</v>
      </c>
    </row>
    <row r="8" ht="20" customHeight="1">
      <c r="A8" s="4" t="str">
        <v>AOW04: Breeding Resources</v>
      </c>
      <c r="B8" s="5">
        <v>0</v>
      </c>
      <c r="C8" s="5">
        <v>0</v>
      </c>
      <c r="D8" s="5">
        <v>1</v>
      </c>
      <c r="E8" s="5">
        <v>22639</v>
      </c>
      <c r="F8" s="5">
        <v>80</v>
      </c>
      <c r="G8" s="5">
        <v>163000</v>
      </c>
      <c r="H8" s="5">
        <v>388</v>
      </c>
      <c r="I8" s="5">
        <v>67917</v>
      </c>
      <c r="J8" s="5">
        <v>253556</v>
      </c>
      <c r="K8" s="5">
        <v>253556</v>
      </c>
      <c r="L8" s="5">
        <v>0</v>
      </c>
      <c r="M8" s="5">
        <v>0</v>
      </c>
      <c r="N8" s="4">
        <v>158</v>
      </c>
    </row>
    <row r="9" ht="20" customHeight="1">
      <c r="A9" s="4" t="str">
        <v>AOW05: Enable</v>
      </c>
      <c r="B9" s="5">
        <v>0</v>
      </c>
      <c r="C9" s="5">
        <v>0</v>
      </c>
      <c r="D9" s="5">
        <v>0</v>
      </c>
      <c r="E9" s="5">
        <v>0</v>
      </c>
      <c r="F9" s="5">
        <v>4</v>
      </c>
      <c r="G9" s="5">
        <v>80000</v>
      </c>
      <c r="H9" s="5">
        <v>0</v>
      </c>
      <c r="I9" s="5">
        <v>0</v>
      </c>
      <c r="J9" s="5">
        <v>80000</v>
      </c>
      <c r="K9" s="5">
        <v>80000</v>
      </c>
      <c r="L9" s="5">
        <v>0</v>
      </c>
      <c r="M9" s="5">
        <v>0</v>
      </c>
      <c r="N9" s="4">
        <v>162</v>
      </c>
    </row>
    <row r="10" ht="25" customHeight="1">
      <c r="A10" s="6" t="str">
        <v>Total</v>
      </c>
      <c r="B10" s="7" t="str">
        <v/>
      </c>
      <c r="C10" s="7">
        <v>946524</v>
      </c>
      <c r="D10" s="7" t="str">
        <v/>
      </c>
      <c r="E10" s="7">
        <v>141690</v>
      </c>
      <c r="F10" s="7" t="str">
        <v/>
      </c>
      <c r="G10" s="7">
        <v>291283</v>
      </c>
      <c r="H10" s="7" t="str">
        <v/>
      </c>
      <c r="I10" s="7">
        <v>169917</v>
      </c>
      <c r="J10" s="7">
        <v>1549414</v>
      </c>
      <c r="K10" s="7">
        <v>1549414</v>
      </c>
      <c r="L10" s="7">
        <v>89394</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Market Intelligence</v>
      </c>
      <c r="B3" s="4" t="str">
        <v>CIP</v>
      </c>
      <c r="C3" s="4" t="str">
        <v>HLO3.AOW1.IO1 Design concepts</v>
      </c>
      <c r="D3" s="4" t="str" xml:space="preserve">
        <v xml:space="preserve">9b----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knowledge products (disaggregated by type, policy brief)                                  </v>
      </c>
      <c r="E3" s="4" t="str">
        <v>Number of knowledge products</v>
      </c>
      <c r="F3" s="4" t="str">
        <v>Colombia, Peru, Ecuador</v>
      </c>
      <c r="G3" s="5">
        <v>2</v>
      </c>
      <c r="H3" s="5">
        <v>22485</v>
      </c>
      <c r="I3" s="4" t="str">
        <v>.</v>
      </c>
      <c r="J3" s="4">
        <v>4730</v>
      </c>
    </row>
    <row r="4" ht="50" customHeight="1" xml:space="preserve">
      <c r="B4" s="4" t="str">
        <v>CIP</v>
      </c>
      <c r="D4" s="4" t="str" xml:space="preserve">
        <v xml:space="preserve">9a---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models developed</v>
      </c>
      <c r="E4" s="4" t="str">
        <v>custom</v>
      </c>
      <c r="F4" s="4" t="str">
        <v>Peru, Colombia, Ecuador</v>
      </c>
      <c r="G4" s="5">
        <v>1</v>
      </c>
      <c r="H4" s="5">
        <v>52000</v>
      </c>
      <c r="I4" s="4" t="str">
        <v>.</v>
      </c>
      <c r="J4" s="4">
        <v>7241</v>
      </c>
    </row>
    <row r="5" ht="25" customHeight="1">
      <c r="C5" s="9" t="str">
        <v>HLO budget subtotal</v>
      </c>
      <c r="H5" s="9">
        <v>74485</v>
      </c>
      <c r="J5" s="9" t="str">
        <v/>
      </c>
    </row>
    <row r="6" ht="50" customHeight="1">
      <c r="A6" s="8" t="str">
        <v>AOW02: Accelerated Breeding</v>
      </c>
      <c r="B6" s="4" t="str">
        <v>CIP</v>
      </c>
      <c r="C6" s="4" t="str">
        <v>HLO9.AOW2.IO2 Create products</v>
      </c>
      <c r="D6" s="4" t="str">
        <v>61.---- CIP--- Sweet potatoe -- (New recurrent selection cycle initiated for the OFSP population in Uganda using an optimized breeding scheme)..-------- KEY ACTIVITIES FOR THIS DELIVERABLE:      REUBEN                 Title: Towards developing highly acceptable, high yielding, proVitamin A rich sweetpotato candiadate varieties suitable for High SPVD pressure zone and drought prone environments in East Africa.                                                                   Descripition:  Genomic predicted cross performance (GCPC) will be applied to identify superior parents for successive recurrent selection cycles in the OFSP population targeting adaptation to high SPVD pressure zones and drought-prone environments. Elite clones extracted from this improved population will be shared accross the East African sweetpotato breeding network for multi-environment evaluation, product advancement and eventual deployment..-------- BREEDING PIPELINE:     Sweetpotato CIP BP00124.-------- MARKET SEGMENT:     MS00718 and MS00721.-------- INDICATOR:     Number of varieties released to partners for scaling</v>
      </c>
      <c r="E6" s="4" t="str">
        <v>Number of innovations (innovation development)</v>
      </c>
      <c r="F6" s="4" t="str">
        <v>Uganda</v>
      </c>
      <c r="G6" s="5">
        <v>1</v>
      </c>
      <c r="H6" s="5">
        <v>250000</v>
      </c>
      <c r="I6" s="4" t="str">
        <v>.</v>
      </c>
      <c r="J6" s="4">
        <v>4800</v>
      </c>
    </row>
    <row r="7" ht="50" customHeight="1">
      <c r="B7" s="4" t="str">
        <v>CIP</v>
      </c>
      <c r="D7" s="4" t="str">
        <v>62.---- CIP--- Potato -- (Late-stage multi-location testing of best-bet tetraploid potato clones conducted with regional network partners to assess yield stability, disease resistance, and market traits, identifying top-performing candidates for national performance trials and variety release.)..-------- KEY ACTIVITIES FOR THIS DELIVERABLE:      Potato breeding activities in Kenya are implemented jointly by CIP and KALRO (Regional Potato Breeding hub) located at KALRO-Tigoni station and contribute to the regional breeding network/market. The activities for 2026, i) crossing block will be established using a good-by-good parental crossing strategy combining elite potato lines with key traits such as late blight resistance, adaptation to tropical highland and desirable market characteristics, ii) about 6,000 seedlings from the 2025 crossing cycle will be multiplied and evaluated in early-generation selection nursery at KALRO-Tigoni station, iii) advanced clones (from 2021 and 2023 crosses) will be evaluated through late-stage multi-location trials (3 locations) with local Kenyan partners, iv) product advancement meeting  will identify top-performing candidates for variety development and release (2018, 2021 and 2023 crosses), v) advanced clones will be shared with at least three breeding network members and technical support will be provided for the registration of promising materials in Ethiopia, Kenya and Tanzania. The breeding network members will establish seed multiplication plots in 2026 to produce planting material for multi-location trials planned for 2027..-------- BREEDING PIPELINE:     CIP BP00049; .-------- MARKET SEGMENT:     MS00716 | MS00806.-------- INDICATOR:     Number of varieties released to partners for scaling</v>
      </c>
      <c r="E7" s="4" t="str">
        <v>Number of innovations (innovation development)</v>
      </c>
      <c r="F7" s="4" t="str">
        <v>Kenya</v>
      </c>
      <c r="G7" s="5">
        <v>1</v>
      </c>
      <c r="H7" s="5">
        <v>196524</v>
      </c>
      <c r="I7" s="4" t="str">
        <v>.</v>
      </c>
      <c r="J7" s="4">
        <v>4801</v>
      </c>
    </row>
    <row r="8" ht="50" customHeight="1" xml:space="preserve">
      <c r="B8" s="4" t="str">
        <v>CIP</v>
      </c>
      <c r="D8" s="4" t="str" xml:space="preserve">
        <v xml:space="preserve">39.---- CIP POTATO - Characterization of advanced potato germplasm for iron content completed.....-------- KEY ACTIVITIES FOR THIS DELIVERABLE:      MOCTAR/MARIELA/GABRIELA
Title: Mainstreaming iron (Fe) content in potato breeding for South Asian market segments
Description:
This activity implements a targeted evaluation and selection pipeline to integrate iron (Fe) content into agronomically competitive potato germplasm aligned with the target product profiles (TPPs) of the South Asian market. Advanced clones and breeding parents were preselected based on historical multi-environment performance for Fe concentration, marketable yield, and key agronomic and quality traits. A full-factorial crossing scheme (all × all) is being conducted to maximize recombination and generate a comprehensive set of families. 
In parallel, the approximately 55 potential parents will be evaluated across five representative environments, generating phenotypic data on yield and TPP-relevant traits. Tuber samples will be collected and analyzed under controlled laboratory conditions to quantify Fe content. These datasets will form the basis for integrated selection.
Genomic prediction for cross performance (GPCP) will be applied across all parental combinations, using Fe content and marketable yield as primary traits within a multi-trait framework. Advancement decisions will be based on the combined assessment of observed field performance, laboratory-derived Fe values, predicted cross means and variances, and alignment with TPP requirements, with explicit management of yield–nutrition trade-offs.
The key activities included (1) parental preselection and cross combinations; (2) multi-location field evaluation of potential founders; (3) laboratory quantification of Fe content; (4) GPCP analysis of all parental combinations; and (5) selection of priority families for advancement.
By the end of the year, selected families are defined, TPS availability is consolidated where required, and prioritized families are germinated and advanced to the Seed Nursery stage. Selected Asian germplasms will be further incorporated to ensure regional adaptation and broaden the genetic base. This activity enables the development of nutritionally enhanced, market-relevant varieties without compromising agronomic performance, contributing to improved diet quality and the adoption of nutrient-dense cultivars..-------- BREEDING PIPELINE:     CIP BP00249.-------- MARKET SEGMENT:     MS00807.-------- INDICATOR:   Number of founder lines delivered at targeted iron content</v>
      </c>
      <c r="E8" s="4" t="str">
        <v>Number of innovations (innovation development)</v>
      </c>
      <c r="F8" s="4" t="str">
        <v>India, Peru</v>
      </c>
      <c r="G8" s="5">
        <v>3</v>
      </c>
      <c r="H8" s="5">
        <v>500000</v>
      </c>
      <c r="I8" s="4" t="str">
        <v>.</v>
      </c>
      <c r="J8" s="4">
        <v>8406</v>
      </c>
    </row>
    <row r="9" ht="25" customHeight="1">
      <c r="C9" s="9" t="str">
        <v>HLO budget subtotal</v>
      </c>
      <c r="H9" s="9">
        <v>946524</v>
      </c>
      <c r="J9" s="9" t="str">
        <v/>
      </c>
    </row>
    <row r="10" ht="50" customHeight="1">
      <c r="A10" s="8" t="str">
        <v>AOW03: Inclusive Delivery</v>
      </c>
      <c r="B10" s="4" t="str">
        <v>CIP</v>
      </c>
      <c r="C10" s="4" t="str">
        <v>HLO13.AOW3.IO5 Power seed scaling</v>
      </c>
      <c r="D10" s="4" t="str">
        <v>91.----CIP - Potato, sweetpotato, cassava - (Operationalization of the Kenya Seeds and Plant Varieties (Vegetatively Propagating Crops) Regulations. Focus on materials that respond to market segments prioritized by breeders.)..-------- KEY ACTIVITIES FOR THIS DELIVERABLE:      KWAME/JORGE: Two stakeholder meetings to discuss the next steps for the Kenya Act for Vegetatively Propagating Seeds. The first meeting will be an internal meeting involving CGIAR staff from CIP, IFPRI and IITA. The second meeting will be broader involving several national stakeholders e.g., KEPHIS, KALRO, CABE, MoA, AG's office etc. Currently, the Act is on hold following a high court ruling that suspended the Kenya Plant and Varieties Act. The VPS Act is likely to suffer the same consequences because of similar clauses to those that were contested in court e.g., registration of seed merchants. The Attorney General's office advised that the Act be put on hold until an appeal involving the Plant and Varieties Act is determined. The proposed meeting will enable stakeholders to reflect on the proceedings and forecast likely scenarios on the way forward. Two reports will be generated as deliverables..-------- BREEDING PIPELINE:     This regulation is generic, but focus will be on current breeding pipelines for Africa: Sweetpotato: BP00054, BP00122, BP00053, BP00124; Potato: BP00049.-------- MARKET SEGMENT:     This regulation is generic, but focus will be on current market segments for Africa: Sweetpotato: MS00725/728, MS00724, MS00719/720, MS00718/721; Potato: MS00716, MS00806.-------- INDICATOR:     Number of knowledge products developed (disaggregated by type, report and policy brief)</v>
      </c>
      <c r="E10" s="4" t="str">
        <v>Number of knowledge products</v>
      </c>
      <c r="F10" s="4" t="str">
        <v>Kenya</v>
      </c>
      <c r="G10" s="5">
        <v>2</v>
      </c>
      <c r="H10" s="5">
        <v>48283</v>
      </c>
      <c r="I10" s="4" t="str">
        <v>.</v>
      </c>
      <c r="J10" s="4">
        <v>4831</v>
      </c>
    </row>
    <row r="11" ht="50" customHeight="1" xml:space="preserve">
      <c r="B11" s="4" t="str">
        <v>CIP</v>
      </c>
      <c r="D11" s="4" t="str" xml:space="preserve">
        <v xml:space="preserve">92.----CIP - Potato, sweetpotato, cassava, Yam, taro, Banana and other root and tuber crops - (A report on the number of researchers and scientist of National Agricultural Institues trained on the cleaning, diagnotics and rapid multiplication of genetic materials for invitro preservation)..-------- KEY ACTIVITIES FOR THIS DELIVERABLE:      KWAME/JORGE: Activity: Training of KEPHIS and CIP staff on virus cleaning, diagnostics and germplasm conservation using the new equipment at the RTB EAGEL. This activity seeks to familiarize key staff with new equipment bought for the RTB EAGEL facility. The CIP and KEPHIS staff will be ToTs for staff from the NARES in the future. Another training focussing on key biotechnology techniques will be organized in liaison with the Rwanda BioCap project. This trainings will benefit national 21 partners from Kenya and Rwanda. A report will describe the training events.
.-------- BREEDING PIPELINE:     These training events are generic, but focus will be on staff working in current breeding pipelines for Africa: Sweetpotato: BP00054, BP00122, BP00053, BP00124; Potato: BP00049.-------- MARKET SEGMENT:     These training events are generic, but focus will be on staff serving current market segments for Africa: Sweetpotato: MS00725/728, MS00724, MS00719/720, MS00718/721; Potato: MS00716, MS00806.-------- INDICATOR:     Number of people trained (disaggregated by sex and training type)</v>
      </c>
      <c r="E11" s="4" t="str">
        <v>Number of people trained (capacity sharing for development)</v>
      </c>
      <c r="F11" s="4" t="str">
        <v>Rwanda, Kenya</v>
      </c>
      <c r="G11" s="5">
        <v>21</v>
      </c>
      <c r="H11" s="5">
        <v>48283</v>
      </c>
      <c r="I11" s="4" t="str">
        <v>.</v>
      </c>
      <c r="J11" s="4">
        <v>4832</v>
      </c>
    </row>
    <row r="12" ht="50" customHeight="1" xml:space="preserve">
      <c r="B12" s="4" t="str">
        <v>CIP</v>
      </c>
      <c r="D12" s="4" t="str" xml:space="preserve">
        <v xml:space="preserve">93.---- CIP - Potato, sweetpotato, cassava, Yam, taro, Banana and other root and tuber crops (A report on the number of VPCs germplasm maintained at RTB Eagle facility and shared across Africa and beyond.)..-------- KEY ACTIVITIES FOR THIS DELIVERABLE:      KWAME/JORGE: Activity: Strengthen germplasm conservation, access, and delivery through the RTB EAGEL platform.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v>
      </c>
      <c r="E12" s="4" t="str">
        <v>Number of knowledge products</v>
      </c>
      <c r="F12" s="4" t="str">
        <v>Kenya</v>
      </c>
      <c r="G12" s="5">
        <v>1</v>
      </c>
      <c r="H12" s="5">
        <v>48283</v>
      </c>
      <c r="I12" s="4" t="str">
        <v>.</v>
      </c>
      <c r="J12" s="4">
        <v>4833</v>
      </c>
    </row>
    <row r="13" ht="50" customHeight="1">
      <c r="A13" s="4" t="str">
        <v>AOW03: Inclusive Delivery</v>
      </c>
      <c r="B13" s="4" t="str">
        <v>CIP</v>
      </c>
      <c r="C13" s="4" t="str">
        <v>HLO12.AOW3.IO5 Deploy seed</v>
      </c>
      <c r="D13" s="4" t="str">
        <v>New KPI-CIP2a-------------------CIP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MS00720.-------- INDICATOR: Quantity of Early Generation Seed produced</v>
      </c>
      <c r="E13" s="4" t="str">
        <v>custom</v>
      </c>
      <c r="F13" s="4" t="str">
        <v>Uganda</v>
      </c>
      <c r="G13" s="5">
        <v>30000</v>
      </c>
      <c r="H13" s="5">
        <v>20000</v>
      </c>
      <c r="I13" s="4" t="str">
        <v>.</v>
      </c>
      <c r="J13" s="4">
        <v>7573</v>
      </c>
    </row>
    <row r="14" ht="50" customHeight="1">
      <c r="A14" s="4" t="str">
        <v>AOW03: Inclusive Delivery</v>
      </c>
      <c r="B14" s="4" t="str">
        <v>CIP</v>
      </c>
      <c r="C14" s="4" t="str">
        <v>HLO11.AOW3.IO4 Position for demand</v>
      </c>
      <c r="D14" s="4" t="str">
        <v>New KPI-CIP2b-----------CIP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MS00721.-------- INDICATOR: Number of elite donor lines (candidate varieties) evaluated in demand-led Market Demand Trials.</v>
      </c>
      <c r="E14" s="4" t="str">
        <v>custom</v>
      </c>
      <c r="F14" s="4" t="str">
        <v>Uganda</v>
      </c>
      <c r="G14" s="5">
        <v>5</v>
      </c>
      <c r="H14" s="5">
        <v>30000</v>
      </c>
      <c r="I14" s="4" t="str">
        <v>.</v>
      </c>
      <c r="J14" s="4">
        <v>7574</v>
      </c>
    </row>
    <row r="15" ht="25" customHeight="1">
      <c r="C15" s="9" t="str">
        <v>HLO budget subtotal</v>
      </c>
      <c r="H15" s="9">
        <v>194849</v>
      </c>
      <c r="J15" s="9" t="str">
        <v/>
      </c>
    </row>
    <row r="16" ht="50" customHeight="1" xml:space="preserve">
      <c r="A16" s="8" t="str">
        <v>AOW04: Breeding Resources</v>
      </c>
      <c r="B16" s="4" t="str">
        <v>CIP</v>
      </c>
      <c r="C16" s="4" t="str">
        <v>HLO15.AOW4.IO2 Hub &amp; spoke scaling</v>
      </c>
      <c r="D16" s="4" t="str" xml:space="preserve">
        <v xml:space="preserve">113.----- CIP - POTATO; SWEET POTATO (Support the integration of on-farm trialing (OFT) in the CIP-NARES breeding networks by providing sparse designs and performing dedicated OFT data analysis to enable the decision making processes taking place in national and regional PAMs)..-------- KEY ACTIVITIES FOR THIS DELIVERABLE:      Activity: Support the implementation of OFVT in the CIP-NARES sweetpotato breeding networks. 
This activity entails experimental design creation and data analysis for OFVT (on-farm verification trials) performed by CIP-NARES sweetpotato breeding networks under the SweetBreak project. Balanced incomplete block designs will be created to assign the tested entries (candidate varieties and checks) to participating farmers. The OFVT data will be analysed using Climmob and/or Bioflow to provide analysis results for decision-making in national and regional PAMs. .-------- BREEDING PIPELINE:     BP00054, BP00122, BP00053, BP00124.-------- MARKET SEGMENT:     MS00725/728, MS00724/726, MS00719/720, MS00718/721 .-------- INDICATOR:     Number of institutions supported to adopt and use the EBS breeding data management system</v>
      </c>
      <c r="E16" s="4" t="str">
        <v>custom</v>
      </c>
      <c r="F16" s="4" t="str">
        <v>Ethiopia, Nigeria, Uganda, Mozambique, Malawi, Tanzania, United Republic</v>
      </c>
      <c r="G16" s="5">
        <v>5</v>
      </c>
      <c r="H16" s="5">
        <v>22639</v>
      </c>
      <c r="I16" s="4" t="str">
        <v>.</v>
      </c>
      <c r="J16" s="4">
        <v>4842</v>
      </c>
    </row>
    <row r="17" ht="50" customHeight="1" xml:space="preserve">
      <c r="B17" s="4" t="str">
        <v>CIP</v>
      </c>
      <c r="D17" s="4" t="str" xml:space="preserve">
        <v xml:space="preserve">114.----- CIP  - POTATO; SWEET POTATO (Support on EBS and digitalization  of data collection provided to CIP's global breeding programs)..-------- KEY ACTIVITIES FOR THIS DELIVERABLE:      Activity: Dedicated EBS support to CIP-NARES potato and sweetpotato breeding networks. 
Continous support on the use of the newly adopted breeding database management system EBS will be provided to CIP-NARES breeding networks. Primary focus will be on the CIP breeding programs as EBS adoption by NARES partners is foreseen at a later stage. 
.-------- BREEDING PIPELINE:     Sweetpotato: BP00054, BP00122, BP00053, BP00124
Potato: BP00049, BP00123, BP00249.-------- MARKET SEGMENT:     Sweetpotato: MS00725/728, MS00724/726, MS00719/720, MS00718/721 
Potato: MS00716, MS00806, MS00807, MS00810.-------- INDICATOR:     Number of institutions supported to adopt and use the EBS breeding data management system</v>
      </c>
      <c r="E17" s="4" t="str">
        <v>custom</v>
      </c>
      <c r="F17" s="4" t="str">
        <v>Malawi, Uganda, Nigeria, Mozambique, Tanzania, United Republic, Ethiopia, Kenya, Peru</v>
      </c>
      <c r="G17" s="5">
        <v>8</v>
      </c>
      <c r="H17" s="5">
        <v>22639</v>
      </c>
      <c r="I17" s="4" t="str">
        <v>.</v>
      </c>
      <c r="J17" s="4">
        <v>4843</v>
      </c>
    </row>
    <row r="18" ht="50" customHeight="1" xml:space="preserve">
      <c r="A18" s="4" t="str">
        <v>AOW04: Breeding Resources</v>
      </c>
      <c r="B18" s="4" t="str">
        <v>CIP</v>
      </c>
      <c r="C18" s="4" t="str">
        <v>HLO16.AOW4.IO3 Shared services</v>
      </c>
      <c r="D18" s="4" t="str" xml:space="preserve">
        <v xml:space="preserve">131 A portfolio of connected tools and services that collectively meet current and emerging needs for modernized breeding is made available to breeding networks..-------- KEY ACTIVITIES FOR THIS DELIVERABLE:      Activity: Provide EBS training to CIP's breeding program in Peru. 
EBS training customized to the potato and sweetpotato breeding data workflows established in the CIP EBS instance will be provided online and in-person. .-------- BREEDING PIPELINE:     BP00249.-------- MARKET SEGMENT:     MS00807.-------- INDICATOR:     Number of people trained (disaggregated by sex , mode of training and type of training)</v>
      </c>
      <c r="E18" s="4" t="str">
        <v>Number of people trained (capacity sharing for development)</v>
      </c>
      <c r="F18" s="4" t="str">
        <v>Peru</v>
      </c>
      <c r="G18" s="5">
        <v>10</v>
      </c>
      <c r="H18" s="5">
        <v>4528</v>
      </c>
      <c r="I18" s="4" t="str">
        <v>.</v>
      </c>
      <c r="J18" s="4">
        <v>4860</v>
      </c>
    </row>
    <row r="19" ht="50" customHeight="1" xml:space="preserve">
      <c r="B19" s="4" t="str">
        <v>CIP</v>
      </c>
      <c r="D19" s="4" t="str" xml:space="preserve">
        <v xml:space="preserve">132.---- CIP (POTATO; SWEET POTATO) (EBS trainings provided to CIP's breeding programs in SSA and SEA region (in-person and online))..-------- KEY ACTIVITIES FOR THIS DELIVERABLE:      Activity: Provide EBS training to CIP's breeding programs in ESA and SEA regions. 
EBS training customized to the potato and sweetpotato breeding data workflows established in the CIP EBS instance will be provided online and in-person.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v>
      </c>
      <c r="E19" s="4" t="str">
        <v>Number of people trained (capacity sharing for development)</v>
      </c>
      <c r="F19" s="4" t="str">
        <v>Mozambique, Uganda, Nigeria, Ethiopia, Tanzania, United Republic, Malawi, Kenya</v>
      </c>
      <c r="G19" s="5">
        <v>20</v>
      </c>
      <c r="H19" s="5">
        <v>45278</v>
      </c>
      <c r="I19" s="4" t="str">
        <v>.</v>
      </c>
      <c r="J19" s="4">
        <v>4861</v>
      </c>
    </row>
    <row r="20" ht="50" customHeight="1" xml:space="preserve">
      <c r="B20" s="4" t="str">
        <v>CIP</v>
      </c>
      <c r="D20" s="4" t="str" xml:space="preserve">
        <v xml:space="preserve">133.---- CIP- POTATO; SWEET POTATO (EBS testing specific for RTB crops and requirement reports to enable accelerated adoption of EBS by RTB crops)..-------- KEY ACTIVITIES FOR THIS DELIVERABLE:      Activity: Provide input to EBS team to define and resolve data management gaps for RTB crops.
 Through extensive testing of EBS instance for potato and sweetpotato, suggestions for improvements and current gaps will be communicated to the EBS team through requirement reports enabling accelerated adoption of EBS by RTB crops. ---- Number of knowledge products (target: 1).-------- BREEDING PIPELINE:     Global.-------- MARKET SEGMENT:     Global.-------- INDICATOR:     Number of knowledge products (disaggregated by type, report)</v>
      </c>
      <c r="E20" s="4" t="str">
        <v>Number of knowledge products</v>
      </c>
      <c r="F20" s="4" t="str">
        <v>Kenya, Peru</v>
      </c>
      <c r="G20" s="5">
        <v>1</v>
      </c>
      <c r="H20" s="5">
        <v>22639</v>
      </c>
      <c r="I20" s="4" t="str">
        <v>.</v>
      </c>
      <c r="J20" s="4">
        <v>4862</v>
      </c>
    </row>
    <row r="21" ht="50" customHeight="1" xml:space="preserve">
      <c r="B21" s="4" t="str">
        <v>CIP</v>
      </c>
      <c r="D21" s="4" t="str" xml:space="preserve">
        <v xml:space="preserve">134 A portfolio of connected tools and services that collectively meet current and emerging needs for modernized breeding is made available to breeding networks..-------- KEY ACTIVITIES FOR THIS DELIVERABLE:      Activity: Provide Bioflow training to CGIAR-NARES breeding networks in LAC region. 
Bioflow training customized to potato and sweetpotato breeding data analysis will be provided online and in-person. Regional synergies with ABC and CIMMYT will be pursued where possible to increase cost-efficiency. .-------- BREEDING PIPELINE:     BP00249.-------- MARKET SEGMENT:     MS00807.-------- INDICATOR:     Number of people trained (disaggregated by sex , mode of training and type of training)</v>
      </c>
      <c r="E21" s="4" t="str">
        <v>Number of people trained (capacity sharing for development)</v>
      </c>
      <c r="F21" s="4" t="str">
        <v>Peru</v>
      </c>
      <c r="G21" s="5">
        <v>25</v>
      </c>
      <c r="H21" s="5">
        <v>45278</v>
      </c>
      <c r="I21" s="4" t="str">
        <v>.</v>
      </c>
      <c r="J21" s="4">
        <v>4863</v>
      </c>
    </row>
    <row r="22" ht="50" customHeight="1" xml:space="preserve">
      <c r="B22" s="4" t="str">
        <v>CIP</v>
      </c>
      <c r="D22" s="4" t="str" xml:space="preserve">
        <v xml:space="preserve">135.---- CIP - CROP AGNOSTIC - (bioflow training provided to CGIAR-NARES networks in SSA and SEA regions in collaboration with CIMMYT.)..-------- KEY ACTIVITIES FOR THIS DELIVERABLE:      Activity: Provide Bioflow training to CGIAR-NARES breeding networks in SEA and ESA regions. 
Bioflow training customized to potato and sweetpotato breeding data analysis will be provided online and in-person (during PAMs or by pursuing regional synergies with CIMMYT and other centers to increase cost-efficiency).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v>
      </c>
      <c r="E22" s="4" t="str">
        <v>Number of people trained (capacity sharing for development)</v>
      </c>
      <c r="F22" s="4" t="str">
        <v>Kenya, Peru</v>
      </c>
      <c r="G22" s="5">
        <v>25</v>
      </c>
      <c r="H22" s="5">
        <v>67916</v>
      </c>
      <c r="I22" s="4" t="str">
        <v>.</v>
      </c>
      <c r="J22" s="4">
        <v>4864</v>
      </c>
    </row>
    <row r="23" ht="50" customHeight="1" xml:space="preserve">
      <c r="B23" s="4" t="str">
        <v>CIP</v>
      </c>
      <c r="D23" s="4" t="str" xml:space="preserve">
        <v xml:space="preserve">136.--------CIP - CROP AGNOSTIC - (Bioflow further improved to drive adoption through coordination between centers and contributions including testing, identifying requirements and development for improvement of the analytical pipelines)..-------- KEY ACTIVITIES FOR THIS DELIVERABLE:      Activity: Contribute to Bioflow testing, requirement analyes and development.
This cross-cutting activity aims at driving Bioflow adoption through enhancement of Bioflow capabilities and user experience.  .-------- BREEDING PIPELINE:     Global.-------- MARKET SEGMENT:     Global.-------- INDICATOR:   Number of analytics module executions by users on the Bioflow production server
This cross-cutting activity aims at driving Bioflow adoption through enhancement of Bioflow capabilities and user experience.  .-------- BREEDING PIPELINE:     Global.-------- MARKET SEGMENT:     Global.-------- INDICATOR:   Number of analytics module executions by users on the Bioflow production serverThis cross-cutting activity aims at driving Bioflow adoption through enhancement of Bioflow capabilities and user experience.  .-------- BREEDING PIPELINE:     Global.-------- MARKET SEGMENT:     Global.-------- INDICATOR:   Analytics module executions by users on the Bioflow production server</v>
      </c>
      <c r="E23" s="4" t="str">
        <v>custom</v>
      </c>
      <c r="F23" s="4" t="str">
        <v>Peru</v>
      </c>
      <c r="G23" s="5">
        <v>375</v>
      </c>
      <c r="H23" s="5">
        <v>22639</v>
      </c>
      <c r="I23" s="4" t="str">
        <v>.</v>
      </c>
      <c r="J23" s="4">
        <v>4865</v>
      </c>
    </row>
    <row r="24" ht="25" customHeight="1">
      <c r="C24" s="9" t="str">
        <v>HLO budget subtotal</v>
      </c>
      <c r="H24" s="9">
        <v>253556</v>
      </c>
      <c r="J24" s="9" t="str">
        <v/>
      </c>
    </row>
    <row r="25" ht="50" customHeight="1">
      <c r="A25" s="8" t="str">
        <v>AOW05: Enable</v>
      </c>
      <c r="B25" s="4" t="str">
        <v>CIP</v>
      </c>
      <c r="C25" s="4" t="str">
        <v>HLO18.AOW5.IO2 Partnered networks</v>
      </c>
      <c r="D25" s="4" t="str">
        <v>New KPI-CIP1 ------------CIP --------[TO ADD CROP INFO] ---------Breeding to market integration ensures that breeding pipelines are grounded in real user demand and the insights captured (re) shape TPPs, variety trials, seed multiplication decisions, and market release plans. It builds tools and processes for eliciting trait preferences, harmonizes TPPs across breeding networks, and implements fast-track protocols (PAM, OFT etc) to reduce time to market..-------- KEY ACTIVITIES FOR THIS DELIVERABLE:      Piloting  the Product Advancement Meeting (PAM) process at the national level in four countries (two for potato and two for sweetpotato) and organize one regional PAM per crop to engage both Level 1 and Level 2 countries..-------- BREEDING PIPELINE:     BP000124; BP000049.-------- MARKET SEGMENT:     MS00718, MS00721, MS00716, MS00806.-------- INDICATOR:     Number of product advancement meetings (PAM) conducted</v>
      </c>
      <c r="E25" s="4" t="str">
        <v>Number of people trained (capacity sharing for development)</v>
      </c>
      <c r="F25" s="4" t="str">
        <v>Kenya</v>
      </c>
      <c r="G25" s="5">
        <v>4</v>
      </c>
      <c r="H25" s="5">
        <v>80000</v>
      </c>
      <c r="I25" s="4" t="str">
        <v>.</v>
      </c>
      <c r="J25" s="4">
        <v>7579</v>
      </c>
    </row>
    <row r="26" ht="25" customHeight="1">
      <c r="C26" s="9" t="str">
        <v>HLO budget subtotal</v>
      </c>
      <c r="H26" s="9">
        <v>80000</v>
      </c>
      <c r="J26" s="9" t="str">
        <v/>
      </c>
    </row>
  </sheetData>
  <mergeCells count="21">
    <mergeCell ref="A1:A2"/>
    <mergeCell ref="B1:B2"/>
    <mergeCell ref="C1:C2"/>
    <mergeCell ref="D1:H1"/>
    <mergeCell ref="I1:I2"/>
    <mergeCell ref="J1:J2"/>
    <mergeCell ref="C3:C4"/>
    <mergeCell ref="C5:G5"/>
    <mergeCell ref="A3:A5"/>
    <mergeCell ref="C6:C8"/>
    <mergeCell ref="C9:G9"/>
    <mergeCell ref="A6:A9"/>
    <mergeCell ref="C10:C12"/>
    <mergeCell ref="C15:G15"/>
    <mergeCell ref="A10:A15"/>
    <mergeCell ref="C16:C17"/>
    <mergeCell ref="C18:C23"/>
    <mergeCell ref="C24:G24"/>
    <mergeCell ref="A16:A24"/>
    <mergeCell ref="C26:G26"/>
    <mergeCell ref="A25:A26"/>
  </mergeCells>
  <ignoredErrors>
    <ignoredError numberStoredAsText="1" sqref="A1:J26"/>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Grupo Yanapai</v>
      </c>
      <c r="C2" s="4" t="str">
        <v>CIP</v>
      </c>
      <c r="D2" s="4" t="str">
        <v>Peru</v>
      </c>
      <c r="E2" s="5">
        <v>89394</v>
      </c>
      <c r="F2" s="4" t="str">
        <v>. note this partner allocation was increased in June. while the gates adjustments were being made</v>
      </c>
      <c r="G2" s="4">
        <v>282</v>
      </c>
    </row>
    <row r="3" ht="25" customHeight="1">
      <c r="B3" s="9" t="str">
        <v>Contracted partners subtotal</v>
      </c>
      <c r="E3" s="9">
        <v>89394</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CIP</v>
      </c>
      <c r="B2" s="4" t="str">
        <v>1078-CHI0   Supporting preparation work of CCCAP in China</v>
      </c>
      <c r="C2" s="4" t="str">
        <v>HLO18.AOW5.IO2 Partnered networks</v>
      </c>
      <c r="D2" s="5">
        <v>0</v>
      </c>
      <c r="E2" s="4" t="str">
        <v/>
      </c>
      <c r="F2" s="4">
        <v>916</v>
      </c>
    </row>
    <row r="3" ht="60" customHeight="1">
      <c r="A3" s="4" t="str">
        <v>CIP</v>
      </c>
      <c r="B3" s="4" t="str">
        <v>1523-BMGF  RTB Breeding Investment</v>
      </c>
      <c r="C3" s="4" t="str">
        <v>I-OC 1.3. Breeding network actors orient product development toward delivery of the greatest benefits across the 5 Impact Areas</v>
      </c>
      <c r="D3" s="5">
        <v>0</v>
      </c>
      <c r="E3" s="4" t="str">
        <v/>
      </c>
      <c r="F3" s="4">
        <v>907</v>
      </c>
    </row>
    <row r="4" ht="60" customHeight="1">
      <c r="A4" s="4" t="str">
        <v>CIP</v>
      </c>
      <c r="B4" s="4" t="str">
        <v>P-1568-WBS0-Developing Local Seed Potato Production System i</v>
      </c>
      <c r="C4" s="4" t="str">
        <v>I-OC 3.5. Women, men, youth, and marginalized social groups accessing quality seed of improved varieties</v>
      </c>
      <c r="D4" s="5">
        <v>0</v>
      </c>
      <c r="E4" s="4" t="str">
        <v/>
      </c>
      <c r="F4" s="4">
        <v>874</v>
      </c>
    </row>
    <row r="5" ht="60" customHeight="1">
      <c r="A5" s="4" t="str">
        <v>CIP</v>
      </c>
      <c r="B5" s="4" t="str">
        <v>P-1592-AATF-Rwanda Agricultural Biotechnology Program (Cassa</v>
      </c>
      <c r="C5" s="4" t="str">
        <v>HLO18.AOW5.IO2 Partnered networks</v>
      </c>
      <c r="D5" s="5">
        <v>0</v>
      </c>
      <c r="E5" s="4" t="str">
        <v/>
      </c>
      <c r="F5" s="4">
        <v>918</v>
      </c>
    </row>
    <row r="6" ht="25" customHeight="1">
      <c r="B6" s="9" t="str">
        <v>W3/Bilateral budget subtotal</v>
      </c>
      <c r="D6" s="9">
        <v>0</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Operations</v>
      </c>
      <c r="D2" s="5">
        <v>0</v>
      </c>
      <c r="E2" s="4" t="str">
        <v/>
      </c>
      <c r="F2" s="4">
        <v>50</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31638</v>
      </c>
      <c r="D2" s="5">
        <v>722549</v>
      </c>
      <c r="E2" s="5">
        <v>154760</v>
      </c>
      <c r="F2" s="5">
        <v>157467</v>
      </c>
      <c r="G2" s="5">
        <v>80000</v>
      </c>
      <c r="H2" s="5">
        <f>=SUM(B2:G2)</f>
        <v>0</v>
      </c>
    </row>
    <row r="3" ht="20" customHeight="1">
      <c r="A3" s="4" t="str">
        <v>Operations (supplies, consultants, travels, workshops, other)</v>
      </c>
      <c r="B3" s="5">
        <v>0</v>
      </c>
      <c r="C3" s="5">
        <v>42847</v>
      </c>
      <c r="D3" s="5">
        <v>134581</v>
      </c>
      <c r="E3" s="5">
        <v>40089</v>
      </c>
      <c r="F3" s="5">
        <v>96089</v>
      </c>
      <c r="G3" s="5">
        <v>0</v>
      </c>
      <c r="H3" s="5">
        <f>=SUM(B3:G3)</f>
        <v>0</v>
      </c>
    </row>
    <row r="4" ht="20" customHeight="1">
      <c r="A4" s="4" t="str">
        <v>Collaborators non-CGIAR centers</v>
      </c>
      <c r="B4" s="5">
        <v>0</v>
      </c>
      <c r="C4" s="5">
        <v>0</v>
      </c>
      <c r="D4" s="5">
        <v>89394</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Peru</v>
      </c>
      <c r="D2" s="5">
        <v>100</v>
      </c>
      <c r="E2" s="4">
        <v>3376</v>
      </c>
    </row>
    <row r="3" ht="45" customHeight="1">
      <c r="A3" s="8" t="str">
        <v>AOW01: Market Intelligence</v>
      </c>
      <c r="B3" s="4" t="str">
        <v>CIP</v>
      </c>
      <c r="C3" s="4" t="str">
        <v>Colombia</v>
      </c>
      <c r="D3" s="5">
        <v>10</v>
      </c>
      <c r="E3" s="4">
        <v>2701</v>
      </c>
    </row>
    <row r="4" ht="45" customHeight="1">
      <c r="A4" s="4" t="str">
        <v>AOW01: Market Intelligence</v>
      </c>
      <c r="B4" s="4" t="str">
        <v>CIP</v>
      </c>
      <c r="C4" s="4" t="str">
        <v>Ecuador</v>
      </c>
      <c r="D4" s="5">
        <v>40</v>
      </c>
      <c r="E4" s="4">
        <v>2703</v>
      </c>
    </row>
    <row r="5" ht="45" customHeight="1">
      <c r="A5" s="4" t="str">
        <v>AOW01: Market Intelligence</v>
      </c>
      <c r="B5" s="4" t="str">
        <v>CIP</v>
      </c>
      <c r="C5" s="4" t="str">
        <v>Peru</v>
      </c>
      <c r="D5" s="5">
        <v>50</v>
      </c>
      <c r="E5" s="4">
        <v>2702</v>
      </c>
    </row>
    <row r="6" ht="45" customHeight="1">
      <c r="A6" s="8" t="str">
        <v>AOW02: Accelerated Breeding</v>
      </c>
      <c r="B6" s="4" t="str">
        <v>CIP</v>
      </c>
      <c r="C6" s="4" t="str">
        <v>India</v>
      </c>
      <c r="D6" s="5">
        <v>5</v>
      </c>
      <c r="E6" s="4">
        <v>2707</v>
      </c>
    </row>
    <row r="7" ht="45" customHeight="1">
      <c r="A7" s="4" t="str">
        <v>AOW02: Accelerated Breeding</v>
      </c>
      <c r="B7" s="4" t="str">
        <v>CIP</v>
      </c>
      <c r="C7" s="4" t="str">
        <v>Kenya</v>
      </c>
      <c r="D7" s="5">
        <v>20</v>
      </c>
      <c r="E7" s="4">
        <v>2705</v>
      </c>
    </row>
    <row r="8" ht="45" customHeight="1">
      <c r="A8" s="4" t="str">
        <v>AOW02: Accelerated Breeding</v>
      </c>
      <c r="B8" s="4" t="str">
        <v>CIP</v>
      </c>
      <c r="C8" s="4" t="str">
        <v>Peru</v>
      </c>
      <c r="D8" s="5">
        <v>45</v>
      </c>
      <c r="E8" s="4">
        <v>2704</v>
      </c>
    </row>
    <row r="9" ht="45" customHeight="1">
      <c r="A9" s="4" t="str">
        <v>AOW02: Accelerated Breeding</v>
      </c>
      <c r="B9" s="4" t="str">
        <v>CIP</v>
      </c>
      <c r="C9" s="4" t="str">
        <v>Uganda</v>
      </c>
      <c r="D9" s="5">
        <v>30</v>
      </c>
      <c r="E9" s="4">
        <v>2706</v>
      </c>
    </row>
    <row r="10" ht="45" customHeight="1">
      <c r="A10" s="8" t="str">
        <v>AOW03: Inclusive Delivery</v>
      </c>
      <c r="B10" s="4" t="str">
        <v>CIP</v>
      </c>
      <c r="C10" s="4" t="str">
        <v>Kenya</v>
      </c>
      <c r="D10" s="5">
        <v>70</v>
      </c>
      <c r="E10" s="4">
        <v>2708</v>
      </c>
    </row>
    <row r="11" ht="45" customHeight="1">
      <c r="A11" s="4" t="str">
        <v>AOW03: Inclusive Delivery</v>
      </c>
      <c r="B11" s="4" t="str">
        <v>CIP</v>
      </c>
      <c r="C11" s="4" t="str">
        <v>Rwanda</v>
      </c>
      <c r="D11" s="5">
        <v>5</v>
      </c>
      <c r="E11" s="4">
        <v>2710</v>
      </c>
    </row>
    <row r="12" ht="45" customHeight="1">
      <c r="A12" s="4" t="str">
        <v>AOW03: Inclusive Delivery</v>
      </c>
      <c r="B12" s="4" t="str">
        <v>CIP</v>
      </c>
      <c r="C12" s="4" t="str">
        <v>Uganda</v>
      </c>
      <c r="D12" s="5">
        <v>25</v>
      </c>
      <c r="E12" s="4">
        <v>2709</v>
      </c>
    </row>
    <row r="13" ht="45" customHeight="1">
      <c r="A13" s="8" t="str">
        <v>AOW04: Breeding Resources</v>
      </c>
      <c r="B13" s="4" t="str">
        <v>CIP</v>
      </c>
      <c r="C13" s="4" t="str">
        <v>Ethiopia</v>
      </c>
      <c r="D13" s="5">
        <v>5</v>
      </c>
      <c r="E13" s="4">
        <v>2714</v>
      </c>
    </row>
    <row r="14" ht="45" customHeight="1">
      <c r="A14" s="4" t="str">
        <v>AOW04: Breeding Resources</v>
      </c>
      <c r="B14" s="4" t="str">
        <v>CIP</v>
      </c>
      <c r="C14" s="4" t="str">
        <v>Kenya</v>
      </c>
      <c r="D14" s="5">
        <v>30</v>
      </c>
      <c r="E14" s="4">
        <v>2713</v>
      </c>
    </row>
    <row r="15" ht="45" customHeight="1">
      <c r="A15" s="4" t="str">
        <v>AOW04: Breeding Resources</v>
      </c>
      <c r="B15" s="4" t="str">
        <v>CIP</v>
      </c>
      <c r="C15" s="4" t="str">
        <v>Malawi</v>
      </c>
      <c r="D15" s="5">
        <v>5</v>
      </c>
      <c r="E15" s="4">
        <v>2715</v>
      </c>
    </row>
    <row r="16" ht="45" customHeight="1">
      <c r="A16" s="4" t="str">
        <v>AOW04: Breeding Resources</v>
      </c>
      <c r="B16" s="4" t="str">
        <v>CIP</v>
      </c>
      <c r="C16" s="4" t="str">
        <v>Mozambique</v>
      </c>
      <c r="D16" s="5">
        <v>5</v>
      </c>
      <c r="E16" s="4">
        <v>2716</v>
      </c>
    </row>
    <row r="17" ht="45" customHeight="1">
      <c r="A17" s="4" t="str">
        <v>AOW04: Breeding Resources</v>
      </c>
      <c r="B17" s="4" t="str">
        <v>CIP</v>
      </c>
      <c r="C17" s="4" t="str">
        <v>Nigeria</v>
      </c>
      <c r="D17" s="5">
        <v>5</v>
      </c>
      <c r="E17" s="4">
        <v>2717</v>
      </c>
    </row>
    <row r="18" ht="45" customHeight="1">
      <c r="A18" s="4" t="str">
        <v>AOW04: Breeding Resources</v>
      </c>
      <c r="B18" s="4" t="str">
        <v>CIP</v>
      </c>
      <c r="C18" s="4" t="str">
        <v>Peru</v>
      </c>
      <c r="D18" s="5">
        <v>40</v>
      </c>
      <c r="E18" s="4">
        <v>2712</v>
      </c>
    </row>
    <row r="19" ht="45" customHeight="1">
      <c r="A19" s="4" t="str">
        <v>AOW04: Breeding Resources</v>
      </c>
      <c r="B19" s="4" t="str">
        <v>CIP</v>
      </c>
      <c r="C19" s="4" t="str">
        <v>Tanzania</v>
      </c>
      <c r="D19" s="5">
        <v>5</v>
      </c>
      <c r="E19" s="4">
        <v>2718</v>
      </c>
    </row>
    <row r="20" ht="45" customHeight="1">
      <c r="A20" s="4" t="str">
        <v>AOW04: Breeding Resources</v>
      </c>
      <c r="B20" s="4" t="str">
        <v>CIP</v>
      </c>
      <c r="C20" s="4" t="str">
        <v>Uganda</v>
      </c>
      <c r="D20" s="5">
        <v>5</v>
      </c>
      <c r="E20" s="4">
        <v>2719</v>
      </c>
    </row>
    <row r="21" ht="45" customHeight="1">
      <c r="A21" s="8" t="str">
        <v>AOW05: Enable</v>
      </c>
      <c r="B21" s="4" t="str">
        <v>CIP</v>
      </c>
      <c r="C21" s="4" t="str">
        <v>Kenya</v>
      </c>
      <c r="D21" s="5">
        <v>100</v>
      </c>
      <c r="E21" s="4">
        <v>2711</v>
      </c>
    </row>
  </sheetData>
  <mergeCells count="6">
    <mergeCell ref="A2"/>
    <mergeCell ref="A3:A5"/>
    <mergeCell ref="A6:A9"/>
    <mergeCell ref="A10:A12"/>
    <mergeCell ref="A13:A20"/>
    <mergeCell ref="A21"/>
  </mergeCells>
  <ignoredErrors>
    <ignoredError numberStoredAsText="1" sqref="A1:E21"/>
  </ignoredErrors>
</worksheet>
</file>

<file path=xl/worksheets/sheet9.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Global</v>
      </c>
      <c r="D2" s="4" t="str">
        <v>global</v>
      </c>
      <c r="E2" s="5">
        <v>100</v>
      </c>
      <c r="F2" s="4">
        <v>1686</v>
      </c>
    </row>
    <row r="3" ht="45" customHeight="1">
      <c r="A3" s="8" t="str">
        <v>AOW01: Market Intelligence</v>
      </c>
      <c r="B3" s="4" t="str">
        <v>CIP</v>
      </c>
      <c r="C3" s="4" t="str">
        <v>Global</v>
      </c>
      <c r="D3" s="4" t="str">
        <v>global</v>
      </c>
      <c r="E3" s="5">
        <v>100</v>
      </c>
      <c r="F3" s="4">
        <v>1530</v>
      </c>
    </row>
    <row r="4" ht="45" customHeight="1">
      <c r="A4" s="8" t="str">
        <v>AOW02: Accelerated Breeding</v>
      </c>
      <c r="B4" s="4" t="str">
        <v>CIP</v>
      </c>
      <c r="C4" s="4" t="str">
        <v>Eastern Africa</v>
      </c>
      <c r="D4" s="4" t="str">
        <v>region</v>
      </c>
      <c r="E4" s="5">
        <v>25</v>
      </c>
      <c r="F4" s="4">
        <v>1529</v>
      </c>
    </row>
    <row r="5" ht="45" customHeight="1">
      <c r="A5" s="4" t="str">
        <v>AOW02: Accelerated Breeding</v>
      </c>
      <c r="B5" s="4" t="str">
        <v>CIP</v>
      </c>
      <c r="C5" s="4" t="str">
        <v>Latin America and the Caribbean</v>
      </c>
      <c r="D5" s="4" t="str">
        <v>region</v>
      </c>
      <c r="E5" s="5">
        <v>25</v>
      </c>
      <c r="F5" s="4">
        <v>1528</v>
      </c>
    </row>
    <row r="6" ht="45" customHeight="1">
      <c r="A6" s="4" t="str">
        <v>AOW02: Accelerated Breeding</v>
      </c>
      <c r="B6" s="4" t="str">
        <v>CIP</v>
      </c>
      <c r="C6" s="4" t="str">
        <v>Southern Africa</v>
      </c>
      <c r="D6" s="4" t="str">
        <v>region</v>
      </c>
      <c r="E6" s="5">
        <v>25</v>
      </c>
      <c r="F6" s="4">
        <v>1527</v>
      </c>
    </row>
    <row r="7" ht="45" customHeight="1">
      <c r="A7" s="4" t="str">
        <v>AOW02: Accelerated Breeding</v>
      </c>
      <c r="B7" s="4" t="str">
        <v>CIP</v>
      </c>
      <c r="C7" s="4" t="str">
        <v>Southern Asia</v>
      </c>
      <c r="D7" s="4" t="str">
        <v>region</v>
      </c>
      <c r="E7" s="5">
        <v>25</v>
      </c>
      <c r="F7" s="4">
        <v>1526</v>
      </c>
    </row>
    <row r="8" ht="45" customHeight="1">
      <c r="A8" s="8" t="str">
        <v>AOW03: Inclusive Delivery</v>
      </c>
      <c r="B8" s="4" t="str">
        <v>CIP</v>
      </c>
      <c r="C8" s="4" t="str">
        <v>Eastern Africa</v>
      </c>
      <c r="D8" s="4" t="str">
        <v>region</v>
      </c>
      <c r="E8" s="5">
        <v>75</v>
      </c>
      <c r="F8" s="4">
        <v>1524</v>
      </c>
    </row>
    <row r="9" ht="45" customHeight="1">
      <c r="A9" s="4" t="str">
        <v>AOW03: Inclusive Delivery</v>
      </c>
      <c r="B9" s="4" t="str">
        <v>CIP</v>
      </c>
      <c r="C9" s="4" t="str">
        <v>Southern Africa</v>
      </c>
      <c r="D9" s="4" t="str">
        <v>region</v>
      </c>
      <c r="E9" s="5">
        <v>25</v>
      </c>
      <c r="F9" s="4">
        <v>1525</v>
      </c>
    </row>
    <row r="10" ht="45" customHeight="1">
      <c r="A10" s="8" t="str">
        <v>AOW04: Breeding Resources</v>
      </c>
      <c r="B10" s="4" t="str">
        <v>CIP</v>
      </c>
      <c r="C10" s="4" t="str">
        <v>Global</v>
      </c>
      <c r="D10" s="4" t="str">
        <v>global</v>
      </c>
      <c r="E10" s="5">
        <v>100</v>
      </c>
      <c r="F10" s="4">
        <v>1523</v>
      </c>
    </row>
    <row r="11" ht="45" customHeight="1">
      <c r="A11" s="8" t="str">
        <v>AOW05: Enable</v>
      </c>
      <c r="B11" s="4" t="str">
        <v>CIP</v>
      </c>
      <c r="C11" s="4" t="str">
        <v>Eastern Africa</v>
      </c>
      <c r="D11" s="4" t="str">
        <v>region</v>
      </c>
      <c r="E11" s="5">
        <v>100</v>
      </c>
      <c r="F11" s="4">
        <v>1522</v>
      </c>
    </row>
  </sheetData>
  <mergeCells count="6">
    <mergeCell ref="A2"/>
    <mergeCell ref="A3"/>
    <mergeCell ref="A4:A7"/>
    <mergeCell ref="A8:A9"/>
    <mergeCell ref="A10"/>
    <mergeCell ref="A11"/>
  </mergeCells>
  <ignoredErrors>
    <ignoredError numberStoredAsText="1" sqref="A1:F11"/>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