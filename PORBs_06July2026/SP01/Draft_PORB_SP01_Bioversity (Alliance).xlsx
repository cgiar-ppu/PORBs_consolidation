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130856</v>
      </c>
      <c r="K4" s="5">
        <v>130856</v>
      </c>
      <c r="L4" s="5">
        <v>0</v>
      </c>
      <c r="M4" s="5">
        <v>0</v>
      </c>
      <c r="N4" s="4">
        <v>163</v>
      </c>
    </row>
    <row r="5" ht="20" customHeight="1">
      <c r="A5" s="4" t="str">
        <v>AOW01: Market Intelligence</v>
      </c>
      <c r="B5" s="5">
        <v>0</v>
      </c>
      <c r="C5" s="5">
        <v>0</v>
      </c>
      <c r="D5" s="5">
        <v>0</v>
      </c>
      <c r="E5" s="5">
        <v>0</v>
      </c>
      <c r="F5" s="5">
        <v>0</v>
      </c>
      <c r="G5" s="5">
        <v>0</v>
      </c>
      <c r="H5" s="5">
        <v>0</v>
      </c>
      <c r="I5" s="5">
        <v>0</v>
      </c>
      <c r="J5" s="5">
        <v>0</v>
      </c>
      <c r="K5" s="5">
        <v>0</v>
      </c>
      <c r="L5" s="5">
        <v>0</v>
      </c>
      <c r="M5" s="5">
        <v>0</v>
      </c>
      <c r="N5" s="4">
        <v>161</v>
      </c>
    </row>
    <row r="6" ht="20" customHeight="1">
      <c r="A6" s="4" t="str">
        <v>AOW02: Accelerated Breeding</v>
      </c>
      <c r="B6" s="5">
        <v>0</v>
      </c>
      <c r="C6" s="5">
        <v>0</v>
      </c>
      <c r="D6" s="5">
        <v>0</v>
      </c>
      <c r="E6" s="5">
        <v>0</v>
      </c>
      <c r="F6" s="5">
        <v>0</v>
      </c>
      <c r="G6" s="5">
        <v>0</v>
      </c>
      <c r="H6" s="5">
        <v>2</v>
      </c>
      <c r="I6" s="5">
        <v>37500</v>
      </c>
      <c r="J6" s="5">
        <v>37500</v>
      </c>
      <c r="K6" s="5">
        <v>37500</v>
      </c>
      <c r="L6" s="5">
        <v>0</v>
      </c>
      <c r="M6" s="5">
        <v>0</v>
      </c>
      <c r="N6" s="4">
        <v>160</v>
      </c>
    </row>
    <row r="7" ht="20" customHeight="1">
      <c r="A7" s="4" t="str">
        <v>AOW03: Inclusive Delivery</v>
      </c>
      <c r="B7" s="5">
        <v>0</v>
      </c>
      <c r="C7" s="5">
        <v>0</v>
      </c>
      <c r="D7" s="5">
        <v>0</v>
      </c>
      <c r="E7" s="5">
        <v>0</v>
      </c>
      <c r="F7" s="5">
        <v>0</v>
      </c>
      <c r="G7" s="5">
        <v>0</v>
      </c>
      <c r="H7" s="5">
        <v>0</v>
      </c>
      <c r="I7" s="5">
        <v>0</v>
      </c>
      <c r="J7" s="5">
        <v>0</v>
      </c>
      <c r="K7" s="5">
        <v>0</v>
      </c>
      <c r="L7" s="5">
        <v>0</v>
      </c>
      <c r="M7" s="5">
        <v>0</v>
      </c>
      <c r="N7" s="4">
        <v>159</v>
      </c>
    </row>
    <row r="8" ht="20" customHeight="1">
      <c r="A8" s="4" t="str">
        <v>AOW04: Breeding Resources</v>
      </c>
      <c r="B8" s="5">
        <v>0</v>
      </c>
      <c r="C8" s="5">
        <v>0</v>
      </c>
      <c r="D8" s="5">
        <v>0</v>
      </c>
      <c r="E8" s="5">
        <v>0</v>
      </c>
      <c r="F8" s="5">
        <v>0</v>
      </c>
      <c r="G8" s="5">
        <v>0</v>
      </c>
      <c r="H8" s="5">
        <v>0</v>
      </c>
      <c r="I8" s="5">
        <v>0</v>
      </c>
      <c r="J8" s="5">
        <v>0</v>
      </c>
      <c r="K8" s="5">
        <v>0</v>
      </c>
      <c r="L8" s="5">
        <v>0</v>
      </c>
      <c r="M8" s="5">
        <v>0</v>
      </c>
      <c r="N8" s="4">
        <v>158</v>
      </c>
    </row>
    <row r="9" ht="20" customHeight="1">
      <c r="A9" s="4" t="str">
        <v>AOW05: Enable</v>
      </c>
      <c r="B9" s="5">
        <v>0</v>
      </c>
      <c r="C9" s="5">
        <v>0</v>
      </c>
      <c r="D9" s="5">
        <v>0</v>
      </c>
      <c r="E9" s="5">
        <v>0</v>
      </c>
      <c r="F9" s="5">
        <v>0</v>
      </c>
      <c r="G9" s="5">
        <v>0</v>
      </c>
      <c r="H9" s="5">
        <v>0</v>
      </c>
      <c r="I9" s="5">
        <v>0</v>
      </c>
      <c r="J9" s="5">
        <v>0</v>
      </c>
      <c r="K9" s="5">
        <v>0</v>
      </c>
      <c r="L9" s="5">
        <v>0</v>
      </c>
      <c r="M9" s="5">
        <v>0</v>
      </c>
      <c r="N9" s="4">
        <v>162</v>
      </c>
    </row>
    <row r="10" ht="25" customHeight="1">
      <c r="A10" s="6" t="str">
        <v>Total</v>
      </c>
      <c r="B10" s="7" t="str">
        <v/>
      </c>
      <c r="C10" s="7">
        <v>0</v>
      </c>
      <c r="D10" s="7" t="str">
        <v/>
      </c>
      <c r="E10" s="7">
        <v>0</v>
      </c>
      <c r="F10" s="7" t="str">
        <v/>
      </c>
      <c r="G10" s="7">
        <v>0</v>
      </c>
      <c r="H10" s="7" t="str">
        <v/>
      </c>
      <c r="I10" s="7">
        <v>37500</v>
      </c>
      <c r="J10" s="7">
        <v>168356</v>
      </c>
      <c r="K10" s="7">
        <v>168356</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Accelerated Breeding</v>
      </c>
      <c r="B3" s="4" t="str">
        <v>Bioversity (Alliance)</v>
      </c>
      <c r="C3" s="4" t="str">
        <v>HLO8.AOW2.IO2 Discover genetic potential</v>
      </c>
      <c r="D3" s="4" t="str" xml:space="preserve">
        <v xml:space="preserve">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--------INDICATOR: 
Number of assays succesfully developed</v>
      </c>
      <c r="E3" s="4" t="str">
        <v>custom</v>
      </c>
      <c r="F3" s="4" t="str">
        <v>Uganda</v>
      </c>
      <c r="G3" s="5">
        <v>2</v>
      </c>
      <c r="H3" s="5">
        <v>37500</v>
      </c>
      <c r="I3" s="4" t="str">
        <v xml:space="preserve">shared deliverable with IITA (Rony Sweenen) </v>
      </c>
      <c r="J3" s="4">
        <v>8410</v>
      </c>
    </row>
    <row r="4" ht="25" customHeight="1">
      <c r="C4" s="9" t="str">
        <v>HLO budget subtotal</v>
      </c>
      <c r="H4" s="9">
        <v>37500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Bioversity (Alliance)</v>
      </c>
      <c r="C2" s="4" t="str">
        <v>PMU, CGIAR Program Finance Support and associated Allocation</v>
      </c>
      <c r="D2" s="5">
        <v>130856</v>
      </c>
      <c r="E2" s="4" t="str" xml:space="preserve">
        <v xml:space="preserve">130,856usd for scarlett crawford - pmu - program coordinator - contract with bioversity including chargeback
</v>
      </c>
      <c r="F2" s="4">
        <v>225</v>
      </c>
      <c r="G2" s="4">
        <v>2</v>
      </c>
    </row>
    <row r="3" ht="25" customHeight="1">
      <c r="C3" s="9" t="str">
        <v>Cross-cutting budget subtotal</v>
      </c>
      <c r="D3" s="9">
        <v>130856</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130856</v>
      </c>
      <c r="C2" s="5">
        <v>0</v>
      </c>
      <c r="D2" s="5">
        <v>36700</v>
      </c>
      <c r="E2" s="5">
        <v>0</v>
      </c>
      <c r="F2" s="5">
        <v>0</v>
      </c>
      <c r="G2" s="5">
        <v>0</v>
      </c>
      <c r="H2" s="5">
        <f>=SUM(B2:G2)</f>
        <v>0</v>
      </c>
    </row>
    <row r="3" ht="20" customHeight="1">
      <c r="A3" s="4" t="str">
        <v>Operations (supplies, consultants, travels, workshops, other)</v>
      </c>
      <c r="B3" s="5">
        <v>0</v>
      </c>
      <c r="C3" s="5">
        <v>0</v>
      </c>
      <c r="D3" s="5">
        <v>800</v>
      </c>
      <c r="E3" s="5">
        <v>0</v>
      </c>
      <c r="F3" s="5">
        <v>0</v>
      </c>
      <c r="G3" s="5">
        <v>0</v>
      </c>
      <c r="H3" s="5">
        <f>=SUM(B3:G3)</f>
        <v>0</v>
      </c>
    </row>
    <row r="4" ht="20" customHeight="1">
      <c r="A4" s="4" t="str">
        <v>Collaborators non-CGIAR centers</v>
      </c>
      <c r="B4" s="5">
        <v>0</v>
      </c>
      <c r="C4" s="5">
        <v>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France</v>
      </c>
      <c r="D2" s="5">
        <v>100</v>
      </c>
      <c r="E2" s="4">
        <v>3372</v>
      </c>
    </row>
    <row r="3" ht="45" customHeight="1">
      <c r="A3" s="8" t="str">
        <v>AOW02: Accelerated Breeding</v>
      </c>
      <c r="B3" s="4" t="str">
        <v>Bioversity (Alliance)</v>
      </c>
      <c r="C3" s="4" t="str">
        <v>Uganda</v>
      </c>
      <c r="D3" s="5">
        <v>100</v>
      </c>
      <c r="E3" s="4">
        <v>3030</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1683</v>
      </c>
    </row>
    <row r="3" ht="45" customHeight="1">
      <c r="A3" s="8" t="str">
        <v>AOW02: Accelerated Breeding</v>
      </c>
      <c r="B3" s="4" t="str">
        <v>Bioversity (Alliance)</v>
      </c>
      <c r="C3" s="4" t="str">
        <v>Uganda</v>
      </c>
      <c r="D3" s="4" t="str">
        <v>country</v>
      </c>
      <c r="E3" s="5">
        <v>100</v>
      </c>
      <c r="F3" s="4">
        <v>1175</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