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94628</v>
      </c>
      <c r="K4" s="5">
        <v>94628</v>
      </c>
      <c r="L4" s="5">
        <v>0</v>
      </c>
      <c r="M4" s="5">
        <v>0</v>
      </c>
      <c r="N4" s="4">
        <v>163</v>
      </c>
    </row>
    <row r="5" ht="20" customHeight="1">
      <c r="A5" s="4" t="str">
        <v>AOW01: Market Intelligence</v>
      </c>
      <c r="B5" s="5">
        <v>0</v>
      </c>
      <c r="C5" s="5">
        <v>0</v>
      </c>
      <c r="D5" s="5">
        <v>1</v>
      </c>
      <c r="E5" s="5">
        <v>33000</v>
      </c>
      <c r="F5" s="5">
        <v>0</v>
      </c>
      <c r="G5" s="5">
        <v>0</v>
      </c>
      <c r="H5" s="5">
        <v>0</v>
      </c>
      <c r="I5" s="5">
        <v>87056</v>
      </c>
      <c r="J5" s="5">
        <v>120056</v>
      </c>
      <c r="K5" s="5">
        <v>120056</v>
      </c>
      <c r="L5" s="5">
        <v>0</v>
      </c>
      <c r="M5" s="5">
        <v>0</v>
      </c>
      <c r="N5" s="4">
        <v>161</v>
      </c>
    </row>
    <row r="6" ht="20" customHeight="1">
      <c r="A6" s="4" t="str">
        <v>AOW02: Accelerated Breeding</v>
      </c>
      <c r="B6" s="5">
        <v>591</v>
      </c>
      <c r="C6" s="5">
        <v>2452058</v>
      </c>
      <c r="D6" s="5">
        <v>0</v>
      </c>
      <c r="E6" s="5">
        <v>69850</v>
      </c>
      <c r="F6" s="5">
        <v>0</v>
      </c>
      <c r="G6" s="5">
        <v>0</v>
      </c>
      <c r="H6" s="5">
        <v>6115</v>
      </c>
      <c r="I6" s="5">
        <v>917446</v>
      </c>
      <c r="J6" s="5">
        <v>3439354</v>
      </c>
      <c r="K6" s="5">
        <v>3439354</v>
      </c>
      <c r="L6" s="5">
        <v>26600</v>
      </c>
      <c r="M6" s="5">
        <v>0</v>
      </c>
      <c r="N6" s="4">
        <v>160</v>
      </c>
    </row>
    <row r="7" ht="20" customHeight="1">
      <c r="A7" s="4" t="str">
        <v>AOW03: Inclusive Delivery</v>
      </c>
      <c r="B7" s="5">
        <v>17</v>
      </c>
      <c r="C7" s="5">
        <v>410000</v>
      </c>
      <c r="D7" s="5">
        <v>3</v>
      </c>
      <c r="E7" s="5">
        <v>24868</v>
      </c>
      <c r="F7" s="5">
        <v>10</v>
      </c>
      <c r="G7" s="5">
        <v>100000</v>
      </c>
      <c r="H7" s="5">
        <v>46</v>
      </c>
      <c r="I7" s="5">
        <v>831034</v>
      </c>
      <c r="J7" s="5">
        <v>1365902</v>
      </c>
      <c r="K7" s="5">
        <v>1365902</v>
      </c>
      <c r="L7" s="5">
        <v>95000</v>
      </c>
      <c r="M7" s="5">
        <v>0</v>
      </c>
      <c r="N7" s="4">
        <v>159</v>
      </c>
    </row>
    <row r="8" ht="20" customHeight="1">
      <c r="A8" s="4" t="str">
        <v>AOW04: Breeding Resources</v>
      </c>
      <c r="B8" s="5">
        <v>0</v>
      </c>
      <c r="C8" s="5">
        <v>21471</v>
      </c>
      <c r="D8" s="5">
        <v>0</v>
      </c>
      <c r="E8" s="5">
        <v>0</v>
      </c>
      <c r="F8" s="5">
        <v>14</v>
      </c>
      <c r="G8" s="5">
        <v>80000</v>
      </c>
      <c r="H8" s="5">
        <v>3052</v>
      </c>
      <c r="I8" s="5">
        <v>216986</v>
      </c>
      <c r="J8" s="5">
        <v>318457</v>
      </c>
      <c r="K8" s="5">
        <v>318457</v>
      </c>
      <c r="L8" s="5">
        <v>0</v>
      </c>
      <c r="M8" s="5">
        <v>0</v>
      </c>
      <c r="N8" s="4">
        <v>158</v>
      </c>
    </row>
    <row r="9" ht="20" customHeight="1">
      <c r="A9" s="4" t="str">
        <v>AOW05: Enable</v>
      </c>
      <c r="B9" s="5">
        <v>0</v>
      </c>
      <c r="C9" s="5">
        <v>0</v>
      </c>
      <c r="D9" s="5">
        <v>2</v>
      </c>
      <c r="E9" s="5">
        <v>65114</v>
      </c>
      <c r="F9" s="5">
        <v>40</v>
      </c>
      <c r="G9" s="5">
        <v>361032</v>
      </c>
      <c r="H9" s="5">
        <v>1</v>
      </c>
      <c r="I9" s="5">
        <v>25933</v>
      </c>
      <c r="J9" s="5">
        <v>452079</v>
      </c>
      <c r="K9" s="5">
        <v>452079</v>
      </c>
      <c r="L9" s="5">
        <v>0</v>
      </c>
      <c r="M9" s="5">
        <v>0</v>
      </c>
      <c r="N9" s="4">
        <v>162</v>
      </c>
    </row>
    <row r="10" ht="25" customHeight="1">
      <c r="A10" s="6" t="str">
        <v>Total</v>
      </c>
      <c r="B10" s="7" t="str">
        <v/>
      </c>
      <c r="C10" s="7">
        <v>2883529</v>
      </c>
      <c r="D10" s="7" t="str">
        <v/>
      </c>
      <c r="E10" s="7">
        <v>192832</v>
      </c>
      <c r="F10" s="7" t="str">
        <v/>
      </c>
      <c r="G10" s="7">
        <v>541032</v>
      </c>
      <c r="H10" s="7" t="str">
        <v/>
      </c>
      <c r="I10" s="7">
        <v>2078455</v>
      </c>
      <c r="J10" s="7">
        <v>5790476</v>
      </c>
      <c r="K10" s="7">
        <v>5790476</v>
      </c>
      <c r="L10" s="7">
        <v>121600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0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IITA</v>
      </c>
      <c r="C3" s="4" t="str">
        <v>HLO1.AOW1.IO1 Steer to impact</v>
      </c>
      <c r="D3"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3" s="4" t="str">
        <v>Number of knowledge products</v>
      </c>
      <c r="F3" s="4" t="str">
        <v>Kenya</v>
      </c>
      <c r="G3" s="5">
        <v>1</v>
      </c>
      <c r="H3" s="5">
        <v>33000</v>
      </c>
      <c r="I3" s="4" t="str">
        <v xml:space="preserve">Shared deliverable between B4T AND BDN --- IITA DELIVERY THROUGH BIOFORTIFICAITON COORDINATION TEAM </v>
      </c>
      <c r="J3" s="4">
        <v>7838</v>
      </c>
    </row>
    <row r="4" ht="50" customHeight="1">
      <c r="A4" s="4" t="str">
        <v>AOW01: Market Intelligence</v>
      </c>
      <c r="B4" s="4" t="str">
        <v>IITA</v>
      </c>
      <c r="C4" s="4" t="str">
        <v>HLO2.AOW1.IO1 Target markets</v>
      </c>
      <c r="D4" s="4" t="str">
        <v xml:space="preserve">01-GATES W2 CASSAVA.--------------- IITA-Cassava.---------------BREEDING PIPELINE: BP00117, BP00118, BP00258, BP00256, BP00259, BP00254, BP00260.---------------MARKET SEGMENT: WAF MS01065/TPP00599; WAF MS00880/TPP00291; CAF MS01066; EAF MS00892; SAF MS01069.---------------BREAKTHROUGH PRODUCT OUTPUT: • Replacement varieties identified • Addressable hectares estimated for priority countries.---------------2026 DELIVERABLE: Priority countries identified and replacement variety/addressable hectare assessments initiated using harmonized methodologies..---------------INDICATOR: Number of countries engaged(disaggregated by replaceable varieties; hectares) </v>
      </c>
      <c r="E4" s="4" t="str">
        <v>custom</v>
      </c>
      <c r="F4" s="4" t="str">
        <v>The Democratic Republic of the Congo, Ghana, Tanzania, United Republic, Uganda, Côte d'Ivoire, Nigeria</v>
      </c>
      <c r="G4" s="5">
        <v>0</v>
      </c>
      <c r="H4" s="5">
        <v>9851</v>
      </c>
      <c r="I4" s="4" t="str">
        <v>.</v>
      </c>
      <c r="J4" s="4">
        <v>8447</v>
      </c>
    </row>
    <row r="5" ht="50" customHeight="1">
      <c r="B5" s="4" t="str">
        <v>IITA</v>
      </c>
      <c r="D5" s="4" t="str">
        <v>01-GATES W2 YAM--------------. .---------------IITA-YAM.---------------BREEDING PIPELINE: BP00096, BP00095,  and BP00195.---------------MARKET SEGMENT: MS00013/TPP00251; MS00012/ TPP00249; MS00014/ TPP00250.---------------2026 DELIVERABLE: Replacement varieties and addressable hectares documented in partners countries .---------------INDICATOR:   Number of countries assessed (disaggregated by replaceable varieties; hectares)</v>
      </c>
      <c r="E5" s="4" t="str">
        <v>custom</v>
      </c>
      <c r="F5" s="4" t="str">
        <v>Ghana, Nigeria, Côte d'Ivoire, Benin</v>
      </c>
      <c r="G5" s="5">
        <v>0</v>
      </c>
      <c r="H5" s="5">
        <v>31831</v>
      </c>
      <c r="I5" s="4" t="str">
        <v>.</v>
      </c>
      <c r="J5" s="4">
        <v>8554</v>
      </c>
    </row>
    <row r="6" ht="50" customHeight="1">
      <c r="A6" s="4" t="str">
        <v>AOW01: Market Intelligence</v>
      </c>
      <c r="B6" s="4" t="str">
        <v>IITA</v>
      </c>
      <c r="C6" s="4" t="str">
        <v>HLO3.AOW1.IO1 Design concepts</v>
      </c>
      <c r="D6" s="4" t="str">
        <v>02-GATES W2 CASSAVA.--------------- IITA-Cassava.---------------BREEDING PIPELINE: BP00117, BP00118, BP00258, BP00256, BP00259, BP00254, BP00260.---------------MARKET SEGMENT: WAF MS01065/TPP00599; WAF MS00880/TPP00291; CAF MS01066; EAF MS00892; SAF MS01069.---------------BREAKTHROUGH PRODUCT OUTPUT: • PDT consultations conducted in priority countries • Stakeholder feedback integrated into product prioritization.---------------2026 DELIVERABLE: Product Design Team consultations conducted and stakeholder requirements gathered to refine market segments and product concepts in two countries..---------------INDICATOR: Number of product design team meetings conducted</v>
      </c>
      <c r="E6" s="4" t="str">
        <v>custom</v>
      </c>
      <c r="F6" s="4" t="str">
        <v>Benin, Angola</v>
      </c>
      <c r="G6" s="5">
        <v>0</v>
      </c>
      <c r="H6" s="5">
        <v>15076</v>
      </c>
      <c r="I6" s="4" t="str">
        <v>.</v>
      </c>
      <c r="J6" s="4">
        <v>8449</v>
      </c>
    </row>
    <row r="7" ht="50" customHeight="1">
      <c r="B7" s="4" t="str">
        <v>IITA</v>
      </c>
      <c r="D7" s="4" t="str">
        <v>02-GATES W2 YAM--------------. .---------------IITA-YAM.---------------BREEDING PIPELINE: BP00096, BP00095,  and BP00195.---------------MARKET SEGMENT: MS00013/TPP00251; MS00012/ TPP00249; MS00014/ TPP00250.---------------2026 DELIVERABLE: Market segment defined and TPP decumented in Ethiopia, Uganda and DRC involving yam stakeholders through PDT meetings.---------------INDICATOR:   Number of countries with defined market segments and TPPs documented for identified  market segments</v>
      </c>
      <c r="E7" s="4" t="str">
        <v>custom</v>
      </c>
      <c r="F7" s="4" t="str">
        <v>The Democratic Republic of the Congo, Ethiopia, Uganda</v>
      </c>
      <c r="G7" s="5">
        <v>0</v>
      </c>
      <c r="H7" s="5">
        <v>30298</v>
      </c>
      <c r="I7" s="4" t="str">
        <v>.</v>
      </c>
      <c r="J7" s="4">
        <v>8555</v>
      </c>
    </row>
    <row r="8" ht="25" customHeight="1">
      <c r="C8" s="9" t="str">
        <v>HLO budget subtotal</v>
      </c>
      <c r="H8" s="9">
        <v>120056</v>
      </c>
      <c r="J8" s="9" t="str">
        <v/>
      </c>
    </row>
    <row r="9" ht="50" customHeight="1">
      <c r="A9" s="8" t="str">
        <v>AOW02: Accelerated Breeding</v>
      </c>
      <c r="B9" s="4" t="str">
        <v>IITA</v>
      </c>
      <c r="C9" s="4" t="str">
        <v>HLO8.AOW2.IO2 Discover genetic potential</v>
      </c>
      <c r="D9" s="4" t="str">
        <v>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 ----------------.INDICATOR: Number of lines identified with an acceptable level of resistance to CSBD &amp; CMD</v>
      </c>
      <c r="E9" s="4" t="str">
        <v>Number of innovations (innovation development)</v>
      </c>
      <c r="F9" s="4" t="str">
        <v>Uganda, Tanzania, United Republic</v>
      </c>
      <c r="G9" s="5">
        <v>3</v>
      </c>
      <c r="H9" s="5">
        <v>80000</v>
      </c>
      <c r="I9" s="4" t="str">
        <v>.</v>
      </c>
      <c r="J9" s="4">
        <v>4758</v>
      </c>
    </row>
    <row r="10" ht="50" customHeight="1" xml:space="preserve">
      <c r="B10" s="4" t="str">
        <v>IITA</v>
      </c>
      <c r="D10" s="4" t="str" xml:space="preserve">
        <v xml:space="preserve">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indicator: Number of lines identified with an acceptable level of resistance to CSBD &amp; CMD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v>
      </c>
      <c r="E10" s="4" t="str">
        <v>Number of innovations (innovation development)</v>
      </c>
      <c r="F10" s="4" t="str">
        <v>Tanzania, United Republic, Uganda</v>
      </c>
      <c r="G10" s="5">
        <v>3</v>
      </c>
      <c r="H10" s="5">
        <v>54035</v>
      </c>
      <c r="I10" s="4" t="str">
        <v>.</v>
      </c>
      <c r="J10" s="4">
        <v>4759</v>
      </c>
    </row>
    <row r="11" ht="50" customHeight="1">
      <c r="B11" s="4" t="str">
        <v>IITA</v>
      </c>
      <c r="D11" s="4" t="str">
        <v>new-iita 3 - Genotyping and phenotyping of progenies originated from mapping population for quality traits in the cassava for processing TPPCassava for Processing Cassava for Processing .-------- INDICATOR:    Number of breeding lines developed</v>
      </c>
      <c r="E11" s="4" t="str">
        <v>Number of innovations (innovation development)</v>
      </c>
      <c r="F11" s="4" t="str">
        <v>Nigeria</v>
      </c>
      <c r="G11" s="5">
        <v>500</v>
      </c>
      <c r="H11" s="5">
        <v>80000</v>
      </c>
      <c r="I11" s="4" t="str">
        <v>.</v>
      </c>
      <c r="J11" s="4">
        <v>8409</v>
      </c>
    </row>
    <row r="12" ht="50" customHeight="1">
      <c r="B12" s="4" t="str">
        <v>IITA</v>
      </c>
      <c r="D12" s="4" t="str">
        <v>03-GATES W2 CASSAVA.--------------- IITA-Cassava.---------------BREEDING PIPELINE: Processing: WAF - IITA BP00117; Fresh: WAF - IITA BP00118; Industry: WAF/CAF - IITA BP00120; EAF Processing: BP00259; EAF Fresh: BP00254; SAF Processing: BP00260; SAF Fresh: BP00255; CAF Processing: BP00258; CAF Fresh: BP00256.---------------MARKET SEGMENT: Processing: WAF MS01065/TPP00599; Fresh: WAF MS00880/TPP00291; Industry: WAF MS00884/TPP00296; CAF MS01066 (Processing); CAF MS00886 (Fresh); EAF MS00892 (Processing); EAF MS00890 (Fresh); SAF MS01069 (Processing); SAF MS00894 (Fresh).---------------BREAKTHROUGH PRODUCT OUTPUT: • Pre-breeding inflows from CIAT/Asia/EMBRAPA integrated  • Marker validation for resistance traits  • Genotyped donor populations initiated  • Disease screening expanded.---------------2026 DELIVERABLE: ≥5 donor lines carrying CMD, CBSD, starch or architecture traits identified and integrated into crossing blocks; ≥3 marker-trait associations validated..---------------INDICATOR: Number of lines identified with an acceptable level of resistance to CSBD &amp; CMD</v>
      </c>
      <c r="E12" s="4" t="str">
        <v>Number of innovations (innovation development)</v>
      </c>
      <c r="F12" s="4" t="str">
        <v>Nigeria, Tanzania, United Republic, Uganda</v>
      </c>
      <c r="G12" s="5">
        <v>0</v>
      </c>
      <c r="H12" s="5">
        <v>33155</v>
      </c>
      <c r="I12" s="4" t="str">
        <v>.</v>
      </c>
      <c r="J12" s="4">
        <v>8451</v>
      </c>
    </row>
    <row r="13" ht="50" customHeight="1">
      <c r="B13" s="4" t="str">
        <v>IITA</v>
      </c>
      <c r="D13" s="4" t="str">
        <v>04-GATES W2 YAM--------------. .---------------IITA-YAM.---------------BREEDING PIPELINE: BP00096, BP00095,  and BP00195.---------------MARKET SEGMENT: MS00013/TPP00251; MS00012/ TPP00249; MS00014/ TPP00250.---------------2026 DELIVERABLE: Genotypes assembled and harmonized SOPs developed for tuber shelf life assessment (dormancy and tuber quality) and high-value haplotype identification to support BtP development and advancement..---------------INDICATOR:   Number of genotypes screened to tuber quality and population genotypes for gene discovery</v>
      </c>
      <c r="E13" s="4" t="str">
        <v>Number of innovations (innovation development)</v>
      </c>
      <c r="F13" s="4" t="str">
        <v>France, United States of America, Nigeria</v>
      </c>
      <c r="G13" s="5">
        <v>0</v>
      </c>
      <c r="H13" s="5">
        <v>30223</v>
      </c>
      <c r="I13" s="4" t="str">
        <v>.</v>
      </c>
      <c r="J13" s="4">
        <v>8557</v>
      </c>
    </row>
    <row r="14" ht="50" customHeight="1">
      <c r="B14" s="4" t="str">
        <v>IITA</v>
      </c>
      <c r="D14" s="4" t="str">
        <v>05-GATES W2 YAM--------------. .---------------IITA-YAM.---------------BREEDING PIPELINE: BP00095.---------------MARKET SEGMENT: MS00012/ TPP00249.---------------2026 DELIVERABLE: Recombinant clonal populations planted and genotyped for high value haplotype identification for tuber shape and color traits.---------------INDICATOR:   Number of candidate genes/QTLs/markers identified and validated for key yam traits (Tuber shape and index, tuber flesh colors)</v>
      </c>
      <c r="E14" s="4" t="str">
        <v>Number of innovations (innovation development)</v>
      </c>
      <c r="F14" s="4" t="str">
        <v>Nigeria, Japan</v>
      </c>
      <c r="G14" s="5">
        <v>0</v>
      </c>
      <c r="H14" s="5">
        <v>28116</v>
      </c>
      <c r="I14" s="4" t="str">
        <v>.</v>
      </c>
      <c r="J14" s="4">
        <v>8558</v>
      </c>
    </row>
    <row r="15" ht="50" customHeight="1">
      <c r="B15" s="4" t="str">
        <v>IITA</v>
      </c>
      <c r="D15" s="4" t="str">
        <v>06-GATES W2 YAM--------------. .---------------IITA-YAM.---------------BREEDING PIPELINE: BP00095.---------------MARKET SEGMENT: MS00012/ TPP00249.---------------2026 DELIVERABLE: Yam disease  (YMV and anthracnose) screening initiated initiated for  using different germplasm in the field.---------------INDICATOR:   Number of genes for tuber size/number identified</v>
      </c>
      <c r="E15" s="4" t="str">
        <v>Number of innovations (innovation development)</v>
      </c>
      <c r="F15" s="4" t="str">
        <v>Nigeria</v>
      </c>
      <c r="G15" s="5">
        <v>0</v>
      </c>
      <c r="H15" s="5">
        <v>17428</v>
      </c>
      <c r="I15" s="4" t="str">
        <v>.</v>
      </c>
      <c r="J15" s="4">
        <v>8559</v>
      </c>
    </row>
    <row r="16" ht="50" customHeight="1">
      <c r="B16" s="4" t="str">
        <v>IITA</v>
      </c>
      <c r="D16" s="4" t="str">
        <v>07-GATES W2 YAM--------------. .---------------IITA-YAM.---------------BREEDING PIPELINE: BP00095.---------------MARKET SEGMENT: MS00012/ TPP00249.---------------2026 DELIVERABLE: Manipulation of sex and flowering of Guinea yam to facilitate cross breeding and self-fertilization .---------------INDICATOR:   Number of marker-trait associations in yam identified and documented for the manipulation of the flower and flowering in Guinea yam; Validated sex change report in white Guinea yam</v>
      </c>
      <c r="E16" s="4" t="str">
        <v>custom</v>
      </c>
      <c r="F16" s="4" t="str">
        <v>Nigeria, Japan</v>
      </c>
      <c r="G16" s="5">
        <v>0</v>
      </c>
      <c r="H16" s="5">
        <v>9843</v>
      </c>
      <c r="I16" s="4" t="str">
        <v>.</v>
      </c>
      <c r="J16" s="4">
        <v>8560</v>
      </c>
    </row>
    <row r="17" ht="50" customHeight="1">
      <c r="B17" s="4" t="str">
        <v>IITA</v>
      </c>
      <c r="D17" s="4" t="str">
        <v>08-GATES W2 YAM--------------. .---------------IITA-YAM.---------------BREEDING PIPELINE: BP00095.---------------MARKET SEGMENT: MS00013/TPP00251; MS00012/ TPP00249.---------------2026 DELIVERABLE: Sex chromosome identification and leaky sex determination in Dioscorea species.---------------INDICATOR:   Number of KASP markers explaining percentage variance in the breeding population</v>
      </c>
      <c r="E17" s="4" t="str">
        <v>Number of innovations (innovation development)</v>
      </c>
      <c r="F17" s="4" t="str">
        <v>Kenya</v>
      </c>
      <c r="G17" s="5">
        <v>0</v>
      </c>
      <c r="H17" s="5">
        <v>16316</v>
      </c>
      <c r="I17" s="4" t="str">
        <v>,</v>
      </c>
      <c r="J17" s="4">
        <v>8561</v>
      </c>
    </row>
    <row r="18" ht="50" customHeight="1" xml:space="preserve">
      <c r="B18" s="4" t="str">
        <v>IITA</v>
      </c>
      <c r="D18" s="4" t="str" xml:space="preserve">
        <v xml:space="preserve">"09-GATES W2 YAM--------------. .---------------IITA-YAM.---------------BREEDING PIPELINE: BP00096, BP00095,  and BP00195.---------------MARKET SEGMENT: MS00013/TPP00251; MS00012/ TPP00249; MS00014/ TPP00250.---------------2026 DELIVERABLE:  Pre-breeding populations established, characterized, and crossed to generate interspecific progenies with initial phenotypic and genotypic datasets.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Advancement of the average stage of trait discovery, validation, and deployment efforts across the portfolio"</v>
      </c>
      <c r="E18" s="4" t="str">
        <v>Number of innovations (innovation development)</v>
      </c>
      <c r="F18" s="4" t="str">
        <v>Nigeria</v>
      </c>
      <c r="G18" s="5">
        <v>0</v>
      </c>
      <c r="H18" s="5">
        <v>29828</v>
      </c>
      <c r="I18" s="4" t="str">
        <v>.</v>
      </c>
      <c r="J18" s="4">
        <v>8562</v>
      </c>
    </row>
    <row r="19" ht="50" customHeight="1">
      <c r="B19" s="4" t="str">
        <v>IITA</v>
      </c>
      <c r="D19" s="4" t="str">
        <v>10-GATES W2 YAM--------------. .---------------IITA-YAM.---------------BREEDING PIPELINE: BP00096, BP00095,  and BP00195.---------------MARKET SEGMENT: MS00013; TPP00251; MS00012; TPP00249;MS00014; TPP00250.---------------2026 DELIVERABLE: PacBio HiFi sequencing completed for targeted yam genotypes, with high-quality genome assemblies generated for yam pangenome development.---------------INDICATOR:   Number of marker-trait associations in yam identified</v>
      </c>
      <c r="E19" s="4" t="str">
        <v>Number of innovations (innovation development)</v>
      </c>
      <c r="F19" s="4" t="str">
        <v>United States of America, Nigeria</v>
      </c>
      <c r="G19" s="5">
        <v>0</v>
      </c>
      <c r="H19" s="5">
        <v>50375</v>
      </c>
      <c r="I19" s="4" t="str">
        <v>.</v>
      </c>
      <c r="J19" s="4">
        <v>8563</v>
      </c>
    </row>
    <row r="20" ht="50" customHeight="1">
      <c r="B20" s="4" t="str">
        <v>IITA</v>
      </c>
      <c r="D20" s="4" t="str">
        <v>11-GATES W2 YAM--------------. .---------------IITA-YAM.---------------BREEDING PIPELINE: BP00096, BP00095,  and BP00195.---------------MARKET SEGMENT: MS00013; TPP00251; MS00012; TPP00249;MS00014; TPP00250.---------------2026 DELIVERABLE: Additional genomic information and resources generated for wild yam accessions with ONT long-read and illumina short-read sequencing technologies with preliminary genome assemblies initiated.---------------INDICATOR:   Number of knowledge products developed (disaggregated by type;report)</v>
      </c>
      <c r="E20" s="4" t="str">
        <v>Number of knowledge products</v>
      </c>
      <c r="F20" s="4" t="str">
        <v>Nigeria, Japan</v>
      </c>
      <c r="G20" s="5">
        <v>0</v>
      </c>
      <c r="H20" s="5">
        <v>14566</v>
      </c>
      <c r="I20" s="4" t="str">
        <v>.</v>
      </c>
      <c r="J20" s="4">
        <v>8564</v>
      </c>
    </row>
    <row r="21" ht="50" customHeight="1">
      <c r="B21" s="4" t="str">
        <v>IITA</v>
      </c>
      <c r="D21" s="4" t="str">
        <v>12-GATES W2 YAM--------------. .---------------IITA-YAM.---------------BREEDING PIPELINE: BP00095,  and BP00195.---------------MARKET SEGMENT: MS00012; TPP00249;MS00014; TPP00250.---------------2026 DELIVERABLE: Catalogs of disease resistance genes of yams (D. rotundata and D. alata) and validation of resistance genes by transient expression in yam leaves.---------------INDICATOR:   Number of knowledge products developed (disaggregated by type;report)</v>
      </c>
      <c r="E21" s="4" t="str">
        <v>Number of knowledge products</v>
      </c>
      <c r="F21" s="4" t="str">
        <v>Nigeria, Japan</v>
      </c>
      <c r="G21" s="5">
        <v>0</v>
      </c>
      <c r="H21" s="5">
        <v>5544</v>
      </c>
      <c r="I21" s="4" t="str">
        <v>.</v>
      </c>
      <c r="J21" s="4">
        <v>8565</v>
      </c>
    </row>
    <row r="22" ht="50" customHeight="1">
      <c r="A22" s="4" t="str">
        <v>AOW02: Accelerated Breeding</v>
      </c>
      <c r="B22" s="4" t="str">
        <v>IITA</v>
      </c>
      <c r="C22" s="4" t="str">
        <v>HLO7.AOW2.IO2 Accelerating genetic gain</v>
      </c>
      <c r="D22" s="4" t="str">
        <v>19-.--Banana  with CIAT. --------CRITICAL CAPABILITIES-----------------------Field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models developed (disaggregated by existing and new models)</v>
      </c>
      <c r="E22" s="4" t="str">
        <v>Number of innovations (innovation development)</v>
      </c>
      <c r="F22" s="4" t="str">
        <v>Uganda</v>
      </c>
      <c r="G22" s="5">
        <v>2</v>
      </c>
      <c r="H22" s="5">
        <v>54000</v>
      </c>
      <c r="I22" s="4" t="str">
        <v>.shared work with ciat</v>
      </c>
      <c r="J22" s="4">
        <v>4769</v>
      </c>
    </row>
    <row r="23" ht="50" customHeight="1">
      <c r="B23" s="4" t="str">
        <v>IITA</v>
      </c>
      <c r="D23" s="4" t="str">
        <v>20-.-- -------IITA -   CRITICAL CAPABILITIES--------Soybean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with acceptable level of rust tolerance (disaggregated by stage of testing , breeding pipeline and market segment).</v>
      </c>
      <c r="E23" s="4" t="str">
        <v>Number of innovations (innovation development)</v>
      </c>
      <c r="F23" s="4" t="str">
        <v>Ethiopia, Uganda, Malawi, Zambia</v>
      </c>
      <c r="G23" s="5">
        <v>2</v>
      </c>
      <c r="H23" s="5">
        <v>194800</v>
      </c>
      <c r="I23" s="4" t="str">
        <v>.</v>
      </c>
      <c r="J23" s="4">
        <v>4770</v>
      </c>
    </row>
    <row r="24" ht="50" customHeight="1">
      <c r="B24" s="4" t="str">
        <v>IITA</v>
      </c>
      <c r="D24" s="4" t="str">
        <v>.--new-iita1 -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lines advanced</v>
      </c>
      <c r="E24" s="4" t="str">
        <v>custom</v>
      </c>
      <c r="F24" s="4" t="str">
        <v>Nigeria</v>
      </c>
      <c r="G24" s="5">
        <v>30</v>
      </c>
      <c r="H24" s="5">
        <v>65000</v>
      </c>
      <c r="I24" s="4" t="str">
        <v>.</v>
      </c>
      <c r="J24" s="4">
        <v>7388</v>
      </c>
    </row>
    <row r="25" ht="50" customHeight="1">
      <c r="B25" s="4" t="str">
        <v>IITA</v>
      </c>
      <c r="D25" s="4" t="str">
        <v>new-iita2 - Breeder seed of selected lines produced under controlled conditions to ensure genetic purityAll cassava breeding pipelineAll 4 cassava market segment.-------- INDICATOR:    Quantity of cassava stem cuttings produced</v>
      </c>
      <c r="E25" s="4" t="str">
        <v>custom</v>
      </c>
      <c r="F25" s="4" t="str">
        <v>Nigeria</v>
      </c>
      <c r="G25" s="5">
        <v>8</v>
      </c>
      <c r="H25" s="5">
        <v>55000</v>
      </c>
      <c r="I25" s="4" t="str">
        <v>.</v>
      </c>
      <c r="J25" s="4">
        <v>7391</v>
      </c>
    </row>
    <row r="26" ht="50" customHeight="1">
      <c r="B26" s="4" t="str">
        <v>IITA</v>
      </c>
      <c r="D26" s="4" t="str">
        <v>.--new-iita4new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v>
      </c>
      <c r="E26" s="4" t="str">
        <v>Number of innovations (innovation development)</v>
      </c>
      <c r="F26" s="4" t="str">
        <v>Nigeria</v>
      </c>
      <c r="G26" s="5">
        <v>15</v>
      </c>
      <c r="H26" s="5">
        <v>90000</v>
      </c>
      <c r="I26" s="4" t="str">
        <v>.</v>
      </c>
      <c r="J26" s="4">
        <v>7393</v>
      </c>
    </row>
    <row r="27" ht="50" customHeight="1">
      <c r="B27" s="4" t="str">
        <v>IITA</v>
      </c>
      <c r="D27" s="4" t="str">
        <v>.--new-iita5 -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products advanced (disaggregated by breeding pipeline and market segment) and meet the  essential trait requiremments in the appropriate TPP</v>
      </c>
      <c r="E27" s="4" t="str">
        <v>custom</v>
      </c>
      <c r="F27" s="4" t="str">
        <v>Ghana, Nigeria, Benin, Côte d'Ivoire, Sierra Leone</v>
      </c>
      <c r="G27" s="5">
        <v>14</v>
      </c>
      <c r="H27" s="5">
        <v>110000</v>
      </c>
      <c r="I27" s="4" t="str">
        <v>.</v>
      </c>
      <c r="J27" s="4">
        <v>7394</v>
      </c>
    </row>
    <row r="28" ht="50" customHeight="1">
      <c r="B28" s="4" t="str">
        <v>IITA</v>
      </c>
      <c r="D28" s="4" t="str">
        <v>new-iita6 - Testing of Early and mid-stage plantain genetic material: Evaluation of several EET and mid-stage plantain materials in Ibadan for yield, disease and post-haverst-qualityPlantain breeding pipeline planitain market segment .-------- INDICATOR:    Number of products advanced (disaggregated by breeding pipeline and market segment) and meet the  essential trait requiremments in the appropriate TPP</v>
      </c>
      <c r="E28" s="4" t="str">
        <v>custom</v>
      </c>
      <c r="F28" s="4" t="str">
        <v>Côte d'Ivoire, Nigeria</v>
      </c>
      <c r="G28" s="5">
        <v>1000</v>
      </c>
      <c r="H28" s="5">
        <v>194800</v>
      </c>
      <c r="I28" s="4" t="str">
        <v>.</v>
      </c>
      <c r="J28" s="4">
        <v>7396</v>
      </c>
    </row>
    <row r="29" ht="50" customHeight="1" xml:space="preserve">
      <c r="B29" s="4" t="str">
        <v>IITA</v>
      </c>
      <c r="D29" s="4" t="str" xml:space="preserve">
        <v xml:space="preserve">"04-GATES W2 CASSAVA.--------------- IITA-Cassava.---------------BREEDING PIPELINE: BP00117, BP00259.---------------MARKET SEGMENT: WAF MS01065/TPP00599; EAF MS00892/TPP00599.---------------BREAKTHROUGH PRODUCT OUTPUT: Genomic prediction of cross performance (GPCP) and optimal contribution selection (OCS) implemented to support parent and crossing decisions across cassava breeding pipelines.---------------2026 DELIVERABLE: GPCP/OCS analyses completed for ≥150 candidate parents and used to design 2026 crossing blocks across ≥2 breeding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pipelines implementing GPCP/OCS-supported crossing decisions"</v>
      </c>
      <c r="E29" s="4" t="str">
        <v>Number of innovations (innovation development)</v>
      </c>
      <c r="F29" s="4" t="str">
        <v>Uganda, Nigeria, Tanzania, United Republic</v>
      </c>
      <c r="G29" s="5">
        <v>0</v>
      </c>
      <c r="H29" s="5">
        <v>36451</v>
      </c>
      <c r="I29" s="4" t="str">
        <v>.</v>
      </c>
      <c r="J29" s="4">
        <v>8453</v>
      </c>
    </row>
    <row r="30" ht="50" customHeight="1">
      <c r="B30" s="4" t="str">
        <v>IITA</v>
      </c>
      <c r="D30" s="4" t="str">
        <v>05-GATES W2 CASSAVA.--------------- IITA-Cassava.---------------BREEDING PIPELINE: BP00117.---------------MARKET SEGMENT: WAF MS01065/TPP00599.---------------BREAKTHROUGH PRODUCT OUTPUT: Hybrid breeding concepts, population structure analyses, and heterotic grouping approaches explored to support future cassava hybrid breeding strategy development.---------------2026 DELIVERABLE: Population structure analyses completed for ≥2 breeding populations and preliminary heterotic groups identified..---------------INDICATOR: Number of populations analyzed</v>
      </c>
      <c r="E30" s="4" t="str">
        <v>Number of knowledge products</v>
      </c>
      <c r="F30" s="4" t="str">
        <v>Nigeria</v>
      </c>
      <c r="G30" s="5">
        <v>0</v>
      </c>
      <c r="H30" s="5">
        <v>27026</v>
      </c>
      <c r="I30" s="4" t="str">
        <v>.</v>
      </c>
      <c r="J30" s="4">
        <v>8454</v>
      </c>
    </row>
    <row r="31" ht="50" customHeight="1">
      <c r="B31" s="4" t="str">
        <v>IITA</v>
      </c>
      <c r="D31" s="4" t="str">
        <v>07-GATES W2 CASSAVA.--------------- IITA-Cassava.---------------BREEDING PIPELINE: BP00117, BP00118, BP00258, BP00256, BP00259, BP00254, BP00260.---------------MARKET SEGMENT: WAF MS01065/TPP00599; WAF MS00880/TPP00291; CAF MS01066; CAF MS00886; EAF MS00892; EAF MS00890; SAF MS01069; SAF MS00894.---------------BREAKTHROUGH PRODUCT OUTPUT: Review and streamline testing to improve selection intensity and reduce breeding cycle length.---------------2026 DELIVERABLE: Existing stage-gate systems reviewed across 4 regional hubs and opportunities for cycle reduction identified..---------------INDICATOR: Number of breeding pipelines in which the cycle time was reduced from the cycle time reported in 2025.</v>
      </c>
      <c r="E31" s="4" t="str">
        <v>Number of innovations (innovation development)</v>
      </c>
      <c r="F31" s="4" t="str">
        <v>Kenya</v>
      </c>
      <c r="G31" s="5">
        <v>0</v>
      </c>
      <c r="H31" s="5">
        <v>25415</v>
      </c>
      <c r="I31" s="4" t="str">
        <v>.</v>
      </c>
      <c r="J31" s="4">
        <v>8456</v>
      </c>
    </row>
    <row r="32" ht="50" customHeight="1">
      <c r="B32" s="4" t="str">
        <v>IITA</v>
      </c>
      <c r="D32" s="4" t="str">
        <v>13-GATES W2 YAM--------------. .---------------IITA-YAM.---------------BREEDING PIPELINE: BP00095.---------------MARKET SEGMENT: MS00012; TPP00249.---------------2026 DELIVERABLE: Cycle 2 heterotic pools genetic separation and structure analysis completed, predicted test cross analysis performed to assess population heterosis in yam.---------------INDICATOR:   Number of knowledge products developed (disaggregated by type;report)</v>
      </c>
      <c r="E32" s="4" t="str">
        <v>Number of knowledge products</v>
      </c>
      <c r="F32" s="4" t="str">
        <v>Nigeria</v>
      </c>
      <c r="G32" s="5">
        <v>0</v>
      </c>
      <c r="H32" s="5">
        <v>9173</v>
      </c>
      <c r="I32" s="4" t="str">
        <v>.</v>
      </c>
      <c r="J32" s="4">
        <v>8566</v>
      </c>
    </row>
    <row r="33" ht="50" customHeight="1" xml:space="preserve">
      <c r="B33" s="4" t="str">
        <v>IITA</v>
      </c>
      <c r="D33" s="4" t="str" xml:space="preserve">
        <v xml:space="preserve">"14-GATES W2 YAM--------------. .---------------IITA-YAM.---------------BREEDING PIPELINE: BP00096, BP00095,  and BP00195.---------------MARKET SEGMENT: MS00013; TPP00251; MS00012; TPP00249;MS00014; TPP00250.---------------2026 DELIVERABLE: Genotypic and phenotypic datasets established for parent/cross and product selection based on  GPCP-OCS analysis for two BtP pipeline (White yam Max and Altaprime)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selected parents planted and crosses designed for next breeding cycle"</v>
      </c>
      <c r="E33" s="4" t="str">
        <v>Number of innovations (innovation development)</v>
      </c>
      <c r="F33" s="4" t="str">
        <v>Nigeria</v>
      </c>
      <c r="G33" s="5">
        <v>0</v>
      </c>
      <c r="H33" s="5">
        <v>22577</v>
      </c>
      <c r="I33" s="4" t="str">
        <v>.</v>
      </c>
      <c r="J33" s="4">
        <v>8567</v>
      </c>
    </row>
    <row r="34" ht="50" customHeight="1">
      <c r="B34" s="4" t="str">
        <v>IITA</v>
      </c>
      <c r="D34" s="4" t="str">
        <v>15-GATES W2 YAM--------------. .---------------IITA-YAM.---------------BREEDING PIPELINE: BP00095.---------------MARKET SEGMENT: MS00012; TPP00249.---------------2026 DELIVERABLE: Consultation and technical assessment initiated to evaluate the feasibility, requirements, and potential applications of decoupled population development in yam breeding.---------------INDICATOR:   Number of knowledge products developed (disaggregated by type;report)</v>
      </c>
      <c r="E34" s="4" t="str">
        <v>Number of knowledge products</v>
      </c>
      <c r="F34" s="4" t="str">
        <v>Nigeria</v>
      </c>
      <c r="G34" s="5">
        <v>0</v>
      </c>
      <c r="H34" s="5">
        <v>13541</v>
      </c>
      <c r="I34" s="4" t="str">
        <v>.</v>
      </c>
      <c r="J34" s="4">
        <v>8568</v>
      </c>
    </row>
    <row r="35" ht="50" customHeight="1" xml:space="preserve">
      <c r="A35" s="4" t="str">
        <v>AOW02: Accelerated Breeding</v>
      </c>
      <c r="B35" s="4" t="str">
        <v>IITA</v>
      </c>
      <c r="C35" s="4" t="str">
        <v>HLO9.AOW2.IO2 Create products</v>
      </c>
      <c r="D35" s="4" t="str" xml:space="preserve">
        <v xml:space="preserve">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lines in stage 1 testing in 2026 (disaggregated by breeding pipelines and market segment)</v>
      </c>
      <c r="E35" s="4" t="str">
        <v>Number of innovations (innovation development)</v>
      </c>
      <c r="F35" s="4" t="str">
        <v>Niger, Cameroon, Senegal, Mali, Ghana, Burkina Faso, Nigeria</v>
      </c>
      <c r="G35" s="5">
        <v>2</v>
      </c>
      <c r="H35" s="5">
        <v>324799</v>
      </c>
      <c r="I35" s="4" t="str">
        <v>.</v>
      </c>
      <c r="J35" s="4">
        <v>8318</v>
      </c>
    </row>
    <row r="36" ht="50" customHeight="1" xml:space="preserve">
      <c r="B36" s="4" t="str">
        <v>IITA</v>
      </c>
      <c r="D36" s="4" t="str" xml:space="preserve">
        <v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------------------INDICATOR: Number of multi-trait pre-breeding populations developed
</v>
      </c>
      <c r="E36" s="4" t="str">
        <v>Number of innovations (innovation development)</v>
      </c>
      <c r="F36" s="4" t="str">
        <v>Tanzania, United Republic, Uganda</v>
      </c>
      <c r="G36" s="5">
        <v>6</v>
      </c>
      <c r="H36" s="5">
        <v>68000</v>
      </c>
      <c r="I36" s="4" t="str">
        <v>.</v>
      </c>
      <c r="J36" s="4">
        <v>8405</v>
      </c>
    </row>
    <row r="37" ht="50" customHeight="1">
      <c r="B37" s="4" t="str">
        <v>IITA</v>
      </c>
      <c r="D37" s="4" t="str">
        <v>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v>
      </c>
      <c r="E37" s="4" t="str">
        <v>Number of innovations (innovation development)</v>
      </c>
      <c r="F37" s="4" t="str">
        <v>Benin, Nigeria, Ghana, Mali</v>
      </c>
      <c r="G37" s="5">
        <v>10</v>
      </c>
      <c r="H37" s="5">
        <v>494800</v>
      </c>
      <c r="I37" s="4" t="str">
        <v>.</v>
      </c>
      <c r="J37" s="4">
        <v>8411</v>
      </c>
    </row>
    <row r="38" ht="50" customHeight="1">
      <c r="B38" s="4" t="str">
        <v>IITA</v>
      </c>
      <c r="D38" s="4" t="str">
        <v>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 indicator: Number of lines evaluated at different stages of product development</v>
      </c>
      <c r="E38" s="4" t="str">
        <v>Number of innovations (innovation development)</v>
      </c>
      <c r="F38" s="4" t="str">
        <v>Tanzania, United Republic, Uganda</v>
      </c>
      <c r="G38" s="5">
        <v>40</v>
      </c>
      <c r="H38" s="5">
        <v>174800</v>
      </c>
      <c r="I38" s="4" t="str">
        <v>.</v>
      </c>
      <c r="J38" s="4">
        <v>8412</v>
      </c>
    </row>
    <row r="39" ht="50" customHeight="1" xml:space="preserve">
      <c r="B39" s="4" t="str">
        <v>IITA</v>
      </c>
      <c r="D39" s="4" t="str" xml:space="preserve">
        <v xml:space="preserve">"08-GATES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Crosses made and recombinant populations generated across regional pipelines.---------------2026 DELIVERABLE: ≥40 parents selected and crossing blocks established across regional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lines identified with an acceptable level of resistance scaled through production of sufficient botanical seeds to allow the next stage of testing (disaggregated by breeding pipeline and market segment)"</v>
      </c>
      <c r="E39" s="4" t="str">
        <v>Number of innovations (innovation development)</v>
      </c>
      <c r="F39" s="4" t="str">
        <v>Tanzania, United Republic, Uganda, Nigeria, Zambia</v>
      </c>
      <c r="G39" s="5">
        <v>0</v>
      </c>
      <c r="H39" s="5">
        <v>72526</v>
      </c>
      <c r="I39" s="4" t="str">
        <v>.</v>
      </c>
      <c r="J39" s="4">
        <v>8457</v>
      </c>
    </row>
    <row r="40" ht="50" customHeight="1" xml:space="preserve">
      <c r="B40" s="4" t="str">
        <v>IITA</v>
      </c>
      <c r="D40" s="4" t="str" xml:space="preserve">
        <v xml:space="preserve">"09-GATES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Products tested and selected in SN and CET/PYT trials.---------------2026 DELIVERABLE: ≥250 seedling families and ≥500 CET clones established and entered into digital data systems.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SN families and early-stage clones evaluated"</v>
      </c>
      <c r="E40" s="4" t="str">
        <v>Number of innovations (innovation development)</v>
      </c>
      <c r="F40" s="4" t="str">
        <v>Tanzania, United Republic, Uganda, Nigeria, Zambia</v>
      </c>
      <c r="G40" s="5">
        <v>0</v>
      </c>
      <c r="H40" s="5">
        <v>123476</v>
      </c>
      <c r="I40" s="4" t="str">
        <v>.</v>
      </c>
      <c r="J40" s="4">
        <v>8458</v>
      </c>
    </row>
    <row r="41" ht="50" customHeight="1" xml:space="preserve">
      <c r="B41" s="4" t="str">
        <v>IITA</v>
      </c>
      <c r="D41" s="4" t="str" xml:space="preserve">
        <v xml:space="preserve">"10-GATES W2 CASSAVA.--------------- IITA-Cassava.---------------BREEDING PIPELINE: BP00117, BP00118, BP00120 (WAF); BP00258, BP00256 (CAF); BP00259, BP00254 (EAF); BP00260, BP00255 (SAF).---------------MARKET SEGMENT: WAF MS01065/TPP00599; WAF MS00880/TPP00291; WAF MS00884; CAF MS01066; CAF MS00886; EAF MS00892; EAF MS00890; SAF MS01069; SAF MS00894.---------------BREAKTHROUGH PRODUCT OUTPUT: Products tested and selected in late-stage MET trials.---------------2026 DELIVERABLE: ≥80 advanced clones selected and MET trials designed across ≥20 locations.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late-stage clones and MET locations evaluated"</v>
      </c>
      <c r="E41" s="4" t="str">
        <v>Number of innovations (innovation development)</v>
      </c>
      <c r="F41" s="4" t="str">
        <v>Uganda, Ghana, Mozambique, Côte d'Ivoire, Rwanda, Tanzania, United Republic, Zambia, Kenya, The Democratic Republic of the Congo, Nigeria, Sierra Leone</v>
      </c>
      <c r="G41" s="5">
        <v>0</v>
      </c>
      <c r="H41" s="5">
        <v>156879</v>
      </c>
      <c r="I41" s="4" t="str">
        <v>.</v>
      </c>
      <c r="J41" s="4">
        <v>8459</v>
      </c>
    </row>
    <row r="42" ht="50" customHeight="1" xml:space="preserve">
      <c r="B42" s="4" t="str">
        <v>IITA</v>
      </c>
      <c r="D42" s="4" t="str" xml:space="preserve">
        <v xml:space="preserve">"11-GATES W2 CASSAVA.--------------- IITA-Cassava.---------------BREEDING PIPELINE: BP00117, BP00118, BP00258, BP00256, BP00259, BP00254, BP00260.---------------MARKET SEGMENT: WAF MS01065/TPP00599; WAF MS00880/TPP00291; CAF MS01066; EAF MS00892; SAF MS01069.---------------BREAKTHROUGH PRODUCT OUTPUT: Products advanced to OFT/TRICOT/DCT platforms.---------------2026 DELIVERABLE: ≥20 OFT sites identified and planting material prepared for participatory evaluation.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OFT/TRICOT sites conducted"</v>
      </c>
      <c r="E42" s="4" t="str">
        <v>custom</v>
      </c>
      <c r="F42" s="4" t="str">
        <v>Mozambique, Kenya, Uganda, Tanzania, United Republic, Côte d'Ivoire, The Democratic Republic of the Congo, Sierra Leone, Rwanda, Ghana, Nigeria</v>
      </c>
      <c r="G42" s="5">
        <v>0</v>
      </c>
      <c r="H42" s="5">
        <v>144304</v>
      </c>
      <c r="I42" s="4" t="str">
        <v>.</v>
      </c>
      <c r="J42" s="4">
        <v>8460</v>
      </c>
    </row>
    <row r="43" ht="50" customHeight="1">
      <c r="B43" s="4" t="str">
        <v>IITA</v>
      </c>
      <c r="D43" s="4" t="str">
        <v>12-GATES W2 CASSAVA.--------------- IITA-Cassava.---------------BREEDING PIPELINE: BP00117, BP00118, BP00258, BP00256, BP00259, BP00254, BP00260.---------------MARKET SEGMENT: WAF MS01065/TPP00599; WAF MS00880/TPP00291; CAF MS01066; EAF MS00892; SAF MS01069.---------------BREAKTHROUGH PRODUCT OUTPUT: Rapid multiplication and early bulking approaches integrated to support accelerated advancement and regional testing logistics.---------------2026 DELIVERABLE: SAH protocols piloted in ≥2 breeding hubs and multiplication initiated for elite materials..---------------INDICATOR: Number of pipelines applying rapid multiplication approaches</v>
      </c>
      <c r="E43" s="4" t="str">
        <v>custom</v>
      </c>
      <c r="F43" s="4" t="str">
        <v>Uganda, Zambia, The Democratic Republic of the Congo, Malawi, Nigeria, Tanzania, United Republic</v>
      </c>
      <c r="G43" s="5">
        <v>0</v>
      </c>
      <c r="H43" s="5">
        <v>26984</v>
      </c>
      <c r="I43" s="4" t="str">
        <v>.</v>
      </c>
      <c r="J43" s="4">
        <v>8463</v>
      </c>
    </row>
    <row r="44" ht="50" customHeight="1" xml:space="preserve">
      <c r="B44" s="4" t="str">
        <v>IITA</v>
      </c>
      <c r="D44" s="4" t="str" xml:space="preserve">
        <v xml:space="preserve">"16-GATES W2 YAM--------------. .---------------IITA-YAM.---------------BREEDING PIPELINE: BP00095.---------------MARKET SEGMENT: MS00012/TPP00249.---------------2026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across the three yam breeding pipelines"</v>
      </c>
      <c r="E44" s="4" t="str">
        <v>Number of innovations (innovation development)</v>
      </c>
      <c r="F44" s="4" t="str">
        <v>Nigeria</v>
      </c>
      <c r="G44" s="5">
        <v>0</v>
      </c>
      <c r="H44" s="5">
        <v>42638</v>
      </c>
      <c r="I44" s="4" t="str">
        <v>.</v>
      </c>
      <c r="J44" s="4">
        <v>8569</v>
      </c>
    </row>
    <row r="45" ht="50" customHeight="1" xml:space="preserve">
      <c r="B45" s="4" t="str">
        <v>IITA</v>
      </c>
      <c r="D45" s="4" t="str" xml:space="preserve">
        <v xml:space="preserve">"17-GATES W2 YAM--------------. .---------------IITA-YAM.---------------BREEDING PIPELINE: BP00095.---------------MARKET SEGMENT: MS00012/TPP00249.---------------2026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 progenies and tuber progenies in early generation (seedling and clonal nurseries) testing disaggregated  by location"</v>
      </c>
      <c r="E45" s="4" t="str">
        <v>Number of innovations (innovation development)</v>
      </c>
      <c r="F45" s="4" t="str">
        <v>Benin, Sierra Leone, Ghana, Ethiopia, Côte d'Ivoire, Nigeria</v>
      </c>
      <c r="G45" s="5">
        <v>0</v>
      </c>
      <c r="H45" s="5">
        <v>40224</v>
      </c>
      <c r="I45" s="4" t="str">
        <v>,</v>
      </c>
      <c r="J45" s="4">
        <v>8570</v>
      </c>
    </row>
    <row r="46" ht="50" customHeight="1" xml:space="preserve">
      <c r="B46" s="4" t="str">
        <v>IITA</v>
      </c>
      <c r="D46" s="4" t="str" xml:space="preserve">
        <v xml:space="preserve">"18-GATES W2 YAM--------------. .---------------IITA-YAM.---------------BREEDING PIPELINE: BP00095.---------------MARKET SEGMENT: MS00012/TPP00249.---------------2026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v>
      </c>
      <c r="E46" s="4" t="str">
        <v>Number of innovations (innovation development)</v>
      </c>
      <c r="F46" s="4" t="str">
        <v>Nigeria, Côte d'Ivoire, Ghana, Sierra Leone, Benin</v>
      </c>
      <c r="G46" s="5">
        <v>0</v>
      </c>
      <c r="H46" s="5">
        <v>41474</v>
      </c>
      <c r="I46" s="4" t="str">
        <v>.</v>
      </c>
      <c r="J46" s="4">
        <v>8571</v>
      </c>
    </row>
    <row r="47" ht="50" customHeight="1" xml:space="preserve">
      <c r="B47" s="4" t="str">
        <v>IITA</v>
      </c>
      <c r="D47" s="4" t="str" xml:space="preserve">
        <v xml:space="preserve">"19-GATES W2 YAM--------------. .---------------IITA-YAM.---------------BREEDING PIPELINE: BP00095.---------------MARKET SEGMENT: MS00012/TPP00249.---------------2026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on farm trials conducted (disaggregated by country)"</v>
      </c>
      <c r="E47" s="4" t="str">
        <v>Number of innovations (innovation development)</v>
      </c>
      <c r="F47" s="4" t="str">
        <v>Ghana, Côte d'Ivoire</v>
      </c>
      <c r="G47" s="5">
        <v>0</v>
      </c>
      <c r="H47" s="5">
        <v>25546</v>
      </c>
      <c r="I47" s="4" t="str">
        <v>.</v>
      </c>
      <c r="J47" s="4">
        <v>8572</v>
      </c>
    </row>
    <row r="48" ht="50" customHeight="1" xml:space="preserve">
      <c r="B48" s="4" t="str">
        <v>IITA</v>
      </c>
      <c r="D48" s="4" t="str" xml:space="preserve">
        <v xml:space="preserve">20-GATES W2 YAM--------------. .---------------IITA-YAM.---------------BREEDING PIPELINE: BP00095.---------------MARKET SEGMENT: MS00012/TPP00249.---------------2026 DELIVERABLE: Superiors BtP released .
Annual progress toward the funded Target Product Profile is assessed through the Breakthrough Product Pipeline Performance Report (Appendix 1, Sections C and D), in accordance with B4T Data Management Standards (Appendix 1)..---------------INDICATOR:   Number of varieties released by partners</v>
      </c>
      <c r="E48" s="4" t="str">
        <v>Number of innovations (innovation development)</v>
      </c>
      <c r="F48" s="4" t="str">
        <v>Uganda, Ghana, Ethiopia</v>
      </c>
      <c r="G48" s="5">
        <v>6</v>
      </c>
      <c r="H48" s="5">
        <v>33402</v>
      </c>
      <c r="I48" s="4" t="str">
        <v>.</v>
      </c>
      <c r="J48" s="4">
        <v>8619</v>
      </c>
    </row>
    <row r="49" ht="50" customHeight="1" xml:space="preserve">
      <c r="B49" s="4" t="str">
        <v>IITA</v>
      </c>
      <c r="D49" s="4" t="str" xml:space="preserve">
        <v xml:space="preserve">21-GATES W2 YAM--------------. .---------------IITA-YAM.---------------BREEDING PIPELINE: BP00095.---------------MARKET SEGMENT: MS00012/TPP00249.---------------2026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v>
      </c>
      <c r="E49" s="4" t="str">
        <v>custom</v>
      </c>
      <c r="F49" s="4" t="str">
        <v>Nigeria</v>
      </c>
      <c r="G49" s="5">
        <v>5</v>
      </c>
      <c r="H49" s="5">
        <v>32216</v>
      </c>
      <c r="I49" s="4" t="str">
        <v>.</v>
      </c>
      <c r="J49" s="4">
        <v>8620</v>
      </c>
    </row>
    <row r="50" ht="50" customHeight="1">
      <c r="B50" s="4" t="str">
        <v>IITA</v>
      </c>
      <c r="D50" s="4" t="str">
        <v xml:space="preserve">22-GATES W2 YAM--------------. .---------------IITA-YAM.---------------BREEDING PIPELINE: BP00096.---------------MARKET SEGMENT: MS00012/ TPP00249.---------------2026 DELIVERABLE: Crosses made and fruit setting documented in yam crossing block.---------------INDICATOR:   Quantity (Number)  of botanicals seeds generated </v>
      </c>
      <c r="E50" s="4" t="str">
        <v>custom</v>
      </c>
      <c r="F50" s="4" t="str">
        <v>Nigeria</v>
      </c>
      <c r="G50" s="5">
        <v>20</v>
      </c>
      <c r="H50" s="5">
        <v>26474</v>
      </c>
      <c r="I50" s="4" t="str">
        <v>.</v>
      </c>
      <c r="J50" s="4">
        <v>8621</v>
      </c>
    </row>
    <row r="51" ht="50" customHeight="1" xml:space="preserve">
      <c r="B51" s="4" t="str">
        <v>IITA</v>
      </c>
      <c r="D51" s="4" t="str" xml:space="preserve">
        <v xml:space="preserve">23-GATES W2 YAM--------------. .---------------IITA-YAM.---------------BREEDING PIPELINE: BP00096.---------------MARKET SEGMENT: MS00012/ 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v>
      </c>
      <c r="E51" s="4" t="str">
        <v>custom</v>
      </c>
      <c r="F51" s="4" t="str">
        <v>Nigeria</v>
      </c>
      <c r="G51" s="5">
        <v>2000</v>
      </c>
      <c r="H51" s="5">
        <v>65593</v>
      </c>
      <c r="I51" s="4" t="str">
        <v>0</v>
      </c>
      <c r="J51" s="4">
        <v>8622</v>
      </c>
    </row>
    <row r="52" ht="50" customHeight="1" xml:space="preserve">
      <c r="B52" s="4" t="str">
        <v>IITA</v>
      </c>
      <c r="D52" s="4" t="str" xml:space="preserve">
        <v xml:space="preserve">24-GATES W2 YAM--------------. .---------------IITA-YAM.---------------BREEDING PIPELINE: BP00096.---------------MARKET SEGMENT: MS00012/ 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v>
      </c>
      <c r="E52" s="4" t="str">
        <v>custom</v>
      </c>
      <c r="F52" s="4" t="str">
        <v>Nigeria</v>
      </c>
      <c r="G52" s="5">
        <v>16</v>
      </c>
      <c r="H52" s="5">
        <v>33043</v>
      </c>
      <c r="I52" s="4" t="str">
        <v>.</v>
      </c>
      <c r="J52" s="4">
        <v>8623</v>
      </c>
    </row>
    <row r="53" ht="50" customHeight="1" xml:space="preserve">
      <c r="B53" s="4" t="str">
        <v>IITA</v>
      </c>
      <c r="D53" s="4" t="str" xml:space="preserve">
        <v xml:space="preserve">25-GATES W2 YAM--------------. .---------------IITA-YAM.---------------BREEDING PIPELINE: BP00096.---------------MARKET SEGMENT: MS00012/ 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products/DCTs conducted by country</v>
      </c>
      <c r="E53" s="4" t="str">
        <v>custom</v>
      </c>
      <c r="F53" s="4" t="str">
        <v>Ghana</v>
      </c>
      <c r="G53" s="5">
        <v>2</v>
      </c>
      <c r="H53" s="5">
        <v>10666</v>
      </c>
      <c r="I53" s="4" t="str">
        <v>.</v>
      </c>
      <c r="J53" s="4">
        <v>8624</v>
      </c>
    </row>
    <row r="54" ht="50" customHeight="1" xml:space="preserve">
      <c r="B54" s="4" t="str">
        <v>IITA</v>
      </c>
      <c r="D54" s="4" t="str" xml:space="preserve">
        <v xml:space="preserve">26-GATES W2 YAM--------------. .---------------IITA-YAM.---------------BREEDING PIPELINE: BP00096.---------------MARKET SEGMENT: MS00012/ TPP00249.---------------2026 DELIVERABLE: Superiors BtP released.
Annual progress toward the funded Target Product Profile is assessed through the Breakthrough Product Pipeline Performance Report (Appendix 1, Sections C and D), in accordance with B4T Data Management Standards (Appendix 1)..---------------INDICATOR:   Number of varieties released by partners</v>
      </c>
      <c r="E54" s="4" t="str">
        <v>Number of innovations (innovation development)</v>
      </c>
      <c r="F54" s="4" t="str">
        <v>Ghana</v>
      </c>
      <c r="G54" s="5">
        <v>2</v>
      </c>
      <c r="H54" s="5">
        <v>10775</v>
      </c>
      <c r="I54" s="4" t="str">
        <v>.</v>
      </c>
      <c r="J54" s="4">
        <v>8625</v>
      </c>
    </row>
    <row r="55" ht="50" customHeight="1" xml:space="preserve">
      <c r="B55" s="4" t="str">
        <v>IITA</v>
      </c>
      <c r="D55" s="4" t="str" xml:space="preserve">
        <v xml:space="preserve">27-GATES W2 YAM--------------. .---------------IITA-YAM.---------------BREEDING PIPELINE: BP00096.---------------MARKET SEGMENT: MS00012/ 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v>
      </c>
      <c r="E55" s="4" t="str">
        <v>custom</v>
      </c>
      <c r="F55" s="4" t="str">
        <v>Nigeria</v>
      </c>
      <c r="G55" s="5">
        <v>4</v>
      </c>
      <c r="H55" s="5">
        <v>28893</v>
      </c>
      <c r="I55" s="4" t="str">
        <v>.</v>
      </c>
      <c r="J55" s="4">
        <v>8626</v>
      </c>
    </row>
    <row r="56" ht="50" customHeight="1" xml:space="preserve">
      <c r="B56" s="4" t="str">
        <v>IITA</v>
      </c>
      <c r="D56" s="4" t="str" xml:space="preserve">
        <v xml:space="preserve">28-GATES W2 YAM--------------. .---------------IITA-YAM.---------------BREEDING PIPELINE: BP00195.---------------MARKET SEGMENT: MS00014/ TPP00250.---------------2026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v>
      </c>
      <c r="E56" s="4" t="str">
        <v>custom</v>
      </c>
      <c r="F56" s="4" t="str">
        <v>Nigeria</v>
      </c>
      <c r="G56" s="5">
        <v>2000</v>
      </c>
      <c r="H56" s="5">
        <v>19653</v>
      </c>
      <c r="I56" s="4" t="str">
        <v>.</v>
      </c>
      <c r="J56" s="4">
        <v>8627</v>
      </c>
    </row>
    <row r="57" ht="50" customHeight="1" xml:space="preserve">
      <c r="B57" s="4" t="str">
        <v>IITA</v>
      </c>
      <c r="D57" s="4" t="str" xml:space="preserve">
        <v xml:space="preserve">29-GATES W2 YAM--------------. .---------------IITA-YAM.---------------BREEDING PIPELINE: BP00195.---------------MARKET SEGMENT: MS00014/ TPP00250.---------------2026 DELIVERABLE: Product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v>
      </c>
      <c r="E57" s="4" t="str">
        <v>custom</v>
      </c>
      <c r="F57" s="4" t="str">
        <v>Nigeria</v>
      </c>
      <c r="G57" s="5">
        <v>1000</v>
      </c>
      <c r="H57" s="5">
        <v>26988</v>
      </c>
      <c r="I57" s="4" t="str">
        <v>.</v>
      </c>
      <c r="J57" s="4">
        <v>8630</v>
      </c>
    </row>
    <row r="58" ht="50" customHeight="1" xml:space="preserve">
      <c r="B58" s="4" t="str">
        <v>IITA</v>
      </c>
      <c r="D58" s="4" t="str" xml:space="preserve">
        <v xml:space="preserve">30-GATES W2 YAM--------------. .---------------IITA-YAM.---------------BREEDING PIPELINE: BP00195.---------------MARKET SEGMENT: MS00014/ TPP00250.---------------2026 DELIVERABLE: Product tested and selected in late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v>
      </c>
      <c r="E58" s="4" t="str">
        <v>custom</v>
      </c>
      <c r="F58" s="4" t="str">
        <v>Nigeria</v>
      </c>
      <c r="G58" s="5">
        <v>16</v>
      </c>
      <c r="H58" s="5">
        <v>32096</v>
      </c>
      <c r="I58" s="4" t="str">
        <v>.</v>
      </c>
      <c r="J58" s="4">
        <v>8631</v>
      </c>
    </row>
    <row r="59" ht="50" customHeight="1">
      <c r="A59" s="4" t="str">
        <v>AOW02: Accelerated Breeding</v>
      </c>
      <c r="B59" s="4" t="str">
        <v>IITA</v>
      </c>
      <c r="C59" s="4" t="str">
        <v>HLO6.AOW2.IO1 Refocus to markets</v>
      </c>
      <c r="D59" s="4" t="str">
        <v>03-GATES W2 YAM--------------. .---------------IITA-YAM.---------------BREEDING PIPELINE: BP00096, BP00095,  and BP00195.---------------MARKET SEGMENT: MS00013/TPP00251; MS00012/ TPP00249; MS00014/ TPP00250.---------------2026 DELIVERABLE: Mentoring and exchange visit events organized .---------------INDICATOR:   Number of exchange visits conducted</v>
      </c>
      <c r="E59" s="4" t="str">
        <v>custom</v>
      </c>
      <c r="F59" s="4" t="str">
        <v>Sierra Leone, Ghana, Benin, Nigeria, Côte d'Ivoire</v>
      </c>
      <c r="G59" s="5">
        <v>0</v>
      </c>
      <c r="H59" s="5">
        <v>35893</v>
      </c>
      <c r="I59" s="4" t="str">
        <v>.</v>
      </c>
      <c r="J59" s="4">
        <v>8556</v>
      </c>
    </row>
    <row r="60" ht="25" customHeight="1">
      <c r="C60" s="9" t="str">
        <v>HLO budget subtotal</v>
      </c>
      <c r="H60" s="9">
        <v>3439354</v>
      </c>
      <c r="J60" s="9" t="str">
        <v/>
      </c>
    </row>
    <row r="61" ht="50" customHeight="1" xml:space="preserve">
      <c r="A61" s="8" t="str">
        <v>AOW03: Inclusive Delivery</v>
      </c>
      <c r="B61" s="4" t="str">
        <v>IITA</v>
      </c>
      <c r="C61" s="4" t="str">
        <v>HLO11.AOW3.IO4 Position for demand</v>
      </c>
      <c r="D61" s="4" t="str" xml:space="preserve">
        <v xml:space="preserve">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v>
      </c>
      <c r="E61" s="4" t="str">
        <v>Number of innovations (innovation development)</v>
      </c>
      <c r="F61" s="4" t="str">
        <v>Nigeria, Tanzania, United Republic</v>
      </c>
      <c r="G61" s="5">
        <v>3</v>
      </c>
      <c r="H61" s="5">
        <v>50000</v>
      </c>
      <c r="I61" s="4" t="str">
        <v>.</v>
      </c>
      <c r="J61" s="4">
        <v>4802</v>
      </c>
    </row>
    <row r="62" ht="50" customHeight="1" xml:space="preserve">
      <c r="B62" s="4" t="str">
        <v>IITA</v>
      </c>
      <c r="D62" s="4" t="str" xml:space="preserve">
        <v xml:space="preserve">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v>
      </c>
      <c r="E62" s="4" t="str">
        <v>custom</v>
      </c>
      <c r="F62" s="4" t="str">
        <v>Tanzania, United Republic, Nigeria</v>
      </c>
      <c r="G62" s="5">
        <v>1</v>
      </c>
      <c r="H62" s="5">
        <v>50000</v>
      </c>
      <c r="I62" s="4" t="str">
        <v>.</v>
      </c>
      <c r="J62" s="4">
        <v>4808</v>
      </c>
    </row>
    <row r="63" ht="50" customHeight="1">
      <c r="B63" s="4" t="str">
        <v>IITA</v>
      </c>
      <c r="D63" s="4" t="str">
        <v>70-.----- IITA - (3. A geospatial model that can be applied to match seed production and demand for 6 crop/country combinations) --------..-------- KEY ACTIVITIES FOR THIS DELIVERABLE:      • Complete publication of first geospatial model linking geographical parameters with cassava seed sales potential</v>
      </c>
      <c r="E63" s="4" t="str">
        <v>Number of innovations (innovation development)</v>
      </c>
      <c r="F63" s="4" t="str">
        <v>Tanzania, United Republic, Nigeria</v>
      </c>
      <c r="G63" s="5">
        <v>2</v>
      </c>
      <c r="H63" s="5">
        <v>70000</v>
      </c>
      <c r="I63" s="4" t="str">
        <v>.</v>
      </c>
      <c r="J63" s="4">
        <v>4809</v>
      </c>
    </row>
    <row r="64" ht="50" customHeight="1" xml:space="preserve">
      <c r="B64" s="4" t="str">
        <v>IITA</v>
      </c>
      <c r="D64" s="4" t="str" xml:space="preserve">
        <v xml:space="preserve">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v>
      </c>
      <c r="E64" s="4" t="str">
        <v>custom</v>
      </c>
      <c r="F64" s="4" t="str">
        <v>Nigeria, Tanzania, United Republic</v>
      </c>
      <c r="G64" s="5">
        <v>2</v>
      </c>
      <c r="H64" s="5">
        <v>40000</v>
      </c>
      <c r="I64" s="4" t="str">
        <v>.</v>
      </c>
      <c r="J64" s="4">
        <v>4812</v>
      </c>
    </row>
    <row r="65" ht="50" customHeight="1" xml:space="preserve">
      <c r="B65" s="4" t="str">
        <v>IITA</v>
      </c>
      <c r="D65" s="4" t="str" xml:space="preserve">
        <v xml:space="preserve">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v>
      </c>
      <c r="E65" s="4" t="str">
        <v>custom</v>
      </c>
      <c r="F65" s="4" t="str">
        <v>Tanzania, United Republic, Nigeria, Uganda, Ghana</v>
      </c>
      <c r="G65" s="5">
        <v>3</v>
      </c>
      <c r="H65" s="5">
        <v>90000</v>
      </c>
      <c r="I65" s="4" t="str">
        <v>.</v>
      </c>
      <c r="J65" s="4">
        <v>4813</v>
      </c>
    </row>
    <row r="66" ht="50" customHeight="1" xml:space="preserve">
      <c r="B66" s="4" t="str">
        <v>IITA</v>
      </c>
      <c r="D66" s="4" t="str" xml:space="preserve">
        <v xml:space="preserve">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v>
      </c>
      <c r="E66" s="4" t="str">
        <v>custom</v>
      </c>
      <c r="F66" s="4" t="str">
        <v>Ghana, Mozambique, Nigeria</v>
      </c>
      <c r="G66" s="5">
        <v>15</v>
      </c>
      <c r="H66" s="5">
        <v>90000</v>
      </c>
      <c r="I66" s="4" t="str">
        <v>.</v>
      </c>
      <c r="J66" s="4">
        <v>4814</v>
      </c>
    </row>
    <row r="67" ht="50" customHeight="1" xml:space="preserve">
      <c r="B67" s="4" t="str">
        <v>IITA</v>
      </c>
      <c r="D67" s="4" t="str" xml:space="preserve">
        <v xml:space="preserve">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v>
      </c>
      <c r="E67" s="4" t="str">
        <v>Number of innovations (innovation development)</v>
      </c>
      <c r="F67" s="4" t="str">
        <v>Tanzania, United Republic, Nigeria</v>
      </c>
      <c r="G67" s="5">
        <v>4</v>
      </c>
      <c r="H67" s="5">
        <v>70000</v>
      </c>
      <c r="I67" s="4" t="str">
        <v>.</v>
      </c>
      <c r="J67" s="4">
        <v>4815</v>
      </c>
    </row>
    <row r="68" ht="50" customHeight="1" xml:space="preserve">
      <c r="B68" s="4" t="str">
        <v>IITA</v>
      </c>
      <c r="D68" s="4" t="str" xml:space="preserve">
        <v xml:space="preserve">"13-GATES W2 CASSAVA.--------------- IITA-Cassava.---------------BREEDING PIPELINE: BP00117, BP00118, BP00258, BP00256, BP00259, BP00254, BP00260.---------------MARKET SEGMENT: Processing, Fresh market segments.---------------BREAKTHROUGH PRODUCT OUTPUT: • Product specification sheets developed for prioritized Gen0 candidates • Key agronomic, quality and market attributes documented • Product positioning aligned to target market segments and replacement strategy.---------------2026 DELIVERABLE: Product profiles compiled for ≥6 priority BtP candidates.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specification sheets &amp; by status ; completed &amp;validated)"</v>
      </c>
      <c r="E68" s="4" t="str">
        <v>Number of knowledge products</v>
      </c>
      <c r="F68" s="4" t="str">
        <v>Uganda, Tanzania, United Republic, Nigeria, Côte d'Ivoire, Ghana</v>
      </c>
      <c r="G68" s="5">
        <v>0</v>
      </c>
      <c r="H68" s="5">
        <v>7450</v>
      </c>
      <c r="I68" s="4" t="str">
        <v>.</v>
      </c>
      <c r="J68" s="4">
        <v>8464</v>
      </c>
    </row>
    <row r="69" ht="50" customHeight="1" xml:space="preserve">
      <c r="B69" s="4" t="str">
        <v>IITA</v>
      </c>
      <c r="D69" s="4" t="str" xml:space="preserve">
        <v xml:space="preserve">31-GATES W2 YAM--------------. .---------------IITA-YAM.---------------BREEDING PIPELINE: BP00096, BP00095,  and BP00195.---------------MARKET SEGMENT: MS00013/TPP00251; MS00012/ TPP00249; MS00014/ TPP00250.---------------2026 DELIVERABLE: Product specification sheets drafted for prioritized Gen0 candidates across partner countries.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product specification sheet)</v>
      </c>
      <c r="E69" s="4" t="str">
        <v>Number of knowledge products</v>
      </c>
      <c r="F69" s="4" t="str">
        <v>Nigeria, Côte d'Ivoire, Ghana</v>
      </c>
      <c r="G69" s="5">
        <v>3</v>
      </c>
      <c r="H69" s="5">
        <v>17418</v>
      </c>
      <c r="I69" s="4" t="str">
        <v>.</v>
      </c>
      <c r="J69" s="4">
        <v>8632</v>
      </c>
    </row>
    <row r="70" ht="50" customHeight="1" xml:space="preserve">
      <c r="A70" s="4" t="str">
        <v>AOW03: Inclusive Delivery</v>
      </c>
      <c r="B70" s="4" t="str">
        <v>IITA</v>
      </c>
      <c r="C70" s="4" t="str">
        <v>HLO12.AOW3.IO5 Deploy seed</v>
      </c>
      <c r="D70" s="4" t="str" xml:space="preserve">
        <v xml:space="preserve">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v>
      </c>
      <c r="E70" s="4" t="str">
        <v>Number of people trained (capacity sharing for development)</v>
      </c>
      <c r="F70" s="4" t="str">
        <v>Nigeria, Ghana, Benin, Mali</v>
      </c>
      <c r="G70" s="5">
        <v>10</v>
      </c>
      <c r="H70" s="5">
        <v>100000</v>
      </c>
      <c r="I70" s="4" t="str">
        <v>.</v>
      </c>
      <c r="J70" s="4">
        <v>4816</v>
      </c>
    </row>
    <row r="71" ht="50" customHeight="1" xml:space="preserve">
      <c r="B71" s="4" t="str">
        <v>IITA</v>
      </c>
      <c r="D71" s="4" t="str" xml:space="preserve">
        <v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v>
      </c>
      <c r="E71" s="4" t="str">
        <v>custom</v>
      </c>
      <c r="F71" s="4" t="str">
        <v>Uganda, Tanzania, United Republic, Nigeria</v>
      </c>
      <c r="G71" s="5">
        <v>3</v>
      </c>
      <c r="H71" s="5">
        <v>45000</v>
      </c>
      <c r="I71" s="4" t="str">
        <v>.</v>
      </c>
      <c r="J71" s="4">
        <v>4823</v>
      </c>
    </row>
    <row r="72" ht="50" customHeight="1" xml:space="preserve">
      <c r="B72" s="4" t="str">
        <v>IITA</v>
      </c>
      <c r="D72" s="4" t="str" xml:space="preserve">
        <v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v>
      </c>
      <c r="E72" s="4" t="str">
        <v>custom</v>
      </c>
      <c r="F72" s="4" t="str">
        <v>Nigeria, Tanzania, United Republic, Uganda</v>
      </c>
      <c r="G72" s="5">
        <v>2</v>
      </c>
      <c r="H72" s="5">
        <v>145000</v>
      </c>
      <c r="I72" s="4" t="str">
        <v>.</v>
      </c>
      <c r="J72" s="4">
        <v>4824</v>
      </c>
    </row>
    <row r="73" ht="50" customHeight="1" xml:space="preserve">
      <c r="B73" s="4" t="str">
        <v>IITA</v>
      </c>
      <c r="D73" s="4" t="str" xml:space="preserve">
        <v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v>
      </c>
      <c r="E73" s="4" t="str">
        <v>custom</v>
      </c>
      <c r="F73" s="4" t="str">
        <v>Nigeria, Mozambique</v>
      </c>
      <c r="G73" s="5">
        <v>6</v>
      </c>
      <c r="H73" s="5">
        <v>135000</v>
      </c>
      <c r="I73" s="4" t="str">
        <v>.</v>
      </c>
      <c r="J73" s="4">
        <v>4825</v>
      </c>
    </row>
    <row r="74" ht="50" customHeight="1" xml:space="preserve">
      <c r="B74" s="4" t="str">
        <v>IITA</v>
      </c>
      <c r="D74" s="4" t="str" xml:space="preserve">
        <v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v>
      </c>
      <c r="E74" s="4" t="str">
        <v>custom</v>
      </c>
      <c r="F74" s="4" t="str">
        <v>Kenya, Tanzania, United Republic, Nigeria</v>
      </c>
      <c r="G74" s="5">
        <v>2</v>
      </c>
      <c r="H74" s="5">
        <v>75000</v>
      </c>
      <c r="I74" s="4" t="str">
        <v>.</v>
      </c>
      <c r="J74" s="4">
        <v>4827</v>
      </c>
    </row>
    <row r="75" ht="50" customHeight="1" xml:space="preserve">
      <c r="B75" s="4" t="str">
        <v>IITA</v>
      </c>
      <c r="D75" s="4" t="str" xml:space="preserve">
        <v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v>
      </c>
      <c r="E75" s="4" t="str">
        <v>custom</v>
      </c>
      <c r="F75" s="4" t="str">
        <v>Ghana, Tanzania, United Republic, Nigeria, Uganda</v>
      </c>
      <c r="G75" s="5">
        <v>2</v>
      </c>
      <c r="H75" s="5">
        <v>75000</v>
      </c>
      <c r="I75" s="4" t="str">
        <v>.</v>
      </c>
      <c r="J75" s="4">
        <v>7384</v>
      </c>
    </row>
    <row r="76" ht="50" customHeight="1" xml:space="preserve">
      <c r="B76" s="4" t="str">
        <v>IITA</v>
      </c>
      <c r="D76" s="4" t="str" xml:space="preserve">
        <v xml:space="preserve">"14-GATES W2 CASSAVA.--------------- IITA-Cassava.---------------BREEDING PIPELINE: BP00117, BP00118, BP00258, BP00256.---------------MARKET SEGMENT: Processing and Fresh pipelines.---------------BREAKTHROUGH PRODUCT OUTPUT: • Priority Gen0 candidates identified for EGS increase • Clean planting material prepared • Coordination with seed partners initiated.---------------2026 DELIVERABLE: EGS multiplication initiated for ≥4 prioritized BtP candidates.
Annual progress toward the funded Target Product Profile is assessed through the Breakthrough Product Pipeline Performance Report (Appendix 1, Sections C and D), in accordance with B4T Data Management Standards (Appendix 1)..---------------INDICATOR: Quantity (number of cuttings)of early generation seed produced"</v>
      </c>
      <c r="E76" s="4" t="str">
        <v>custom</v>
      </c>
      <c r="F76" s="4" t="str">
        <v>Nigeria, Tanzania, United Republic, Côte d'Ivoire, Uganda, Zambia, The Democratic Republic of the Congo</v>
      </c>
      <c r="G76" s="5">
        <v>0</v>
      </c>
      <c r="H76" s="5">
        <v>62618</v>
      </c>
      <c r="I76" s="4" t="str">
        <v>.</v>
      </c>
      <c r="J76" s="4">
        <v>8465</v>
      </c>
    </row>
    <row r="77" ht="50" customHeight="1">
      <c r="B77" s="4" t="str">
        <v>IITA</v>
      </c>
      <c r="D77" s="4" t="str">
        <v>32-GATES W2 YAM--------------. .---------------IITA-YAM.---------------BREEDING PIPELINE: BP00096, BP00095,  and BP00195.---------------MARKET SEGMENT: MS00013/TPP00251; MS00012/ TPP00249; MS00014/ TPP00250.---------------2026 DELIVERABLE: Develop and deploy SOP for breeder seed bulking  by NARES and seed producers.---------------INDICATOR:    Quantity (Number of cuttings) of breeder seed produced and deployed through NARES/private sector</v>
      </c>
      <c r="E77" s="4" t="str">
        <v>custom</v>
      </c>
      <c r="F77" s="4" t="str">
        <v>Côte d'Ivoire, Ghana, Nigeria</v>
      </c>
      <c r="G77" s="5">
        <v>10</v>
      </c>
      <c r="H77" s="5">
        <v>23416</v>
      </c>
      <c r="I77" s="4" t="str">
        <v>.</v>
      </c>
      <c r="J77" s="4">
        <v>8635</v>
      </c>
    </row>
    <row r="78" ht="50" customHeight="1">
      <c r="A78" s="4" t="str">
        <v>AOW03: Inclusive Delivery</v>
      </c>
      <c r="B78" s="4" t="str">
        <v>IITA</v>
      </c>
      <c r="C78" s="4" t="str">
        <v>HLO14.AOW3.IO5 TRACK adoption</v>
      </c>
      <c r="D78" s="4" t="str">
        <v>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v>
      </c>
      <c r="E78" s="4" t="str">
        <v>Number of innovations (innovation development)</v>
      </c>
      <c r="F78" s="4" t="str">
        <v>Tanzania, United Republic, Nigeria</v>
      </c>
      <c r="G78" s="5">
        <v>1</v>
      </c>
      <c r="H78" s="5">
        <v>30000</v>
      </c>
      <c r="I78" s="4" t="str">
        <v>.</v>
      </c>
      <c r="J78" s="4">
        <v>4875</v>
      </c>
    </row>
    <row r="79" ht="50" customHeight="1" xml:space="preserve">
      <c r="B79" s="4" t="str">
        <v>IITA</v>
      </c>
      <c r="D79" s="4" t="str" xml:space="preserve">
        <v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v>
      </c>
      <c r="E79" s="4" t="str">
        <v>Number of innovations (innovation development)</v>
      </c>
      <c r="F79" s="4" t="str">
        <v>Nigeria, Tanzania, United Republic</v>
      </c>
      <c r="G79" s="5">
        <v>1</v>
      </c>
      <c r="H79" s="5">
        <v>70000</v>
      </c>
      <c r="I79" s="4" t="str">
        <v>.</v>
      </c>
      <c r="J79" s="4">
        <v>4876</v>
      </c>
    </row>
    <row r="80" ht="50" customHeight="1" xml:space="preserve">
      <c r="B80" s="4" t="str">
        <v>IITA</v>
      </c>
      <c r="D80" s="4" t="str" xml:space="preserve">
        <v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v>
      </c>
      <c r="E80" s="4" t="str">
        <v>Number of innovations (innovation development)</v>
      </c>
      <c r="F80" s="4" t="str">
        <v>Nigeria, Ethiopia</v>
      </c>
      <c r="G80" s="5">
        <v>1</v>
      </c>
      <c r="H80" s="5">
        <v>40000</v>
      </c>
      <c r="I80" s="4" t="str">
        <v>.</v>
      </c>
      <c r="J80" s="4">
        <v>4881</v>
      </c>
    </row>
    <row r="81" ht="50" customHeight="1" xml:space="preserve">
      <c r="B81" s="4" t="str">
        <v>IITA</v>
      </c>
      <c r="D81" s="4" t="str" xml:space="preserve">
        <v xml:space="preserve">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v>
      </c>
      <c r="E81" s="4" t="str">
        <v>Number of innovations (innovation development)</v>
      </c>
      <c r="F81" s="4" t="str">
        <v>Nigeria, Tanzania, United Republic</v>
      </c>
      <c r="G81" s="5">
        <v>1</v>
      </c>
      <c r="H81" s="5">
        <v>40000</v>
      </c>
      <c r="I81" s="4" t="str">
        <v>.</v>
      </c>
      <c r="J81" s="4">
        <v>4882</v>
      </c>
    </row>
    <row r="82" ht="50" customHeight="1">
      <c r="B82" s="4" t="str">
        <v>IITA</v>
      </c>
      <c r="D82" s="4" t="str">
        <v>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v>
      </c>
      <c r="E82" s="4" t="str">
        <v>Number of innovations (innovation development)</v>
      </c>
      <c r="F82" s="4" t="str">
        <v>Tanzania, United Republic</v>
      </c>
      <c r="G82" s="5">
        <v>4</v>
      </c>
      <c r="H82" s="5">
        <v>40000</v>
      </c>
      <c r="I82" s="4" t="str">
        <v>.</v>
      </c>
      <c r="J82" s="4">
        <v>4883</v>
      </c>
    </row>
    <row r="83" ht="25" customHeight="1">
      <c r="C83" s="9" t="str">
        <v>HLO budget subtotal</v>
      </c>
      <c r="H83" s="9">
        <v>1365902</v>
      </c>
      <c r="J83" s="9" t="str">
        <v/>
      </c>
    </row>
    <row r="84" ht="50" customHeight="1" xml:space="preserve">
      <c r="A84" s="8" t="str">
        <v>AOW04: Breeding Resources</v>
      </c>
      <c r="B84" s="4" t="str">
        <v>IITA</v>
      </c>
      <c r="C84" s="4" t="str">
        <v>HLO16.AOW4.IO3 Shared services</v>
      </c>
      <c r="D84" s="4" t="str" xml:space="preserve">
        <v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v>
      </c>
      <c r="E84" s="4" t="str">
        <v>Number of people trained (capacity sharing for development)</v>
      </c>
      <c r="F84" s="4" t="str">
        <v>Burkina Faso, Senegal, Cameroon, Ghana, Nigeria, Niger, Mali</v>
      </c>
      <c r="G84" s="5">
        <v>14</v>
      </c>
      <c r="H84" s="5">
        <v>80000</v>
      </c>
      <c r="I84" s="4" t="str">
        <v>.</v>
      </c>
      <c r="J84" s="4">
        <v>4848</v>
      </c>
    </row>
    <row r="85" ht="50" customHeight="1" xml:space="preserve">
      <c r="B85" s="4" t="str">
        <v>IITA</v>
      </c>
      <c r="D85" s="4" t="str" xml:space="preserve">
        <v xml:space="preserve">"20-GATES W2 CASSAVA.--------------- IITA-Cassava.---------------BREEDING PIPELINE: BP00117, BP00118, BP00258, BP00256, BP00259, BP00254, BP00260.---------------MARKET SEGMENT: Processing and Fresh pipelines across WCA, CA, EA and SA.---------------BREAKTHROUGH PRODUCT OUTPUT: EBS migration and BioFlow mainstreaming implemented across cassava breeding pipelines to support harmonized digital data capture and advancement decisions Cassava network onboarding and operationalization of EBS/BioFlow.---------------2026 DELIVERABLE: ≥3 breeding programs onboarded and ≥50% of priority trials digitally captured.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reporting.ale"</v>
      </c>
      <c r="E85" s="4" t="str">
        <v>Number of innovations (innovation development)</v>
      </c>
      <c r="F85" s="4" t="str">
        <v>Côte d'Ivoire, Tanzania, United Republic, Uganda, Ghana, Nigeria</v>
      </c>
      <c r="G85" s="5">
        <v>0</v>
      </c>
      <c r="H85" s="5">
        <v>21471</v>
      </c>
      <c r="I85" s="4" t="str">
        <v>.</v>
      </c>
      <c r="J85" s="4">
        <v>8548</v>
      </c>
    </row>
    <row r="86" ht="50" customHeight="1">
      <c r="B86" s="4" t="str">
        <v>IITA</v>
      </c>
      <c r="D86" s="4" t="str">
        <v>16-GATES W2 CASSAVA.--------------- IITA-Cassava.---------------BREEDING PIPELINE: BP00117, BP00118, BP00258, BP00256, BP00259, BP00254, BP00260.---------------MARKET SEGMENT: Processing and Fresh pipelines across WCA, CA, EA and SA.---------------BREAKTHROUGH PRODUCT OUTPUT: • Stage 1 and parental populations genotyped • Mid-density SNP panels deployed • QC panels implemented • Genotyping support provided for genomic prediction and cross-performance analyses.---------------2026 DELIVERABLE: ≥5,000 Stage 1 and parental samples submitted through shared genotyping services and processed..---------------INDICATOR: Number of Stage 1 and parental cassava samples submitted through shared genotyping services and successfully processed.</v>
      </c>
      <c r="E86" s="4" t="str">
        <v>custom</v>
      </c>
      <c r="F86" s="4" t="str">
        <v>Ghana, Tanzania, United Republic, Nigeria, Côte d'Ivoire, Uganda</v>
      </c>
      <c r="G86" s="5">
        <v>0</v>
      </c>
      <c r="H86" s="5">
        <v>35700</v>
      </c>
      <c r="I86" s="4" t="str">
        <v>.</v>
      </c>
      <c r="J86" s="4">
        <v>8550</v>
      </c>
    </row>
    <row r="87" ht="50" customHeight="1">
      <c r="B87" s="4" t="str">
        <v>IITA</v>
      </c>
      <c r="D87" s="4" t="str">
        <v>17-GATES W2 CASSAVA.--------------- IITA-Cassava.---------------BREEDING PIPELINE: BP00117.---------------MARKET SEGMENT: WAF MS01065/TPP00599; WAF MS00880/TPP00291.---------------BREAKTHROUGH PRODUCT OUTPUT: • UAV-based phenotyping piloted for canopy and plant architecture traits • UAV workflows tested within breeding operations.---------------2026 DELIVERABLE: UAV phenotyping deployed in ≥4 locations and ≥20 flights completed..---------------INDICATOR: Number of trials supported using UAV phenotyping</v>
      </c>
      <c r="E87" s="4" t="str">
        <v>custom</v>
      </c>
      <c r="F87" s="4" t="str">
        <v>Nigeria</v>
      </c>
      <c r="G87" s="5">
        <v>0</v>
      </c>
      <c r="H87" s="5">
        <v>8746</v>
      </c>
      <c r="I87" s="4" t="str">
        <v>.</v>
      </c>
      <c r="J87" s="4">
        <v>8551</v>
      </c>
    </row>
    <row r="88" ht="50" customHeight="1">
      <c r="B88" s="4" t="str">
        <v>IITA</v>
      </c>
      <c r="D88" s="4" t="str">
        <v xml:space="preserve">18-GATES W2 CASSAVA.--------------- IITA-Cassava.---------------BREEDING PIPELINE: BP00117.---------------MARKET SEGMENT: WAF MS01065/TPP00599; WAF MS00880/TPP00291.---------------BREAKTHROUGH PRODUCT OUTPUT: • Root image phenotyping piloted in selected breeding trials • Root architecture traits captured using image-based approaches.---------------2026 DELIVERABLE: Root image capture workflows deployed and ≥300 plots phenotyped..---------------INDICATOR: Number of trials supported with root image phenotyping </v>
      </c>
      <c r="E88" s="4" t="str">
        <v>custom</v>
      </c>
      <c r="F88" s="4" t="str">
        <v>Nigeria</v>
      </c>
      <c r="G88" s="5">
        <v>0</v>
      </c>
      <c r="H88" s="5">
        <v>18819</v>
      </c>
      <c r="I88" s="4" t="str">
        <v>.</v>
      </c>
      <c r="J88" s="4">
        <v>8552</v>
      </c>
    </row>
    <row r="89" ht="50" customHeight="1">
      <c r="B89" s="4" t="str">
        <v>IITA</v>
      </c>
      <c r="D89" s="4" t="str">
        <v>19-GATES W2 CASSAVA.--------------- IITA-Cassava.---------------BREEDING PIPELINE: BP00117 (WAF Processing), BP00118 (WAF Fresh), BP00258 (CAF Processing), BP00256 (CAF Fresh), BP00259 (EAF Processing), BP00254 (EAF Fresh), BP00260 (SAF Processing), BP00255 (SAF Fresh).---------------MARKET SEGMENT: WAF MS01065/TPP00599; WAF MS00880/TPP00291; CAF MS01066; CAF MS00886; EAF MS00892; EAF MS00890; SAF MS01069; SAF MS00894.---------------BREAKTHROUGH PRODUCT OUTPUT: • Food quality phenotyping integrated into selected trials • Root quality traits evaluated across breeding stages • Samples assessed for processing and consumer quality traits.---------------2026 DELIVERABLE: Food quality assessments completed on ≥100 advanced clones from ≥5 late-stage trials..---------------INDICATOR: Number of plots assessed for food quality traits</v>
      </c>
      <c r="E89" s="4" t="str">
        <v>custom</v>
      </c>
      <c r="F89" s="4" t="str">
        <v>Uganda, The Democratic Republic of the Congo, Côte d'Ivoire, Tanzania, United Republic, Nigeria</v>
      </c>
      <c r="G89" s="5">
        <v>0</v>
      </c>
      <c r="H89" s="5">
        <v>85906</v>
      </c>
      <c r="I89" s="4" t="str">
        <v>.</v>
      </c>
      <c r="J89" s="4">
        <v>8553</v>
      </c>
    </row>
    <row r="90" ht="50" customHeight="1">
      <c r="B90" s="4" t="str">
        <v>IITA</v>
      </c>
      <c r="D90" s="4" t="str">
        <v>34-GATES W2 YAM--------------. .---------------IITA-YAM.---------------BREEDING PIPELINE: BP00096, BP00095,  and BP00195.---------------MARKET SEGMENT: MS00013/TPP00251; MS00012/ TPP00249; MS00014/ TPP00250.---------------2026 DELIVERABLE:  Yam breeding populations and germplasm resources genotyped through shared genotyping services .---------------INDICATOR:    Number of samples representing breeding population and germplasm resource  genotyped through shared genotyping services and made available for downstream genomic analysis</v>
      </c>
      <c r="E90" s="4" t="str">
        <v>custom</v>
      </c>
      <c r="F90" s="4" t="str">
        <v>Côte d'Ivoire, Uganda, Nigeria, Benin, France, The Democratic Republic of the Congo, Ghana, Ethiopia</v>
      </c>
      <c r="G90" s="5">
        <v>3000</v>
      </c>
      <c r="H90" s="5">
        <v>17637</v>
      </c>
      <c r="I90" s="4" t="str">
        <v>.</v>
      </c>
      <c r="J90" s="4">
        <v>8636</v>
      </c>
    </row>
    <row r="91" ht="50" customHeight="1">
      <c r="B91" s="4" t="str">
        <v>IITA</v>
      </c>
      <c r="D91" s="4" t="str">
        <v>35-GATES W2 YAM--------------. .---------------IITA-YAM.---------------BREEDING PIPELINE: BP00096, BP00095,  and BP00195.---------------MARKET SEGMENT: MS00013/TPP00251; MS00012/ TPP00249; MS00014/ TPP00250.---------------2026 DELIVERABLE:  Digital phenotyping platform established and applied in yam trials to generate standardized agronomic and food quality trait datasets..---------------INDICATOR:    Number of breeding trials with digital phenotyping datasets generated for agronomic and quality traits</v>
      </c>
      <c r="E91" s="4" t="str">
        <v>custom</v>
      </c>
      <c r="F91" s="4" t="str">
        <v>Benin, Côte d'Ivoire, France, Ghana, Ethiopia, Uganda, Nigeria, The Democratic Republic of the Congo</v>
      </c>
      <c r="G91" s="5">
        <v>2</v>
      </c>
      <c r="H91" s="5">
        <v>22686</v>
      </c>
      <c r="I91" s="4" t="str">
        <v>.</v>
      </c>
      <c r="J91" s="4">
        <v>8639</v>
      </c>
    </row>
    <row r="92" ht="50" customHeight="1" xml:space="preserve">
      <c r="A92" s="4" t="str">
        <v>AOW04: Breeding Resources</v>
      </c>
      <c r="B92" s="4" t="str">
        <v>IITA</v>
      </c>
      <c r="C92" s="4" t="str">
        <v>HLO17.AOW4.IO3 FAIR principles</v>
      </c>
      <c r="D92" s="4" t="str" xml:space="preserve">
        <v xml:space="preserve">36-GATES W2 YAM--------------. .---------------IITA-YAM.---------------BREEDING PIPELINE: BP00096, BP00095,  and BP00195.---------------MARKET SEGMENT: MS00013/TPP00251; MS00012/ TPP00249; MS00014/ TPP00250.---------------2026 DELIVERABLE: Yam data migration to EBS completed for IITA  and  NARS breeder trained on EBS.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Percentage of yam data migrated to EBS</v>
      </c>
      <c r="E92" s="4" t="str">
        <v>custom</v>
      </c>
      <c r="F92" s="4" t="str">
        <v>Nigeria</v>
      </c>
      <c r="G92" s="5">
        <v>50</v>
      </c>
      <c r="H92" s="5">
        <v>27492</v>
      </c>
      <c r="I92" s="4" t="str">
        <v>.</v>
      </c>
      <c r="J92" s="4">
        <v>8640</v>
      </c>
    </row>
    <row r="93" ht="25" customHeight="1">
      <c r="C93" s="9" t="str">
        <v>HLO budget subtotal</v>
      </c>
      <c r="H93" s="9">
        <v>318457</v>
      </c>
      <c r="J93" s="9" t="str">
        <v/>
      </c>
    </row>
    <row r="94" ht="50" customHeight="1" xml:space="preserve">
      <c r="A94" s="8" t="str">
        <v>AOW05: Enable</v>
      </c>
      <c r="B94" s="4" t="str">
        <v>IITA</v>
      </c>
      <c r="C94" s="4" t="str">
        <v>HLO22.AOW5.IO5 Exchange genetic resources</v>
      </c>
      <c r="D94" s="4" t="str" xml:space="preserve">
        <v xml:space="preserve">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v>
      </c>
      <c r="E94" s="4" t="str">
        <v>Number of innovations (innovation development)</v>
      </c>
      <c r="F94" s="4" t="str">
        <v>Nigeria</v>
      </c>
      <c r="G94" s="5">
        <v>3</v>
      </c>
      <c r="H94" s="5">
        <v>0</v>
      </c>
      <c r="I94" s="4" t="str">
        <v/>
      </c>
      <c r="J94" s="4">
        <v>4733</v>
      </c>
    </row>
    <row r="95" ht="50" customHeight="1">
      <c r="B95" s="4" t="str">
        <v>IITA</v>
      </c>
      <c r="D95" s="4" t="str">
        <v>IITA ------------------ Actionable evidence on trends, patterns, and strategies related to licensing, exchange, and use of PGRFA</v>
      </c>
      <c r="E95" s="4" t="str">
        <v>Number of knowledge products</v>
      </c>
      <c r="F95" s="4" t="str">
        <v>China, Kenya, United States of America</v>
      </c>
      <c r="G95" s="5">
        <v>2</v>
      </c>
      <c r="H95" s="5">
        <v>0</v>
      </c>
      <c r="I95" s="4" t="str">
        <v/>
      </c>
      <c r="J95" s="4">
        <v>4734</v>
      </c>
    </row>
    <row r="96" ht="50" customHeight="1">
      <c r="B96" s="4" t="str">
        <v>IITA</v>
      </c>
      <c r="D96" s="4" t="str">
        <v>25-CASSAVA-Gates W2------.IITA-Cassava----------.High-Level Deliverable of Breakthrough Products: Cassava breeding network coordinated through annual planning and regional advancement meetings across participating breeding programs and partners----------.Breakthrough Product OUTPUTS: • Annual workplans co-designed • Regional advancement meetings conducted • Advancement decisions documented across breeding pipelines----------.BREEDING PIPELINE:   BP00117, BP00118, BP00258, BP00256, BP00259, BP00254, BP00260----------.MARKET SEGMENT: Processing and Fresh pipelines across WCA, CA, EA and SA----------. 2026 DELIVERABLE: 2026 regional advancement meeting conducted and coordinated network workplan agreed----------.INDICATOR: Number of partners and stakeholders participating in regional advancement meetings----------.</v>
      </c>
      <c r="E96" s="4" t="str">
        <v>custom</v>
      </c>
      <c r="F96" s="4" t="str">
        <v>Kenya</v>
      </c>
      <c r="G96" s="5">
        <v>0</v>
      </c>
      <c r="H96" s="5">
        <v>0</v>
      </c>
      <c r="I96" s="4" t="str">
        <v/>
      </c>
      <c r="J96" s="4">
        <v>8382</v>
      </c>
    </row>
    <row r="97" ht="50" customHeight="1" xml:space="preserve">
      <c r="A97" s="4" t="str">
        <v>AOW05: Enable</v>
      </c>
      <c r="B97" s="4" t="str">
        <v>IITA</v>
      </c>
      <c r="C97" s="4" t="str">
        <v>HLO18.AOW5.IO2 Partnered networks</v>
      </c>
      <c r="D97" s="4" t="str" xml:space="preserve">
        <v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v>
      </c>
      <c r="E97" s="4" t="str">
        <v>Number of people trained (capacity sharing for development)</v>
      </c>
      <c r="F97" s="4" t="str">
        <v>Benin, Zambia, Côte d'Ivoire, Ghana, Tanzania, United Republic, The Democratic Republic of the Congo, Uganda, Nigeria</v>
      </c>
      <c r="G97" s="5">
        <v>20</v>
      </c>
      <c r="H97" s="5">
        <v>150000</v>
      </c>
      <c r="I97" s="4" t="str">
        <v>.</v>
      </c>
      <c r="J97" s="4">
        <v>4738</v>
      </c>
    </row>
    <row r="98" ht="50" customHeight="1" xml:space="preserve">
      <c r="B98" s="4" t="str">
        <v>IITA</v>
      </c>
      <c r="D98" s="4" t="str" xml:space="preserve">
        <v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v>
      </c>
      <c r="E98" s="4" t="str">
        <v>Number of people trained (capacity sharing for development)</v>
      </c>
      <c r="F98" s="4" t="str">
        <v>Nigeria, Benin, Zambia, The Democratic Republic of the Congo, Côte d'Ivoire, Mozambique, Uganda, Ghana, Malawi, Tanzania, United Republic, Kenya</v>
      </c>
      <c r="G98" s="5">
        <v>20</v>
      </c>
      <c r="H98" s="5">
        <v>150000</v>
      </c>
      <c r="I98" s="4" t="str">
        <v>.</v>
      </c>
      <c r="J98" s="4">
        <v>4743</v>
      </c>
    </row>
    <row r="99" ht="50" customHeight="1" xml:space="preserve">
      <c r="B99" s="4" t="str">
        <v>IITA</v>
      </c>
      <c r="D99" s="4" t="str" xml:space="preserve">
        <v xml:space="preserve">"21-GATES W2 CASSAVA.--------------- IITA-Cassava.---------------BREEDING PIPELINE: BP00117, BP00118, BP00258, BP00256, BP00259, BP00254, BP00260.---------------MARKET SEGMENT: Processing and Fresh pipelines across WCA, CA, EA and SA.---------------BREAKTHROUGH PRODUCT OUTPUT: • Annual workplans co-designed • Regional advancement meetings conducted • Advancement decisions documented across breeding pipelines.---------------2026 DELIVERABLE: 2 regional PAMs conducted (WCA and ESA) with advancement decisions documented.
Annual progress toward the funded Target Product Profile is assessed through the Breakthrough Product Pipeline Performance Report (Appendix 1, Sections C and D), in accordance with B4T Data Management Standards (Appendix 1)..---------------INDICATOR: Number of partners and stakeholders participating in regional advancement meetings"</v>
      </c>
      <c r="E99" s="4" t="str">
        <v>Number of people trained (capacity sharing for development)</v>
      </c>
      <c r="F99" s="4" t="str">
        <v>Kenya</v>
      </c>
      <c r="G99" s="5">
        <v>0</v>
      </c>
      <c r="H99" s="5">
        <v>61032</v>
      </c>
      <c r="I99" s="4" t="str">
        <v>.</v>
      </c>
      <c r="J99" s="4">
        <v>8470</v>
      </c>
    </row>
    <row r="100" ht="50" customHeight="1">
      <c r="B100" s="4" t="str">
        <v>IITA</v>
      </c>
      <c r="D100" s="4" t="str">
        <v>37-GATES W2 YAM--------------. .---------------IITA-YAM.---------------BREEDING PIPELINE: BP00096, BP00095,  and BP00195.---------------MARKET SEGMENT: MS00013/TPP00251; MS00012/ TPP00249; MS00014/ TPP00250.---------------2026 DELIVERABLE:  .---------------INDICATOR:   Number of national / regional advancement meetings conducted with NARES partners</v>
      </c>
      <c r="E100" s="4" t="str">
        <v>custom</v>
      </c>
      <c r="F100" s="4" t="str">
        <v>Ghana, Benin, Côte d'Ivoire, Nigeria</v>
      </c>
      <c r="G100" s="5">
        <v>1</v>
      </c>
      <c r="H100" s="5">
        <v>25933</v>
      </c>
      <c r="I100" s="4" t="str">
        <v>.</v>
      </c>
      <c r="J100" s="4">
        <v>8641</v>
      </c>
    </row>
    <row r="101" ht="50" customHeight="1" xml:space="preserve">
      <c r="B101" s="4" t="str">
        <v>IITA</v>
      </c>
      <c r="D101" s="4" t="str" xml:space="preserve">
        <v xml:space="preserve">38-GATES W2 YAM--------------. .---------------IITA with CIP contributing.---------------BREEDING PIPELINE: BP00096, BP00095,  and BP00195.---------------MARKET SEGMENT: MS00013/TPP00251; MS00012/ TPP00249; MS00014/ TPP00250.---------------2026 DELIVERABLE: RT(Cassava and yam) coordination, Governance, and Performance system.---------------INDICATOR:   Number of knowledge products developed (disaggregated by type; report)
</v>
      </c>
      <c r="E101" s="4" t="str">
        <v>Number of knowledge products</v>
      </c>
      <c r="F101" s="4" t="str">
        <v>Nigeria</v>
      </c>
      <c r="G101" s="5">
        <v>1</v>
      </c>
      <c r="H101" s="5">
        <v>30424</v>
      </c>
      <c r="I101" s="4" t="str">
        <v>.</v>
      </c>
      <c r="J101" s="4">
        <v>8642</v>
      </c>
    </row>
    <row r="102" ht="50" customHeight="1" xml:space="preserve">
      <c r="B102" s="4" t="str">
        <v>IITA</v>
      </c>
      <c r="D102" s="4" t="str" xml:space="preserve">
        <v xml:space="preserve">38-GATES W2 CASSAVA --------------. .---------------------IITA with CIP contributing.---------------BREEDING PIPELINE: BP00117, BP00118, BP00258, BP00256, BP00259, BP00254, BP00261.---------------MARKET SEGMENT: Processing and Fresh pipelines across WCA, CA, EA and SA.---------------BREAKTHROUGH PRODUCT OUTPUT:  RTB Coordination, Governance, and Performance system operational.---------------2026 DELIVERABLE: RTB Coordination, Governance, and Performance system operational.-------------DELIVERABLE:  RACI framework developed, approved, and operationalized for RTB activities.
2026 RTB funding released in compliance with Gates Foundation requirements.
- Progress of PORBs against B4T Areas of Work (AoWs), High-Level Outcomes (HLOs), and KPIs communicated effectively
- End of Year 2026 progress report submitted
- RTB 2027 PORBs integrated into the B4T 2027 workplans by September 30,, 2026
- Expected progress monitoring requirements addressed</v>
      </c>
      <c r="E102" s="4" t="str">
        <v>Number of knowledge products</v>
      </c>
      <c r="F102" s="4" t="str">
        <v>Nigeria</v>
      </c>
      <c r="G102" s="5">
        <v>1</v>
      </c>
      <c r="H102" s="5">
        <v>34690</v>
      </c>
      <c r="I102" s="4" t="str">
        <v>.</v>
      </c>
      <c r="J102" s="4">
        <v>8643</v>
      </c>
    </row>
    <row r="103" ht="25" customHeight="1">
      <c r="C103" s="9" t="str">
        <v>HLO budget subtotal</v>
      </c>
      <c r="H103" s="9">
        <v>452079</v>
      </c>
      <c r="J103" s="9" t="str">
        <v/>
      </c>
    </row>
  </sheetData>
  <mergeCells count="27">
    <mergeCell ref="A1:A2"/>
    <mergeCell ref="B1:B2"/>
    <mergeCell ref="C1:C2"/>
    <mergeCell ref="D1:H1"/>
    <mergeCell ref="I1:I2"/>
    <mergeCell ref="J1:J2"/>
    <mergeCell ref="C4:C5"/>
    <mergeCell ref="C6:C7"/>
    <mergeCell ref="C8:G8"/>
    <mergeCell ref="A3:A8"/>
    <mergeCell ref="C9:C21"/>
    <mergeCell ref="C22:C34"/>
    <mergeCell ref="C35:C58"/>
    <mergeCell ref="C60:G60"/>
    <mergeCell ref="A9:A60"/>
    <mergeCell ref="C61:C69"/>
    <mergeCell ref="C70:C77"/>
    <mergeCell ref="C78:C82"/>
    <mergeCell ref="C83:G83"/>
    <mergeCell ref="A61:A83"/>
    <mergeCell ref="C84:C91"/>
    <mergeCell ref="C93:G93"/>
    <mergeCell ref="A84:A93"/>
    <mergeCell ref="C94:C96"/>
    <mergeCell ref="C97:C102"/>
    <mergeCell ref="C103:G103"/>
    <mergeCell ref="A94:A103"/>
  </mergeCells>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G1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Department of Agricultural Research Services</v>
      </c>
      <c r="C2" s="4" t="str">
        <v>IITA</v>
      </c>
      <c r="D2" s="4" t="str">
        <v>Zimbabwe</v>
      </c>
      <c r="E2" s="5">
        <v>6000</v>
      </c>
      <c r="F2" s="4" t="str">
        <v>.</v>
      </c>
      <c r="G2" s="4">
        <v>321</v>
      </c>
    </row>
    <row r="3" ht="50" customHeight="1">
      <c r="A3" s="4" t="str">
        <v>AOW02: Accelerated Breeding</v>
      </c>
      <c r="B3" s="4" t="str">
        <v>Zambia Agriculture Research Institute</v>
      </c>
      <c r="C3" s="4" t="str">
        <v>IITA</v>
      </c>
      <c r="D3" s="4" t="str">
        <v>Zambia</v>
      </c>
      <c r="E3" s="5">
        <v>6000</v>
      </c>
      <c r="F3" s="4" t="str">
        <v>,</v>
      </c>
      <c r="G3" s="4">
        <v>322</v>
      </c>
    </row>
    <row r="4" ht="50" customHeight="1">
      <c r="A4" s="4" t="str">
        <v>AOW02: Accelerated Breeding</v>
      </c>
      <c r="B4" s="4" t="str">
        <v>Makerere University</v>
      </c>
      <c r="C4" s="4" t="str">
        <v>IITA</v>
      </c>
      <c r="D4" s="4" t="str">
        <v>Uganda</v>
      </c>
      <c r="E4" s="5">
        <v>6000</v>
      </c>
      <c r="F4" s="4" t="str">
        <v>.</v>
      </c>
      <c r="G4" s="4">
        <v>323</v>
      </c>
    </row>
    <row r="5" ht="50" customHeight="1">
      <c r="A5" s="4" t="str">
        <v>AOW02: Accelerated Breeding</v>
      </c>
      <c r="B5" s="4" t="str">
        <v>Ethiopian Institute of Agricultural Research</v>
      </c>
      <c r="C5" s="4" t="str">
        <v>IITA</v>
      </c>
      <c r="D5" s="4" t="str">
        <v>Ethiopia</v>
      </c>
      <c r="E5" s="5">
        <v>8600</v>
      </c>
      <c r="F5" s="4" t="str">
        <v>.</v>
      </c>
      <c r="G5" s="4">
        <v>330</v>
      </c>
    </row>
    <row r="6" ht="25" customHeight="1">
      <c r="B6" s="9" t="str">
        <v>Contracted partners subtotal</v>
      </c>
      <c r="E6" s="9">
        <v>26600</v>
      </c>
      <c r="F6" s="9" t="str">
        <v/>
      </c>
      <c r="G6" s="9" t="str">
        <v/>
      </c>
    </row>
    <row r="7" ht="50" customHeight="1">
      <c r="A7" s="8" t="str">
        <v>AOW03: Inclusive Delivery</v>
      </c>
      <c r="B7" s="4" t="str">
        <v>Instituto de Investigacao Agraria de Mozambique</v>
      </c>
      <c r="C7" s="4" t="str">
        <v>IITA</v>
      </c>
      <c r="D7" s="4" t="str">
        <v>Mozambique</v>
      </c>
      <c r="E7" s="5">
        <v>6000</v>
      </c>
      <c r="F7" s="4" t="str">
        <v>.</v>
      </c>
      <c r="G7" s="4">
        <v>437</v>
      </c>
    </row>
    <row r="8" ht="50" customHeight="1">
      <c r="A8" s="4" t="str">
        <v>AOW03: Inclusive Delivery</v>
      </c>
      <c r="B8" s="4" t="str">
        <v>Kenya Agricultural and Livestock Research Organization</v>
      </c>
      <c r="C8" s="4" t="str">
        <v>IITA</v>
      </c>
      <c r="D8" s="4" t="str">
        <v>Kenya</v>
      </c>
      <c r="E8" s="5">
        <v>2000</v>
      </c>
      <c r="F8" s="4" t="str">
        <v>.</v>
      </c>
      <c r="G8" s="4">
        <v>438</v>
      </c>
    </row>
    <row r="9" ht="50" customHeight="1">
      <c r="A9" s="4" t="str">
        <v>AOW03: Inclusive Delivery</v>
      </c>
      <c r="B9" s="4" t="str">
        <v>Tanzania Agricultural Research Institute</v>
      </c>
      <c r="C9" s="4" t="str">
        <v>IITA</v>
      </c>
      <c r="D9" s="4" t="str">
        <v>Tanzania, United Republic</v>
      </c>
      <c r="E9" s="5">
        <v>26000</v>
      </c>
      <c r="F9" s="4" t="str">
        <v>.</v>
      </c>
      <c r="G9" s="4">
        <v>439</v>
      </c>
    </row>
    <row r="10" ht="50" customHeight="1">
      <c r="A10" s="4" t="str">
        <v>AOW03: Inclusive Delivery</v>
      </c>
      <c r="B10" s="4" t="str">
        <v>National Horticultural Research Institute</v>
      </c>
      <c r="C10" s="4" t="str">
        <v>IITA</v>
      </c>
      <c r="D10" s="4" t="str">
        <v>Nigeria</v>
      </c>
      <c r="E10" s="5">
        <v>4000</v>
      </c>
      <c r="F10" s="4" t="str">
        <v>.</v>
      </c>
      <c r="G10" s="4">
        <v>440</v>
      </c>
    </row>
    <row r="11" ht="50" customHeight="1">
      <c r="A11" s="4" t="str">
        <v>AOW03: Inclusive Delivery</v>
      </c>
      <c r="B11" s="4" t="str">
        <v>National Root Crops Research Institute</v>
      </c>
      <c r="C11" s="4" t="str">
        <v>IITA</v>
      </c>
      <c r="D11" s="4" t="str">
        <v>Nigeria</v>
      </c>
      <c r="E11" s="5">
        <v>25000</v>
      </c>
      <c r="F11" s="4" t="str">
        <v>.</v>
      </c>
      <c r="G11" s="4">
        <v>441</v>
      </c>
    </row>
    <row r="12" ht="50" customHeight="1">
      <c r="A12" s="4" t="str">
        <v>AOW03: Inclusive Delivery</v>
      </c>
      <c r="B12" s="4" t="str">
        <v>Crops Research Institute, Ghana</v>
      </c>
      <c r="C12" s="4" t="str">
        <v>IITA</v>
      </c>
      <c r="D12" s="4" t="str">
        <v>Ghana</v>
      </c>
      <c r="E12" s="5">
        <v>6000</v>
      </c>
      <c r="F12" s="4" t="str">
        <v>.</v>
      </c>
      <c r="G12" s="4">
        <v>442</v>
      </c>
    </row>
    <row r="13" ht="50" customHeight="1">
      <c r="A13" s="4" t="str">
        <v>AOW03: Inclusive Delivery</v>
      </c>
      <c r="B13" s="4" t="str">
        <v>Tanzania Official Seed Certification Institute</v>
      </c>
      <c r="C13" s="4" t="str">
        <v>IITA</v>
      </c>
      <c r="D13" s="4" t="str">
        <v>Tanzania, United Republic</v>
      </c>
      <c r="E13" s="5">
        <v>3000</v>
      </c>
      <c r="F13" s="4" t="str">
        <v>.</v>
      </c>
      <c r="G13" s="4">
        <v>443</v>
      </c>
    </row>
    <row r="14" ht="50" customHeight="1">
      <c r="A14" s="4" t="str">
        <v>AOW03: Inclusive Delivery</v>
      </c>
      <c r="B14" s="4" t="str">
        <v>National Agricultural Seeds Council</v>
      </c>
      <c r="C14" s="4" t="str">
        <v>IITA</v>
      </c>
      <c r="D14" s="4" t="str">
        <v>Nigeria</v>
      </c>
      <c r="E14" s="5">
        <v>4000</v>
      </c>
      <c r="F14" s="4" t="str">
        <v>.</v>
      </c>
      <c r="G14" s="4">
        <v>444</v>
      </c>
    </row>
    <row r="15" ht="50" customHeight="1">
      <c r="A15" s="4" t="str">
        <v>AOW03: Inclusive Delivery</v>
      </c>
      <c r="B15" s="4" t="str">
        <v>Institute of Agricultural Research (Nigeria)</v>
      </c>
      <c r="C15" s="4" t="str">
        <v>IITA</v>
      </c>
      <c r="D15" s="4" t="str">
        <v>Nigeria</v>
      </c>
      <c r="E15" s="5">
        <v>12000</v>
      </c>
      <c r="F15" s="4" t="str">
        <v>.</v>
      </c>
      <c r="G15" s="4">
        <v>445</v>
      </c>
    </row>
    <row r="16" ht="50" customHeight="1">
      <c r="A16" s="4" t="str">
        <v>AOW03: Inclusive Delivery</v>
      </c>
      <c r="B16" s="4" t="str">
        <v>National Agricultural Research Organisation (Uganda)</v>
      </c>
      <c r="C16" s="4" t="str">
        <v>IITA</v>
      </c>
      <c r="D16" s="4" t="str">
        <v>Uganda</v>
      </c>
      <c r="E16" s="5">
        <v>7000</v>
      </c>
      <c r="F16" s="4" t="str">
        <v>.</v>
      </c>
      <c r="G16" s="4">
        <v>446</v>
      </c>
    </row>
    <row r="17" ht="25" customHeight="1">
      <c r="B17" s="9" t="str">
        <v>Contracted partners subtotal</v>
      </c>
      <c r="E17" s="9">
        <v>95000</v>
      </c>
      <c r="F17" s="9" t="str">
        <v/>
      </c>
      <c r="G17" s="9" t="str">
        <v/>
      </c>
    </row>
  </sheetData>
  <mergeCells count="4">
    <mergeCell ref="B6:D6"/>
    <mergeCell ref="A2:A6"/>
    <mergeCell ref="B17:D17"/>
    <mergeCell ref="A7:A17"/>
  </mergeCells>
  <ignoredErrors>
    <ignoredError numberStoredAsText="1" sqref="A1:G17"/>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PJ-003953: APPUI A LA TRANSFORMATION ET A LA RESILIENCE DES SYSTEMES ALIMENTAIRES DE MADAGASCAR A TRAVERS LA RECHERCHE POUR LE DEVELOPPEMENT</v>
      </c>
      <c r="C2" s="4" t="str">
        <v>I-OC 3.5. Women, men, youth, and marginalized social groups accessing quality seed of improved varieties</v>
      </c>
      <c r="D2" s="5">
        <v>0</v>
      </c>
      <c r="E2" s="4" t="str">
        <v/>
      </c>
      <c r="F2" s="4">
        <v>882</v>
      </c>
    </row>
    <row r="3" ht="60" customHeight="1">
      <c r="A3" s="4" t="str">
        <v>IITA</v>
      </c>
      <c r="B3" s="4" t="str">
        <v>PJ-003978: Cassava Source Sink (CASS) Phase III</v>
      </c>
      <c r="C3" s="4" t="str">
        <v>I-OC 1.2. Breeding network actors adopt transformative partnership approaches driving equity and sustainability for analyzing markets and opportunities, product development, product delivery and scaling</v>
      </c>
      <c r="D3" s="5">
        <v>0</v>
      </c>
      <c r="E3" s="4" t="str">
        <v/>
      </c>
      <c r="F3" s="4">
        <v>930</v>
      </c>
    </row>
    <row r="4" ht="60" customHeight="1" xml:space="preserve">
      <c r="A4" s="4" t="str">
        <v>IITA</v>
      </c>
      <c r="B4" s="4" t="str">
        <v>Redesigning banana breeding</v>
      </c>
      <c r="C4"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4" s="5">
        <v>0</v>
      </c>
      <c r="E4" s="4" t="str">
        <v/>
      </c>
      <c r="F4" s="4">
        <v>920</v>
      </c>
    </row>
    <row r="5" ht="60" customHeight="1">
      <c r="A5" s="4" t="str">
        <v>IITA</v>
      </c>
      <c r="B5" s="4" t="str">
        <v>T-PJ-003651-Program for Seed System Innovation for VPCs in Africa (PROSSIVA)</v>
      </c>
      <c r="C5" s="4" t="str">
        <v>I-OC 3.5. Women, men, youth, and marginalized social groups accessing quality seed of improved varieties</v>
      </c>
      <c r="D5" s="5">
        <v>0</v>
      </c>
      <c r="E5" s="4" t="str">
        <v/>
      </c>
      <c r="F5" s="4">
        <v>877</v>
      </c>
    </row>
    <row r="6" ht="60" customHeight="1">
      <c r="A6" s="4" t="str">
        <v>IITA</v>
      </c>
      <c r="B6" s="4" t="str">
        <v>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v>
      </c>
      <c r="C6" s="4" t="str">
        <v>I-OC 1.2. Breeding network actors adopt transformative partnership approaches driving equity and sustainability for analyzing markets and opportunities, product development, product delivery and scaling</v>
      </c>
      <c r="D6" s="5">
        <v>0</v>
      </c>
      <c r="E6" s="4" t="str">
        <v/>
      </c>
      <c r="F6" s="4">
        <v>943</v>
      </c>
    </row>
    <row r="7" ht="60" customHeight="1">
      <c r="A7" s="4" t="str">
        <v>IITA</v>
      </c>
      <c r="B7" s="4" t="str">
        <v>T-PJ-003778-SGP-RTB - Roots Tubers and Bananas Breeding: a consolidated investment</v>
      </c>
      <c r="C7" s="4" t="str">
        <v>I-OC 1.3. Breeding network actors orient product development toward delivery of the greatest benefits across the 5 Impact Areas</v>
      </c>
      <c r="D7" s="5">
        <v>0</v>
      </c>
      <c r="E7" s="4" t="str">
        <v/>
      </c>
      <c r="F7" s="4">
        <v>899</v>
      </c>
    </row>
    <row r="8" ht="60" customHeight="1">
      <c r="A8" s="4" t="str">
        <v>IITA</v>
      </c>
      <c r="B8" s="4" t="str">
        <v>T-PJ-003911-CGIAR Genetic Innovations Public-Private Partnership Platform</v>
      </c>
      <c r="C8" s="4" t="str">
        <v>I-OC 1.3. Breeding network actors orient product development toward delivery of the greatest benefits across the 5 Impact Areas</v>
      </c>
      <c r="D8" s="5">
        <v>0</v>
      </c>
      <c r="E8" s="4" t="str">
        <v/>
      </c>
      <c r="F8" s="4">
        <v>898</v>
      </c>
    </row>
    <row r="9" ht="60" customHeight="1">
      <c r="A9" s="4" t="str">
        <v>IITA</v>
      </c>
      <c r="B9" s="4" t="str">
        <v>T-PJ-003917-Strengthening soybean crop improvement in Africa to accelerate development of a stream of climate-smart varieties for small-scale producers, enabling their income growth, improved nutrition and national economic growth.</v>
      </c>
      <c r="C9" s="4" t="str">
        <v>I-OC 1.2. Breeding network actors adopt transformative partnership approaches driving equity and sustainability for analyzing markets and opportunities, product development, product delivery and scaling</v>
      </c>
      <c r="D9" s="5">
        <v>0</v>
      </c>
      <c r="E9" s="4" t="str">
        <v/>
      </c>
      <c r="F9" s="4">
        <v>928</v>
      </c>
    </row>
    <row r="10" ht="60" customHeight="1">
      <c r="A10" s="4" t="str">
        <v>IITA</v>
      </c>
      <c r="B10" s="4" t="str">
        <v>T-PJ-003994-BMGF/IITA - YAM OPTIMIZED ARCHITECTURE THROUGH G</v>
      </c>
      <c r="C10" s="4" t="str">
        <v>I-OC 1.4. Breeding network actors accelerate the development of impactful products that provide large-scale benefits across the 5 Impact Areas</v>
      </c>
      <c r="D10" s="5">
        <v>0</v>
      </c>
      <c r="E10" s="4" t="str">
        <v/>
      </c>
      <c r="F10" s="4">
        <v>911</v>
      </c>
    </row>
    <row r="11" ht="25" customHeight="1">
      <c r="B11" s="9" t="str">
        <v>W3/Bilateral budget subtotal</v>
      </c>
      <c r="D11" s="9">
        <v>0</v>
      </c>
      <c r="E11" s="9" t="str">
        <v/>
      </c>
      <c r="F11" s="9" t="str">
        <v/>
      </c>
    </row>
  </sheetData>
  <mergeCells count="2">
    <mergeCell ref="B11:C11"/>
    <mergeCell ref="A2: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IITA</v>
      </c>
      <c r="C2" s="4" t="str">
        <v>Area of Work Leads</v>
      </c>
      <c r="D2" s="5">
        <v>94628</v>
      </c>
      <c r="E2" s="4" t="str" xml:space="preserve">
        <v xml:space="preserve">aow lead costs:
1) 94,628USD for VISH REDDY for 8 months (April-Dec) 2026
total = 94,628USD</v>
      </c>
      <c r="F2" s="4">
        <v>41</v>
      </c>
      <c r="G2" s="4">
        <v>3</v>
      </c>
    </row>
    <row r="3" ht="45" customHeight="1">
      <c r="A3" s="4" t="str">
        <v>AOW00: Cross Cutting</v>
      </c>
      <c r="B3" s="4" t="str">
        <v>IITA</v>
      </c>
      <c r="C3" s="4" t="str">
        <v>Operations</v>
      </c>
      <c r="D3" s="5">
        <v>0</v>
      </c>
      <c r="E3" s="4" t="str">
        <v/>
      </c>
      <c r="F3" s="4">
        <v>54</v>
      </c>
      <c r="G3" s="4">
        <v>4</v>
      </c>
    </row>
    <row r="4" ht="25" customHeight="1">
      <c r="C4" s="9" t="str">
        <v>Cross-cutting budget subtotal</v>
      </c>
      <c r="D4" s="9">
        <v>94628</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94628</v>
      </c>
      <c r="C2" s="5">
        <v>0</v>
      </c>
      <c r="D2" s="5">
        <v>1322870</v>
      </c>
      <c r="E2" s="5">
        <v>617976</v>
      </c>
      <c r="F2" s="5">
        <v>60000</v>
      </c>
      <c r="G2" s="5">
        <v>197069</v>
      </c>
      <c r="H2" s="5">
        <f>=SUM(B2:G2)</f>
        <v>0</v>
      </c>
    </row>
    <row r="3" ht="20" customHeight="1">
      <c r="A3" s="4" t="str">
        <v>Operations (supplies, consultants, travels, workshops, other)</v>
      </c>
      <c r="B3" s="5">
        <v>0</v>
      </c>
      <c r="C3" s="5">
        <v>120056</v>
      </c>
      <c r="D3" s="5">
        <v>2089884</v>
      </c>
      <c r="E3" s="5">
        <v>652926</v>
      </c>
      <c r="F3" s="5">
        <v>258457</v>
      </c>
      <c r="G3" s="5">
        <v>255010</v>
      </c>
      <c r="H3" s="5">
        <f>=SUM(B3:G3)</f>
        <v>0</v>
      </c>
    </row>
    <row r="4" ht="20" customHeight="1">
      <c r="A4" s="4" t="str">
        <v>Collaborators non-CGIAR centers</v>
      </c>
      <c r="B4" s="5">
        <v>0</v>
      </c>
      <c r="C4" s="5">
        <v>0</v>
      </c>
      <c r="D4" s="5">
        <v>26600</v>
      </c>
      <c r="E4" s="5">
        <v>95000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Nigeria</v>
      </c>
      <c r="D2" s="5">
        <v>100</v>
      </c>
      <c r="E2" s="4">
        <v>3381</v>
      </c>
    </row>
    <row r="3" ht="45" customHeight="1">
      <c r="A3" s="8" t="str">
        <v>AOW01: Market Intelligence</v>
      </c>
      <c r="B3" s="4" t="str">
        <v>IITA</v>
      </c>
      <c r="C3" s="4" t="str">
        <v>Kenya</v>
      </c>
      <c r="D3" s="5">
        <v>100</v>
      </c>
      <c r="E3" s="4">
        <v>2737</v>
      </c>
    </row>
    <row r="4" ht="45" customHeight="1">
      <c r="A4" s="8" t="str">
        <v>AOW02: Accelerated Breeding</v>
      </c>
      <c r="B4" s="4" t="str">
        <v>IITA</v>
      </c>
      <c r="C4" s="4" t="str">
        <v>Benin</v>
      </c>
      <c r="D4" s="5">
        <v>2</v>
      </c>
      <c r="E4" s="4">
        <v>2557</v>
      </c>
    </row>
    <row r="5" ht="45" customHeight="1">
      <c r="A5" s="4" t="str">
        <v>AOW02: Accelerated Breeding</v>
      </c>
      <c r="B5" s="4" t="str">
        <v>IITA</v>
      </c>
      <c r="C5" s="4" t="str">
        <v>Burkina Faso</v>
      </c>
      <c r="D5" s="5">
        <v>2</v>
      </c>
      <c r="E5" s="4">
        <v>2558</v>
      </c>
    </row>
    <row r="6" ht="45" customHeight="1">
      <c r="A6" s="4" t="str">
        <v>AOW02: Accelerated Breeding</v>
      </c>
      <c r="B6" s="4" t="str">
        <v>IITA</v>
      </c>
      <c r="C6" s="4" t="str">
        <v>Cameroon</v>
      </c>
      <c r="D6" s="5">
        <v>3</v>
      </c>
      <c r="E6" s="4">
        <v>2559</v>
      </c>
    </row>
    <row r="7" ht="45" customHeight="1">
      <c r="A7" s="4" t="str">
        <v>AOW02: Accelerated Breeding</v>
      </c>
      <c r="B7" s="4" t="str">
        <v>IITA</v>
      </c>
      <c r="C7" s="4" t="str">
        <v>Côte d'Ivoire</v>
      </c>
      <c r="D7" s="5">
        <v>2</v>
      </c>
      <c r="E7" s="4">
        <v>2560</v>
      </c>
    </row>
    <row r="8" ht="45" customHeight="1">
      <c r="A8" s="4" t="str">
        <v>AOW02: Accelerated Breeding</v>
      </c>
      <c r="B8" s="4" t="str">
        <v>IITA</v>
      </c>
      <c r="C8" s="4" t="str">
        <v>Ethiopia</v>
      </c>
      <c r="D8" s="5">
        <v>2</v>
      </c>
      <c r="E8" s="4">
        <v>2561</v>
      </c>
    </row>
    <row r="9" ht="45" customHeight="1">
      <c r="A9" s="4" t="str">
        <v>AOW02: Accelerated Breeding</v>
      </c>
      <c r="B9" s="4" t="str">
        <v>IITA</v>
      </c>
      <c r="C9" s="4" t="str">
        <v>Ghana</v>
      </c>
      <c r="D9" s="5">
        <v>5</v>
      </c>
      <c r="E9" s="4">
        <v>2980</v>
      </c>
    </row>
    <row r="10" ht="45" customHeight="1">
      <c r="A10" s="4" t="str">
        <v>AOW02: Accelerated Breeding</v>
      </c>
      <c r="B10" s="4" t="str">
        <v>IITA</v>
      </c>
      <c r="C10" s="4" t="str">
        <v>Malawi</v>
      </c>
      <c r="D10" s="5">
        <v>5</v>
      </c>
      <c r="E10" s="4">
        <v>2981</v>
      </c>
    </row>
    <row r="11" ht="45" customHeight="1">
      <c r="A11" s="4" t="str">
        <v>AOW02: Accelerated Breeding</v>
      </c>
      <c r="B11" s="4" t="str">
        <v>IITA</v>
      </c>
      <c r="C11" s="4" t="str">
        <v>Mali</v>
      </c>
      <c r="D11" s="5">
        <v>5</v>
      </c>
      <c r="E11" s="4">
        <v>2982</v>
      </c>
    </row>
    <row r="12" ht="45" customHeight="1">
      <c r="A12" s="4" t="str">
        <v>AOW02: Accelerated Breeding</v>
      </c>
      <c r="B12" s="4" t="str">
        <v>IITA</v>
      </c>
      <c r="C12" s="4" t="str">
        <v>Niger</v>
      </c>
      <c r="D12" s="5">
        <v>5</v>
      </c>
      <c r="E12" s="4">
        <v>2983</v>
      </c>
    </row>
    <row r="13" ht="45" customHeight="1">
      <c r="A13" s="4" t="str">
        <v>AOW02: Accelerated Breeding</v>
      </c>
      <c r="B13" s="4" t="str">
        <v>IITA</v>
      </c>
      <c r="C13" s="4" t="str">
        <v>Nigeria</v>
      </c>
      <c r="D13" s="5">
        <v>30</v>
      </c>
      <c r="E13" s="4">
        <v>2984</v>
      </c>
    </row>
    <row r="14" ht="45" customHeight="1">
      <c r="A14" s="4" t="str">
        <v>AOW02: Accelerated Breeding</v>
      </c>
      <c r="B14" s="4" t="str">
        <v>IITA</v>
      </c>
      <c r="C14" s="4" t="str">
        <v>Senegal</v>
      </c>
      <c r="D14" s="5">
        <v>4</v>
      </c>
      <c r="E14" s="4">
        <v>2985</v>
      </c>
    </row>
    <row r="15" ht="45" customHeight="1">
      <c r="A15" s="4" t="str">
        <v>AOW02: Accelerated Breeding</v>
      </c>
      <c r="B15" s="4" t="str">
        <v>IITA</v>
      </c>
      <c r="C15" s="4" t="str">
        <v>Sierra Leone</v>
      </c>
      <c r="D15" s="5">
        <v>5</v>
      </c>
      <c r="E15" s="4">
        <v>2986</v>
      </c>
    </row>
    <row r="16" ht="45" customHeight="1">
      <c r="A16" s="4" t="str">
        <v>AOW02: Accelerated Breeding</v>
      </c>
      <c r="B16" s="4" t="str">
        <v>IITA</v>
      </c>
      <c r="C16" s="4" t="str">
        <v>Tanzania</v>
      </c>
      <c r="D16" s="5">
        <v>10</v>
      </c>
      <c r="E16" s="4">
        <v>2987</v>
      </c>
    </row>
    <row r="17" ht="45" customHeight="1">
      <c r="A17" s="4" t="str">
        <v>AOW02: Accelerated Breeding</v>
      </c>
      <c r="B17" s="4" t="str">
        <v>IITA</v>
      </c>
      <c r="C17" s="4" t="str">
        <v>Uganda</v>
      </c>
      <c r="D17" s="5">
        <v>10</v>
      </c>
      <c r="E17" s="4">
        <v>2988</v>
      </c>
    </row>
    <row r="18" ht="45" customHeight="1">
      <c r="A18" s="4" t="str">
        <v>AOW02: Accelerated Breeding</v>
      </c>
      <c r="B18" s="4" t="str">
        <v>IITA</v>
      </c>
      <c r="C18" s="4" t="str">
        <v>United Republic</v>
      </c>
      <c r="D18" s="5">
        <v>2</v>
      </c>
      <c r="E18" s="4">
        <v>2562</v>
      </c>
    </row>
    <row r="19" ht="45" customHeight="1">
      <c r="A19" s="4" t="str">
        <v>AOW02: Accelerated Breeding</v>
      </c>
      <c r="B19" s="4" t="str">
        <v>IITA</v>
      </c>
      <c r="C19" s="4" t="str">
        <v>Zambia</v>
      </c>
      <c r="D19" s="5">
        <v>8</v>
      </c>
      <c r="E19" s="4">
        <v>2563</v>
      </c>
    </row>
    <row r="20" ht="45" customHeight="1">
      <c r="A20" s="8" t="str">
        <v>AOW03: Inclusive Delivery</v>
      </c>
      <c r="B20" s="4" t="str">
        <v>IITA</v>
      </c>
      <c r="C20" s="4" t="str">
        <v>Ghana</v>
      </c>
      <c r="D20" s="5">
        <v>6.3</v>
      </c>
      <c r="E20" s="4">
        <v>2635</v>
      </c>
    </row>
    <row r="21" ht="45" customHeight="1">
      <c r="A21" s="4" t="str">
        <v>AOW03: Inclusive Delivery</v>
      </c>
      <c r="B21" s="4" t="str">
        <v>IITA</v>
      </c>
      <c r="C21" s="4" t="str">
        <v>Kenya</v>
      </c>
      <c r="D21" s="5">
        <v>2.1</v>
      </c>
      <c r="E21" s="4">
        <v>2636</v>
      </c>
    </row>
    <row r="22" ht="45" customHeight="1">
      <c r="A22" s="4" t="str">
        <v>AOW03: Inclusive Delivery</v>
      </c>
      <c r="B22" s="4" t="str">
        <v>IITA</v>
      </c>
      <c r="C22" s="4" t="str">
        <v>Mozambique</v>
      </c>
      <c r="D22" s="5">
        <v>6.3</v>
      </c>
      <c r="E22" s="4">
        <v>2637</v>
      </c>
    </row>
    <row r="23" ht="45" customHeight="1">
      <c r="A23" s="4" t="str">
        <v>AOW03: Inclusive Delivery</v>
      </c>
      <c r="B23" s="4" t="str">
        <v>IITA</v>
      </c>
      <c r="C23" s="4" t="str">
        <v>Nigeria</v>
      </c>
      <c r="D23" s="5">
        <v>47.4</v>
      </c>
      <c r="E23" s="4">
        <v>2638</v>
      </c>
    </row>
    <row r="24" ht="45" customHeight="1">
      <c r="A24" s="4" t="str">
        <v>AOW03: Inclusive Delivery</v>
      </c>
      <c r="B24" s="4" t="str">
        <v>IITA</v>
      </c>
      <c r="C24" s="4" t="str">
        <v>Tanzania</v>
      </c>
      <c r="D24" s="5">
        <v>30.5</v>
      </c>
      <c r="E24" s="4">
        <v>2639</v>
      </c>
    </row>
    <row r="25" ht="45" customHeight="1">
      <c r="A25" s="4" t="str">
        <v>AOW03: Inclusive Delivery</v>
      </c>
      <c r="B25" s="4" t="str">
        <v>IITA</v>
      </c>
      <c r="C25" s="4" t="str">
        <v>Uganda</v>
      </c>
      <c r="D25" s="5">
        <v>7.4</v>
      </c>
      <c r="E25" s="4">
        <v>2640</v>
      </c>
    </row>
    <row r="26" ht="45" customHeight="1">
      <c r="A26" s="8" t="str">
        <v>AOW04: Breeding Resources</v>
      </c>
      <c r="B26" s="4" t="str">
        <v>IITA</v>
      </c>
      <c r="C26" s="4" t="str">
        <v>Burkina Faso</v>
      </c>
      <c r="D26" s="5">
        <v>10</v>
      </c>
      <c r="E26" s="4">
        <v>2989</v>
      </c>
    </row>
    <row r="27" ht="45" customHeight="1">
      <c r="A27" s="4" t="str">
        <v>AOW04: Breeding Resources</v>
      </c>
      <c r="B27" s="4" t="str">
        <v>IITA</v>
      </c>
      <c r="C27" s="4" t="str">
        <v>Cameroon</v>
      </c>
      <c r="D27" s="5">
        <v>10</v>
      </c>
      <c r="E27" s="4">
        <v>2990</v>
      </c>
    </row>
    <row r="28" ht="45" customHeight="1">
      <c r="A28" s="4" t="str">
        <v>AOW04: Breeding Resources</v>
      </c>
      <c r="B28" s="4" t="str">
        <v>IITA</v>
      </c>
      <c r="C28" s="4" t="str">
        <v>Ghana</v>
      </c>
      <c r="D28" s="5">
        <v>15</v>
      </c>
      <c r="E28" s="4">
        <v>2991</v>
      </c>
    </row>
    <row r="29" ht="45" customHeight="1">
      <c r="A29" s="4" t="str">
        <v>AOW04: Breeding Resources</v>
      </c>
      <c r="B29" s="4" t="str">
        <v>IITA</v>
      </c>
      <c r="C29" s="4" t="str">
        <v>Mali</v>
      </c>
      <c r="D29" s="5">
        <v>12.5</v>
      </c>
      <c r="E29" s="4">
        <v>2992</v>
      </c>
    </row>
    <row r="30" ht="45" customHeight="1">
      <c r="A30" s="4" t="str">
        <v>AOW04: Breeding Resources</v>
      </c>
      <c r="B30" s="4" t="str">
        <v>IITA</v>
      </c>
      <c r="C30" s="4" t="str">
        <v>Niger</v>
      </c>
      <c r="D30" s="5">
        <v>11</v>
      </c>
      <c r="E30" s="4">
        <v>2993</v>
      </c>
    </row>
    <row r="31" ht="45" customHeight="1">
      <c r="A31" s="4" t="str">
        <v>AOW04: Breeding Resources</v>
      </c>
      <c r="B31" s="4" t="str">
        <v>IITA</v>
      </c>
      <c r="C31" s="4" t="str">
        <v>Nigeria</v>
      </c>
      <c r="D31" s="5">
        <v>31.5</v>
      </c>
      <c r="E31" s="4">
        <v>2994</v>
      </c>
    </row>
    <row r="32" ht="45" customHeight="1">
      <c r="A32" s="4" t="str">
        <v>AOW04: Breeding Resources</v>
      </c>
      <c r="B32" s="4" t="str">
        <v>IITA</v>
      </c>
      <c r="C32" s="4" t="str">
        <v>Senegal</v>
      </c>
      <c r="D32" s="5">
        <v>10</v>
      </c>
      <c r="E32" s="4">
        <v>2995</v>
      </c>
    </row>
    <row r="33" ht="45" customHeight="1">
      <c r="A33" s="8" t="str">
        <v>AOW05: Enable</v>
      </c>
      <c r="B33" s="4" t="str">
        <v>IITA</v>
      </c>
      <c r="C33" s="4" t="str">
        <v>Benin</v>
      </c>
      <c r="D33" s="5">
        <v>5</v>
      </c>
      <c r="E33" s="4">
        <v>2996</v>
      </c>
    </row>
    <row r="34" ht="45" customHeight="1">
      <c r="A34" s="4" t="str">
        <v>AOW05: Enable</v>
      </c>
      <c r="B34" s="4" t="str">
        <v>IITA</v>
      </c>
      <c r="C34" s="4" t="str">
        <v>China</v>
      </c>
      <c r="D34" s="5">
        <v>2</v>
      </c>
      <c r="E34" s="4">
        <v>2997</v>
      </c>
    </row>
    <row r="35" ht="45" customHeight="1">
      <c r="A35" s="4" t="str">
        <v>AOW05: Enable</v>
      </c>
      <c r="B35" s="4" t="str">
        <v>IITA</v>
      </c>
      <c r="C35" s="4" t="str">
        <v>Côte d'Ivoire</v>
      </c>
      <c r="D35" s="5">
        <v>7.5</v>
      </c>
      <c r="E35" s="4">
        <v>2998</v>
      </c>
    </row>
    <row r="36" ht="45" customHeight="1">
      <c r="A36" s="4" t="str">
        <v>AOW05: Enable</v>
      </c>
      <c r="B36" s="4" t="str">
        <v>IITA</v>
      </c>
      <c r="C36" s="4" t="str">
        <v>Ghana</v>
      </c>
      <c r="D36" s="5">
        <v>10.5</v>
      </c>
      <c r="E36" s="4">
        <v>2999</v>
      </c>
    </row>
    <row r="37" ht="45" customHeight="1">
      <c r="A37" s="4" t="str">
        <v>AOW05: Enable</v>
      </c>
      <c r="B37" s="4" t="str">
        <v>IITA</v>
      </c>
      <c r="C37" s="4" t="str">
        <v>Kenya</v>
      </c>
      <c r="D37" s="5">
        <v>5</v>
      </c>
      <c r="E37" s="4">
        <v>3000</v>
      </c>
    </row>
    <row r="38" ht="45" customHeight="1">
      <c r="A38" s="4" t="str">
        <v>AOW05: Enable</v>
      </c>
      <c r="B38" s="4" t="str">
        <v>IITA</v>
      </c>
      <c r="C38" s="4" t="str">
        <v>Malawi</v>
      </c>
      <c r="D38" s="5">
        <v>4</v>
      </c>
      <c r="E38" s="4">
        <v>3001</v>
      </c>
    </row>
    <row r="39" ht="45" customHeight="1">
      <c r="A39" s="4" t="str">
        <v>AOW05: Enable</v>
      </c>
      <c r="B39" s="4" t="str">
        <v>IITA</v>
      </c>
      <c r="C39" s="4" t="str">
        <v>Mozambique</v>
      </c>
      <c r="D39" s="5">
        <v>5</v>
      </c>
      <c r="E39" s="4">
        <v>3002</v>
      </c>
    </row>
    <row r="40" ht="45" customHeight="1">
      <c r="A40" s="4" t="str">
        <v>AOW05: Enable</v>
      </c>
      <c r="B40" s="4" t="str">
        <v>IITA</v>
      </c>
      <c r="C40" s="4" t="str">
        <v>Nigeria</v>
      </c>
      <c r="D40" s="5">
        <v>20.5</v>
      </c>
      <c r="E40" s="4">
        <v>3003</v>
      </c>
    </row>
    <row r="41" ht="45" customHeight="1">
      <c r="A41" s="4" t="str">
        <v>AOW05: Enable</v>
      </c>
      <c r="B41" s="4" t="str">
        <v>IITA</v>
      </c>
      <c r="C41" s="4" t="str">
        <v>Tanzania</v>
      </c>
      <c r="D41" s="5">
        <v>10</v>
      </c>
      <c r="E41" s="4">
        <v>3004</v>
      </c>
    </row>
    <row r="42" ht="45" customHeight="1">
      <c r="A42" s="4" t="str">
        <v>AOW05: Enable</v>
      </c>
      <c r="B42" s="4" t="str">
        <v>IITA</v>
      </c>
      <c r="C42" s="4" t="str">
        <v>The Democratic Republic of the Congo</v>
      </c>
      <c r="D42" s="5">
        <v>10</v>
      </c>
      <c r="E42" s="4">
        <v>3005</v>
      </c>
    </row>
    <row r="43" ht="45" customHeight="1">
      <c r="A43" s="4" t="str">
        <v>AOW05: Enable</v>
      </c>
      <c r="B43" s="4" t="str">
        <v>IITA</v>
      </c>
      <c r="C43" s="4" t="str">
        <v>Uganda</v>
      </c>
      <c r="D43" s="5">
        <v>8</v>
      </c>
      <c r="E43" s="4">
        <v>3006</v>
      </c>
    </row>
    <row r="44" ht="45" customHeight="1">
      <c r="A44" s="4" t="str">
        <v>AOW05: Enable</v>
      </c>
      <c r="B44" s="4" t="str">
        <v>IITA</v>
      </c>
      <c r="C44" s="4" t="str">
        <v>United Republic</v>
      </c>
      <c r="D44" s="5">
        <v>4</v>
      </c>
      <c r="E44" s="4">
        <v>3007</v>
      </c>
    </row>
    <row r="45" ht="45" customHeight="1">
      <c r="A45" s="4" t="str">
        <v>AOW05: Enable</v>
      </c>
      <c r="B45" s="4" t="str">
        <v>IITA</v>
      </c>
      <c r="C45" s="4" t="str">
        <v>United States of America</v>
      </c>
      <c r="D45" s="5">
        <v>1.5</v>
      </c>
      <c r="E45" s="4">
        <v>3008</v>
      </c>
    </row>
    <row r="46" ht="45" customHeight="1">
      <c r="A46" s="4" t="str">
        <v>AOW05: Enable</v>
      </c>
      <c r="B46" s="4" t="str">
        <v>IITA</v>
      </c>
      <c r="C46" s="4" t="str">
        <v>Zambia</v>
      </c>
      <c r="D46" s="5">
        <v>7</v>
      </c>
      <c r="E46" s="4">
        <v>3009</v>
      </c>
    </row>
  </sheetData>
  <mergeCells count="6">
    <mergeCell ref="A2"/>
    <mergeCell ref="A3"/>
    <mergeCell ref="A4:A19"/>
    <mergeCell ref="A20:A25"/>
    <mergeCell ref="A26:A32"/>
    <mergeCell ref="A33:A46"/>
  </mergeCells>
  <ignoredErrors>
    <ignoredError numberStoredAsText="1" sqref="A1:E46"/>
  </ignoredErrors>
</worksheet>
</file>

<file path=xl/worksheets/sheet9.xml><?xml version="1.0" encoding="utf-8"?>
<worksheet xmlns="http://schemas.openxmlformats.org/spreadsheetml/2006/main" xmlns:r="http://schemas.openxmlformats.org/officeDocument/2006/relationships">
  <dimension ref="A1:F2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1690</v>
      </c>
    </row>
    <row r="3" ht="45" customHeight="1">
      <c r="A3" s="8" t="str">
        <v>AOW01: Market Intelligence</v>
      </c>
      <c r="B3" s="4" t="str">
        <v>IITA</v>
      </c>
      <c r="C3" s="4" t="str">
        <v>Global</v>
      </c>
      <c r="D3" s="4" t="str">
        <v>global</v>
      </c>
      <c r="E3" s="5">
        <v>100</v>
      </c>
      <c r="F3" s="4">
        <v>1551</v>
      </c>
    </row>
    <row r="4" ht="45" customHeight="1">
      <c r="A4" s="8" t="str">
        <v>AOW02: Accelerated Breeding</v>
      </c>
      <c r="B4" s="4" t="str">
        <v>IITA</v>
      </c>
      <c r="C4" s="4" t="str">
        <v>Eastern Africa</v>
      </c>
      <c r="D4" s="4" t="str">
        <v>region</v>
      </c>
      <c r="E4" s="5">
        <v>36</v>
      </c>
      <c r="F4" s="4">
        <v>1145</v>
      </c>
    </row>
    <row r="5" ht="45" customHeight="1">
      <c r="A5" s="4" t="str">
        <v>AOW02: Accelerated Breeding</v>
      </c>
      <c r="B5" s="4" t="str">
        <v>IITA</v>
      </c>
      <c r="C5" s="4" t="str">
        <v>Western Africa</v>
      </c>
      <c r="D5" s="4" t="str">
        <v>region</v>
      </c>
      <c r="E5" s="5">
        <v>50</v>
      </c>
      <c r="F5" s="4">
        <v>1144</v>
      </c>
    </row>
    <row r="6" ht="45" customHeight="1">
      <c r="A6" s="4" t="str">
        <v>AOW02: Accelerated Breeding</v>
      </c>
      <c r="B6" s="4" t="str">
        <v>IITA</v>
      </c>
      <c r="C6" s="4" t="str">
        <v>Cameroon</v>
      </c>
      <c r="D6" s="4" t="str">
        <v>country</v>
      </c>
      <c r="E6" s="5">
        <v>3</v>
      </c>
      <c r="F6" s="4">
        <v>1146</v>
      </c>
    </row>
    <row r="7" ht="45" customHeight="1">
      <c r="A7" s="4" t="str">
        <v>AOW02: Accelerated Breeding</v>
      </c>
      <c r="B7" s="4" t="str">
        <v>IITA</v>
      </c>
      <c r="C7" s="4" t="str">
        <v>Thailand</v>
      </c>
      <c r="D7" s="4" t="str">
        <v>country</v>
      </c>
      <c r="E7" s="5">
        <v>2</v>
      </c>
      <c r="F7" s="4">
        <v>1148</v>
      </c>
    </row>
    <row r="8" ht="45" customHeight="1">
      <c r="A8" s="4" t="str">
        <v>AOW02: Accelerated Breeding</v>
      </c>
      <c r="B8" s="4" t="str">
        <v>IITA</v>
      </c>
      <c r="C8" s="4" t="str">
        <v>The Democratic Republic of the Congo</v>
      </c>
      <c r="D8" s="4" t="str">
        <v>country</v>
      </c>
      <c r="E8" s="5">
        <v>9</v>
      </c>
      <c r="F8" s="4">
        <v>1147</v>
      </c>
    </row>
    <row r="9" ht="45" customHeight="1">
      <c r="A9" s="8" t="str">
        <v>AOW03: Inclusive Delivery</v>
      </c>
      <c r="B9" s="4" t="str">
        <v>IITA</v>
      </c>
      <c r="C9" s="4" t="str">
        <v>Ghana</v>
      </c>
      <c r="D9" s="4" t="str">
        <v>country</v>
      </c>
      <c r="E9" s="5">
        <v>10</v>
      </c>
      <c r="F9" s="4">
        <v>951</v>
      </c>
    </row>
    <row r="10" ht="45" customHeight="1">
      <c r="A10" s="4" t="str">
        <v>AOW03: Inclusive Delivery</v>
      </c>
      <c r="B10" s="4" t="str">
        <v>IITA</v>
      </c>
      <c r="C10" s="4" t="str">
        <v>Kenya</v>
      </c>
      <c r="D10" s="4" t="str">
        <v>country</v>
      </c>
      <c r="E10" s="5">
        <v>5</v>
      </c>
      <c r="F10" s="4">
        <v>953</v>
      </c>
    </row>
    <row r="11" ht="45" customHeight="1">
      <c r="A11" s="4" t="str">
        <v>AOW03: Inclusive Delivery</v>
      </c>
      <c r="B11" s="4" t="str">
        <v>IITA</v>
      </c>
      <c r="C11" s="4" t="str">
        <v>Mozambique</v>
      </c>
      <c r="D11" s="4" t="str">
        <v>country</v>
      </c>
      <c r="E11" s="5">
        <v>10</v>
      </c>
      <c r="F11" s="4">
        <v>954</v>
      </c>
    </row>
    <row r="12" ht="45" customHeight="1">
      <c r="A12" s="4" t="str">
        <v>AOW03: Inclusive Delivery</v>
      </c>
      <c r="B12" s="4" t="str">
        <v>IITA</v>
      </c>
      <c r="C12" s="4" t="str">
        <v>Nigeria</v>
      </c>
      <c r="D12" s="4" t="str">
        <v>country</v>
      </c>
      <c r="E12" s="5">
        <v>40</v>
      </c>
      <c r="F12" s="4">
        <v>949</v>
      </c>
    </row>
    <row r="13" ht="45" customHeight="1">
      <c r="A13" s="4" t="str">
        <v>AOW03: Inclusive Delivery</v>
      </c>
      <c r="B13" s="4" t="str">
        <v>IITA</v>
      </c>
      <c r="C13" s="4" t="str">
        <v>Tanzania, United Republic</v>
      </c>
      <c r="D13" s="4" t="str">
        <v>country</v>
      </c>
      <c r="E13" s="5">
        <v>25</v>
      </c>
      <c r="F13" s="4">
        <v>950</v>
      </c>
    </row>
    <row r="14" ht="45" customHeight="1">
      <c r="A14" s="4" t="str">
        <v>AOW03: Inclusive Delivery</v>
      </c>
      <c r="B14" s="4" t="str">
        <v>IITA</v>
      </c>
      <c r="C14" s="4" t="str">
        <v>Uganda</v>
      </c>
      <c r="D14" s="4" t="str">
        <v>country</v>
      </c>
      <c r="E14" s="5">
        <v>10</v>
      </c>
      <c r="F14" s="4">
        <v>952</v>
      </c>
    </row>
    <row r="15" ht="45" customHeight="1">
      <c r="A15" s="8" t="str">
        <v>AOW04: Breeding Resources</v>
      </c>
      <c r="B15" s="4" t="str">
        <v>IITA</v>
      </c>
      <c r="C15" s="4" t="str">
        <v>Global</v>
      </c>
      <c r="D15" s="4" t="str">
        <v>global</v>
      </c>
      <c r="E15" s="5">
        <v>0</v>
      </c>
      <c r="F15" s="4">
        <v>1155</v>
      </c>
    </row>
    <row r="16" ht="45" customHeight="1">
      <c r="A16" s="4" t="str">
        <v>AOW04: Breeding Resources</v>
      </c>
      <c r="B16" s="4" t="str">
        <v>IITA</v>
      </c>
      <c r="C16" s="4" t="str">
        <v>Burkina Faso</v>
      </c>
      <c r="D16" s="4" t="str">
        <v>country</v>
      </c>
      <c r="E16" s="5">
        <v>5</v>
      </c>
      <c r="F16" s="4">
        <v>1152</v>
      </c>
    </row>
    <row r="17" ht="45" customHeight="1">
      <c r="A17" s="4" t="str">
        <v>AOW04: Breeding Resources</v>
      </c>
      <c r="B17" s="4" t="str">
        <v>IITA</v>
      </c>
      <c r="C17" s="4" t="str">
        <v>Cameroon</v>
      </c>
      <c r="D17" s="4" t="str">
        <v>country</v>
      </c>
      <c r="E17" s="5">
        <v>10</v>
      </c>
      <c r="F17" s="4">
        <v>1154</v>
      </c>
    </row>
    <row r="18" ht="45" customHeight="1">
      <c r="A18" s="4" t="str">
        <v>AOW04: Breeding Resources</v>
      </c>
      <c r="B18" s="4" t="str">
        <v>IITA</v>
      </c>
      <c r="C18" s="4" t="str">
        <v>Ghana</v>
      </c>
      <c r="D18" s="4" t="str">
        <v>country</v>
      </c>
      <c r="E18" s="5">
        <v>5</v>
      </c>
      <c r="F18" s="4">
        <v>1150</v>
      </c>
    </row>
    <row r="19" ht="45" customHeight="1">
      <c r="A19" s="4" t="str">
        <v>AOW04: Breeding Resources</v>
      </c>
      <c r="B19" s="4" t="str">
        <v>IITA</v>
      </c>
      <c r="C19" s="4" t="str">
        <v>Mali</v>
      </c>
      <c r="D19" s="4" t="str">
        <v>country</v>
      </c>
      <c r="E19" s="5">
        <v>8</v>
      </c>
      <c r="F19" s="4">
        <v>1156</v>
      </c>
    </row>
    <row r="20" ht="45" customHeight="1">
      <c r="A20" s="4" t="str">
        <v>AOW04: Breeding Resources</v>
      </c>
      <c r="B20" s="4" t="str">
        <v>IITA</v>
      </c>
      <c r="C20" s="4" t="str">
        <v>Niger</v>
      </c>
      <c r="D20" s="4" t="str">
        <v>country</v>
      </c>
      <c r="E20" s="5">
        <v>6</v>
      </c>
      <c r="F20" s="4">
        <v>1151</v>
      </c>
    </row>
    <row r="21" ht="45" customHeight="1">
      <c r="A21" s="4" t="str">
        <v>AOW04: Breeding Resources</v>
      </c>
      <c r="B21" s="4" t="str">
        <v>IITA</v>
      </c>
      <c r="C21" s="4" t="str">
        <v>Nigeria</v>
      </c>
      <c r="D21" s="4" t="str">
        <v>country</v>
      </c>
      <c r="E21" s="5">
        <v>60</v>
      </c>
      <c r="F21" s="4">
        <v>1153</v>
      </c>
    </row>
    <row r="22" ht="45" customHeight="1">
      <c r="A22" s="4" t="str">
        <v>AOW04: Breeding Resources</v>
      </c>
      <c r="B22" s="4" t="str">
        <v>IITA</v>
      </c>
      <c r="C22" s="4" t="str">
        <v>Senegal</v>
      </c>
      <c r="D22" s="4" t="str">
        <v>country</v>
      </c>
      <c r="E22" s="5">
        <v>6</v>
      </c>
      <c r="F22" s="4">
        <v>1157</v>
      </c>
    </row>
    <row r="23" ht="45" customHeight="1">
      <c r="A23" s="8" t="str">
        <v>AOW05: Enable</v>
      </c>
      <c r="B23" s="4" t="str">
        <v>IITA</v>
      </c>
      <c r="C23" s="4" t="str">
        <v>Global</v>
      </c>
      <c r="D23" s="4" t="str">
        <v>global</v>
      </c>
      <c r="E23" s="5">
        <v>10</v>
      </c>
      <c r="F23" s="4">
        <v>1158</v>
      </c>
    </row>
    <row r="24" ht="45" customHeight="1">
      <c r="A24" s="4" t="str">
        <v>AOW05: Enable</v>
      </c>
      <c r="B24" s="4" t="str">
        <v>IITA</v>
      </c>
      <c r="C24" s="4" t="str">
        <v>Eastern Africa</v>
      </c>
      <c r="D24" s="4" t="str">
        <v>region</v>
      </c>
      <c r="E24" s="5">
        <v>35</v>
      </c>
      <c r="F24" s="4">
        <v>1160</v>
      </c>
    </row>
    <row r="25" ht="45" customHeight="1">
      <c r="A25" s="4" t="str">
        <v>AOW05: Enable</v>
      </c>
      <c r="B25" s="4" t="str">
        <v>IITA</v>
      </c>
      <c r="C25" s="4" t="str">
        <v>Western Africa</v>
      </c>
      <c r="D25" s="4" t="str">
        <v>region</v>
      </c>
      <c r="E25" s="5">
        <v>45</v>
      </c>
      <c r="F25" s="4">
        <v>1159</v>
      </c>
    </row>
    <row r="26" ht="45" customHeight="1">
      <c r="A26" s="4" t="str">
        <v>AOW05: Enable</v>
      </c>
      <c r="B26" s="4" t="str">
        <v>IITA</v>
      </c>
      <c r="C26" s="4" t="str">
        <v>The Democratic Republic of the Congo</v>
      </c>
      <c r="D26" s="4" t="str">
        <v>country</v>
      </c>
      <c r="E26" s="5">
        <v>10</v>
      </c>
      <c r="F26" s="4">
        <v>1161</v>
      </c>
    </row>
  </sheetData>
  <mergeCells count="6">
    <mergeCell ref="A2"/>
    <mergeCell ref="A3"/>
    <mergeCell ref="A4:A8"/>
    <mergeCell ref="A9:A14"/>
    <mergeCell ref="A15:A22"/>
    <mergeCell ref="A23:A26"/>
  </mergeCells>
  <ignoredErrors>
    <ignoredError numberStoredAsText="1" sqref="A1:F26"/>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