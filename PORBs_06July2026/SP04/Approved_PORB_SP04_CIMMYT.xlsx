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182</v>
      </c>
    </row>
    <row r="5" ht="20" customHeight="1">
      <c r="A5" s="4" t="str">
        <v>AOW01: Agroecology+ Solutions &amp; Innovations</v>
      </c>
      <c r="B5" s="5">
        <v>52</v>
      </c>
      <c r="C5" s="5">
        <v>81700</v>
      </c>
      <c r="D5" s="5">
        <v>7</v>
      </c>
      <c r="E5" s="5">
        <v>63600</v>
      </c>
      <c r="F5" s="5">
        <v>56</v>
      </c>
      <c r="G5" s="5">
        <v>40000</v>
      </c>
      <c r="H5" s="5">
        <v>50</v>
      </c>
      <c r="I5" s="5">
        <v>10000</v>
      </c>
      <c r="J5" s="5">
        <v>195300</v>
      </c>
      <c r="K5" s="5">
        <v>195300</v>
      </c>
      <c r="L5" s="5">
        <v>0</v>
      </c>
      <c r="M5" s="5">
        <v>0</v>
      </c>
      <c r="N5" s="4">
        <v>177</v>
      </c>
    </row>
    <row r="6" ht="20" customHeight="1">
      <c r="A6" s="4" t="str">
        <v>AOW02: Landscape Optimization and Inclusive Planning</v>
      </c>
      <c r="B6" s="5">
        <v>1</v>
      </c>
      <c r="C6" s="5">
        <v>30687</v>
      </c>
      <c r="D6" s="5">
        <v>3</v>
      </c>
      <c r="E6" s="5">
        <v>61374</v>
      </c>
      <c r="F6" s="5">
        <v>100</v>
      </c>
      <c r="G6" s="5">
        <v>85943</v>
      </c>
      <c r="H6" s="5">
        <v>30</v>
      </c>
      <c r="I6" s="5">
        <v>164223</v>
      </c>
      <c r="J6" s="5">
        <v>342227</v>
      </c>
      <c r="K6" s="5">
        <v>342227</v>
      </c>
      <c r="L6" s="5">
        <v>0</v>
      </c>
      <c r="M6" s="5">
        <v>0</v>
      </c>
      <c r="N6" s="4">
        <v>179</v>
      </c>
    </row>
    <row r="7" ht="20" customHeight="1">
      <c r="A7" s="4" t="str">
        <v>AOW03: Business Models, Markets, and Sustainable Finance</v>
      </c>
      <c r="B7" s="5">
        <v>3</v>
      </c>
      <c r="C7" s="5">
        <v>69650</v>
      </c>
      <c r="D7" s="5">
        <v>0</v>
      </c>
      <c r="E7" s="5">
        <v>0</v>
      </c>
      <c r="F7" s="5">
        <v>0</v>
      </c>
      <c r="G7" s="5">
        <v>0</v>
      </c>
      <c r="H7" s="5">
        <v>250</v>
      </c>
      <c r="I7" s="5">
        <v>116000</v>
      </c>
      <c r="J7" s="5">
        <v>185650</v>
      </c>
      <c r="K7" s="5">
        <v>185650</v>
      </c>
      <c r="L7" s="5">
        <v>0</v>
      </c>
      <c r="M7" s="5">
        <v>0</v>
      </c>
      <c r="N7" s="4">
        <v>180</v>
      </c>
    </row>
    <row r="8" ht="20" customHeight="1">
      <c r="A8" s="4" t="str">
        <v>AOW04: Governance, Institutions, Policy, and Inclusion</v>
      </c>
      <c r="B8" s="5">
        <v>0</v>
      </c>
      <c r="C8" s="5">
        <v>0</v>
      </c>
      <c r="D8" s="5">
        <v>2</v>
      </c>
      <c r="E8" s="5">
        <v>55469</v>
      </c>
      <c r="F8" s="5">
        <v>100</v>
      </c>
      <c r="G8" s="5">
        <v>18000</v>
      </c>
      <c r="H8" s="5">
        <v>4</v>
      </c>
      <c r="I8" s="5">
        <v>17000</v>
      </c>
      <c r="J8" s="5">
        <v>90469</v>
      </c>
      <c r="K8" s="5">
        <v>90469</v>
      </c>
      <c r="L8" s="5">
        <v>0</v>
      </c>
      <c r="M8" s="5">
        <v>0</v>
      </c>
      <c r="N8" s="4">
        <v>181</v>
      </c>
    </row>
    <row r="9" ht="20" customHeight="1">
      <c r="A9" s="4" t="str">
        <v>AOW05: Performance Assessments &amp; Evidence Generation</v>
      </c>
      <c r="B9" s="5">
        <v>1</v>
      </c>
      <c r="C9" s="5">
        <v>60000</v>
      </c>
      <c r="D9" s="5">
        <v>6</v>
      </c>
      <c r="E9" s="5">
        <v>80938</v>
      </c>
      <c r="F9" s="5">
        <v>0</v>
      </c>
      <c r="G9" s="5">
        <v>0</v>
      </c>
      <c r="H9" s="5">
        <v>0</v>
      </c>
      <c r="I9" s="5">
        <v>0</v>
      </c>
      <c r="J9" s="5">
        <v>140938</v>
      </c>
      <c r="K9" s="5">
        <v>140938</v>
      </c>
      <c r="L9" s="5">
        <v>0</v>
      </c>
      <c r="M9" s="5">
        <v>0</v>
      </c>
      <c r="N9" s="4">
        <v>178</v>
      </c>
    </row>
    <row r="10" ht="25" customHeight="1">
      <c r="A10" s="6" t="str">
        <v>Total</v>
      </c>
      <c r="B10" s="7" t="str">
        <v/>
      </c>
      <c r="C10" s="7">
        <v>242037</v>
      </c>
      <c r="D10" s="7" t="str">
        <v/>
      </c>
      <c r="E10" s="7">
        <v>261381</v>
      </c>
      <c r="F10" s="7" t="str">
        <v/>
      </c>
      <c r="G10" s="7">
        <v>143943</v>
      </c>
      <c r="H10" s="7" t="str">
        <v/>
      </c>
      <c r="I10" s="7">
        <v>307223</v>
      </c>
      <c r="J10" s="7">
        <v>954584</v>
      </c>
      <c r="K10" s="7">
        <v>954584</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CIMMYT</v>
      </c>
      <c r="C3" s="4" t="str">
        <v>OP 1.1.1. – Bundles of farm-level solutions</v>
      </c>
      <c r="D3" s="4" t="str" xml:space="preserve">
        <v xml:space="preserve">Deliverable - Agroecology+ Solutions Dashboard: Develop and maintain a digital dashboard that compiles, organizes, and visualizes Agroecology+ solution packages for easy access, comparison, and use by practitioners and partners
Indicator: Number of AE+ innovations and solutions dashboard online and updated </v>
      </c>
      <c r="E3" s="4" t="str">
        <v>Number of knowledge products</v>
      </c>
      <c r="F3" s="4" t="str">
        <v>Kenya, Ethiopia, Tunisia, Peru, Colombia, India, Senegal, Zimbabwe, Tanzania, United Republic</v>
      </c>
      <c r="G3" s="5">
        <v>1</v>
      </c>
      <c r="H3" s="5">
        <v>35500</v>
      </c>
      <c r="I3" s="4" t="str">
        <v>.</v>
      </c>
      <c r="J3" s="4">
        <v>5465</v>
      </c>
    </row>
    <row r="4" ht="50" customHeight="1" xml:space="preserve">
      <c r="B4" s="4" t="str">
        <v>CIMMYT</v>
      </c>
      <c r="D4" s="4" t="str" xml:space="preserve">
        <v xml:space="preserve">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v>
      </c>
      <c r="E4" s="4" t="str">
        <v>Number of people trained (capacity sharing for development)</v>
      </c>
      <c r="F4" s="4" t="str">
        <v>Tunisia, Peru, Kenya, Colombia, Zimbabwe, Senegal</v>
      </c>
      <c r="G4" s="5">
        <v>6</v>
      </c>
      <c r="H4" s="5">
        <v>10000</v>
      </c>
      <c r="I4" s="4" t="str">
        <v>.</v>
      </c>
      <c r="J4" s="4">
        <v>5466</v>
      </c>
    </row>
    <row r="5" ht="50" customHeight="1" xml:space="preserve">
      <c r="B5" s="4" t="str">
        <v>CIMMYT</v>
      </c>
      <c r="D5" s="4" t="str" xml:space="preserve">
        <v xml:space="preserve">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households participating in the testing and validation of circular bioinput innovations</v>
      </c>
      <c r="E5" s="4" t="str">
        <v>Number of people trained (capacity sharing for development)</v>
      </c>
      <c r="F5" s="4" t="str">
        <v>Colombia</v>
      </c>
      <c r="G5" s="5">
        <v>50</v>
      </c>
      <c r="H5" s="5">
        <v>30000</v>
      </c>
      <c r="I5" s="4" t="str">
        <v>.</v>
      </c>
      <c r="J5" s="4">
        <v>5513</v>
      </c>
    </row>
    <row r="6" ht="50" customHeight="1" xml:space="preserve">
      <c r="B6" s="4" t="str">
        <v>CIMMYT</v>
      </c>
      <c r="D6" s="4" t="str" xml:space="preserve">
        <v xml:space="preserve">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v>
      </c>
      <c r="E6" s="4" t="str">
        <v>Number of knowledge products</v>
      </c>
      <c r="F6" s="4" t="str">
        <v>Zimbabwe</v>
      </c>
      <c r="G6" s="5">
        <v>5</v>
      </c>
      <c r="H6" s="5">
        <v>10000</v>
      </c>
      <c r="I6" s="4" t="str">
        <v>.</v>
      </c>
      <c r="J6" s="4">
        <v>7500</v>
      </c>
    </row>
    <row r="7" ht="50" customHeight="1" xml:space="preserve">
      <c r="B7" s="4" t="str">
        <v>CIMMYT</v>
      </c>
      <c r="D7" s="4" t="str" xml:space="preserve">
        <v xml:space="preserve">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v>
      </c>
      <c r="E7" s="4" t="str">
        <v>Number of knowledge products</v>
      </c>
      <c r="F7" s="4" t="str">
        <v>Zimbabwe, Ethiopia</v>
      </c>
      <c r="G7" s="5">
        <v>1</v>
      </c>
      <c r="H7" s="5">
        <v>18100</v>
      </c>
      <c r="I7" s="4" t="str">
        <v>.</v>
      </c>
      <c r="J7" s="4">
        <v>7517</v>
      </c>
    </row>
    <row r="8" ht="50" customHeight="1" xml:space="preserve">
      <c r="A8" s="4" t="str">
        <v>AOW01: Agroecology+ Solutions &amp; Innovations</v>
      </c>
      <c r="B8" s="4" t="str">
        <v>CIMMYT</v>
      </c>
      <c r="C8" s="4" t="str">
        <v>OP 1.1.2. – Climate-smart adaptation &amp; mitigation bundles</v>
      </c>
      <c r="D8" s="4" t="str" xml:space="preserve">
        <v xml:space="preserve">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v>
      </c>
      <c r="E8" s="4" t="str">
        <v>Number of innovations (innovation development)</v>
      </c>
      <c r="F8" s="4" t="str">
        <v>Zimbabwe</v>
      </c>
      <c r="G8" s="5">
        <v>50</v>
      </c>
      <c r="H8" s="5">
        <v>56700</v>
      </c>
      <c r="I8" s="4" t="str">
        <v>.</v>
      </c>
      <c r="J8" s="4">
        <v>5490</v>
      </c>
    </row>
    <row r="9" ht="50" customHeight="1">
      <c r="B9" s="4" t="str">
        <v>CIMMYT</v>
      </c>
      <c r="D9" s="4" t="str">
        <v>Number of recommendations for Climate-Integrated Landscape Management</v>
      </c>
      <c r="E9" s="4" t="str">
        <v>Number of knowledge products</v>
      </c>
      <c r="F9" s="4" t="str">
        <v>Cambodia, Zimbabwe, Tunisia, Lao People's Democratic Republic, Kenya, Peru, The Socialist Republic of Viet Nam, Senegal, India, Colombia, Tanzania, United Republic</v>
      </c>
      <c r="G9" s="5">
        <v>5</v>
      </c>
      <c r="H9" s="5">
        <v>0</v>
      </c>
      <c r="I9" s="4" t="str">
        <v/>
      </c>
      <c r="J9" s="4">
        <v>5495</v>
      </c>
    </row>
    <row r="10" ht="50" customHeight="1" xml:space="preserve">
      <c r="A10" s="4" t="str">
        <v>AOW01: Agroecology+ Solutions &amp; Innovations</v>
      </c>
      <c r="B10" s="4" t="str">
        <v>CIMMYT</v>
      </c>
      <c r="C10" s="4" t="str">
        <v>OP 1.2.5. – Nutrition-sensitive innovations</v>
      </c>
      <c r="D10" s="4" t="str" xml:space="preserve">
        <v xml:space="preserve">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supported to improve production, quality assurance, and commercialization of farmer-preferred varieties, and to strengthen linkages to inclusive seed value chains</v>
      </c>
      <c r="E10" s="4" t="str">
        <v>Number of innovations (innovation development)</v>
      </c>
      <c r="F10" s="4" t="str">
        <v>Colombia</v>
      </c>
      <c r="G10" s="5">
        <v>2</v>
      </c>
      <c r="H10" s="5">
        <v>25000</v>
      </c>
      <c r="I10" s="4" t="str">
        <v>.</v>
      </c>
      <c r="J10" s="4">
        <v>5498</v>
      </c>
    </row>
    <row r="11" ht="50" customHeight="1" xml:space="preserve">
      <c r="A11" s="4" t="str">
        <v>AOW01: Agroecology+ Solutions &amp; Innovations</v>
      </c>
      <c r="B11" s="4" t="str">
        <v>CIMMYT</v>
      </c>
      <c r="C11" s="4" t="str">
        <v>OP 1.2.6. – Advisory &amp; training innovations</v>
      </c>
      <c r="D11" s="4" t="str" xml:space="preserve">
        <v xml:space="preserve">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v>
      </c>
      <c r="E11" s="4" t="str">
        <v>custom</v>
      </c>
      <c r="F11" s="4" t="str">
        <v>Zimbabwe</v>
      </c>
      <c r="G11" s="5">
        <v>50</v>
      </c>
      <c r="H11" s="5">
        <v>10000</v>
      </c>
      <c r="I11" s="4" t="str">
        <v>.</v>
      </c>
      <c r="J11" s="4">
        <v>7514</v>
      </c>
    </row>
    <row r="12" ht="25" customHeight="1">
      <c r="C12" s="9" t="str">
        <v>HLO budget subtotal</v>
      </c>
      <c r="H12" s="9">
        <v>195300</v>
      </c>
      <c r="J12" s="9" t="str">
        <v/>
      </c>
    </row>
    <row r="13" ht="50" customHeight="1" xml:space="preserve">
      <c r="A13" s="8" t="str">
        <v>AOW02: Landscape Optimization and Inclusive Planning</v>
      </c>
      <c r="B13" s="4" t="str">
        <v>CIMMYT</v>
      </c>
      <c r="C13" s="4" t="str">
        <v>OP 2.2.3. – Integrated planning &amp; scenarios</v>
      </c>
      <c r="D13" s="4" t="str" xml:space="preserve">
        <v xml:space="preserve">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v>
      </c>
      <c r="E13" s="4" t="str">
        <v>Number of people trained (capacity sharing for development)</v>
      </c>
      <c r="F13" s="4" t="str">
        <v>Zimbabwe, Ethiopia</v>
      </c>
      <c r="G13" s="5">
        <v>100</v>
      </c>
      <c r="H13" s="5">
        <v>85943</v>
      </c>
      <c r="I13" s="4" t="str">
        <v>.</v>
      </c>
      <c r="J13" s="4">
        <v>5264</v>
      </c>
    </row>
    <row r="14" ht="50" customHeight="1" xml:space="preserve">
      <c r="B14" s="4" t="str">
        <v>CIMMYT</v>
      </c>
      <c r="D14" s="4" t="str" xml:space="preserve">
        <v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v>
      </c>
      <c r="E14" s="4" t="str">
        <v>custom</v>
      </c>
      <c r="F14" s="4" t="str">
        <v>Kenya, Zimbabwe, Tanzania, United Republic, Ethiopia</v>
      </c>
      <c r="G14" s="5">
        <v>10</v>
      </c>
      <c r="H14" s="5">
        <v>84223</v>
      </c>
      <c r="I14" s="4" t="str">
        <v>.</v>
      </c>
      <c r="J14" s="4">
        <v>5266</v>
      </c>
    </row>
    <row r="15" ht="50" customHeight="1" xml:space="preserve">
      <c r="A15" s="4" t="str">
        <v>AOW02: Landscape Optimization and Inclusive Planning</v>
      </c>
      <c r="B15" s="4" t="str">
        <v>CIMMYT</v>
      </c>
      <c r="C15" s="4" t="str">
        <v>OP 2.2.2. – Landscape visions &amp; co-developed plans</v>
      </c>
      <c r="D15" s="4" t="str" xml:space="preserve">
        <v xml:space="preserve">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v>
      </c>
      <c r="E15" s="4" t="str">
        <v>custom</v>
      </c>
      <c r="F15" s="4" t="str">
        <v>Ethiopia, Zimbabwe</v>
      </c>
      <c r="G15" s="5">
        <v>20</v>
      </c>
      <c r="H15" s="5">
        <v>80000</v>
      </c>
      <c r="I15" s="4" t="str">
        <v>.</v>
      </c>
      <c r="J15" s="4">
        <v>5374</v>
      </c>
    </row>
    <row r="16" ht="50" customHeight="1" xml:space="preserve">
      <c r="B16" s="4" t="str">
        <v>CIMMYT</v>
      </c>
      <c r="D16" s="4" t="str" xml:space="preserve">
        <v xml:space="preserve">Deliverable - Landscape Vision to Action (LV2A) Implementation – Zimbabwe: Facilitate multi-stakeholder visioning and priority-setting for the selected landscape in Zimbabwe, leading to a validated Landscape Vision and Action Framework that identifies shared goals, priority interventions, governance arrangements, and pathways for coordinated implementation.
Indicator: Number of Landscape Vision to Action processes implemented</v>
      </c>
      <c r="E16" s="4" t="str">
        <v>Number of knowledge products</v>
      </c>
      <c r="F16" s="4" t="str">
        <v>Zimbabwe</v>
      </c>
      <c r="G16" s="5">
        <v>1</v>
      </c>
      <c r="H16" s="5">
        <v>24550</v>
      </c>
      <c r="I16" s="4" t="str">
        <v>.</v>
      </c>
      <c r="J16" s="4">
        <v>5376</v>
      </c>
    </row>
    <row r="17" ht="50" customHeight="1" xml:space="preserve">
      <c r="B17" s="4" t="str">
        <v>CIMMYT</v>
      </c>
      <c r="D17" s="4" t="str" xml:space="preserve">
        <v xml:space="preserve">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v>
      </c>
      <c r="E17" s="4" t="str">
        <v>Number of knowledge products</v>
      </c>
      <c r="F17" s="4" t="str">
        <v>Ethiopia, Tunisia, Cambodia, Côte d'Ivoire, The Socialist Republic of Viet Nam, Colombia, Peru, Tanzania, United Republic, Lao People's Democratic Republic, Senegal, Zimbabwe, Kenya</v>
      </c>
      <c r="G17" s="5">
        <v>2</v>
      </c>
      <c r="H17" s="5">
        <v>36824</v>
      </c>
      <c r="I17" s="4" t="str">
        <v>.</v>
      </c>
      <c r="J17" s="4">
        <v>5377</v>
      </c>
    </row>
    <row r="18" ht="50" customHeight="1" xml:space="preserve">
      <c r="B18" s="4" t="str">
        <v>CIMMYT</v>
      </c>
      <c r="D18" s="4" t="str" xml:space="preserve">
        <v xml:space="preserve">Deliverable - Landscape Vision to Action (LV2A) Innovation Product – Dashboard Coordination: Coordinate and support the implementation of the LV2A innovation product across participating countries through development of a dashboard. 
Indicator: Number of dashboards</v>
      </c>
      <c r="E18" s="4" t="str">
        <v>Number of innovations (innovation development)</v>
      </c>
      <c r="F18" s="4" t="str">
        <v>Côte d'Ivoire, Senegal, Zimbabwe, Cambodia, Lao People's Democratic Republic, The Socialist Republic of Viet Nam, Ethiopia, Kenya, Tunisia, Peru, India, Colombia</v>
      </c>
      <c r="G18" s="5">
        <v>1</v>
      </c>
      <c r="H18" s="5">
        <v>30687</v>
      </c>
      <c r="I18" s="4" t="str">
        <v>.</v>
      </c>
      <c r="J18" s="4">
        <v>5378</v>
      </c>
    </row>
    <row r="19" ht="25" customHeight="1">
      <c r="C19" s="9" t="str">
        <v>HLO budget subtotal</v>
      </c>
      <c r="H19" s="9">
        <v>342227</v>
      </c>
      <c r="J19" s="9" t="str">
        <v/>
      </c>
    </row>
    <row r="20" ht="50" customHeight="1" xml:space="preserve">
      <c r="A20" s="8" t="str">
        <v>AOW03: Business Models, Markets, and Sustainable Finance</v>
      </c>
      <c r="B20" s="4" t="str">
        <v>CIMMYT</v>
      </c>
      <c r="C20" s="4" t="str">
        <v>OP 3.2.2. Inclusive business models</v>
      </c>
      <c r="D20" s="4" t="str" xml:space="preserve">
        <v xml:space="preserve">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v>
      </c>
      <c r="E20" s="4" t="str">
        <v>custom</v>
      </c>
      <c r="F20" s="4" t="str">
        <v>Ethiopia, Zimbabwe</v>
      </c>
      <c r="G20" s="5">
        <v>250</v>
      </c>
      <c r="H20" s="5">
        <v>116000</v>
      </c>
      <c r="I20" s="4" t="str">
        <v>.</v>
      </c>
      <c r="J20" s="4">
        <v>5406</v>
      </c>
    </row>
    <row r="21" ht="50" customHeight="1" xml:space="preserve">
      <c r="B21" s="4" t="str">
        <v>CIMMYT</v>
      </c>
      <c r="D21" s="4" t="str" xml:space="preserve">
        <v xml:space="preserve">Deliverable - Potential impacts of identified Agroecological Business Models in ensuring multifunctionality of landscapes and improved livelihoods of market actors (input suppliers, men and women farmers, aggregators, processors, and traders) are assessed.
Indicator:  Number of agroecological business models assessed and validated.</v>
      </c>
      <c r="E21" s="4" t="str">
        <v>Number of innovations (innovation development)</v>
      </c>
      <c r="F21" s="4" t="str">
        <v>Ethiopia</v>
      </c>
      <c r="G21" s="5">
        <v>2</v>
      </c>
      <c r="H21" s="5">
        <v>19650</v>
      </c>
      <c r="I21" s="4" t="str">
        <v>.</v>
      </c>
      <c r="J21" s="4">
        <v>7401</v>
      </c>
    </row>
    <row r="22" ht="50" customHeight="1" xml:space="preserve">
      <c r="A22" s="4" t="str">
        <v>AOW03: Business Models, Markets, and Sustainable Finance</v>
      </c>
      <c r="B22" s="4" t="str">
        <v>CIMMYT</v>
      </c>
      <c r="C22" s="4" t="str">
        <v>OP 3.3.4. Innovative sustainable finance instruments</v>
      </c>
      <c r="D22" s="4" t="str" xml:space="preserve">
        <v xml:space="preserve">Deliverable - Co-Design and Piloting of accessible multi-peril insurance instruments for smallholder farmers, incorporating coverage for human–wildlife conflict risks.
Indicator: Number of multiperil insurance cover mechanisms that covers human wildlife conflicts</v>
      </c>
      <c r="E22" s="4" t="str">
        <v>Number of innovations (innovation development)</v>
      </c>
      <c r="F22" s="4" t="str">
        <v>Zimbabwe</v>
      </c>
      <c r="G22" s="5">
        <v>1</v>
      </c>
      <c r="H22" s="5">
        <v>50000</v>
      </c>
      <c r="I22" s="4" t="str">
        <v>.</v>
      </c>
      <c r="J22" s="4">
        <v>7402</v>
      </c>
    </row>
    <row r="23" ht="25" customHeight="1">
      <c r="C23" s="9" t="str">
        <v>HLO budget subtotal</v>
      </c>
      <c r="H23" s="9">
        <v>185650</v>
      </c>
      <c r="J23" s="9" t="str">
        <v/>
      </c>
    </row>
    <row r="24" ht="50" customHeight="1" xml:space="preserve">
      <c r="A24" s="8" t="str">
        <v>AOW04: Governance, Institutions, Policy, and Inclusion</v>
      </c>
      <c r="B24" s="4" t="str">
        <v>CIMMYT</v>
      </c>
      <c r="C24" s="4" t="str">
        <v>OP 4.1.2 GEYSI for co-creation and inclusive governance</v>
      </c>
      <c r="D24" s="4" t="str" xml:space="preserve">
        <v xml:space="preserve">Deliverable: Qualitative research and participatory analysis on women’s leadership in seed systems and biodiversity conservation in multifunctional landscapes.
Indicator:  Number of analytical assessments (reports) produced on barriers, enablers, and opportunities for women’s leadership in seed systems and biodiversity conservation
</v>
      </c>
      <c r="E24" s="4" t="str">
        <v>Number of knowledge products</v>
      </c>
      <c r="F24" s="4" t="str">
        <v>Colombia</v>
      </c>
      <c r="G24" s="5">
        <v>1</v>
      </c>
      <c r="H24" s="5">
        <v>50000</v>
      </c>
      <c r="I24" s="4" t="str">
        <v>.</v>
      </c>
      <c r="J24" s="4">
        <v>5273</v>
      </c>
    </row>
    <row r="25" ht="50" customHeight="1" xml:space="preserve">
      <c r="B25" s="4" t="str">
        <v>CIMMYT</v>
      </c>
      <c r="D25" s="4" t="str" xml:space="preserve">
        <v xml:space="preserve">Deliverable: Youth and women agency and policy change assessment
Indicator: Number of youth and women who are trained or exposed to the women agency assessment findings
</v>
      </c>
      <c r="E25" s="4" t="str">
        <v>Number of people trained (capacity sharing for development)</v>
      </c>
      <c r="F25" s="4" t="str">
        <v>Zimbabwe</v>
      </c>
      <c r="G25" s="5">
        <v>100</v>
      </c>
      <c r="H25" s="5">
        <v>18000</v>
      </c>
      <c r="I25" s="4" t="str">
        <v>.</v>
      </c>
      <c r="J25" s="4">
        <v>5274</v>
      </c>
    </row>
    <row r="26" ht="50" customHeight="1" xml:space="preserve">
      <c r="B26" s="4" t="str">
        <v>CIMMYT</v>
      </c>
      <c r="D26" s="4" t="str" xml:space="preserve">
        <v xml:space="preserve">Deliverable: Evidence on youth and Indigenous leadership in multifunctional landscapes
Indicator: Number of knowledge products analyzing youth and Indigenous leadership in multifunctional landscape
</v>
      </c>
      <c r="E26" s="4" t="str">
        <v>Number of knowledge products</v>
      </c>
      <c r="F26" s="4" t="str">
        <v>Colombia</v>
      </c>
      <c r="G26" s="5">
        <v>1</v>
      </c>
      <c r="H26" s="5">
        <v>5469</v>
      </c>
      <c r="I26" s="4" t="str">
        <v>.</v>
      </c>
      <c r="J26" s="4">
        <v>5275</v>
      </c>
    </row>
    <row r="27" ht="50" customHeight="1" xml:space="preserve">
      <c r="A27" s="4" t="str">
        <v>AOW04: Governance, Institutions, Policy, and Inclusion</v>
      </c>
      <c r="B27" s="4" t="str">
        <v>CIMMYT</v>
      </c>
      <c r="C27" s="4" t="str">
        <v>OP 4.3.2. Engagement frameworks and pilots</v>
      </c>
      <c r="D27" s="4" t="str" xml:space="preserve">
        <v xml:space="preserve">Deliverable: MFL teams and partners develop roadmaps  to strengthen 1) inclusive and equitable transdisciplinary science and 2) co-production pathways for just transitions in multifunctional landscapes - in 2 MFL sites (Zimbabwe and Ethiopia)
Indicator: Number of partners engaged in development of roadmaps</v>
      </c>
      <c r="E27" s="4" t="str">
        <v>custom</v>
      </c>
      <c r="F27" s="4" t="str">
        <v>Zimbabwe, Ethiopia</v>
      </c>
      <c r="G27" s="5">
        <v>4</v>
      </c>
      <c r="H27" s="5">
        <v>17000</v>
      </c>
      <c r="I27" s="4" t="str">
        <v>.</v>
      </c>
      <c r="J27" s="4">
        <v>7466</v>
      </c>
    </row>
    <row r="28" ht="25" customHeight="1">
      <c r="C28" s="9" t="str">
        <v>HLO budget subtotal</v>
      </c>
      <c r="H28" s="9">
        <v>90469</v>
      </c>
      <c r="J28" s="9" t="str">
        <v/>
      </c>
    </row>
    <row r="29" ht="50" customHeight="1" xml:space="preserve">
      <c r="A29" s="8" t="str">
        <v>AOW05: Performance Assessments &amp; Evidence Generation</v>
      </c>
      <c r="B29" s="4" t="str">
        <v>CIMMYT</v>
      </c>
      <c r="C29" s="4" t="str">
        <v>OP 5.1.3. Cross-CGIAR assessment frameworks of impact indicators</v>
      </c>
      <c r="D29" s="4" t="str" xml:space="preserve">
        <v xml:space="preserve">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v>
      </c>
      <c r="E29" s="4" t="str">
        <v>Number of knowledge products</v>
      </c>
      <c r="F29" s="4" t="str">
        <v>Kenya, Zimbabwe, Nepal, Zambia, Malawi</v>
      </c>
      <c r="G29" s="5">
        <v>6</v>
      </c>
      <c r="H29" s="5">
        <v>80938</v>
      </c>
      <c r="I29" s="4" t="str">
        <v>.</v>
      </c>
      <c r="J29" s="4">
        <v>5290</v>
      </c>
    </row>
    <row r="30" ht="50" customHeight="1" xml:space="preserve">
      <c r="A30" s="4" t="str">
        <v>AOW05: Performance Assessments &amp; Evidence Generation</v>
      </c>
      <c r="B30" s="4" t="str">
        <v>CIMMYT</v>
      </c>
      <c r="C30" s="4" t="str">
        <v>OP 5.2.2. AI-assisted monitoring system</v>
      </c>
      <c r="D30"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mobile tools for communities to track ecosystem services and disservices</v>
      </c>
      <c r="E30" s="4" t="str">
        <v>Number of innovations (innovation development)</v>
      </c>
      <c r="F30" s="4" t="str">
        <v>Zimbabwe</v>
      </c>
      <c r="G30" s="5">
        <v>1</v>
      </c>
      <c r="H30" s="5">
        <v>60000</v>
      </c>
      <c r="I30" s="4" t="str">
        <v>.</v>
      </c>
      <c r="J30" s="4">
        <v>7444</v>
      </c>
    </row>
    <row r="31" ht="25" customHeight="1">
      <c r="C31" s="9" t="str">
        <v>HLO budget subtotal</v>
      </c>
      <c r="H31" s="9">
        <v>140938</v>
      </c>
      <c r="J31" s="9" t="str">
        <v/>
      </c>
    </row>
  </sheetData>
  <mergeCells count="22">
    <mergeCell ref="A1:A2"/>
    <mergeCell ref="B1:B2"/>
    <mergeCell ref="C1:C2"/>
    <mergeCell ref="D1:H1"/>
    <mergeCell ref="I1:I2"/>
    <mergeCell ref="J1:J2"/>
    <mergeCell ref="C3:C7"/>
    <mergeCell ref="C8:C9"/>
    <mergeCell ref="C12:G12"/>
    <mergeCell ref="A3:A12"/>
    <mergeCell ref="C13:C14"/>
    <mergeCell ref="C15:C18"/>
    <mergeCell ref="C19:G19"/>
    <mergeCell ref="A13:A19"/>
    <mergeCell ref="C20:C21"/>
    <mergeCell ref="C23:G23"/>
    <mergeCell ref="A20:A23"/>
    <mergeCell ref="C24:C26"/>
    <mergeCell ref="C28:G28"/>
    <mergeCell ref="A24:A28"/>
    <mergeCell ref="C31:G31"/>
    <mergeCell ref="A29:A31"/>
  </mergeCells>
  <ignoredErrors>
    <ignoredError numberStoredAsText="1" sqref="A1:J31"/>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V0165-ACIAR-ICCCAD</v>
      </c>
      <c r="C2" s="4" t="str">
        <v>OP 4.1.1. Inclusive governance architectures</v>
      </c>
      <c r="D2" s="5">
        <v>76160</v>
      </c>
      <c r="E2" s="4" t="str">
        <v>.</v>
      </c>
      <c r="F2" s="4">
        <v>1040</v>
      </c>
    </row>
    <row r="3" ht="60" customHeight="1" xml:space="preserve">
      <c r="A3" s="4" t="str">
        <v>CIMMYT</v>
      </c>
      <c r="B3" s="4" t="str">
        <v>V0179-Intercropping project CROP/2022/111</v>
      </c>
      <c r="C3"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3" s="5">
        <v>438515</v>
      </c>
      <c r="E3" s="4" t="str">
        <v>.</v>
      </c>
      <c r="F3" s="4">
        <v>1029</v>
      </c>
    </row>
    <row r="4" ht="25" customHeight="1">
      <c r="B4" s="9" t="str">
        <v>W3/Bilateral budget subtotal</v>
      </c>
      <c r="D4" s="9">
        <v>514675</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CIMMYT</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607</v>
      </c>
    </row>
    <row r="3" ht="60" customHeight="1">
      <c r="A3" s="4" t="str">
        <v>AOW00: Cross Cutting</v>
      </c>
      <c r="B3" s="4" t="str">
        <v>CIMMYT</v>
      </c>
      <c r="C3" s="4" t="str">
        <v>Outcome Evidencing/Outcome Trajectory Studies</v>
      </c>
      <c r="D3"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3" s="4" t="str">
        <v>N/A</v>
      </c>
      <c r="F3" s="5">
        <v>0</v>
      </c>
      <c r="G3" s="4" t="str">
        <v/>
      </c>
      <c r="H3" s="4">
        <v>616</v>
      </c>
    </row>
    <row r="4" ht="60" customHeight="1">
      <c r="A4" s="4" t="str">
        <v>AOW00: Cross Cutting</v>
      </c>
      <c r="B4" s="4" t="str">
        <v>CIMMYT</v>
      </c>
      <c r="C4" s="4" t="str">
        <v>Partnership quality evaluation tool</v>
      </c>
      <c r="D4" s="4" t="str">
        <v>I-OC 5.1 Partners in MFL Living Landscapes sites demonstrate strengthened capacity to articulate, communicate, and actively influence the uptake of MFL knowledge in policy arenas, scientific communities, and practitioner networks.</v>
      </c>
      <c r="E4" s="4" t="str">
        <v>N/A</v>
      </c>
      <c r="F4" s="5">
        <v>0</v>
      </c>
      <c r="G4" s="4" t="str">
        <v/>
      </c>
      <c r="H4" s="4">
        <v>636</v>
      </c>
    </row>
    <row r="5" ht="25" customHeight="1">
      <c r="C5" s="9" t="str">
        <v>MELIA budget subtotal</v>
      </c>
      <c r="F5" s="9">
        <v>0</v>
      </c>
      <c r="G5" s="9" t="str">
        <v/>
      </c>
      <c r="H5" s="9" t="str">
        <v/>
      </c>
    </row>
    <row r="6" ht="60" customHeight="1">
      <c r="A6" s="8" t="str">
        <v>AOW01: Agroecology+ Solutions &amp; Innovations</v>
      </c>
      <c r="B6" s="4" t="str">
        <v>CIMMYT</v>
      </c>
      <c r="C6" s="4" t="str">
        <v>Actor engagement and outcome tracking</v>
      </c>
      <c r="D6"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6" s="4" t="str">
        <v>N/A</v>
      </c>
      <c r="F6" s="5">
        <v>0</v>
      </c>
      <c r="G6" s="4" t="str">
        <v/>
      </c>
      <c r="H6" s="4">
        <v>601</v>
      </c>
    </row>
    <row r="7" ht="60" customHeight="1">
      <c r="A7" s="4" t="str">
        <v>AOW01: Agroecology+ Solutions &amp; Innovations</v>
      </c>
      <c r="B7" s="4" t="str">
        <v>CIMMYT</v>
      </c>
      <c r="C7" s="4" t="str">
        <v>Partnership quality evaluation tool</v>
      </c>
      <c r="D7" s="4" t="str">
        <v>I-OC 5.1 Partners in MFL Living Landscapes sites demonstrate strengthened capacity to articulate, communicate, and actively influence the uptake of MFL knowledge in policy arenas, scientific communities, and practitioner networks.</v>
      </c>
      <c r="E7" s="4" t="str">
        <v>N/A</v>
      </c>
      <c r="F7" s="5">
        <v>0</v>
      </c>
      <c r="G7" s="4" t="str">
        <v/>
      </c>
      <c r="H7" s="4">
        <v>631</v>
      </c>
    </row>
    <row r="8" ht="25" customHeight="1">
      <c r="C8" s="9" t="str">
        <v>MELIA budget subtotal</v>
      </c>
      <c r="F8" s="9">
        <v>0</v>
      </c>
      <c r="G8" s="9" t="str">
        <v/>
      </c>
      <c r="H8" s="9" t="str">
        <v/>
      </c>
    </row>
    <row r="9" ht="60" customHeight="1">
      <c r="A9" s="8" t="str">
        <v>AOW02: Landscape Optimization and Inclusive Planning</v>
      </c>
      <c r="B9" s="4" t="str">
        <v>CIMMYT</v>
      </c>
      <c r="C9" s="4" t="str">
        <v>Actor engagement and outcome tracking</v>
      </c>
      <c r="D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9" s="4" t="str">
        <v>N/A</v>
      </c>
      <c r="F9" s="5">
        <v>0</v>
      </c>
      <c r="G9" s="4" t="str">
        <v/>
      </c>
      <c r="H9" s="4">
        <v>595</v>
      </c>
    </row>
    <row r="10" ht="25" customHeight="1">
      <c r="C10" s="9" t="str">
        <v>MELIA budget subtotal</v>
      </c>
      <c r="F10" s="9">
        <v>0</v>
      </c>
      <c r="G10" s="9" t="str">
        <v/>
      </c>
      <c r="H10" s="9" t="str">
        <v/>
      </c>
    </row>
    <row r="11" ht="60" customHeight="1">
      <c r="A11" s="8" t="str">
        <v>AOW03: Business Models, Markets, and Sustainable Finance</v>
      </c>
      <c r="B11" s="4" t="str">
        <v>CIMMYT</v>
      </c>
      <c r="C11" s="4" t="str">
        <v>Actor engagement and outcome tracking</v>
      </c>
      <c r="D11"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1" s="4" t="str">
        <v>N/A</v>
      </c>
      <c r="F11" s="5">
        <v>0</v>
      </c>
      <c r="G11" s="4" t="str">
        <v/>
      </c>
      <c r="H11" s="4">
        <v>577</v>
      </c>
    </row>
    <row r="12" ht="25" customHeight="1">
      <c r="C12" s="9" t="str">
        <v>MELIA budget subtotal</v>
      </c>
      <c r="F12" s="9">
        <v>0</v>
      </c>
      <c r="G12" s="9" t="str">
        <v/>
      </c>
      <c r="H12" s="9" t="str">
        <v/>
      </c>
    </row>
    <row r="13" ht="60" customHeight="1">
      <c r="A13" s="8" t="str">
        <v>AOW04: Governance, Institutions, Policy, and Inclusion</v>
      </c>
      <c r="B13" s="4" t="str">
        <v>CIMMYT</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583</v>
      </c>
    </row>
    <row r="14" ht="25" customHeight="1">
      <c r="C14" s="9" t="str">
        <v>MELIA budget subtotal</v>
      </c>
      <c r="F14" s="9">
        <v>0</v>
      </c>
      <c r="G14" s="9" t="str">
        <v/>
      </c>
      <c r="H14" s="9" t="str">
        <v/>
      </c>
    </row>
    <row r="15" ht="60" customHeight="1">
      <c r="A15" s="8" t="str">
        <v>AOW05: Performance Assessments &amp; Evidence Generation</v>
      </c>
      <c r="B15" s="4" t="str">
        <v>CIMMYT</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589</v>
      </c>
    </row>
    <row r="16" ht="60" customHeight="1">
      <c r="A16" s="4" t="str">
        <v>AOW05: Performance Assessments &amp; Evidence Generation</v>
      </c>
      <c r="B16" s="4" t="str">
        <v>CIMMYT</v>
      </c>
      <c r="C16" s="4" t="str">
        <v>Partnership quality evaluation tool</v>
      </c>
      <c r="D16" s="4" t="str">
        <v>I-OC 5.1 Partners in MFL Living Landscapes sites demonstrate strengthened capacity to articulate, communicate, and actively influence the uptake of MFL knowledge in policy arenas, scientific communities, and practitioner networks.</v>
      </c>
      <c r="E16" s="4" t="str">
        <v>N/A</v>
      </c>
      <c r="F16" s="5">
        <v>0</v>
      </c>
      <c r="G16" s="4" t="str">
        <v/>
      </c>
      <c r="H16" s="4">
        <v>626</v>
      </c>
    </row>
    <row r="17" ht="25" customHeight="1">
      <c r="C17" s="9" t="str">
        <v>MELIA budget subtotal</v>
      </c>
      <c r="F17" s="9">
        <v>0</v>
      </c>
      <c r="G17" s="9" t="str">
        <v/>
      </c>
      <c r="H17" s="9" t="str">
        <v/>
      </c>
    </row>
  </sheetData>
  <mergeCells count="12">
    <mergeCell ref="C5:E5"/>
    <mergeCell ref="A2:A5"/>
    <mergeCell ref="C8:E8"/>
    <mergeCell ref="A6:A8"/>
    <mergeCell ref="C10:E10"/>
    <mergeCell ref="A9:A10"/>
    <mergeCell ref="C12:E12"/>
    <mergeCell ref="A11:A12"/>
    <mergeCell ref="C14:E14"/>
    <mergeCell ref="A13:A14"/>
    <mergeCell ref="C17:E17"/>
    <mergeCell ref="A15:A17"/>
  </mergeCells>
  <ignoredErrors>
    <ignoredError numberStoredAsText="1" sqref="A1:H17"/>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136710</v>
      </c>
      <c r="D2" s="5">
        <v>239558</v>
      </c>
      <c r="E2" s="5">
        <v>129955</v>
      </c>
      <c r="F2" s="5">
        <v>63328</v>
      </c>
      <c r="G2" s="5">
        <v>98656</v>
      </c>
      <c r="H2" s="5">
        <f>=SUM(B2:G2)</f>
        <v>0</v>
      </c>
    </row>
    <row r="3" ht="20" customHeight="1">
      <c r="A3" s="4" t="str">
        <v>Operations (supplies, consultants, travels, workshops, other)</v>
      </c>
      <c r="B3" s="5">
        <v>0</v>
      </c>
      <c r="C3" s="5">
        <v>58590</v>
      </c>
      <c r="D3" s="5">
        <v>102669</v>
      </c>
      <c r="E3" s="5">
        <v>55695</v>
      </c>
      <c r="F3" s="5">
        <v>27141</v>
      </c>
      <c r="G3" s="5">
        <v>42282</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2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Agroecology+ Solutions &amp; Innovations</v>
      </c>
      <c r="B2" s="4" t="str">
        <v>CIMMYT</v>
      </c>
      <c r="C2" s="4" t="str">
        <v>Kenya</v>
      </c>
      <c r="D2" s="5">
        <v>5</v>
      </c>
      <c r="E2" s="4">
        <v>2507</v>
      </c>
    </row>
    <row r="3" ht="45" customHeight="1">
      <c r="A3" s="4" t="str">
        <v>AOW01: Agroecology+ Solutions &amp; Innovations</v>
      </c>
      <c r="B3" s="4" t="str">
        <v>CIMMYT</v>
      </c>
      <c r="C3" s="4" t="str">
        <v>Peru</v>
      </c>
      <c r="D3" s="5">
        <v>5</v>
      </c>
      <c r="E3" s="4">
        <v>2508</v>
      </c>
    </row>
    <row r="4" ht="45" customHeight="1">
      <c r="A4" s="4" t="str">
        <v>AOW01: Agroecology+ Solutions &amp; Innovations</v>
      </c>
      <c r="B4" s="4" t="str">
        <v>CIMMYT</v>
      </c>
      <c r="C4" s="4" t="str">
        <v>Senegal</v>
      </c>
      <c r="D4" s="5">
        <v>5</v>
      </c>
      <c r="E4" s="4">
        <v>2510</v>
      </c>
    </row>
    <row r="5" ht="45" customHeight="1">
      <c r="A5" s="4" t="str">
        <v>AOW01: Agroecology+ Solutions &amp; Innovations</v>
      </c>
      <c r="B5" s="4" t="str">
        <v>CIMMYT</v>
      </c>
      <c r="C5" s="4" t="str">
        <v>Tunisia</v>
      </c>
      <c r="D5" s="5">
        <v>5</v>
      </c>
      <c r="E5" s="4">
        <v>2509</v>
      </c>
    </row>
    <row r="6" ht="45" customHeight="1">
      <c r="A6" s="4" t="str">
        <v>AOW01: Agroecology+ Solutions &amp; Innovations</v>
      </c>
      <c r="B6" s="4" t="str">
        <v>CIMMYT</v>
      </c>
      <c r="C6" s="4" t="str">
        <v>Zimbabwe</v>
      </c>
      <c r="D6" s="5">
        <v>80</v>
      </c>
      <c r="E6" s="4">
        <v>2511</v>
      </c>
    </row>
    <row r="7" ht="45" customHeight="1">
      <c r="A7" s="8" t="str">
        <v>AOW02: Landscape Optimization and Inclusive Planning</v>
      </c>
      <c r="B7" s="4" t="str">
        <v>CIMMYT</v>
      </c>
      <c r="C7" s="4" t="str">
        <v>Cambodia</v>
      </c>
      <c r="D7" s="5">
        <v>2</v>
      </c>
      <c r="E7" s="4">
        <v>2523</v>
      </c>
    </row>
    <row r="8" ht="45" customHeight="1">
      <c r="A8" s="4" t="str">
        <v>AOW02: Landscape Optimization and Inclusive Planning</v>
      </c>
      <c r="B8" s="4" t="str">
        <v>CIMMYT</v>
      </c>
      <c r="C8" s="4" t="str">
        <v>Colombia</v>
      </c>
      <c r="D8" s="5">
        <v>5</v>
      </c>
      <c r="E8" s="4">
        <v>2517</v>
      </c>
    </row>
    <row r="9" ht="45" customHeight="1">
      <c r="A9" s="4" t="str">
        <v>AOW02: Landscape Optimization and Inclusive Planning</v>
      </c>
      <c r="B9" s="4" t="str">
        <v>CIMMYT</v>
      </c>
      <c r="C9" s="4" t="str">
        <v>Ethiopia</v>
      </c>
      <c r="D9" s="5">
        <v>5</v>
      </c>
      <c r="E9" s="4">
        <v>2518</v>
      </c>
    </row>
    <row r="10" ht="45" customHeight="1">
      <c r="A10" s="4" t="str">
        <v>AOW02: Landscape Optimization and Inclusive Planning</v>
      </c>
      <c r="B10" s="4" t="str">
        <v>CIMMYT</v>
      </c>
      <c r="C10" s="4" t="str">
        <v>Kenya</v>
      </c>
      <c r="D10" s="5">
        <v>5</v>
      </c>
      <c r="E10" s="4">
        <v>2519</v>
      </c>
    </row>
    <row r="11" ht="45" customHeight="1">
      <c r="A11" s="4" t="str">
        <v>AOW02: Landscape Optimization and Inclusive Planning</v>
      </c>
      <c r="B11" s="4" t="str">
        <v>CIMMYT</v>
      </c>
      <c r="C11" s="4" t="str">
        <v>Lao People's Democratic Republic</v>
      </c>
      <c r="D11" s="5">
        <v>2</v>
      </c>
      <c r="E11" s="4">
        <v>2524</v>
      </c>
    </row>
    <row r="12" ht="45" customHeight="1">
      <c r="A12" s="4" t="str">
        <v>AOW02: Landscape Optimization and Inclusive Planning</v>
      </c>
      <c r="B12" s="4" t="str">
        <v>CIMMYT</v>
      </c>
      <c r="C12" s="4" t="str">
        <v>Peru</v>
      </c>
      <c r="D12" s="5">
        <v>5</v>
      </c>
      <c r="E12" s="4">
        <v>2520</v>
      </c>
    </row>
    <row r="13" ht="45" customHeight="1">
      <c r="A13" s="4" t="str">
        <v>AOW02: Landscape Optimization and Inclusive Planning</v>
      </c>
      <c r="B13" s="4" t="str">
        <v>CIMMYT</v>
      </c>
      <c r="C13" s="4" t="str">
        <v>Senegal</v>
      </c>
      <c r="D13" s="5">
        <v>5</v>
      </c>
      <c r="E13" s="4">
        <v>2521</v>
      </c>
    </row>
    <row r="14" ht="45" customHeight="1">
      <c r="A14" s="4" t="str">
        <v>AOW02: Landscape Optimization and Inclusive Planning</v>
      </c>
      <c r="B14" s="4" t="str">
        <v>CIMMYT</v>
      </c>
      <c r="C14" s="4" t="str">
        <v>The Socialist Republic of Viet Nam</v>
      </c>
      <c r="D14" s="5">
        <v>2</v>
      </c>
      <c r="E14" s="4">
        <v>2525</v>
      </c>
    </row>
    <row r="15" ht="45" customHeight="1">
      <c r="A15" s="4" t="str">
        <v>AOW02: Landscape Optimization and Inclusive Planning</v>
      </c>
      <c r="B15" s="4" t="str">
        <v>CIMMYT</v>
      </c>
      <c r="C15" s="4" t="str">
        <v>Zimbabwe</v>
      </c>
      <c r="D15" s="5">
        <v>69</v>
      </c>
      <c r="E15" s="4">
        <v>2526</v>
      </c>
    </row>
    <row r="16" ht="45" customHeight="1">
      <c r="A16" s="8" t="str">
        <v>AOW03: Business Models, Markets, and Sustainable Finance</v>
      </c>
      <c r="B16" s="4" t="str">
        <v>CIMMYT</v>
      </c>
      <c r="C16" s="4" t="str">
        <v>Ethiopia</v>
      </c>
      <c r="D16" s="5">
        <v>20</v>
      </c>
      <c r="E16" s="4">
        <v>2481</v>
      </c>
    </row>
    <row r="17" ht="45" customHeight="1">
      <c r="A17" s="4" t="str">
        <v>AOW03: Business Models, Markets, and Sustainable Finance</v>
      </c>
      <c r="B17" s="4" t="str">
        <v>CIMMYT</v>
      </c>
      <c r="C17" s="4" t="str">
        <v>Zimbabwe</v>
      </c>
      <c r="D17" s="5">
        <v>80</v>
      </c>
      <c r="E17" s="4">
        <v>2480</v>
      </c>
    </row>
    <row r="18" ht="45" customHeight="1">
      <c r="A18" s="8" t="str">
        <v>AOW04: Governance, Institutions, Policy, and Inclusion</v>
      </c>
      <c r="B18" s="4" t="str">
        <v>CIMMYT</v>
      </c>
      <c r="C18" s="4" t="str">
        <v>Colombia</v>
      </c>
      <c r="D18" s="5">
        <v>55</v>
      </c>
      <c r="E18" s="4">
        <v>2496</v>
      </c>
    </row>
    <row r="19" ht="45" customHeight="1">
      <c r="A19" s="4" t="str">
        <v>AOW04: Governance, Institutions, Policy, and Inclusion</v>
      </c>
      <c r="B19" s="4" t="str">
        <v>CIMMYT</v>
      </c>
      <c r="C19" s="4" t="str">
        <v>Ethiopia</v>
      </c>
      <c r="D19" s="5">
        <v>10</v>
      </c>
      <c r="E19" s="4">
        <v>2497</v>
      </c>
    </row>
    <row r="20" ht="45" customHeight="1">
      <c r="A20" s="4" t="str">
        <v>AOW04: Governance, Institutions, Policy, and Inclusion</v>
      </c>
      <c r="B20" s="4" t="str">
        <v>CIMMYT</v>
      </c>
      <c r="C20" s="4" t="str">
        <v>Zimbabwe</v>
      </c>
      <c r="D20" s="5">
        <v>35</v>
      </c>
      <c r="E20" s="4">
        <v>2498</v>
      </c>
    </row>
    <row r="21" ht="45" customHeight="1">
      <c r="A21" s="8" t="str">
        <v>AOW05: Performance Assessments &amp; Evidence Generation</v>
      </c>
      <c r="B21" s="4" t="str">
        <v>CIMMYT</v>
      </c>
      <c r="C21" s="4" t="str">
        <v>Kenya</v>
      </c>
      <c r="D21" s="5">
        <v>10</v>
      </c>
      <c r="E21" s="4">
        <v>2530</v>
      </c>
    </row>
    <row r="22" ht="45" customHeight="1">
      <c r="A22" s="4" t="str">
        <v>AOW05: Performance Assessments &amp; Evidence Generation</v>
      </c>
      <c r="B22" s="4" t="str">
        <v>CIMMYT</v>
      </c>
      <c r="C22" s="4" t="str">
        <v>Malawi</v>
      </c>
      <c r="D22" s="5">
        <v>10</v>
      </c>
      <c r="E22" s="4">
        <v>2531</v>
      </c>
    </row>
    <row r="23" ht="45" customHeight="1">
      <c r="A23" s="4" t="str">
        <v>AOW05: Performance Assessments &amp; Evidence Generation</v>
      </c>
      <c r="B23" s="4" t="str">
        <v>CIMMYT</v>
      </c>
      <c r="C23" s="4" t="str">
        <v>Nepal</v>
      </c>
      <c r="D23" s="5">
        <v>10</v>
      </c>
      <c r="E23" s="4">
        <v>2532</v>
      </c>
    </row>
    <row r="24" ht="45" customHeight="1">
      <c r="A24" s="4" t="str">
        <v>AOW05: Performance Assessments &amp; Evidence Generation</v>
      </c>
      <c r="B24" s="4" t="str">
        <v>CIMMYT</v>
      </c>
      <c r="C24" s="4" t="str">
        <v>Zambia</v>
      </c>
      <c r="D24" s="5">
        <v>10</v>
      </c>
      <c r="E24" s="4">
        <v>2533</v>
      </c>
    </row>
    <row r="25" ht="45" customHeight="1">
      <c r="A25" s="4" t="str">
        <v>AOW05: Performance Assessments &amp; Evidence Generation</v>
      </c>
      <c r="B25" s="4" t="str">
        <v>CIMMYT</v>
      </c>
      <c r="C25" s="4" t="str">
        <v>Zimbabwe</v>
      </c>
      <c r="D25" s="5">
        <v>60</v>
      </c>
      <c r="E25" s="4">
        <v>2534</v>
      </c>
    </row>
  </sheetData>
  <mergeCells count="5">
    <mergeCell ref="A2:A6"/>
    <mergeCell ref="A7:A15"/>
    <mergeCell ref="A16:A17"/>
    <mergeCell ref="A18:A20"/>
    <mergeCell ref="A21:A25"/>
  </mergeCells>
  <ignoredErrors>
    <ignoredError numberStoredAsText="1" sqref="A1:E25"/>
  </ignoredErrors>
</worksheet>
</file>

<file path=xl/worksheets/sheet9.xml><?xml version="1.0" encoding="utf-8"?>
<worksheet xmlns="http://schemas.openxmlformats.org/spreadsheetml/2006/main" xmlns:r="http://schemas.openxmlformats.org/officeDocument/2006/relationships">
  <dimension ref="A1:F2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Agroecology+ Solutions &amp; Innovations</v>
      </c>
      <c r="B2" s="4" t="str">
        <v>CIMMYT</v>
      </c>
      <c r="C2" s="4" t="str">
        <v>Kenya</v>
      </c>
      <c r="D2" s="4" t="str">
        <v>country</v>
      </c>
      <c r="E2" s="5">
        <v>5</v>
      </c>
      <c r="F2" s="4">
        <v>1321</v>
      </c>
    </row>
    <row r="3" ht="45" customHeight="1">
      <c r="A3" s="4" t="str">
        <v>AOW01: Agroecology+ Solutions &amp; Innovations</v>
      </c>
      <c r="B3" s="4" t="str">
        <v>CIMMYT</v>
      </c>
      <c r="C3" s="4" t="str">
        <v>Peru</v>
      </c>
      <c r="D3" s="4" t="str">
        <v>country</v>
      </c>
      <c r="E3" s="5">
        <v>5</v>
      </c>
      <c r="F3" s="4">
        <v>1322</v>
      </c>
    </row>
    <row r="4" ht="45" customHeight="1">
      <c r="A4" s="4" t="str">
        <v>AOW01: Agroecology+ Solutions &amp; Innovations</v>
      </c>
      <c r="B4" s="4" t="str">
        <v>CIMMYT</v>
      </c>
      <c r="C4" s="4" t="str">
        <v>Senegal</v>
      </c>
      <c r="D4" s="4" t="str">
        <v>country</v>
      </c>
      <c r="E4" s="5">
        <v>5</v>
      </c>
      <c r="F4" s="4">
        <v>1323</v>
      </c>
    </row>
    <row r="5" ht="45" customHeight="1">
      <c r="A5" s="4" t="str">
        <v>AOW01: Agroecology+ Solutions &amp; Innovations</v>
      </c>
      <c r="B5" s="4" t="str">
        <v>CIMMYT</v>
      </c>
      <c r="C5" s="4" t="str">
        <v>Tunisia</v>
      </c>
      <c r="D5" s="4" t="str">
        <v>country</v>
      </c>
      <c r="E5" s="5">
        <v>5</v>
      </c>
      <c r="F5" s="4">
        <v>1324</v>
      </c>
    </row>
    <row r="6" ht="45" customHeight="1">
      <c r="A6" s="4" t="str">
        <v>AOW01: Agroecology+ Solutions &amp; Innovations</v>
      </c>
      <c r="B6" s="4" t="str">
        <v>CIMMYT</v>
      </c>
      <c r="C6" s="4" t="str">
        <v>United Republic</v>
      </c>
      <c r="D6" s="4" t="str">
        <v>country</v>
      </c>
      <c r="E6" s="5">
        <v>0</v>
      </c>
      <c r="F6" s="4">
        <v>1320</v>
      </c>
    </row>
    <row r="7" ht="45" customHeight="1">
      <c r="A7" s="4" t="str">
        <v>AOW01: Agroecology+ Solutions &amp; Innovations</v>
      </c>
      <c r="B7" s="4" t="str">
        <v>CIMMYT</v>
      </c>
      <c r="C7" s="4" t="str">
        <v>Zimbabwe</v>
      </c>
      <c r="D7" s="4" t="str">
        <v>country</v>
      </c>
      <c r="E7" s="5">
        <v>80</v>
      </c>
      <c r="F7" s="4">
        <v>1319</v>
      </c>
    </row>
    <row r="8" ht="45" customHeight="1">
      <c r="A8" s="8" t="str">
        <v>AOW02: Landscape Optimization and Inclusive Planning</v>
      </c>
      <c r="B8" s="4" t="str">
        <v>CIMMYT</v>
      </c>
      <c r="C8" s="4" t="str">
        <v>Cambodia</v>
      </c>
      <c r="D8" s="4" t="str">
        <v>country</v>
      </c>
      <c r="E8" s="5">
        <v>2</v>
      </c>
      <c r="F8" s="4">
        <v>1311</v>
      </c>
    </row>
    <row r="9" ht="45" customHeight="1">
      <c r="A9" s="4" t="str">
        <v>AOW02: Landscape Optimization and Inclusive Planning</v>
      </c>
      <c r="B9" s="4" t="str">
        <v>CIMMYT</v>
      </c>
      <c r="C9" s="4" t="str">
        <v>Colombia</v>
      </c>
      <c r="D9" s="4" t="str">
        <v>country</v>
      </c>
      <c r="E9" s="5">
        <v>5</v>
      </c>
      <c r="F9" s="4">
        <v>1312</v>
      </c>
    </row>
    <row r="10" ht="45" customHeight="1">
      <c r="A10" s="4" t="str">
        <v>AOW02: Landscape Optimization and Inclusive Planning</v>
      </c>
      <c r="B10" s="4" t="str">
        <v>CIMMYT</v>
      </c>
      <c r="C10" s="4" t="str">
        <v>Ethiopia</v>
      </c>
      <c r="D10" s="4" t="str">
        <v>country</v>
      </c>
      <c r="E10" s="5">
        <v>5</v>
      </c>
      <c r="F10" s="4">
        <v>1313</v>
      </c>
    </row>
    <row r="11" ht="45" customHeight="1">
      <c r="A11" s="4" t="str">
        <v>AOW02: Landscape Optimization and Inclusive Planning</v>
      </c>
      <c r="B11" s="4" t="str">
        <v>CIMMYT</v>
      </c>
      <c r="C11" s="4" t="str">
        <v>Kenya</v>
      </c>
      <c r="D11" s="4" t="str">
        <v>country</v>
      </c>
      <c r="E11" s="5">
        <v>5</v>
      </c>
      <c r="F11" s="4">
        <v>1314</v>
      </c>
    </row>
    <row r="12" ht="45" customHeight="1">
      <c r="A12" s="4" t="str">
        <v>AOW02: Landscape Optimization and Inclusive Planning</v>
      </c>
      <c r="B12" s="4" t="str">
        <v>CIMMYT</v>
      </c>
      <c r="C12" s="4" t="str">
        <v>Lao People's Democratic Republic</v>
      </c>
      <c r="D12" s="4" t="str">
        <v>country</v>
      </c>
      <c r="E12" s="5">
        <v>2</v>
      </c>
      <c r="F12" s="4">
        <v>1315</v>
      </c>
    </row>
    <row r="13" ht="45" customHeight="1">
      <c r="A13" s="4" t="str">
        <v>AOW02: Landscape Optimization and Inclusive Planning</v>
      </c>
      <c r="B13" s="4" t="str">
        <v>CIMMYT</v>
      </c>
      <c r="C13" s="4" t="str">
        <v>Peru</v>
      </c>
      <c r="D13" s="4" t="str">
        <v>country</v>
      </c>
      <c r="E13" s="5">
        <v>5</v>
      </c>
      <c r="F13" s="4">
        <v>1316</v>
      </c>
    </row>
    <row r="14" ht="45" customHeight="1">
      <c r="A14" s="4" t="str">
        <v>AOW02: Landscape Optimization and Inclusive Planning</v>
      </c>
      <c r="B14" s="4" t="str">
        <v>CIMMYT</v>
      </c>
      <c r="C14" s="4" t="str">
        <v>Senegal</v>
      </c>
      <c r="D14" s="4" t="str">
        <v>country</v>
      </c>
      <c r="E14" s="5">
        <v>5</v>
      </c>
      <c r="F14" s="4">
        <v>1317</v>
      </c>
    </row>
    <row r="15" ht="45" customHeight="1">
      <c r="A15" s="4" t="str">
        <v>AOW02: Landscape Optimization and Inclusive Planning</v>
      </c>
      <c r="B15" s="4" t="str">
        <v>CIMMYT</v>
      </c>
      <c r="C15" s="4" t="str">
        <v>The Socialist Republic of Viet Nam</v>
      </c>
      <c r="D15" s="4" t="str">
        <v>country</v>
      </c>
      <c r="E15" s="5">
        <v>2</v>
      </c>
      <c r="F15" s="4">
        <v>1318</v>
      </c>
    </row>
    <row r="16" ht="45" customHeight="1">
      <c r="A16" s="4" t="str">
        <v>AOW02: Landscape Optimization and Inclusive Planning</v>
      </c>
      <c r="B16" s="4" t="str">
        <v>CIMMYT</v>
      </c>
      <c r="C16" s="4" t="str">
        <v>United Republic</v>
      </c>
      <c r="D16" s="4" t="str">
        <v>country</v>
      </c>
      <c r="E16" s="5">
        <v>0</v>
      </c>
      <c r="F16" s="4">
        <v>1310</v>
      </c>
    </row>
    <row r="17" ht="45" customHeight="1">
      <c r="A17" s="4" t="str">
        <v>AOW02: Landscape Optimization and Inclusive Planning</v>
      </c>
      <c r="B17" s="4" t="str">
        <v>CIMMYT</v>
      </c>
      <c r="C17" s="4" t="str">
        <v>Zimbabwe</v>
      </c>
      <c r="D17" s="4" t="str">
        <v>country</v>
      </c>
      <c r="E17" s="5">
        <v>69</v>
      </c>
      <c r="F17" s="4">
        <v>1309</v>
      </c>
    </row>
    <row r="18" ht="45" customHeight="1">
      <c r="A18" s="8" t="str">
        <v>AOW03: Business Models, Markets, and Sustainable Finance</v>
      </c>
      <c r="B18" s="4" t="str">
        <v>CIMMYT</v>
      </c>
      <c r="C18" s="4" t="str">
        <v>Global</v>
      </c>
      <c r="D18" s="4" t="str">
        <v>global</v>
      </c>
      <c r="E18" s="5">
        <v>100</v>
      </c>
      <c r="F18" s="4">
        <v>1308</v>
      </c>
    </row>
    <row r="19" ht="45" customHeight="1">
      <c r="A19" s="8" t="str">
        <v>AOW04: Governance, Institutions, Policy, and Inclusion</v>
      </c>
      <c r="B19" s="4" t="str">
        <v>CIMMYT</v>
      </c>
      <c r="C19" s="4" t="str">
        <v>Colombia</v>
      </c>
      <c r="D19" s="4" t="str">
        <v>country</v>
      </c>
      <c r="E19" s="5">
        <v>55</v>
      </c>
      <c r="F19" s="4">
        <v>1306</v>
      </c>
    </row>
    <row r="20" ht="45" customHeight="1">
      <c r="A20" s="4" t="str">
        <v>AOW04: Governance, Institutions, Policy, and Inclusion</v>
      </c>
      <c r="B20" s="4" t="str">
        <v>CIMMYT</v>
      </c>
      <c r="C20" s="4" t="str">
        <v>Ethiopia</v>
      </c>
      <c r="D20" s="4" t="str">
        <v>country</v>
      </c>
      <c r="E20" s="5">
        <v>10</v>
      </c>
      <c r="F20" s="4">
        <v>1307</v>
      </c>
    </row>
    <row r="21" ht="45" customHeight="1">
      <c r="A21" s="4" t="str">
        <v>AOW04: Governance, Institutions, Policy, and Inclusion</v>
      </c>
      <c r="B21" s="4" t="str">
        <v>CIMMYT</v>
      </c>
      <c r="C21" s="4" t="str">
        <v>Zimbabwe</v>
      </c>
      <c r="D21" s="4" t="str">
        <v>country</v>
      </c>
      <c r="E21" s="5">
        <v>35</v>
      </c>
      <c r="F21" s="4">
        <v>1563</v>
      </c>
    </row>
    <row r="22" ht="45" customHeight="1">
      <c r="A22" s="8" t="str">
        <v>AOW05: Performance Assessments &amp; Evidence Generation</v>
      </c>
      <c r="B22" s="4" t="str">
        <v>CIMMYT</v>
      </c>
      <c r="C22" s="4" t="str">
        <v>Global</v>
      </c>
      <c r="D22" s="4" t="str">
        <v>global</v>
      </c>
      <c r="E22" s="5">
        <v>100</v>
      </c>
      <c r="F22" s="4">
        <v>1305</v>
      </c>
    </row>
  </sheetData>
  <mergeCells count="5">
    <mergeCell ref="A2:A7"/>
    <mergeCell ref="A8:A17"/>
    <mergeCell ref="A18"/>
    <mergeCell ref="A19:A21"/>
    <mergeCell ref="A22"/>
  </mergeCells>
  <ignoredErrors>
    <ignoredError numberStoredAsText="1" sqref="A1:F22"/>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