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300000</v>
      </c>
      <c r="K4" s="5">
        <v>300000</v>
      </c>
      <c r="L4" s="5">
        <v>0</v>
      </c>
      <c r="M4" s="5">
        <v>0</v>
      </c>
      <c r="N4" s="4">
        <v>182</v>
      </c>
    </row>
    <row r="5" ht="20" customHeight="1">
      <c r="A5" s="4" t="str">
        <v>AOW01: Agroecology+ Solutions &amp; Innovations</v>
      </c>
      <c r="B5" s="5">
        <v>16</v>
      </c>
      <c r="C5" s="5">
        <v>182996</v>
      </c>
      <c r="D5" s="5">
        <v>0</v>
      </c>
      <c r="E5" s="5">
        <v>0</v>
      </c>
      <c r="F5" s="5">
        <v>0</v>
      </c>
      <c r="G5" s="5">
        <v>0</v>
      </c>
      <c r="H5" s="5">
        <v>450500</v>
      </c>
      <c r="I5" s="5">
        <v>356625</v>
      </c>
      <c r="J5" s="5">
        <v>539621</v>
      </c>
      <c r="K5" s="5">
        <v>539621</v>
      </c>
      <c r="L5" s="5">
        <v>20000</v>
      </c>
      <c r="M5" s="5">
        <v>0</v>
      </c>
      <c r="N5" s="4">
        <v>177</v>
      </c>
    </row>
    <row r="6" ht="20" customHeight="1">
      <c r="A6" s="4" t="str">
        <v>AOW02: Landscape Optimization and Inclusive Planning</v>
      </c>
      <c r="B6" s="5">
        <v>0</v>
      </c>
      <c r="C6" s="5">
        <v>0</v>
      </c>
      <c r="D6" s="5">
        <v>4</v>
      </c>
      <c r="E6" s="5">
        <v>181235</v>
      </c>
      <c r="F6" s="5">
        <v>0</v>
      </c>
      <c r="G6" s="5">
        <v>0</v>
      </c>
      <c r="H6" s="5">
        <v>20000</v>
      </c>
      <c r="I6" s="5">
        <v>140000</v>
      </c>
      <c r="J6" s="5">
        <v>321235</v>
      </c>
      <c r="K6" s="5">
        <v>321235</v>
      </c>
      <c r="L6" s="5">
        <v>0</v>
      </c>
      <c r="M6" s="5">
        <v>0</v>
      </c>
      <c r="N6" s="4">
        <v>179</v>
      </c>
    </row>
    <row r="7" ht="20" customHeight="1">
      <c r="A7" s="4" t="str">
        <v>AOW03: Business Models, Markets, and Sustainable Finance</v>
      </c>
      <c r="B7" s="5">
        <v>0</v>
      </c>
      <c r="C7" s="5">
        <v>0</v>
      </c>
      <c r="D7" s="5">
        <v>0</v>
      </c>
      <c r="E7" s="5">
        <v>0</v>
      </c>
      <c r="F7" s="5">
        <v>0</v>
      </c>
      <c r="G7" s="5">
        <v>0</v>
      </c>
      <c r="H7" s="5">
        <v>2</v>
      </c>
      <c r="I7" s="5">
        <v>74000</v>
      </c>
      <c r="J7" s="5">
        <v>74000</v>
      </c>
      <c r="K7" s="5">
        <v>74000</v>
      </c>
      <c r="L7" s="5">
        <v>0</v>
      </c>
      <c r="M7" s="5">
        <v>0</v>
      </c>
      <c r="N7" s="4">
        <v>180</v>
      </c>
    </row>
    <row r="8" ht="20" customHeight="1">
      <c r="A8" s="4" t="str">
        <v>AOW04: Governance, Institutions, Policy, and Inclusion</v>
      </c>
      <c r="B8" s="5">
        <v>6</v>
      </c>
      <c r="C8" s="5">
        <v>188395</v>
      </c>
      <c r="D8" s="5">
        <v>11</v>
      </c>
      <c r="E8" s="5">
        <v>239257</v>
      </c>
      <c r="F8" s="5">
        <v>0</v>
      </c>
      <c r="G8" s="5">
        <v>0</v>
      </c>
      <c r="H8" s="5">
        <v>20</v>
      </c>
      <c r="I8" s="5">
        <v>117398</v>
      </c>
      <c r="J8" s="5">
        <v>545050</v>
      </c>
      <c r="K8" s="5">
        <v>545050</v>
      </c>
      <c r="L8" s="5">
        <v>0</v>
      </c>
      <c r="M8" s="5">
        <v>0</v>
      </c>
      <c r="N8" s="4">
        <v>181</v>
      </c>
    </row>
    <row r="9" ht="20" customHeight="1">
      <c r="A9" s="4" t="str">
        <v>AOW05: Performance Assessments &amp; Evidence Generation</v>
      </c>
      <c r="B9" s="5">
        <v>0</v>
      </c>
      <c r="C9" s="5">
        <v>0</v>
      </c>
      <c r="D9" s="5">
        <v>11</v>
      </c>
      <c r="E9" s="5">
        <v>410686</v>
      </c>
      <c r="F9" s="5">
        <v>40</v>
      </c>
      <c r="G9" s="5">
        <v>50000</v>
      </c>
      <c r="H9" s="5">
        <v>0</v>
      </c>
      <c r="I9" s="5">
        <v>0</v>
      </c>
      <c r="J9" s="5">
        <v>460686</v>
      </c>
      <c r="K9" s="5">
        <v>460686</v>
      </c>
      <c r="L9" s="5">
        <v>0</v>
      </c>
      <c r="M9" s="5">
        <v>0</v>
      </c>
      <c r="N9" s="4">
        <v>178</v>
      </c>
    </row>
    <row r="10" ht="25" customHeight="1">
      <c r="A10" s="6" t="str">
        <v>Total</v>
      </c>
      <c r="B10" s="7" t="str">
        <v/>
      </c>
      <c r="C10" s="7">
        <v>371391</v>
      </c>
      <c r="D10" s="7" t="str">
        <v/>
      </c>
      <c r="E10" s="7">
        <v>831178</v>
      </c>
      <c r="F10" s="7" t="str">
        <v/>
      </c>
      <c r="G10" s="7">
        <v>50000</v>
      </c>
      <c r="H10" s="7" t="str">
        <v/>
      </c>
      <c r="I10" s="7">
        <v>688023</v>
      </c>
      <c r="J10" s="7">
        <v>2240592</v>
      </c>
      <c r="K10" s="7">
        <v>2240592</v>
      </c>
      <c r="L10" s="7">
        <v>20000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ILRI</v>
      </c>
      <c r="C3" s="4" t="str">
        <v>OP 1.1.1. – Bundles of farm-level solutions</v>
      </c>
      <c r="D3" s="4" t="str" xml:space="preserve">
        <v xml:space="preserve">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Ethiopia (and additional sites where relevant). 
Indicator: Number of farm-scale biogas digestors installed</v>
      </c>
      <c r="E3" s="4" t="str">
        <v>Number of innovations (innovation development)</v>
      </c>
      <c r="F3" s="4" t="str">
        <v>Ethiopia</v>
      </c>
      <c r="G3" s="5">
        <v>10</v>
      </c>
      <c r="H3" s="5">
        <v>45000</v>
      </c>
      <c r="I3" s="4" t="str">
        <v>.</v>
      </c>
      <c r="J3" s="4">
        <v>5455</v>
      </c>
    </row>
    <row r="4" ht="50" customHeight="1" xml:space="preserve">
      <c r="B4" s="4" t="str">
        <v>ILRI</v>
      </c>
      <c r="D4" s="4" t="str" xml:space="preserve">
        <v xml:space="preserve">Deliverable: Integrating livestock into agroecological and nature-based solutions: Though significant advances have been made in agroecology and nature based solutions, these tend to be without due attention to livestock. This deliverable will address this gap in commencing in two living landscapes - Lake Victoria basin and the Ghibe-Omo basin.  A comprehensive review will be undertaken to identify status of current livestock systems and dynamics, and how these can be integrated into the  agroecology and nature based solutions being implemented by the MFL science program in the landscapes. Innovations to improve livestock following agreed ecological principles will be drawn from SAAFS and adapted for application in MFL  including such as community ecosystem livestock breeding manure biodigesters and drought resilient feeds and forages, and introduced to communities and other landscape stakeholders, tested for scaling. This will be done in a socially inclusive and participatory way working with AoW4.  A link will also be made to AoW5 and the monitoring framework of landscape intervention impacts on such as carbon.
Indicator: Number of livestock-related innovations validated by stakeholders</v>
      </c>
      <c r="E4" s="4" t="str">
        <v>Number of innovations (innovation development)</v>
      </c>
      <c r="F4" s="4" t="str">
        <v>Ethiopia, Kenya</v>
      </c>
      <c r="G4" s="5">
        <v>4</v>
      </c>
      <c r="H4" s="5">
        <v>55000</v>
      </c>
      <c r="I4" s="4" t="str">
        <v>.</v>
      </c>
      <c r="J4" s="4">
        <v>7525</v>
      </c>
    </row>
    <row r="5" ht="50" customHeight="1" xml:space="preserve">
      <c r="A5" s="4" t="str">
        <v>AOW01: Agroecology+ Solutions &amp; Innovations</v>
      </c>
      <c r="B5" s="4" t="str">
        <v>ILRI</v>
      </c>
      <c r="C5" s="4" t="str">
        <v>OP 1.1.3. – Common pool resource bundles</v>
      </c>
      <c r="D5" s="4" t="str" xml:space="preserve">
        <v xml:space="preserve">Deliverable - Participatory Rangeland Management (PRM) Strengthening: Co-develop and implement Participatory Rangeland Management (PRM) processes in  Ethiopia and Tunisia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v>
      </c>
      <c r="E5" s="4" t="str">
        <v>custom</v>
      </c>
      <c r="F5" s="4" t="str">
        <v>Tunisia, Ethiopia</v>
      </c>
      <c r="G5" s="5">
        <v>400000</v>
      </c>
      <c r="H5" s="5">
        <v>271625</v>
      </c>
      <c r="I5" s="4" t="str">
        <v>.</v>
      </c>
      <c r="J5" s="4">
        <v>5482</v>
      </c>
    </row>
    <row r="6" ht="50" customHeight="1" xml:space="preserve">
      <c r="B6" s="4" t="str">
        <v>ILRI</v>
      </c>
      <c r="D6" s="4" t="str" xml:space="preserve">
        <v xml:space="preserve">Deliverable: Common property resources restoration trials and pilots: The restoration of common property such as rangelands requires particular processes and methodologies that work at scale across heterogeneous landscapes and which are set up and managed collectively. Technical restoration trials will be undertaken in the Kapiti Research station, part of the LEILA landscape Including trials to remove  invasive species, establish silvopastoral systems  and soil rehabilitation measures In order to restore lands and optimize.. Additionally, trials will be undertaken in Living Landscape community areas in Kenya, Ethiopia, and Tunisia using the innovation Inclusive Restoration Co-Design (ReCoDe), based on community restoration plans and working through community collective structures. This work will link with activities in AoW5 to ensure social inclusivity. The results of trials and the community piloting will be assessed and documented, to inform the scaling of these restoration activities.
Indicator: Number of hectares targeted under restoration plans</v>
      </c>
      <c r="E6" s="4" t="str">
        <v>custom</v>
      </c>
      <c r="F6" s="4" t="str">
        <v>Ethiopia, Kenya</v>
      </c>
      <c r="G6" s="5">
        <v>50000</v>
      </c>
      <c r="H6" s="5">
        <v>45000</v>
      </c>
      <c r="I6" s="4" t="str">
        <v>.</v>
      </c>
      <c r="J6" s="4">
        <v>7526</v>
      </c>
    </row>
    <row r="7" ht="50" customHeight="1" xml:space="preserve">
      <c r="A7" s="4" t="str">
        <v>AOW01: Agroecology+ Solutions &amp; Innovations</v>
      </c>
      <c r="B7" s="4" t="str">
        <v>ILRI</v>
      </c>
      <c r="C7" s="4" t="str">
        <v>OP 1.2.5. – Nutrition-sensitive innovations</v>
      </c>
      <c r="D7" s="4" t="str" xml:space="preserve">
        <v xml:space="preserve">Deliverable: Strengthen community capacities, institutions, and farmer networks to conserve, restore, and sustainably use agrobiodiversity, with particular emphasis on neglected and underutilized species (NUS). This will be achieved through community-based conservation systems, farmer-managed seed quality maintenance of NUS varieties, and the promotion of rhizobia inoculation to enhance legume productivity, biological nitrogen fixation, and integrated soil–plant health.
Indicator: Number of community seed banks strengthened</v>
      </c>
      <c r="E7" s="4" t="str">
        <v>Number of innovations (innovation development)</v>
      </c>
      <c r="F7" s="4" t="str">
        <v>Kenya, Ethiopia</v>
      </c>
      <c r="G7" s="5">
        <v>2</v>
      </c>
      <c r="H7" s="5">
        <v>82996</v>
      </c>
      <c r="I7" s="4" t="str">
        <v>.</v>
      </c>
      <c r="J7" s="4">
        <v>5499</v>
      </c>
    </row>
    <row r="8" ht="50" customHeight="1" xml:space="preserve">
      <c r="A8" s="4" t="str">
        <v>AOW01: Agroecology+ Solutions &amp; Innovations</v>
      </c>
      <c r="B8" s="4" t="str">
        <v>ILRI</v>
      </c>
      <c r="C8" s="4" t="str">
        <v>OP 1.2.6. – Advisory &amp; training innovations</v>
      </c>
      <c r="D8" s="4" t="str" xml:space="preserve">
        <v xml:space="preserve">Deliverable: Scaling of farmer and pastoralist innovations through positive deviance and farmer-to-farmer networks: Drawing from the experience of positive deviance and farmer-to-farmer networks in SAAFS SP, farmer and pastoralist positive deviance approach  will be used  in two Living Landscapes to identify farmer and pastoralist pioneers who have developed their own innovations to optimize multifunctionality (including for optimizing biodiversity and environmental gains), build climate resilience and improve livelihoods and nutrition. Where agreed, support will be provided to the Pioneers to scale these innovations through farmer-to-farmer networks, supported by capacity building, pioneer farmer exchange technical briefs and manuals etc. Documentation of lessons learned will provide guidance on scaling this approach to other Living Landscapes.
Indicator: Number of farmers engaged in farmer-farmer networks</v>
      </c>
      <c r="E8" s="4" t="str">
        <v>custom</v>
      </c>
      <c r="F8" s="4" t="str">
        <v>Kenya, Ethiopia</v>
      </c>
      <c r="G8" s="5">
        <v>500</v>
      </c>
      <c r="H8" s="5">
        <v>40000</v>
      </c>
      <c r="I8" s="4" t="str">
        <v>.</v>
      </c>
      <c r="J8" s="4">
        <v>7524</v>
      </c>
    </row>
    <row r="9" ht="25" customHeight="1">
      <c r="C9" s="9" t="str">
        <v>HLO budget subtotal</v>
      </c>
      <c r="H9" s="9">
        <v>539621</v>
      </c>
      <c r="J9" s="9" t="str">
        <v/>
      </c>
    </row>
    <row r="10" ht="50" customHeight="1" xml:space="preserve">
      <c r="A10" s="8" t="str">
        <v>AOW02: Landscape Optimization and Inclusive Planning</v>
      </c>
      <c r="B10" s="4" t="str">
        <v>ILRI</v>
      </c>
      <c r="C10" s="4" t="str">
        <v>OP 2.2.3. – Integrated planning &amp; scenarios</v>
      </c>
      <c r="D10" s="4" t="str" xml:space="preserve">
        <v xml:space="preserve">Deliverable - Landscape Optimization and Land-Use Planning in Ethiopia: Develop and pilot an integrated land-use optimization and planning process in the Ethiopia MFL Living Landscape, combining spatial data,  assessments, production system analysis, and stakeholder negotiation to support  optimisation of multifunctionality The process will also be used to build capacity of teams from other MFL Living Landscapes for adaptation and replication. 
Indicator: Number of hectares targeted in integrated multifunctional land use report</v>
      </c>
      <c r="E10" s="4" t="str">
        <v>custom</v>
      </c>
      <c r="F10" s="4" t="str">
        <v>Ethiopia</v>
      </c>
      <c r="G10" s="5">
        <v>20000</v>
      </c>
      <c r="H10" s="5">
        <v>140000</v>
      </c>
      <c r="I10" s="4" t="str">
        <v>.</v>
      </c>
      <c r="J10" s="4">
        <v>5247</v>
      </c>
    </row>
    <row r="11" ht="50" customHeight="1" xml:space="preserve">
      <c r="A11" s="4" t="str">
        <v>AOW02: Landscape Optimization and Inclusive Planning</v>
      </c>
      <c r="B11" s="4" t="str">
        <v>ILRI</v>
      </c>
      <c r="C11" s="4" t="str">
        <v>OP 2.2.2. – Landscape visions &amp; co-developed plans</v>
      </c>
      <c r="D11" s="4" t="str" xml:space="preserve">
        <v xml:space="preserve">Deliverable - Landscape Vision to Action (LV2A) Implementation – Ethiopia: Facilitate multi-stakeholder visioning and priority-setting for the selected action site in Ethiopia, leading to a validated Landscape Vision and Action Framework that identifies shared goals, priority interventions, governance arrangements, and pathways for coordinated implementation.
Indicator: Number of validated Landscape Vision 2 Action plans validated for Ethiopia</v>
      </c>
      <c r="E11" s="4" t="str">
        <v>Number of knowledge products</v>
      </c>
      <c r="F11" s="4" t="str">
        <v>Ethiopia</v>
      </c>
      <c r="G11" s="5">
        <v>1</v>
      </c>
      <c r="H11" s="5">
        <v>52483</v>
      </c>
      <c r="I11" s="4" t="str">
        <v>.</v>
      </c>
      <c r="J11" s="4">
        <v>5384</v>
      </c>
    </row>
    <row r="12" ht="50" customHeight="1">
      <c r="B12" s="4" t="str">
        <v>ILRI</v>
      </c>
      <c r="D12" s="4" t="str">
        <v>Number of multi-stakeholder multifunctional landscape adaptive management plans co-designed that integrate ecological, social, and economic objectives</v>
      </c>
      <c r="E12" s="4" t="str">
        <v>Number of innovations (innovation development)</v>
      </c>
      <c r="F12" s="4" t="str">
        <v>Ethiopia, India, Zimbabwe, Tanzania, United Republic, Colombia, Cambodia, Peru, Kenya, The Socialist Republic of Viet Nam, Lao People's Democratic Republic, Tunisia, Senegal</v>
      </c>
      <c r="G12" s="5">
        <v>3</v>
      </c>
      <c r="H12" s="5">
        <v>0</v>
      </c>
      <c r="I12" s="4" t="str">
        <v/>
      </c>
      <c r="J12" s="4">
        <v>5385</v>
      </c>
    </row>
    <row r="13" ht="50" customHeight="1" xml:space="preserve">
      <c r="A13" s="4" t="str">
        <v>AOW02: Landscape Optimization and Inclusive Planning</v>
      </c>
      <c r="B13" s="4" t="str">
        <v>ILRI</v>
      </c>
      <c r="C13" s="4" t="str">
        <v>OP 2.1.1. – Hotspot mapping &amp; characterization</v>
      </c>
      <c r="D13" s="4" t="str" xml:space="preserve">
        <v xml:space="preserve">Deliverable: A structured citizen science and stakeholder engagement process, including participatory GIS (PGIS) workshops to capture community knowledge, and stakeholder workshops to assess readiness, identify priority needs, and inform the development of spatial decision-support tools.
Indicator: Number of community generated digital maps</v>
      </c>
      <c r="E13" s="4" t="str">
        <v>Number of knowledge products</v>
      </c>
      <c r="F13" s="4" t="str">
        <v>Kenya</v>
      </c>
      <c r="G13" s="5">
        <v>2</v>
      </c>
      <c r="H13" s="5">
        <v>55000</v>
      </c>
      <c r="I13" s="4" t="str">
        <v>.</v>
      </c>
      <c r="J13" s="4">
        <v>7724</v>
      </c>
    </row>
    <row r="14" ht="50" customHeight="1" xml:space="preserve">
      <c r="B14" s="4" t="str">
        <v>ILRI</v>
      </c>
      <c r="D14" s="4" t="str" xml:space="preserve">
        <v xml:space="preserve">Deliverable - Spatial insights and associated geospatial layers on vegetation condition and climate-related stressors to identify priority areas (hotspots),
Indicator: Number of spatial analysis outputs generated </v>
      </c>
      <c r="E14" s="4" t="str">
        <v>Number of knowledge products</v>
      </c>
      <c r="F14" s="4" t="str">
        <v>Kenya</v>
      </c>
      <c r="G14" s="5">
        <v>1</v>
      </c>
      <c r="H14" s="5">
        <v>73752</v>
      </c>
      <c r="I14" s="4" t="str">
        <v>.</v>
      </c>
      <c r="J14" s="4">
        <v>7899</v>
      </c>
    </row>
    <row r="15" ht="25" customHeight="1">
      <c r="C15" s="9" t="str">
        <v>HLO budget subtotal</v>
      </c>
      <c r="H15" s="9">
        <v>321235</v>
      </c>
      <c r="J15" s="9" t="str">
        <v/>
      </c>
    </row>
    <row r="16" ht="50" customHeight="1" xml:space="preserve">
      <c r="A16" s="8" t="str">
        <v>AOW03: Business Models, Markets, and Sustainable Finance</v>
      </c>
      <c r="B16" s="4" t="str">
        <v>ILRI</v>
      </c>
      <c r="C16" s="4" t="str">
        <v>OP 3.3.4. Innovative sustainable finance instruments</v>
      </c>
      <c r="D16" s="4" t="str" xml:space="preserve">
        <v xml:space="preserve">Deliverable - Private sector/blended finance investment case for land restoration through livestock value chains in Ethiopia and Colombia or Peru: Development of a private sector/blended finance investment case for land restoration through livestock value chains in two living landscapes (Ethiopia and Colombia or Peru) including investment stream scenario analysis as a contribution to a global livestock land restoration investment hub being launched at the UNCCD COP17 in Mongolia.
Indicator: Number of investment cases for land restoration through value chains</v>
      </c>
      <c r="E16" s="4" t="str">
        <v>custom</v>
      </c>
      <c r="F16" s="4" t="str">
        <v>Colombia, Peru, Ethiopia</v>
      </c>
      <c r="G16" s="5">
        <v>2</v>
      </c>
      <c r="H16" s="5">
        <v>74000</v>
      </c>
      <c r="I16" s="4" t="str">
        <v>.</v>
      </c>
      <c r="J16" s="4">
        <v>7420</v>
      </c>
    </row>
    <row r="17" ht="25" customHeight="1">
      <c r="C17" s="9" t="str">
        <v>HLO budget subtotal</v>
      </c>
      <c r="H17" s="9">
        <v>74000</v>
      </c>
      <c r="J17" s="9" t="str">
        <v/>
      </c>
    </row>
    <row r="18" ht="50" customHeight="1" xml:space="preserve">
      <c r="A18" s="8" t="str">
        <v>AOW04: Governance, Institutions, Policy, and Inclusion</v>
      </c>
      <c r="B18" s="4" t="str">
        <v>ILRI</v>
      </c>
      <c r="C18" s="4" t="str">
        <v>OP 4.1.2 GEYSI for co-creation and inclusive governance</v>
      </c>
      <c r="D18" s="4" t="str" xml:space="preserve">
        <v xml:space="preserve">Deliverable: Develop and support GEYSI capacities in Ethiopia and Senegal landscapes to implement gender responsive and transformative approaches in rangelands; document and provide evidence about GESI methodologies that increase equitable landscape governance 
Indicator: Number of gender transformative innovations developed to support inclusive rangeland management</v>
      </c>
      <c r="E18" s="4" t="str">
        <v>Number of innovations (innovation development)</v>
      </c>
      <c r="F18" s="4" t="str">
        <v>Ethiopia, Senegal</v>
      </c>
      <c r="G18" s="5">
        <v>3</v>
      </c>
      <c r="H18" s="5">
        <v>85000</v>
      </c>
      <c r="I18" s="4" t="str">
        <v>.</v>
      </c>
      <c r="J18" s="4">
        <v>5276</v>
      </c>
    </row>
    <row r="19" ht="50" customHeight="1" xml:space="preserve">
      <c r="A19" s="4" t="str">
        <v>AOW04: Governance, Institutions, Policy, and Inclusion</v>
      </c>
      <c r="B19" s="4" t="str">
        <v>ILRI</v>
      </c>
      <c r="C19" s="4" t="str">
        <v>OP 4.3.2. Engagement frameworks and pilots</v>
      </c>
      <c r="D19" s="4" t="str" xml:space="preserve">
        <v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v>
      </c>
      <c r="E19" s="4" t="str">
        <v>Number of knowledge products</v>
      </c>
      <c r="F19" s="4" t="str">
        <v>Côte d'Ivoire, Cambodia, Tunisia, Tanzania, United Republic, Colombia, The Socialist Republic of Viet Nam, Lao People's Democratic Republic, Peru, Zimbabwe, Senegal, Kenya, India, Ethiopia</v>
      </c>
      <c r="G19" s="5">
        <v>8</v>
      </c>
      <c r="H19" s="5">
        <v>124257</v>
      </c>
      <c r="I19" s="4" t="str">
        <v>.</v>
      </c>
      <c r="J19" s="4">
        <v>5336</v>
      </c>
    </row>
    <row r="20" ht="50" customHeight="1">
      <c r="B20" s="4" t="str">
        <v>ILRI</v>
      </c>
      <c r="D20" s="4" t="str">
        <v>Number of multifunctional landscapes events in which members of the multifunctional landscapes communities of practice have participated in.</v>
      </c>
      <c r="E20" s="4" t="str">
        <v>Number of people trained (capacity sharing for development)</v>
      </c>
      <c r="F20" s="4" t="str">
        <v>Colombia, Cambodia, Senegal, The Socialist Republic of Viet Nam, Lao People's Democratic Republic, Peru, India, Kenya, Tunisia, Zimbabwe, Tanzania, United Republic</v>
      </c>
      <c r="G20" s="5">
        <v>6</v>
      </c>
      <c r="H20" s="5">
        <v>0</v>
      </c>
      <c r="I20" s="4" t="str">
        <v/>
      </c>
      <c r="J20" s="4">
        <v>5337</v>
      </c>
    </row>
    <row r="21" ht="50" customHeight="1" xml:space="preserve">
      <c r="B21" s="4" t="str">
        <v>ILRI</v>
      </c>
      <c r="D21" s="4" t="str" xml:space="preserve">
        <v xml:space="preserve">Deliverable: Engagement with strategic MFL regional and global networks like 1000 Landscape for a billion people, IUCN, Commonland, UNU, TNC, WRI and among others for co-creation to jointly respond to MFL megatrends, sharing capacity, knowledge and tools on agroecological+ solutions, land use planning, market information, governance, and landscape surveillance, as well as joint publications Indicator Number of reports on co-creation workshop involving MFL strategic partners, advisory committee, and MFL_SP leadership team.
Indicator: Number of reports on co-creation workshop involving MFL strategic partners, advisory committee, and MFL_SP leadership team</v>
      </c>
      <c r="E21" s="4" t="str">
        <v>Number of knowledge products</v>
      </c>
      <c r="F21" s="4" t="str">
        <v>Senegal, Colombia, Lao People's Democratic Republic, Tanzania, United Republic, The Socialist Republic of Viet Nam, Zimbabwe, Cambodia, Peru, Côte d'Ivoire, Tunisia, Ethiopia, India, Kenya</v>
      </c>
      <c r="G21" s="5">
        <v>1</v>
      </c>
      <c r="H21" s="5">
        <v>75000</v>
      </c>
      <c r="I21" s="4" t="str">
        <v>.</v>
      </c>
      <c r="J21" s="4">
        <v>7468</v>
      </c>
    </row>
    <row r="22" ht="50" customHeight="1" xml:space="preserve">
      <c r="A22" s="4" t="str">
        <v>AOW04: Governance, Institutions, Policy, and Inclusion</v>
      </c>
      <c r="B22" s="4" t="str">
        <v>ILRI</v>
      </c>
      <c r="C22" s="4" t="str">
        <v>OP 4.2.2. Demand driven capacity sharing for policy makers and landscape stakeholders</v>
      </c>
      <c r="D22" s="4" t="str" xml:space="preserve">
        <v xml:space="preserve">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E22" s="4" t="str">
        <v>custom</v>
      </c>
      <c r="F22" s="4" t="str">
        <v>Senegal, Lao People's Democratic Republic, The Socialist Republic of Viet Nam, Côte d'Ivoire, Colombia, Peru, Tunisia, India, Zimbabwe, Cambodia, Tanzania, United Republic, Ethiopia, Kenya</v>
      </c>
      <c r="G22" s="5">
        <v>20</v>
      </c>
      <c r="H22" s="5">
        <v>117398</v>
      </c>
      <c r="I22" s="4" t="str">
        <v>.</v>
      </c>
      <c r="J22" s="4">
        <v>5351</v>
      </c>
    </row>
    <row r="23" ht="50" customHeight="1" xml:space="preserve">
      <c r="B23" s="4" t="str">
        <v>ILRI</v>
      </c>
      <c r="D23" s="4" t="str" xml:space="preserve">
        <v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Ethiopia.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v>
      </c>
      <c r="E23" s="4" t="str">
        <v>Number of innovations (innovation development)</v>
      </c>
      <c r="F23" s="4" t="str">
        <v>Ethiopia, Kenya</v>
      </c>
      <c r="G23" s="5">
        <v>2</v>
      </c>
      <c r="H23" s="5">
        <v>68395</v>
      </c>
      <c r="I23" s="4" t="str">
        <v>.</v>
      </c>
      <c r="J23" s="4">
        <v>5352</v>
      </c>
    </row>
    <row r="24" ht="50" customHeight="1">
      <c r="B24" s="4" t="str">
        <v>ILRI</v>
      </c>
      <c r="D24" s="4" t="str">
        <v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v>
      </c>
      <c r="E24" s="4" t="str">
        <v>custom</v>
      </c>
      <c r="F24" s="4" t="str">
        <v>Senegal, Zimbabwe, Tanzania, United Republic, Ethiopia, Peru, Cambodia, Kenya, Colombia, Lao People's Democratic Republic, Tunisia, Côte d'Ivoire, The Socialist Republic of Viet Nam, India</v>
      </c>
      <c r="G24" s="5">
        <v>20</v>
      </c>
      <c r="H24" s="5">
        <v>0</v>
      </c>
      <c r="I24" s="4" t="str">
        <v/>
      </c>
      <c r="J24" s="4">
        <v>5353</v>
      </c>
    </row>
    <row r="25" ht="50" customHeight="1">
      <c r="B25" s="4" t="str">
        <v>ILRI</v>
      </c>
      <c r="D25" s="4" t="str">
        <v>Number of landscape stakeholders trained on multifunctional landscapes disaggregated by type of organization and nature of the training</v>
      </c>
      <c r="E25" s="4" t="str">
        <v>Number of people trained (capacity sharing for development)</v>
      </c>
      <c r="F25" s="4" t="str">
        <v>The Socialist Republic of Viet Nam, Colombia, Kenya, Tanzania, United Republic, Peru, Senegal, Lao People's Democratic Republic, India, Cambodia, Zimbabwe, Tunisia</v>
      </c>
      <c r="G25" s="5">
        <v>200</v>
      </c>
      <c r="H25" s="5">
        <v>0</v>
      </c>
      <c r="I25" s="4" t="str">
        <v/>
      </c>
      <c r="J25" s="4">
        <v>5354</v>
      </c>
    </row>
    <row r="26" ht="50" customHeight="1" xml:space="preserve">
      <c r="B26" s="4" t="str">
        <v>ILRI</v>
      </c>
      <c r="D26" s="4" t="str" xml:space="preserve">
        <v xml:space="preserve">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Ethiopia, and Senegal (with CIRAD).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v>
      </c>
      <c r="E26" s="4" t="str">
        <v>Number of innovations (innovation development)</v>
      </c>
      <c r="F26" s="4" t="str">
        <v>Senegal, Ethiopia</v>
      </c>
      <c r="G26" s="5">
        <v>1</v>
      </c>
      <c r="H26" s="5">
        <v>35000</v>
      </c>
      <c r="I26" s="4" t="str">
        <v>.</v>
      </c>
      <c r="J26" s="4">
        <v>7733</v>
      </c>
    </row>
    <row r="27" ht="50" customHeight="1" xml:space="preserve">
      <c r="A27" s="4" t="str">
        <v>AOW04: Governance, Institutions, Policy, and Inclusion</v>
      </c>
      <c r="B27" s="4" t="str">
        <v>ILRI</v>
      </c>
      <c r="C27" s="4" t="str">
        <v>OP 4.1.1. Inclusive governance architectures</v>
      </c>
      <c r="D27" s="4" t="str" xml:space="preserve">
        <v xml:space="preserve">Deliverable: Responsible Investment and Carbon Stewardship Framework for Community-Managed Common Lands (Tanzania or Kenya). Co-designed guidelines for responsible CSR and carbon market investments in the restoration of common land and community commons governance in Tanzania or Kenya
Indicator: Report on assessment of private sector investments case for restoration of commons; co-designed guidelines for responsible carbon market investments in communal rangelands restoration</v>
      </c>
      <c r="E27" s="4" t="str">
        <v>Number of knowledge products</v>
      </c>
      <c r="F27" s="4" t="str">
        <v>Kenya, Tanzania, United Republic</v>
      </c>
      <c r="G27" s="5">
        <v>2</v>
      </c>
      <c r="H27" s="5">
        <v>40000</v>
      </c>
      <c r="I27" s="4" t="str">
        <v>.</v>
      </c>
      <c r="J27" s="4">
        <v>5393</v>
      </c>
    </row>
    <row r="28" ht="50" customHeight="1">
      <c r="B28" s="4" t="str">
        <v>ILRI</v>
      </c>
      <c r="D28" s="4" t="str">
        <v>Number of inclusive multifunctional landscapes governance and management arrangements designed</v>
      </c>
      <c r="E28" s="4" t="str">
        <v>Number of innovations (innovation development)</v>
      </c>
      <c r="F28" s="4" t="str">
        <v>Ethiopia, Senegal, Peru, Kenya, Tunisia, Tanzania, United Republic, India, Colombia</v>
      </c>
      <c r="G28" s="5">
        <v>3</v>
      </c>
      <c r="H28" s="5">
        <v>0</v>
      </c>
      <c r="I28" s="4" t="str">
        <v/>
      </c>
      <c r="J28" s="4">
        <v>5402</v>
      </c>
    </row>
    <row r="29" ht="25" customHeight="1">
      <c r="C29" s="9" t="str">
        <v>HLO budget subtotal</v>
      </c>
      <c r="H29" s="9">
        <v>545050</v>
      </c>
      <c r="J29" s="9" t="str">
        <v/>
      </c>
    </row>
    <row r="30" ht="50" customHeight="1" xml:space="preserve">
      <c r="A30" s="8" t="str">
        <v>AOW05: Performance Assessments &amp; Evidence Generation</v>
      </c>
      <c r="B30" s="4" t="str">
        <v>ILRI</v>
      </c>
      <c r="C30" s="4" t="str">
        <v>OP 5.1.3. Cross-CGIAR assessment frameworks of impact indicators</v>
      </c>
      <c r="D30" s="4" t="str" xml:space="preserve">
        <v xml:space="preserve">Deliverable - Capacity strengthening on assessment frameworks : 1. Trainings for environmental health and biodiversity assessments. 
Indicator: Number of end-users trained on using the environmental health and biodiversity assessment frameworks
</v>
      </c>
      <c r="E30" s="4" t="str">
        <v>Number of people trained (capacity sharing for development)</v>
      </c>
      <c r="F30" s="4" t="str">
        <v>Kenya, India</v>
      </c>
      <c r="G30" s="5">
        <v>40</v>
      </c>
      <c r="H30" s="5">
        <v>50000</v>
      </c>
      <c r="I30" s="4" t="str">
        <v>.</v>
      </c>
      <c r="J30" s="4">
        <v>5289</v>
      </c>
    </row>
    <row r="31" ht="50" customHeight="1" xml:space="preserve">
      <c r="B31" s="4" t="str">
        <v>ILRI</v>
      </c>
      <c r="D31" s="4" t="str" xml:space="preserve">
        <v xml:space="preserve">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v>
      </c>
      <c r="E31" s="4" t="str">
        <v>Number of knowledge products</v>
      </c>
      <c r="F31" s="4" t="str">
        <v>Ethiopia, The Socialist Republic of Viet Nam, Kenya, Colombia, Tanzania, United Republic</v>
      </c>
      <c r="G31" s="5">
        <v>5</v>
      </c>
      <c r="H31" s="5">
        <v>95000</v>
      </c>
      <c r="I31" s="4" t="str">
        <v>.</v>
      </c>
      <c r="J31" s="4">
        <v>5292</v>
      </c>
    </row>
    <row r="32" ht="50" customHeight="1" xml:space="preserve">
      <c r="A32" s="4" t="str">
        <v>AOW05: Performance Assessments &amp; Evidence Generation</v>
      </c>
      <c r="B32" s="4" t="str">
        <v>ILRI</v>
      </c>
      <c r="C32" s="4" t="str">
        <v>OP 5.1.1 – Standardised protocols, tools and methods</v>
      </c>
      <c r="D32" s="4" t="str" xml:space="preserve">
        <v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v>
      </c>
      <c r="E32" s="4" t="str">
        <v>Number of knowledge products</v>
      </c>
      <c r="F32" s="4" t="str">
        <v>Tanzania, United Republic, Kenya, Colombia</v>
      </c>
      <c r="G32" s="5">
        <v>3</v>
      </c>
      <c r="H32" s="5">
        <v>285686</v>
      </c>
      <c r="I32" s="4" t="str">
        <v>.</v>
      </c>
      <c r="J32" s="4">
        <v>5324</v>
      </c>
    </row>
    <row r="33" ht="50" customHeight="1" xml:space="preserve">
      <c r="A33" s="4" t="str">
        <v>AOW05: Performance Assessments &amp; Evidence Generation</v>
      </c>
      <c r="B33" s="4" t="str">
        <v>ILRI</v>
      </c>
      <c r="C33" s="4" t="str">
        <v>OP 5.1.2 Landscape-specific assessment frameworks</v>
      </c>
      <c r="D33" s="4" t="str" xml:space="preserve">
        <v xml:space="preserve">Deliverable - This deliverable supports long-term Eddy Covariance tower operations and data synthesis. It integrates high-resolution carbon flux analysis from 4 towers in Southern Kenya (LEILA) plus an upcoming field campaign and collaborative outreach on carbon monitoring for dryland systems with external partners (LiCOR, Weizmann). Key outputs include a peer-reviewed manuscript on ecosystem gas exchange and public-facing content developed with international partners to demonstrate innovative monitoring technologies in tropical landscapes.
Indicator: Number of scientific articles on ecosystem gas exchange and public-facing content</v>
      </c>
      <c r="E33" s="4" t="str">
        <v>Number of knowledge products</v>
      </c>
      <c r="F33" s="4" t="str">
        <v>Kenya</v>
      </c>
      <c r="G33" s="5">
        <v>1</v>
      </c>
      <c r="H33" s="5">
        <v>15000</v>
      </c>
      <c r="I33" s="4" t="str">
        <v>.</v>
      </c>
      <c r="J33" s="4">
        <v>7440</v>
      </c>
    </row>
    <row r="34" ht="50" customHeight="1" xml:space="preserve">
      <c r="A34" s="4" t="str">
        <v>AOW05: Performance Assessments &amp; Evidence Generation</v>
      </c>
      <c r="B34" s="4" t="str">
        <v>ILRI</v>
      </c>
      <c r="C34" s="4" t="str">
        <v>OP 5.2.2. AI-assisted monitoring system</v>
      </c>
      <c r="D34"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v>
      </c>
      <c r="E34" s="4" t="str">
        <v>Number of knowledge products</v>
      </c>
      <c r="F34" s="4" t="str">
        <v>Ethiopia</v>
      </c>
      <c r="G34" s="5">
        <v>2</v>
      </c>
      <c r="H34" s="5">
        <v>15000</v>
      </c>
      <c r="I34" s="4" t="str">
        <v>.</v>
      </c>
      <c r="J34" s="4">
        <v>7445</v>
      </c>
    </row>
    <row r="35" ht="25" customHeight="1">
      <c r="C35" s="9" t="str">
        <v>HLO budget subtotal</v>
      </c>
      <c r="H35" s="9">
        <v>460686</v>
      </c>
      <c r="J35" s="9" t="str">
        <v/>
      </c>
    </row>
  </sheetData>
  <mergeCells count="24">
    <mergeCell ref="A1:A2"/>
    <mergeCell ref="B1:B2"/>
    <mergeCell ref="C1:C2"/>
    <mergeCell ref="D1:H1"/>
    <mergeCell ref="I1:I2"/>
    <mergeCell ref="J1:J2"/>
    <mergeCell ref="C3:C4"/>
    <mergeCell ref="C5:C6"/>
    <mergeCell ref="C9:G9"/>
    <mergeCell ref="A3:A9"/>
    <mergeCell ref="C11:C12"/>
    <mergeCell ref="C13:C14"/>
    <mergeCell ref="C15:G15"/>
    <mergeCell ref="A10:A15"/>
    <mergeCell ref="C17:G17"/>
    <mergeCell ref="A16:A17"/>
    <mergeCell ref="C19:C21"/>
    <mergeCell ref="C22:C26"/>
    <mergeCell ref="C27:C28"/>
    <mergeCell ref="C29:G29"/>
    <mergeCell ref="A18:A29"/>
    <mergeCell ref="C30:C31"/>
    <mergeCell ref="C35:G35"/>
    <mergeCell ref="A30:A35"/>
  </mergeCells>
  <ignoredErrors>
    <ignoredError numberStoredAsText="1" sqref="A1:J35"/>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Pastoralist Concern</v>
      </c>
      <c r="C2" s="4" t="str">
        <v>ILRI</v>
      </c>
      <c r="D2" s="4" t="str">
        <v>Ethiopia</v>
      </c>
      <c r="E2" s="5">
        <v>20000</v>
      </c>
      <c r="F2" s="4" t="str">
        <v>.</v>
      </c>
      <c r="G2" s="4">
        <v>524</v>
      </c>
    </row>
    <row r="3" ht="25" customHeight="1">
      <c r="B3" s="9" t="str">
        <v>Contracted partners subtotal</v>
      </c>
      <c r="E3" s="9">
        <v>20000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ILRI</v>
      </c>
      <c r="B2" s="4" t="str">
        <v>L-IUC001-Sustainable Investments for Large-scale Rangeland R</v>
      </c>
      <c r="C2" s="4" t="str">
        <v>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OC-2. National and sub-national public actors, farmers, herders, fishers, local communities, private sector, NGOs, and CSOs actively implement and sustain functional, coordinated governance mechanisms and inclusive land and resource use plans</v>
      </c>
      <c r="D2" s="5">
        <v>0</v>
      </c>
      <c r="E2" s="4" t="str">
        <v/>
      </c>
      <c r="F2" s="4">
        <v>1022</v>
      </c>
    </row>
    <row r="3" ht="25" customHeight="1">
      <c r="B3" s="9" t="str">
        <v>W3/Bilateral budget subtotal</v>
      </c>
      <c r="D3" s="9">
        <v>0</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ILRI</v>
      </c>
      <c r="C2" s="4" t="str">
        <v>Actor engagement and outcome tracking</v>
      </c>
      <c r="D2"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2" s="4" t="str">
        <v>N/A</v>
      </c>
      <c r="F2" s="5">
        <v>0</v>
      </c>
      <c r="G2" s="4" t="str">
        <v/>
      </c>
      <c r="H2" s="4">
        <v>604</v>
      </c>
    </row>
    <row r="3" ht="60" customHeight="1">
      <c r="A3" s="4" t="str">
        <v>AOW00: Cross Cutting</v>
      </c>
      <c r="B3" s="4" t="str">
        <v>ILRI</v>
      </c>
      <c r="C3" s="4" t="str">
        <v>Outcome Evidencing/Outcome Trajectory Studies</v>
      </c>
      <c r="D3" s="4" t="str">
        <v>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v>
      </c>
      <c r="E3" s="4" t="str">
        <v>N/A</v>
      </c>
      <c r="F3" s="5">
        <v>0</v>
      </c>
      <c r="G3" s="4" t="str">
        <v/>
      </c>
      <c r="H3" s="4">
        <v>620</v>
      </c>
    </row>
    <row r="4" ht="60" customHeight="1">
      <c r="A4" s="4" t="str">
        <v>AOW00: Cross Cutting</v>
      </c>
      <c r="B4" s="4" t="str">
        <v>ILRI</v>
      </c>
      <c r="C4" s="4" t="str">
        <v>Partnership quality evaluation tool</v>
      </c>
      <c r="D4" s="4" t="str">
        <v>I-OC 5.1 Partners in MFL Living Landscapes sites demonstrate strengthened capacity to articulate, communicate, and actively influence the uptake of MFL knowledge in policy arenas, scientific communities, and practitioner networks.</v>
      </c>
      <c r="E4" s="4" t="str">
        <v>N/A</v>
      </c>
      <c r="F4" s="5">
        <v>0</v>
      </c>
      <c r="G4" s="4" t="str">
        <v/>
      </c>
      <c r="H4" s="4">
        <v>638</v>
      </c>
    </row>
    <row r="5" ht="25" customHeight="1">
      <c r="C5" s="9" t="str">
        <v>MELIA budget subtotal</v>
      </c>
      <c r="F5" s="9">
        <v>0</v>
      </c>
      <c r="G5" s="9" t="str">
        <v/>
      </c>
      <c r="H5" s="9" t="str">
        <v/>
      </c>
    </row>
    <row r="6" ht="60" customHeight="1">
      <c r="A6" s="8" t="str">
        <v>AOW01: Agroecology+ Solutions &amp; Innovations</v>
      </c>
      <c r="B6" s="4" t="str">
        <v>ILRI</v>
      </c>
      <c r="C6" s="4" t="str">
        <v>Actor engagement and outcome tracking</v>
      </c>
      <c r="D6"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6" s="4" t="str">
        <v>N/A</v>
      </c>
      <c r="F6" s="5">
        <v>0</v>
      </c>
      <c r="G6" s="4" t="str">
        <v/>
      </c>
      <c r="H6" s="4">
        <v>598</v>
      </c>
    </row>
    <row r="7" ht="60" customHeight="1">
      <c r="A7" s="4" t="str">
        <v>AOW01: Agroecology+ Solutions &amp; Innovations</v>
      </c>
      <c r="B7" s="4" t="str">
        <v>ILRI</v>
      </c>
      <c r="C7" s="4" t="str">
        <v>Partnership quality evaluation tool</v>
      </c>
      <c r="D7" s="4" t="str">
        <v>I-OC 5.1 Partners in MFL Living Landscapes sites demonstrate strengthened capacity to articulate, communicate, and actively influence the uptake of MFL knowledge in policy arenas, scientific communities, and practitioner networks.</v>
      </c>
      <c r="E7" s="4" t="str">
        <v>N/A</v>
      </c>
      <c r="F7" s="5">
        <v>0</v>
      </c>
      <c r="G7" s="4" t="str">
        <v/>
      </c>
      <c r="H7" s="4">
        <v>633</v>
      </c>
    </row>
    <row r="8" ht="25" customHeight="1">
      <c r="C8" s="9" t="str">
        <v>MELIA budget subtotal</v>
      </c>
      <c r="F8" s="9">
        <v>0</v>
      </c>
      <c r="G8" s="9" t="str">
        <v/>
      </c>
      <c r="H8" s="9" t="str">
        <v/>
      </c>
    </row>
    <row r="9" ht="60" customHeight="1">
      <c r="A9" s="8" t="str">
        <v>AOW02: Landscape Optimization and Inclusive Planning</v>
      </c>
      <c r="B9" s="4" t="str">
        <v>ILRI</v>
      </c>
      <c r="C9" s="4" t="str">
        <v>Actor engagement and outcome tracking</v>
      </c>
      <c r="D9"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9" s="4" t="str">
        <v>N/A</v>
      </c>
      <c r="F9" s="5">
        <v>0</v>
      </c>
      <c r="G9" s="4" t="str">
        <v/>
      </c>
      <c r="H9" s="4">
        <v>592</v>
      </c>
    </row>
    <row r="10" ht="25" customHeight="1">
      <c r="C10" s="9" t="str">
        <v>MELIA budget subtotal</v>
      </c>
      <c r="F10" s="9">
        <v>0</v>
      </c>
      <c r="G10" s="9" t="str">
        <v/>
      </c>
      <c r="H10" s="9" t="str">
        <v/>
      </c>
    </row>
    <row r="11" ht="60" customHeight="1">
      <c r="A11" s="8" t="str">
        <v>AOW03: Business Models, Markets, and Sustainable Finance</v>
      </c>
      <c r="B11" s="4" t="str">
        <v>ILRI</v>
      </c>
      <c r="C11" s="4" t="str">
        <v>Actor engagement and outcome tracking</v>
      </c>
      <c r="D11"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1" s="4" t="str">
        <v>N/A</v>
      </c>
      <c r="F11" s="5">
        <v>0</v>
      </c>
      <c r="G11" s="4" t="str">
        <v/>
      </c>
      <c r="H11" s="4">
        <v>574</v>
      </c>
    </row>
    <row r="12" ht="25" customHeight="1">
      <c r="C12" s="9" t="str">
        <v>MELIA budget subtotal</v>
      </c>
      <c r="F12" s="9">
        <v>0</v>
      </c>
      <c r="G12" s="9" t="str">
        <v/>
      </c>
      <c r="H12" s="9" t="str">
        <v/>
      </c>
    </row>
    <row r="13" ht="60" customHeight="1">
      <c r="A13" s="8" t="str">
        <v>AOW04: Governance, Institutions, Policy, and Inclusion</v>
      </c>
      <c r="B13" s="4" t="str">
        <v>ILRI</v>
      </c>
      <c r="C13" s="4" t="str">
        <v>Actor engagement and outcome tracking</v>
      </c>
      <c r="D13"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3" s="4" t="str">
        <v>N/A</v>
      </c>
      <c r="F13" s="5">
        <v>0</v>
      </c>
      <c r="G13" s="4" t="str">
        <v/>
      </c>
      <c r="H13" s="4">
        <v>580</v>
      </c>
    </row>
    <row r="14" ht="25" customHeight="1">
      <c r="C14" s="9" t="str">
        <v>MELIA budget subtotal</v>
      </c>
      <c r="F14" s="9">
        <v>0</v>
      </c>
      <c r="G14" s="9" t="str">
        <v/>
      </c>
      <c r="H14" s="9" t="str">
        <v/>
      </c>
    </row>
    <row r="15" ht="60" customHeight="1">
      <c r="A15" s="8" t="str">
        <v>AOW05: Performance Assessments &amp; Evidence Generation</v>
      </c>
      <c r="B15" s="4" t="str">
        <v>ILRI</v>
      </c>
      <c r="C15" s="4" t="str">
        <v>Actor engagement and outcome tracking</v>
      </c>
      <c r="D15" s="4" t="str">
        <v>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v>
      </c>
      <c r="E15" s="4" t="str">
        <v>N/A</v>
      </c>
      <c r="F15" s="5">
        <v>0</v>
      </c>
      <c r="G15" s="4" t="str">
        <v/>
      </c>
      <c r="H15" s="4">
        <v>586</v>
      </c>
    </row>
    <row r="16" ht="60" customHeight="1">
      <c r="A16" s="4" t="str">
        <v>AOW05: Performance Assessments &amp; Evidence Generation</v>
      </c>
      <c r="B16" s="4" t="str">
        <v>ILRI</v>
      </c>
      <c r="C16" s="4" t="str">
        <v>Partnership quality evaluation tool</v>
      </c>
      <c r="D16" s="4" t="str">
        <v>I-OC 5.1 Partners in MFL Living Landscapes sites demonstrate strengthened capacity to articulate, communicate, and actively influence the uptake of MFL knowledge in policy arenas, scientific communities, and practitioner networks.</v>
      </c>
      <c r="E16" s="4" t="str">
        <v>N/A</v>
      </c>
      <c r="F16" s="5">
        <v>0</v>
      </c>
      <c r="G16" s="4" t="str">
        <v/>
      </c>
      <c r="H16" s="4">
        <v>628</v>
      </c>
    </row>
    <row r="17" ht="25" customHeight="1">
      <c r="C17" s="9" t="str">
        <v>MELIA budget subtotal</v>
      </c>
      <c r="F17" s="9">
        <v>0</v>
      </c>
      <c r="G17" s="9" t="str">
        <v/>
      </c>
      <c r="H17" s="9" t="str">
        <v/>
      </c>
    </row>
  </sheetData>
  <mergeCells count="12">
    <mergeCell ref="C5:E5"/>
    <mergeCell ref="A2:A5"/>
    <mergeCell ref="C8:E8"/>
    <mergeCell ref="A6:A8"/>
    <mergeCell ref="C10:E10"/>
    <mergeCell ref="A9:A10"/>
    <mergeCell ref="C12:E12"/>
    <mergeCell ref="A11:A12"/>
    <mergeCell ref="C14:E14"/>
    <mergeCell ref="A13:A14"/>
    <mergeCell ref="C17:E17"/>
    <mergeCell ref="A15:A17"/>
  </mergeCells>
  <ignoredErrors>
    <ignoredError numberStoredAsText="1" sqref="A1:H1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Communication/Knowledge management</v>
      </c>
      <c r="D2" s="5">
        <v>300000</v>
      </c>
      <c r="E2" s="4" t="str">
        <v>Budget for Communication and Engagement Plan. Includes USD 176,321 for Cargele Masso's staff time, USD 49,278 for Gina Edward-Uwadiale's staff time and USD 74,402 for travel and operations.</v>
      </c>
      <c r="F2" s="4">
        <v>216</v>
      </c>
      <c r="G2" s="4">
        <v>5</v>
      </c>
    </row>
    <row r="3" ht="25" customHeight="1">
      <c r="C3" s="9" t="str">
        <v>Cross-cutting budget subtotal</v>
      </c>
      <c r="D3" s="9">
        <v>300000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225598</v>
      </c>
      <c r="C2" s="5">
        <v>319621</v>
      </c>
      <c r="D2" s="5">
        <v>321235</v>
      </c>
      <c r="E2" s="5">
        <v>74000</v>
      </c>
      <c r="F2" s="5">
        <v>545050</v>
      </c>
      <c r="G2" s="5">
        <v>460686</v>
      </c>
      <c r="H2" s="5">
        <f>=SUM(B2:G2)</f>
        <v>0</v>
      </c>
    </row>
    <row r="3" ht="20" customHeight="1">
      <c r="A3" s="4" t="str">
        <v>Operations (supplies, consultants, travels, workshops, other)</v>
      </c>
      <c r="B3" s="5">
        <v>74402</v>
      </c>
      <c r="C3" s="5">
        <v>200000</v>
      </c>
      <c r="D3" s="5">
        <v>0</v>
      </c>
      <c r="E3" s="5">
        <v>0</v>
      </c>
      <c r="F3" s="5">
        <v>0</v>
      </c>
      <c r="G3" s="5">
        <v>0</v>
      </c>
      <c r="H3" s="5">
        <f>=SUM(B3:G3)</f>
        <v>0</v>
      </c>
    </row>
    <row r="4" ht="20" customHeight="1">
      <c r="A4" s="4" t="str">
        <v>Collaborators non-CGIAR centers</v>
      </c>
      <c r="B4" s="5">
        <v>0</v>
      </c>
      <c r="C4" s="5">
        <v>20000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0"/>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3391</v>
      </c>
    </row>
    <row r="3" ht="45" customHeight="1">
      <c r="A3" s="8" t="str">
        <v>AOW01: Agroecology+ Solutions &amp; Innovations</v>
      </c>
      <c r="B3" s="4" t="str">
        <v>ILRI</v>
      </c>
      <c r="C3" s="4" t="str">
        <v>Ethiopia</v>
      </c>
      <c r="D3" s="5">
        <v>45</v>
      </c>
      <c r="E3" s="4">
        <v>2297</v>
      </c>
    </row>
    <row r="4" ht="45" customHeight="1">
      <c r="A4" s="4" t="str">
        <v>AOW01: Agroecology+ Solutions &amp; Innovations</v>
      </c>
      <c r="B4" s="4" t="str">
        <v>ILRI</v>
      </c>
      <c r="C4" s="4" t="str">
        <v>Kenya</v>
      </c>
      <c r="D4" s="5">
        <v>45</v>
      </c>
      <c r="E4" s="4">
        <v>2298</v>
      </c>
    </row>
    <row r="5" ht="45" customHeight="1">
      <c r="A5" s="4" t="str">
        <v>AOW01: Agroecology+ Solutions &amp; Innovations</v>
      </c>
      <c r="B5" s="4" t="str">
        <v>ILRI</v>
      </c>
      <c r="C5" s="4" t="str">
        <v>Tunisia</v>
      </c>
      <c r="D5" s="5">
        <v>10</v>
      </c>
      <c r="E5" s="4">
        <v>2299</v>
      </c>
    </row>
    <row r="6" ht="45" customHeight="1">
      <c r="A6" s="8" t="str">
        <v>AOW02: Landscape Optimization and Inclusive Planning</v>
      </c>
      <c r="B6" s="4" t="str">
        <v>ILRI</v>
      </c>
      <c r="C6" s="4" t="str">
        <v>Ethiopia</v>
      </c>
      <c r="D6" s="5">
        <v>50</v>
      </c>
      <c r="E6" s="4">
        <v>2300</v>
      </c>
    </row>
    <row r="7" ht="45" customHeight="1">
      <c r="A7" s="4" t="str">
        <v>AOW02: Landscape Optimization and Inclusive Planning</v>
      </c>
      <c r="B7" s="4" t="str">
        <v>ILRI</v>
      </c>
      <c r="C7" s="4" t="str">
        <v>Kenya</v>
      </c>
      <c r="D7" s="5">
        <v>50</v>
      </c>
      <c r="E7" s="4">
        <v>2301</v>
      </c>
    </row>
    <row r="8" ht="45" customHeight="1">
      <c r="A8" s="8" t="str">
        <v>AOW03: Business Models, Markets, and Sustainable Finance</v>
      </c>
      <c r="B8" s="4" t="str">
        <v>ILRI</v>
      </c>
      <c r="C8" s="4" t="str">
        <v>Colombia</v>
      </c>
      <c r="D8" s="5">
        <v>20</v>
      </c>
      <c r="E8" s="4">
        <v>3345</v>
      </c>
    </row>
    <row r="9" ht="45" customHeight="1">
      <c r="A9" s="4" t="str">
        <v>AOW03: Business Models, Markets, and Sustainable Finance</v>
      </c>
      <c r="B9" s="4" t="str">
        <v>ILRI</v>
      </c>
      <c r="C9" s="4" t="str">
        <v>Ethiopia</v>
      </c>
      <c r="D9" s="5">
        <v>60</v>
      </c>
      <c r="E9" s="4">
        <v>3344</v>
      </c>
    </row>
    <row r="10" ht="45" customHeight="1">
      <c r="A10" s="4" t="str">
        <v>AOW03: Business Models, Markets, and Sustainable Finance</v>
      </c>
      <c r="B10" s="4" t="str">
        <v>ILRI</v>
      </c>
      <c r="C10" s="4" t="str">
        <v>Peru</v>
      </c>
      <c r="D10" s="5">
        <v>20</v>
      </c>
      <c r="E10" s="4">
        <v>3346</v>
      </c>
    </row>
    <row r="11" ht="45" customHeight="1">
      <c r="A11" s="8" t="str">
        <v>AOW04: Governance, Institutions, Policy, and Inclusion</v>
      </c>
      <c r="B11" s="4" t="str">
        <v>ILRI</v>
      </c>
      <c r="C11" s="4" t="str">
        <v>Cambodia</v>
      </c>
      <c r="D11" s="5">
        <v>10</v>
      </c>
      <c r="E11" s="4">
        <v>2302</v>
      </c>
    </row>
    <row r="12" ht="45" customHeight="1">
      <c r="A12" s="4" t="str">
        <v>AOW04: Governance, Institutions, Policy, and Inclusion</v>
      </c>
      <c r="B12" s="4" t="str">
        <v>ILRI</v>
      </c>
      <c r="C12" s="4" t="str">
        <v>Colombia</v>
      </c>
      <c r="D12" s="5">
        <v>5</v>
      </c>
      <c r="E12" s="4">
        <v>2303</v>
      </c>
    </row>
    <row r="13" ht="45" customHeight="1">
      <c r="A13" s="4" t="str">
        <v>AOW04: Governance, Institutions, Policy, and Inclusion</v>
      </c>
      <c r="B13" s="4" t="str">
        <v>ILRI</v>
      </c>
      <c r="C13" s="4" t="str">
        <v>Côte d'Ivoire</v>
      </c>
      <c r="D13" s="5">
        <v>0</v>
      </c>
      <c r="E13" s="4">
        <v>2309</v>
      </c>
    </row>
    <row r="14" ht="45" customHeight="1">
      <c r="A14" s="4" t="str">
        <v>AOW04: Governance, Institutions, Policy, and Inclusion</v>
      </c>
      <c r="B14" s="4" t="str">
        <v>ILRI</v>
      </c>
      <c r="C14" s="4" t="str">
        <v>Ethiopia</v>
      </c>
      <c r="D14" s="5">
        <v>10</v>
      </c>
      <c r="E14" s="4">
        <v>2308</v>
      </c>
    </row>
    <row r="15" ht="45" customHeight="1">
      <c r="A15" s="4" t="str">
        <v>AOW04: Governance, Institutions, Policy, and Inclusion</v>
      </c>
      <c r="B15" s="4" t="str">
        <v>ILRI</v>
      </c>
      <c r="C15" s="4" t="str">
        <v>India</v>
      </c>
      <c r="D15" s="5">
        <v>10</v>
      </c>
      <c r="E15" s="4">
        <v>2307</v>
      </c>
    </row>
    <row r="16" ht="45" customHeight="1">
      <c r="A16" s="4" t="str">
        <v>AOW04: Governance, Institutions, Policy, and Inclusion</v>
      </c>
      <c r="B16" s="4" t="str">
        <v>ILRI</v>
      </c>
      <c r="C16" s="4" t="str">
        <v>Kenya</v>
      </c>
      <c r="D16" s="5">
        <v>10</v>
      </c>
      <c r="E16" s="4">
        <v>2306</v>
      </c>
    </row>
    <row r="17" ht="45" customHeight="1">
      <c r="A17" s="4" t="str">
        <v>AOW04: Governance, Institutions, Policy, and Inclusion</v>
      </c>
      <c r="B17" s="4" t="str">
        <v>ILRI</v>
      </c>
      <c r="C17" s="4" t="str">
        <v>Lao People's Democratic Republic</v>
      </c>
      <c r="D17" s="5">
        <v>10</v>
      </c>
      <c r="E17" s="4">
        <v>2305</v>
      </c>
    </row>
    <row r="18" ht="45" customHeight="1">
      <c r="A18" s="4" t="str">
        <v>AOW04: Governance, Institutions, Policy, and Inclusion</v>
      </c>
      <c r="B18" s="4" t="str">
        <v>ILRI</v>
      </c>
      <c r="C18" s="4" t="str">
        <v>Peru</v>
      </c>
      <c r="D18" s="5">
        <v>5</v>
      </c>
      <c r="E18" s="4">
        <v>2304</v>
      </c>
    </row>
    <row r="19" ht="45" customHeight="1">
      <c r="A19" s="4" t="str">
        <v>AOW04: Governance, Institutions, Policy, and Inclusion</v>
      </c>
      <c r="B19" s="4" t="str">
        <v>ILRI</v>
      </c>
      <c r="C19" s="4" t="str">
        <v>Senegal</v>
      </c>
      <c r="D19" s="5">
        <v>5</v>
      </c>
      <c r="E19" s="4">
        <v>2314</v>
      </c>
    </row>
    <row r="20" ht="45" customHeight="1">
      <c r="A20" s="4" t="str">
        <v>AOW04: Governance, Institutions, Policy, and Inclusion</v>
      </c>
      <c r="B20" s="4" t="str">
        <v>ILRI</v>
      </c>
      <c r="C20" s="4" t="str">
        <v>Tanzania</v>
      </c>
      <c r="D20" s="5">
        <v>10</v>
      </c>
      <c r="E20" s="4">
        <v>2313</v>
      </c>
    </row>
    <row r="21" ht="45" customHeight="1">
      <c r="A21" s="4" t="str">
        <v>AOW04: Governance, Institutions, Policy, and Inclusion</v>
      </c>
      <c r="B21" s="4" t="str">
        <v>ILRI</v>
      </c>
      <c r="C21" s="4" t="str">
        <v>The Socialist Republic of Viet Nam</v>
      </c>
      <c r="D21" s="5">
        <v>5</v>
      </c>
      <c r="E21" s="4">
        <v>2312</v>
      </c>
    </row>
    <row r="22" ht="45" customHeight="1">
      <c r="A22" s="4" t="str">
        <v>AOW04: Governance, Institutions, Policy, and Inclusion</v>
      </c>
      <c r="B22" s="4" t="str">
        <v>ILRI</v>
      </c>
      <c r="C22" s="4" t="str">
        <v>Tunisia</v>
      </c>
      <c r="D22" s="5">
        <v>10</v>
      </c>
      <c r="E22" s="4">
        <v>2311</v>
      </c>
    </row>
    <row r="23" ht="45" customHeight="1">
      <c r="A23" s="4" t="str">
        <v>AOW04: Governance, Institutions, Policy, and Inclusion</v>
      </c>
      <c r="B23" s="4" t="str">
        <v>ILRI</v>
      </c>
      <c r="C23" s="4" t="str">
        <v>Zimbabwe</v>
      </c>
      <c r="D23" s="5">
        <v>10</v>
      </c>
      <c r="E23" s="4">
        <v>2310</v>
      </c>
    </row>
    <row r="24" ht="45" customHeight="1">
      <c r="A24" s="8" t="str">
        <v>AOW05: Performance Assessments &amp; Evidence Generation</v>
      </c>
      <c r="B24" s="4" t="str">
        <v>ILRI</v>
      </c>
      <c r="C24" s="4" t="str">
        <v>Colombia</v>
      </c>
      <c r="D24" s="5">
        <v>10</v>
      </c>
      <c r="E24" s="4">
        <v>2319</v>
      </c>
    </row>
    <row r="25" ht="45" customHeight="1">
      <c r="A25" s="4" t="str">
        <v>AOW05: Performance Assessments &amp; Evidence Generation</v>
      </c>
      <c r="B25" s="4" t="str">
        <v>ILRI</v>
      </c>
      <c r="C25" s="4" t="str">
        <v>Ethiopia</v>
      </c>
      <c r="D25" s="5">
        <v>25</v>
      </c>
      <c r="E25" s="4">
        <v>2317</v>
      </c>
    </row>
    <row r="26" ht="45" customHeight="1">
      <c r="A26" s="4" t="str">
        <v>AOW05: Performance Assessments &amp; Evidence Generation</v>
      </c>
      <c r="B26" s="4" t="str">
        <v>ILRI</v>
      </c>
      <c r="C26" s="4" t="str">
        <v>India</v>
      </c>
      <c r="D26" s="5">
        <v>10</v>
      </c>
      <c r="E26" s="4">
        <v>2315</v>
      </c>
    </row>
    <row r="27" ht="45" customHeight="1">
      <c r="A27" s="4" t="str">
        <v>AOW05: Performance Assessments &amp; Evidence Generation</v>
      </c>
      <c r="B27" s="4" t="str">
        <v>ILRI</v>
      </c>
      <c r="C27" s="4" t="str">
        <v>Kenya</v>
      </c>
      <c r="D27" s="5">
        <v>25</v>
      </c>
      <c r="E27" s="4">
        <v>2316</v>
      </c>
    </row>
    <row r="28" ht="45" customHeight="1">
      <c r="A28" s="4" t="str">
        <v>AOW05: Performance Assessments &amp; Evidence Generation</v>
      </c>
      <c r="B28" s="4" t="str">
        <v>ILRI</v>
      </c>
      <c r="C28" s="4" t="str">
        <v>Tanzania</v>
      </c>
      <c r="D28" s="5">
        <v>20</v>
      </c>
      <c r="E28" s="4">
        <v>2318</v>
      </c>
    </row>
    <row r="29" ht="45" customHeight="1">
      <c r="A29" s="4" t="str">
        <v>AOW05: Performance Assessments &amp; Evidence Generation</v>
      </c>
      <c r="B29" s="4" t="str">
        <v>ILRI</v>
      </c>
      <c r="C29" s="4" t="str">
        <v>The Socialist Republic of Viet Nam</v>
      </c>
      <c r="D29" s="5">
        <v>10</v>
      </c>
      <c r="E29" s="4">
        <v>2320</v>
      </c>
    </row>
    <row r="30" ht="45" customHeight="1">
      <c r="A30" s="4" t="str">
        <v>AOW05: Performance Assessments &amp; Evidence Generation</v>
      </c>
      <c r="B30" s="4" t="str">
        <v>ILRI</v>
      </c>
      <c r="C30" s="4" t="str">
        <v>United Republic</v>
      </c>
      <c r="D30" s="5">
        <v>0</v>
      </c>
      <c r="E30" s="4">
        <v>2321</v>
      </c>
    </row>
  </sheetData>
  <mergeCells count="6">
    <mergeCell ref="A2"/>
    <mergeCell ref="A3:A5"/>
    <mergeCell ref="A6:A7"/>
    <mergeCell ref="A8:A10"/>
    <mergeCell ref="A11:A23"/>
    <mergeCell ref="A24:A30"/>
  </mergeCells>
  <ignoredErrors>
    <ignoredError numberStoredAsText="1" sqref="A1:E30"/>
  </ignoredErrors>
</worksheet>
</file>

<file path=xl/worksheets/sheet9.xml><?xml version="1.0" encoding="utf-8"?>
<worksheet xmlns="http://schemas.openxmlformats.org/spreadsheetml/2006/main" xmlns:r="http://schemas.openxmlformats.org/officeDocument/2006/relationships">
  <dimension ref="A1:F4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Cambodia</v>
      </c>
      <c r="D2" s="4" t="str">
        <v>country</v>
      </c>
      <c r="E2" s="5">
        <v>4</v>
      </c>
      <c r="F2" s="4">
        <v>1623</v>
      </c>
    </row>
    <row r="3" ht="45" customHeight="1">
      <c r="A3" s="4" t="str">
        <v>AOW00: Cross Cutting</v>
      </c>
      <c r="B3" s="4" t="str">
        <v>ILRI</v>
      </c>
      <c r="C3" s="4" t="str">
        <v>Colombia</v>
      </c>
      <c r="D3" s="4" t="str">
        <v>country</v>
      </c>
      <c r="E3" s="5">
        <v>10</v>
      </c>
      <c r="F3" s="4">
        <v>1624</v>
      </c>
    </row>
    <row r="4" ht="45" customHeight="1">
      <c r="A4" s="4" t="str">
        <v>AOW00: Cross Cutting</v>
      </c>
      <c r="B4" s="4" t="str">
        <v>ILRI</v>
      </c>
      <c r="C4" s="4" t="str">
        <v>Côte d'Ivoire</v>
      </c>
      <c r="D4" s="4" t="str">
        <v>country</v>
      </c>
      <c r="E4" s="5">
        <v>7</v>
      </c>
      <c r="F4" s="4">
        <v>1625</v>
      </c>
    </row>
    <row r="5" ht="45" customHeight="1">
      <c r="A5" s="4" t="str">
        <v>AOW00: Cross Cutting</v>
      </c>
      <c r="B5" s="4" t="str">
        <v>ILRI</v>
      </c>
      <c r="C5" s="4" t="str">
        <v>Ethiopia</v>
      </c>
      <c r="D5" s="4" t="str">
        <v>country</v>
      </c>
      <c r="E5" s="5">
        <v>7</v>
      </c>
      <c r="F5" s="4">
        <v>1626</v>
      </c>
    </row>
    <row r="6" ht="45" customHeight="1">
      <c r="A6" s="4" t="str">
        <v>AOW00: Cross Cutting</v>
      </c>
      <c r="B6" s="4" t="str">
        <v>ILRI</v>
      </c>
      <c r="C6" s="4" t="str">
        <v>India</v>
      </c>
      <c r="D6" s="4" t="str">
        <v>country</v>
      </c>
      <c r="E6" s="5">
        <v>10</v>
      </c>
      <c r="F6" s="4">
        <v>1627</v>
      </c>
    </row>
    <row r="7" ht="45" customHeight="1">
      <c r="A7" s="4" t="str">
        <v>AOW00: Cross Cutting</v>
      </c>
      <c r="B7" s="4" t="str">
        <v>ILRI</v>
      </c>
      <c r="C7" s="4" t="str">
        <v>Kenya</v>
      </c>
      <c r="D7" s="4" t="str">
        <v>country</v>
      </c>
      <c r="E7" s="5">
        <v>10</v>
      </c>
      <c r="F7" s="4">
        <v>1628</v>
      </c>
    </row>
    <row r="8" ht="45" customHeight="1">
      <c r="A8" s="4" t="str">
        <v>AOW00: Cross Cutting</v>
      </c>
      <c r="B8" s="4" t="str">
        <v>ILRI</v>
      </c>
      <c r="C8" s="4" t="str">
        <v>Lao People's Democratic Republic</v>
      </c>
      <c r="D8" s="4" t="str">
        <v>country</v>
      </c>
      <c r="E8" s="5">
        <v>4</v>
      </c>
      <c r="F8" s="4">
        <v>1629</v>
      </c>
    </row>
    <row r="9" ht="45" customHeight="1">
      <c r="A9" s="4" t="str">
        <v>AOW00: Cross Cutting</v>
      </c>
      <c r="B9" s="4" t="str">
        <v>ILRI</v>
      </c>
      <c r="C9" s="4" t="str">
        <v>Peru</v>
      </c>
      <c r="D9" s="4" t="str">
        <v>country</v>
      </c>
      <c r="E9" s="5">
        <v>10</v>
      </c>
      <c r="F9" s="4">
        <v>1630</v>
      </c>
    </row>
    <row r="10" ht="45" customHeight="1">
      <c r="A10" s="4" t="str">
        <v>AOW00: Cross Cutting</v>
      </c>
      <c r="B10" s="4" t="str">
        <v>ILRI</v>
      </c>
      <c r="C10" s="4" t="str">
        <v>Senegal</v>
      </c>
      <c r="D10" s="4" t="str">
        <v>country</v>
      </c>
      <c r="E10" s="5">
        <v>7</v>
      </c>
      <c r="F10" s="4">
        <v>1631</v>
      </c>
    </row>
    <row r="11" ht="45" customHeight="1">
      <c r="A11" s="4" t="str">
        <v>AOW00: Cross Cutting</v>
      </c>
      <c r="B11" s="4" t="str">
        <v>ILRI</v>
      </c>
      <c r="C11" s="4" t="str">
        <v>Tanzania</v>
      </c>
      <c r="D11" s="4" t="str">
        <v>country</v>
      </c>
      <c r="E11" s="5">
        <v>7</v>
      </c>
      <c r="F11" s="4">
        <v>1632</v>
      </c>
    </row>
    <row r="12" ht="45" customHeight="1">
      <c r="A12" s="4" t="str">
        <v>AOW00: Cross Cutting</v>
      </c>
      <c r="B12" s="4" t="str">
        <v>ILRI</v>
      </c>
      <c r="C12" s="4" t="str">
        <v>The Socialist Republic of Viet Nam</v>
      </c>
      <c r="D12" s="4" t="str">
        <v>country</v>
      </c>
      <c r="E12" s="5">
        <v>4</v>
      </c>
      <c r="F12" s="4">
        <v>1633</v>
      </c>
    </row>
    <row r="13" ht="45" customHeight="1">
      <c r="A13" s="4" t="str">
        <v>AOW00: Cross Cutting</v>
      </c>
      <c r="B13" s="4" t="str">
        <v>ILRI</v>
      </c>
      <c r="C13" s="4" t="str">
        <v>Tunisia</v>
      </c>
      <c r="D13" s="4" t="str">
        <v>country</v>
      </c>
      <c r="E13" s="5">
        <v>10</v>
      </c>
      <c r="F13" s="4">
        <v>1634</v>
      </c>
    </row>
    <row r="14" ht="45" customHeight="1">
      <c r="A14" s="4" t="str">
        <v>AOW00: Cross Cutting</v>
      </c>
      <c r="B14" s="4" t="str">
        <v>ILRI</v>
      </c>
      <c r="C14" s="4" t="str">
        <v>Zimbabwe</v>
      </c>
      <c r="D14" s="4" t="str">
        <v>country</v>
      </c>
      <c r="E14" s="5">
        <v>10</v>
      </c>
      <c r="F14" s="4">
        <v>1635</v>
      </c>
    </row>
    <row r="15" ht="45" customHeight="1">
      <c r="A15" s="8" t="str">
        <v>AOW01: Agroecology+ Solutions &amp; Innovations</v>
      </c>
      <c r="B15" s="4" t="str">
        <v>ILRI</v>
      </c>
      <c r="C15" s="4" t="str">
        <v>Kenya</v>
      </c>
      <c r="D15" s="4" t="str">
        <v>country</v>
      </c>
      <c r="E15" s="5">
        <v>25</v>
      </c>
      <c r="F15" s="4">
        <v>797</v>
      </c>
    </row>
    <row r="16" ht="45" customHeight="1">
      <c r="A16" s="4" t="str">
        <v>AOW01: Agroecology+ Solutions &amp; Innovations</v>
      </c>
      <c r="B16" s="4" t="str">
        <v>ILRI</v>
      </c>
      <c r="C16" s="4" t="str">
        <v>Peru</v>
      </c>
      <c r="D16" s="4" t="str">
        <v>country</v>
      </c>
      <c r="E16" s="5">
        <v>0</v>
      </c>
      <c r="F16" s="4">
        <v>798</v>
      </c>
    </row>
    <row r="17" ht="45" customHeight="1">
      <c r="A17" s="4" t="str">
        <v>AOW01: Agroecology+ Solutions &amp; Innovations</v>
      </c>
      <c r="B17" s="4" t="str">
        <v>ILRI</v>
      </c>
      <c r="C17" s="4" t="str">
        <v>Senegal</v>
      </c>
      <c r="D17" s="4" t="str">
        <v>country</v>
      </c>
      <c r="E17" s="5">
        <v>25</v>
      </c>
      <c r="F17" s="4">
        <v>794</v>
      </c>
    </row>
    <row r="18" ht="45" customHeight="1">
      <c r="A18" s="4" t="str">
        <v>AOW01: Agroecology+ Solutions &amp; Innovations</v>
      </c>
      <c r="B18" s="4" t="str">
        <v>ILRI</v>
      </c>
      <c r="C18" s="4" t="str">
        <v>Tanzania</v>
      </c>
      <c r="D18" s="4" t="str">
        <v>country</v>
      </c>
      <c r="E18" s="5">
        <v>25</v>
      </c>
      <c r="F18" s="4">
        <v>795</v>
      </c>
    </row>
    <row r="19" ht="45" customHeight="1">
      <c r="A19" s="4" t="str">
        <v>AOW01: Agroecology+ Solutions &amp; Innovations</v>
      </c>
      <c r="B19" s="4" t="str">
        <v>ILRI</v>
      </c>
      <c r="C19" s="4" t="str">
        <v>Tunisia</v>
      </c>
      <c r="D19" s="4" t="str">
        <v>country</v>
      </c>
      <c r="E19" s="5">
        <v>25</v>
      </c>
      <c r="F19" s="4">
        <v>796</v>
      </c>
    </row>
    <row r="20" ht="45" customHeight="1">
      <c r="A20" s="8" t="str">
        <v>AOW02: Landscape Optimization and Inclusive Planning</v>
      </c>
      <c r="B20" s="4" t="str">
        <v>ILRI</v>
      </c>
      <c r="C20" s="4" t="str">
        <v>Senegal</v>
      </c>
      <c r="D20" s="4" t="str">
        <v>country</v>
      </c>
      <c r="E20" s="5">
        <v>33</v>
      </c>
      <c r="F20" s="4">
        <v>800</v>
      </c>
    </row>
    <row r="21" ht="45" customHeight="1">
      <c r="A21" s="4" t="str">
        <v>AOW02: Landscape Optimization and Inclusive Planning</v>
      </c>
      <c r="B21" s="4" t="str">
        <v>ILRI</v>
      </c>
      <c r="C21" s="4" t="str">
        <v>Tanzania</v>
      </c>
      <c r="D21" s="4" t="str">
        <v>country</v>
      </c>
      <c r="E21" s="5">
        <v>34</v>
      </c>
      <c r="F21" s="4">
        <v>799</v>
      </c>
    </row>
    <row r="22" ht="45" customHeight="1">
      <c r="A22" s="4" t="str">
        <v>AOW02: Landscape Optimization and Inclusive Planning</v>
      </c>
      <c r="B22" s="4" t="str">
        <v>ILRI</v>
      </c>
      <c r="C22" s="4" t="str">
        <v>Tunisia</v>
      </c>
      <c r="D22" s="4" t="str">
        <v>country</v>
      </c>
      <c r="E22" s="5">
        <v>33</v>
      </c>
      <c r="F22" s="4">
        <v>801</v>
      </c>
    </row>
    <row r="23" ht="45" customHeight="1">
      <c r="A23" s="8" t="str">
        <v>AOW03: Business Models, Markets, and Sustainable Finance</v>
      </c>
      <c r="B23" s="4" t="str">
        <v>ILRI</v>
      </c>
      <c r="C23" s="4" t="str">
        <v>Colombia</v>
      </c>
      <c r="D23" s="4" t="str">
        <v>country</v>
      </c>
      <c r="E23" s="5">
        <v>20</v>
      </c>
      <c r="F23" s="4">
        <v>1564</v>
      </c>
    </row>
    <row r="24" ht="45" customHeight="1">
      <c r="A24" s="4" t="str">
        <v>AOW03: Business Models, Markets, and Sustainable Finance</v>
      </c>
      <c r="B24" s="4" t="str">
        <v>ILRI</v>
      </c>
      <c r="C24" s="4" t="str">
        <v>Ethiopia</v>
      </c>
      <c r="D24" s="4" t="str">
        <v>country</v>
      </c>
      <c r="E24" s="5">
        <v>60</v>
      </c>
      <c r="F24" s="4">
        <v>1565</v>
      </c>
    </row>
    <row r="25" ht="45" customHeight="1">
      <c r="A25" s="4" t="str">
        <v>AOW03: Business Models, Markets, and Sustainable Finance</v>
      </c>
      <c r="B25" s="4" t="str">
        <v>ILRI</v>
      </c>
      <c r="C25" s="4" t="str">
        <v>India</v>
      </c>
      <c r="D25" s="4" t="str">
        <v>country</v>
      </c>
      <c r="E25" s="5">
        <v>0</v>
      </c>
      <c r="F25" s="4">
        <v>1567</v>
      </c>
    </row>
    <row r="26" ht="45" customHeight="1">
      <c r="A26" s="4" t="str">
        <v>AOW03: Business Models, Markets, and Sustainable Finance</v>
      </c>
      <c r="B26" s="4" t="str">
        <v>ILRI</v>
      </c>
      <c r="C26" s="4" t="str">
        <v>Kenya</v>
      </c>
      <c r="D26" s="4" t="str">
        <v>country</v>
      </c>
      <c r="E26" s="5">
        <v>0</v>
      </c>
      <c r="F26" s="4">
        <v>1384</v>
      </c>
    </row>
    <row r="27" ht="45" customHeight="1">
      <c r="A27" s="4" t="str">
        <v>AOW03: Business Models, Markets, and Sustainable Finance</v>
      </c>
      <c r="B27" s="4" t="str">
        <v>ILRI</v>
      </c>
      <c r="C27" s="4" t="str">
        <v>Peru</v>
      </c>
      <c r="D27" s="4" t="str">
        <v>country</v>
      </c>
      <c r="E27" s="5">
        <v>20</v>
      </c>
      <c r="F27" s="4">
        <v>1566</v>
      </c>
    </row>
    <row r="28" ht="45" customHeight="1">
      <c r="A28" s="4" t="str">
        <v>AOW03: Business Models, Markets, and Sustainable Finance</v>
      </c>
      <c r="B28" s="4" t="str">
        <v>ILRI</v>
      </c>
      <c r="C28" s="4" t="str">
        <v>Tanzania</v>
      </c>
      <c r="D28" s="4" t="str">
        <v>country</v>
      </c>
      <c r="E28" s="5">
        <v>0</v>
      </c>
      <c r="F28" s="4">
        <v>1382</v>
      </c>
    </row>
    <row r="29" ht="45" customHeight="1">
      <c r="A29" s="4" t="str">
        <v>AOW03: Business Models, Markets, and Sustainable Finance</v>
      </c>
      <c r="B29" s="4" t="str">
        <v>ILRI</v>
      </c>
      <c r="C29" s="4" t="str">
        <v>The Socialist Republic of Viet Nam</v>
      </c>
      <c r="D29" s="4" t="str">
        <v>country</v>
      </c>
      <c r="E29" s="5">
        <v>0</v>
      </c>
      <c r="F29" s="4">
        <v>1383</v>
      </c>
    </row>
    <row r="30" ht="45" customHeight="1">
      <c r="A30" s="8" t="str">
        <v>AOW04: Governance, Institutions, Policy, and Inclusion</v>
      </c>
      <c r="B30" s="4" t="str">
        <v>ILRI</v>
      </c>
      <c r="C30" s="4" t="str">
        <v>Cambodia</v>
      </c>
      <c r="D30" s="4" t="str">
        <v>country</v>
      </c>
      <c r="E30" s="5">
        <v>10</v>
      </c>
      <c r="F30" s="4">
        <v>802</v>
      </c>
    </row>
    <row r="31" ht="45" customHeight="1">
      <c r="A31" s="4" t="str">
        <v>AOW04: Governance, Institutions, Policy, and Inclusion</v>
      </c>
      <c r="B31" s="4" t="str">
        <v>ILRI</v>
      </c>
      <c r="C31" s="4" t="str">
        <v>Colombia</v>
      </c>
      <c r="D31" s="4" t="str">
        <v>country</v>
      </c>
      <c r="E31" s="5">
        <v>5</v>
      </c>
      <c r="F31" s="4">
        <v>803</v>
      </c>
    </row>
    <row r="32" ht="45" customHeight="1">
      <c r="A32" s="4" t="str">
        <v>AOW04: Governance, Institutions, Policy, and Inclusion</v>
      </c>
      <c r="B32" s="4" t="str">
        <v>ILRI</v>
      </c>
      <c r="C32" s="4" t="str">
        <v>Ethiopia</v>
      </c>
      <c r="D32" s="4" t="str">
        <v>country</v>
      </c>
      <c r="E32" s="5">
        <v>5</v>
      </c>
      <c r="F32" s="4">
        <v>804</v>
      </c>
    </row>
    <row r="33" ht="45" customHeight="1">
      <c r="A33" s="4" t="str">
        <v>AOW04: Governance, Institutions, Policy, and Inclusion</v>
      </c>
      <c r="B33" s="4" t="str">
        <v>ILRI</v>
      </c>
      <c r="C33" s="4" t="str">
        <v>India</v>
      </c>
      <c r="D33" s="4" t="str">
        <v>country</v>
      </c>
      <c r="E33" s="5">
        <v>5</v>
      </c>
      <c r="F33" s="4">
        <v>805</v>
      </c>
    </row>
    <row r="34" ht="45" customHeight="1">
      <c r="A34" s="4" t="str">
        <v>AOW04: Governance, Institutions, Policy, and Inclusion</v>
      </c>
      <c r="B34" s="4" t="str">
        <v>ILRI</v>
      </c>
      <c r="C34" s="4" t="str">
        <v>Kenya</v>
      </c>
      <c r="D34" s="4" t="str">
        <v>country</v>
      </c>
      <c r="E34" s="5">
        <v>5</v>
      </c>
      <c r="F34" s="4">
        <v>806</v>
      </c>
    </row>
    <row r="35" ht="45" customHeight="1">
      <c r="A35" s="4" t="str">
        <v>AOW04: Governance, Institutions, Policy, and Inclusion</v>
      </c>
      <c r="B35" s="4" t="str">
        <v>ILRI</v>
      </c>
      <c r="C35" s="4" t="str">
        <v>Lao People's Democratic Republic</v>
      </c>
      <c r="D35" s="4" t="str">
        <v>country</v>
      </c>
      <c r="E35" s="5">
        <v>5</v>
      </c>
      <c r="F35" s="4">
        <v>807</v>
      </c>
    </row>
    <row r="36" ht="45" customHeight="1">
      <c r="A36" s="4" t="str">
        <v>AOW04: Governance, Institutions, Policy, and Inclusion</v>
      </c>
      <c r="B36" s="4" t="str">
        <v>ILRI</v>
      </c>
      <c r="C36" s="4" t="str">
        <v>Peru</v>
      </c>
      <c r="D36" s="4" t="str">
        <v>country</v>
      </c>
      <c r="E36" s="5">
        <v>5</v>
      </c>
      <c r="F36" s="4">
        <v>808</v>
      </c>
    </row>
    <row r="37" ht="45" customHeight="1">
      <c r="A37" s="4" t="str">
        <v>AOW04: Governance, Institutions, Policy, and Inclusion</v>
      </c>
      <c r="B37" s="4" t="str">
        <v>ILRI</v>
      </c>
      <c r="C37" s="4" t="str">
        <v>Senegal</v>
      </c>
      <c r="D37" s="4" t="str">
        <v>country</v>
      </c>
      <c r="E37" s="5">
        <v>5</v>
      </c>
      <c r="F37" s="4">
        <v>809</v>
      </c>
    </row>
    <row r="38" ht="45" customHeight="1">
      <c r="A38" s="4" t="str">
        <v>AOW04: Governance, Institutions, Policy, and Inclusion</v>
      </c>
      <c r="B38" s="4" t="str">
        <v>ILRI</v>
      </c>
      <c r="C38" s="4" t="str">
        <v>Tanzania</v>
      </c>
      <c r="D38" s="4" t="str">
        <v>country</v>
      </c>
      <c r="E38" s="5">
        <v>40</v>
      </c>
      <c r="F38" s="4">
        <v>810</v>
      </c>
    </row>
    <row r="39" ht="45" customHeight="1">
      <c r="A39" s="4" t="str">
        <v>AOW04: Governance, Institutions, Policy, and Inclusion</v>
      </c>
      <c r="B39" s="4" t="str">
        <v>ILRI</v>
      </c>
      <c r="C39" s="4" t="str">
        <v>The Socialist Republic of Viet Nam</v>
      </c>
      <c r="D39" s="4" t="str">
        <v>country</v>
      </c>
      <c r="E39" s="5">
        <v>5</v>
      </c>
      <c r="F39" s="4">
        <v>811</v>
      </c>
    </row>
    <row r="40" ht="45" customHeight="1">
      <c r="A40" s="4" t="str">
        <v>AOW04: Governance, Institutions, Policy, and Inclusion</v>
      </c>
      <c r="B40" s="4" t="str">
        <v>ILRI</v>
      </c>
      <c r="C40" s="4" t="str">
        <v>Tunisia</v>
      </c>
      <c r="D40" s="4" t="str">
        <v>country</v>
      </c>
      <c r="E40" s="5">
        <v>5</v>
      </c>
      <c r="F40" s="4">
        <v>812</v>
      </c>
    </row>
    <row r="41" ht="45" customHeight="1">
      <c r="A41" s="4" t="str">
        <v>AOW04: Governance, Institutions, Policy, and Inclusion</v>
      </c>
      <c r="B41" s="4" t="str">
        <v>ILRI</v>
      </c>
      <c r="C41" s="4" t="str">
        <v>Zimbabwe</v>
      </c>
      <c r="D41" s="4" t="str">
        <v>country</v>
      </c>
      <c r="E41" s="5">
        <v>5</v>
      </c>
      <c r="F41" s="4">
        <v>813</v>
      </c>
    </row>
    <row r="42" ht="45" customHeight="1">
      <c r="A42" s="8" t="str">
        <v>AOW05: Performance Assessments &amp; Evidence Generation</v>
      </c>
      <c r="B42" s="4" t="str">
        <v>ILRI</v>
      </c>
      <c r="C42" s="4" t="str">
        <v>Global</v>
      </c>
      <c r="D42" s="4" t="str">
        <v>global</v>
      </c>
      <c r="E42" s="5">
        <v>100</v>
      </c>
      <c r="F42" s="4">
        <v>814</v>
      </c>
    </row>
  </sheetData>
  <mergeCells count="6">
    <mergeCell ref="A2:A14"/>
    <mergeCell ref="A15:A19"/>
    <mergeCell ref="A20:A22"/>
    <mergeCell ref="A23:A29"/>
    <mergeCell ref="A30:A41"/>
    <mergeCell ref="A42"/>
  </mergeCells>
  <ignoredErrors>
    <ignoredError numberStoredAsText="1" sqref="A1:F42"/>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