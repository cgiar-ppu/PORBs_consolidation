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300</v>
      </c>
      <c r="G5" s="5">
        <v>82245</v>
      </c>
      <c r="H5" s="5">
        <v>0</v>
      </c>
      <c r="I5" s="5">
        <v>0</v>
      </c>
      <c r="J5" s="5">
        <v>82245</v>
      </c>
      <c r="K5" s="5">
        <v>82245</v>
      </c>
      <c r="L5" s="5">
        <v>2000</v>
      </c>
      <c r="M5" s="5">
        <v>0</v>
      </c>
      <c r="N5" s="4">
        <v>177</v>
      </c>
    </row>
    <row r="6" ht="20" customHeight="1">
      <c r="A6" s="4" t="str">
        <v>AOW02: Landscape Optimization and Inclusive Planning</v>
      </c>
      <c r="B6" s="5">
        <v>0</v>
      </c>
      <c r="C6" s="5">
        <v>0</v>
      </c>
      <c r="D6" s="5">
        <v>0</v>
      </c>
      <c r="E6" s="5">
        <v>14868</v>
      </c>
      <c r="F6" s="5">
        <v>0</v>
      </c>
      <c r="G6" s="5">
        <v>0</v>
      </c>
      <c r="H6" s="5">
        <v>15</v>
      </c>
      <c r="I6" s="5">
        <v>74690</v>
      </c>
      <c r="J6" s="5">
        <v>89558</v>
      </c>
      <c r="K6" s="5">
        <v>89558</v>
      </c>
      <c r="L6" s="5">
        <v>23000</v>
      </c>
      <c r="M6" s="5">
        <v>0</v>
      </c>
      <c r="N6" s="4">
        <v>179</v>
      </c>
    </row>
    <row r="7" ht="20" customHeight="1">
      <c r="A7" s="4" t="str">
        <v>AOW03: Business Models, Markets, and Sustainable Finance</v>
      </c>
      <c r="B7" s="5">
        <v>0</v>
      </c>
      <c r="C7" s="5">
        <v>0</v>
      </c>
      <c r="D7" s="5">
        <v>3</v>
      </c>
      <c r="E7" s="5">
        <v>56652</v>
      </c>
      <c r="F7" s="5">
        <v>0</v>
      </c>
      <c r="G7" s="5">
        <v>0</v>
      </c>
      <c r="H7" s="5">
        <v>0</v>
      </c>
      <c r="I7" s="5">
        <v>0</v>
      </c>
      <c r="J7" s="5">
        <v>56652</v>
      </c>
      <c r="K7" s="5">
        <v>56652</v>
      </c>
      <c r="L7" s="5">
        <v>21000</v>
      </c>
      <c r="M7" s="5">
        <v>0</v>
      </c>
      <c r="N7" s="4">
        <v>180</v>
      </c>
    </row>
    <row r="8" ht="20" customHeight="1">
      <c r="A8" s="4" t="str">
        <v>AOW04: Governance, Institutions, Policy, and Inclusion</v>
      </c>
      <c r="B8" s="5">
        <v>1</v>
      </c>
      <c r="C8" s="5">
        <v>85000</v>
      </c>
      <c r="D8" s="5">
        <v>13</v>
      </c>
      <c r="E8" s="5">
        <v>202760</v>
      </c>
      <c r="F8" s="5">
        <v>0</v>
      </c>
      <c r="G8" s="5">
        <v>0</v>
      </c>
      <c r="H8" s="5">
        <v>0</v>
      </c>
      <c r="I8" s="5">
        <v>0</v>
      </c>
      <c r="J8" s="5">
        <v>287760</v>
      </c>
      <c r="K8" s="5">
        <v>287760</v>
      </c>
      <c r="L8" s="5">
        <v>13500</v>
      </c>
      <c r="M8" s="5">
        <v>0</v>
      </c>
      <c r="N8" s="4">
        <v>181</v>
      </c>
    </row>
    <row r="9" ht="20" customHeight="1">
      <c r="A9" s="4" t="str">
        <v>AOW05: Performance Assessments &amp; Evidence Generation</v>
      </c>
      <c r="B9" s="5">
        <v>3</v>
      </c>
      <c r="C9" s="5">
        <v>145878</v>
      </c>
      <c r="D9" s="5">
        <v>28</v>
      </c>
      <c r="E9" s="5">
        <v>352553</v>
      </c>
      <c r="F9" s="5">
        <v>0</v>
      </c>
      <c r="G9" s="5">
        <v>0</v>
      </c>
      <c r="H9" s="5">
        <v>1</v>
      </c>
      <c r="I9" s="5">
        <v>36460</v>
      </c>
      <c r="J9" s="5">
        <v>534891</v>
      </c>
      <c r="K9" s="5">
        <v>534891</v>
      </c>
      <c r="L9" s="5">
        <v>0</v>
      </c>
      <c r="M9" s="5">
        <v>107195</v>
      </c>
      <c r="N9" s="4">
        <v>178</v>
      </c>
    </row>
    <row r="10" ht="25" customHeight="1">
      <c r="A10" s="6" t="str">
        <v>Total</v>
      </c>
      <c r="B10" s="7" t="str">
        <v/>
      </c>
      <c r="C10" s="7">
        <v>230878</v>
      </c>
      <c r="D10" s="7" t="str">
        <v/>
      </c>
      <c r="E10" s="7">
        <v>626833</v>
      </c>
      <c r="F10" s="7" t="str">
        <v/>
      </c>
      <c r="G10" s="7">
        <v>82245</v>
      </c>
      <c r="H10" s="7" t="str">
        <v/>
      </c>
      <c r="I10" s="7">
        <v>111150</v>
      </c>
      <c r="J10" s="7">
        <v>1051106</v>
      </c>
      <c r="K10" s="7">
        <v>1051106</v>
      </c>
      <c r="L10" s="7">
        <v>59500</v>
      </c>
      <c r="M10" s="7">
        <v>107195</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WorldFish</v>
      </c>
      <c r="C3" s="4" t="str">
        <v>OP 1.1.3. – Common pool resource bundles</v>
      </c>
      <c r="D3" s="4" t="str" xml:space="preserve">
        <v xml:space="preserve">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v>
      </c>
      <c r="E3" s="4" t="str">
        <v>Number of people trained (capacity sharing for development)</v>
      </c>
      <c r="F3" s="4" t="str">
        <v>Cambodia, India</v>
      </c>
      <c r="G3" s="5">
        <v>300</v>
      </c>
      <c r="H3" s="5">
        <v>82245</v>
      </c>
      <c r="I3" s="4" t="str">
        <v>USD 42,245 for implementation in India (Ayan Samaddar). USD 40,000 for implementation in Cambodia (Vichet Sean).</v>
      </c>
      <c r="J3" s="4">
        <v>5487</v>
      </c>
    </row>
    <row r="4" ht="50" customHeight="1" xml:space="preserve">
      <c r="A4" s="4" t="str">
        <v>AOW01: Agroecology+ Solutions &amp; Innovations</v>
      </c>
      <c r="B4" s="4" t="str">
        <v>WorldFish</v>
      </c>
      <c r="C4" s="4" t="str">
        <v>OP 1.2.6. – Advisory &amp; training innovations</v>
      </c>
      <c r="D4" s="4" t="str" xml:space="preserve">
        <v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community-based monitoring systems for fish-forest ecosystem management and nutrition-sensitive resilience planning.
</v>
      </c>
      <c r="E4" s="4" t="str">
        <v>Number of people trained (capacity sharing for development)</v>
      </c>
      <c r="F4" s="4" t="str">
        <v>Peru</v>
      </c>
      <c r="G4" s="5">
        <v>0</v>
      </c>
      <c r="H4" s="5">
        <v>0</v>
      </c>
      <c r="I4" s="4" t="str">
        <v/>
      </c>
      <c r="J4" s="4">
        <v>8373</v>
      </c>
    </row>
    <row r="5" ht="25" customHeight="1">
      <c r="C5" s="9" t="str">
        <v>HLO budget subtotal</v>
      </c>
      <c r="H5" s="9">
        <v>82245</v>
      </c>
      <c r="J5" s="9" t="str">
        <v/>
      </c>
    </row>
    <row r="6" ht="50" customHeight="1" xml:space="preserve">
      <c r="A6" s="8" t="str">
        <v>AOW02: Landscape Optimization and Inclusive Planning</v>
      </c>
      <c r="B6" s="4" t="str">
        <v>WorldFish</v>
      </c>
      <c r="C6" s="4" t="str">
        <v>OP 2.2.3. – Integrated planning &amp; scenarios</v>
      </c>
      <c r="D6" s="4" t="str" xml:space="preserve">
        <v xml:space="preserve">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v>
      </c>
      <c r="E6" s="4" t="str">
        <v>custom</v>
      </c>
      <c r="F6" s="4" t="str">
        <v>India</v>
      </c>
      <c r="G6" s="5">
        <v>15</v>
      </c>
      <c r="H6" s="5">
        <v>74690</v>
      </c>
      <c r="I6" s="4" t="str">
        <v>.</v>
      </c>
      <c r="J6" s="4">
        <v>5238</v>
      </c>
    </row>
    <row r="7" ht="50" customHeight="1" xml:space="preserve">
      <c r="B7" s="4" t="str">
        <v>WorldFish</v>
      </c>
      <c r="D7" s="4" t="str" xml:space="preserve">
        <v xml:space="preserve">Forest-Fish-Food (Triple F): Revisiting the context for local vulnerabilities and identifying locally-specific options for community resilience in the local sites in Peru and Ethiopia
Indicator: Number of knowledge products  on the resilience drivers related to aquatic systems; Number of community validated products on resilience options identified for integrated forest-fish-food planning.</v>
      </c>
      <c r="E7" s="4" t="str">
        <v>Number of knowledge products</v>
      </c>
      <c r="F7" s="4" t="str">
        <v>Peru</v>
      </c>
      <c r="G7" s="5">
        <v>0</v>
      </c>
      <c r="H7" s="5">
        <v>0</v>
      </c>
      <c r="I7" s="4" t="str">
        <v/>
      </c>
      <c r="J7" s="4">
        <v>8371</v>
      </c>
    </row>
    <row r="8" ht="50" customHeight="1" xml:space="preserve">
      <c r="A8" s="4" t="str">
        <v>AOW02: Landscape Optimization and Inclusive Planning</v>
      </c>
      <c r="B8" s="4" t="str">
        <v>WorldFish</v>
      </c>
      <c r="C8" s="4" t="str">
        <v>OP 2.1.1. – Hotspot mapping &amp; characterization</v>
      </c>
      <c r="D8" s="4" t="str" xml:space="preserve">
        <v xml:space="preserve">Forest-Fish-Food (Triple F): Common methods and science background for the community-based action-research component  
Indicator: Fish module integrated into telecoupling assessments.</v>
      </c>
      <c r="E8" s="4" t="str">
        <v>Number of knowledge products</v>
      </c>
      <c r="F8" s="4" t="str">
        <v>Peru</v>
      </c>
      <c r="G8" s="5">
        <v>0</v>
      </c>
      <c r="H8" s="5">
        <v>14868</v>
      </c>
      <c r="I8" s="4" t="str">
        <v>.</v>
      </c>
      <c r="J8" s="4">
        <v>8369</v>
      </c>
    </row>
    <row r="9" ht="25" customHeight="1">
      <c r="C9" s="9" t="str">
        <v>HLO budget subtotal</v>
      </c>
      <c r="H9" s="9">
        <v>89558</v>
      </c>
      <c r="J9" s="9" t="str">
        <v/>
      </c>
    </row>
    <row r="10" ht="50" customHeight="1" xml:space="preserve">
      <c r="A10" s="8" t="str">
        <v>AOW03: Business Models, Markets, and Sustainable Finance</v>
      </c>
      <c r="B10" s="4" t="str">
        <v>WorldFish</v>
      </c>
      <c r="C10" s="4" t="str">
        <v>OP 3.2.2. Inclusive business models</v>
      </c>
      <c r="D10" s="4" t="str" xml:space="preserve">
        <v xml:space="preserve">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v>
      </c>
      <c r="E10" s="4" t="str">
        <v>Number of knowledge products</v>
      </c>
      <c r="F10" s="4" t="str">
        <v>India</v>
      </c>
      <c r="G10" s="5">
        <v>3</v>
      </c>
      <c r="H10" s="5">
        <v>56652</v>
      </c>
      <c r="I10" s="4" t="str">
        <v>.</v>
      </c>
      <c r="J10" s="4">
        <v>5403</v>
      </c>
    </row>
    <row r="11" ht="50" customHeight="1" xml:space="preserve">
      <c r="A11" s="4" t="str">
        <v>AOW03: Business Models, Markets, and Sustainable Finance</v>
      </c>
      <c r="B11" s="4" t="str">
        <v>WorldFish</v>
      </c>
      <c r="C11" s="4" t="str">
        <v>OP 3.1.1. Capacity strengthening for producer organizations &amp; value chains</v>
      </c>
      <c r="D11" s="4" t="str" xml:space="preserve">
        <v xml:space="preserve">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communities trained on identified fish-based nutrition and livelihood options to strengthen food security and resilience.</v>
      </c>
      <c r="E11" s="4" t="str">
        <v>Number of people trained (capacity sharing for development)</v>
      </c>
      <c r="F11" s="4" t="str">
        <v>Peru</v>
      </c>
      <c r="G11" s="5">
        <v>0</v>
      </c>
      <c r="H11" s="5">
        <v>0</v>
      </c>
      <c r="I11" s="4" t="str">
        <v/>
      </c>
      <c r="J11" s="4">
        <v>8375</v>
      </c>
    </row>
    <row r="12" ht="25" customHeight="1">
      <c r="C12" s="9" t="str">
        <v>HLO budget subtotal</v>
      </c>
      <c r="H12" s="9">
        <v>56652</v>
      </c>
      <c r="J12" s="9" t="str">
        <v/>
      </c>
    </row>
    <row r="13" ht="50" customHeight="1" xml:space="preserve">
      <c r="A13" s="8" t="str">
        <v>AOW04: Governance, Institutions, Policy, and Inclusion</v>
      </c>
      <c r="B13" s="4" t="str">
        <v>WorldFish</v>
      </c>
      <c r="C13" s="4" t="str">
        <v>OP 4.2.1. Institutional, social and behavioral mechanisms</v>
      </c>
      <c r="D13" s="4" t="str" xml:space="preserve">
        <v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v>
      </c>
      <c r="E13" s="4" t="str">
        <v>Number of knowledge products</v>
      </c>
      <c r="F13" s="4" t="str">
        <v>Cambodia, Lao People's Democratic Republic</v>
      </c>
      <c r="G13" s="5">
        <v>10</v>
      </c>
      <c r="H13" s="5">
        <v>40000</v>
      </c>
      <c r="I13" s="4" t="str">
        <v>.</v>
      </c>
      <c r="J13" s="4">
        <v>5340</v>
      </c>
    </row>
    <row r="14" ht="50" customHeight="1" xml:space="preserve">
      <c r="B14" s="4" t="str">
        <v>WorldFish</v>
      </c>
      <c r="D14" s="4" t="str" xml:space="preserve">
        <v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v>
      </c>
      <c r="E14" s="4" t="str">
        <v>Number of knowledge products</v>
      </c>
      <c r="F14" s="4" t="str">
        <v>Lao People's Democratic Republic, Cambodia</v>
      </c>
      <c r="G14" s="5">
        <v>1</v>
      </c>
      <c r="H14" s="5">
        <v>65000</v>
      </c>
      <c r="I14" s="4" t="str">
        <v>.</v>
      </c>
      <c r="J14" s="4">
        <v>5341</v>
      </c>
    </row>
    <row r="15" ht="50" customHeight="1" xml:space="preserve">
      <c r="A15" s="4" t="str">
        <v>AOW04: Governance, Institutions, Policy, and Inclusion</v>
      </c>
      <c r="B15" s="4" t="str">
        <v>WorldFish</v>
      </c>
      <c r="C15" s="4" t="str">
        <v>OP 4.3.1. Multifunctional landscapes policy design and implementation</v>
      </c>
      <c r="D15" s="4" t="str" xml:space="preserve">
        <v xml:space="preserve">Deliverable: Analysis of Socioeconomic Benefits, Equity Challenges, and Collective Action in Kenyan BMUs
Indicator: Number of publications, reports or briefs on socioeconomic benefits, equity challenes and collective action
</v>
      </c>
      <c r="E15" s="4" t="str">
        <v>Number of knowledge products</v>
      </c>
      <c r="F15" s="4" t="str">
        <v>Kenya</v>
      </c>
      <c r="G15" s="5">
        <v>2</v>
      </c>
      <c r="H15" s="5">
        <v>95242</v>
      </c>
      <c r="I15" s="4" t="str">
        <v>.</v>
      </c>
      <c r="J15" s="4">
        <v>5356</v>
      </c>
    </row>
    <row r="16" ht="50" customHeight="1" xml:space="preserve">
      <c r="A16" s="4" t="str">
        <v>AOW04: Governance, Institutions, Policy, and Inclusion</v>
      </c>
      <c r="B16" s="4" t="str">
        <v>WorldFish</v>
      </c>
      <c r="C16" s="4" t="str">
        <v>OP 4.1.1. Inclusive governance architectures</v>
      </c>
      <c r="D16" s="4" t="str" xml:space="preserve">
        <v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v>
      </c>
      <c r="E16" s="4" t="str">
        <v>Number of innovations (innovation development)</v>
      </c>
      <c r="F16" s="4" t="str">
        <v>Lao People's Democratic Republic, Cambodia</v>
      </c>
      <c r="G16" s="5">
        <v>1</v>
      </c>
      <c r="H16" s="5">
        <v>85000</v>
      </c>
      <c r="I16" s="4" t="str">
        <v>.</v>
      </c>
      <c r="J16" s="4">
        <v>5386</v>
      </c>
    </row>
    <row r="17" ht="50" customHeight="1" xml:space="preserve">
      <c r="A17" s="4" t="str">
        <v>AOW04: Governance, Institutions, Policy, and Inclusion</v>
      </c>
      <c r="B17" s="4" t="str">
        <v>WorldFish</v>
      </c>
      <c r="C17" s="4" t="str">
        <v>OP 4.2.2. Demand driven capacity sharing for policy makers and landscape stakeholders</v>
      </c>
      <c r="D17" s="4" t="str" xml:space="preserve">
        <v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capacity-sharing tools, and knowledge products developed to support integration of nutrition-sensitive fisheries governance into fish-forest restoration and landscape planning processes.
</v>
      </c>
      <c r="E17" s="4" t="str">
        <v>Number of knowledge products</v>
      </c>
      <c r="F17" s="4" t="str">
        <v>Peru</v>
      </c>
      <c r="G17" s="5">
        <v>0</v>
      </c>
      <c r="H17" s="5">
        <v>0</v>
      </c>
      <c r="I17" s="4" t="str">
        <v/>
      </c>
      <c r="J17" s="4">
        <v>8377</v>
      </c>
    </row>
    <row r="18" ht="50" customHeight="1" xml:space="preserve">
      <c r="A18" s="4" t="str">
        <v>AOW04: Governance, Institutions, Policy, and Inclusion</v>
      </c>
      <c r="B18" s="4" t="str">
        <v>WorldFish</v>
      </c>
      <c r="C18" s="4" t="str">
        <v>OP 4.3.2. Engagement frameworks and pilots</v>
      </c>
      <c r="D18" s="4" t="str" xml:space="preserve">
        <v xml:space="preserve">Forest-Fish-Food (Triple F): Knowledge exchange events between Peru and Ethiopia delivered, lessons learned and co-designed pathways for out-scaling 
Indicator: Number of knowledge products forming the evidence compendium on the role of fish-forest interaction.</v>
      </c>
      <c r="E18" s="4" t="str">
        <v>Number of knowledge products</v>
      </c>
      <c r="F18" s="4" t="str">
        <v>Peru</v>
      </c>
      <c r="G18" s="5">
        <v>0</v>
      </c>
      <c r="H18" s="5">
        <v>2518</v>
      </c>
      <c r="I18" s="4" t="str">
        <v>.</v>
      </c>
      <c r="J18" s="4">
        <v>8379</v>
      </c>
    </row>
    <row r="19" ht="25" customHeight="1">
      <c r="C19" s="9" t="str">
        <v>HLO budget subtotal</v>
      </c>
      <c r="H19" s="9">
        <v>287760</v>
      </c>
      <c r="J19" s="9" t="str">
        <v/>
      </c>
    </row>
    <row r="20" ht="50" customHeight="1" xml:space="preserve">
      <c r="A20" s="8" t="str">
        <v>AOW05: Performance Assessments &amp; Evidence Generation</v>
      </c>
      <c r="B20" s="4" t="str">
        <v>WorldFish</v>
      </c>
      <c r="C20" s="4" t="str">
        <v>OP 5.2.2. AI-assisted monitoring system</v>
      </c>
      <c r="D20" s="4" t="str" xml:space="preserve">
        <v xml:space="preserve">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v>
      </c>
      <c r="E20" s="4" t="str">
        <v>Number of knowledge products</v>
      </c>
      <c r="F20" s="4" t="str">
        <v>Ethiopia, Peru, Kenya, Colombia, The Socialist Republic of Viet Nam, India, Côte d'Ivoire, Senegal, Tunisia, Tanzania, United Republic, Cambodia, Zimbabwe, Lao People's Democratic Republic</v>
      </c>
      <c r="G20" s="5">
        <v>3</v>
      </c>
      <c r="H20" s="5">
        <v>80397</v>
      </c>
      <c r="I20" s="4" t="str">
        <v>.</v>
      </c>
      <c r="J20" s="4">
        <v>5267</v>
      </c>
    </row>
    <row r="21" ht="50" customHeight="1" xml:space="preserve">
      <c r="A21" s="4" t="str">
        <v>AOW05: Performance Assessments &amp; Evidence Generation</v>
      </c>
      <c r="B21" s="4" t="str">
        <v>WorldFish</v>
      </c>
      <c r="C21" s="4" t="str">
        <v>OP 5.1.3. Cross-CGIAR assessment frameworks of impact indicators</v>
      </c>
      <c r="D21" s="4" t="str" xml:space="preserve">
        <v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v>
      </c>
      <c r="E21" s="4" t="str">
        <v>Number of knowledge products</v>
      </c>
      <c r="F21" s="4" t="str">
        <v>Côte d'Ivoire, Tunisia, Cambodia, Colombia, Senegal, The Socialist Republic of Viet Nam, Zimbabwe, Ethiopia, Tanzania, United Republic, Peru, Kenya, Lao People's Democratic Republic, India</v>
      </c>
      <c r="G21" s="5">
        <v>20</v>
      </c>
      <c r="H21" s="5">
        <v>80396</v>
      </c>
      <c r="I21" s="4" t="str">
        <v>.</v>
      </c>
      <c r="J21" s="4">
        <v>5287</v>
      </c>
    </row>
    <row r="22" ht="50" customHeight="1" xml:space="preserve">
      <c r="A22" s="4" t="str">
        <v>AOW05: Performance Assessments &amp; Evidence Generation</v>
      </c>
      <c r="B22" s="4" t="str">
        <v>WorldFish</v>
      </c>
      <c r="C22" s="4" t="str">
        <v>OP 5.2.1. Knowledge and information hubs</v>
      </c>
      <c r="D22" s="4" t="str" xml:space="preserve">
        <v xml:space="preserve">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v>
      </c>
      <c r="E22" s="4" t="str">
        <v>custom</v>
      </c>
      <c r="F22" s="4" t="str">
        <v>India, Kenya</v>
      </c>
      <c r="G22" s="5">
        <v>1</v>
      </c>
      <c r="H22" s="5">
        <v>36460</v>
      </c>
      <c r="I22" s="4" t="str">
        <v>.</v>
      </c>
      <c r="J22" s="4">
        <v>5295</v>
      </c>
    </row>
    <row r="23" ht="50" customHeight="1" xml:space="preserve">
      <c r="B23" s="4" t="str">
        <v>WorldFish</v>
      </c>
      <c r="D23" s="4" t="str" xml:space="preserve">
        <v xml:space="preserve">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v>
      </c>
      <c r="E23" s="4" t="str">
        <v>Number of knowledge products</v>
      </c>
      <c r="F23" s="4" t="str">
        <v>Kenya, India, Lao People's Democratic Republic</v>
      </c>
      <c r="G23" s="5">
        <v>1</v>
      </c>
      <c r="H23" s="5">
        <v>80000</v>
      </c>
      <c r="I23" s="4" t="str">
        <v>.</v>
      </c>
      <c r="J23" s="4">
        <v>5296</v>
      </c>
    </row>
    <row r="24" ht="50" customHeight="1" xml:space="preserve">
      <c r="B24" s="4" t="str">
        <v>WorldFish</v>
      </c>
      <c r="D24" s="4" t="str" xml:space="preserve">
        <v xml:space="preserve">Deliverable - FAIR-Aligned Evidence Architecture
Establish protocols, metadata standards, and governance mechanisms to curate and manage MFL-related datasets as global public goods. 
Indicator:  Number of FAIR-light protocols for MFL-datasets</v>
      </c>
      <c r="E24" s="4" t="str">
        <v>Number of innovations (innovation development)</v>
      </c>
      <c r="F24" s="4" t="str">
        <v>Tunisia, Colombia, Kenya, Ethiopia, Zimbabwe, Peru, Senegal, Lao People's Democratic Republic, Cambodia, The Socialist Republic of Viet Nam, India, Tanzania, United Republic</v>
      </c>
      <c r="G24" s="5">
        <v>1</v>
      </c>
      <c r="H24" s="5">
        <v>50000</v>
      </c>
      <c r="I24" s="4" t="str">
        <v>.</v>
      </c>
      <c r="J24" s="4">
        <v>5297</v>
      </c>
    </row>
    <row r="25" ht="50" customHeight="1" xml:space="preserve">
      <c r="B25" s="4" t="str">
        <v>WorldFish</v>
      </c>
      <c r="D25" s="4" t="str" xml:space="preserve">
        <v xml:space="preserve">Deliverable - MFL Knowledge Hub Prototype: Develop a minimum viable digital platform integrating metadata and links to priority (geospatial) datasets and indicators across MFL landscapes
Indicator: Number of functional MVP platforms launched</v>
      </c>
      <c r="E25" s="4" t="str">
        <v>Number of innovations (innovation development)</v>
      </c>
      <c r="F25" s="4" t="str">
        <v>Tanzania, United Republic, The Socialist Republic of Viet Nam, Zimbabwe, Ethiopia, Peru, Lao People's Democratic Republic, Cambodia, Kenya, Tunisia, India, Senegal, Colombia</v>
      </c>
      <c r="G25" s="5">
        <v>1</v>
      </c>
      <c r="H25" s="5">
        <v>60000</v>
      </c>
      <c r="I25" s="4" t="str">
        <v>.</v>
      </c>
      <c r="J25" s="4">
        <v>5298</v>
      </c>
    </row>
    <row r="26" ht="50" customHeight="1">
      <c r="B26" s="4" t="str">
        <v>WorldFish</v>
      </c>
      <c r="D26" s="4" t="str">
        <v>Number of comprehensive open-access knowledge and information hubs on multifunctional landscape performance</v>
      </c>
      <c r="E26" s="4" t="str">
        <v>Number of knowledge products</v>
      </c>
      <c r="F26" s="4" t="str">
        <v>Zimbabwe, Colombia, India, Senegal, Lao People's Democratic Republic, The Socialist Republic of Viet Nam, Tanzania, United Republic, Peru, Cambodia, Tunisia, Kenya</v>
      </c>
      <c r="G26" s="5">
        <v>1</v>
      </c>
      <c r="H26" s="5">
        <v>0</v>
      </c>
      <c r="I26" s="4" t="str">
        <v/>
      </c>
      <c r="J26" s="4">
        <v>5301</v>
      </c>
    </row>
    <row r="27" ht="50" customHeight="1" xml:space="preserve">
      <c r="A27" s="4" t="str">
        <v>AOW05: Performance Assessments &amp; Evidence Generation</v>
      </c>
      <c r="B27" s="4" t="str">
        <v>WorldFish</v>
      </c>
      <c r="C27" s="4" t="str">
        <v>OP 5.1.2 Landscape-specific assessment frameworks</v>
      </c>
      <c r="D27" s="4" t="str" xml:space="preserve">
        <v xml:space="preserve">Deliverable - Critical Capabilities - MELIA STUDY Landscape appropriate Impact Assessment implementation: System Level Theory of Change
Indicator: Number of impact assessments carried out and documented</v>
      </c>
      <c r="E27" s="4" t="str">
        <v>Number of knowledge products</v>
      </c>
      <c r="F27" s="4" t="str">
        <v>Kenya, India</v>
      </c>
      <c r="G27" s="5">
        <v>4</v>
      </c>
      <c r="H27" s="5">
        <v>107195</v>
      </c>
      <c r="I27" s="4" t="str">
        <v>.</v>
      </c>
      <c r="J27" s="4">
        <v>5310</v>
      </c>
    </row>
    <row r="28" ht="50" customHeight="1" xml:space="preserve">
      <c r="B28" s="4" t="str">
        <v>WorldFish</v>
      </c>
      <c r="D28" s="4" t="str" xml:space="preserve">
        <v xml:space="preserve">Forest-Fish-Food (Triple F): SES framework applied in two landscapes / water basins, one in Peru and one in Ethiopia, and given latest ecological and social information data and studies available
Indicator: Number of knowledge products including spatial maps and journal articles on the application of the SES framework in landscapes / water basins.
</v>
      </c>
      <c r="E28" s="4" t="str">
        <v>Number of knowledge products</v>
      </c>
      <c r="F28" s="4" t="str">
        <v>Peru</v>
      </c>
      <c r="G28" s="5">
        <v>0</v>
      </c>
      <c r="H28" s="5">
        <v>4565</v>
      </c>
      <c r="I28" s="4" t="str">
        <v>.</v>
      </c>
      <c r="J28" s="4">
        <v>8367</v>
      </c>
    </row>
    <row r="29" ht="50" customHeight="1" xml:space="preserve">
      <c r="A29" s="4" t="str">
        <v>AOW05: Performance Assessments &amp; Evidence Generation</v>
      </c>
      <c r="B29" s="4" t="str">
        <v>WorldFish</v>
      </c>
      <c r="C29" s="4" t="str">
        <v>OP 5.1.1 – Standardised protocols, tools and methods</v>
      </c>
      <c r="D29" s="4" t="str" xml:space="preserve">
        <v xml:space="preserve">Forest-Fish-Food (Triple F): Common methods and SES framework developed for identifying and assessing cascading effects from forest and water cycle management to fish, food, and nutrition security in Peru and Ethiopia
Indicator: Number of standardised fish-forest interaction modules developed  validated and  integrated into the SES framework.</v>
      </c>
      <c r="E29" s="4" t="str">
        <v>Number of innovations (innovation development)</v>
      </c>
      <c r="F29" s="4" t="str">
        <v>Peru</v>
      </c>
      <c r="G29" s="5">
        <v>1</v>
      </c>
      <c r="H29" s="5">
        <v>35878</v>
      </c>
      <c r="I29" s="4" t="str">
        <v>.</v>
      </c>
      <c r="J29" s="4">
        <v>8365</v>
      </c>
    </row>
    <row r="30" ht="25" customHeight="1">
      <c r="C30" s="9" t="str">
        <v>HLO budget subtotal</v>
      </c>
      <c r="H30" s="9">
        <v>534891</v>
      </c>
      <c r="J30" s="9" t="str">
        <v/>
      </c>
    </row>
  </sheetData>
  <mergeCells count="20">
    <mergeCell ref="A1:A2"/>
    <mergeCell ref="B1:B2"/>
    <mergeCell ref="C1:C2"/>
    <mergeCell ref="D1:H1"/>
    <mergeCell ref="I1:I2"/>
    <mergeCell ref="J1:J2"/>
    <mergeCell ref="C5:G5"/>
    <mergeCell ref="A3:A5"/>
    <mergeCell ref="C6:C7"/>
    <mergeCell ref="C9:G9"/>
    <mergeCell ref="A6:A9"/>
    <mergeCell ref="C12:G12"/>
    <mergeCell ref="A10:A12"/>
    <mergeCell ref="C13:C14"/>
    <mergeCell ref="C19:G19"/>
    <mergeCell ref="A13:A19"/>
    <mergeCell ref="C22:C26"/>
    <mergeCell ref="C27:C28"/>
    <mergeCell ref="C30:G30"/>
    <mergeCell ref="A20:A30"/>
  </mergeCells>
  <ignoredErrors>
    <ignoredError numberStoredAsText="1" sqref="A1:J30"/>
  </ignoredErrors>
</worksheet>
</file>

<file path=xl/worksheets/sheet3.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Barkatullah University</v>
      </c>
      <c r="C2" s="4" t="str">
        <v>WorldFish</v>
      </c>
      <c r="D2" s="4" t="str">
        <v>India</v>
      </c>
      <c r="E2" s="5">
        <v>2000</v>
      </c>
      <c r="F2" s="4" t="str">
        <v>.</v>
      </c>
      <c r="G2" s="4">
        <v>508</v>
      </c>
    </row>
    <row r="3" ht="25" customHeight="1">
      <c r="B3" s="9" t="str">
        <v>Contracted partners subtotal</v>
      </c>
      <c r="E3" s="9">
        <v>2000</v>
      </c>
      <c r="F3" s="9" t="str">
        <v/>
      </c>
      <c r="G3" s="9" t="str">
        <v/>
      </c>
    </row>
    <row r="4" ht="50" customHeight="1">
      <c r="A4" s="8" t="str">
        <v>AOW02: Landscape Optimization and Inclusive Planning</v>
      </c>
      <c r="B4" s="4" t="str">
        <v>Foundation for Ecological Security</v>
      </c>
      <c r="C4" s="4" t="str">
        <v>WorldFish</v>
      </c>
      <c r="D4" s="4" t="str">
        <v>India</v>
      </c>
      <c r="E4" s="5">
        <v>20000</v>
      </c>
      <c r="F4" s="4" t="str">
        <v>.</v>
      </c>
      <c r="G4" s="4">
        <v>509</v>
      </c>
    </row>
    <row r="5" ht="50" customHeight="1">
      <c r="A5" s="4" t="str">
        <v>AOW02: Landscape Optimization and Inclusive Planning</v>
      </c>
      <c r="B5" s="4" t="str">
        <v>Barkatullah University</v>
      </c>
      <c r="C5" s="4" t="str">
        <v>WorldFish</v>
      </c>
      <c r="D5" s="4" t="str">
        <v>India</v>
      </c>
      <c r="E5" s="5">
        <v>3000</v>
      </c>
      <c r="F5" s="4" t="str">
        <v>.</v>
      </c>
      <c r="G5" s="4">
        <v>510</v>
      </c>
    </row>
    <row r="6" ht="25" customHeight="1">
      <c r="B6" s="9" t="str">
        <v>Contracted partners subtotal</v>
      </c>
      <c r="E6" s="9">
        <v>23000</v>
      </c>
      <c r="F6" s="9" t="str">
        <v/>
      </c>
      <c r="G6" s="9" t="str">
        <v/>
      </c>
    </row>
    <row r="7" ht="50" customHeight="1">
      <c r="A7" s="8" t="str">
        <v>AOW03: Business Models, Markets, and Sustainable Finance</v>
      </c>
      <c r="B7" s="4" t="str">
        <v>Tata Institute of Social Sciences</v>
      </c>
      <c r="C7" s="4" t="str">
        <v>WorldFish</v>
      </c>
      <c r="D7" s="4" t="str">
        <v>India</v>
      </c>
      <c r="E7" s="5">
        <v>20000</v>
      </c>
      <c r="F7" s="4" t="str">
        <v>.</v>
      </c>
      <c r="G7" s="4">
        <v>511</v>
      </c>
    </row>
    <row r="8" ht="50" customHeight="1">
      <c r="A8" s="4" t="str">
        <v>AOW03: Business Models, Markets, and Sustainable Finance</v>
      </c>
      <c r="B8" s="4" t="str">
        <v xml:space="preserve">UEM - University of Engineering and Management </v>
      </c>
      <c r="C8" s="4" t="str">
        <v>WorldFish</v>
      </c>
      <c r="D8" s="4" t="str">
        <v>India</v>
      </c>
      <c r="E8" s="5">
        <v>1000</v>
      </c>
      <c r="F8" s="4" t="str">
        <v>.</v>
      </c>
      <c r="G8" s="4">
        <v>513</v>
      </c>
    </row>
    <row r="9" ht="25" customHeight="1">
      <c r="B9" s="9" t="str">
        <v>Contracted partners subtotal</v>
      </c>
      <c r="E9" s="9">
        <v>21000</v>
      </c>
      <c r="F9" s="9" t="str">
        <v/>
      </c>
      <c r="G9" s="9" t="str">
        <v/>
      </c>
    </row>
    <row r="10" ht="50" customHeight="1">
      <c r="A10" s="8" t="str">
        <v>AOW04: Governance, Institutions, Policy, and Inclusion</v>
      </c>
      <c r="B10" s="4" t="str">
        <v>Unknown Partner 1</v>
      </c>
      <c r="C10" s="4" t="str">
        <v>WorldFish</v>
      </c>
      <c r="D10" s="4" t="str">
        <v>Cambodia</v>
      </c>
      <c r="E10" s="5">
        <v>13500</v>
      </c>
      <c r="F10" s="4" t="str">
        <v>.</v>
      </c>
      <c r="G10" s="4">
        <v>525</v>
      </c>
    </row>
    <row r="11" ht="25" customHeight="1">
      <c r="B11" s="9" t="str">
        <v>Contracted partners subtotal</v>
      </c>
      <c r="E11" s="9">
        <v>13500</v>
      </c>
      <c r="F11" s="9" t="str">
        <v/>
      </c>
      <c r="G11" s="9" t="str">
        <v/>
      </c>
    </row>
  </sheetData>
  <mergeCells count="8">
    <mergeCell ref="B3:D3"/>
    <mergeCell ref="A2:A3"/>
    <mergeCell ref="B6:D6"/>
    <mergeCell ref="A4:A6"/>
    <mergeCell ref="B9:D9"/>
    <mergeCell ref="A7:A9"/>
    <mergeCell ref="B11:D11"/>
    <mergeCell ref="A10:A11"/>
  </mergeCells>
  <ignoredErrors>
    <ignoredError numberStoredAsText="1" sqref="A1:G1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OP 4.3.1. Multifunctional landscapes policy design and implementation</v>
      </c>
      <c r="D2" s="5">
        <v>1649477</v>
      </c>
      <c r="E2" s="4" t="str">
        <v>.</v>
      </c>
      <c r="F2" s="4">
        <v>1039</v>
      </c>
    </row>
    <row r="3" ht="60" customHeight="1">
      <c r="A3" s="4" t="str">
        <v>WorldFish</v>
      </c>
      <c r="B3" s="4" t="str">
        <v>F-PP-2022-1020-Climate-Resilient Aquaculture Systems for Afr (AG10618)</v>
      </c>
      <c r="C3" s="4" t="str">
        <v>2030 OC-3 National and sub-national public actors, market and finance sector actors implement and sustain coordinated, inclusive policy, organizational, market, and non-market innovations</v>
      </c>
      <c r="D3" s="5">
        <v>139737</v>
      </c>
      <c r="E3" s="4" t="str">
        <v>.</v>
      </c>
      <c r="F3" s="4">
        <v>1034</v>
      </c>
    </row>
    <row r="4" ht="25" customHeight="1">
      <c r="B4" s="9" t="str">
        <v>W3/Bilateral budget subtotal</v>
      </c>
      <c r="D4" s="9">
        <v>1789214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WorldFish</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606</v>
      </c>
    </row>
    <row r="3" ht="60" customHeight="1">
      <c r="A3" s="4" t="str">
        <v>AOW00: Cross Cutting</v>
      </c>
      <c r="B3" s="4" t="str">
        <v>WorldFish</v>
      </c>
      <c r="C3" s="4" t="str">
        <v>Policy Change Analyses</v>
      </c>
      <c r="D3"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3" s="4" t="str">
        <v>N/A</v>
      </c>
      <c r="F3" s="5">
        <v>0</v>
      </c>
      <c r="G3" s="4" t="str">
        <v/>
      </c>
      <c r="H3" s="4">
        <v>615</v>
      </c>
    </row>
    <row r="4" ht="60" customHeight="1">
      <c r="A4" s="4" t="str">
        <v>AOW00: Cross Cutting</v>
      </c>
      <c r="B4" s="4" t="str">
        <v>WorldFish</v>
      </c>
      <c r="C4" s="4" t="str">
        <v>Outcome Evidencing/Outcome Trajectory Studies</v>
      </c>
      <c r="D4"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4" s="4" t="str">
        <v>N/A</v>
      </c>
      <c r="F4" s="5">
        <v>0</v>
      </c>
      <c r="G4" s="4" t="str">
        <v/>
      </c>
      <c r="H4" s="4">
        <v>619</v>
      </c>
    </row>
    <row r="5" ht="60" customHeight="1">
      <c r="A5" s="4" t="str">
        <v>AOW00: Cross Cutting</v>
      </c>
      <c r="B5" s="4" t="str">
        <v>WorldFish</v>
      </c>
      <c r="C5" s="4" t="str">
        <v>Household Level Adoption Studies</v>
      </c>
      <c r="D5" s="4" t="str">
        <v>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5" s="4" t="str">
        <v>N/A</v>
      </c>
      <c r="F5" s="5">
        <v>0</v>
      </c>
      <c r="G5" s="4" t="str">
        <v/>
      </c>
      <c r="H5" s="4">
        <v>624</v>
      </c>
    </row>
    <row r="6" ht="60" customHeight="1">
      <c r="A6" s="4" t="str">
        <v>AOW00: Cross Cutting</v>
      </c>
      <c r="B6" s="4" t="str">
        <v>WorldFish</v>
      </c>
      <c r="C6" s="4" t="str">
        <v>Impact assessment of selected agroecological and nature positive solutions on productivity, income and food security.</v>
      </c>
      <c r="D6" s="4" t="str">
        <v>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6" s="4" t="str">
        <v>N/A</v>
      </c>
      <c r="F6" s="5">
        <v>0</v>
      </c>
      <c r="G6" s="4" t="str">
        <v/>
      </c>
      <c r="H6" s="4">
        <v>648</v>
      </c>
    </row>
    <row r="7" ht="25" customHeight="1">
      <c r="C7" s="9" t="str">
        <v>MELIA budget subtotal</v>
      </c>
      <c r="F7" s="9">
        <v>0</v>
      </c>
      <c r="G7" s="9" t="str">
        <v/>
      </c>
      <c r="H7" s="9" t="str">
        <v/>
      </c>
    </row>
    <row r="8" ht="60" customHeight="1">
      <c r="A8" s="8" t="str">
        <v>AOW01: Agroecology+ Solutions &amp; Innovations</v>
      </c>
      <c r="B8" s="4" t="str">
        <v>WorldFish</v>
      </c>
      <c r="C8" s="4" t="str">
        <v>Actor engagement and outcome tracking</v>
      </c>
      <c r="D8"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8" s="4" t="str">
        <v>N/A</v>
      </c>
      <c r="F8" s="5">
        <v>0</v>
      </c>
      <c r="G8" s="4" t="str">
        <v/>
      </c>
      <c r="H8" s="4">
        <v>600</v>
      </c>
    </row>
    <row r="9" ht="25" customHeight="1">
      <c r="C9" s="9" t="str">
        <v>MELIA budget subtotal</v>
      </c>
      <c r="F9" s="9">
        <v>0</v>
      </c>
      <c r="G9" s="9" t="str">
        <v/>
      </c>
      <c r="H9" s="9" t="str">
        <v/>
      </c>
    </row>
    <row r="10" ht="60" customHeight="1">
      <c r="A10" s="8" t="str">
        <v>AOW02: Landscape Optimization and Inclusive Planning</v>
      </c>
      <c r="B10" s="4" t="str">
        <v>WorldFish</v>
      </c>
      <c r="C10" s="4" t="str">
        <v>Actor engagement and outcome tracking</v>
      </c>
      <c r="D10"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0" s="4" t="str">
        <v>N/A</v>
      </c>
      <c r="F10" s="5">
        <v>0</v>
      </c>
      <c r="G10" s="4" t="str">
        <v/>
      </c>
      <c r="H10" s="4">
        <v>594</v>
      </c>
    </row>
    <row r="11" ht="60" customHeight="1">
      <c r="A11" s="4" t="str">
        <v>AOW02: Landscape Optimization and Inclusive Planning</v>
      </c>
      <c r="B11" s="4" t="str">
        <v>WorldFish</v>
      </c>
      <c r="C11" s="4" t="str">
        <v>Policy Change Analyses</v>
      </c>
      <c r="D11"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1" s="4" t="str">
        <v>N/A</v>
      </c>
      <c r="F11" s="5">
        <v>0</v>
      </c>
      <c r="G11" s="4" t="str">
        <v/>
      </c>
      <c r="H11" s="4">
        <v>613</v>
      </c>
    </row>
    <row r="12" ht="25" customHeight="1">
      <c r="C12" s="9" t="str">
        <v>MELIA budget subtotal</v>
      </c>
      <c r="F12" s="9">
        <v>0</v>
      </c>
      <c r="G12" s="9" t="str">
        <v/>
      </c>
      <c r="H12" s="9" t="str">
        <v/>
      </c>
    </row>
    <row r="13" ht="60" customHeight="1">
      <c r="A13" s="8" t="str">
        <v>AOW03: Business Models, Markets, and Sustainable Finance</v>
      </c>
      <c r="B13" s="4" t="str">
        <v>WorldFish</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576</v>
      </c>
    </row>
    <row r="14" ht="25" customHeight="1">
      <c r="C14" s="9" t="str">
        <v>MELIA budget subtotal</v>
      </c>
      <c r="F14" s="9">
        <v>0</v>
      </c>
      <c r="G14" s="9" t="str">
        <v/>
      </c>
      <c r="H14" s="9" t="str">
        <v/>
      </c>
    </row>
    <row r="15" ht="60" customHeight="1">
      <c r="A15" s="8" t="str">
        <v>AOW04: Governance, Institutions, Policy, and Inclusion</v>
      </c>
      <c r="B15" s="4" t="str">
        <v>WorldFish</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582</v>
      </c>
    </row>
    <row r="16" ht="60" customHeight="1">
      <c r="A16" s="4" t="str">
        <v>AOW04: Governance, Institutions, Policy, and Inclusion</v>
      </c>
      <c r="B16" s="4" t="str">
        <v>WorldFish</v>
      </c>
      <c r="C16" s="4" t="str">
        <v>Policy Change Analyses</v>
      </c>
      <c r="D16"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6" s="4" t="str">
        <v>N/A</v>
      </c>
      <c r="F16" s="5">
        <v>0</v>
      </c>
      <c r="G16" s="4" t="str">
        <v/>
      </c>
      <c r="H16" s="4">
        <v>611</v>
      </c>
    </row>
    <row r="17" ht="25" customHeight="1">
      <c r="C17" s="9" t="str">
        <v>MELIA budget subtotal</v>
      </c>
      <c r="F17" s="9">
        <v>0</v>
      </c>
      <c r="G17" s="9" t="str">
        <v/>
      </c>
      <c r="H17" s="9" t="str">
        <v/>
      </c>
    </row>
    <row r="18" ht="60" customHeight="1">
      <c r="A18" s="8" t="str">
        <v>AOW05: Performance Assessments &amp; Evidence Generation</v>
      </c>
      <c r="B18" s="4" t="str">
        <v>WorldFish</v>
      </c>
      <c r="C18" s="4" t="str">
        <v xml:space="preserve"> Deliverable - Critical Capabilities - MELIA STUDY Landscape appropriate Impact Assessment implementation: System Level Theory of Change Indicator: Number of impact assessments carried out and documented</v>
      </c>
      <c r="D18" s="4" t="str">
        <v>I-OC 5.1 Partners in MFL Living Landscapes sites demonstrate strengthened capacity to articulate, communicate, and actively influence the uptake of MFL knowledge in policy arenas, scientific communities, and practitioner networks.</v>
      </c>
      <c r="E18" s="4" t="str">
        <v>N/A</v>
      </c>
      <c r="F18" s="5">
        <v>107195</v>
      </c>
      <c r="G18" s="4" t="str">
        <v>.</v>
      </c>
      <c r="H18" s="4">
        <v>555</v>
      </c>
    </row>
    <row r="19" ht="60" customHeight="1">
      <c r="A19" s="4" t="str">
        <v>AOW05: Performance Assessments &amp; Evidence Generation</v>
      </c>
      <c r="B19" s="4" t="str">
        <v>WorldFish</v>
      </c>
      <c r="C19" s="4" t="str">
        <v>Actor engagement and outcome tracking</v>
      </c>
      <c r="D1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9" s="4" t="str">
        <v>N/A</v>
      </c>
      <c r="F19" s="5">
        <v>0</v>
      </c>
      <c r="G19" s="4" t="str">
        <v/>
      </c>
      <c r="H19" s="4">
        <v>588</v>
      </c>
    </row>
    <row r="20" ht="60" customHeight="1">
      <c r="A20" s="4" t="str">
        <v>AOW05: Performance Assessments &amp; Evidence Generation</v>
      </c>
      <c r="B20" s="4" t="str">
        <v>WorldFish</v>
      </c>
      <c r="C20" s="4" t="str">
        <v>Deliverable - MELIA STUDY Landscape appropriate Impact Assessment system implementation: cross country coordination and learning briefs Indicator: Number of landscape-specific frameworks to assess multifunctional landscape performance</v>
      </c>
      <c r="D20" s="4" t="str">
        <v>I-OC 5.1 Partners in MFL Living Landscapes sites demonstrate strengthened capacity to articulate, communicate, and actively influence the uptake of MFL knowledge in policy arenas, scientific communities, and practitioner networks.</v>
      </c>
      <c r="E20" s="4" t="str">
        <v>N/A</v>
      </c>
      <c r="F20" s="5">
        <v>0</v>
      </c>
      <c r="G20" s="4" t="str">
        <v/>
      </c>
      <c r="H20" s="4">
        <v>645</v>
      </c>
    </row>
    <row r="21" ht="25" customHeight="1">
      <c r="C21" s="9" t="str">
        <v>MELIA budget subtotal</v>
      </c>
      <c r="F21" s="9">
        <v>107195</v>
      </c>
      <c r="G21" s="9" t="str">
        <v/>
      </c>
      <c r="H21" s="9" t="str">
        <v/>
      </c>
    </row>
  </sheetData>
  <mergeCells count="12">
    <mergeCell ref="C7:E7"/>
    <mergeCell ref="A2:A7"/>
    <mergeCell ref="C9:E9"/>
    <mergeCell ref="A8:A9"/>
    <mergeCell ref="C12:E12"/>
    <mergeCell ref="A10:A12"/>
    <mergeCell ref="C14:E14"/>
    <mergeCell ref="A13:A14"/>
    <mergeCell ref="C17:E17"/>
    <mergeCell ref="A15:A17"/>
    <mergeCell ref="C21:E21"/>
    <mergeCell ref="A18:A21"/>
  </mergeCells>
  <ignoredErrors>
    <ignoredError numberStoredAsText="1" sqref="A1:H2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29572</v>
      </c>
      <c r="D2" s="5">
        <v>42013</v>
      </c>
      <c r="E2" s="5">
        <v>29156</v>
      </c>
      <c r="F2" s="5">
        <v>125857</v>
      </c>
      <c r="G2" s="5">
        <v>303996</v>
      </c>
      <c r="H2" s="5">
        <f>=SUM(B2:G2)</f>
        <v>0</v>
      </c>
    </row>
    <row r="3" ht="20" customHeight="1">
      <c r="A3" s="4" t="str">
        <v>Operations (supplies, consultants, travels, workshops, other)</v>
      </c>
      <c r="B3" s="5">
        <v>0</v>
      </c>
      <c r="C3" s="5">
        <v>50673</v>
      </c>
      <c r="D3" s="5">
        <v>24545</v>
      </c>
      <c r="E3" s="5">
        <v>6496</v>
      </c>
      <c r="F3" s="5">
        <v>148403</v>
      </c>
      <c r="G3" s="5">
        <v>230895</v>
      </c>
      <c r="H3" s="5">
        <f>=SUM(B3:G3)</f>
        <v>0</v>
      </c>
    </row>
    <row r="4" ht="20" customHeight="1">
      <c r="A4" s="4" t="str">
        <v>Collaborators non-CGIAR centers</v>
      </c>
      <c r="B4" s="5">
        <v>0</v>
      </c>
      <c r="C4" s="5">
        <v>2000</v>
      </c>
      <c r="D4" s="5">
        <v>23000</v>
      </c>
      <c r="E4" s="5">
        <v>21000</v>
      </c>
      <c r="F4" s="5">
        <v>13500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WorldFish</v>
      </c>
      <c r="C2" s="4" t="str">
        <v>India</v>
      </c>
      <c r="D2" s="5">
        <v>100</v>
      </c>
      <c r="E2" s="4">
        <v>2101</v>
      </c>
    </row>
    <row r="3" ht="45" customHeight="1">
      <c r="A3" s="8" t="str">
        <v>AOW02: Landscape Optimization and Inclusive Planning</v>
      </c>
      <c r="B3" s="4" t="str">
        <v>WorldFish</v>
      </c>
      <c r="C3" s="4" t="str">
        <v>India</v>
      </c>
      <c r="D3" s="5">
        <v>100</v>
      </c>
      <c r="E3" s="4">
        <v>2102</v>
      </c>
    </row>
    <row r="4" ht="45" customHeight="1">
      <c r="A4" s="8" t="str">
        <v>AOW03: Business Models, Markets, and Sustainable Finance</v>
      </c>
      <c r="B4" s="4" t="str">
        <v>WorldFish</v>
      </c>
      <c r="C4" s="4" t="str">
        <v>India</v>
      </c>
      <c r="D4" s="5">
        <v>100</v>
      </c>
      <c r="E4" s="4">
        <v>2104</v>
      </c>
    </row>
    <row r="5" ht="45" customHeight="1">
      <c r="A5" s="8" t="str">
        <v>AOW04: Governance, Institutions, Policy, and Inclusion</v>
      </c>
      <c r="B5" s="4" t="str">
        <v>WorldFish</v>
      </c>
      <c r="C5" s="4" t="str">
        <v>Cambodia</v>
      </c>
      <c r="D5" s="5">
        <v>54</v>
      </c>
      <c r="E5" s="4">
        <v>2107</v>
      </c>
    </row>
    <row r="6" ht="45" customHeight="1">
      <c r="A6" s="4" t="str">
        <v>AOW04: Governance, Institutions, Policy, and Inclusion</v>
      </c>
      <c r="B6" s="4" t="str">
        <v>WorldFish</v>
      </c>
      <c r="C6" s="4" t="str">
        <v>Kenya</v>
      </c>
      <c r="D6" s="5">
        <v>33</v>
      </c>
      <c r="E6" s="4">
        <v>2108</v>
      </c>
    </row>
    <row r="7" ht="45" customHeight="1">
      <c r="A7" s="4" t="str">
        <v>AOW04: Governance, Institutions, Policy, and Inclusion</v>
      </c>
      <c r="B7" s="4" t="str">
        <v>WorldFish</v>
      </c>
      <c r="C7" s="4" t="str">
        <v>Lao People's Democratic Republic</v>
      </c>
      <c r="D7" s="5">
        <v>13</v>
      </c>
      <c r="E7" s="4">
        <v>2106</v>
      </c>
    </row>
    <row r="8" ht="45" customHeight="1">
      <c r="A8" s="8" t="str">
        <v>AOW05: Performance Assessments &amp; Evidence Generation</v>
      </c>
      <c r="B8" s="4" t="str">
        <v>WorldFish</v>
      </c>
      <c r="C8" s="4" t="str">
        <v>Cambodia</v>
      </c>
      <c r="D8" s="5">
        <v>8</v>
      </c>
      <c r="E8" s="4">
        <v>2216</v>
      </c>
    </row>
    <row r="9" ht="45" customHeight="1">
      <c r="A9" s="4" t="str">
        <v>AOW05: Performance Assessments &amp; Evidence Generation</v>
      </c>
      <c r="B9" s="4" t="str">
        <v>WorldFish</v>
      </c>
      <c r="C9" s="4" t="str">
        <v>Colombia</v>
      </c>
      <c r="D9" s="5">
        <v>5</v>
      </c>
      <c r="E9" s="4">
        <v>2218</v>
      </c>
    </row>
    <row r="10" ht="45" customHeight="1">
      <c r="A10" s="4" t="str">
        <v>AOW05: Performance Assessments &amp; Evidence Generation</v>
      </c>
      <c r="B10" s="4" t="str">
        <v>WorldFish</v>
      </c>
      <c r="C10" s="4" t="str">
        <v>Ethiopia</v>
      </c>
      <c r="D10" s="5">
        <v>5</v>
      </c>
      <c r="E10" s="4">
        <v>2219</v>
      </c>
    </row>
    <row r="11" ht="45" customHeight="1">
      <c r="A11" s="4" t="str">
        <v>AOW05: Performance Assessments &amp; Evidence Generation</v>
      </c>
      <c r="B11" s="4" t="str">
        <v>WorldFish</v>
      </c>
      <c r="C11" s="4" t="str">
        <v>India</v>
      </c>
      <c r="D11" s="5">
        <v>5</v>
      </c>
      <c r="E11" s="4">
        <v>2220</v>
      </c>
    </row>
    <row r="12" ht="45" customHeight="1">
      <c r="A12" s="4" t="str">
        <v>AOW05: Performance Assessments &amp; Evidence Generation</v>
      </c>
      <c r="B12" s="4" t="str">
        <v>WorldFish</v>
      </c>
      <c r="C12" s="4" t="str">
        <v>Kenya</v>
      </c>
      <c r="D12" s="5">
        <v>5</v>
      </c>
      <c r="E12" s="4">
        <v>2221</v>
      </c>
    </row>
    <row r="13" ht="45" customHeight="1">
      <c r="A13" s="4" t="str">
        <v>AOW05: Performance Assessments &amp; Evidence Generation</v>
      </c>
      <c r="B13" s="4" t="str">
        <v>WorldFish</v>
      </c>
      <c r="C13" s="4" t="str">
        <v>Lao People's Democratic Republic</v>
      </c>
      <c r="D13" s="5">
        <v>35</v>
      </c>
      <c r="E13" s="4">
        <v>2215</v>
      </c>
    </row>
    <row r="14" ht="45" customHeight="1">
      <c r="A14" s="4" t="str">
        <v>AOW05: Performance Assessments &amp; Evidence Generation</v>
      </c>
      <c r="B14" s="4" t="str">
        <v>WorldFish</v>
      </c>
      <c r="C14" s="4" t="str">
        <v>Peru</v>
      </c>
      <c r="D14" s="5">
        <v>5</v>
      </c>
      <c r="E14" s="4">
        <v>2222</v>
      </c>
    </row>
    <row r="15" ht="45" customHeight="1">
      <c r="A15" s="4" t="str">
        <v>AOW05: Performance Assessments &amp; Evidence Generation</v>
      </c>
      <c r="B15" s="4" t="str">
        <v>WorldFish</v>
      </c>
      <c r="C15" s="4" t="str">
        <v>Senegal</v>
      </c>
      <c r="D15" s="5">
        <v>5</v>
      </c>
      <c r="E15" s="4">
        <v>2223</v>
      </c>
    </row>
    <row r="16" ht="45" customHeight="1">
      <c r="A16" s="4" t="str">
        <v>AOW05: Performance Assessments &amp; Evidence Generation</v>
      </c>
      <c r="B16" s="4" t="str">
        <v>WorldFish</v>
      </c>
      <c r="C16" s="4" t="str">
        <v>Tanzania</v>
      </c>
      <c r="D16" s="5">
        <v>12</v>
      </c>
      <c r="E16" s="4">
        <v>2217</v>
      </c>
    </row>
    <row r="17" ht="45" customHeight="1">
      <c r="A17" s="4" t="str">
        <v>AOW05: Performance Assessments &amp; Evidence Generation</v>
      </c>
      <c r="B17" s="4" t="str">
        <v>WorldFish</v>
      </c>
      <c r="C17" s="4" t="str">
        <v>The Socialist Republic of Viet Nam</v>
      </c>
      <c r="D17" s="5">
        <v>5</v>
      </c>
      <c r="E17" s="4">
        <v>2224</v>
      </c>
    </row>
    <row r="18" ht="45" customHeight="1">
      <c r="A18" s="4" t="str">
        <v>AOW05: Performance Assessments &amp; Evidence Generation</v>
      </c>
      <c r="B18" s="4" t="str">
        <v>WorldFish</v>
      </c>
      <c r="C18" s="4" t="str">
        <v>Tunisia</v>
      </c>
      <c r="D18" s="5">
        <v>5</v>
      </c>
      <c r="E18" s="4">
        <v>2225</v>
      </c>
    </row>
    <row r="19" ht="45" customHeight="1">
      <c r="A19" s="4" t="str">
        <v>AOW05: Performance Assessments &amp; Evidence Generation</v>
      </c>
      <c r="B19" s="4" t="str">
        <v>WorldFish</v>
      </c>
      <c r="C19" s="4" t="str">
        <v>Zimbabwe</v>
      </c>
      <c r="D19" s="5">
        <v>5</v>
      </c>
      <c r="E19" s="4">
        <v>2226</v>
      </c>
    </row>
  </sheetData>
  <mergeCells count="5">
    <mergeCell ref="A2"/>
    <mergeCell ref="A3"/>
    <mergeCell ref="A4"/>
    <mergeCell ref="A5:A7"/>
    <mergeCell ref="A8: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1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WorldFish</v>
      </c>
      <c r="C2" s="4" t="str">
        <v>Cambodia</v>
      </c>
      <c r="D2" s="4" t="str">
        <v>country</v>
      </c>
      <c r="E2" s="5">
        <v>0</v>
      </c>
      <c r="F2" s="4">
        <v>1385</v>
      </c>
    </row>
    <row r="3" ht="45" customHeight="1">
      <c r="A3" s="4" t="str">
        <v>AOW01: Agroecology+ Solutions &amp; Innovations</v>
      </c>
      <c r="B3" s="4" t="str">
        <v>WorldFish</v>
      </c>
      <c r="C3" s="4" t="str">
        <v>India</v>
      </c>
      <c r="D3" s="4" t="str">
        <v>country</v>
      </c>
      <c r="E3" s="5">
        <v>100</v>
      </c>
      <c r="F3" s="4">
        <v>1386</v>
      </c>
    </row>
    <row r="4" ht="45" customHeight="1">
      <c r="A4" s="4" t="str">
        <v>AOW01: Agroecology+ Solutions &amp; Innovations</v>
      </c>
      <c r="B4" s="4" t="str">
        <v>WorldFish</v>
      </c>
      <c r="C4" s="4" t="str">
        <v>Lao People's Democratic Republic</v>
      </c>
      <c r="D4" s="4" t="str">
        <v>country</v>
      </c>
      <c r="E4" s="5">
        <v>0</v>
      </c>
      <c r="F4" s="4">
        <v>1387</v>
      </c>
    </row>
    <row r="5" ht="45" customHeight="1">
      <c r="A5" s="4" t="str">
        <v>AOW01: Agroecology+ Solutions &amp; Innovations</v>
      </c>
      <c r="B5" s="4" t="str">
        <v>WorldFish</v>
      </c>
      <c r="C5" s="4" t="str">
        <v>Peru</v>
      </c>
      <c r="D5" s="4" t="str">
        <v>country</v>
      </c>
      <c r="E5" s="5">
        <v>0</v>
      </c>
      <c r="F5" s="4">
        <v>1388</v>
      </c>
    </row>
    <row r="6" ht="45" customHeight="1">
      <c r="A6" s="4" t="str">
        <v>AOW01: Agroecology+ Solutions &amp; Innovations</v>
      </c>
      <c r="B6" s="4" t="str">
        <v>WorldFish</v>
      </c>
      <c r="C6" s="4" t="str">
        <v>The Socialist Republic of Viet Nam</v>
      </c>
      <c r="D6" s="4" t="str">
        <v>country</v>
      </c>
      <c r="E6" s="5">
        <v>0</v>
      </c>
      <c r="F6" s="4">
        <v>1389</v>
      </c>
    </row>
    <row r="7" ht="45" customHeight="1">
      <c r="A7" s="4" t="str">
        <v>AOW01: Agroecology+ Solutions &amp; Innovations</v>
      </c>
      <c r="B7" s="4" t="str">
        <v>WorldFish</v>
      </c>
      <c r="C7" s="4" t="str">
        <v>United Republic</v>
      </c>
      <c r="D7" s="4" t="str">
        <v>country</v>
      </c>
      <c r="E7" s="5">
        <v>0</v>
      </c>
      <c r="F7" s="4">
        <v>1390</v>
      </c>
    </row>
    <row r="8" ht="45" customHeight="1">
      <c r="A8" s="8" t="str">
        <v>AOW02: Landscape Optimization and Inclusive Planning</v>
      </c>
      <c r="B8" s="4" t="str">
        <v>WorldFish</v>
      </c>
      <c r="C8" s="4" t="str">
        <v>India</v>
      </c>
      <c r="D8" s="4" t="str">
        <v>country</v>
      </c>
      <c r="E8" s="5">
        <v>100</v>
      </c>
      <c r="F8" s="4">
        <v>1391</v>
      </c>
    </row>
    <row r="9" ht="45" customHeight="1">
      <c r="A9" s="8" t="str">
        <v>AOW03: Business Models, Markets, and Sustainable Finance</v>
      </c>
      <c r="B9" s="4" t="str">
        <v>WorldFish</v>
      </c>
      <c r="C9" s="4" t="str">
        <v>India</v>
      </c>
      <c r="D9" s="4" t="str">
        <v>country</v>
      </c>
      <c r="E9" s="5">
        <v>100</v>
      </c>
      <c r="F9" s="4">
        <v>1392</v>
      </c>
    </row>
    <row r="10" ht="45" customHeight="1">
      <c r="A10" s="8" t="str">
        <v>AOW04: Governance, Institutions, Policy, and Inclusion</v>
      </c>
      <c r="B10" s="4" t="str">
        <v>WorldFish</v>
      </c>
      <c r="C10" s="4" t="str">
        <v>Cambodia</v>
      </c>
      <c r="D10" s="4" t="str">
        <v>country</v>
      </c>
      <c r="E10" s="5">
        <v>54</v>
      </c>
      <c r="F10" s="4">
        <v>1393</v>
      </c>
    </row>
    <row r="11" ht="45" customHeight="1">
      <c r="A11" s="4" t="str">
        <v>AOW04: Governance, Institutions, Policy, and Inclusion</v>
      </c>
      <c r="B11" s="4" t="str">
        <v>WorldFish</v>
      </c>
      <c r="C11" s="4" t="str">
        <v>Kenya</v>
      </c>
      <c r="D11" s="4" t="str">
        <v>country</v>
      </c>
      <c r="E11" s="5">
        <v>33</v>
      </c>
      <c r="F11" s="4">
        <v>1394</v>
      </c>
    </row>
    <row r="12" ht="45" customHeight="1">
      <c r="A12" s="4" t="str">
        <v>AOW04: Governance, Institutions, Policy, and Inclusion</v>
      </c>
      <c r="B12" s="4" t="str">
        <v>WorldFish</v>
      </c>
      <c r="C12" s="4" t="str">
        <v>Lao People's Democratic Republic</v>
      </c>
      <c r="D12" s="4" t="str">
        <v>country</v>
      </c>
      <c r="E12" s="5">
        <v>13</v>
      </c>
      <c r="F12" s="4">
        <v>1395</v>
      </c>
    </row>
    <row r="13" ht="45" customHeight="1">
      <c r="A13" s="8" t="str">
        <v>AOW05: Performance Assessments &amp; Evidence Generation</v>
      </c>
      <c r="B13" s="4" t="str">
        <v>WorldFish</v>
      </c>
      <c r="C13" s="4" t="str">
        <v>Global</v>
      </c>
      <c r="D13" s="4" t="str">
        <v>global</v>
      </c>
      <c r="E13" s="5">
        <v>100</v>
      </c>
      <c r="F13" s="4">
        <v>753</v>
      </c>
    </row>
  </sheetData>
  <mergeCells count="5">
    <mergeCell ref="A2:A7"/>
    <mergeCell ref="A8"/>
    <mergeCell ref="A9"/>
    <mergeCell ref="A10:A12"/>
    <mergeCell ref="A13"/>
  </mergeCells>
  <ignoredErrors>
    <ignoredError numberStoredAsText="1" sqref="A1:F13"/>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