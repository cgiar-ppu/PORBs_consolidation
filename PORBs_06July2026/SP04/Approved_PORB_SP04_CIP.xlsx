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133750</v>
      </c>
      <c r="K4" s="5">
        <v>133750</v>
      </c>
      <c r="L4" s="5">
        <v>0</v>
      </c>
      <c r="M4" s="5">
        <v>0</v>
      </c>
      <c r="N4" s="4">
        <v>182</v>
      </c>
    </row>
    <row r="5" ht="20" customHeight="1">
      <c r="A5" s="4" t="str">
        <v>AOW01: Agroecology+ Solutions &amp; Innovations</v>
      </c>
      <c r="B5" s="5">
        <v>35</v>
      </c>
      <c r="C5" s="5">
        <v>438493</v>
      </c>
      <c r="D5" s="5">
        <v>1</v>
      </c>
      <c r="E5" s="5">
        <v>20000</v>
      </c>
      <c r="F5" s="5">
        <v>0</v>
      </c>
      <c r="G5" s="5">
        <v>0</v>
      </c>
      <c r="H5" s="5">
        <v>0</v>
      </c>
      <c r="I5" s="5">
        <v>0</v>
      </c>
      <c r="J5" s="5">
        <v>458493</v>
      </c>
      <c r="K5" s="5">
        <v>458493</v>
      </c>
      <c r="L5" s="5">
        <v>100000</v>
      </c>
      <c r="M5" s="5">
        <v>0</v>
      </c>
      <c r="N5" s="4">
        <v>177</v>
      </c>
    </row>
    <row r="6" ht="20" customHeight="1">
      <c r="A6" s="4" t="str">
        <v>AOW02: Landscape Optimization and Inclusive Planning</v>
      </c>
      <c r="B6" s="5">
        <v>0</v>
      </c>
      <c r="C6" s="5">
        <v>0</v>
      </c>
      <c r="D6" s="5">
        <v>5</v>
      </c>
      <c r="E6" s="5">
        <v>54974</v>
      </c>
      <c r="F6" s="5">
        <v>0</v>
      </c>
      <c r="G6" s="5">
        <v>0</v>
      </c>
      <c r="H6" s="5">
        <v>3</v>
      </c>
      <c r="I6" s="5">
        <v>20000</v>
      </c>
      <c r="J6" s="5">
        <v>74974</v>
      </c>
      <c r="K6" s="5">
        <v>74974</v>
      </c>
      <c r="L6" s="5">
        <v>0</v>
      </c>
      <c r="M6" s="5">
        <v>0</v>
      </c>
      <c r="N6" s="4">
        <v>179</v>
      </c>
    </row>
    <row r="7" ht="20" customHeight="1">
      <c r="A7" s="4" t="str">
        <v>AOW03: Business Models, Markets, and Sustainable Finance</v>
      </c>
      <c r="B7" s="5">
        <v>2</v>
      </c>
      <c r="C7" s="5">
        <v>99000</v>
      </c>
      <c r="D7" s="5">
        <v>0</v>
      </c>
      <c r="E7" s="5">
        <v>0</v>
      </c>
      <c r="F7" s="5">
        <v>100</v>
      </c>
      <c r="G7" s="5">
        <v>69000</v>
      </c>
      <c r="H7" s="5">
        <v>0</v>
      </c>
      <c r="I7" s="5">
        <v>0</v>
      </c>
      <c r="J7" s="5">
        <v>168000</v>
      </c>
      <c r="K7" s="5">
        <v>168000</v>
      </c>
      <c r="L7" s="5">
        <v>0</v>
      </c>
      <c r="M7" s="5">
        <v>0</v>
      </c>
      <c r="N7" s="4">
        <v>180</v>
      </c>
    </row>
    <row r="8" ht="20" customHeight="1">
      <c r="A8" s="4" t="str">
        <v>AOW04: Governance, Institutions, Policy, and Inclusion</v>
      </c>
      <c r="B8" s="5">
        <v>0</v>
      </c>
      <c r="C8" s="5">
        <v>0</v>
      </c>
      <c r="D8" s="5">
        <v>4</v>
      </c>
      <c r="E8" s="5">
        <v>70236</v>
      </c>
      <c r="F8" s="5">
        <v>300</v>
      </c>
      <c r="G8" s="5">
        <v>60745</v>
      </c>
      <c r="H8" s="5">
        <v>0</v>
      </c>
      <c r="I8" s="5">
        <v>0</v>
      </c>
      <c r="J8" s="5">
        <v>130981</v>
      </c>
      <c r="K8" s="5">
        <v>130981</v>
      </c>
      <c r="L8" s="5">
        <v>0</v>
      </c>
      <c r="M8" s="5">
        <v>0</v>
      </c>
      <c r="N8" s="4">
        <v>181</v>
      </c>
    </row>
    <row r="9" ht="20" customHeight="1">
      <c r="A9" s="4" t="str">
        <v>AOW05: Performance Assessments &amp; Evidence Generation</v>
      </c>
      <c r="B9" s="5">
        <v>1</v>
      </c>
      <c r="C9" s="5">
        <v>11457</v>
      </c>
      <c r="D9" s="5">
        <v>0</v>
      </c>
      <c r="E9" s="5">
        <v>11457</v>
      </c>
      <c r="F9" s="5">
        <v>0</v>
      </c>
      <c r="G9" s="5">
        <v>0</v>
      </c>
      <c r="H9" s="5">
        <v>301</v>
      </c>
      <c r="I9" s="5">
        <v>100000</v>
      </c>
      <c r="J9" s="5">
        <v>122914</v>
      </c>
      <c r="K9" s="5">
        <v>122914</v>
      </c>
      <c r="L9" s="5">
        <v>0</v>
      </c>
      <c r="M9" s="5">
        <v>0</v>
      </c>
      <c r="N9" s="4">
        <v>178</v>
      </c>
    </row>
    <row r="10" ht="25" customHeight="1">
      <c r="A10" s="6" t="str">
        <v>Total</v>
      </c>
      <c r="B10" s="7" t="str">
        <v/>
      </c>
      <c r="C10" s="7">
        <v>548950</v>
      </c>
      <c r="D10" s="7" t="str">
        <v/>
      </c>
      <c r="E10" s="7">
        <v>156667</v>
      </c>
      <c r="F10" s="7" t="str">
        <v/>
      </c>
      <c r="G10" s="7">
        <v>129745</v>
      </c>
      <c r="H10" s="7" t="str">
        <v/>
      </c>
      <c r="I10" s="7">
        <v>120000</v>
      </c>
      <c r="J10" s="7">
        <v>1089112</v>
      </c>
      <c r="K10" s="7">
        <v>1089112</v>
      </c>
      <c r="L10" s="7">
        <v>100000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CIP</v>
      </c>
      <c r="C3" s="4" t="str">
        <v>OP 1.1.1. – Bundles of farm-level solutions</v>
      </c>
      <c r="D3" s="4" t="str" xml:space="preserve">
        <v xml:space="preserve">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AE+ innovations and solutions dashboard online and updated</v>
      </c>
      <c r="E3" s="4" t="str">
        <v>Number of knowledge products</v>
      </c>
      <c r="F3" s="4" t="str">
        <v>India</v>
      </c>
      <c r="G3" s="5">
        <v>1</v>
      </c>
      <c r="H3" s="5">
        <v>20000</v>
      </c>
      <c r="I3" s="4" t="str">
        <v>.</v>
      </c>
      <c r="J3" s="4">
        <v>5461</v>
      </c>
    </row>
    <row r="4" ht="50" customHeight="1" xml:space="preserve">
      <c r="B4" s="4" t="str">
        <v>CIP</v>
      </c>
      <c r="D4" s="4" t="str" xml:space="preserve">
        <v xml:space="preserve">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v>
      </c>
      <c r="E4" s="4" t="str">
        <v>Number of innovations (innovation development)</v>
      </c>
      <c r="F4" s="4" t="str">
        <v>Peru, Colombia</v>
      </c>
      <c r="G4" s="5">
        <v>30</v>
      </c>
      <c r="H4" s="5">
        <v>87600</v>
      </c>
      <c r="I4" s="4" t="str">
        <v>.</v>
      </c>
      <c r="J4" s="4">
        <v>5464</v>
      </c>
    </row>
    <row r="5" ht="50" customHeight="1" xml:space="preserve">
      <c r="B5" s="4" t="str">
        <v>CIP</v>
      </c>
      <c r="D5" s="4" t="str" xml:space="preserve">
        <v xml:space="preserve">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v>
      </c>
      <c r="E5" s="4" t="str">
        <v>Number of innovations (innovation development)</v>
      </c>
      <c r="F5" s="4" t="str">
        <v>Colombia, The Socialist Republic of Viet Nam, Peru</v>
      </c>
      <c r="G5" s="5">
        <v>3</v>
      </c>
      <c r="H5" s="5">
        <v>90000</v>
      </c>
      <c r="I5" s="4" t="str">
        <v>.</v>
      </c>
      <c r="J5" s="4">
        <v>5469</v>
      </c>
    </row>
    <row r="6" ht="50" customHeight="1" xml:space="preserve">
      <c r="B6" s="4" t="str">
        <v>CIP</v>
      </c>
      <c r="D6" s="4" t="str" xml:space="preserve">
        <v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and Tuber crops tested</v>
      </c>
      <c r="E6" s="4" t="str">
        <v>Number of innovations (innovation development)</v>
      </c>
      <c r="F6" s="4" t="str">
        <v>The Socialist Republic of Viet Nam, Colombia, Peru</v>
      </c>
      <c r="G6" s="5">
        <v>1</v>
      </c>
      <c r="H6" s="5">
        <v>220000</v>
      </c>
      <c r="I6" s="4" t="str">
        <v>.</v>
      </c>
      <c r="J6" s="4">
        <v>8155</v>
      </c>
    </row>
    <row r="7" ht="50" customHeight="1">
      <c r="A7" s="4" t="str">
        <v>AOW01: Agroecology+ Solutions &amp; Innovations</v>
      </c>
      <c r="B7" s="4" t="str">
        <v>CIP</v>
      </c>
      <c r="C7" s="4" t="str">
        <v>OP 1.1.3. – Common pool resource bundles</v>
      </c>
      <c r="D7" s="4" t="str">
        <v>Number of innovations for the optimal management of common pool resources and derived ecosystem services</v>
      </c>
      <c r="E7" s="4" t="str">
        <v>Number of innovations (innovation development)</v>
      </c>
      <c r="F7" s="4" t="str">
        <v>Zimbabwe, The Socialist Republic of Viet Nam, Colombia, India, Senegal, Peru, Cambodia, Kenya, Lao People's Democratic Republic, Tunisia, Tanzania, United Republic</v>
      </c>
      <c r="G7" s="5">
        <v>2</v>
      </c>
      <c r="H7" s="5">
        <v>0</v>
      </c>
      <c r="I7" s="4" t="str">
        <v/>
      </c>
      <c r="J7" s="4">
        <v>5488</v>
      </c>
    </row>
    <row r="8" ht="50" customHeight="1">
      <c r="A8" s="4" t="str">
        <v>AOW01: Agroecology+ Solutions &amp; Innovations</v>
      </c>
      <c r="B8" s="4" t="str">
        <v>CIP</v>
      </c>
      <c r="C8" s="4" t="str">
        <v>OP 1.2.4. – Protected area solutions</v>
      </c>
      <c r="D8" s="4" t="str">
        <v>Number of innovations that enhance protected area management with local livelihood benefits.</v>
      </c>
      <c r="E8" s="4" t="str">
        <v>Number of innovations (innovation development)</v>
      </c>
      <c r="F8" s="4" t="str">
        <v>Zimbabwe, The Socialist Republic of Viet Nam, Colombia, Tanzania, United Republic, Senegal, Tunisia, Lao People's Democratic Republic, India, Peru, Kenya, Cambodia</v>
      </c>
      <c r="G8" s="5">
        <v>1</v>
      </c>
      <c r="H8" s="5">
        <v>0</v>
      </c>
      <c r="I8" s="4" t="str">
        <v/>
      </c>
      <c r="J8" s="4">
        <v>5514</v>
      </c>
    </row>
    <row r="9" ht="50" customHeight="1" xml:space="preserve">
      <c r="B9" s="4" t="str">
        <v>CIP</v>
      </c>
      <c r="D9" s="4" t="str" xml:space="preserve">
        <v xml:space="preserve">Deliverable - Concerted protected area management plans and solutions with locally prioritized innovations for the Cumbal paramo ecosystem (Colombia) / reserves in Ucayali (Peru)
Indicator: Number of protected areas management plans co-designed</v>
      </c>
      <c r="E9" s="4" t="str">
        <v>Number of innovations (innovation development)</v>
      </c>
      <c r="F9" s="4" t="str">
        <v>Colombia, Peru</v>
      </c>
      <c r="G9" s="5">
        <v>1</v>
      </c>
      <c r="H9" s="5">
        <v>40893</v>
      </c>
      <c r="I9" s="4" t="str">
        <v>.</v>
      </c>
      <c r="J9" s="4">
        <v>7520</v>
      </c>
    </row>
    <row r="10" ht="50" customHeight="1" xml:space="preserve">
      <c r="A10" s="4" t="str">
        <v>AOW01: Agroecology+ Solutions &amp; Innovations</v>
      </c>
      <c r="B10" s="4" t="str">
        <v>CIP</v>
      </c>
      <c r="C10" s="4" t="str">
        <v>OP 1.2.6. – Advisory &amp; training innovations</v>
      </c>
      <c r="D10" s="4" t="str" xml:space="preserve">
        <v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participating in food plant and agrobiodiversity-based diversification and nutrition activities implemented through community action plans and training programs.
</v>
      </c>
      <c r="E10" s="4" t="str">
        <v>Number of people trained (capacity sharing for development)</v>
      </c>
      <c r="F10" s="4" t="str">
        <v>Peru</v>
      </c>
      <c r="G10" s="5">
        <v>0</v>
      </c>
      <c r="H10" s="5">
        <v>0</v>
      </c>
      <c r="I10" s="4" t="str">
        <v/>
      </c>
      <c r="J10" s="4">
        <v>8372</v>
      </c>
    </row>
    <row r="11" ht="25" customHeight="1">
      <c r="C11" s="9" t="str">
        <v>HLO budget subtotal</v>
      </c>
      <c r="H11" s="9">
        <v>458493</v>
      </c>
      <c r="J11" s="9" t="str">
        <v/>
      </c>
    </row>
    <row r="12" ht="50" customHeight="1" xml:space="preserve">
      <c r="A12" s="8" t="str">
        <v>AOW02: Landscape Optimization and Inclusive Planning</v>
      </c>
      <c r="B12" s="4" t="str">
        <v>CIP</v>
      </c>
      <c r="C12" s="4" t="str">
        <v>OP 2.2.3. – Integrated planning &amp; scenarios</v>
      </c>
      <c r="D12" s="4" t="str" xml:space="preserve">
        <v xml:space="preserve">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v>
      </c>
      <c r="E12" s="4" t="str">
        <v>Number of knowledge products</v>
      </c>
      <c r="F12" s="4" t="str">
        <v>Peru</v>
      </c>
      <c r="G12" s="5">
        <v>3</v>
      </c>
      <c r="H12" s="5">
        <v>23230</v>
      </c>
      <c r="I12" s="4" t="str">
        <v>.</v>
      </c>
      <c r="J12" s="4">
        <v>5243</v>
      </c>
    </row>
    <row r="13" ht="50" customHeight="1" xml:space="preserve">
      <c r="B13" s="4" t="str">
        <v>CIP</v>
      </c>
      <c r="D13" s="4" t="str" xml:space="preserve">
        <v xml:space="preserve">Forest-Fish-Food (Triple F): Revisiting the context for local vulnerabilities and identifying locally-specific options for community resilience in the local sites in Peru and Ethiopia
Indicator: Number of options based on crop, food and dietary diversification identified and documented to build resilience.
</v>
      </c>
      <c r="E13" s="4" t="str">
        <v>Number of knowledge products</v>
      </c>
      <c r="F13" s="4" t="str">
        <v>Peru</v>
      </c>
      <c r="G13" s="5">
        <v>0</v>
      </c>
      <c r="H13" s="5">
        <v>5872</v>
      </c>
      <c r="I13" s="4" t="str">
        <v>.</v>
      </c>
      <c r="J13" s="4">
        <v>8370</v>
      </c>
    </row>
    <row r="14" ht="50" customHeight="1" xml:space="preserve">
      <c r="A14" s="4" t="str">
        <v>AOW02: Landscape Optimization and Inclusive Planning</v>
      </c>
      <c r="B14" s="4" t="str">
        <v>CIP</v>
      </c>
      <c r="C14" s="4" t="str">
        <v>OP 2.2.2. – Landscape visions &amp; co-developed plans</v>
      </c>
      <c r="D14" s="4" t="str" xml:space="preserve">
        <v xml:space="preserve">Deliverable - Landscape V2A articulation:  This entails the creation of a multi-stakeholder platform and articulation of stakeholders with CG centers in Peru and Colombia. Articulation will support the engagement of the multiple stakeholders, cross-learning and evaluation of the V2A in the light of local development plans. This activity will mainly be implemented with partners to foster articulation and strengthen the presence of the program in Peru and Colombia.
Indicator: Number of engagement processes with stakeholders implementing activities in the territory</v>
      </c>
      <c r="E14" s="4" t="str">
        <v>custom</v>
      </c>
      <c r="F14" s="4" t="str">
        <v>Colombia, Peru</v>
      </c>
      <c r="G14" s="5">
        <v>3</v>
      </c>
      <c r="H14" s="5">
        <v>20000</v>
      </c>
      <c r="I14" s="4" t="str">
        <v>.</v>
      </c>
      <c r="J14" s="4">
        <v>7675</v>
      </c>
    </row>
    <row r="15" ht="50" customHeight="1" xml:space="preserve">
      <c r="B15" s="4" t="str">
        <v>CIP</v>
      </c>
      <c r="D15" s="4" t="str" xml:space="preserve">
        <v xml:space="preserve">Deliverable - Landscape Roadmap 2030: Lead the development of a roadmap that supports the implementation of V2A  for 2030 in  Peru and Colombia. This will support the alignment of  the municipality, indigenous organizations, and other stakeholders (e.g., dairy industry)  with CG centers in both sites. This will be developed together with Partners - Agrosavia (Colombia) and ADERS (Peru)  - to be able to strengthen sustainability on the ground.
Indicator: Number of roadmaps for LV2A implementation aligned with local development plans</v>
      </c>
      <c r="E15" s="4" t="str">
        <v>Number of knowledge products</v>
      </c>
      <c r="F15" s="4" t="str">
        <v>Colombia, Peru</v>
      </c>
      <c r="G15" s="5">
        <v>2</v>
      </c>
      <c r="H15" s="5">
        <v>20000</v>
      </c>
      <c r="I15" s="4" t="str">
        <v>.</v>
      </c>
      <c r="J15" s="4">
        <v>7679</v>
      </c>
    </row>
    <row r="16" ht="50" customHeight="1" xml:space="preserve">
      <c r="A16" s="4" t="str">
        <v>AOW02: Landscape Optimization and Inclusive Planning</v>
      </c>
      <c r="B16" s="4" t="str">
        <v>CIP</v>
      </c>
      <c r="C16" s="4" t="str">
        <v>OP 2.1.1. – Hotspot mapping &amp; characterization</v>
      </c>
      <c r="D16" s="4" t="str" xml:space="preserve">
        <v xml:space="preserve">Forest-Fish-Food (Triple F): Common methods and science background for the community-based action-research component  
Indicator: Number of adapted food security, agrobiodiversity and/or community nutrition methods and tools deployed.
</v>
      </c>
      <c r="E16" s="4" t="str">
        <v>Number of knowledge products</v>
      </c>
      <c r="F16" s="4" t="str">
        <v>Peru</v>
      </c>
      <c r="G16" s="5">
        <v>0</v>
      </c>
      <c r="H16" s="5">
        <v>5872</v>
      </c>
      <c r="I16" s="4" t="str">
        <v>.</v>
      </c>
      <c r="J16" s="4">
        <v>8368</v>
      </c>
    </row>
    <row r="17" ht="25" customHeight="1">
      <c r="C17" s="9" t="str">
        <v>HLO budget subtotal</v>
      </c>
      <c r="H17" s="9">
        <v>74974</v>
      </c>
      <c r="J17" s="9" t="str">
        <v/>
      </c>
    </row>
    <row r="18" ht="50" customHeight="1" xml:space="preserve">
      <c r="A18" s="8" t="str">
        <v>AOW03: Business Models, Markets, and Sustainable Finance</v>
      </c>
      <c r="B18" s="4" t="str">
        <v>CIP</v>
      </c>
      <c r="C18" s="4" t="str">
        <v>OP 3.2.2. Inclusive business models</v>
      </c>
      <c r="D18" s="4" t="str" xml:space="preserve">
        <v xml:space="preserve">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v>
      </c>
      <c r="E18" s="4" t="str">
        <v>Number of innovations (innovation development)</v>
      </c>
      <c r="F18" s="4" t="str">
        <v>Colombia</v>
      </c>
      <c r="G18" s="5">
        <v>2</v>
      </c>
      <c r="H18" s="5">
        <v>99000</v>
      </c>
      <c r="I18" s="4" t="str">
        <v>.</v>
      </c>
      <c r="J18" s="4">
        <v>5419</v>
      </c>
    </row>
    <row r="19" ht="50" customHeight="1" xml:space="preserve">
      <c r="A19" s="4" t="str">
        <v>AOW03: Business Models, Markets, and Sustainable Finance</v>
      </c>
      <c r="B19" s="4" t="str">
        <v>CIP</v>
      </c>
      <c r="C19" s="4" t="str">
        <v>OP 3.3.3. Co-designed inclusive market and non-market mechanisms for optimizing ecosystem services</v>
      </c>
      <c r="D19" s="4" t="str" xml:space="preserve">
        <v xml:space="preserve">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v>
      </c>
      <c r="E19" s="4" t="str">
        <v>Number of people trained (capacity sharing for development)</v>
      </c>
      <c r="F19" s="4" t="str">
        <v>Peru, Colombia</v>
      </c>
      <c r="G19" s="5">
        <v>100</v>
      </c>
      <c r="H19" s="5">
        <v>69000</v>
      </c>
      <c r="I19" s="4" t="str">
        <v>.</v>
      </c>
      <c r="J19" s="4">
        <v>5425</v>
      </c>
    </row>
    <row r="20" ht="50" customHeight="1" xml:space="preserve">
      <c r="A20" s="4" t="str">
        <v>AOW03: Business Models, Markets, and Sustainable Finance</v>
      </c>
      <c r="B20" s="4" t="str">
        <v>CIP</v>
      </c>
      <c r="C20" s="4" t="str">
        <v>OP 3.1.1. Capacity strengthening for producer organizations &amp; value chains</v>
      </c>
      <c r="D20" s="4" t="str" xml:space="preserve">
        <v xml:space="preserve">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indigneneous) from producer organizations co-designing and testing agrobiodiversity and opportunity crop bio-business initiatives through community action plans and training programs.</v>
      </c>
      <c r="E20" s="4" t="str">
        <v>Number of people trained (capacity sharing for development)</v>
      </c>
      <c r="F20" s="4" t="str">
        <v>Peru</v>
      </c>
      <c r="G20" s="5">
        <v>0</v>
      </c>
      <c r="H20" s="5">
        <v>0</v>
      </c>
      <c r="I20" s="4" t="str">
        <v/>
      </c>
      <c r="J20" s="4">
        <v>8374</v>
      </c>
    </row>
    <row r="21" ht="25" customHeight="1">
      <c r="C21" s="9" t="str">
        <v>HLO budget subtotal</v>
      </c>
      <c r="H21" s="9">
        <v>168000</v>
      </c>
      <c r="J21" s="9" t="str">
        <v/>
      </c>
    </row>
    <row r="22" ht="50" customHeight="1" xml:space="preserve">
      <c r="A22" s="8" t="str">
        <v>AOW04: Governance, Institutions, Policy, and Inclusion</v>
      </c>
      <c r="B22" s="4" t="str">
        <v>CIP</v>
      </c>
      <c r="C22" s="4" t="str">
        <v>OP 4.1.2 GEYSI for co-creation and inclusive governance</v>
      </c>
      <c r="D22" s="4" t="str" xml:space="preserve">
        <v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v>
      </c>
      <c r="E22" s="4" t="str">
        <v>Number of people trained (capacity sharing for development)</v>
      </c>
      <c r="F22" s="4" t="str">
        <v>Colombia, Peru</v>
      </c>
      <c r="G22" s="5">
        <v>300</v>
      </c>
      <c r="H22" s="5">
        <v>60745</v>
      </c>
      <c r="I22" s="4" t="str">
        <v>.</v>
      </c>
      <c r="J22" s="4">
        <v>5284</v>
      </c>
    </row>
    <row r="23" ht="50" customHeight="1" xml:space="preserve">
      <c r="A23" s="4" t="str">
        <v>AOW04: Governance, Institutions, Policy, and Inclusion</v>
      </c>
      <c r="B23" s="4" t="str">
        <v>CIP</v>
      </c>
      <c r="C23" s="4" t="str">
        <v>OP 4.2.1. Institutional, social and behavioral mechanisms</v>
      </c>
      <c r="D23" s="4" t="str" xml:space="preserve">
        <v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v>
      </c>
      <c r="E23" s="4" t="str">
        <v>Number of knowledge products</v>
      </c>
      <c r="F23" s="4" t="str">
        <v>Ethiopia, India, The Socialist Republic of Viet Nam, Peru, Tunisia</v>
      </c>
      <c r="G23" s="5">
        <v>2</v>
      </c>
      <c r="H23" s="5">
        <v>21584</v>
      </c>
      <c r="I23" s="4" t="str">
        <v>.</v>
      </c>
      <c r="J23" s="4">
        <v>5344</v>
      </c>
    </row>
    <row r="24" ht="50" customHeight="1" xml:space="preserve">
      <c r="A24" s="4" t="str">
        <v>AOW04: Governance, Institutions, Policy, and Inclusion</v>
      </c>
      <c r="B24" s="4" t="str">
        <v>CIP</v>
      </c>
      <c r="C24" s="4" t="str">
        <v>OP 4.1.1. Inclusive governance architectures</v>
      </c>
      <c r="D24" s="4" t="str" xml:space="preserve">
        <v xml:space="preserve">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guidelines for responsible corporate social responsibility (CSR) and carbon market investments</v>
      </c>
      <c r="E24" s="4" t="str">
        <v>Number of knowledge products</v>
      </c>
      <c r="F24" s="4" t="str">
        <v>Peru</v>
      </c>
      <c r="G24" s="5">
        <v>2</v>
      </c>
      <c r="H24" s="5">
        <v>43153</v>
      </c>
      <c r="I24" s="4" t="str">
        <v>.</v>
      </c>
      <c r="J24" s="4">
        <v>5391</v>
      </c>
    </row>
    <row r="25" ht="50" customHeight="1" xml:space="preserve">
      <c r="A25" s="4" t="str">
        <v>AOW04: Governance, Institutions, Policy, and Inclusion</v>
      </c>
      <c r="B25" s="4" t="str">
        <v>CIP</v>
      </c>
      <c r="C25" s="4" t="str">
        <v>OP 4.2.2. Demand driven capacity sharing for policy makers and landscape stakeholders</v>
      </c>
      <c r="D25" s="4" t="str" xml:space="preserve">
        <v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engaged in the identification of local indigenous governance options for inclusion in the community actions plans and capacity building curricula.</v>
      </c>
      <c r="E25" s="4" t="str">
        <v>Number of people trained (capacity sharing for development)</v>
      </c>
      <c r="F25" s="4" t="str">
        <v>Peru</v>
      </c>
      <c r="G25" s="5">
        <v>0</v>
      </c>
      <c r="H25" s="5">
        <v>0</v>
      </c>
      <c r="I25" s="4" t="str">
        <v/>
      </c>
      <c r="J25" s="4">
        <v>8376</v>
      </c>
    </row>
    <row r="26" ht="50" customHeight="1" xml:space="preserve">
      <c r="A26" s="4" t="str">
        <v>AOW04: Governance, Institutions, Policy, and Inclusion</v>
      </c>
      <c r="B26" s="4" t="str">
        <v>CIP</v>
      </c>
      <c r="C26" s="4" t="str">
        <v>OP 4.3.2. Engagement frameworks and pilots</v>
      </c>
      <c r="D26" s="4" t="str" xml:space="preserve">
        <v xml:space="preserve">Forest-Fish-Food (Triple F): Knowledge exchange events between Peru and Ethiopia delivered, lessons learned and co-designed pathways for out-scaling 
Indicator: Number of knowledge products forming the evidence compendium on the role of food-based nutrition interactions.</v>
      </c>
      <c r="E26" s="4" t="str">
        <v>Number of knowledge products</v>
      </c>
      <c r="F26" s="4" t="str">
        <v>Peru</v>
      </c>
      <c r="G26" s="5">
        <v>0</v>
      </c>
      <c r="H26" s="5">
        <v>5499</v>
      </c>
      <c r="I26" s="4" t="str">
        <v>.</v>
      </c>
      <c r="J26" s="4">
        <v>8378</v>
      </c>
    </row>
    <row r="27" ht="25" customHeight="1">
      <c r="C27" s="9" t="str">
        <v>HLO budget subtotal</v>
      </c>
      <c r="H27" s="9">
        <v>130981</v>
      </c>
      <c r="J27" s="9" t="str">
        <v/>
      </c>
    </row>
    <row r="28" ht="50" customHeight="1" xml:space="preserve">
      <c r="A28" s="8" t="str">
        <v>AOW05: Performance Assessments &amp; Evidence Generation</v>
      </c>
      <c r="B28" s="4" t="str">
        <v>CIP</v>
      </c>
      <c r="C28" s="4" t="str">
        <v>OP 5.2.2. AI-assisted monitoring system</v>
      </c>
      <c r="D28" s="4" t="str" xml:space="preserve">
        <v xml:space="preserve">Deliverable - Citizen science platforms established as locally-embedded monitoring and evaluation instruments for ecosystem services — including biodiversity, water, and food — in multifunctional landscapes of Peru and Colombia, ensuring that communities generate their own evidence for adaptive management and policy influence. We will implement this activity with our local partners (Intercultural School "El Cumbe", Humboldt Institute, and Agrosavia). Each of them will lead an specific exercise of Citizen Science. We have been trying to engage with the Humboldt Institute in the landscape to deep our ecological lens, and this is a great alternative. 
Indicator: Number of stakeholders engaged in citizen science approaches</v>
      </c>
      <c r="E28" s="4" t="str">
        <v>custom</v>
      </c>
      <c r="F28" s="4" t="str">
        <v>Colombia, Peru</v>
      </c>
      <c r="G28" s="5">
        <v>150</v>
      </c>
      <c r="H28" s="5">
        <v>30000</v>
      </c>
      <c r="I28" s="4" t="str">
        <v>.</v>
      </c>
      <c r="J28" s="4">
        <v>7441</v>
      </c>
    </row>
    <row r="29" ht="50" customHeight="1" xml:space="preserve">
      <c r="A29" s="4" t="str">
        <v>AOW05: Performance Assessments &amp; Evidence Generation</v>
      </c>
      <c r="B29" s="4" t="str">
        <v>CIP</v>
      </c>
      <c r="C29" s="4" t="str">
        <v>OP 5.1.2 Landscape-specific assessment frameworks</v>
      </c>
      <c r="D29" s="4" t="str" xml:space="preserve">
        <v xml:space="preserve">Deliverable: A youth-driven assessment framework for multifunctional landscapes co-developed with young people in Peru and Colombia capturing landscape functions through youth knowledge and agency. This will be coupled with other landscape assessment frameworks evaluated in both regions. Local Partners (including a youth organization) will be the main implementers of this activity. This will give the opportunity to local partners to own this framework. 
Indicator: Number of youth organizations engaged in the process of defining the indicators</v>
      </c>
      <c r="E29" s="4" t="str">
        <v>custom</v>
      </c>
      <c r="F29" s="4" t="str">
        <v>Peru, Colombia</v>
      </c>
      <c r="G29" s="5">
        <v>1</v>
      </c>
      <c r="H29" s="5">
        <v>40000</v>
      </c>
      <c r="I29" s="4" t="str">
        <v>.</v>
      </c>
      <c r="J29" s="4">
        <v>7651</v>
      </c>
    </row>
    <row r="30" ht="50" customHeight="1" xml:space="preserve">
      <c r="B30" s="4" t="str">
        <v>CIP</v>
      </c>
      <c r="D30" s="4" t="str" xml:space="preserve">
        <v xml:space="preserve">Forest-Fish-Food (Triple F): SES framework applied in two landscapes / water basins, one in Peru and one in Ethiopia, and given latest ecological and social information data and studies available
Indicator: Number of open access databases and knowledge products on the application of the SES framework in the riverine landscape report. </v>
      </c>
      <c r="E30" s="4" t="str">
        <v>Number of knowledge products</v>
      </c>
      <c r="F30" s="4" t="str">
        <v>Peru</v>
      </c>
      <c r="G30" s="5">
        <v>0</v>
      </c>
      <c r="H30" s="5">
        <v>11457</v>
      </c>
      <c r="I30" s="4" t="str">
        <v>.</v>
      </c>
      <c r="J30" s="4">
        <v>8366</v>
      </c>
    </row>
    <row r="31" ht="50" customHeight="1" xml:space="preserve">
      <c r="A31" s="4" t="str">
        <v>AOW05: Performance Assessments &amp; Evidence Generation</v>
      </c>
      <c r="B31" s="4" t="str">
        <v>CIP</v>
      </c>
      <c r="C31" s="4" t="str">
        <v>OP 5.2.1. Knowledge and information hubs</v>
      </c>
      <c r="D31" s="4" t="str" xml:space="preserve">
        <v xml:space="preserve">Deliverable: A youth communication group strengthened as knowledge, evidence, and communication actors for multifunctional landscape innovations in Peru and Colombia. This will be implemented in collaboration with local partners (e.g., in Cumbal the youth community communication organization and YPARD in Peru). Indicator: Number of evidence users engaged by youth communicators. 
Indicator: Number of evidence users engaged by youth communicators.</v>
      </c>
      <c r="E31" s="4" t="str">
        <v>custom</v>
      </c>
      <c r="F31" s="4" t="str">
        <v>Peru, Colombia</v>
      </c>
      <c r="G31" s="5">
        <v>150</v>
      </c>
      <c r="H31" s="5">
        <v>30000</v>
      </c>
      <c r="I31" s="4" t="str">
        <v>.</v>
      </c>
      <c r="J31" s="4">
        <v>7652</v>
      </c>
    </row>
    <row r="32" ht="50" customHeight="1" xml:space="preserve">
      <c r="A32" s="4" t="str">
        <v>AOW05: Performance Assessments &amp; Evidence Generation</v>
      </c>
      <c r="B32" s="4" t="str">
        <v>CIP</v>
      </c>
      <c r="C32" s="4" t="str">
        <v>OP 5.1.1 – Standardised protocols, tools and methods</v>
      </c>
      <c r="D32" s="4" t="str" xml:space="preserve">
        <v xml:space="preserve">Forest-Fish-Food (Triple F): Common methods and SES framework developed for identifying and assessing cascading effects from forest and water cycle management to fish, food, and nutrition security in Peru and Ethiopia
Indicator: Number of standardised food plants, food flow and intra-basin telecoupling interaction modules developed  validated and  integrated into the SES framework.</v>
      </c>
      <c r="E32" s="4" t="str">
        <v>Number of innovations (innovation development)</v>
      </c>
      <c r="F32" s="4" t="str">
        <v>Peru</v>
      </c>
      <c r="G32" s="5">
        <v>1</v>
      </c>
      <c r="H32" s="5">
        <v>11457</v>
      </c>
      <c r="I32" s="4" t="str">
        <v>.</v>
      </c>
      <c r="J32" s="4">
        <v>8364</v>
      </c>
    </row>
    <row r="33" ht="25" customHeight="1">
      <c r="C33" s="9" t="str">
        <v>HLO budget subtotal</v>
      </c>
      <c r="H33" s="9">
        <v>122914</v>
      </c>
      <c r="J33" s="9" t="str">
        <v/>
      </c>
    </row>
  </sheetData>
  <mergeCells count="21">
    <mergeCell ref="A1:A2"/>
    <mergeCell ref="B1:B2"/>
    <mergeCell ref="C1:C2"/>
    <mergeCell ref="D1:H1"/>
    <mergeCell ref="I1:I2"/>
    <mergeCell ref="J1:J2"/>
    <mergeCell ref="C3:C6"/>
    <mergeCell ref="C8:C9"/>
    <mergeCell ref="C11:G11"/>
    <mergeCell ref="A3:A11"/>
    <mergeCell ref="C12:C13"/>
    <mergeCell ref="C14:C15"/>
    <mergeCell ref="C17:G17"/>
    <mergeCell ref="A12:A17"/>
    <mergeCell ref="C21:G21"/>
    <mergeCell ref="A18:A21"/>
    <mergeCell ref="C27:G27"/>
    <mergeCell ref="A22:A27"/>
    <mergeCell ref="C29:C30"/>
    <mergeCell ref="C33:G33"/>
    <mergeCell ref="A28:A33"/>
  </mergeCells>
  <ignoredErrors>
    <ignoredError numberStoredAsText="1" sqref="A1:J33"/>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Corporación Colombiana de Investigación Agropecuaria</v>
      </c>
      <c r="C2" s="4" t="str">
        <v>CIP</v>
      </c>
      <c r="D2" s="4" t="str">
        <v>Colombia</v>
      </c>
      <c r="E2" s="5">
        <v>50000</v>
      </c>
      <c r="F2" s="4" t="str">
        <v>Budget for Agrosavia in Colombia</v>
      </c>
      <c r="G2" s="4">
        <v>550</v>
      </c>
    </row>
    <row r="3" ht="50" customHeight="1">
      <c r="A3" s="4" t="str">
        <v>AOW01: Agroecology+ Solutions &amp; Innovations</v>
      </c>
      <c r="B3" s="4" t="str">
        <v>AIDER</v>
      </c>
      <c r="C3" s="4" t="str">
        <v>CIP</v>
      </c>
      <c r="D3" s="4" t="str">
        <v>Peru</v>
      </c>
      <c r="E3" s="5">
        <v>50000</v>
      </c>
      <c r="F3" s="4" t="str">
        <v>.</v>
      </c>
      <c r="G3" s="4">
        <v>551</v>
      </c>
    </row>
    <row r="4" ht="25" customHeight="1">
      <c r="B4" s="9" t="str">
        <v>Contracted partners subtotal</v>
      </c>
      <c r="E4" s="9">
        <v>100000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xml:space="preserve">
      <c r="A2" s="8" t="str">
        <v>CIP</v>
      </c>
      <c r="B2" s="4" t="str">
        <v>1571-FAO0 - Youth, Citizen Science and E-commerce: scaling integrated conservation solutions and farmers’ rights by connecting key diversity hotspots: Bolivia, Chile, and Peru</v>
      </c>
      <c r="C2" s="4" t="str" xml:space="preserve">
        <v xml:space="preserve">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2" s="5">
        <v>196538</v>
      </c>
      <c r="E2" s="4" t="str">
        <v>.</v>
      </c>
      <c r="F2" s="4">
        <v>1025</v>
      </c>
    </row>
    <row r="3" ht="60" customHeight="1">
      <c r="A3" s="4" t="str">
        <v>CIP</v>
      </c>
      <c r="B3" s="4" t="str">
        <v>P-1580-IAI0-Market-led Transformation of the Root and Tuber</v>
      </c>
      <c r="C3" s="4" t="str">
        <v>2030 OC-3 National and sub-national public actors, market and finance sector actors implement and sustain coordinated, inclusive policy, organizational, market, and non-market innovations</v>
      </c>
      <c r="D3" s="5">
        <v>0</v>
      </c>
      <c r="E3" s="4" t="str">
        <v/>
      </c>
      <c r="F3" s="4">
        <v>1037</v>
      </c>
    </row>
    <row r="4" ht="25" customHeight="1">
      <c r="B4" s="9" t="str">
        <v>W3/Bilateral budget subtotal</v>
      </c>
      <c r="D4" s="9">
        <v>196538</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CIP</v>
      </c>
      <c r="C2" s="4" t="str">
        <v>Area of Work Leads</v>
      </c>
      <c r="D2" s="5">
        <v>133750</v>
      </c>
      <c r="E2" s="4" t="str">
        <v xml:space="preserve">USD 118,750 for AoW 1 Lead Stef de Haan's position and USD 15,000 travel budget for him to attend MFL SP management meetings. </v>
      </c>
      <c r="F2" s="4">
        <v>217</v>
      </c>
      <c r="G2" s="4">
        <v>3</v>
      </c>
    </row>
    <row r="3" ht="25" customHeight="1">
      <c r="C3" s="9" t="str">
        <v>Cross-cutting budget subtotal</v>
      </c>
      <c r="D3" s="9">
        <v>133750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121000</v>
      </c>
      <c r="C2" s="5">
        <v>220945</v>
      </c>
      <c r="D2" s="5">
        <v>46022</v>
      </c>
      <c r="E2" s="5">
        <v>117600</v>
      </c>
      <c r="F2" s="5">
        <v>89837</v>
      </c>
      <c r="G2" s="5">
        <v>73437</v>
      </c>
      <c r="H2" s="5">
        <f>=SUM(B2:G2)</f>
        <v>0</v>
      </c>
    </row>
    <row r="3" ht="20" customHeight="1">
      <c r="A3" s="4" t="str">
        <v>Operations (supplies, consultants, travels, workshops, other)</v>
      </c>
      <c r="B3" s="5">
        <v>12750</v>
      </c>
      <c r="C3" s="5">
        <v>137548</v>
      </c>
      <c r="D3" s="5">
        <v>28952</v>
      </c>
      <c r="E3" s="5">
        <v>50400</v>
      </c>
      <c r="F3" s="5">
        <v>41144</v>
      </c>
      <c r="G3" s="5">
        <v>49477</v>
      </c>
      <c r="H3" s="5">
        <f>=SUM(B3:G3)</f>
        <v>0</v>
      </c>
    </row>
    <row r="4" ht="20" customHeight="1">
      <c r="A4" s="4" t="str">
        <v>Collaborators non-CGIAR centers</v>
      </c>
      <c r="B4" s="5">
        <v>0</v>
      </c>
      <c r="C4" s="5">
        <v>100000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CIP</v>
      </c>
      <c r="C2" s="4" t="str">
        <v>Peru</v>
      </c>
      <c r="D2" s="5">
        <v>100</v>
      </c>
      <c r="E2" s="4">
        <v>3387</v>
      </c>
    </row>
    <row r="3" ht="45" customHeight="1">
      <c r="A3" s="8" t="str">
        <v>AOW01: Agroecology+ Solutions &amp; Innovations</v>
      </c>
      <c r="B3" s="4" t="str">
        <v>CIP</v>
      </c>
      <c r="C3" s="4" t="str">
        <v>Colombia</v>
      </c>
      <c r="D3" s="5">
        <v>40</v>
      </c>
      <c r="E3" s="4">
        <v>2423</v>
      </c>
    </row>
    <row r="4" ht="45" customHeight="1">
      <c r="A4" s="4" t="str">
        <v>AOW01: Agroecology+ Solutions &amp; Innovations</v>
      </c>
      <c r="B4" s="4" t="str">
        <v>CIP</v>
      </c>
      <c r="C4" s="4" t="str">
        <v>India</v>
      </c>
      <c r="D4" s="5">
        <v>10</v>
      </c>
      <c r="E4" s="4">
        <v>2427</v>
      </c>
    </row>
    <row r="5" ht="45" customHeight="1">
      <c r="A5" s="4" t="str">
        <v>AOW01: Agroecology+ Solutions &amp; Innovations</v>
      </c>
      <c r="B5" s="4" t="str">
        <v>CIP</v>
      </c>
      <c r="C5" s="4" t="str">
        <v>Peru</v>
      </c>
      <c r="D5" s="5">
        <v>40</v>
      </c>
      <c r="E5" s="4">
        <v>2425</v>
      </c>
    </row>
    <row r="6" ht="45" customHeight="1">
      <c r="A6" s="4" t="str">
        <v>AOW01: Agroecology+ Solutions &amp; Innovations</v>
      </c>
      <c r="B6" s="4" t="str">
        <v>CIP</v>
      </c>
      <c r="C6" s="4" t="str">
        <v>Tanzania</v>
      </c>
      <c r="D6" s="5">
        <v>0</v>
      </c>
      <c r="E6" s="4">
        <v>2426</v>
      </c>
    </row>
    <row r="7" ht="45" customHeight="1">
      <c r="A7" s="4" t="str">
        <v>AOW01: Agroecology+ Solutions &amp; Innovations</v>
      </c>
      <c r="B7" s="4" t="str">
        <v>CIP</v>
      </c>
      <c r="C7" s="4" t="str">
        <v>The Socialist Republic of Viet Nam</v>
      </c>
      <c r="D7" s="5">
        <v>10</v>
      </c>
      <c r="E7" s="4">
        <v>2424</v>
      </c>
    </row>
    <row r="8" ht="45" customHeight="1">
      <c r="A8" s="8" t="str">
        <v>AOW02: Landscape Optimization and Inclusive Planning</v>
      </c>
      <c r="B8" s="4" t="str">
        <v>CIP</v>
      </c>
      <c r="C8" s="4" t="str">
        <v>Colombia</v>
      </c>
      <c r="D8" s="5">
        <v>50</v>
      </c>
      <c r="E8" s="4">
        <v>2428</v>
      </c>
    </row>
    <row r="9" ht="45" customHeight="1">
      <c r="A9" s="4" t="str">
        <v>AOW02: Landscape Optimization and Inclusive Planning</v>
      </c>
      <c r="B9" s="4" t="str">
        <v>CIP</v>
      </c>
      <c r="C9" s="4" t="str">
        <v>Peru</v>
      </c>
      <c r="D9" s="5">
        <v>50</v>
      </c>
      <c r="E9" s="4">
        <v>2429</v>
      </c>
    </row>
    <row r="10" ht="45" customHeight="1">
      <c r="A10" s="8" t="str">
        <v>AOW03: Business Models, Markets, and Sustainable Finance</v>
      </c>
      <c r="B10" s="4" t="str">
        <v>CIP</v>
      </c>
      <c r="C10" s="4" t="str">
        <v>Colombia</v>
      </c>
      <c r="D10" s="5">
        <v>50</v>
      </c>
      <c r="E10" s="4">
        <v>2430</v>
      </c>
    </row>
    <row r="11" ht="45" customHeight="1">
      <c r="A11" s="4" t="str">
        <v>AOW03: Business Models, Markets, and Sustainable Finance</v>
      </c>
      <c r="B11" s="4" t="str">
        <v>CIP</v>
      </c>
      <c r="C11" s="4" t="str">
        <v>Peru</v>
      </c>
      <c r="D11" s="5">
        <v>50</v>
      </c>
      <c r="E11" s="4">
        <v>2431</v>
      </c>
    </row>
    <row r="12" ht="45" customHeight="1">
      <c r="A12" s="8" t="str">
        <v>AOW04: Governance, Institutions, Policy, and Inclusion</v>
      </c>
      <c r="B12" s="4" t="str">
        <v>CIP</v>
      </c>
      <c r="C12" s="4" t="str">
        <v>Colombia</v>
      </c>
      <c r="D12" s="5">
        <v>35</v>
      </c>
      <c r="E12" s="4">
        <v>2432</v>
      </c>
    </row>
    <row r="13" ht="45" customHeight="1">
      <c r="A13" s="4" t="str">
        <v>AOW04: Governance, Institutions, Policy, and Inclusion</v>
      </c>
      <c r="B13" s="4" t="str">
        <v>CIP</v>
      </c>
      <c r="C13" s="4" t="str">
        <v>India</v>
      </c>
      <c r="D13" s="5">
        <v>10</v>
      </c>
      <c r="E13" s="4">
        <v>2434</v>
      </c>
    </row>
    <row r="14" ht="45" customHeight="1">
      <c r="A14" s="4" t="str">
        <v>AOW04: Governance, Institutions, Policy, and Inclusion</v>
      </c>
      <c r="B14" s="4" t="str">
        <v>CIP</v>
      </c>
      <c r="C14" s="4" t="str">
        <v>Peru</v>
      </c>
      <c r="D14" s="5">
        <v>35</v>
      </c>
      <c r="E14" s="4">
        <v>2433</v>
      </c>
    </row>
    <row r="15" ht="45" customHeight="1">
      <c r="A15" s="4" t="str">
        <v>AOW04: Governance, Institutions, Policy, and Inclusion</v>
      </c>
      <c r="B15" s="4" t="str">
        <v>CIP</v>
      </c>
      <c r="C15" s="4" t="str">
        <v>The Socialist Republic of Viet Nam</v>
      </c>
      <c r="D15" s="5">
        <v>10</v>
      </c>
      <c r="E15" s="4">
        <v>2435</v>
      </c>
    </row>
    <row r="16" ht="45" customHeight="1">
      <c r="A16" s="4" t="str">
        <v>AOW04: Governance, Institutions, Policy, and Inclusion</v>
      </c>
      <c r="B16" s="4" t="str">
        <v>CIP</v>
      </c>
      <c r="C16" s="4" t="str">
        <v>Tunisia</v>
      </c>
      <c r="D16" s="5">
        <v>10</v>
      </c>
      <c r="E16" s="4">
        <v>2436</v>
      </c>
    </row>
    <row r="17" ht="45" customHeight="1">
      <c r="A17" s="8" t="str">
        <v>AOW05: Performance Assessments &amp; Evidence Generation</v>
      </c>
      <c r="B17" s="4" t="str">
        <v>CIP</v>
      </c>
      <c r="C17" s="4" t="str">
        <v>Colombia</v>
      </c>
      <c r="D17" s="5">
        <v>50</v>
      </c>
      <c r="E17" s="4">
        <v>2437</v>
      </c>
    </row>
    <row r="18" ht="45" customHeight="1">
      <c r="A18" s="4" t="str">
        <v>AOW05: Performance Assessments &amp; Evidence Generation</v>
      </c>
      <c r="B18" s="4" t="str">
        <v>CIP</v>
      </c>
      <c r="C18" s="4" t="str">
        <v>Peru</v>
      </c>
      <c r="D18" s="5">
        <v>50</v>
      </c>
      <c r="E18" s="4">
        <v>2438</v>
      </c>
    </row>
  </sheetData>
  <mergeCells count="6">
    <mergeCell ref="A2"/>
    <mergeCell ref="A3:A7"/>
    <mergeCell ref="A8:A9"/>
    <mergeCell ref="A10:A11"/>
    <mergeCell ref="A12:A16"/>
    <mergeCell ref="A17:A18"/>
  </mergeCells>
  <ignoredErrors>
    <ignoredError numberStoredAsText="1" sqref="A1:E18"/>
  </ignoredErrors>
</worksheet>
</file>

<file path=xl/worksheets/sheet9.xml><?xml version="1.0" encoding="utf-8"?>
<worksheet xmlns="http://schemas.openxmlformats.org/spreadsheetml/2006/main" xmlns:r="http://schemas.openxmlformats.org/officeDocument/2006/relationships">
  <dimension ref="A1:F3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CIP</v>
      </c>
      <c r="C2" s="4" t="str">
        <v>Cambodia</v>
      </c>
      <c r="D2" s="4" t="str">
        <v>country</v>
      </c>
      <c r="E2" s="5">
        <v>4</v>
      </c>
      <c r="F2" s="4">
        <v>1595</v>
      </c>
    </row>
    <row r="3" ht="45" customHeight="1">
      <c r="A3" s="4" t="str">
        <v>AOW00: Cross Cutting</v>
      </c>
      <c r="B3" s="4" t="str">
        <v>CIP</v>
      </c>
      <c r="C3" s="4" t="str">
        <v>Colombia</v>
      </c>
      <c r="D3" s="4" t="str">
        <v>country</v>
      </c>
      <c r="E3" s="5">
        <v>10</v>
      </c>
      <c r="F3" s="4">
        <v>1596</v>
      </c>
    </row>
    <row r="4" ht="45" customHeight="1">
      <c r="A4" s="4" t="str">
        <v>AOW00: Cross Cutting</v>
      </c>
      <c r="B4" s="4" t="str">
        <v>CIP</v>
      </c>
      <c r="C4" s="4" t="str">
        <v>Côte d'Ivoire</v>
      </c>
      <c r="D4" s="4" t="str">
        <v>country</v>
      </c>
      <c r="E4" s="5">
        <v>7</v>
      </c>
      <c r="F4" s="4">
        <v>1597</v>
      </c>
    </row>
    <row r="5" ht="45" customHeight="1">
      <c r="A5" s="4" t="str">
        <v>AOW00: Cross Cutting</v>
      </c>
      <c r="B5" s="4" t="str">
        <v>CIP</v>
      </c>
      <c r="C5" s="4" t="str">
        <v>Ethiopia</v>
      </c>
      <c r="D5" s="4" t="str">
        <v>country</v>
      </c>
      <c r="E5" s="5">
        <v>7</v>
      </c>
      <c r="F5" s="4">
        <v>1598</v>
      </c>
    </row>
    <row r="6" ht="45" customHeight="1">
      <c r="A6" s="4" t="str">
        <v>AOW00: Cross Cutting</v>
      </c>
      <c r="B6" s="4" t="str">
        <v>CIP</v>
      </c>
      <c r="C6" s="4" t="str">
        <v>India</v>
      </c>
      <c r="D6" s="4" t="str">
        <v>country</v>
      </c>
      <c r="E6" s="5">
        <v>10</v>
      </c>
      <c r="F6" s="4">
        <v>1599</v>
      </c>
    </row>
    <row r="7" ht="45" customHeight="1">
      <c r="A7" s="4" t="str">
        <v>AOW00: Cross Cutting</v>
      </c>
      <c r="B7" s="4" t="str">
        <v>CIP</v>
      </c>
      <c r="C7" s="4" t="str">
        <v>Kenya</v>
      </c>
      <c r="D7" s="4" t="str">
        <v>country</v>
      </c>
      <c r="E7" s="5">
        <v>10</v>
      </c>
      <c r="F7" s="4">
        <v>1600</v>
      </c>
    </row>
    <row r="8" ht="45" customHeight="1">
      <c r="A8" s="4" t="str">
        <v>AOW00: Cross Cutting</v>
      </c>
      <c r="B8" s="4" t="str">
        <v>CIP</v>
      </c>
      <c r="C8" s="4" t="str">
        <v>Lao People's Democratic Republic</v>
      </c>
      <c r="D8" s="4" t="str">
        <v>country</v>
      </c>
      <c r="E8" s="5">
        <v>4</v>
      </c>
      <c r="F8" s="4">
        <v>1601</v>
      </c>
    </row>
    <row r="9" ht="45" customHeight="1">
      <c r="A9" s="4" t="str">
        <v>AOW00: Cross Cutting</v>
      </c>
      <c r="B9" s="4" t="str">
        <v>CIP</v>
      </c>
      <c r="C9" s="4" t="str">
        <v>Peru</v>
      </c>
      <c r="D9" s="4" t="str">
        <v>country</v>
      </c>
      <c r="E9" s="5">
        <v>10</v>
      </c>
      <c r="F9" s="4">
        <v>1602</v>
      </c>
    </row>
    <row r="10" ht="45" customHeight="1">
      <c r="A10" s="4" t="str">
        <v>AOW00: Cross Cutting</v>
      </c>
      <c r="B10" s="4" t="str">
        <v>CIP</v>
      </c>
      <c r="C10" s="4" t="str">
        <v>Senegal</v>
      </c>
      <c r="D10" s="4" t="str">
        <v>country</v>
      </c>
      <c r="E10" s="5">
        <v>7</v>
      </c>
      <c r="F10" s="4">
        <v>1603</v>
      </c>
    </row>
    <row r="11" ht="45" customHeight="1">
      <c r="A11" s="4" t="str">
        <v>AOW00: Cross Cutting</v>
      </c>
      <c r="B11" s="4" t="str">
        <v>CIP</v>
      </c>
      <c r="C11" s="4" t="str">
        <v>Tanzania</v>
      </c>
      <c r="D11" s="4" t="str">
        <v>country</v>
      </c>
      <c r="E11" s="5">
        <v>7</v>
      </c>
      <c r="F11" s="4">
        <v>1604</v>
      </c>
    </row>
    <row r="12" ht="45" customHeight="1">
      <c r="A12" s="4" t="str">
        <v>AOW00: Cross Cutting</v>
      </c>
      <c r="B12" s="4" t="str">
        <v>CIP</v>
      </c>
      <c r="C12" s="4" t="str">
        <v>The Socialist Republic of Viet Nam</v>
      </c>
      <c r="D12" s="4" t="str">
        <v>country</v>
      </c>
      <c r="E12" s="5">
        <v>4</v>
      </c>
      <c r="F12" s="4">
        <v>1605</v>
      </c>
    </row>
    <row r="13" ht="45" customHeight="1">
      <c r="A13" s="4" t="str">
        <v>AOW00: Cross Cutting</v>
      </c>
      <c r="B13" s="4" t="str">
        <v>CIP</v>
      </c>
      <c r="C13" s="4" t="str">
        <v>Tunisia</v>
      </c>
      <c r="D13" s="4" t="str">
        <v>country</v>
      </c>
      <c r="E13" s="5">
        <v>10</v>
      </c>
      <c r="F13" s="4">
        <v>1606</v>
      </c>
    </row>
    <row r="14" ht="45" customHeight="1">
      <c r="A14" s="4" t="str">
        <v>AOW00: Cross Cutting</v>
      </c>
      <c r="B14" s="4" t="str">
        <v>CIP</v>
      </c>
      <c r="C14" s="4" t="str">
        <v>United Republic</v>
      </c>
      <c r="D14" s="4" t="str">
        <v>country</v>
      </c>
      <c r="E14" s="5">
        <v>0</v>
      </c>
      <c r="F14" s="4">
        <v>1607</v>
      </c>
    </row>
    <row r="15" ht="45" customHeight="1">
      <c r="A15" s="4" t="str">
        <v>AOW00: Cross Cutting</v>
      </c>
      <c r="B15" s="4" t="str">
        <v>CIP</v>
      </c>
      <c r="C15" s="4" t="str">
        <v>Zimbabwe</v>
      </c>
      <c r="D15" s="4" t="str">
        <v>country</v>
      </c>
      <c r="E15" s="5">
        <v>10</v>
      </c>
      <c r="F15" s="4">
        <v>1608</v>
      </c>
    </row>
    <row r="16" ht="45" customHeight="1">
      <c r="A16" s="8" t="str">
        <v>AOW01: Agroecology+ Solutions &amp; Innovations</v>
      </c>
      <c r="B16" s="4" t="str">
        <v>CIP</v>
      </c>
      <c r="C16" s="4" t="str">
        <v>Cambodia</v>
      </c>
      <c r="D16" s="4" t="str">
        <v>country</v>
      </c>
      <c r="E16" s="5">
        <v>0</v>
      </c>
      <c r="F16" s="4">
        <v>1325</v>
      </c>
    </row>
    <row r="17" ht="45" customHeight="1">
      <c r="A17" s="4" t="str">
        <v>AOW01: Agroecology+ Solutions &amp; Innovations</v>
      </c>
      <c r="B17" s="4" t="str">
        <v>CIP</v>
      </c>
      <c r="C17" s="4" t="str">
        <v>Colombia</v>
      </c>
      <c r="D17" s="4" t="str">
        <v>country</v>
      </c>
      <c r="E17" s="5">
        <v>40</v>
      </c>
      <c r="F17" s="4">
        <v>1326</v>
      </c>
    </row>
    <row r="18" ht="45" customHeight="1">
      <c r="A18" s="4" t="str">
        <v>AOW01: Agroecology+ Solutions &amp; Innovations</v>
      </c>
      <c r="B18" s="4" t="str">
        <v>CIP</v>
      </c>
      <c r="C18" s="4" t="str">
        <v>India</v>
      </c>
      <c r="D18" s="4" t="str">
        <v>country</v>
      </c>
      <c r="E18" s="5">
        <v>10</v>
      </c>
      <c r="F18" s="4">
        <v>1329</v>
      </c>
    </row>
    <row r="19" ht="45" customHeight="1">
      <c r="A19" s="4" t="str">
        <v>AOW01: Agroecology+ Solutions &amp; Innovations</v>
      </c>
      <c r="B19" s="4" t="str">
        <v>CIP</v>
      </c>
      <c r="C19" s="4" t="str">
        <v>Peru</v>
      </c>
      <c r="D19" s="4" t="str">
        <v>country</v>
      </c>
      <c r="E19" s="5">
        <v>40</v>
      </c>
      <c r="F19" s="4">
        <v>1327</v>
      </c>
    </row>
    <row r="20" ht="45" customHeight="1">
      <c r="A20" s="4" t="str">
        <v>AOW01: Agroecology+ Solutions &amp; Innovations</v>
      </c>
      <c r="B20" s="4" t="str">
        <v>CIP</v>
      </c>
      <c r="C20" s="4" t="str">
        <v>Tanzania</v>
      </c>
      <c r="D20" s="4" t="str">
        <v>country</v>
      </c>
      <c r="E20" s="5">
        <v>0</v>
      </c>
      <c r="F20" s="4">
        <v>1328</v>
      </c>
    </row>
    <row r="21" ht="45" customHeight="1">
      <c r="A21" s="4" t="str">
        <v>AOW01: Agroecology+ Solutions &amp; Innovations</v>
      </c>
      <c r="B21" s="4" t="str">
        <v>CIP</v>
      </c>
      <c r="C21" s="4" t="str">
        <v>The Socialist Republic of Viet Nam</v>
      </c>
      <c r="D21" s="4" t="str">
        <v>country</v>
      </c>
      <c r="E21" s="5">
        <v>10</v>
      </c>
      <c r="F21" s="4">
        <v>1330</v>
      </c>
    </row>
    <row r="22" ht="45" customHeight="1">
      <c r="A22" s="8" t="str">
        <v>AOW02: Landscape Optimization and Inclusive Planning</v>
      </c>
      <c r="B22" s="4" t="str">
        <v>CIP</v>
      </c>
      <c r="C22" s="4" t="str">
        <v>Colombia</v>
      </c>
      <c r="D22" s="4" t="str">
        <v>country</v>
      </c>
      <c r="E22" s="5">
        <v>50</v>
      </c>
      <c r="F22" s="4">
        <v>1331</v>
      </c>
    </row>
    <row r="23" ht="45" customHeight="1">
      <c r="A23" s="4" t="str">
        <v>AOW02: Landscape Optimization and Inclusive Planning</v>
      </c>
      <c r="B23" s="4" t="str">
        <v>CIP</v>
      </c>
      <c r="C23" s="4" t="str">
        <v>Peru</v>
      </c>
      <c r="D23" s="4" t="str">
        <v>country</v>
      </c>
      <c r="E23" s="5">
        <v>50</v>
      </c>
      <c r="F23" s="4">
        <v>1332</v>
      </c>
    </row>
    <row r="24" ht="45" customHeight="1">
      <c r="A24" s="4" t="str">
        <v>AOW02: Landscape Optimization and Inclusive Planning</v>
      </c>
      <c r="B24" s="4" t="str">
        <v>CIP</v>
      </c>
      <c r="C24" s="4" t="str">
        <v>Senegal</v>
      </c>
      <c r="D24" s="4" t="str">
        <v>country</v>
      </c>
      <c r="E24" s="5">
        <v>0</v>
      </c>
      <c r="F24" s="4">
        <v>1333</v>
      </c>
    </row>
    <row r="25" ht="45" customHeight="1">
      <c r="A25" s="8" t="str">
        <v>AOW03: Business Models, Markets, and Sustainable Finance</v>
      </c>
      <c r="B25" s="4" t="str">
        <v>CIP</v>
      </c>
      <c r="C25" s="4" t="str">
        <v>Global</v>
      </c>
      <c r="D25" s="4" t="str">
        <v>global</v>
      </c>
      <c r="E25" s="5">
        <v>0</v>
      </c>
      <c r="F25" s="4">
        <v>1334</v>
      </c>
    </row>
    <row r="26" ht="45" customHeight="1">
      <c r="A26" s="4" t="str">
        <v>AOW03: Business Models, Markets, and Sustainable Finance</v>
      </c>
      <c r="B26" s="4" t="str">
        <v>CIP</v>
      </c>
      <c r="C26" s="4" t="str">
        <v>Colombia</v>
      </c>
      <c r="D26" s="4" t="str">
        <v>country</v>
      </c>
      <c r="E26" s="5">
        <v>50</v>
      </c>
      <c r="F26" s="4">
        <v>1335</v>
      </c>
    </row>
    <row r="27" ht="45" customHeight="1">
      <c r="A27" s="4" t="str">
        <v>AOW03: Business Models, Markets, and Sustainable Finance</v>
      </c>
      <c r="B27" s="4" t="str">
        <v>CIP</v>
      </c>
      <c r="C27" s="4" t="str">
        <v>Lao People's Democratic Republic</v>
      </c>
      <c r="D27" s="4" t="str">
        <v>country</v>
      </c>
      <c r="E27" s="5">
        <v>0</v>
      </c>
      <c r="F27" s="4">
        <v>1336</v>
      </c>
    </row>
    <row r="28" ht="45" customHeight="1">
      <c r="A28" s="4" t="str">
        <v>AOW03: Business Models, Markets, and Sustainable Finance</v>
      </c>
      <c r="B28" s="4" t="str">
        <v>CIP</v>
      </c>
      <c r="C28" s="4" t="str">
        <v>Peru</v>
      </c>
      <c r="D28" s="4" t="str">
        <v>country</v>
      </c>
      <c r="E28" s="5">
        <v>50</v>
      </c>
      <c r="F28" s="4">
        <v>1337</v>
      </c>
    </row>
    <row r="29" ht="45" customHeight="1">
      <c r="A29" s="8" t="str">
        <v>AOW04: Governance, Institutions, Policy, and Inclusion</v>
      </c>
      <c r="B29" s="4" t="str">
        <v>CIP</v>
      </c>
      <c r="C29" s="4" t="str">
        <v>Colombia</v>
      </c>
      <c r="D29" s="4" t="str">
        <v>country</v>
      </c>
      <c r="E29" s="5">
        <v>35</v>
      </c>
      <c r="F29" s="4">
        <v>1338</v>
      </c>
    </row>
    <row r="30" ht="45" customHeight="1">
      <c r="A30" s="4" t="str">
        <v>AOW04: Governance, Institutions, Policy, and Inclusion</v>
      </c>
      <c r="B30" s="4" t="str">
        <v>CIP</v>
      </c>
      <c r="C30" s="4" t="str">
        <v>India</v>
      </c>
      <c r="D30" s="4" t="str">
        <v>country</v>
      </c>
      <c r="E30" s="5">
        <v>10</v>
      </c>
      <c r="F30" s="4">
        <v>1339</v>
      </c>
    </row>
    <row r="31" ht="45" customHeight="1">
      <c r="A31" s="4" t="str">
        <v>AOW04: Governance, Institutions, Policy, and Inclusion</v>
      </c>
      <c r="B31" s="4" t="str">
        <v>CIP</v>
      </c>
      <c r="C31" s="4" t="str">
        <v>Kenya</v>
      </c>
      <c r="D31" s="4" t="str">
        <v>country</v>
      </c>
      <c r="E31" s="5">
        <v>0</v>
      </c>
      <c r="F31" s="4">
        <v>1340</v>
      </c>
    </row>
    <row r="32" ht="45" customHeight="1">
      <c r="A32" s="4" t="str">
        <v>AOW04: Governance, Institutions, Policy, and Inclusion</v>
      </c>
      <c r="B32" s="4" t="str">
        <v>CIP</v>
      </c>
      <c r="C32" s="4" t="str">
        <v>Peru</v>
      </c>
      <c r="D32" s="4" t="str">
        <v>country</v>
      </c>
      <c r="E32" s="5">
        <v>35</v>
      </c>
      <c r="F32" s="4">
        <v>1341</v>
      </c>
    </row>
    <row r="33" ht="45" customHeight="1">
      <c r="A33" s="4" t="str">
        <v>AOW04: Governance, Institutions, Policy, and Inclusion</v>
      </c>
      <c r="B33" s="4" t="str">
        <v>CIP</v>
      </c>
      <c r="C33" s="4" t="str">
        <v>Senegal</v>
      </c>
      <c r="D33" s="4" t="str">
        <v>country</v>
      </c>
      <c r="E33" s="5">
        <v>0</v>
      </c>
      <c r="F33" s="4">
        <v>1342</v>
      </c>
    </row>
    <row r="34" ht="45" customHeight="1">
      <c r="A34" s="4" t="str">
        <v>AOW04: Governance, Institutions, Policy, and Inclusion</v>
      </c>
      <c r="B34" s="4" t="str">
        <v>CIP</v>
      </c>
      <c r="C34" s="4" t="str">
        <v>The Socialist Republic of Viet Nam</v>
      </c>
      <c r="D34" s="4" t="str">
        <v>country</v>
      </c>
      <c r="E34" s="5">
        <v>10</v>
      </c>
      <c r="F34" s="4">
        <v>1343</v>
      </c>
    </row>
    <row r="35" ht="45" customHeight="1">
      <c r="A35" s="4" t="str">
        <v>AOW04: Governance, Institutions, Policy, and Inclusion</v>
      </c>
      <c r="B35" s="4" t="str">
        <v>CIP</v>
      </c>
      <c r="C35" s="4" t="str">
        <v>Tunisia</v>
      </c>
      <c r="D35" s="4" t="str">
        <v>country</v>
      </c>
      <c r="E35" s="5">
        <v>10</v>
      </c>
      <c r="F35" s="4">
        <v>1344</v>
      </c>
    </row>
    <row r="36" ht="45" customHeight="1">
      <c r="A36" s="4" t="str">
        <v>AOW04: Governance, Institutions, Policy, and Inclusion</v>
      </c>
      <c r="B36" s="4" t="str">
        <v>CIP</v>
      </c>
      <c r="C36" s="4" t="str">
        <v>United Republic</v>
      </c>
      <c r="D36" s="4" t="str">
        <v>country</v>
      </c>
      <c r="E36" s="5">
        <v>0</v>
      </c>
      <c r="F36" s="4">
        <v>1345</v>
      </c>
    </row>
    <row r="37" ht="45" customHeight="1">
      <c r="A37" s="8" t="str">
        <v>AOW05: Performance Assessments &amp; Evidence Generation</v>
      </c>
      <c r="B37" s="4" t="str">
        <v>CIP</v>
      </c>
      <c r="C37" s="4" t="str">
        <v>Colombia</v>
      </c>
      <c r="D37" s="4" t="str">
        <v>country</v>
      </c>
      <c r="E37" s="5">
        <v>50</v>
      </c>
      <c r="F37" s="4">
        <v>1346</v>
      </c>
    </row>
    <row r="38" ht="45" customHeight="1">
      <c r="A38" s="4" t="str">
        <v>AOW05: Performance Assessments &amp; Evidence Generation</v>
      </c>
      <c r="B38" s="4" t="str">
        <v>CIP</v>
      </c>
      <c r="C38" s="4" t="str">
        <v>Peru</v>
      </c>
      <c r="D38" s="4" t="str">
        <v>country</v>
      </c>
      <c r="E38" s="5">
        <v>50</v>
      </c>
      <c r="F38" s="4">
        <v>1347</v>
      </c>
    </row>
    <row r="39" ht="45" customHeight="1">
      <c r="A39" s="4" t="str">
        <v>AOW05: Performance Assessments &amp; Evidence Generation</v>
      </c>
      <c r="B39" s="4" t="str">
        <v>CIP</v>
      </c>
      <c r="C39" s="4" t="str">
        <v>Tanzania</v>
      </c>
      <c r="D39" s="4" t="str">
        <v>country</v>
      </c>
      <c r="E39" s="5">
        <v>0</v>
      </c>
      <c r="F39" s="4">
        <v>1348</v>
      </c>
    </row>
  </sheetData>
  <mergeCells count="6">
    <mergeCell ref="A2:A15"/>
    <mergeCell ref="A16:A21"/>
    <mergeCell ref="A22:A24"/>
    <mergeCell ref="A25:A28"/>
    <mergeCell ref="A29:A36"/>
    <mergeCell ref="A37:A39"/>
  </mergeCells>
  <ignoredErrors>
    <ignoredError numberStoredAsText="1" sqref="A1:F39"/>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