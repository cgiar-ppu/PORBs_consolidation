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264428</v>
      </c>
      <c r="K4" s="5">
        <v>264428</v>
      </c>
      <c r="L4" s="5">
        <v>0</v>
      </c>
      <c r="M4" s="5">
        <v>0</v>
      </c>
      <c r="N4" s="4">
        <v>182</v>
      </c>
    </row>
    <row r="5" ht="20" customHeight="1">
      <c r="A5" s="4" t="str">
        <v>AOW01: Agroecology+ Solutions &amp; Innovations</v>
      </c>
      <c r="B5" s="5">
        <v>122</v>
      </c>
      <c r="C5" s="5">
        <v>367000</v>
      </c>
      <c r="D5" s="5">
        <v>12</v>
      </c>
      <c r="E5" s="5">
        <v>534500</v>
      </c>
      <c r="F5" s="5">
        <v>59</v>
      </c>
      <c r="G5" s="5">
        <v>190720</v>
      </c>
      <c r="H5" s="5">
        <v>50</v>
      </c>
      <c r="I5" s="5">
        <v>13000</v>
      </c>
      <c r="J5" s="5">
        <v>1105220</v>
      </c>
      <c r="K5" s="5">
        <v>1105220</v>
      </c>
      <c r="L5" s="5">
        <v>0</v>
      </c>
      <c r="M5" s="5">
        <v>0</v>
      </c>
      <c r="N5" s="4">
        <v>177</v>
      </c>
    </row>
    <row r="6" ht="20" customHeight="1">
      <c r="A6" s="4" t="str">
        <v>AOW02: Landscape Optimization and Inclusive Planning</v>
      </c>
      <c r="B6" s="5">
        <v>6</v>
      </c>
      <c r="C6" s="5">
        <v>261876</v>
      </c>
      <c r="D6" s="5">
        <v>24</v>
      </c>
      <c r="E6" s="5">
        <v>390889</v>
      </c>
      <c r="F6" s="5">
        <v>50</v>
      </c>
      <c r="G6" s="5">
        <v>40000</v>
      </c>
      <c r="H6" s="5">
        <v>5040</v>
      </c>
      <c r="I6" s="5">
        <v>141876</v>
      </c>
      <c r="J6" s="5">
        <v>834641</v>
      </c>
      <c r="K6" s="5">
        <v>834641</v>
      </c>
      <c r="L6" s="5">
        <v>11900</v>
      </c>
      <c r="M6" s="5">
        <v>0</v>
      </c>
      <c r="N6" s="4">
        <v>179</v>
      </c>
    </row>
    <row r="7" ht="20" customHeight="1">
      <c r="A7" s="4" t="str">
        <v>AOW03: Business Models, Markets, and Sustainable Finance</v>
      </c>
      <c r="B7" s="5">
        <v>6</v>
      </c>
      <c r="C7" s="5">
        <v>98418</v>
      </c>
      <c r="D7" s="5">
        <v>5</v>
      </c>
      <c r="E7" s="5">
        <v>93750</v>
      </c>
      <c r="F7" s="5">
        <v>60</v>
      </c>
      <c r="G7" s="5">
        <v>15000</v>
      </c>
      <c r="H7" s="5">
        <v>0</v>
      </c>
      <c r="I7" s="5">
        <v>0</v>
      </c>
      <c r="J7" s="5">
        <v>207168</v>
      </c>
      <c r="K7" s="5">
        <v>207168</v>
      </c>
      <c r="L7" s="5">
        <v>0</v>
      </c>
      <c r="M7" s="5">
        <v>0</v>
      </c>
      <c r="N7" s="4">
        <v>180</v>
      </c>
    </row>
    <row r="8" ht="20" customHeight="1">
      <c r="A8" s="4" t="str">
        <v>AOW04: Governance, Institutions, Policy, and Inclusion</v>
      </c>
      <c r="B8" s="5">
        <v>0</v>
      </c>
      <c r="C8" s="5">
        <v>0</v>
      </c>
      <c r="D8" s="5">
        <v>17</v>
      </c>
      <c r="E8" s="5">
        <v>97504</v>
      </c>
      <c r="F8" s="5">
        <v>0</v>
      </c>
      <c r="G8" s="5">
        <v>0</v>
      </c>
      <c r="H8" s="5">
        <v>20</v>
      </c>
      <c r="I8" s="5">
        <v>20000</v>
      </c>
      <c r="J8" s="5">
        <v>117504</v>
      </c>
      <c r="K8" s="5">
        <v>117504</v>
      </c>
      <c r="L8" s="5">
        <v>0</v>
      </c>
      <c r="M8" s="5">
        <v>0</v>
      </c>
      <c r="N8" s="4">
        <v>181</v>
      </c>
    </row>
    <row r="9" ht="20" customHeight="1">
      <c r="A9" s="4" t="str">
        <v>AOW05: Performance Assessments &amp; Evidence Generation</v>
      </c>
      <c r="B9" s="5">
        <v>13</v>
      </c>
      <c r="C9" s="5">
        <v>334765</v>
      </c>
      <c r="D9" s="5">
        <v>9</v>
      </c>
      <c r="E9" s="5">
        <v>326252</v>
      </c>
      <c r="F9" s="5">
        <v>30</v>
      </c>
      <c r="G9" s="5">
        <v>80752</v>
      </c>
      <c r="H9" s="5">
        <v>0</v>
      </c>
      <c r="I9" s="5">
        <v>0</v>
      </c>
      <c r="J9" s="5">
        <v>741769</v>
      </c>
      <c r="K9" s="5">
        <v>741769</v>
      </c>
      <c r="L9" s="5">
        <v>0</v>
      </c>
      <c r="M9" s="5">
        <v>0</v>
      </c>
      <c r="N9" s="4">
        <v>178</v>
      </c>
    </row>
    <row r="10" ht="25" customHeight="1">
      <c r="A10" s="6" t="str">
        <v>Total</v>
      </c>
      <c r="B10" s="7" t="str">
        <v/>
      </c>
      <c r="C10" s="7">
        <v>1062059</v>
      </c>
      <c r="D10" s="7" t="str">
        <v/>
      </c>
      <c r="E10" s="7">
        <v>1442895</v>
      </c>
      <c r="F10" s="7" t="str">
        <v/>
      </c>
      <c r="G10" s="7">
        <v>326472</v>
      </c>
      <c r="H10" s="7" t="str">
        <v/>
      </c>
      <c r="I10" s="7">
        <v>174876</v>
      </c>
      <c r="J10" s="7">
        <v>3270730</v>
      </c>
      <c r="K10" s="7">
        <v>3270730</v>
      </c>
      <c r="L10" s="7">
        <v>11900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6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Agroecology+ Solutions &amp; Innovations</v>
      </c>
      <c r="B3" s="4" t="str">
        <v>Bioversity (Alliance)</v>
      </c>
      <c r="C3" s="4" t="str">
        <v>OP 1.1.1. – Bundles of farm-level solutions</v>
      </c>
      <c r="D3" s="4" t="str" xml:space="preserve">
        <v xml:space="preserve">Deliverable - Beta version of a digital decision-support prototype capable of recommending synergistic crop combinations tailored to the region with scaling potential.
Indicator: Number of stakeholders trained on participatory agroecosystem planning</v>
      </c>
      <c r="E3" s="4" t="str">
        <v>Number of people trained (capacity sharing for development)</v>
      </c>
      <c r="F3" s="4" t="str">
        <v>India</v>
      </c>
      <c r="G3" s="5">
        <v>50</v>
      </c>
      <c r="H3" s="5">
        <v>40000</v>
      </c>
      <c r="I3" s="4" t="str">
        <v>.</v>
      </c>
      <c r="J3" s="4">
        <v>5453</v>
      </c>
    </row>
    <row r="4" ht="50" customHeight="1" xml:space="preserve">
      <c r="B4" s="4" t="str">
        <v>Bioversity (Alliance)</v>
      </c>
      <c r="D4" s="4" t="str" xml:space="preserve">
        <v xml:space="preserve">Deliverable - Soil Fertility Mapping and Baseline Establishment: Conduct soil fertility assessments and spatial mapping across target landscapes to establish baseline soil health indicators (e.g., soil organic carbon, pH, nitrogen, phosphorus, texture), and generate datasets and maps to inform agroecological planning and monitoring
Indicator: Number of living landscapes for which baseline datasets on soil fertility is collected from systematically designed samples</v>
      </c>
      <c r="E4" s="4" t="str">
        <v>Number of knowledge products</v>
      </c>
      <c r="F4" s="4" t="str">
        <v>Kenya, Colombia, Peru, Tanzania, United Republic, The Socialist Republic of Viet Nam, India</v>
      </c>
      <c r="G4" s="5">
        <v>3</v>
      </c>
      <c r="H4" s="5">
        <v>170000</v>
      </c>
      <c r="I4" s="4" t="str">
        <v>.</v>
      </c>
      <c r="J4" s="4">
        <v>5459</v>
      </c>
    </row>
    <row r="5" ht="50" customHeight="1" xml:space="preserve">
      <c r="B5" s="4" t="str">
        <v>Bioversity (Alliance)</v>
      </c>
      <c r="D5" s="4" t="str" xml:space="preserve">
        <v xml:space="preserve">Deliverable - Genetic Diversity Monitoring and Conservation System: Develop and implement a comprehensive system for monitoring, documenting, and conserving crop genetic diversity across landscapes, combining on-farm and genebank characterization, genetic gap analysis, farmer-led diversity documentation via an updated mobile app, and a decision-support dashboard for tracking diversity trends, supported by a community of practice and capacity-building resources for conservation practitioners 
Indicator: Number of Integrated Genetic Diversity Monitoring and Conservation Innovations for Roots NUS crops tested</v>
      </c>
      <c r="E5" s="4" t="str">
        <v>Number of innovations (innovation development)</v>
      </c>
      <c r="F5" s="4" t="str">
        <v>The Socialist Republic of Viet Nam, Peru, Colombia</v>
      </c>
      <c r="G5" s="5">
        <v>3</v>
      </c>
      <c r="H5" s="5">
        <v>222000</v>
      </c>
      <c r="I5" s="4" t="str">
        <v>.</v>
      </c>
      <c r="J5" s="4">
        <v>5463</v>
      </c>
    </row>
    <row r="6" ht="50" customHeight="1" xml:space="preserve">
      <c r="B6" s="4" t="str">
        <v>Bioversity (Alliance)</v>
      </c>
      <c r="D6" s="4" t="str" xml:space="preserve">
        <v xml:space="preserve">Deliverable - Capacity Strengthening on Opportunity Crop Improvement: Design and deliver training and technical support for NARS researchers on the improvement, evaluation, and scaling of opportunity crops suited to climate-resilient and nutrition-sensitive farming systems
Indicator: Number of assessments on opportunity crop improvement</v>
      </c>
      <c r="E6" s="4" t="str">
        <v>Number of knowledge products</v>
      </c>
      <c r="F6" s="4" t="str">
        <v>Kenya, Ethiopia</v>
      </c>
      <c r="G6" s="5">
        <v>2</v>
      </c>
      <c r="H6" s="5">
        <v>73000</v>
      </c>
      <c r="I6" s="4" t="str">
        <v>.</v>
      </c>
      <c r="J6" s="4">
        <v>5470</v>
      </c>
    </row>
    <row r="7" ht="50" customHeight="1" xml:space="preserve">
      <c r="B7" s="4" t="str">
        <v>Bioversity (Alliance)</v>
      </c>
      <c r="D7" s="4" t="str" xml:space="preserve">
        <v xml:space="preserve">Deliverable -   Community Seed and Beneficial Microorganism Banks for Banana Production: Establish and support community-managed seed and beneficial microorganism banks (AMF, Rhizobium, Trichoderma) linked to banana production systems, including selection and matching of microbial strains to specific banana varieties, to improve soil health, reduce external input dependency, and enhance yield and plant resilience.
Indicator: Number of new community seed and beneficial micro -organisms banks established</v>
      </c>
      <c r="E7" s="4" t="str">
        <v>Number of innovations (innovation development)</v>
      </c>
      <c r="F7" s="4" t="str">
        <v>The Socialist Republic of Viet Nam, Colombia, Peru</v>
      </c>
      <c r="G7" s="5">
        <v>3</v>
      </c>
      <c r="H7" s="5">
        <v>35500</v>
      </c>
      <c r="I7" s="4" t="str">
        <v>.</v>
      </c>
      <c r="J7" s="4">
        <v>5474</v>
      </c>
    </row>
    <row r="8" ht="50" customHeight="1" xml:space="preserve">
      <c r="B8" s="4" t="str">
        <v>Bioversity (Alliance)</v>
      </c>
      <c r="D8" s="4" t="str" xml:space="preserve">
        <v xml:space="preserve">Deliverable - Support for Development and Strengthening of Aggregate Farms in Kenya: Provide technical, environmental, and organizational support to strengthen the functioning, sustainability, and learning role of aggregate farms in Kenya, enabling them to serve as local hubs for demonstration, farmer training, and integrated agroecology practice scaling
Indicator: Number of households reached with aggregated farms innovation bundles in Kenya</v>
      </c>
      <c r="E8" s="4" t="str">
        <v>Number of people trained (capacity sharing for development)</v>
      </c>
      <c r="F8" s="4" t="str">
        <v>Kenya</v>
      </c>
      <c r="G8" s="5">
        <v>5</v>
      </c>
      <c r="H8" s="5">
        <v>130720</v>
      </c>
      <c r="I8" s="4" t="str">
        <v>.</v>
      </c>
      <c r="J8" s="4">
        <v>5480</v>
      </c>
    </row>
    <row r="9" ht="50" customHeight="1" xml:space="preserve">
      <c r="B9" s="4" t="str">
        <v>Bioversity (Alliance)</v>
      </c>
      <c r="D9" s="4" t="str" xml:space="preserve">
        <v xml:space="preserve">Deliverable - Pollinators, Biocontrol, and Bioformulations for Eco-Intensification: Assess and promote pollinator diversity, beneficial insects, and bioformulation-based pest and disease management to enhance productivity, reduce chemical dependency, and strengthen ecosystem health within integrated agroecological farming systems. 
Indicator: Number of Households testing protocols for managing pollination services and biocontrol of pests</v>
      </c>
      <c r="E9" s="4" t="str">
        <v>custom</v>
      </c>
      <c r="F9" s="4" t="str">
        <v>India</v>
      </c>
      <c r="G9" s="5">
        <v>50</v>
      </c>
      <c r="H9" s="5">
        <v>13000</v>
      </c>
      <c r="I9" s="4" t="str">
        <v>.</v>
      </c>
      <c r="J9" s="4">
        <v>7503</v>
      </c>
    </row>
    <row r="10" ht="50" customHeight="1" xml:space="preserve">
      <c r="B10" s="4" t="str">
        <v>Bioversity (Alliance)</v>
      </c>
      <c r="D10" s="4" t="str" xml:space="preserve">
        <v xml:space="preserve">Deliverable - New community seed - tree banks established and existing ones strengthened organizationally, infrastructurally and technically
Indicator: Number of community seed - tree banks established / strengthened</v>
      </c>
      <c r="E10" s="4" t="str">
        <v>Number of innovations (innovation development)</v>
      </c>
      <c r="F10" s="4" t="str">
        <v>Colombia, India, The Socialist Republic of Viet Nam, Kenya, Lao People's Democratic Republic, Peru</v>
      </c>
      <c r="G10" s="5">
        <v>16</v>
      </c>
      <c r="H10" s="5">
        <v>71500</v>
      </c>
      <c r="I10" s="4" t="str">
        <v>.</v>
      </c>
      <c r="J10" s="4">
        <v>7512</v>
      </c>
    </row>
    <row r="11" ht="50" customHeight="1" xml:space="preserve">
      <c r="B11" s="4" t="str">
        <v>Bioversity (Alliance)</v>
      </c>
      <c r="D11" s="4" t="str" xml:space="preserve">
        <v xml:space="preserve">Deliverable: Scale participatory Mother–Baby Trials across diverse agro-ecologies, engaging large farmer cohorts to evaluate native varieties under real field conditions; Institutionalize TRICOT-based farmer ranking, ensuring inclusive participation of women and amallholders for decentralized varietal assessment; Deploy digital, geo-tagged data systems with strong quality assurance to generate real-time, reliable trial datasets and   Deliver evidence-based varietal recommendations using robust, gender-disaggregated insights, and integrate them into seed systems via institutional and community partnership
Indicator: Number of Mother–Baby Trials of 100 varieties of 6-8 food crops</v>
      </c>
      <c r="E11" s="4" t="str">
        <v>Number of innovations (innovation development)</v>
      </c>
      <c r="F11" s="4" t="str">
        <v>India</v>
      </c>
      <c r="G11" s="5">
        <v>100</v>
      </c>
      <c r="H11" s="5">
        <v>38000</v>
      </c>
      <c r="I11" s="4" t="str">
        <v>.</v>
      </c>
      <c r="J11" s="4">
        <v>7518</v>
      </c>
    </row>
    <row r="12" ht="50" customHeight="1" xml:space="preserve">
      <c r="B12" s="4" t="str">
        <v>Bioversity (Alliance)</v>
      </c>
      <c r="D12" s="4" t="str" xml:space="preserve">
        <v xml:space="preserve">Deliverable - Community seed banks, seed producer networks, and tree nurseries strengthened as locally embedded platforms for planting material delivery, agrobiodiversity conservation, climate resilience, knowledge exchange and farmer-led experimentation - ensuring that the diverse planting material that multifunctional landscapes require reaches the right people, in the right quantities, at the right time.
Indicator: Number of community seed banks, seed producer networks, and tree nurseries strengthened </v>
      </c>
      <c r="E12" s="4" t="str">
        <v>Number of people trained (capacity sharing for development)</v>
      </c>
      <c r="F12" s="4" t="str">
        <v>India, Colombia, Lao People's Democratic Republic, The Socialist Republic of Viet Nam</v>
      </c>
      <c r="G12" s="5">
        <v>4</v>
      </c>
      <c r="H12" s="5">
        <v>20000</v>
      </c>
      <c r="I12" s="4" t="str">
        <v>.</v>
      </c>
      <c r="J12" s="4">
        <v>8151</v>
      </c>
    </row>
    <row r="13" ht="50" customHeight="1" xml:space="preserve">
      <c r="A13" s="4" t="str">
        <v>AOW01: Agroecology+ Solutions &amp; Innovations</v>
      </c>
      <c r="B13" s="4" t="str">
        <v>Bioversity (Alliance)</v>
      </c>
      <c r="C13" s="4" t="str">
        <v>OP 1.2.5. – Nutrition-sensitive innovations</v>
      </c>
      <c r="D13" s="4" t="str" xml:space="preserve">
        <v xml:space="preserve">Deliverable - Co-develop a context-specific BCC and nutrition education strategy with landscape partners to improve household and individual dietary behaviors, and the use of locally available nutrient-rich foods. 
Indicator: Number of evidence-based BCC strategies for nutrition education</v>
      </c>
      <c r="E13" s="4" t="str">
        <v>Number of knowledge products</v>
      </c>
      <c r="F13" s="4" t="str">
        <v>Kenya</v>
      </c>
      <c r="G13" s="5">
        <v>1</v>
      </c>
      <c r="H13" s="5">
        <v>106500</v>
      </c>
      <c r="I13" s="4" t="str">
        <v>.</v>
      </c>
      <c r="J13" s="4">
        <v>5496</v>
      </c>
    </row>
    <row r="14" ht="50" customHeight="1" xml:space="preserve">
      <c r="B14" s="4" t="str">
        <v>Bioversity (Alliance)</v>
      </c>
      <c r="D14" s="4" t="str" xml:space="preserve">
        <v xml:space="preserve">Deliverable - Healthy-diet consumption datasets and tri-country report: compile, harmonize and publish MFL living lab representative food-consumption microdata for Kenya, VietNam and Colombia and a comparative analytical report to inform policy.  
Indicator: Number of standardized diet/affordability indicators harmonized across countries complemented with a tri-country comparative report</v>
      </c>
      <c r="E14" s="4" t="str">
        <v>Number of knowledge products</v>
      </c>
      <c r="F14" s="4" t="str">
        <v>The Socialist Republic of Viet Nam, Colombia, Kenya</v>
      </c>
      <c r="G14" s="5">
        <v>4</v>
      </c>
      <c r="H14" s="5">
        <v>115000</v>
      </c>
      <c r="I14" s="4" t="str">
        <v>.</v>
      </c>
      <c r="J14" s="4">
        <v>5497</v>
      </c>
    </row>
    <row r="15" ht="50" customHeight="1" xml:space="preserve">
      <c r="A15" s="4" t="str">
        <v>AOW01: Agroecology+ Solutions &amp; Innovations</v>
      </c>
      <c r="B15" s="4" t="str">
        <v>Bioversity (Alliance)</v>
      </c>
      <c r="C15" s="4" t="str">
        <v>OP 1.1.3. – Common pool resource bundles</v>
      </c>
      <c r="D15" s="4" t="str" xml:space="preserve">
        <v xml:space="preserve">Deliverable - Broaden the biodiversity baseline using eDNA methods already used in Colombia and Kenya
Indicator: Number of e-DNA samples collected</v>
      </c>
      <c r="E15" s="4" t="str">
        <v>Number of knowledge products</v>
      </c>
      <c r="F15" s="4" t="str">
        <v>The Socialist Republic of Viet Nam, India</v>
      </c>
      <c r="G15" s="5">
        <v>2</v>
      </c>
      <c r="H15" s="5">
        <v>70000</v>
      </c>
      <c r="I15" s="4" t="str">
        <v>.</v>
      </c>
      <c r="J15" s="4">
        <v>7502</v>
      </c>
    </row>
    <row r="16" ht="25" customHeight="1">
      <c r="C16" s="9" t="str">
        <v>HLO budget subtotal</v>
      </c>
      <c r="H16" s="9">
        <v>1105220</v>
      </c>
      <c r="J16" s="9" t="str">
        <v/>
      </c>
    </row>
    <row r="17" ht="50" customHeight="1">
      <c r="A17" s="8" t="str">
        <v>AOW02: Landscape Optimization and Inclusive Planning</v>
      </c>
      <c r="B17" s="4" t="str">
        <v>Bioversity (Alliance)</v>
      </c>
      <c r="C17" s="4" t="str">
        <v>OP 2.2.3. – Integrated planning &amp; scenarios</v>
      </c>
      <c r="D17" s="4" t="str">
        <v>Number of recommended interventions (e.g., restoration, agroecology, conservation, water investments) that are spatially targeted using the optimized scenarios in target landscapes</v>
      </c>
      <c r="E17" s="4" t="str">
        <v>Number of innovations (innovation development)</v>
      </c>
      <c r="F17" s="4" t="str">
        <v>Tunisia, Ethiopia, India, Senegal, Lao People's Democratic Republic, Cambodia, Peru, Tanzania, United Republic, The Socialist Republic of Viet Nam, Kenya, Colombia, Zimbabwe, Côte d'Ivoire</v>
      </c>
      <c r="G17" s="5">
        <v>3</v>
      </c>
      <c r="H17" s="5">
        <v>0</v>
      </c>
      <c r="I17" s="4" t="str">
        <v/>
      </c>
      <c r="J17" s="4">
        <v>5237</v>
      </c>
    </row>
    <row r="18" ht="50" customHeight="1" xml:space="preserve">
      <c r="B18" s="4" t="str">
        <v>Bioversity (Alliance)</v>
      </c>
      <c r="D18" s="4" t="str" xml:space="preserve">
        <v xml:space="preserve">Deliverable - Stakeholder Engagement and Capacity Strengthening for MyFarmTrees Implementation: Engage and build capacity among government agencies, extension services, producer organizations, and value chain actors to support coordinated, scalable implementation of MyFarmTrees, through practitioner training, cross-learning platforms, and integration of best practices into policy, planning, and reporting systems.
Indicator: Number of stakeholders involved in MyFarmTrees capacity building</v>
      </c>
      <c r="E18" s="4" t="str">
        <v>Number of people trained (capacity sharing for development)</v>
      </c>
      <c r="F18" s="4" t="str">
        <v>Kenya, India, Ethiopia</v>
      </c>
      <c r="G18" s="5">
        <v>50</v>
      </c>
      <c r="H18" s="5">
        <v>40000</v>
      </c>
      <c r="I18" s="4" t="str">
        <v>.</v>
      </c>
      <c r="J18" s="4">
        <v>5249</v>
      </c>
    </row>
    <row r="19" ht="50" customHeight="1" xml:space="preserve">
      <c r="B19" s="4" t="str">
        <v>Bioversity (Alliance)</v>
      </c>
      <c r="D19" s="4" t="str" xml:space="preserve">
        <v xml:space="preserve">Deliverable – Integration of MyFarmTrees into Citizen Science for Monitoring Tree-Based Restoration Outcomes: Support and coordinate the integration of the MyFarmTrees platform across centres and national partners as a shared citizen science approach for monitoring tree-based restoration outcomes at farm and landscape levels. Building on ongoing restoration activities (seed collection, community nurseries, tree planting, and survival verification), this deliverable will focus on enabling centres to systematically use MyFarmTrees as a standardized digital tool to capture, verify, and analyse restoration data through farmer and community engagement. Key components include: Facilitating cross-centre adoption of MyFarmTrees, including training and harmonization of data collection protocols, Embedding citizen science approaches, enabling farmers, extension agents, and local stakeholders to record restoration activities, survival rates, and landscape changes, Standardizing data capture across centres, including georeferenced plots, species selection, nursery sources, and survival monitoring, Strengthening integration with supply chains and incentive mechanisms, linking restoration performance to payments and verification systems, Generating landscape-level insights on restoration outcomes to inform planning (AoW2) and monitoring frameworks (AoW5)"
Indicator: Number of hectares monitored by MyFarmTrees</v>
      </c>
      <c r="E19" s="4" t="str">
        <v>custom</v>
      </c>
      <c r="F19" s="4" t="str">
        <v>Ethiopia, Kenya, Colombia, India</v>
      </c>
      <c r="G19" s="5">
        <v>5000</v>
      </c>
      <c r="H19" s="5">
        <v>33000</v>
      </c>
      <c r="I19" s="4" t="str">
        <v>.</v>
      </c>
      <c r="J19" s="4">
        <v>5250</v>
      </c>
    </row>
    <row r="20" ht="50" customHeight="1" xml:space="preserve">
      <c r="B20" s="4" t="str">
        <v>Bioversity (Alliance)</v>
      </c>
      <c r="D20" s="4" t="str" xml:space="preserve">
        <v xml:space="preserve">Deliverable - Digital Infrastructure and Incentive Mechanisms for MyFarmTrees: Develop and enhance MyFarmTrees digital platform functionalities to support traceable restoration incentives, including digital payment systems, farmer-facing loan or credit mechanisms linked to verified restoration outcomes, and dashboards that enable transparent reporting and blended 
Indicator: Number of stakeholder gorups piloting MyFarmTrees including farmers and financial or value-chain partners</v>
      </c>
      <c r="E20" s="4" t="str">
        <v>custom</v>
      </c>
      <c r="F20" s="4" t="str">
        <v>Colombia, Kenya, Ethiopia, India</v>
      </c>
      <c r="G20" s="5">
        <v>15</v>
      </c>
      <c r="H20" s="5">
        <v>52000</v>
      </c>
      <c r="I20" s="4" t="str">
        <v>.</v>
      </c>
      <c r="J20" s="4">
        <v>5251</v>
      </c>
    </row>
    <row r="21" ht="50" customHeight="1" xml:space="preserve">
      <c r="B21" s="4" t="str">
        <v>Bioversity (Alliance)</v>
      </c>
      <c r="D21" s="4" t="str" xml:space="preserve">
        <v xml:space="preserve">Deliverable - Design Support for Diverse Agroforestry Systems (D4A): Develop and apply design tools, spatial guidance, and practice bundles for diverse agroforestry systems that integrate trees, crops, and livestock in multifunctional landscapes, tailored to local ecological conditions and farmer livelihood objectives.
Indicator: Number of innovations supporting integration of agroforestry systems in multifunctional landscapes</v>
      </c>
      <c r="E21" s="4" t="str">
        <v>Number of innovations (innovation development)</v>
      </c>
      <c r="F21" s="4" t="str">
        <v>India, Colombia, Ethiopia, Peru</v>
      </c>
      <c r="G21" s="5">
        <v>2</v>
      </c>
      <c r="H21" s="5">
        <v>120000</v>
      </c>
      <c r="I21" s="4" t="str">
        <v>.</v>
      </c>
      <c r="J21" s="4">
        <v>5252</v>
      </c>
    </row>
    <row r="22" ht="50" customHeight="1" xml:space="preserve">
      <c r="B22" s="4" t="str">
        <v>Bioversity (Alliance)</v>
      </c>
      <c r="D22" s="4" t="str" xml:space="preserve">
        <v xml:space="preserve">Deliverable - Spatial Decision-Support System for Landscape Multifunctionality: Develop and deploy a spatially explicit land-use management and optimization tool that identifies where different restoration, conservation, production, agroforestry, and soil–water management solutions should be implemented across the landscape to maximize multifunctionality under current and future conditions
Indicator: Number of Spatial land-use optimization DST</v>
      </c>
      <c r="E22" s="4" t="str">
        <v>Number of innovations (innovation development)</v>
      </c>
      <c r="F22" s="4" t="str">
        <v>India, The Socialist Republic of Viet Nam, Kenya, Ethiopia</v>
      </c>
      <c r="G22" s="5">
        <v>1</v>
      </c>
      <c r="H22" s="5">
        <v>21876</v>
      </c>
      <c r="I22" s="4" t="str">
        <v>.</v>
      </c>
      <c r="J22" s="4">
        <v>5253</v>
      </c>
    </row>
    <row r="23" ht="50" customHeight="1" xml:space="preserve">
      <c r="B23" s="4" t="str">
        <v>Bioversity (Alliance)</v>
      </c>
      <c r="D23" s="4" t="str" xml:space="preserve">
        <v xml:space="preserve">Deliverable - Living Landscape Lab Validation and Learning Reports: Conduct participatory validation of MFL solution bundles in Living Landscapes using digital data collection, monitoring, and visualization tools, and produce learning reports that capture performance, adoption barriers, stakeholder feedback, and recommendations for scaling
Indicator: Number of stakeholder groups involved in  Living Landscape validation using digital tools</v>
      </c>
      <c r="E23" s="4" t="str">
        <v>custom</v>
      </c>
      <c r="F23" s="4" t="str">
        <v>Kenya, India, The Socialist Republic of Viet Nam, Ethiopia</v>
      </c>
      <c r="G23" s="5">
        <v>10</v>
      </c>
      <c r="H23" s="5">
        <v>21876</v>
      </c>
      <c r="I23" s="4" t="str">
        <v>.</v>
      </c>
      <c r="J23" s="4">
        <v>5254</v>
      </c>
    </row>
    <row r="24" ht="50" customHeight="1" xml:space="preserve">
      <c r="B24" s="4" t="str">
        <v>Bioversity (Alliance)</v>
      </c>
      <c r="D24" s="4" t="str" xml:space="preserve">
        <v xml:space="preserve">Deliverable - Market-Conform Biodiversity and Agrobiodiversity Credit Protocols:      Market conform draft protocols for biodiversity and agrobiodiversity credits tailored to agricultural landscapes and smallholder capacities
Indicator: Number of protocols for biodiversity and agrobiodiversity credits drafted</v>
      </c>
      <c r="E24" s="4" t="str">
        <v>Number of knowledge products</v>
      </c>
      <c r="F24" s="4" t="str">
        <v>Colombia, Peru</v>
      </c>
      <c r="G24" s="5">
        <v>2</v>
      </c>
      <c r="H24" s="5">
        <v>60594</v>
      </c>
      <c r="I24" s="4" t="str">
        <v>.</v>
      </c>
      <c r="J24" s="4">
        <v>5257</v>
      </c>
    </row>
    <row r="25" ht="50" customHeight="1" xml:space="preserve">
      <c r="B25" s="4" t="str">
        <v>Bioversity (Alliance)</v>
      </c>
      <c r="D25" s="4" t="str" xml:space="preserve">
        <v xml:space="preserve">Deliverable - Decision-support for Climate-Smart Tree Species Selection: Decision support tool (D4R) tailored and deployed to identify suitable tree and shrub species for restoration under current and future climate conditions, integrating ecological, socio-economic, and land-use information to guide landscape restoration planning
Indicator: Number of decision support tools developed for tree and shrub restoration</v>
      </c>
      <c r="E25" s="4" t="str">
        <v>Number of knowledge products</v>
      </c>
      <c r="F25" s="4" t="str">
        <v>Peru, India, Ethiopia, Colombia</v>
      </c>
      <c r="G25" s="5">
        <v>4</v>
      </c>
      <c r="H25" s="5">
        <v>110000</v>
      </c>
      <c r="I25" s="4" t="str">
        <v>.</v>
      </c>
      <c r="J25" s="4">
        <v>5366</v>
      </c>
    </row>
    <row r="26" ht="50" customHeight="1" xml:space="preserve">
      <c r="B26" s="4" t="str">
        <v>Bioversity (Alliance)</v>
      </c>
      <c r="D26" s="4" t="str" xml:space="preserve">
        <v xml:space="preserve">Deliverable - Integrated Aquatic Resource and Land Management Planning: Support the integrated planning and optimization of land and aquatic resource use in acquatic landscape and seascapes by developing management strategies for rivers, reservoirs, ponds, wetlands, and associated agro-aquatic production systems, to enhance water security, ecosystem health, fisheries productivity, and community livelihoods.
Indicator: Number of stakeholder groups involved in planning aquatic ecosystem for integration in land use planning in Mandla, India</v>
      </c>
      <c r="E26" s="4" t="str">
        <v>custom</v>
      </c>
      <c r="F26" s="4" t="str">
        <v>India</v>
      </c>
      <c r="G26" s="5">
        <v>15</v>
      </c>
      <c r="H26" s="5">
        <v>35000</v>
      </c>
      <c r="I26" s="4" t="str">
        <v>.</v>
      </c>
      <c r="J26" s="4">
        <v>7677</v>
      </c>
    </row>
    <row r="27" ht="50" customHeight="1" xml:space="preserve">
      <c r="B27" s="4" t="str">
        <v>Bioversity (Alliance)</v>
      </c>
      <c r="D27" s="4" t="str" xml:space="preserve">
        <v xml:space="preserve">Deliverable: AI-based Trade-off Modelling for Ecosystem Service Optimization in Living Landscapes
Indicator: Number of AI enabled optimization models for key ecosystem service tradeoffs for each living landscape</v>
      </c>
      <c r="E27" s="4" t="str">
        <v>Number of innovations (innovation development)</v>
      </c>
      <c r="F27" s="4" t="str">
        <v>India, Kenya</v>
      </c>
      <c r="G27" s="5">
        <v>2</v>
      </c>
      <c r="H27" s="5">
        <v>70000</v>
      </c>
      <c r="I27" s="4" t="str">
        <v>.</v>
      </c>
      <c r="J27" s="4">
        <v>7732</v>
      </c>
    </row>
    <row r="28" ht="50" customHeight="1" xml:space="preserve">
      <c r="A28" s="4" t="str">
        <v>AOW02: Landscape Optimization and Inclusive Planning</v>
      </c>
      <c r="B28" s="4" t="str">
        <v>Bioversity (Alliance)</v>
      </c>
      <c r="C28" s="4" t="str">
        <v>OP 2.2.4. – Digital Twins for foresight</v>
      </c>
      <c r="D28" s="4" t="str" xml:space="preserve">
        <v xml:space="preserve">Deliverable - Co-Design of a Living Landscape Digital Twin Prototype Framework: Co-design a targeted Digital Twin prototype for at least one MFL Living Landscape, defining priority decision use-cases, required data streams and models, system architecture, and user interaction workflows to support landscape planning and adaptive management.
Indicator: Number of digital twin landscape prototypes designed</v>
      </c>
      <c r="E28" s="4" t="str">
        <v>Number of innovations (innovation development)</v>
      </c>
      <c r="F28" s="4" t="str">
        <v>Kenya, Ethiopia, India</v>
      </c>
      <c r="G28" s="5">
        <v>1</v>
      </c>
      <c r="H28" s="5">
        <v>50000</v>
      </c>
      <c r="I28" s="4" t="str">
        <v>.</v>
      </c>
      <c r="J28" s="4">
        <v>5305</v>
      </c>
    </row>
    <row r="29" ht="50" customHeight="1" xml:space="preserve">
      <c r="B29" s="4" t="str">
        <v>Bioversity (Alliance)</v>
      </c>
      <c r="D29" s="4" t="str" xml:space="preserve">
        <v xml:space="preserve">Deliverable - Biodiversity Data Integration and Digital Twin Infrastructure Co-Design for MFL Living Landscapes: Map and integrate biodiversity data blocks for selected MFL Living Landscapes and co-design the Digital Twin data and analytics architecture, combining real-time field monitoring, eDNA sampling, bioacoustic biodiversity detection, and integrated threat analysis to enable dynamic landscape health assessment and decision support.
Indicator: Number of publications, maps or datasets on Digital Twin infrastructure</v>
      </c>
      <c r="E29" s="4" t="str">
        <v>Number of knowledge products</v>
      </c>
      <c r="F29" s="4" t="str">
        <v>India, Ethiopia, Kenya</v>
      </c>
      <c r="G29" s="5">
        <v>2</v>
      </c>
      <c r="H29" s="5">
        <v>27710</v>
      </c>
      <c r="I29" s="4" t="str">
        <v>.</v>
      </c>
      <c r="J29" s="4">
        <v>5306</v>
      </c>
    </row>
    <row r="30" ht="50" customHeight="1" xml:space="preserve">
      <c r="B30" s="4" t="str">
        <v>Bioversity (Alliance)</v>
      </c>
      <c r="D30" s="4" t="str" xml:space="preserve">
        <v xml:space="preserve">Deliverable - Position Paper on the Role of Digital Twins in Multifunctional Landscape Planning: Develop a position paper articulating how Landscape Digital Twins can support the design, planning, and adaptive management of Multifunctional Landscapes (MFLs), including conceptual frameworks, use cases, data/model integration pathways, governance considerations, and recommendations for phased implementation
Indicator: Number of position papers on Digital Twins for design and planning</v>
      </c>
      <c r="E30" s="4" t="str">
        <v>Number of knowledge products</v>
      </c>
      <c r="F30" s="4" t="str">
        <v>India, Kenya, Ethiopia</v>
      </c>
      <c r="G30" s="5">
        <v>1</v>
      </c>
      <c r="H30" s="5">
        <v>25000</v>
      </c>
      <c r="I30" s="4" t="str">
        <v>.</v>
      </c>
      <c r="J30" s="4">
        <v>5307</v>
      </c>
    </row>
    <row r="31" ht="50" customHeight="1" xml:space="preserve">
      <c r="B31" s="4" t="str">
        <v>Bioversity (Alliance)</v>
      </c>
      <c r="D31" s="4" t="str" xml:space="preserve">
        <v xml:space="preserve">Deliverable: Coordinated Data Readiness and Needs Assessment for Multifunctional Landscape Digital Twins Across Three Landscapes
Conduct a structured and coordinated data readiness and needs assessment across three representative MFL Living Landscapes, with a strong focus on aligning and harmonizing data collection, integration, and governance across centres and national partners to support Digital Twin development.
Indicator: Number of publications, maps or datasets on user needs assessments or data blocks for digital twins
</v>
      </c>
      <c r="E31" s="4" t="str">
        <v>Number of knowledge products</v>
      </c>
      <c r="F31" s="4" t="str">
        <v>Ethiopia, India, Kenya</v>
      </c>
      <c r="G31" s="5">
        <v>3</v>
      </c>
      <c r="H31" s="5">
        <v>64500</v>
      </c>
      <c r="I31" s="4" t="str">
        <v>.</v>
      </c>
      <c r="J31" s="4">
        <v>5308</v>
      </c>
    </row>
    <row r="32" ht="50" customHeight="1" xml:space="preserve">
      <c r="A32" s="4" t="str">
        <v>AOW02: Landscape Optimization and Inclusive Planning</v>
      </c>
      <c r="B32" s="4" t="str">
        <v>Bioversity (Alliance)</v>
      </c>
      <c r="C32" s="4" t="str">
        <v>OP 2.1.1. – Hotspot mapping &amp; characterization</v>
      </c>
      <c r="D32" s="4" t="str" xml:space="preserve">
        <v xml:space="preserve">Deliverable - Prioritization Framework for Regenerative Investments: Develop criteria for prioritizing landscape restoration and conservation investments using indicators of degradation magnitude, soil loss tolerance, diet nutrient deficiency and biodiversity loss, and socioeconomic vulnerability.
Indicator: Number of prioritization frameworks for regenerative investments</v>
      </c>
      <c r="E32" s="4" t="str">
        <v>Number of knowledge products</v>
      </c>
      <c r="F32" s="4" t="str">
        <v>Ethiopia, Kenya, India</v>
      </c>
      <c r="G32" s="5">
        <v>1</v>
      </c>
      <c r="H32" s="5">
        <v>49000</v>
      </c>
      <c r="I32" s="4" t="str">
        <v>.</v>
      </c>
      <c r="J32" s="4">
        <v>5361</v>
      </c>
    </row>
    <row r="33" ht="50" customHeight="1" xml:space="preserve">
      <c r="B33" s="4" t="str">
        <v>Bioversity (Alliance)</v>
      </c>
      <c r="D33" s="4" t="str" xml:space="preserve">
        <v xml:space="preserve">Deliverable - Knowledge Products and Community of Practice (CoP) on Digital Tools: Develop and maintain a Community of Practice that connects researchers, practitioners, extension actors, and local partners on the co-development, use, and scaling of digital tools in MFL Living Landscapes, supported by knowledge products such as guidelines, training modules, user manuals, demonstration videos, case studies, and adaptive learning exchanges.
Indicator: Number of documented CoP exchanges on digital tools in support of MFL Living Landscapes</v>
      </c>
      <c r="E33" s="4" t="str">
        <v>Number of knowledge products</v>
      </c>
      <c r="F33" s="4" t="str">
        <v>Kenya, India</v>
      </c>
      <c r="G33" s="5">
        <v>10</v>
      </c>
      <c r="H33" s="5">
        <v>25000</v>
      </c>
      <c r="I33" s="4" t="str">
        <v>.</v>
      </c>
      <c r="J33" s="4">
        <v>5364</v>
      </c>
    </row>
    <row r="34" ht="50" customHeight="1" xml:space="preserve">
      <c r="B34" s="4" t="str">
        <v>Bioversity (Alliance)</v>
      </c>
      <c r="D34" s="4" t="str" xml:space="preserve">
        <v xml:space="preserve">Deliverable - Soundscape-Based Biodiversity Indicator Framework for Agroecological and Restored Landscapes: Co-develop and pilot a soundscape-based biodiversity monitoring framework in Kenya and India, using bioacoustic data to assess species presence, community composition, ecosystem acoustic activity, and ecological recovery in agroecological and restoration landscapes
Indicator: Number of soundscape-based biodiversity indicator frameworks tested</v>
      </c>
      <c r="E34" s="4" t="str">
        <v>Number of knowledge products</v>
      </c>
      <c r="F34" s="4" t="str">
        <v>India, Kenya</v>
      </c>
      <c r="G34" s="5">
        <v>1</v>
      </c>
      <c r="H34" s="5">
        <v>23993</v>
      </c>
      <c r="I34" s="4" t="str">
        <v>.</v>
      </c>
      <c r="J34" s="4">
        <v>5371</v>
      </c>
    </row>
    <row r="35" ht="50" customHeight="1" xml:space="preserve">
      <c r="B35" s="4" t="str">
        <v>Bioversity (Alliance)</v>
      </c>
      <c r="D35" s="4" t="str" xml:space="preserve">
        <v xml:space="preserve">Forest-Fish-Food (Triple F): Common methods and science background for the community-based action-research component 
Indicator: Number action research plans based on standardized and co-defined protocols (research-action methodological compendium) and co-identified local resilience options using the SES framework modules (Fish-forest-food) at the landscape level.</v>
      </c>
      <c r="E35" s="4" t="str">
        <v>Number of knowledge products</v>
      </c>
      <c r="F35" s="4" t="str">
        <v>Ethiopia, Peru</v>
      </c>
      <c r="G35" s="5">
        <v>0</v>
      </c>
      <c r="H35" s="5">
        <v>5092</v>
      </c>
      <c r="I35" s="4" t="str" xml:space="preserve">
        <v xml:space="preserve">Alliance budget for this deliverable in Ethiopia allocated in CIAT entity.
</v>
      </c>
      <c r="J35" s="4">
        <v>8396</v>
      </c>
    </row>
    <row r="36" ht="25" customHeight="1">
      <c r="C36" s="9" t="str">
        <v>HLO budget subtotal</v>
      </c>
      <c r="H36" s="9">
        <v>834641</v>
      </c>
      <c r="J36" s="9" t="str">
        <v/>
      </c>
    </row>
    <row r="37" ht="50" customHeight="1" xml:space="preserve">
      <c r="A37" s="8" t="str">
        <v>AOW03: Business Models, Markets, and Sustainable Finance</v>
      </c>
      <c r="B37" s="4" t="str">
        <v>Bioversity (Alliance)</v>
      </c>
      <c r="C37" s="4" t="str">
        <v>OP 3.2.2. Inclusive business models</v>
      </c>
      <c r="D37" s="4" t="str" xml:space="preserve">
        <v xml:space="preserve">Deliverable - Market Study to Enhance Local Crop Diversity and Market Access for Indigenous Rice Varieties: Enhancing Local Crop Diversity and Market Access in Maharashtra - market study of local rice varieties
Indicator: Number of market study of local rice varieties</v>
      </c>
      <c r="E37" s="4" t="str">
        <v>Number of knowledge products</v>
      </c>
      <c r="F37" s="4" t="str">
        <v>India</v>
      </c>
      <c r="G37" s="5">
        <v>1</v>
      </c>
      <c r="H37" s="5">
        <v>29500</v>
      </c>
      <c r="I37" s="4" t="str">
        <v>.</v>
      </c>
      <c r="J37" s="4">
        <v>5412</v>
      </c>
    </row>
    <row r="38" ht="50" customHeight="1" xml:space="preserve">
      <c r="B38" s="4" t="str">
        <v>Bioversity (Alliance)</v>
      </c>
      <c r="D38" s="4" t="str" xml:space="preserve">
        <v xml:space="preserve">Deliverable - Business Model for Market Integration of Local and Indigenous Fruits and Vegetables: Co-development of a business model for the sustainable market integration of local and indigenous fruits and vegetables from agroecological landscapes in Vietnam.
Indicator: Number of business models co-developed for sustainable market integration of local and indigenous fruits and vegetables</v>
      </c>
      <c r="E38" s="4" t="str">
        <v>Number of innovations (innovation development)</v>
      </c>
      <c r="F38" s="4" t="str">
        <v>The Socialist Republic of Viet Nam</v>
      </c>
      <c r="G38" s="5">
        <v>2</v>
      </c>
      <c r="H38" s="5">
        <v>29168</v>
      </c>
      <c r="I38" s="4" t="str">
        <v>.</v>
      </c>
      <c r="J38" s="4">
        <v>5413</v>
      </c>
    </row>
    <row r="39" ht="50" customHeight="1" xml:space="preserve">
      <c r="B39" s="4" t="str">
        <v>Bioversity (Alliance)</v>
      </c>
      <c r="D39" s="4" t="str" xml:space="preserve">
        <v xml:space="preserve">Deliverable - Agro-Ecotourism and Market Development Roadmap for Neglected and Underutilized Species: Development of a roadmap and co-designed agro-ecotourism and market opportunities for neglected and underutilized species (NUS) in Vietnam (3S river basin with learning/exchange with NW Vietnam-Son La) and Colombia
Indicator: Number of agro-ecotourism roadmaps and market opportunities co-designed</v>
      </c>
      <c r="E39" s="4" t="str">
        <v>Number of knowledge products</v>
      </c>
      <c r="F39" s="4" t="str">
        <v>The Socialist Republic of Viet Nam</v>
      </c>
      <c r="G39" s="5">
        <v>3</v>
      </c>
      <c r="H39" s="5">
        <v>44500</v>
      </c>
      <c r="I39" s="4" t="str">
        <v>.</v>
      </c>
      <c r="J39" s="4">
        <v>5414</v>
      </c>
    </row>
    <row r="40" ht="50" customHeight="1" xml:space="preserve">
      <c r="A40" s="4" t="str">
        <v>AOW03: Business Models, Markets, and Sustainable Finance</v>
      </c>
      <c r="B40" s="4" t="str">
        <v>Bioversity (Alliance)</v>
      </c>
      <c r="C40" s="4" t="str">
        <v>OP 3.3.3. Co-designed inclusive market and non-market mechanisms for optimizing ecosystem services</v>
      </c>
      <c r="D40" s="4" t="str" xml:space="preserve">
        <v xml:space="preserve">Deliverable - Prioritization tool for edible plant species under the Vision for Adapted soils and crops - Online tool to allow selection of most promising VACs crops based on cultural and nutritional importance as well as climate adpatation
Indicator: number of online tools to select VACs </v>
      </c>
      <c r="E40" s="4" t="str">
        <v>Number of innovations (innovation development)</v>
      </c>
      <c r="F40" s="4" t="str">
        <v>South Africa, Colombia, Peru</v>
      </c>
      <c r="G40" s="5">
        <v>1</v>
      </c>
      <c r="H40" s="5">
        <v>19750</v>
      </c>
      <c r="I40" s="4" t="str">
        <v>.</v>
      </c>
      <c r="J40" s="4">
        <v>5428</v>
      </c>
    </row>
    <row r="41" ht="50" customHeight="1" xml:space="preserve">
      <c r="B41" s="4" t="str">
        <v>Bioversity (Alliance)</v>
      </c>
      <c r="D41" s="4" t="str" xml:space="preserve">
        <v xml:space="preserve">Deliverable - Market Study for Priority Fruit and Timber Species:  Market study in Putumayo on challenges and potential for traded fruits and timber tree products in Putumayo
Indicator: Number of market studies on buyers and traders in fruit and timber tree products value chains</v>
      </c>
      <c r="E41" s="4" t="str">
        <v>Number of knowledge products</v>
      </c>
      <c r="F41" s="4" t="str">
        <v>Colombia</v>
      </c>
      <c r="G41" s="5">
        <v>1</v>
      </c>
      <c r="H41" s="5">
        <v>19750</v>
      </c>
      <c r="I41" s="4" t="str">
        <v>.</v>
      </c>
      <c r="J41" s="4">
        <v>5429</v>
      </c>
    </row>
    <row r="42" ht="50" customHeight="1" xml:space="preserve">
      <c r="B42" s="4" t="str">
        <v>Bioversity (Alliance)</v>
      </c>
      <c r="D42" s="4" t="str" xml:space="preserve">
        <v xml:space="preserve">Deliverable - Business Plans for Aggregated Farms: Business Plan developed for Agoro East, Jimo East and Vihiga based on the aggregation of the economic activities of the Aggregated Farm
Indicator: Number of Business Plans developed on Aggregated Farm models</v>
      </c>
      <c r="E42" s="4" t="str">
        <v>Number of innovations (innovation development)</v>
      </c>
      <c r="F42" s="4" t="str">
        <v>Kenya</v>
      </c>
      <c r="G42" s="5">
        <v>3</v>
      </c>
      <c r="H42" s="5">
        <v>49500</v>
      </c>
      <c r="I42" s="4" t="str">
        <v>.</v>
      </c>
      <c r="J42" s="4">
        <v>5430</v>
      </c>
    </row>
    <row r="43" ht="50" customHeight="1" xml:space="preserve">
      <c r="A43" s="4" t="str">
        <v>AOW03: Business Models, Markets, and Sustainable Finance</v>
      </c>
      <c r="B43" s="4" t="str">
        <v>Bioversity (Alliance)</v>
      </c>
      <c r="C43" s="4" t="str">
        <v>OP 3.1.1. Capacity strengthening for producer organizations &amp; value chains</v>
      </c>
      <c r="D43" s="4" t="str" xml:space="preserve">
        <v xml:space="preserve">Deliverable - Capacity Building for Cooperative Management and Financial Governance: Co-design and implement a capacity-building program to strengthen cooperative management, financial accounting, record-keeping, and reporting systems among producer organizations. The program will include training modules, on-site coaching, and simple management tools to enhance transparency, decision-making, and organizational sustainability.
Indicator: Number of stakeholders/farmers trained</v>
      </c>
      <c r="E43" s="4" t="str">
        <v>Number of people trained (capacity sharing for development)</v>
      </c>
      <c r="F43" s="4" t="str">
        <v>Kenya</v>
      </c>
      <c r="G43" s="5">
        <v>60</v>
      </c>
      <c r="H43" s="5">
        <v>15000</v>
      </c>
      <c r="I43" s="4" t="str">
        <v>.</v>
      </c>
      <c r="J43" s="4">
        <v>5436</v>
      </c>
    </row>
    <row r="44" ht="50" customHeight="1" xml:space="preserve">
      <c r="B44" s="4" t="str">
        <v>Bioversity (Alliance)</v>
      </c>
      <c r="D44" s="4" t="str" xml:space="preserve">
        <v xml:space="preserve">Forest-Fish-Food (Triple F): Restitution and validation of the community-level risks and vulnerability analysis and options reviews, Peru and Ethiopia. Community-level action plans and capacity sharing for MARKET, BUSINESS AND FINANCIAL RESILIENCE.
Indicator: Number of people (women, men, youth, indigenous) from producer organizations trained on Triple F business models and market incentives on agroecology and nutrition options using fish-forest-food interaction co-developed based on community level resilience action-plans.</v>
      </c>
      <c r="E44" s="4" t="str">
        <v>Number of people trained (capacity sharing for development)</v>
      </c>
      <c r="F44" s="4" t="str">
        <v>Peru, Ethiopia</v>
      </c>
      <c r="G44" s="5">
        <v>0</v>
      </c>
      <c r="H44" s="5">
        <v>0</v>
      </c>
      <c r="I44" s="4" t="str">
        <v/>
      </c>
      <c r="J44" s="4">
        <v>8399</v>
      </c>
    </row>
    <row r="45" ht="25" customHeight="1">
      <c r="C45" s="9" t="str">
        <v>HLO budget subtotal</v>
      </c>
      <c r="H45" s="9">
        <v>207168</v>
      </c>
      <c r="J45" s="9" t="str">
        <v/>
      </c>
    </row>
    <row r="46" ht="50" customHeight="1" xml:space="preserve">
      <c r="A46" s="8" t="str">
        <v>AOW04: Governance, Institutions, Policy, and Inclusion</v>
      </c>
      <c r="B46" s="4" t="str">
        <v>Bioversity (Alliance)</v>
      </c>
      <c r="C46" s="4" t="str">
        <v>OP 4.1.1. Inclusive governance architectures</v>
      </c>
      <c r="D46" s="4" t="str" xml:space="preserve">
        <v xml:space="preserve">Deliverable: Co-designing and developing bio-community protocols for access and benefit sharing of genetic resources
Indicator: Number of bio-community protocols co-designed
</v>
      </c>
      <c r="E46" s="4" t="str">
        <v>Number of knowledge products</v>
      </c>
      <c r="F46" s="4" t="str">
        <v>Tanzania, United Republic, Kenya</v>
      </c>
      <c r="G46" s="5">
        <v>8</v>
      </c>
      <c r="H46" s="5">
        <v>29168</v>
      </c>
      <c r="I46" s="4" t="str">
        <v>.</v>
      </c>
      <c r="J46" s="4">
        <v>5398</v>
      </c>
    </row>
    <row r="47" ht="50" customHeight="1" xml:space="preserve">
      <c r="B47" s="4" t="str">
        <v>Bioversity (Alliance)</v>
      </c>
      <c r="D47" s="4" t="str" xml:space="preserve">
        <v xml:space="preserve">Deliverable: Local community led governance mechanisms for cooperatives for aggregated farms in Kenya including benefit sharing, conflict resolution and adaptive management practices. Indicator: Number of reports on governance designs, number of cooperatives with designs, number of farmers engaged in designs.
Indicator: Number of reports on governance designs, number of cooperatives with governance designs and number of farmers engaged in design processes and number of farmers impacted by governance designs</v>
      </c>
      <c r="E47" s="4" t="str">
        <v>Number of knowledge products</v>
      </c>
      <c r="F47" s="4" t="str">
        <v>Tanzania, United Republic, Kenya</v>
      </c>
      <c r="G47" s="5">
        <v>3</v>
      </c>
      <c r="H47" s="5">
        <v>29168</v>
      </c>
      <c r="I47" s="4" t="str">
        <v>.</v>
      </c>
      <c r="J47" s="4">
        <v>5399</v>
      </c>
    </row>
    <row r="48" ht="50" customHeight="1" xml:space="preserve">
      <c r="B48" s="4" t="str">
        <v>Bioversity (Alliance)</v>
      </c>
      <c r="D48" s="4" t="str" xml:space="preserve">
        <v xml:space="preserve">Deliverable - Designing two CSB-NGB collaboration protocols (protocols on collaboration between community seedbanks and national gene banks )
Indicator: Number of CSB-NGB collaboration protocols designed</v>
      </c>
      <c r="E48" s="4" t="str">
        <v>Number of knowledge products</v>
      </c>
      <c r="F48" s="4" t="str">
        <v>Kenya, Tanzania, United Republic</v>
      </c>
      <c r="G48" s="5">
        <v>5</v>
      </c>
      <c r="H48" s="5">
        <v>29168</v>
      </c>
      <c r="I48" s="4" t="str">
        <v>.</v>
      </c>
      <c r="J48" s="4">
        <v>5401</v>
      </c>
    </row>
    <row r="49" ht="50" customHeight="1" xml:space="preserve">
      <c r="A49" s="4" t="str">
        <v>AOW04: Governance, Institutions, Policy, and Inclusion</v>
      </c>
      <c r="B49" s="4" t="str">
        <v>Bioversity (Alliance)</v>
      </c>
      <c r="C49" s="4" t="str">
        <v>OP 4.3.1. Multifunctional landscapes policy design and implementation</v>
      </c>
      <c r="D49" s="4" t="str" xml:space="preserve">
        <v xml:space="preserve">Deliverable - Promote and enable transboundary cooperation through participatory food systems modelling and scenario development with local institutes from multiple countries, to collaboratively develop national pathways to achieving global sustainability targets (SDG, Global Biodiversity Framework, Paris Agreement) through multi-level (landscape to national, national to global) action alignment. Includes capacity development and knowledge sharing across countries to use modelling and scenario tools, and one participatory international live scenario analysis workshop, and in depth analysis and work with policymakers in Ethiopia.
Indicator: Number of countries (local institutional representatives) actively involved in cross-country knowledge exchange and joint solution exploration of sustainable food system solutions using FABLE food system models and approaches</v>
      </c>
      <c r="E49" s="4" t="str">
        <v>custom</v>
      </c>
      <c r="F49" s="4" t="str">
        <v>Ethiopia, Kenya, Colombia, India</v>
      </c>
      <c r="G49" s="5">
        <v>20</v>
      </c>
      <c r="H49" s="5">
        <v>20000</v>
      </c>
      <c r="I49" s="4" t="str">
        <v>.</v>
      </c>
      <c r="J49" s="4">
        <v>7450</v>
      </c>
    </row>
    <row r="50" ht="50" customHeight="1" xml:space="preserve">
      <c r="A50" s="4" t="str">
        <v>AOW04: Governance, Institutions, Policy, and Inclusion</v>
      </c>
      <c r="B50" s="4" t="str">
        <v>Bioversity (Alliance)</v>
      </c>
      <c r="C50" s="4" t="str">
        <v>OP 4.2.1. Institutional, social and behavioral mechanisms</v>
      </c>
      <c r="D50" s="4" t="str" xml:space="preserve">
        <v xml:space="preserve">Deliverable: Global analysis of how to create enabling conditions for multifunctional landscape planning, as part of the IPBES methodological assessment on biodiversity-inclusive spatial planning and ecological connectivity
Indicator: Number of briefs on how to create enabling conditions for multifunctional landscape planning</v>
      </c>
      <c r="E50" s="4" t="str">
        <v>Number of knowledge products</v>
      </c>
      <c r="F50" s="4" t="str">
        <v>Tunisia, Côte d'Ivoire, Ethiopia, Kenya, Senegal, India, The Socialist Republic of Viet Nam, Tanzania, United Republic, Colombia, Peru, Lao People's Democratic Republic</v>
      </c>
      <c r="G50" s="5">
        <v>1</v>
      </c>
      <c r="H50" s="5">
        <v>10000</v>
      </c>
      <c r="I50" s="4" t="str">
        <v>.</v>
      </c>
      <c r="J50" s="4">
        <v>7474</v>
      </c>
    </row>
    <row r="51" ht="50" customHeight="1" xml:space="preserve">
      <c r="A51" s="4" t="str">
        <v>AOW04: Governance, Institutions, Policy, and Inclusion</v>
      </c>
      <c r="B51" s="4" t="str">
        <v>Bioversity (Alliance)</v>
      </c>
      <c r="C51" s="4" t="str">
        <v>OP 4.2.2. Demand driven capacity sharing for policy makers and landscape stakeholders</v>
      </c>
      <c r="D51" s="4" t="str" xml:space="preserve">
        <v xml:space="preserve">Forest-Fish-Food (Triple F): Restitution and validation of the community-level risks and vulnerability analysis and options reviews, Peru and Ethiopia. community-level action plans and capacity sharing on GOVERNANCE, INSTITUTIONS, POLICIES, and INCLUSION 
Indicator: Number of people (women, men, youth, indigenous) trained on enabling policy, institutions, incentives and governance drivers for fish-forest-food interaction based on co-developed community level resilience action-plans.
</v>
      </c>
      <c r="E51" s="4" t="str">
        <v>Number of people trained (capacity sharing for development)</v>
      </c>
      <c r="F51" s="4" t="str">
        <v>Ethiopia, Peru</v>
      </c>
      <c r="G51" s="5">
        <v>0</v>
      </c>
      <c r="H51" s="5">
        <v>0</v>
      </c>
      <c r="I51" s="4" t="str">
        <v/>
      </c>
      <c r="J51" s="4">
        <v>8402</v>
      </c>
    </row>
    <row r="52" ht="25" customHeight="1">
      <c r="C52" s="9" t="str">
        <v>HLO budget subtotal</v>
      </c>
      <c r="H52" s="9">
        <v>117504</v>
      </c>
      <c r="J52" s="9" t="str">
        <v/>
      </c>
    </row>
    <row r="53" ht="50" customHeight="1" xml:space="preserve">
      <c r="A53" s="8" t="str">
        <v>AOW05: Performance Assessments &amp; Evidence Generation</v>
      </c>
      <c r="B53" s="4" t="str">
        <v>Bioversity (Alliance)</v>
      </c>
      <c r="C53" s="4" t="str">
        <v>OP 5.2.1. Knowledge and information hubs</v>
      </c>
      <c r="D53" s="4" t="str" xml:space="preserve">
        <v xml:space="preserve">Deliverable - Knowledge and Information Hub launched 
Indicator: Number of comprehensive open-access knowledge and information hubs on multifunctional landscape performance launched</v>
      </c>
      <c r="E53" s="4" t="str">
        <v>Number of knowledge products</v>
      </c>
      <c r="F53" s="4" t="str">
        <v>Lao People's Democratic Republic, Tunisia, Kenya, India, Senegal, Peru, Zimbabwe, Ethiopia</v>
      </c>
      <c r="G53" s="5">
        <v>1</v>
      </c>
      <c r="H53" s="5">
        <v>170840</v>
      </c>
      <c r="I53" s="4" t="str">
        <v>.</v>
      </c>
      <c r="J53" s="4">
        <v>5299</v>
      </c>
    </row>
    <row r="54" ht="50" customHeight="1" xml:space="preserve">
      <c r="B54" s="4" t="str">
        <v>Bioversity (Alliance)</v>
      </c>
      <c r="D54" s="4" t="str" xml:space="preserve">
        <v xml:space="preserve">Deliverable - Interactive knowledge hub providing access to data and evidence on the performance of multifunctional fields, farms and landscapes 
Indicator: Operational AI-assisted data harmonization process developed, tested and made openly accessible, for integrating information on multifunctional performance of agricultural practices</v>
      </c>
      <c r="E54" s="4" t="str">
        <v>Number of innovations (innovation development)</v>
      </c>
      <c r="F54" s="4" t="str">
        <v>United States of America, Nepal, Brazil, Ireland, Portugal, Rwanda, Russian Federation, Indonesia, Greece, Chile, Zambia, Germany, South Africa, Norway, China, Mozambique, Sweden, Pakistan, Argentina, France, Uganda, Mexico, Finland, Canada, Ghana, Denmark, Australia, Nigeria, Lao People's Democratic Republic, Tunisia, Senegal, Ethiopia, India, Zimbabwe, Peru, Cambodia, The Socialist Republic of Viet Nam, Kenya, Colombia</v>
      </c>
      <c r="G54" s="5">
        <v>1</v>
      </c>
      <c r="H54" s="5">
        <v>159488</v>
      </c>
      <c r="I54" s="4" t="str">
        <v>.</v>
      </c>
      <c r="J54" s="4">
        <v>5300</v>
      </c>
    </row>
    <row r="55" ht="50" customHeight="1" xml:space="preserve">
      <c r="A55" s="4" t="str">
        <v>AOW05: Performance Assessments &amp; Evidence Generation</v>
      </c>
      <c r="B55" s="4" t="str">
        <v>Bioversity (Alliance)</v>
      </c>
      <c r="C55" s="4" t="str">
        <v>OP 5.1.2 Landscape-specific assessment frameworks</v>
      </c>
      <c r="D55" s="4" t="str" xml:space="preserve">
        <v xml:space="preserve">Deliverable - Landscape assessment framework for informing, monitoring, and evaluating processes and outcomes related to the Landscape Vision to Action  framework and other CGIAR engagements and interventions in Indian multifunctional landscapes co-defined with key stakeholders. 
Indicator: Number of operational guidelines co-developed with stakeholders for prioritizing, planning, implementation, and monitoring interventions aimed at increasing landscape multifunctionality in India</v>
      </c>
      <c r="E55" s="4" t="str">
        <v>Number of innovations (innovation development)</v>
      </c>
      <c r="F55" s="4" t="str">
        <v>India</v>
      </c>
      <c r="G55" s="5">
        <v>1</v>
      </c>
      <c r="H55" s="5">
        <v>110000</v>
      </c>
      <c r="I55" s="4" t="str">
        <v>.</v>
      </c>
      <c r="J55" s="4">
        <v>5314</v>
      </c>
    </row>
    <row r="56" ht="50" customHeight="1" xml:space="preserve">
      <c r="B56" s="4" t="str">
        <v>Bioversity (Alliance)</v>
      </c>
      <c r="D56" s="4" t="str" xml:space="preserve">
        <v xml:space="preserve">Deliverable - Landscape performance assessment policy briefs and scientific publication for India, Kenya, Peru,  and cross-country landscapes 
Indicator: Number of policy briefs and/or scientific publications developed using robust landscape performance evidence and tailored for policy/stakeholder use</v>
      </c>
      <c r="E56" s="4" t="str">
        <v>Number of knowledge products</v>
      </c>
      <c r="F56" s="4" t="str">
        <v>India, Peru, Kenya</v>
      </c>
      <c r="G56" s="5">
        <v>3</v>
      </c>
      <c r="H56" s="5">
        <v>58336</v>
      </c>
      <c r="I56" s="4" t="str">
        <v>.</v>
      </c>
      <c r="J56" s="4">
        <v>5317</v>
      </c>
    </row>
    <row r="57" ht="50" customHeight="1" xml:space="preserve">
      <c r="B57" s="4" t="str">
        <v>Bioversity (Alliance)</v>
      </c>
      <c r="D57" s="4" t="str" xml:space="preserve">
        <v xml:space="preserve">Deliverable - Position paper on strategies to maintain agrobiodiversity at the landscape level including the potential contribution of  AgroBioDiversityZones to country conservation goals as OEMCs; Policy brief/blog documenting cross country learnings; conceptualization of a tool for co-developing biodiversity credit schemes in agricultural landscapes linked to participatory monitoring of the MFLs 
Indicator: Number of scientific papers or reports on strategies to maintain agrobiodiversity at the landscape level, including reporting results of field testing agrobiodiversity credit schemes linked to participatory monitoring</v>
      </c>
      <c r="E57" s="4" t="str">
        <v>Number of knowledge products</v>
      </c>
      <c r="F57" s="4" t="str">
        <v>Ethiopia, Peru</v>
      </c>
      <c r="G57" s="5">
        <v>2</v>
      </c>
      <c r="H57" s="5">
        <v>36460</v>
      </c>
      <c r="I57" s="4" t="str">
        <v>.</v>
      </c>
      <c r="J57" s="4">
        <v>5322</v>
      </c>
    </row>
    <row r="58" ht="50" customHeight="1" xml:space="preserve">
      <c r="B58" s="4" t="str">
        <v>Bioversity (Alliance)</v>
      </c>
      <c r="D58" s="4" t="str" xml:space="preserve">
        <v xml:space="preserve">Deliverable - Open access tool providing a method for downscaling national pathways into spatially explicit landscape-level planning scenarios developed in consultation with national and landscape stakeholders 
Indicator: Number of stakeholders (e.g. local research institutes, policy think tanks) actively co-developing and/or trained in using an open-access tool for downscaling national pathways to landscape-level</v>
      </c>
      <c r="E58" s="4" t="str">
        <v>Number of people trained (capacity sharing for development)</v>
      </c>
      <c r="F58" s="4" t="str">
        <v>Kenya, India, Ethiopia</v>
      </c>
      <c r="G58" s="5">
        <v>10</v>
      </c>
      <c r="H58" s="5">
        <v>43752</v>
      </c>
      <c r="I58" s="4" t="str">
        <v>.</v>
      </c>
      <c r="J58" s="4">
        <v>5323</v>
      </c>
    </row>
    <row r="59" ht="50" customHeight="1" xml:space="preserve">
      <c r="B59" s="4" t="str">
        <v>Bioversity (Alliance)</v>
      </c>
      <c r="D59" s="4" t="str" xml:space="preserve">
        <v xml:space="preserve">Deliverable - School meal planning tool co-developed and piloted in schools in MFL landscapes designed to provide schools and local government with a means to measure diet quality and environmental impacts and test options to improve outcomes. Tool developed in collaboration with the School Meals Coalition and the Global Diet Quality Indicator team, and then tailored to the needs of schools and government in target landscapes. 
Indicator: Number of schools in which the school-meal planning tool is used in a participatory assessment process</v>
      </c>
      <c r="E59" s="4" t="str">
        <v>Number of innovations (innovation development)</v>
      </c>
      <c r="F59" s="4" t="str">
        <v>Kenya, India</v>
      </c>
      <c r="G59" s="5">
        <v>10</v>
      </c>
      <c r="H59" s="5">
        <v>50000</v>
      </c>
      <c r="I59" s="4" t="str">
        <v>.</v>
      </c>
      <c r="J59" s="4">
        <v>7429</v>
      </c>
    </row>
    <row r="60" ht="50" customHeight="1" xml:space="preserve">
      <c r="B60" s="4" t="str">
        <v>Bioversity (Alliance)</v>
      </c>
      <c r="D60" s="4" t="str" xml:space="preserve">
        <v xml:space="preserve">Deliverable - Co-developed and locally owned tool for quantifying impacts on food, biodiversity, climate and socio-economic outcomes of multifunctional farms and landscapes, and training to build local capacity to use this tool
Indicator: Number of stakeholders involved in the co-design of scenarios and identification of levers of change </v>
      </c>
      <c r="E60" s="4" t="str">
        <v>Number of people trained (capacity sharing for development)</v>
      </c>
      <c r="F60" s="4" t="str">
        <v>Tanzania, United Republic, Colombia, Peru, India, Senegal, Kenya, Tunisia, Lao People's Democratic Republic, Ethiopia, Zimbabwe, Cambodia, The Socialist Republic of Viet Nam</v>
      </c>
      <c r="G60" s="5">
        <v>20</v>
      </c>
      <c r="H60" s="5">
        <v>37000</v>
      </c>
      <c r="I60" s="4" t="str">
        <v>.</v>
      </c>
      <c r="J60" s="4">
        <v>7633</v>
      </c>
    </row>
    <row r="61" ht="50" customHeight="1" xml:space="preserve">
      <c r="B61" s="4" t="str">
        <v>Bioversity (Alliance)</v>
      </c>
      <c r="D61" s="4" t="str" xml:space="preserve">
        <v xml:space="preserve">Forest-Fish-Food (Triple F): SES framework applied in two landscapes / water basins, one in Peru and one in Ethiopia, and given latest ecological and social information data and studies available 
Indicator: Number of SES frameworks applied to Fish-forest-food interaction modules at the landscape report.</v>
      </c>
      <c r="E61" s="4" t="str">
        <v>Number of knowledge products</v>
      </c>
      <c r="F61" s="4" t="str">
        <v>Ethiopia, Peru</v>
      </c>
      <c r="G61" s="5">
        <v>0</v>
      </c>
      <c r="H61" s="5">
        <v>20369</v>
      </c>
      <c r="I61" s="4" t="str" xml:space="preserve">
        <v xml:space="preserve">Alliance budget for this deliverable in Peru allocated in Bioversity entity.
</v>
      </c>
      <c r="J61" s="4">
        <v>8393</v>
      </c>
    </row>
    <row r="62" ht="50" customHeight="1" xml:space="preserve">
      <c r="A62" s="4" t="str">
        <v>AOW05: Performance Assessments &amp; Evidence Generation</v>
      </c>
      <c r="B62" s="4" t="str">
        <v>Bioversity (Alliance)</v>
      </c>
      <c r="C62" s="4" t="str">
        <v>OP 5.2.2. AI-assisted monitoring system</v>
      </c>
      <c r="D62" s="4" t="str" xml:space="preserve">
        <v xml:space="preserve">Deliverable: holistic biodiversity and ecosystem service monitoring system installed in collaboration with local NARS and partners to collect primary data on crop/livestock/fish diversity, yields, labour input, human well-being, nutrition content, biodiversity, soil health, water health, GHG emissions, for farms and landscapes at different stage of agroecological transition, as part of an effort to provide long-term, robust data on the multifunctional performance of diversifying fields, farms and landscapes. System will test citizen science–based, digital and AI-assisted methods in participatory approaches to provide landscape-relevant data and insights. This deliverable includes geospatial data analysis to test the validity of remote collection methods for accurately predicting ground-based status and change indicators
 Indicator: Number of baseline datasets collected to monitor biodiversity and ecosystem services within the landscape</v>
      </c>
      <c r="E62" s="4" t="str">
        <v>Number of knowledge products</v>
      </c>
      <c r="F62" s="4" t="str">
        <v>India</v>
      </c>
      <c r="G62" s="5">
        <v>3</v>
      </c>
      <c r="H62" s="5">
        <v>40247</v>
      </c>
      <c r="I62" s="4" t="str">
        <v>.</v>
      </c>
      <c r="J62" s="4">
        <v>7432</v>
      </c>
    </row>
    <row r="63" ht="50" customHeight="1" xml:space="preserve">
      <c r="A63" s="4" t="str">
        <v>AOW05: Performance Assessments &amp; Evidence Generation</v>
      </c>
      <c r="B63" s="4" t="str">
        <v>Bioversity (Alliance)</v>
      </c>
      <c r="C63" s="4" t="str">
        <v>OP 5.1.1 – Standardised protocols, tools and methods</v>
      </c>
      <c r="D63" s="4" t="str" xml:space="preserve">
        <v xml:space="preserve">Forest-Fish-Food (Triple F): Common methods and SES framework developed for identifying and assessing cascading effects from forest and water cycle management to fish, food, and nutrition security in Peru and Ethiopia 
Indicator: Number of fish-forest-food interaction modules developed and integrated into SES framework.</v>
      </c>
      <c r="E63" s="4" t="str">
        <v>Number of innovations (innovation development)</v>
      </c>
      <c r="F63" s="4" t="str">
        <v>Peru, Ethiopia</v>
      </c>
      <c r="G63" s="5">
        <v>1</v>
      </c>
      <c r="H63" s="5">
        <v>15277</v>
      </c>
      <c r="I63" s="4" t="str">
        <v>Alliance budget for this deliverable in Peru allocated in Bioversity entity.</v>
      </c>
      <c r="J63" s="4">
        <v>8391</v>
      </c>
    </row>
    <row r="64" ht="25" customHeight="1">
      <c r="C64" s="9" t="str">
        <v>HLO budget subtotal</v>
      </c>
      <c r="H64" s="9">
        <v>741769</v>
      </c>
      <c r="J64" s="9" t="str">
        <v/>
      </c>
    </row>
  </sheetData>
  <mergeCells count="27">
    <mergeCell ref="A1:A2"/>
    <mergeCell ref="B1:B2"/>
    <mergeCell ref="C1:C2"/>
    <mergeCell ref="D1:H1"/>
    <mergeCell ref="I1:I2"/>
    <mergeCell ref="J1:J2"/>
    <mergeCell ref="C3:C12"/>
    <mergeCell ref="C13:C14"/>
    <mergeCell ref="C16:G16"/>
    <mergeCell ref="A3:A16"/>
    <mergeCell ref="C17:C27"/>
    <mergeCell ref="C28:C31"/>
    <mergeCell ref="C32:C35"/>
    <mergeCell ref="C36:G36"/>
    <mergeCell ref="A17:A36"/>
    <mergeCell ref="C37:C39"/>
    <mergeCell ref="C40:C42"/>
    <mergeCell ref="C43:C44"/>
    <mergeCell ref="C45:G45"/>
    <mergeCell ref="A37:A45"/>
    <mergeCell ref="C46:C48"/>
    <mergeCell ref="C52:G52"/>
    <mergeCell ref="A46:A52"/>
    <mergeCell ref="C53:C54"/>
    <mergeCell ref="C55:C61"/>
    <mergeCell ref="C64:G64"/>
    <mergeCell ref="A53:A64"/>
  </mergeCells>
  <ignoredErrors>
    <ignoredError numberStoredAsText="1" sqref="A1:J64"/>
  </ignoredErrors>
</worksheet>
</file>

<file path=xl/worksheets/sheet3.xml><?xml version="1.0" encoding="utf-8"?>
<worksheet xmlns="http://schemas.openxmlformats.org/spreadsheetml/2006/main" xmlns:r="http://schemas.openxmlformats.org/officeDocument/2006/relationships">
  <dimension ref="A1:G3"/>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Landscape Optimization and Inclusive Planning</v>
      </c>
      <c r="B2" s="4" t="str">
        <v>Unknown Partner 1</v>
      </c>
      <c r="C2" s="4" t="str">
        <v>Bioversity (Alliance)</v>
      </c>
      <c r="D2" s="4" t="str">
        <v>Peru, Colombia</v>
      </c>
      <c r="E2" s="5">
        <v>11900</v>
      </c>
      <c r="F2" s="4" t="str">
        <v>Budget for partners to be selected, in Peru and Colombia</v>
      </c>
      <c r="G2" s="4">
        <v>529</v>
      </c>
    </row>
    <row r="3" ht="25" customHeight="1">
      <c r="B3" s="9" t="str">
        <v>Contracted partners subtotal</v>
      </c>
      <c r="E3" s="9">
        <v>11900</v>
      </c>
      <c r="F3" s="9" t="str">
        <v/>
      </c>
      <c r="G3" s="9" t="str">
        <v/>
      </c>
    </row>
  </sheetData>
  <mergeCells count="2">
    <mergeCell ref="B3:D3"/>
    <mergeCell ref="A2:A3"/>
  </mergeCells>
  <ignoredErrors>
    <ignoredError numberStoredAsText="1" sqref="A1:G3"/>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AOW05: Performance Assessments &amp; Evidence Generation</v>
      </c>
      <c r="B2" s="4" t="str">
        <v>Bioversity (Alliance)</v>
      </c>
      <c r="C2" s="4" t="str">
        <v xml:space="preserve"> Deliverable - Critical Capabilities - MELIA STUDY Landscape appropriate Impact Assessment implementation: System Level Theory of Change Indicator: Number of impact assessments carried out and documented</v>
      </c>
      <c r="D2" s="4" t="str">
        <v>I-OC 5.1 Partners in MFL Living Landscapes sites demonstrate strengthened capacity to articulate, communicate, and actively influence the uptake of MFL knowledge in policy arenas, scientific communities, and practitioner networks.</v>
      </c>
      <c r="E2" s="4" t="str">
        <v>N/A</v>
      </c>
      <c r="F2" s="5">
        <v>0</v>
      </c>
      <c r="G2" s="4" t="str">
        <v/>
      </c>
      <c r="H2" s="4">
        <v>643</v>
      </c>
    </row>
    <row r="3" ht="25" customHeight="1">
      <c r="C3" s="9" t="str">
        <v>MELIA budget subtotal</v>
      </c>
      <c r="F3" s="9">
        <v>0</v>
      </c>
      <c r="G3" s="9" t="str">
        <v/>
      </c>
      <c r="H3" s="9" t="str">
        <v/>
      </c>
    </row>
  </sheetData>
  <mergeCells count="2">
    <mergeCell ref="C3:E3"/>
    <mergeCell ref="A2:A3"/>
  </mergeCells>
  <ignoredErrors>
    <ignoredError numberStoredAsText="1" sqref="A1:H3"/>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Bioversity (Alliance)</v>
      </c>
      <c r="C2" s="4" t="str">
        <v>Area of Work Leads</v>
      </c>
      <c r="D2" s="5">
        <v>264428</v>
      </c>
      <c r="E2" s="4" t="str">
        <v>USD 156,596 for AoW 2 Lead Chris Kettle's position. USD 77,832 for AoW 5 lead Sarah Jones' position. USD 30,000 travel budget for both's attendance to MFL SP management meetings (USD 15,000 for each of them).</v>
      </c>
      <c r="F2" s="4">
        <v>214</v>
      </c>
      <c r="G2" s="4">
        <v>3</v>
      </c>
    </row>
    <row r="3" ht="25" customHeight="1">
      <c r="C3" s="9" t="str">
        <v>Cross-cutting budget subtotal</v>
      </c>
      <c r="D3" s="9">
        <v>264428</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238628</v>
      </c>
      <c r="C2" s="5">
        <v>884176</v>
      </c>
      <c r="D2" s="5">
        <v>656831</v>
      </c>
      <c r="E2" s="5">
        <v>165735</v>
      </c>
      <c r="F2" s="5">
        <v>94003</v>
      </c>
      <c r="G2" s="5">
        <v>379062</v>
      </c>
      <c r="H2" s="5">
        <f>=SUM(B2:G2)</f>
        <v>0</v>
      </c>
    </row>
    <row r="3" ht="20" customHeight="1">
      <c r="A3" s="4" t="str">
        <v>Operations (supplies, consultants, travels, workshops, other)</v>
      </c>
      <c r="B3" s="5">
        <v>25800</v>
      </c>
      <c r="C3" s="5">
        <v>221044</v>
      </c>
      <c r="D3" s="5">
        <v>165910</v>
      </c>
      <c r="E3" s="5">
        <v>41433</v>
      </c>
      <c r="F3" s="5">
        <v>23501</v>
      </c>
      <c r="G3" s="5">
        <v>362707</v>
      </c>
      <c r="H3" s="5">
        <f>=SUM(B3:G3)</f>
        <v>0</v>
      </c>
    </row>
    <row r="4" ht="20" customHeight="1">
      <c r="A4" s="4" t="str">
        <v>Collaborators non-CGIAR centers</v>
      </c>
      <c r="B4" s="5">
        <v>0</v>
      </c>
      <c r="C4" s="5">
        <v>0</v>
      </c>
      <c r="D4" s="5">
        <v>11900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26"/>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Italy</v>
      </c>
      <c r="D2" s="5">
        <v>100</v>
      </c>
      <c r="E2" s="4">
        <v>3384</v>
      </c>
    </row>
    <row r="3" ht="45" customHeight="1">
      <c r="A3" s="8" t="str">
        <v>AOW01: Agroecology+ Solutions &amp; Innovations</v>
      </c>
      <c r="B3" s="4" t="str">
        <v>Bioversity (Alliance)</v>
      </c>
      <c r="C3" s="4" t="str">
        <v>India</v>
      </c>
      <c r="D3" s="5">
        <v>25</v>
      </c>
      <c r="E3" s="4">
        <v>2323</v>
      </c>
    </row>
    <row r="4" ht="45" customHeight="1">
      <c r="A4" s="4" t="str">
        <v>AOW01: Agroecology+ Solutions &amp; Innovations</v>
      </c>
      <c r="B4" s="4" t="str">
        <v>Bioversity (Alliance)</v>
      </c>
      <c r="C4" s="4" t="str">
        <v>Kenya</v>
      </c>
      <c r="D4" s="5">
        <v>25</v>
      </c>
      <c r="E4" s="4">
        <v>2328</v>
      </c>
    </row>
    <row r="5" ht="45" customHeight="1">
      <c r="A5" s="4" t="str">
        <v>AOW01: Agroecology+ Solutions &amp; Innovations</v>
      </c>
      <c r="B5" s="4" t="str">
        <v>Bioversity (Alliance)</v>
      </c>
      <c r="C5" s="4" t="str">
        <v>Lao People's Democratic Republic</v>
      </c>
      <c r="D5" s="5">
        <v>0</v>
      </c>
      <c r="E5" s="4">
        <v>2325</v>
      </c>
    </row>
    <row r="6" ht="45" customHeight="1">
      <c r="A6" s="4" t="str">
        <v>AOW01: Agroecology+ Solutions &amp; Innovations</v>
      </c>
      <c r="B6" s="4" t="str">
        <v>Bioversity (Alliance)</v>
      </c>
      <c r="C6" s="4" t="str">
        <v>Peru</v>
      </c>
      <c r="D6" s="5">
        <v>25</v>
      </c>
      <c r="E6" s="4">
        <v>2324</v>
      </c>
    </row>
    <row r="7" ht="45" customHeight="1">
      <c r="A7" s="4" t="str">
        <v>AOW01: Agroecology+ Solutions &amp; Innovations</v>
      </c>
      <c r="B7" s="4" t="str">
        <v>Bioversity (Alliance)</v>
      </c>
      <c r="C7" s="4" t="str">
        <v>Tanzania</v>
      </c>
      <c r="D7" s="5">
        <v>0</v>
      </c>
      <c r="E7" s="4">
        <v>2326</v>
      </c>
    </row>
    <row r="8" ht="45" customHeight="1">
      <c r="A8" s="4" t="str">
        <v>AOW01: Agroecology+ Solutions &amp; Innovations</v>
      </c>
      <c r="B8" s="4" t="str">
        <v>Bioversity (Alliance)</v>
      </c>
      <c r="C8" s="4" t="str">
        <v>The Socialist Republic of Viet Nam</v>
      </c>
      <c r="D8" s="5">
        <v>25</v>
      </c>
      <c r="E8" s="4">
        <v>2327</v>
      </c>
    </row>
    <row r="9" ht="45" customHeight="1">
      <c r="A9" s="8" t="str">
        <v>AOW02: Landscape Optimization and Inclusive Planning</v>
      </c>
      <c r="B9" s="4" t="str">
        <v>Bioversity (Alliance)</v>
      </c>
      <c r="C9" s="4" t="str">
        <v>India</v>
      </c>
      <c r="D9" s="5">
        <v>25</v>
      </c>
      <c r="E9" s="4">
        <v>2343</v>
      </c>
    </row>
    <row r="10" ht="45" customHeight="1">
      <c r="A10" s="4" t="str">
        <v>AOW02: Landscape Optimization and Inclusive Planning</v>
      </c>
      <c r="B10" s="4" t="str">
        <v>Bioversity (Alliance)</v>
      </c>
      <c r="C10" s="4" t="str">
        <v>Kenya</v>
      </c>
      <c r="D10" s="5">
        <v>25</v>
      </c>
      <c r="E10" s="4">
        <v>2344</v>
      </c>
    </row>
    <row r="11" ht="45" customHeight="1">
      <c r="A11" s="4" t="str">
        <v>AOW02: Landscape Optimization and Inclusive Planning</v>
      </c>
      <c r="B11" s="4" t="str">
        <v>Bioversity (Alliance)</v>
      </c>
      <c r="C11" s="4" t="str">
        <v>Peru</v>
      </c>
      <c r="D11" s="5">
        <v>25</v>
      </c>
      <c r="E11" s="4">
        <v>2345</v>
      </c>
    </row>
    <row r="12" ht="45" customHeight="1">
      <c r="A12" s="4" t="str">
        <v>AOW02: Landscape Optimization and Inclusive Planning</v>
      </c>
      <c r="B12" s="4" t="str">
        <v>Bioversity (Alliance)</v>
      </c>
      <c r="C12" s="4" t="str">
        <v>The Socialist Republic of Viet Nam</v>
      </c>
      <c r="D12" s="5">
        <v>25</v>
      </c>
      <c r="E12" s="4">
        <v>2346</v>
      </c>
    </row>
    <row r="13" ht="45" customHeight="1">
      <c r="A13" s="8" t="str">
        <v>AOW03: Business Models, Markets, and Sustainable Finance</v>
      </c>
      <c r="B13" s="4" t="str">
        <v>Bioversity (Alliance)</v>
      </c>
      <c r="C13" s="4" t="str">
        <v>India</v>
      </c>
      <c r="D13" s="5">
        <v>25</v>
      </c>
      <c r="E13" s="4">
        <v>2341</v>
      </c>
    </row>
    <row r="14" ht="45" customHeight="1">
      <c r="A14" s="4" t="str">
        <v>AOW03: Business Models, Markets, and Sustainable Finance</v>
      </c>
      <c r="B14" s="4" t="str">
        <v>Bioversity (Alliance)</v>
      </c>
      <c r="C14" s="4" t="str">
        <v>Kenya</v>
      </c>
      <c r="D14" s="5">
        <v>25</v>
      </c>
      <c r="E14" s="4">
        <v>2340</v>
      </c>
    </row>
    <row r="15" ht="45" customHeight="1">
      <c r="A15" s="4" t="str">
        <v>AOW03: Business Models, Markets, and Sustainable Finance</v>
      </c>
      <c r="B15" s="4" t="str">
        <v>Bioversity (Alliance)</v>
      </c>
      <c r="C15" s="4" t="str">
        <v>Peru</v>
      </c>
      <c r="D15" s="5">
        <v>25</v>
      </c>
      <c r="E15" s="4">
        <v>2339</v>
      </c>
    </row>
    <row r="16" ht="45" customHeight="1">
      <c r="A16" s="4" t="str">
        <v>AOW03: Business Models, Markets, and Sustainable Finance</v>
      </c>
      <c r="B16" s="4" t="str">
        <v>Bioversity (Alliance)</v>
      </c>
      <c r="C16" s="4" t="str">
        <v>The Socialist Republic of Viet Nam</v>
      </c>
      <c r="D16" s="5">
        <v>25</v>
      </c>
      <c r="E16" s="4">
        <v>2342</v>
      </c>
    </row>
    <row r="17" ht="45" customHeight="1">
      <c r="A17" s="8" t="str">
        <v>AOW04: Governance, Institutions, Policy, and Inclusion</v>
      </c>
      <c r="B17" s="4" t="str">
        <v>Bioversity (Alliance)</v>
      </c>
      <c r="C17" s="4" t="str">
        <v>India</v>
      </c>
      <c r="D17" s="5">
        <v>25</v>
      </c>
      <c r="E17" s="4">
        <v>2337</v>
      </c>
    </row>
    <row r="18" ht="45" customHeight="1">
      <c r="A18" s="4" t="str">
        <v>AOW04: Governance, Institutions, Policy, and Inclusion</v>
      </c>
      <c r="B18" s="4" t="str">
        <v>Bioversity (Alliance)</v>
      </c>
      <c r="C18" s="4" t="str">
        <v>Kenya</v>
      </c>
      <c r="D18" s="5">
        <v>25</v>
      </c>
      <c r="E18" s="4">
        <v>2338</v>
      </c>
    </row>
    <row r="19" ht="45" customHeight="1">
      <c r="A19" s="4" t="str">
        <v>AOW04: Governance, Institutions, Policy, and Inclusion</v>
      </c>
      <c r="B19" s="4" t="str">
        <v>Bioversity (Alliance)</v>
      </c>
      <c r="C19" s="4" t="str">
        <v>Peru</v>
      </c>
      <c r="D19" s="5">
        <v>25</v>
      </c>
      <c r="E19" s="4">
        <v>2335</v>
      </c>
    </row>
    <row r="20" ht="45" customHeight="1">
      <c r="A20" s="4" t="str">
        <v>AOW04: Governance, Institutions, Policy, and Inclusion</v>
      </c>
      <c r="B20" s="4" t="str">
        <v>Bioversity (Alliance)</v>
      </c>
      <c r="C20" s="4" t="str">
        <v>The Socialist Republic of Viet Nam</v>
      </c>
      <c r="D20" s="5">
        <v>25</v>
      </c>
      <c r="E20" s="4">
        <v>2336</v>
      </c>
    </row>
    <row r="21" ht="45" customHeight="1">
      <c r="A21" s="8" t="str">
        <v>AOW05: Performance Assessments &amp; Evidence Generation</v>
      </c>
      <c r="B21" s="4" t="str">
        <v>Bioversity (Alliance)</v>
      </c>
      <c r="C21" s="4" t="str">
        <v>India</v>
      </c>
      <c r="D21" s="5">
        <v>25</v>
      </c>
      <c r="E21" s="4">
        <v>2330</v>
      </c>
    </row>
    <row r="22" ht="45" customHeight="1">
      <c r="A22" s="4" t="str">
        <v>AOW05: Performance Assessments &amp; Evidence Generation</v>
      </c>
      <c r="B22" s="4" t="str">
        <v>Bioversity (Alliance)</v>
      </c>
      <c r="C22" s="4" t="str">
        <v>Ireland</v>
      </c>
      <c r="D22" s="5">
        <v>0</v>
      </c>
      <c r="E22" s="4">
        <v>2331</v>
      </c>
    </row>
    <row r="23" ht="45" customHeight="1">
      <c r="A23" s="4" t="str">
        <v>AOW05: Performance Assessments &amp; Evidence Generation</v>
      </c>
      <c r="B23" s="4" t="str">
        <v>Bioversity (Alliance)</v>
      </c>
      <c r="C23" s="4" t="str">
        <v>Kenya</v>
      </c>
      <c r="D23" s="5">
        <v>25</v>
      </c>
      <c r="E23" s="4">
        <v>2329</v>
      </c>
    </row>
    <row r="24" ht="45" customHeight="1">
      <c r="A24" s="4" t="str">
        <v>AOW05: Performance Assessments &amp; Evidence Generation</v>
      </c>
      <c r="B24" s="4" t="str">
        <v>Bioversity (Alliance)</v>
      </c>
      <c r="C24" s="4" t="str">
        <v>Peru</v>
      </c>
      <c r="D24" s="5">
        <v>25</v>
      </c>
      <c r="E24" s="4">
        <v>2332</v>
      </c>
    </row>
    <row r="25" ht="45" customHeight="1">
      <c r="A25" s="4" t="str">
        <v>AOW05: Performance Assessments &amp; Evidence Generation</v>
      </c>
      <c r="B25" s="4" t="str">
        <v>Bioversity (Alliance)</v>
      </c>
      <c r="C25" s="4" t="str">
        <v>Portugal</v>
      </c>
      <c r="D25" s="5">
        <v>0</v>
      </c>
      <c r="E25" s="4">
        <v>2333</v>
      </c>
    </row>
    <row r="26" ht="45" customHeight="1">
      <c r="A26" s="4" t="str">
        <v>AOW05: Performance Assessments &amp; Evidence Generation</v>
      </c>
      <c r="B26" s="4" t="str">
        <v>Bioversity (Alliance)</v>
      </c>
      <c r="C26" s="4" t="str">
        <v>The Socialist Republic of Viet Nam</v>
      </c>
      <c r="D26" s="5">
        <v>25</v>
      </c>
      <c r="E26" s="4">
        <v>2334</v>
      </c>
    </row>
  </sheetData>
  <mergeCells count="6">
    <mergeCell ref="A2"/>
    <mergeCell ref="A3:A8"/>
    <mergeCell ref="A9:A12"/>
    <mergeCell ref="A13:A16"/>
    <mergeCell ref="A17:A20"/>
    <mergeCell ref="A21:A26"/>
  </mergeCells>
  <ignoredErrors>
    <ignoredError numberStoredAsText="1" sqref="A1:E26"/>
  </ignoredErrors>
</worksheet>
</file>

<file path=xl/worksheets/sheet9.xml><?xml version="1.0" encoding="utf-8"?>
<worksheet xmlns="http://schemas.openxmlformats.org/spreadsheetml/2006/main" xmlns:r="http://schemas.openxmlformats.org/officeDocument/2006/relationships">
  <dimension ref="A1:F30"/>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Cambodia</v>
      </c>
      <c r="D2" s="4" t="str">
        <v>country</v>
      </c>
      <c r="E2" s="5">
        <v>4</v>
      </c>
      <c r="F2" s="4">
        <v>1568</v>
      </c>
    </row>
    <row r="3" ht="45" customHeight="1">
      <c r="A3" s="4" t="str">
        <v>AOW00: Cross Cutting</v>
      </c>
      <c r="B3" s="4" t="str">
        <v>Bioversity (Alliance)</v>
      </c>
      <c r="C3" s="4" t="str">
        <v>Colombia</v>
      </c>
      <c r="D3" s="4" t="str">
        <v>country</v>
      </c>
      <c r="E3" s="5">
        <v>10</v>
      </c>
      <c r="F3" s="4">
        <v>1569</v>
      </c>
    </row>
    <row r="4" ht="45" customHeight="1">
      <c r="A4" s="4" t="str">
        <v>AOW00: Cross Cutting</v>
      </c>
      <c r="B4" s="4" t="str">
        <v>Bioversity (Alliance)</v>
      </c>
      <c r="C4" s="4" t="str">
        <v>Côte d'Ivoire</v>
      </c>
      <c r="D4" s="4" t="str">
        <v>country</v>
      </c>
      <c r="E4" s="5">
        <v>7</v>
      </c>
      <c r="F4" s="4">
        <v>1570</v>
      </c>
    </row>
    <row r="5" ht="45" customHeight="1">
      <c r="A5" s="4" t="str">
        <v>AOW00: Cross Cutting</v>
      </c>
      <c r="B5" s="4" t="str">
        <v>Bioversity (Alliance)</v>
      </c>
      <c r="C5" s="4" t="str">
        <v>Ethiopia</v>
      </c>
      <c r="D5" s="4" t="str">
        <v>country</v>
      </c>
      <c r="E5" s="5">
        <v>7</v>
      </c>
      <c r="F5" s="4">
        <v>1571</v>
      </c>
    </row>
    <row r="6" ht="45" customHeight="1">
      <c r="A6" s="4" t="str">
        <v>AOW00: Cross Cutting</v>
      </c>
      <c r="B6" s="4" t="str">
        <v>Bioversity (Alliance)</v>
      </c>
      <c r="C6" s="4" t="str">
        <v>India</v>
      </c>
      <c r="D6" s="4" t="str">
        <v>country</v>
      </c>
      <c r="E6" s="5">
        <v>10</v>
      </c>
      <c r="F6" s="4">
        <v>1572</v>
      </c>
    </row>
    <row r="7" ht="45" customHeight="1">
      <c r="A7" s="4" t="str">
        <v>AOW00: Cross Cutting</v>
      </c>
      <c r="B7" s="4" t="str">
        <v>Bioversity (Alliance)</v>
      </c>
      <c r="C7" s="4" t="str">
        <v>Kenya</v>
      </c>
      <c r="D7" s="4" t="str">
        <v>country</v>
      </c>
      <c r="E7" s="5">
        <v>10</v>
      </c>
      <c r="F7" s="4">
        <v>1573</v>
      </c>
    </row>
    <row r="8" ht="45" customHeight="1">
      <c r="A8" s="4" t="str">
        <v>AOW00: Cross Cutting</v>
      </c>
      <c r="B8" s="4" t="str">
        <v>Bioversity (Alliance)</v>
      </c>
      <c r="C8" s="4" t="str">
        <v>Lao People's Democratic Republic</v>
      </c>
      <c r="D8" s="4" t="str">
        <v>country</v>
      </c>
      <c r="E8" s="5">
        <v>4</v>
      </c>
      <c r="F8" s="4">
        <v>1574</v>
      </c>
    </row>
    <row r="9" ht="45" customHeight="1">
      <c r="A9" s="4" t="str">
        <v>AOW00: Cross Cutting</v>
      </c>
      <c r="B9" s="4" t="str">
        <v>Bioversity (Alliance)</v>
      </c>
      <c r="C9" s="4" t="str">
        <v>Peru</v>
      </c>
      <c r="D9" s="4" t="str">
        <v>country</v>
      </c>
      <c r="E9" s="5">
        <v>10</v>
      </c>
      <c r="F9" s="4">
        <v>1575</v>
      </c>
    </row>
    <row r="10" ht="45" customHeight="1">
      <c r="A10" s="4" t="str">
        <v>AOW00: Cross Cutting</v>
      </c>
      <c r="B10" s="4" t="str">
        <v>Bioversity (Alliance)</v>
      </c>
      <c r="C10" s="4" t="str">
        <v>Senegal</v>
      </c>
      <c r="D10" s="4" t="str">
        <v>country</v>
      </c>
      <c r="E10" s="5">
        <v>7</v>
      </c>
      <c r="F10" s="4">
        <v>1576</v>
      </c>
    </row>
    <row r="11" ht="45" customHeight="1">
      <c r="A11" s="4" t="str">
        <v>AOW00: Cross Cutting</v>
      </c>
      <c r="B11" s="4" t="str">
        <v>Bioversity (Alliance)</v>
      </c>
      <c r="C11" s="4" t="str">
        <v>Tanzania</v>
      </c>
      <c r="D11" s="4" t="str">
        <v>country</v>
      </c>
      <c r="E11" s="5">
        <v>7</v>
      </c>
      <c r="F11" s="4">
        <v>1577</v>
      </c>
    </row>
    <row r="12" ht="45" customHeight="1">
      <c r="A12" s="4" t="str">
        <v>AOW00: Cross Cutting</v>
      </c>
      <c r="B12" s="4" t="str">
        <v>Bioversity (Alliance)</v>
      </c>
      <c r="C12" s="4" t="str">
        <v>The Socialist Republic of Viet Nam</v>
      </c>
      <c r="D12" s="4" t="str">
        <v>country</v>
      </c>
      <c r="E12" s="5">
        <v>4</v>
      </c>
      <c r="F12" s="4">
        <v>1578</v>
      </c>
    </row>
    <row r="13" ht="45" customHeight="1">
      <c r="A13" s="4" t="str">
        <v>AOW00: Cross Cutting</v>
      </c>
      <c r="B13" s="4" t="str">
        <v>Bioversity (Alliance)</v>
      </c>
      <c r="C13" s="4" t="str">
        <v>Tunisia</v>
      </c>
      <c r="D13" s="4" t="str">
        <v>country</v>
      </c>
      <c r="E13" s="5">
        <v>10</v>
      </c>
      <c r="F13" s="4">
        <v>1579</v>
      </c>
    </row>
    <row r="14" ht="45" customHeight="1">
      <c r="A14" s="4" t="str">
        <v>AOW00: Cross Cutting</v>
      </c>
      <c r="B14" s="4" t="str">
        <v>Bioversity (Alliance)</v>
      </c>
      <c r="C14" s="4" t="str">
        <v>United Republic</v>
      </c>
      <c r="D14" s="4" t="str">
        <v>country</v>
      </c>
      <c r="E14" s="5">
        <v>0</v>
      </c>
      <c r="F14" s="4">
        <v>1580</v>
      </c>
    </row>
    <row r="15" ht="45" customHeight="1">
      <c r="A15" s="4" t="str">
        <v>AOW00: Cross Cutting</v>
      </c>
      <c r="B15" s="4" t="str">
        <v>Bioversity (Alliance)</v>
      </c>
      <c r="C15" s="4" t="str">
        <v>Zimbabwe</v>
      </c>
      <c r="D15" s="4" t="str">
        <v>country</v>
      </c>
      <c r="E15" s="5">
        <v>10</v>
      </c>
      <c r="F15" s="4">
        <v>1581</v>
      </c>
    </row>
    <row r="16" ht="45" customHeight="1">
      <c r="A16" s="8" t="str">
        <v>AOW01: Agroecology+ Solutions &amp; Innovations</v>
      </c>
      <c r="B16" s="4" t="str">
        <v>Bioversity (Alliance)</v>
      </c>
      <c r="C16" s="4" t="str">
        <v>India</v>
      </c>
      <c r="D16" s="4" t="str">
        <v>country</v>
      </c>
      <c r="E16" s="5">
        <v>25</v>
      </c>
      <c r="F16" s="4">
        <v>1278</v>
      </c>
    </row>
    <row r="17" ht="45" customHeight="1">
      <c r="A17" s="4" t="str">
        <v>AOW01: Agroecology+ Solutions &amp; Innovations</v>
      </c>
      <c r="B17" s="4" t="str">
        <v>Bioversity (Alliance)</v>
      </c>
      <c r="C17" s="4" t="str">
        <v>Kenya</v>
      </c>
      <c r="D17" s="4" t="str">
        <v>country</v>
      </c>
      <c r="E17" s="5">
        <v>25</v>
      </c>
      <c r="F17" s="4">
        <v>1279</v>
      </c>
    </row>
    <row r="18" ht="45" customHeight="1">
      <c r="A18" s="4" t="str">
        <v>AOW01: Agroecology+ Solutions &amp; Innovations</v>
      </c>
      <c r="B18" s="4" t="str">
        <v>Bioversity (Alliance)</v>
      </c>
      <c r="C18" s="4" t="str">
        <v>Peru</v>
      </c>
      <c r="D18" s="4" t="str">
        <v>country</v>
      </c>
      <c r="E18" s="5">
        <v>25</v>
      </c>
      <c r="F18" s="4">
        <v>1280</v>
      </c>
    </row>
    <row r="19" ht="45" customHeight="1">
      <c r="A19" s="4" t="str">
        <v>AOW01: Agroecology+ Solutions &amp; Innovations</v>
      </c>
      <c r="B19" s="4" t="str">
        <v>Bioversity (Alliance)</v>
      </c>
      <c r="C19" s="4" t="str">
        <v>The Socialist Republic of Viet Nam</v>
      </c>
      <c r="D19" s="4" t="str">
        <v>country</v>
      </c>
      <c r="E19" s="5">
        <v>25</v>
      </c>
      <c r="F19" s="4">
        <v>1281</v>
      </c>
    </row>
    <row r="20" ht="45" customHeight="1">
      <c r="A20" s="8" t="str">
        <v>AOW02: Landscape Optimization and Inclusive Planning</v>
      </c>
      <c r="B20" s="4" t="str">
        <v>Bioversity (Alliance)</v>
      </c>
      <c r="C20" s="4" t="str">
        <v>India</v>
      </c>
      <c r="D20" s="4" t="str">
        <v>country</v>
      </c>
      <c r="E20" s="5">
        <v>25</v>
      </c>
      <c r="F20" s="4">
        <v>1274</v>
      </c>
    </row>
    <row r="21" ht="45" customHeight="1">
      <c r="A21" s="4" t="str">
        <v>AOW02: Landscape Optimization and Inclusive Planning</v>
      </c>
      <c r="B21" s="4" t="str">
        <v>Bioversity (Alliance)</v>
      </c>
      <c r="C21" s="4" t="str">
        <v>Kenya</v>
      </c>
      <c r="D21" s="4" t="str">
        <v>country</v>
      </c>
      <c r="E21" s="5">
        <v>25</v>
      </c>
      <c r="F21" s="4">
        <v>1275</v>
      </c>
    </row>
    <row r="22" ht="45" customHeight="1">
      <c r="A22" s="4" t="str">
        <v>AOW02: Landscape Optimization and Inclusive Planning</v>
      </c>
      <c r="B22" s="4" t="str">
        <v>Bioversity (Alliance)</v>
      </c>
      <c r="C22" s="4" t="str">
        <v>Peru</v>
      </c>
      <c r="D22" s="4" t="str">
        <v>country</v>
      </c>
      <c r="E22" s="5">
        <v>25</v>
      </c>
      <c r="F22" s="4">
        <v>1276</v>
      </c>
    </row>
    <row r="23" ht="45" customHeight="1">
      <c r="A23" s="4" t="str">
        <v>AOW02: Landscape Optimization and Inclusive Planning</v>
      </c>
      <c r="B23" s="4" t="str">
        <v>Bioversity (Alliance)</v>
      </c>
      <c r="C23" s="4" t="str">
        <v>The Socialist Republic of Viet Nam</v>
      </c>
      <c r="D23" s="4" t="str">
        <v>country</v>
      </c>
      <c r="E23" s="5">
        <v>25</v>
      </c>
      <c r="F23" s="4">
        <v>1277</v>
      </c>
    </row>
    <row r="24" ht="45" customHeight="1">
      <c r="A24" s="8" t="str">
        <v>AOW03: Business Models, Markets, and Sustainable Finance</v>
      </c>
      <c r="B24" s="4" t="str">
        <v>Bioversity (Alliance)</v>
      </c>
      <c r="C24" s="4" t="str">
        <v>Global</v>
      </c>
      <c r="D24" s="4" t="str">
        <v>global</v>
      </c>
      <c r="E24" s="5">
        <v>100</v>
      </c>
      <c r="F24" s="4">
        <v>817</v>
      </c>
    </row>
    <row r="25" ht="45" customHeight="1">
      <c r="A25" s="8" t="str">
        <v>AOW04: Governance, Institutions, Policy, and Inclusion</v>
      </c>
      <c r="B25" s="4" t="str">
        <v>Bioversity (Alliance)</v>
      </c>
      <c r="C25" s="4" t="str">
        <v>India</v>
      </c>
      <c r="D25" s="4" t="str">
        <v>country</v>
      </c>
      <c r="E25" s="5">
        <v>25</v>
      </c>
      <c r="F25" s="4">
        <v>1269</v>
      </c>
    </row>
    <row r="26" ht="45" customHeight="1">
      <c r="A26" s="4" t="str">
        <v>AOW04: Governance, Institutions, Policy, and Inclusion</v>
      </c>
      <c r="B26" s="4" t="str">
        <v>Bioversity (Alliance)</v>
      </c>
      <c r="C26" s="4" t="str">
        <v>Kenya</v>
      </c>
      <c r="D26" s="4" t="str">
        <v>country</v>
      </c>
      <c r="E26" s="5">
        <v>25</v>
      </c>
      <c r="F26" s="4">
        <v>1270</v>
      </c>
    </row>
    <row r="27" ht="45" customHeight="1">
      <c r="A27" s="4" t="str">
        <v>AOW04: Governance, Institutions, Policy, and Inclusion</v>
      </c>
      <c r="B27" s="4" t="str">
        <v>Bioversity (Alliance)</v>
      </c>
      <c r="C27" s="4" t="str">
        <v>Peru</v>
      </c>
      <c r="D27" s="4" t="str">
        <v>country</v>
      </c>
      <c r="E27" s="5">
        <v>25</v>
      </c>
      <c r="F27" s="4">
        <v>1271</v>
      </c>
    </row>
    <row r="28" ht="45" customHeight="1">
      <c r="A28" s="4" t="str">
        <v>AOW04: Governance, Institutions, Policy, and Inclusion</v>
      </c>
      <c r="B28" s="4" t="str">
        <v>Bioversity (Alliance)</v>
      </c>
      <c r="C28" s="4" t="str">
        <v>The Socialist Republic of Viet Nam</v>
      </c>
      <c r="D28" s="4" t="str">
        <v>country</v>
      </c>
      <c r="E28" s="5">
        <v>25</v>
      </c>
      <c r="F28" s="4">
        <v>1272</v>
      </c>
    </row>
    <row r="29" ht="45" customHeight="1">
      <c r="A29" s="4" t="str">
        <v>AOW04: Governance, Institutions, Policy, and Inclusion</v>
      </c>
      <c r="B29" s="4" t="str">
        <v>Bioversity (Alliance)</v>
      </c>
      <c r="C29" s="4" t="str">
        <v>Tunisia</v>
      </c>
      <c r="D29" s="4" t="str">
        <v>country</v>
      </c>
      <c r="E29" s="5">
        <v>0</v>
      </c>
      <c r="F29" s="4">
        <v>1273</v>
      </c>
    </row>
    <row r="30" ht="45" customHeight="1">
      <c r="A30" s="8" t="str">
        <v>AOW05: Performance Assessments &amp; Evidence Generation</v>
      </c>
      <c r="B30" s="4" t="str">
        <v>Bioversity (Alliance)</v>
      </c>
      <c r="C30" s="4" t="str">
        <v>Global</v>
      </c>
      <c r="D30" s="4" t="str">
        <v>global</v>
      </c>
      <c r="E30" s="5">
        <v>100</v>
      </c>
      <c r="F30" s="4">
        <v>816</v>
      </c>
    </row>
  </sheetData>
  <mergeCells count="6">
    <mergeCell ref="A2:A15"/>
    <mergeCell ref="A16:A19"/>
    <mergeCell ref="A20:A23"/>
    <mergeCell ref="A24"/>
    <mergeCell ref="A25:A29"/>
    <mergeCell ref="A30"/>
  </mergeCells>
  <ignoredErrors>
    <ignoredError numberStoredAsText="1" sqref="A1:F30"/>
  </ignoredErrors>
</worksheet>
</file>

<file path=xl/worksheets/sheet10.xml><?xml version="1.0" encoding="utf-8"?>
<worksheet xmlns="http://schemas.openxmlformats.org/spreadsheetml/2006/main" xmlns:r="http://schemas.openxmlformats.org/officeDocument/2006/relationships">
  <dimension ref="A1:E35"/>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Agroecology+ Solutions &amp; Innovations</v>
      </c>
      <c r="B2" s="4" t="str">
        <v xml:space="preserve">Sustainable Animal and Aquatic Foods </v>
      </c>
      <c r="C2" s="4" t="str">
        <v>OP 1.1.1. – Bundles of farm-level solutions</v>
      </c>
      <c r="D2" s="4" t="str">
        <v>Bundles of Agroecology+ solutions that include animal and aquatic foods</v>
      </c>
      <c r="E2" s="4">
        <v>982</v>
      </c>
    </row>
    <row r="3" ht="60" customHeight="1">
      <c r="A3" s="4" t="str">
        <v>AOW01: Agroecology+ Solutions &amp; Innovations</v>
      </c>
      <c r="B3" s="4" t="str">
        <v xml:space="preserve">Digital Transformation </v>
      </c>
      <c r="C3" s="4" t="str">
        <v>OP 1.1.1. – Bundles of farm-level solutions</v>
      </c>
      <c r="D3" s="4" t="str">
        <v>Harmonized digital agronomic data collection system that enables consistent, comparable field data across sites and partners. AI-powered precision advisory for pest and disease detection, input optimization, soil conservation, yield improvement and stability, and accurate forecasting of offtake volumes and market prices.</v>
      </c>
      <c r="E3" s="4">
        <v>983</v>
      </c>
    </row>
    <row r="4" ht="60" customHeight="1">
      <c r="A4" s="4" t="str">
        <v>AOW01: Agroecology+ Solutions &amp; Innovations</v>
      </c>
      <c r="B4" s="4" t="str">
        <v xml:space="preserve">Sustainable Farming </v>
      </c>
      <c r="C4" s="4" t="str">
        <v>OP 1.1.1. – Bundles of farm-level solutions</v>
      </c>
      <c r="D4" s="4" t="str">
        <v>Harmonized digital agronomic data collection system that enables consistent, comparable field data across sites and partners. Integrated Farming System Models for Resilient Livelihoods. Co-develop and validate location-specific integrated solution bundles for rainfed and irrigated farming systems with varying resource availability,</v>
      </c>
      <c r="E4" s="4">
        <v>984</v>
      </c>
    </row>
    <row r="5" ht="60" customHeight="1">
      <c r="A5" s="4" t="str">
        <v>AOW01: Agroecology+ Solutions &amp; Innovations</v>
      </c>
      <c r="B5" s="4" t="str">
        <v>Genebank</v>
      </c>
      <c r="C5" s="4" t="str">
        <v>OP 1.1.1. – Bundles of farm-level solutions</v>
      </c>
      <c r="D5" s="4" t="str">
        <v>Agrobiodiversity, Underutilized crops</v>
      </c>
      <c r="E5" s="4">
        <v>985</v>
      </c>
    </row>
    <row r="6" ht="60" customHeight="1">
      <c r="A6" s="4" t="str">
        <v>AOW01: Agroecology+ Solutions &amp; Innovations</v>
      </c>
      <c r="B6" s="4" t="str">
        <v>Better Diets and Nutrition</v>
      </c>
      <c r="C6" s="4" t="str">
        <v>OP 1.1.1. – Bundles of farm-level solutions</v>
      </c>
      <c r="D6" s="4" t="str">
        <v>Interrelation of Agroecology+ solution bundles, enhancement of food production and human diets</v>
      </c>
      <c r="E6" s="4">
        <v>986</v>
      </c>
    </row>
    <row r="7" ht="60" customHeight="1">
      <c r="A7" s="4" t="str">
        <v>AOW01: Agroecology+ Solutions &amp; Innovations</v>
      </c>
      <c r="B7" s="4" t="str">
        <v xml:space="preserve">Sustainable Animal and Aquatic Foods </v>
      </c>
      <c r="C7" s="4" t="str">
        <v>OP 1.1.3. – Common pool resource bundles</v>
      </c>
      <c r="D7" s="4" t="str">
        <v>Aquatic Food Production Models, rangeland management, agrosilvopastoril restoration, Integrate sustainable livestock grazing</v>
      </c>
      <c r="E7" s="4">
        <v>987</v>
      </c>
    </row>
    <row r="8" ht="60" customHeight="1" xml:space="preserve">
      <c r="A8" s="4" t="str">
        <v>AOW01: Agroecology+ Solutions &amp; Innovations</v>
      </c>
      <c r="B8" s="4" t="str">
        <v>Climate Action</v>
      </c>
      <c r="C8" s="4" t="str">
        <v>OP 1.1.2. – Climate-smart adaptation &amp; mitigation bundles</v>
      </c>
      <c r="D8" s="4" t="str" xml:space="preserve">
        <v xml:space="preserve">Climate-resilient reforestation with native carob trees, Mother Trials for Agroecological Solution Bundles,
Integrated nutrient, carbon, and water-loop innovations and management plans,
Integrated Climate-Smart Resource-Efficient Solution Bundles,</v>
      </c>
      <c r="E8" s="4">
        <v>988</v>
      </c>
    </row>
    <row r="9" ht="60" customHeight="1">
      <c r="A9" s="4" t="str">
        <v>AOW01: Agroecology+ Solutions &amp; Innovations</v>
      </c>
      <c r="B9" s="4" t="str">
        <v>Climate Action</v>
      </c>
      <c r="C9" s="4" t="str">
        <v>OP 1.1.2. – Climate-smart adaptation &amp; mitigation bundles</v>
      </c>
      <c r="D9" s="4" t="str">
        <v/>
      </c>
      <c r="E9" s="4">
        <v>989</v>
      </c>
    </row>
    <row r="10" ht="60" customHeight="1">
      <c r="A10" s="4" t="str">
        <v>AOW01: Agroecology+ Solutions &amp; Innovations</v>
      </c>
      <c r="B10" s="4" t="str">
        <v xml:space="preserve">Sustainable Animal and Aquatic Foods </v>
      </c>
      <c r="C10" s="4" t="str">
        <v>OP 1.2.5. – Nutrition-sensitive innovations</v>
      </c>
      <c r="D10" s="4" t="str">
        <v>Forage and Grass Integration into Community Seed and Tree Bank Systems</v>
      </c>
      <c r="E10" s="4">
        <v>990</v>
      </c>
    </row>
    <row r="11" ht="60" customHeight="1">
      <c r="A11" s="4" t="str">
        <v>AOW01: Agroecology+ Solutions &amp; Innovations</v>
      </c>
      <c r="B11" s="4" t="str">
        <v>Better Diets and Nutrition</v>
      </c>
      <c r="C11" s="4" t="str">
        <v>OP 1.2.5. – Nutrition-sensitive innovations</v>
      </c>
      <c r="D11" s="4" t="str">
        <v>Nutrition education strategy, Healthy-diet consumption, Community Seed Bank,s Community-Based Agrobiodiversity and NUS Conservation and Use, Nutrition-Smart Villages and Capacity Building</v>
      </c>
      <c r="E11" s="4">
        <v>991</v>
      </c>
    </row>
    <row r="12" ht="60" customHeight="1" xml:space="preserve">
      <c r="A12" s="4" t="str">
        <v>AOW01: Agroecology+ Solutions &amp; Innovations</v>
      </c>
      <c r="B12" s="4" t="str">
        <v>Capacity Sharing</v>
      </c>
      <c r="C12" s="4" t="str">
        <v>OP 1.2.6. – Advisory &amp; training innovations</v>
      </c>
      <c r="D12" s="4" t="str" xml:space="preserve">
        <v xml:space="preserve">Rangeland assessment and restoration training,
Multifunctional School Networks for Nutrition, Agroecology, and Local Food Use,
Capacity Strengthening on Digital Soil Mapping, Capacity-building modules and youth engagement,
Capacity Building for Smart Valleys Implementation,
Strengthening Cooperative Governance and Inclusivity</v>
      </c>
      <c r="E12" s="4">
        <v>992</v>
      </c>
    </row>
    <row r="13" ht="60" customHeight="1">
      <c r="A13" s="4" t="str">
        <v>AOW01: Agroecology+ Solutions &amp; Innovations</v>
      </c>
      <c r="B13" s="4" t="str">
        <v xml:space="preserve">Sustainable Farming </v>
      </c>
      <c r="C13" s="4" t="str">
        <v>OP 1.2.4. – Protected area solutions</v>
      </c>
      <c r="D13" s="4" t="str">
        <v/>
      </c>
      <c r="E13" s="4">
        <v>993</v>
      </c>
    </row>
    <row r="14" ht="60" customHeight="1">
      <c r="A14" s="8" t="str">
        <v>AOW02: Landscape Optimization and Inclusive Planning</v>
      </c>
      <c r="B14" s="4" t="str">
        <v xml:space="preserve">Sustainable Farming </v>
      </c>
      <c r="C14" s="4" t="str">
        <v>OP 2.2.3. – Integrated planning &amp; scenarios</v>
      </c>
      <c r="D14" s="4" t="str">
        <v xml:space="preserve">Modeling, GIS, digital infrastructure at farm-landscape interface </v>
      </c>
      <c r="E14" s="4">
        <v>960</v>
      </c>
    </row>
    <row r="15" ht="60" customHeight="1">
      <c r="A15" s="4" t="str">
        <v>AOW02: Landscape Optimization and Inclusive Planning</v>
      </c>
      <c r="B15" s="4" t="str">
        <v xml:space="preserve">Digital Transformation </v>
      </c>
      <c r="C15" s="4" t="str">
        <v>OP 2.2.4. – Digital Twins for foresight</v>
      </c>
      <c r="D15" s="4" t="str">
        <v>Digital twins</v>
      </c>
      <c r="E15" s="4">
        <v>966</v>
      </c>
    </row>
    <row r="16" ht="60" customHeight="1" xml:space="preserve">
      <c r="A16" s="4" t="str">
        <v>AOW02: Landscape Optimization and Inclusive Planning</v>
      </c>
      <c r="B16" s="4" t="str">
        <v xml:space="preserve">Digital Transformation </v>
      </c>
      <c r="C16" s="4" t="str">
        <v>OP 2.1.1. – Hotspot mapping &amp; characterization</v>
      </c>
      <c r="D16" s="4" t="str" xml:space="preserve">
        <v xml:space="preserve">Parametised Decision Support System for Agrotechnology Transfer (DSSAT),
Geospatial maps indicating levels of land degradation hotspots,
Knowledge Products and Community of Practice (CoP) on Digital Tools,
Hotspot Identification and Mapping</v>
      </c>
      <c r="E16" s="4">
        <v>972</v>
      </c>
    </row>
    <row r="17" ht="60" customHeight="1">
      <c r="A17" s="4" t="str">
        <v>AOW02: Landscape Optimization and Inclusive Planning</v>
      </c>
      <c r="B17" s="4" t="str">
        <v>Policy Innovations</v>
      </c>
      <c r="C17" s="4" t="str">
        <v>OP 2.2.2. – Landscape visions &amp; co-developed plans</v>
      </c>
      <c r="D17" s="4" t="str">
        <v>Governance of Living Labs, vision-to-action process as a policy engagement innovations</v>
      </c>
      <c r="E17" s="4">
        <v>973</v>
      </c>
    </row>
    <row r="18" ht="60" customHeight="1">
      <c r="A18" s="8" t="str">
        <v>AOW03: Business Models, Markets, and Sustainable Finance</v>
      </c>
      <c r="B18" s="4" t="str">
        <v>Policy Innovations</v>
      </c>
      <c r="C18" s="4" t="str">
        <v>OP 3.4.5. Integrated policy–market–finance pathways</v>
      </c>
      <c r="D18" s="4" t="str">
        <v>Evidence-based frameworks and decision support tools for policy-market-finance alignment</v>
      </c>
      <c r="E18" s="4">
        <v>962</v>
      </c>
    </row>
    <row r="19" ht="60" customHeight="1" xml:space="preserve">
      <c r="A19" s="4" t="str">
        <v>AOW03: Business Models, Markets, and Sustainable Finance</v>
      </c>
      <c r="B19" s="4" t="str">
        <v xml:space="preserve">Gender Equality and Inclusion </v>
      </c>
      <c r="C19" s="4" t="str">
        <v>OP 3.2.2. Inclusive business models</v>
      </c>
      <c r="D19" s="4" t="str" xml:space="preserve">
        <v xml:space="preserve">Identification of women and youth circular income-generating activities
Inclusive Business Models for Multifunctional Landscapes
Market Study to Enhance Local Crop Diversity and Market Access for Indigenous Rice Varieties
Business Model for Market Integration of Local and Indigenous Fruits and Vegetables</v>
      </c>
      <c r="E19" s="4">
        <v>975</v>
      </c>
    </row>
    <row r="20" ht="60" customHeight="1" xml:space="preserve">
      <c r="A20" s="4" t="str">
        <v>AOW03: Business Models, Markets, and Sustainable Finance</v>
      </c>
      <c r="B20" s="4" t="str">
        <v>Better Diets and Nutrition</v>
      </c>
      <c r="C20" s="4" t="str">
        <v>OP 3.2.2. Inclusive business models</v>
      </c>
      <c r="D20" s="4" t="str" xml:space="preserve">
        <v xml:space="preserve">Consumer Preference and Institutional Market Analysis for Dairy and Pearl Millet Products
Market Study to Enhance Local Crop Diversity and Market Access for Indigenous Rice Varieties
Business Model for Market Integration of Local and Indigenous Fruits and Vegetables
Co-Designed Solutions for Nutritious and Sustainable Food Value Chains
</v>
      </c>
      <c r="E20" s="4">
        <v>976</v>
      </c>
    </row>
    <row r="21" ht="60" customHeight="1" xml:space="preserve">
      <c r="A21" s="4" t="str">
        <v>AOW03: Business Models, Markets, and Sustainable Finance</v>
      </c>
      <c r="B21" s="4" t="str">
        <v>Policy Innovations</v>
      </c>
      <c r="C21" s="4" t="str">
        <v>OP 3.2.2. Inclusive business models</v>
      </c>
      <c r="D21" s="4" t="str" xml:space="preserve">
        <v xml:space="preserve">Inclusive Business Models and Enabling Policy for NUS Value Chains
</v>
      </c>
      <c r="E21" s="4">
        <v>977</v>
      </c>
    </row>
    <row r="22" ht="60" customHeight="1">
      <c r="A22" s="4" t="str">
        <v>AOW03: Business Models, Markets, and Sustainable Finance</v>
      </c>
      <c r="B22" s="4" t="str">
        <v xml:space="preserve">Sustainable Animal and Aquatic Foods </v>
      </c>
      <c r="C22" s="4" t="str">
        <v>OP 3.2.2. Inclusive business models</v>
      </c>
      <c r="D22" s="4" t="str">
        <v>Financial health and entrepreneurial Opportunity of aquatic food producers</v>
      </c>
      <c r="E22" s="4">
        <v>978</v>
      </c>
    </row>
    <row r="23" ht="60" customHeight="1">
      <c r="A23" s="4" t="str">
        <v>AOW03: Business Models, Markets, and Sustainable Finance</v>
      </c>
      <c r="B23" s="4" t="str">
        <v>Policy Innovations</v>
      </c>
      <c r="C23" s="4" t="str">
        <v>OP 3.3.3. Co-designed inclusive market and non-market mechanisms for optimizing ecosystem services</v>
      </c>
      <c r="D23" s="4" t="str">
        <v>Political economy of inclusive market and non-market mechanisms for optimizing ecosystem services</v>
      </c>
      <c r="E23" s="4">
        <v>979</v>
      </c>
    </row>
    <row r="24" ht="60" customHeight="1">
      <c r="A24" s="4" t="str">
        <v>AOW03: Business Models, Markets, and Sustainable Finance</v>
      </c>
      <c r="B24" s="4" t="str">
        <v>Capacity Sharing</v>
      </c>
      <c r="C24" s="4" t="str">
        <v>OP 3.1.1. Capacity strengthening for producer organizations &amp; value chains</v>
      </c>
      <c r="D24" s="4" t="str">
        <v>Capacity development of producer organizations for Biodiversity-Based and Agroecological Enterprises, peer-to-peer learning and knowledge exchange</v>
      </c>
      <c r="E24" s="4">
        <v>980</v>
      </c>
    </row>
    <row r="25" ht="60" customHeight="1">
      <c r="A25" s="4" t="str">
        <v>AOW03: Business Models, Markets, and Sustainable Finance</v>
      </c>
      <c r="B25" s="4" t="str">
        <v>Scaling for Impact</v>
      </c>
      <c r="C25" s="4" t="str">
        <v>OP 3.3.4. Innovative sustainable finance instruments</v>
      </c>
      <c r="D25" s="4" t="str">
        <v>Incubators and financial mechanisms for Agroecological Enterprises</v>
      </c>
      <c r="E25" s="4">
        <v>981</v>
      </c>
    </row>
    <row r="26" ht="60" customHeight="1" xml:space="preserve">
      <c r="A26" s="8" t="str">
        <v>AOW04: Governance, Institutions, Policy, and Inclusion</v>
      </c>
      <c r="B26" s="4" t="str">
        <v xml:space="preserve">Gender Equality and Inclusion </v>
      </c>
      <c r="C26" s="4" t="str">
        <v>OP 4.1.2 GEYSI for co-creation and inclusive governance</v>
      </c>
      <c r="D26" s="4" t="str" xml:space="preserve">
        <v xml:space="preserve">Theatre productions addressing harmful gender norms around leadership, technology adoption and innovation adoption in MFL context. 
Qualitative research and participatory analysis identifying barriers, enablers, and opportunities for women’s leadership in seed systems and biodiversity conservation within multifunctional landscapes.
Methodological toolbox for developing gender, youth and inclusion responsive approaches
Inclusive Business Models and Institutional Capacity for Youth Inclusion in MFLs 
Empowering Youth through Citizen Science </v>
      </c>
      <c r="E26" s="4">
        <v>963</v>
      </c>
    </row>
    <row r="27" ht="60" customHeight="1" xml:space="preserve">
      <c r="A27" s="4" t="str">
        <v>AOW04: Governance, Institutions, Policy, and Inclusion</v>
      </c>
      <c r="B27" s="4" t="str">
        <v>Policy Innovations</v>
      </c>
      <c r="C27" s="4" t="str">
        <v>OP 4.3.2. Engagement frameworks and pilots</v>
      </c>
      <c r="D27" s="4" t="str" xml:space="preserve">
        <v xml:space="preserve">Political economy of agroecology and multifunctional landscapes,
Policy and Institutional Coherence,
Design of national Agroecology strategies,
Analysis of Socioeconomic Benefits, Equity Challenges, and Collective Action.</v>
      </c>
      <c r="E27" s="4">
        <v>967</v>
      </c>
    </row>
    <row r="28" ht="60" customHeight="1">
      <c r="A28" s="4" t="str">
        <v>AOW04: Governance, Institutions, Policy, and Inclusion</v>
      </c>
      <c r="B28" s="4" t="str">
        <v>Policy Innovations</v>
      </c>
      <c r="C28" s="4" t="str">
        <v>OP 4.2.1. Institutional, social and behavioral mechanisms</v>
      </c>
      <c r="D28" s="4" t="str">
        <v>Conduct a diagnostic assessment of institutional, behavioral, governance, and incentive factors that shape national agricultural research priorities within NARS.</v>
      </c>
      <c r="E28" s="4">
        <v>968</v>
      </c>
    </row>
    <row r="29" ht="60" customHeight="1" xml:space="preserve">
      <c r="A29" s="4" t="str">
        <v>AOW04: Governance, Institutions, Policy, and Inclusion</v>
      </c>
      <c r="B29" s="4" t="str">
        <v>Policy Innovations</v>
      </c>
      <c r="C29" s="4" t="str">
        <v>OP 4.2.2. Demand driven capacity sharing for policy makers and landscape stakeholders</v>
      </c>
      <c r="D29" s="4" t="str" xml:space="preserve">
        <v xml:space="preserve">Socially Inclusive Land Use Planning and Governance,
Assessment of capacity sharing needs of policy makers in MFL countries</v>
      </c>
      <c r="E29" s="4">
        <v>969</v>
      </c>
    </row>
    <row r="30" ht="60" customHeight="1">
      <c r="A30" s="4" t="str">
        <v>AOW04: Governance, Institutions, Policy, and Inclusion</v>
      </c>
      <c r="B30" s="4" t="str">
        <v>Capacity Sharing</v>
      </c>
      <c r="C30" s="4" t="str">
        <v>OP 4.2.2. Demand driven capacity sharing for policy makers and landscape stakeholders</v>
      </c>
      <c r="D30" s="4" t="str">
        <v>Behavior change, Assessment of capacity sharing needs of policy makers in MFL countries</v>
      </c>
      <c r="E30" s="4">
        <v>970</v>
      </c>
    </row>
    <row r="31" ht="60" customHeight="1">
      <c r="A31" s="4" t="str">
        <v>AOW04: Governance, Institutions, Policy, and Inclusion</v>
      </c>
      <c r="B31" s="4" t="str">
        <v>Policy Innovations</v>
      </c>
      <c r="C31" s="4" t="str">
        <v>OP 4.3.1. Multifunctional landscapes policy design and implementation</v>
      </c>
      <c r="D31" s="4" t="str">
        <v>Multifunctional landscapes policy design and implementation</v>
      </c>
      <c r="E31" s="4">
        <v>971</v>
      </c>
    </row>
    <row r="32" ht="60" customHeight="1">
      <c r="A32" s="4" t="str">
        <v>AOW04: Governance, Institutions, Policy, and Inclusion</v>
      </c>
      <c r="B32" s="4" t="str">
        <v>Policy Innovations</v>
      </c>
      <c r="C32" s="4" t="str">
        <v>OP 4.1.1. Inclusive governance architectures</v>
      </c>
      <c r="D32" s="4" t="str">
        <v>MFL governance designs</v>
      </c>
      <c r="E32" s="4">
        <v>974</v>
      </c>
    </row>
    <row r="33" ht="60" customHeight="1">
      <c r="A33" s="8" t="str">
        <v>AOW05: Performance Assessments &amp; Evidence Generation</v>
      </c>
      <c r="B33" s="4" t="str">
        <v xml:space="preserve">Digital Transformation </v>
      </c>
      <c r="C33" s="4" t="str">
        <v>OP 5.2.2. AI-assisted monitoring system</v>
      </c>
      <c r="D33" s="4" t="str">
        <v>Number of AI-enabled real-time monitoring methods and tools developed for landscape monitoring</v>
      </c>
      <c r="E33" s="4">
        <v>961</v>
      </c>
    </row>
    <row r="34" ht="60" customHeight="1">
      <c r="A34" s="4" t="str">
        <v>AOW05: Performance Assessments &amp; Evidence Generation</v>
      </c>
      <c r="B34" s="4" t="str">
        <v>Policy Innovations</v>
      </c>
      <c r="C34" s="4" t="str">
        <v>OP 5.1.3. Cross-CGIAR assessment frameworks of impact indicators</v>
      </c>
      <c r="D34" s="4" t="str">
        <v>Integrated assessment frameworks Assessment framework MFL-related topics. Impact indicators for agro-biodiversity: Land health, Soil health, Improved water accessibility, 4. Improved water use efficiency, Forest cover,  Tree cover, Improved plant nutrient management, Improved plant nutrient use efficiency, Biodiversity conservation, including livestock and aquatic foods, Biodiversity sustainable use Indicator: Number of impact indicators updated with scientific evidence</v>
      </c>
      <c r="E34" s="4">
        <v>964</v>
      </c>
    </row>
    <row r="35" ht="60" customHeight="1">
      <c r="A35" s="4" t="str">
        <v>AOW05: Performance Assessments &amp; Evidence Generation</v>
      </c>
      <c r="B35" s="4" t="str">
        <v>Policy Innovations</v>
      </c>
      <c r="C35" s="4" t="str">
        <v>OP 5.2.1. Knowledge and information hubs</v>
      </c>
      <c r="D35" s="4" t="str">
        <v>MFL evidence-based knowledge hubs, policy dialogues, country-evidence packages</v>
      </c>
      <c r="E35" s="4">
        <v>965</v>
      </c>
    </row>
  </sheetData>
  <mergeCells count="5">
    <mergeCell ref="A2:A13"/>
    <mergeCell ref="A14:A17"/>
    <mergeCell ref="A18:A25"/>
    <mergeCell ref="A26:A32"/>
    <mergeCell ref="A33:A35"/>
  </mergeCells>
  <ignoredErrors>
    <ignoredError numberStoredAsText="1" sqref="A1:E35"/>
  </ignoredErrors>
</worksheet>
</file>

<file path=xl/worksheets/sheet11.xml><?xml version="1.0" encoding="utf-8"?>
<worksheet xmlns="http://schemas.openxmlformats.org/spreadsheetml/2006/main" xmlns:r="http://schemas.openxmlformats.org/officeDocument/2006/relationships">
  <dimension ref="A1:G38"/>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2030 OC-5 National, regional, and global actors proactively apply scientifically-sound MFL evidence and strengthened capacities to shape policy discourse, investment decisions, and agenda-setting</v>
      </c>
      <c r="C2" s="4" t="str">
        <v/>
      </c>
      <c r="D2" s="4" t="str">
        <v>Number of partners implementing CGIAR-supported innovations.</v>
      </c>
      <c r="E2" s="4" t="str">
        <v>Country: Cambodia, Colombia, India, Kenya, Lao People's Democratic Republic, Peru, Senegal, Tanzania, United Republic, The Socialist Republic of Viet Nam, Tunisia, Zimbabwe</v>
      </c>
      <c r="F2" s="5">
        <v>10</v>
      </c>
      <c r="G2" s="4">
        <v>548</v>
      </c>
    </row>
    <row r="3" ht="60" customHeight="1">
      <c r="A3" s="4" t="str">
        <v>AOW00: Cross Cutting</v>
      </c>
      <c r="B3" s="4" t="str">
        <v>2030 OC-5 National, regional, and global actors proactively apply scientifically-sound MFL evidence and strengthened capacities to shape policy discourse, investment decisions, and agenda-setting</v>
      </c>
      <c r="C3" s="4" t="str">
        <v/>
      </c>
      <c r="D3" s="4" t="str">
        <v>Number of national, regional, and global actors with strengthened capacity to use and communicate multifunctional landscapes evidence</v>
      </c>
      <c r="E3" s="4" t="str">
        <v>Country: Cambodia, Colombia, India, Kenya, Lao People's Democratic Republic, Peru, Senegal, Tanzania, United Republic, The Socialist Republic of Viet Nam, Tunisia, Zimbabwe</v>
      </c>
      <c r="F3" s="5">
        <v>10</v>
      </c>
      <c r="G3" s="4">
        <v>548</v>
      </c>
    </row>
    <row r="4" ht="60" customHeight="1">
      <c r="A4" s="4" t="str">
        <v>AOW00: Cross Cutting</v>
      </c>
      <c r="B4" s="4" t="str">
        <v>2030 OC-4. Women, youth, Indigenous Peoples, and other marginalized groups in each target landscape effectively shape and equitably benefit from landscape plans, governance mechanisms, institutional innovations, and inclusive business models</v>
      </c>
      <c r="C4" s="4" t="str">
        <v/>
      </c>
      <c r="D4" s="4" t="str">
        <v>Number of new or revised government strategies, policies, legal acts regulations or programs using CGIAR research.</v>
      </c>
      <c r="E4" s="4" t="str">
        <v>Country: Cambodia, Colombia, Côte d'Ivoire, Ethiopia, India, Kenya, Lao People's Democratic Republic, Peru, Senegal, Tanzania, United Republic, The Socialist Republic of Viet Nam, Tunisia, Zimbabwe</v>
      </c>
      <c r="F4" s="5">
        <v>2</v>
      </c>
      <c r="G4" s="4">
        <v>549</v>
      </c>
    </row>
    <row r="5" ht="60" customHeight="1">
      <c r="A5" s="4" t="str">
        <v>AOW00: Cross Cutting</v>
      </c>
      <c r="B5" s="4" t="str">
        <v>2030 OC-3 National and sub-national public actors, market and finance sector actors implement and sustain coordinated, inclusive policy, organizational, market, and non-market innovations</v>
      </c>
      <c r="C5" s="4" t="str">
        <v/>
      </c>
      <c r="D5" s="4" t="str">
        <v/>
      </c>
      <c r="E5" s="4" t="str">
        <v/>
      </c>
      <c r="F5" s="5">
        <v>0</v>
      </c>
      <c r="G5" s="4">
        <v>553</v>
      </c>
    </row>
    <row r="6" ht="60" customHeight="1" xml:space="preserve">
      <c r="A6" s="4" t="str">
        <v>AOW00: Cross Cutting</v>
      </c>
      <c r="B6" s="4" t="str" xml:space="preserve">
        <v xml:space="preserve">2030 OC-1.1. Farmers, fishers, herders, foresters, forest and water users groups in the targeted Living Landscapes apply technological, socio-ecological, policy and/or institutional solutions and innovations
2030 OC-1.2. National and sub-national public actors, and private sector actors in the targeted Living Landscapes apply technological, socio-ecological, policy and/or institutional solutions and innovations
OC 1.2 Number of national or sub-national public actors, private sector, NGOs, famer/livestock/fisher/herder organizations that have formally integrated AE+ solutions or innovations</v>
      </c>
      <c r="C6" s="4" t="str">
        <v/>
      </c>
      <c r="D6" s="4" t="str">
        <v># of private sector actors using CGIAR innovations.</v>
      </c>
      <c r="E6" s="4" t="str">
        <v>Country: Cambodia, Colombia, Côte d'Ivoire, Ethiopia, India, Kenya, Lao People's Democratic Republic, Peru, Senegal, Tanzania, United Republic, The Socialist Republic of Viet Nam, Tunisia, Zimbabwe</v>
      </c>
      <c r="F6" s="5">
        <v>10</v>
      </c>
      <c r="G6" s="4">
        <v>566</v>
      </c>
    </row>
    <row r="7" ht="60" customHeight="1">
      <c r="A7" s="4" t="str">
        <v>AOW00: Cross Cutting</v>
      </c>
      <c r="B7" s="4" t="str">
        <v>2030 OC-2. National and sub-national public actors, farmers, herders, fishers, local communities, private sector, NGOs, and CSOs actively implement and sustain functional, coordinated governance mechanisms and inclusive land and resource use plans</v>
      </c>
      <c r="C7" s="4" t="str">
        <v/>
      </c>
      <c r="D7" s="4" t="str">
        <v>Innovation Use</v>
      </c>
      <c r="E7" s="4" t="str">
        <v>Country: Cambodia, Colombia, Ethiopia, India, Kenya, Lao People's Democratic Republic, Peru, Senegal, Tanzania, United Republic, The Socialist Republic of Viet Nam, Tunisia, Zimbabwe</v>
      </c>
      <c r="F7" s="5">
        <v>10</v>
      </c>
      <c r="G7" s="4">
        <v>572</v>
      </c>
    </row>
    <row r="8" ht="60" customHeight="1">
      <c r="A8" s="4" t="str">
        <v>AOW00: Cross Cutting</v>
      </c>
      <c r="B8" s="4" t="str">
        <v>2030 OC-2. National and sub-national public actors, farmers, herders, fishers, local communities, private sector, NGOs, and CSOs actively implement and sustain functional, coordinated governance mechanisms and inclusive land and resource use plans</v>
      </c>
      <c r="C8" s="4" t="str">
        <v/>
      </c>
      <c r="D8" s="4" t="str">
        <v>Number of Policy (Policy Change)</v>
      </c>
      <c r="E8" s="4" t="str">
        <v>Country: Cambodia, Colombia, India, Kenya, Lao People's Democratic Republic, Peru, Senegal, Tanzania, United Republic, The Socialist Republic of Viet Nam, Tunisia, Zimbabwe</v>
      </c>
      <c r="F8" s="5">
        <v>2</v>
      </c>
      <c r="G8" s="4">
        <v>572</v>
      </c>
    </row>
    <row r="9" ht="60" customHeight="1">
      <c r="A9" s="8" t="str">
        <v>AOW01: Agroecology+ Solutions &amp; Innovations</v>
      </c>
      <c r="B9" s="4" t="str">
        <v>AOW-IOC 1.1. Landscape stakeholder groups co-develop and validate AE+ solutions and innovations</v>
      </c>
      <c r="C9" s="4" t="str">
        <v/>
      </c>
      <c r="D9" s="4" t="str">
        <v>Innovation Use</v>
      </c>
      <c r="E9" s="4" t="str">
        <v>Country: Cambodia, Colombia, Ethiopia, India, Kenya, Peru, Senegal, Tanzania, United Republic, The Socialist Republic of Viet Nam, Tunisia, Zimbabwe</v>
      </c>
      <c r="F9" s="5">
        <v>20</v>
      </c>
      <c r="G9" s="4">
        <v>567</v>
      </c>
    </row>
    <row r="10" ht="60" customHeight="1">
      <c r="A10" s="4" t="str">
        <v>AOW01: Agroecology+ Solutions &amp; Innovations</v>
      </c>
      <c r="B10" s="4" t="str">
        <v>AOW-IOC 1.2. Landscape stakeholder groups share capacities to implement AE+ solutions and innovations</v>
      </c>
      <c r="C10" s="4" t="str">
        <v/>
      </c>
      <c r="D10" s="4" t="str">
        <v xml:space="preserve"> Number of stakeholder groups sharing capacities through capacity-sharing mechanisms (events, groups, associations etc)</v>
      </c>
      <c r="E10" s="4" t="str">
        <v>Country: Cambodia, Colombia, India, Kenya, Lao People's Democratic Republic, Peru, Senegal, Tanzania, United Republic, The Socialist Republic of Viet Nam, Tunisia, Zimbabwe</v>
      </c>
      <c r="F10" s="5">
        <v>30</v>
      </c>
      <c r="G10" s="4">
        <v>568</v>
      </c>
    </row>
    <row r="11" ht="60" customHeight="1">
      <c r="A11" s="4" t="str">
        <v>AOW01: Agroecology+ Solutions &amp; Innovations</v>
      </c>
      <c r="B11" s="4" t="str">
        <v>I-OC 1.2 Research institutes, extension agents, NGOs, and private sector actors actively disseminate and promote evidence-based AE+ solutions and bundles through their own delivery mechanisms and networks.</v>
      </c>
      <c r="C11" s="4" t="str">
        <v/>
      </c>
      <c r="D11" s="4" t="str">
        <v>Innovation Use</v>
      </c>
      <c r="E11" s="4" t="str">
        <v>Country: Cambodia, Colombia, Ethiopia, India, Kenya, Lao People's Democratic Republic, Peru, Senegal, Tanzania, United Republic, The Socialist Republic of Viet Nam, Tunisia, Zimbabwe</v>
      </c>
      <c r="F11" s="5">
        <v>10</v>
      </c>
      <c r="G11" s="4">
        <v>569</v>
      </c>
    </row>
    <row r="12" ht="60" customHeight="1">
      <c r="A12" s="4" t="str">
        <v>AOW01: Agroecology+ Solutions &amp; Innovations</v>
      </c>
      <c r="B12" s="4" t="str">
        <v>I-OC 1.2 Research institutes, extension agents, NGOs, and private sector actors actively disseminate and promote evidence-based AE+ solutions and bundles through their own delivery mechanisms and networks.</v>
      </c>
      <c r="C12" s="4" t="str">
        <v/>
      </c>
      <c r="D12" s="4" t="str">
        <v>Number of CGIAR-supported innovations being used by next users.</v>
      </c>
      <c r="E12" s="4" t="str">
        <v>Country: Cambodia, Colombia, Ethiopia, India, Kenya, Lao People's Democratic Republic, Peru, Senegal, Tanzania, United Republic, The Socialist Republic of Viet Nam, Tunisia, Zimbabwe</v>
      </c>
      <c r="F12" s="5">
        <v>10</v>
      </c>
      <c r="G12" s="4">
        <v>569</v>
      </c>
    </row>
    <row r="13" ht="60" customHeight="1">
      <c r="A13" s="4" t="str">
        <v>AOW01: Agroecology+ Solutions &amp; Innovations</v>
      </c>
      <c r="B13" s="4" t="str">
        <v>I-OC 1.1 Farmers, herders, fishers, and researchers prioritize and apply validated AE+ solutions and innovation bundles to optimize landscape functionality in alignment with landscape visions.</v>
      </c>
      <c r="C13" s="4" t="str">
        <v/>
      </c>
      <c r="D13" s="4" t="str">
        <v>Innovation Use</v>
      </c>
      <c r="E13" s="4" t="str">
        <v>Country: Cambodia, Colombia, Ethiopia, India, Kenya, Lao People's Democratic Republic, Peru, Senegal, Tanzania, United Republic, The Socialist Republic of Viet Nam, Tunisia, Zimbabwe</v>
      </c>
      <c r="F13" s="5">
        <v>10</v>
      </c>
      <c r="G13" s="4">
        <v>570</v>
      </c>
    </row>
    <row r="14" ht="60" customHeight="1">
      <c r="A14" s="8" t="str">
        <v>AOW02: Landscape Optimization and Inclusive Planning</v>
      </c>
      <c r="B14" s="4" t="str">
        <v>AOW-IOC 2.1. Landscape stakeholder groups have strengthened capacity to optimize landscape multifunctionality.</v>
      </c>
      <c r="C14" s="4" t="str">
        <v/>
      </c>
      <c r="D14" s="4" t="str">
        <v>Innovation Use</v>
      </c>
      <c r="E14" s="4" t="str">
        <v>Country: Cambodia, Colombia, Côte d'Ivoire, Ethiopia, India, Kenya, Lao People's Democratic Republic, Peru, Senegal, Tanzania, United Republic, The Socialist Republic of Viet Nam, Tunisia, Zimbabwe</v>
      </c>
      <c r="F14" s="5">
        <v>30</v>
      </c>
      <c r="G14" s="4">
        <v>559</v>
      </c>
    </row>
    <row r="15" ht="60" customHeight="1">
      <c r="A15" s="4" t="str">
        <v>AOW02: Landscape Optimization and Inclusive Planning</v>
      </c>
      <c r="B15" s="4" t="str">
        <v>AOW-IOC 2.1. Landscape stakeholder groups have strengthened capacity to optimize landscape multifunctionality.</v>
      </c>
      <c r="C15" s="4" t="str">
        <v/>
      </c>
      <c r="D15" s="4" t="str">
        <v>Number of partners implementing CGIAR-supported innovations.</v>
      </c>
      <c r="E15" s="4" t="str">
        <v>Country: Cambodia, Colombia, Côte d'Ivoire, Ethiopia, India, Kenya, Lao People's Democratic Republic, Peru, Senegal, Tanzania, United Republic, The Socialist Republic of Viet Nam, Tunisia, Zimbabwe</v>
      </c>
      <c r="F15" s="5">
        <v>30</v>
      </c>
      <c r="G15" s="4">
        <v>559</v>
      </c>
    </row>
    <row r="16" ht="60" customHeight="1">
      <c r="A16" s="4" t="str">
        <v>AOW02: Landscape Optimization and Inclusive Planning</v>
      </c>
      <c r="B16" s="4" t="str">
        <v>AOW-IOC 2.2 Landscape stakeholder groups co-design inclusive landscape planning processes</v>
      </c>
      <c r="C16" s="4" t="str">
        <v/>
      </c>
      <c r="D16" s="4" t="str">
        <v>Capacity sharing</v>
      </c>
      <c r="E16" s="4" t="str">
        <v>Country: Cambodia, Colombia, India, Kenya, Lao People's Democratic Republic, Peru, Senegal, Tanzania, United Republic, The Socialist Republic of Viet Nam, Tunisia, Zimbabwe</v>
      </c>
      <c r="F16" s="5">
        <v>30</v>
      </c>
      <c r="G16" s="4">
        <v>560</v>
      </c>
    </row>
    <row r="17" ht="60" customHeight="1">
      <c r="A17" s="4" t="str">
        <v>AOW02: Landscape Optimization and Inclusive Planning</v>
      </c>
      <c r="B17" s="4" t="str">
        <v>AOW-IOC 2.2 Landscape stakeholder groups co-design inclusive landscape planning processes</v>
      </c>
      <c r="C17" s="4" t="str">
        <v/>
      </c>
      <c r="D17" s="4" t="str">
        <v>Innovation Use</v>
      </c>
      <c r="E17" s="4" t="str">
        <v>Country: Cambodia, Colombia, Ethiopia, India, Kenya, Lao People's Democratic Republic, Peru, Senegal, Tanzania, United Republic, The Socialist Republic of Viet Nam, Tunisia, Zimbabwe</v>
      </c>
      <c r="F17" s="5">
        <v>2</v>
      </c>
      <c r="G17" s="4">
        <v>560</v>
      </c>
    </row>
    <row r="18" ht="60" customHeight="1" xml:space="preserve">
      <c r="A18" s="4" t="str">
        <v>AOW02: Landscape Optimization and Inclusive Planning</v>
      </c>
      <c r="B18" s="4" t="str" xml:space="preserve">
        <v xml:space="preserve">I-OC 2 Landscape stakeholder groups incorporate MFL science, evidence, and inclusive processes into formal strategic planning or landscape management.
</v>
      </c>
      <c r="C18" s="4" t="str">
        <v/>
      </c>
      <c r="D18" s="4" t="str">
        <v>Innovation Use</v>
      </c>
      <c r="E18" s="4" t="str">
        <v>Country: Cambodia, Colombia, Côte d'Ivoire, Ethiopia, India, Kenya, Lao People's Democratic Republic, Peru, Senegal, Tanzania, United Republic, The Socialist Republic of Viet Nam, Tunisia, Zimbabwe</v>
      </c>
      <c r="F18" s="5">
        <v>5</v>
      </c>
      <c r="G18" s="4">
        <v>571</v>
      </c>
    </row>
    <row r="19" ht="60" customHeight="1" xml:space="preserve">
      <c r="A19" s="4" t="str">
        <v>AOW02: Landscape Optimization and Inclusive Planning</v>
      </c>
      <c r="B19" s="4" t="str" xml:space="preserve">
        <v xml:space="preserve">I-OC 2 Landscape stakeholder groups incorporate MFL science, evidence, and inclusive processes into formal strategic planning or landscape management.
</v>
      </c>
      <c r="C19" s="4" t="str">
        <v/>
      </c>
      <c r="D19" s="4" t="str">
        <v>Number of partners implementing CGIAR-supported innovations.</v>
      </c>
      <c r="E19" s="4" t="str">
        <v>Country: Cambodia, Colombia, Côte d'Ivoire, Ethiopia, India, Kenya, Lao People's Democratic Republic, Peru, Senegal, Tanzania, United Republic, The Socialist Republic of Viet Nam, Tunisia, Zimbabwe</v>
      </c>
      <c r="F19" s="5">
        <v>5</v>
      </c>
      <c r="G19" s="4">
        <v>571</v>
      </c>
    </row>
    <row r="20" ht="60" customHeight="1">
      <c r="A20" s="8" t="str">
        <v>AOW03: Business Models, Markets, and Sustainable Finance</v>
      </c>
      <c r="B20" s="4" t="str">
        <v>I-OC 3. Producer organizations, public actors, private sector, and finance actors implement and update inclusive business models and innovative financing mechanisms</v>
      </c>
      <c r="C20" s="4" t="str">
        <v/>
      </c>
      <c r="D20" s="4" t="str">
        <v>Innovation Use</v>
      </c>
      <c r="E20" s="4" t="str">
        <v>Country: Cambodia, Colombia, Ethiopia, India, Kenya, Lao People's Democratic Republic, Peru, Senegal, Tanzania, United Republic, The Socialist Republic of Viet Nam, Tunisia, Zimbabwe</v>
      </c>
      <c r="F20" s="5">
        <v>4</v>
      </c>
      <c r="G20" s="4">
        <v>544</v>
      </c>
    </row>
    <row r="21" ht="60" customHeight="1">
      <c r="A21" s="4" t="str">
        <v>AOW03: Business Models, Markets, and Sustainable Finance</v>
      </c>
      <c r="B21" s="4" t="str">
        <v>AOW-IOC 3.1. Producer organizations, local institutions and private sector actors demonstrate strengthened organizational and marketing capacity</v>
      </c>
      <c r="C21" s="4" t="str">
        <v/>
      </c>
      <c r="D21" s="4" t="str">
        <v/>
      </c>
      <c r="E21" s="4" t="str">
        <v/>
      </c>
      <c r="F21" s="5">
        <v>0</v>
      </c>
      <c r="G21" s="4">
        <v>562</v>
      </c>
    </row>
    <row r="22" ht="60" customHeight="1">
      <c r="A22" s="4" t="str">
        <v>AOW03: Business Models, Markets, and Sustainable Finance</v>
      </c>
      <c r="B22" s="4" t="str">
        <v>AOW-IOC 3.4. National and sub-national public actors, producer associations, private sector, and finance actors develop or adapt innovative incentive and financial mechanisms</v>
      </c>
      <c r="C22" s="4" t="str">
        <v/>
      </c>
      <c r="D22" s="4" t="str">
        <v>Innovation Use</v>
      </c>
      <c r="E22" s="4" t="str">
        <v>Global</v>
      </c>
      <c r="F22" s="5">
        <v>2</v>
      </c>
      <c r="G22" s="4">
        <v>563</v>
      </c>
    </row>
    <row r="23" ht="60" customHeight="1">
      <c r="A23" s="4" t="str">
        <v>AOW03: Business Models, Markets, and Sustainable Finance</v>
      </c>
      <c r="B23" s="4" t="str">
        <v>AOW-IOC 3.2. Local producer organizations, national and sub-national public actors, and private sector actors co-design inclusive business models</v>
      </c>
      <c r="C23" s="4" t="str">
        <v/>
      </c>
      <c r="D23" s="4" t="str">
        <v># of private sector actors using CGIAR innovations.</v>
      </c>
      <c r="E23" s="4" t="str">
        <v>Country: Cambodia, Colombia, India, Kenya, Lao People's Democratic Republic, Peru, Senegal, Tanzania, United Republic, The Socialist Republic of Viet Nam, Tunisia, Zimbabwe</v>
      </c>
      <c r="F23" s="5">
        <v>6</v>
      </c>
      <c r="G23" s="4">
        <v>564</v>
      </c>
    </row>
    <row r="24" ht="60" customHeight="1">
      <c r="A24" s="4" t="str">
        <v>AOW03: Business Models, Markets, and Sustainable Finance</v>
      </c>
      <c r="B24" s="4" t="str">
        <v>AOW-IOC 3.2. Local producer organizations, national and sub-national public actors, and private sector actors co-design inclusive business models</v>
      </c>
      <c r="C24" s="4" t="str">
        <v/>
      </c>
      <c r="D24" s="4" t="str">
        <v>Innovation Use</v>
      </c>
      <c r="E24" s="4" t="str">
        <v>Country: Cambodia, Colombia, India, Kenya, Lao People's Democratic Republic, Peru, Senegal, Tanzania, United Republic, The Socialist Republic of Viet Nam, Tunisia, Zimbabwe</v>
      </c>
      <c r="F24" s="5">
        <v>6</v>
      </c>
      <c r="G24" s="4">
        <v>564</v>
      </c>
    </row>
    <row r="25" ht="60" customHeight="1">
      <c r="A25" s="4" t="str">
        <v>AOW03: Business Models, Markets, and Sustainable Finance</v>
      </c>
      <c r="B25" s="4" t="str">
        <v>AOW-IOC 3.3 Public or private actors representing consumer interests apply knowledge generated by MFL to promote changes in food production, consumption or policy</v>
      </c>
      <c r="C25" s="4" t="str">
        <v/>
      </c>
      <c r="D25" s="4" t="str">
        <v/>
      </c>
      <c r="E25" s="4" t="str">
        <v/>
      </c>
      <c r="F25" s="5">
        <v>0</v>
      </c>
      <c r="G25" s="4">
        <v>565</v>
      </c>
    </row>
    <row r="26" ht="60" customHeight="1">
      <c r="A26" s="8" t="str">
        <v>AOW04: Governance, Institutions, Policy, and Inclusion</v>
      </c>
      <c r="B26" s="4" t="str">
        <v xml:space="preserve">AOW-IOC 4.4. National and sub-national public actors, private sector and finance actors integrate social incentives and behavioral change mechanisms.  </v>
      </c>
      <c r="C26" s="4" t="str">
        <v/>
      </c>
      <c r="D26" s="4" t="str">
        <v>Innovation Use</v>
      </c>
      <c r="E26" s="4" t="str">
        <v>Country: Cambodia, Colombia, Ethiopia, India, Kenya, Lao People's Democratic Republic, Peru, Senegal, Tanzania, United Republic, Tunisia, Zimbabwe</v>
      </c>
      <c r="F26" s="5">
        <v>2</v>
      </c>
      <c r="G26" s="4">
        <v>545</v>
      </c>
    </row>
    <row r="27" ht="60" customHeight="1" xml:space="preserve">
      <c r="A27" s="4" t="str">
        <v>AOW04: Governance, Institutions, Policy, and Inclusion</v>
      </c>
      <c r="B27" s="4" t="str" xml:space="preserve">
        <v xml:space="preserve">I-OC 4.2 Women, youth, Indigenous Peoples, and other marginalized groups participate in governance, market, and non-market incentives and business models development
</v>
      </c>
      <c r="C27" s="4" t="str">
        <v/>
      </c>
      <c r="D27" s="4" t="str">
        <v>Innovation Use</v>
      </c>
      <c r="E27" s="4" t="str">
        <v>Country: Cambodia, Colombia, India, Kenya, Lao People's Democratic Republic, Peru, Senegal, Tanzania, United Republic, The Socialist Republic of Viet Nam, Tunisia, Zimbabwe</v>
      </c>
      <c r="F27" s="5">
        <v>2</v>
      </c>
      <c r="G27" s="4">
        <v>546</v>
      </c>
    </row>
    <row r="28" ht="60" customHeight="1">
      <c r="A28" s="4" t="str">
        <v>AOW04: Governance, Institutions, Policy, and Inclusion</v>
      </c>
      <c r="B28" s="4" t="str">
        <v>AOW-IOC 4.3 Public actors, farmers, herders, fishers, private sector, NGOs, CSOs, finance sector, and researchers, engage in inclusive polyvocal spaces that intentionally integrate GEYSI approaches and produce co-designed policies, governance structures, and solutions</v>
      </c>
      <c r="C28" s="4" t="str">
        <v/>
      </c>
      <c r="D28" s="4" t="str">
        <v>Number of innovations codesigned with youth.</v>
      </c>
      <c r="E28" s="4" t="str">
        <v>Country: Cambodia, Colombia, Ethiopia, India, Kenya, Lao People's Democratic Republic, Peru, Senegal, Tanzania, United Republic, The Socialist Republic of Viet Nam, Tunisia, Zimbabwe</v>
      </c>
      <c r="F28" s="5">
        <v>3</v>
      </c>
      <c r="G28" s="4">
        <v>547</v>
      </c>
    </row>
    <row r="29" ht="60" customHeight="1">
      <c r="A29" s="4" t="str">
        <v>AOW04: Governance, Institutions, Policy, and Inclusion</v>
      </c>
      <c r="B29" s="4" t="str">
        <v xml:space="preserve">I-OC 4.1 National governments, subnational and local policy actors use evidence. </v>
      </c>
      <c r="C29" s="4" t="str">
        <v/>
      </c>
      <c r="D29" s="4" t="str">
        <v>Innovation Use</v>
      </c>
      <c r="E29" s="4" t="str">
        <v>Country: Cambodia, Colombia, Ethiopia, India, Kenya, Lao People's Democratic Republic, Peru, Senegal, Tanzania, United Republic, The Socialist Republic of Viet Nam, Tunisia, Zimbabwe</v>
      </c>
      <c r="F29" s="5">
        <v>1</v>
      </c>
      <c r="G29" s="4">
        <v>557</v>
      </c>
    </row>
    <row r="30" ht="60" customHeight="1">
      <c r="A30" s="4" t="str">
        <v>AOW04: Governance, Institutions, Policy, and Inclusion</v>
      </c>
      <c r="B30" s="4" t="str">
        <v>AOW-IOC 4.2 Policy-relevant actors at national, sub-national, and local levels operationalize, evaluate, and adapt coordination mechanisms and institutional arrangements</v>
      </c>
      <c r="C30" s="4" t="str">
        <v/>
      </c>
      <c r="D30" s="4" t="str">
        <v>Innovation Use</v>
      </c>
      <c r="E30" s="4" t="str">
        <v>Country: Cambodia, Colombia, Ethiopia, India, Kenya, Lao People's Democratic Republic, Peru, Senegal, Tanzania, United Republic, The Socialist Republic of Viet Nam, Tunisia, Zimbabwe</v>
      </c>
      <c r="F30" s="5">
        <v>2</v>
      </c>
      <c r="G30" s="4">
        <v>558</v>
      </c>
    </row>
    <row r="31" ht="60" customHeight="1">
      <c r="A31" s="4" t="str">
        <v>AOW04: Governance, Institutions, Policy, and Inclusion</v>
      </c>
      <c r="B31" s="4" t="str">
        <v>AOW-IOC 4.2 Policy-relevant actors at national, sub-national, and local levels operationalize, evaluate, and adapt coordination mechanisms and institutional arrangements</v>
      </c>
      <c r="C31" s="4" t="str">
        <v/>
      </c>
      <c r="D31" s="4" t="str">
        <v>Innovation Use</v>
      </c>
      <c r="E31" s="4" t="str">
        <v>Country: Cambodia, Colombia, Ethiopia, India, Kenya, Lao People's Democratic Republic, Peru, Senegal, Tanzania, United Republic, The Socialist Republic of Viet Nam, Tunisia, Zimbabwe</v>
      </c>
      <c r="F31" s="5">
        <v>6</v>
      </c>
      <c r="G31" s="4">
        <v>558</v>
      </c>
    </row>
    <row r="32" ht="60" customHeight="1">
      <c r="A32" s="4" t="str">
        <v>AOW04: Governance, Institutions, Policy, and Inclusion</v>
      </c>
      <c r="B32" s="4" t="str">
        <v>AOW-IOC 4.1. Landscape stakeholders establish governance structures for coordinated landscape management.</v>
      </c>
      <c r="C32" s="4" t="str">
        <v/>
      </c>
      <c r="D32" s="4" t="str">
        <v>Innovation Use</v>
      </c>
      <c r="E32" s="4" t="str">
        <v>Country: Cambodia, Colombia, India, Kenya, Lao People's Democratic Republic, Peru, Senegal, Tanzania, United Republic, The Socialist Republic of Viet Nam, Tunisia, Zimbabwe</v>
      </c>
      <c r="F32" s="5">
        <v>3</v>
      </c>
      <c r="G32" s="4">
        <v>561</v>
      </c>
    </row>
    <row r="33" ht="60" customHeight="1" xml:space="preserve">
      <c r="A33" s="8" t="str">
        <v>AOW05: Performance Assessments &amp; Evidence Generation</v>
      </c>
      <c r="B33" s="4" t="str" xml:space="preserve">
        <v xml:space="preserve">I-OC 5.1 Partners in MFL Living Landscapes sites demonstrate strengthened capacity to articulate, communicate, and actively influence the uptake of MFL knowledge in policy arenas, scientific communities, and practitioner networks.
</v>
      </c>
      <c r="C33" s="4" t="str">
        <v/>
      </c>
      <c r="D33" s="4" t="str">
        <v>Innovation Use</v>
      </c>
      <c r="E33" s="4" t="str">
        <v>Global</v>
      </c>
      <c r="F33" s="5">
        <v>1</v>
      </c>
      <c r="G33" s="4">
        <v>550</v>
      </c>
    </row>
    <row r="34" ht="60" customHeight="1">
      <c r="A34" s="4" t="str">
        <v>AOW05: Performance Assessments &amp; Evidence Generation</v>
      </c>
      <c r="B34" s="4" t="str">
        <v>AOW-IOC 5.4 CGIAR and multifunctional landscapes stakeholders integrate impact indicators into their institutional programs, monitoring systems, and investment strategies</v>
      </c>
      <c r="C34" s="4" t="str">
        <v/>
      </c>
      <c r="D34" s="4" t="str">
        <v>Innovation Use</v>
      </c>
      <c r="E34" s="4" t="str">
        <v>Global</v>
      </c>
      <c r="F34" s="5">
        <v>2</v>
      </c>
      <c r="G34" s="4">
        <v>551</v>
      </c>
    </row>
    <row r="35" ht="60" customHeight="1">
      <c r="A35" s="4" t="str">
        <v>AOW05: Performance Assessments &amp; Evidence Generation</v>
      </c>
      <c r="B35" s="4" t="str">
        <v>AOW-IOC 5.3 Partners, national and sub-national public actors engaged in the Multifunctional Landscapes Program use knowledge and capacity to update their NBSAPs and LDN targets</v>
      </c>
      <c r="C35" s="4" t="str">
        <v/>
      </c>
      <c r="D35" s="4" t="str">
        <v>Number of Policy (Policy Change)</v>
      </c>
      <c r="E35" s="4" t="str">
        <v>Global</v>
      </c>
      <c r="F35" s="5">
        <v>1</v>
      </c>
      <c r="G35" s="4">
        <v>552</v>
      </c>
    </row>
    <row r="36" ht="60" customHeight="1">
      <c r="A36" s="4" t="str">
        <v>AOW05: Performance Assessments &amp; Evidence Generation</v>
      </c>
      <c r="B36" s="4" t="str">
        <v>AOW-IOC 5.2 Landscape stakeholders contribute to data analysis and knowledge production</v>
      </c>
      <c r="C36" s="4" t="str">
        <v/>
      </c>
      <c r="D36" s="4" t="str">
        <v xml:space="preserve"> Co-design</v>
      </c>
      <c r="E36" s="4" t="str">
        <v>Global</v>
      </c>
      <c r="F36" s="5">
        <v>10</v>
      </c>
      <c r="G36" s="4">
        <v>554</v>
      </c>
    </row>
    <row r="37" ht="60" customHeight="1">
      <c r="A37" s="4" t="str">
        <v>AOW05: Performance Assessments &amp; Evidence Generation</v>
      </c>
      <c r="B37" s="4" t="str">
        <v>I-OC 5.2 Landscape stakeholder groups apply MFL data, tools, and knowledge to inform evidence-based decisions</v>
      </c>
      <c r="C37" s="4" t="str">
        <v/>
      </c>
      <c r="D37" s="4" t="str">
        <v>Number of CGIAR-supported innovations being used by next users.</v>
      </c>
      <c r="E37" s="4" t="str">
        <v>Country: Cambodia, Colombia, India, Kenya, Lao People's Democratic Republic, Peru, Senegal, Tanzania, United Republic, The Socialist Republic of Viet Nam, Tunisia, Zimbabwe</v>
      </c>
      <c r="F37" s="5">
        <v>2</v>
      </c>
      <c r="G37" s="4">
        <v>555</v>
      </c>
    </row>
    <row r="38" ht="60" customHeight="1">
      <c r="A38" s="4" t="str">
        <v>AOW05: Performance Assessments &amp; Evidence Generation</v>
      </c>
      <c r="B38" s="4" t="str">
        <v>AOW-IOC 5.1 National and sub-national public actors, farmers, herders, foresters, fishers, private sector, NGOs, CSOs, development actors, and researchers actively co-design and implement assessment frameworks</v>
      </c>
      <c r="C38" s="4" t="str">
        <v/>
      </c>
      <c r="D38" s="4" t="str">
        <v>Co-design</v>
      </c>
      <c r="E38" s="4" t="str">
        <v>Country: Cambodia, Colombia, India, Kenya, Lao People's Democratic Republic, Peru, Senegal, Tanzania, United Republic, The Socialist Republic of Viet Nam, Tunisia, Zimbabwe</v>
      </c>
      <c r="F38" s="5">
        <v>30</v>
      </c>
      <c r="G38" s="4">
        <v>556</v>
      </c>
    </row>
  </sheetData>
  <mergeCells count="22">
    <mergeCell ref="B2:B3"/>
    <mergeCell ref="C2:C3"/>
    <mergeCell ref="B7:B8"/>
    <mergeCell ref="C7:C8"/>
    <mergeCell ref="A2:A8"/>
    <mergeCell ref="B11:B12"/>
    <mergeCell ref="C11:C12"/>
    <mergeCell ref="A9:A13"/>
    <mergeCell ref="B14:B15"/>
    <mergeCell ref="C14:C15"/>
    <mergeCell ref="B16:B17"/>
    <mergeCell ref="C16:C17"/>
    <mergeCell ref="B18:B19"/>
    <mergeCell ref="C18:C19"/>
    <mergeCell ref="A14:A19"/>
    <mergeCell ref="B23:B24"/>
    <mergeCell ref="C23:C24"/>
    <mergeCell ref="A20:A25"/>
    <mergeCell ref="B30:B31"/>
    <mergeCell ref="C30:C31"/>
    <mergeCell ref="A26:A32"/>
    <mergeCell ref="A33:A38"/>
  </mergeCells>
  <ignoredErrors>
    <ignoredError numberStoredAsText="1" sqref="A1:G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