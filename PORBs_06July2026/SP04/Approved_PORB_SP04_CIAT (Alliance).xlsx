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474122</v>
      </c>
      <c r="K4" s="5">
        <v>474122</v>
      </c>
      <c r="L4" s="5">
        <v>0</v>
      </c>
      <c r="M4" s="5">
        <v>0</v>
      </c>
      <c r="N4" s="4">
        <v>182</v>
      </c>
    </row>
    <row r="5" ht="20" customHeight="1">
      <c r="A5" s="4" t="str">
        <v>AOW01: Agroecology+ Solutions &amp; Innovations</v>
      </c>
      <c r="B5" s="5">
        <v>35</v>
      </c>
      <c r="C5" s="5">
        <v>690922</v>
      </c>
      <c r="D5" s="5">
        <v>30</v>
      </c>
      <c r="E5" s="5">
        <v>364776</v>
      </c>
      <c r="F5" s="5">
        <v>1304</v>
      </c>
      <c r="G5" s="5">
        <v>194868</v>
      </c>
      <c r="H5" s="5">
        <v>1580</v>
      </c>
      <c r="I5" s="5">
        <v>394881</v>
      </c>
      <c r="J5" s="5">
        <v>1645447</v>
      </c>
      <c r="K5" s="5">
        <v>1645447</v>
      </c>
      <c r="L5" s="5">
        <v>221486</v>
      </c>
      <c r="M5" s="5">
        <v>0</v>
      </c>
      <c r="N5" s="4">
        <v>177</v>
      </c>
    </row>
    <row r="6" ht="20" customHeight="1">
      <c r="A6" s="4" t="str">
        <v>AOW02: Landscape Optimization and Inclusive Planning</v>
      </c>
      <c r="B6" s="5">
        <v>9</v>
      </c>
      <c r="C6" s="5">
        <v>588488</v>
      </c>
      <c r="D6" s="5">
        <v>17</v>
      </c>
      <c r="E6" s="5">
        <v>394205</v>
      </c>
      <c r="F6" s="5">
        <v>0</v>
      </c>
      <c r="G6" s="5">
        <v>0</v>
      </c>
      <c r="H6" s="5">
        <v>20</v>
      </c>
      <c r="I6" s="5">
        <v>220767</v>
      </c>
      <c r="J6" s="5">
        <v>1203460</v>
      </c>
      <c r="K6" s="5">
        <v>1203460</v>
      </c>
      <c r="L6" s="5">
        <v>166830</v>
      </c>
      <c r="M6" s="5">
        <v>0</v>
      </c>
      <c r="N6" s="4">
        <v>179</v>
      </c>
    </row>
    <row r="7" ht="20" customHeight="1">
      <c r="A7" s="4" t="str">
        <v>AOW03: Business Models, Markets, and Sustainable Finance</v>
      </c>
      <c r="B7" s="5">
        <v>21</v>
      </c>
      <c r="C7" s="5">
        <v>578147</v>
      </c>
      <c r="D7" s="5">
        <v>11</v>
      </c>
      <c r="E7" s="5">
        <v>205800</v>
      </c>
      <c r="F7" s="5">
        <v>170</v>
      </c>
      <c r="G7" s="5">
        <v>89342</v>
      </c>
      <c r="H7" s="5">
        <v>302</v>
      </c>
      <c r="I7" s="5">
        <v>276336</v>
      </c>
      <c r="J7" s="5">
        <v>1149625</v>
      </c>
      <c r="K7" s="5">
        <v>1149625</v>
      </c>
      <c r="L7" s="5">
        <v>107332</v>
      </c>
      <c r="M7" s="5">
        <v>0</v>
      </c>
      <c r="N7" s="4">
        <v>180</v>
      </c>
    </row>
    <row r="8" ht="20" customHeight="1">
      <c r="A8" s="4" t="str">
        <v>AOW04: Governance, Institutions, Policy, and Inclusion</v>
      </c>
      <c r="B8" s="5">
        <v>3</v>
      </c>
      <c r="C8" s="5">
        <v>72814</v>
      </c>
      <c r="D8" s="5">
        <v>25</v>
      </c>
      <c r="E8" s="5">
        <v>491616</v>
      </c>
      <c r="F8" s="5">
        <v>70</v>
      </c>
      <c r="G8" s="5">
        <v>52536</v>
      </c>
      <c r="H8" s="5">
        <v>11</v>
      </c>
      <c r="I8" s="5">
        <v>80464</v>
      </c>
      <c r="J8" s="5">
        <v>697430</v>
      </c>
      <c r="K8" s="5">
        <v>697430</v>
      </c>
      <c r="L8" s="5">
        <v>39219</v>
      </c>
      <c r="M8" s="5">
        <v>0</v>
      </c>
      <c r="N8" s="4">
        <v>181</v>
      </c>
    </row>
    <row r="9" ht="20" customHeight="1">
      <c r="A9" s="4" t="str">
        <v>AOW05: Performance Assessments &amp; Evidence Generation</v>
      </c>
      <c r="B9" s="5">
        <v>7</v>
      </c>
      <c r="C9" s="5">
        <v>613339</v>
      </c>
      <c r="D9" s="5">
        <v>13</v>
      </c>
      <c r="E9" s="5">
        <v>610867</v>
      </c>
      <c r="F9" s="5">
        <v>0</v>
      </c>
      <c r="G9" s="5">
        <v>0</v>
      </c>
      <c r="H9" s="5">
        <v>0</v>
      </c>
      <c r="I9" s="5">
        <v>0</v>
      </c>
      <c r="J9" s="5">
        <v>1224206</v>
      </c>
      <c r="K9" s="5">
        <v>1224206</v>
      </c>
      <c r="L9" s="5">
        <v>634757</v>
      </c>
      <c r="M9" s="5">
        <v>167964</v>
      </c>
      <c r="N9" s="4">
        <v>178</v>
      </c>
    </row>
    <row r="10" ht="25" customHeight="1">
      <c r="A10" s="6" t="str">
        <v>Total</v>
      </c>
      <c r="B10" s="7" t="str">
        <v/>
      </c>
      <c r="C10" s="7">
        <v>2543710</v>
      </c>
      <c r="D10" s="7" t="str">
        <v/>
      </c>
      <c r="E10" s="7">
        <v>2067264</v>
      </c>
      <c r="F10" s="7" t="str">
        <v/>
      </c>
      <c r="G10" s="7">
        <v>336746</v>
      </c>
      <c r="H10" s="7" t="str">
        <v/>
      </c>
      <c r="I10" s="7">
        <v>972448</v>
      </c>
      <c r="J10" s="7">
        <v>6394290</v>
      </c>
      <c r="K10" s="7">
        <v>6394290</v>
      </c>
      <c r="L10" s="7">
        <v>1169624</v>
      </c>
      <c r="M10" s="7">
        <v>167964</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2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CIAT (Alliance)</v>
      </c>
      <c r="C3" s="4" t="str">
        <v>OP 1.1.1. – Bundles of farm-level solutions</v>
      </c>
      <c r="D3" s="4" t="str" xml:space="preserve">
        <v xml:space="preserve">Deliverable - AI-powered precision advisory for pest and disease detection, input optimization, soil conservation, yield improvement and stability, and accurate forecasting of offtake volumes and market prices. 
Indicator: Number of sites where Ai-enabled DST have been tested/piloted</v>
      </c>
      <c r="E3" s="4" t="str">
        <v>Number of innovations (innovation development)</v>
      </c>
      <c r="F3" s="4" t="str">
        <v>Ethiopia, Kenya</v>
      </c>
      <c r="G3" s="5">
        <v>2</v>
      </c>
      <c r="H3" s="5">
        <v>96000</v>
      </c>
      <c r="I3" s="4" t="str">
        <v>.</v>
      </c>
      <c r="J3" s="4">
        <v>5445</v>
      </c>
    </row>
    <row r="4" ht="50" customHeight="1" xml:space="preserve">
      <c r="B4" s="4" t="str">
        <v>CIAT (Alliance)</v>
      </c>
      <c r="D4" s="4" t="str" xml:space="preserve">
        <v xml:space="preserve">Deliverable - Harmonized digital agronomic data collection system that enables consistent, comparable field data across sites and partners. 
Indicator: Number of living landscapes where standardized digital agronomic data collection systems are deployed and operational</v>
      </c>
      <c r="E4" s="4" t="str">
        <v>custom</v>
      </c>
      <c r="F4" s="4" t="str">
        <v>Zimbabwe, Senegal</v>
      </c>
      <c r="G4" s="5">
        <v>6</v>
      </c>
      <c r="H4" s="5">
        <v>25000</v>
      </c>
      <c r="I4" s="4" t="str">
        <v>.</v>
      </c>
      <c r="J4" s="4">
        <v>5446</v>
      </c>
    </row>
    <row r="5" ht="50" customHeight="1" xml:space="preserve">
      <c r="B5" s="4" t="str">
        <v>CIAT (Alliance)</v>
      </c>
      <c r="D5" s="4" t="str" xml:space="preserve">
        <v xml:space="preserve">Deliverable - Standardized workflows for managing and analyzing agronomic datasets, including baselining, selection of representative farms, trial data collection and analysis, and generation of evidence to inform scaling
Indicator: Number of datasets analyzed end-to-end and translated into actionable summary outputs (e.g., dashboards, reports, or scaling maps)</v>
      </c>
      <c r="E5" s="4" t="str">
        <v>Number of knowledge products</v>
      </c>
      <c r="F5" s="4" t="str">
        <v>Zimbabwe, Senegal</v>
      </c>
      <c r="G5" s="5">
        <v>6</v>
      </c>
      <c r="H5" s="5">
        <v>25000</v>
      </c>
      <c r="I5" s="4" t="str">
        <v>.</v>
      </c>
      <c r="J5" s="4">
        <v>5447</v>
      </c>
    </row>
    <row r="6" ht="50" customHeight="1" xml:space="preserve">
      <c r="B6" s="4" t="str">
        <v>CIAT (Alliance)</v>
      </c>
      <c r="D6" s="4" t="str" xml:space="preserve">
        <v xml:space="preserve">Deliverable - Citizen-science protocol and pilot trials for circular bioinputs: co-design, standardize, and deploy a farmer-friendly protocol to validate compost, biogas digestate, insect frass, and biochar in two multifunctional landscapes, generating traceable, comparable agronomic and environmental datasets. 
Indicator: Number of households validating bundled circular bioinput solutions (compost, biogas digestate, insect frass, and biochar) using a citizen-science approach</v>
      </c>
      <c r="E6" s="4" t="str">
        <v>Number of knowledge products</v>
      </c>
      <c r="F6" s="4" t="str">
        <v>Colombia</v>
      </c>
      <c r="G6" s="5">
        <v>6</v>
      </c>
      <c r="H6" s="5">
        <v>53250</v>
      </c>
      <c r="I6" s="4" t="str">
        <v>.</v>
      </c>
      <c r="J6" s="4">
        <v>5456</v>
      </c>
    </row>
    <row r="7" ht="50" customHeight="1" xml:space="preserve">
      <c r="B7" s="4" t="str">
        <v>CIAT (Alliance)</v>
      </c>
      <c r="D7" s="4" t="str" xml:space="preserve">
        <v xml:space="preserve">Deliverable - Landscape-Level Assessment of Opportunity Crop Diversity and Use: Conduct landscape-level assessments to document the conservation status, production systems, utilization patterns, and scaling opportunities for key opportunity crops, identifying priority sites, custodial communities, and leverage points for conservation and value-chain strengthening.
Indicator: Number of landscapes with comprehensive opportunity crop assessment</v>
      </c>
      <c r="E7" s="4" t="str">
        <v>Number of knowledge products</v>
      </c>
      <c r="F7" s="4" t="str">
        <v>Peru</v>
      </c>
      <c r="G7" s="5">
        <v>1</v>
      </c>
      <c r="H7" s="5">
        <v>28400</v>
      </c>
      <c r="I7" s="4" t="str">
        <v>.</v>
      </c>
      <c r="J7" s="4">
        <v>5471</v>
      </c>
    </row>
    <row r="8" ht="50" customHeight="1" xml:space="preserve">
      <c r="B8" s="4" t="str">
        <v>CIAT (Alliance)</v>
      </c>
      <c r="D8" s="4" t="str" xml:space="preserve">
        <v xml:space="preserve">Deliverable - Co-designed Conservation and Sustainable Use Strategy for Opportunity Crops: Co-develop, with national partners and custodial farming communities, a strategy for the conservation and sustainable use of priority opportunity crops, outlining actions for on-farm conservation, seed system strengthening, value-chain engagement, and policy support
Indicator: Number of conservation and sustainable use strategies for opportunity crops co-designed</v>
      </c>
      <c r="E8" s="4" t="str">
        <v>Number of knowledge products</v>
      </c>
      <c r="F8" s="4" t="str">
        <v>Peru</v>
      </c>
      <c r="G8" s="5">
        <v>3</v>
      </c>
      <c r="H8" s="5">
        <v>42600</v>
      </c>
      <c r="I8" s="4" t="str">
        <v>.</v>
      </c>
      <c r="J8" s="4">
        <v>5472</v>
      </c>
    </row>
    <row r="9" ht="50" customHeight="1" xml:space="preserve">
      <c r="B9" s="4" t="str">
        <v>CIAT (Alliance)</v>
      </c>
      <c r="D9" s="4" t="str" xml:space="preserve">
        <v xml:space="preserve">Deliverable - Advancement of Agroecology+ in Living Landscapes: Strengthen and scale Agroecology+ practices across selected Living Landscapes through co-design, demonstration, farmer learning networks, and evidence generation on productivity, resilience, and environmental outcomes
Indicator: Number of NUS varieties preserved under seed banks </v>
      </c>
      <c r="E9" s="4" t="str">
        <v>Number of innovations (innovation development)</v>
      </c>
      <c r="F9" s="4" t="str">
        <v>Peru, Colombia</v>
      </c>
      <c r="G9" s="5">
        <v>2</v>
      </c>
      <c r="H9" s="5">
        <v>121000</v>
      </c>
      <c r="I9" s="4" t="str">
        <v>.</v>
      </c>
      <c r="J9" s="4">
        <v>5473</v>
      </c>
    </row>
    <row r="10" ht="50" customHeight="1" xml:space="preserve">
      <c r="B10" s="4" t="str">
        <v>CIAT (Alliance)</v>
      </c>
      <c r="D10" s="4" t="str" xml:space="preserve">
        <v xml:space="preserve">Deliverable - AI-Based Advisory and Training Bot (WhatsApp/LINE): Deploy an AI chatbot accessible via WhatsApp/LINE to provide practical, localized guidance on agronomic practices, seed system management, and basic farm financial planning for farmers and field technicians, with built-in learning modules and feedback loops.
Indicator: Number of AI bot-Whatsapp/Lines for capacity building </v>
      </c>
      <c r="E10" s="4" t="str">
        <v>Number of innovations (innovation development)</v>
      </c>
      <c r="F10" s="4" t="str">
        <v>The Socialist Republic of Viet Nam, Peru, Colombia</v>
      </c>
      <c r="G10" s="5">
        <v>5</v>
      </c>
      <c r="H10" s="5">
        <v>40000</v>
      </c>
      <c r="I10" s="4" t="str">
        <v>.</v>
      </c>
      <c r="J10" s="4">
        <v>5475</v>
      </c>
    </row>
    <row r="11" ht="50" customHeight="1" xml:space="preserve">
      <c r="B11" s="4" t="str">
        <v>CIAT (Alliance)</v>
      </c>
      <c r="D11" s="4" t="str" xml:space="preserve">
        <v xml:space="preserve">Deliverable - Production System Typologies for Target Landscapes: Develop and validate typologies of production systems based on production intensity, agroecological conditions, and sustainability indicators, to support targeting of interventions and tailored Agroecology+ solution bundles
Indicator: Number of landscapes in which the typology of production systems has been proof tested and validated</v>
      </c>
      <c r="E11" s="4" t="str">
        <v>custom</v>
      </c>
      <c r="F11" s="4" t="str">
        <v>Ethiopia</v>
      </c>
      <c r="G11" s="5">
        <v>1</v>
      </c>
      <c r="H11" s="5">
        <v>96000</v>
      </c>
      <c r="I11" s="4" t="str">
        <v>.</v>
      </c>
      <c r="J11" s="4">
        <v>5476</v>
      </c>
    </row>
    <row r="12" ht="50" customHeight="1" xml:space="preserve">
      <c r="B12" s="4" t="str">
        <v>CIAT (Alliance)</v>
      </c>
      <c r="D12" s="4" t="str" xml:space="preserve">
        <v xml:space="preserve">Deliverable - Develop and validate standardized protocols for agronomic assessment across agroecology+, nature-positive, regenerative, and sustainable ecological intensification solutions, enabling consistent, high-quality, and comparable field data collection across sites, partners, and agroecological contexts
Indicator: Number of standardized agronomic assessment protocols developed, validated, and adopted across sites and partners to enable consistent and comparable field data collection.</v>
      </c>
      <c r="E12" s="4" t="str">
        <v>Number of knowledge products</v>
      </c>
      <c r="F12" s="4" t="str">
        <v>Zimbabwe</v>
      </c>
      <c r="G12" s="5">
        <v>5</v>
      </c>
      <c r="H12" s="5">
        <v>25000</v>
      </c>
      <c r="I12" s="4" t="str">
        <v>.</v>
      </c>
      <c r="J12" s="4">
        <v>7498</v>
      </c>
    </row>
    <row r="13" ht="50" customHeight="1" xml:space="preserve">
      <c r="B13" s="4" t="str">
        <v>CIAT (Alliance)</v>
      </c>
      <c r="D13" s="4" t="str" xml:space="preserve">
        <v xml:space="preserve">Agroecology+ Farms: Co-designed and validated forage options integrated in bundles of innovations in LLs and aggregated farms
Indicator: Number of stakeholder groups (farmer organizations, extension services etc) identifying, testing and validating forage options</v>
      </c>
      <c r="E13" s="4" t="str">
        <v>custom</v>
      </c>
      <c r="F13" s="4" t="str">
        <v>Kenya</v>
      </c>
      <c r="G13" s="5">
        <v>5</v>
      </c>
      <c r="H13" s="5">
        <v>35000</v>
      </c>
      <c r="I13" s="4" t="str">
        <v>.</v>
      </c>
      <c r="J13" s="4">
        <v>7513</v>
      </c>
    </row>
    <row r="14" ht="50" customHeight="1" xml:space="preserve">
      <c r="B14" s="4" t="str">
        <v>CIAT (Alliance)</v>
      </c>
      <c r="D14" s="4" t="str" xml:space="preserve">
        <v xml:space="preserve">Deliverable: Comprehensive meta-analysis synthesizing evidence on the reach, impact, and interoperability of agroecology+, nature-positive, regenerative, and sustainable ecological intensification solutions, generating actionable insights to inform scaling strategies, policy alignment, and integrated landscape-level implementation across diverse agroecological contexts. 
Indicator: Number of analytical dashboards and synthesis reports on the reach, impact, and interoperability of agroecology+, nature-positive, regenerative, and sustainable ecological intensification solutions developed</v>
      </c>
      <c r="E14" s="4" t="str">
        <v>Number of knowledge products</v>
      </c>
      <c r="F14" s="4" t="str">
        <v>Zimbabwe, Ethiopia</v>
      </c>
      <c r="G14" s="5">
        <v>1</v>
      </c>
      <c r="H14" s="5">
        <v>17026</v>
      </c>
      <c r="I14" s="4" t="str">
        <v>.</v>
      </c>
      <c r="J14" s="4">
        <v>7516</v>
      </c>
    </row>
    <row r="15" ht="50" customHeight="1" xml:space="preserve">
      <c r="B15" s="4" t="str">
        <v>CIAT (Alliance)</v>
      </c>
      <c r="D15" s="4" t="str" xml:space="preserve">
        <v xml:space="preserve">Deliverable: Co-design and implement low-cost, smallholder-adapted soil carbon return and erosion-reduction practices geared towards enhanced biomass inputs, and root-mediated carbon deposition
Indicator: Number of stakeholders testing low-cost, smallholder-adapted soil carbon return and erosion-reduction practices</v>
      </c>
      <c r="E15" s="4" t="str">
        <v>custom</v>
      </c>
      <c r="F15" s="4" t="str">
        <v>Kenya</v>
      </c>
      <c r="G15" s="5">
        <v>50</v>
      </c>
      <c r="H15" s="5">
        <v>38000</v>
      </c>
      <c r="I15" s="4" t="str">
        <v>.</v>
      </c>
      <c r="J15" s="4">
        <v>7521</v>
      </c>
    </row>
    <row r="16" ht="50" customHeight="1" xml:space="preserve">
      <c r="A16" s="4" t="str">
        <v>AOW01: Agroecology+ Solutions &amp; Innovations</v>
      </c>
      <c r="B16" s="4" t="str">
        <v>CIAT (Alliance)</v>
      </c>
      <c r="C16" s="4" t="str">
        <v>OP 1.2.6. – Advisory &amp; training innovations</v>
      </c>
      <c r="D16" s="4" t="str" xml:space="preserve">
        <v xml:space="preserve">Deliverable: Critical Capabilities - Global Network of Multifunctional Living Landscapes established and coordinated, including governance structure, strategic roadmap, and knowledge-sharing mechanisms linking at least five regional landscape networks. Facilitate coalition establishment and coordination, develop governance and collaboration protocols, co-design strategy and action plans, and produce joint learning outputs on investment and policy pathways for multifunctional landscapes.
indicator: Number of member institutions' coalitions operationalized with 5 regional landscape networks implementing shared action plans.</v>
      </c>
      <c r="E16" s="4" t="str">
        <v>Number of innovations (innovation development)</v>
      </c>
      <c r="F16" s="4" t="str">
        <v>Tunisia, Peru, Colombia, Kenya, India</v>
      </c>
      <c r="G16" s="5">
        <v>20</v>
      </c>
      <c r="H16" s="5">
        <v>236088</v>
      </c>
      <c r="I16" s="4" t="str">
        <v>.</v>
      </c>
      <c r="J16" s="4">
        <v>5502</v>
      </c>
    </row>
    <row r="17" ht="50" customHeight="1" xml:space="preserve">
      <c r="B17" s="4" t="str">
        <v>CIAT (Alliance)</v>
      </c>
      <c r="D17" s="4" t="str" xml:space="preserve">
        <v xml:space="preserve">Deliverable - Multifunctional School Networks for Nutrition, Agroecology, and Local Food Use: Establish and support school-based learning networks where students, teachers, and community members engage in nutrition education, agroecology demonstration gardens, and local food culture activities, linking schools to local producers and landscape initiatives
Indicator: Number of teachers and children engaged in activities of the Multifunctioal School Network</v>
      </c>
      <c r="E17" s="4" t="str">
        <v>custom</v>
      </c>
      <c r="F17" s="4" t="str">
        <v>Kenya</v>
      </c>
      <c r="G17" s="5">
        <v>1500</v>
      </c>
      <c r="H17" s="5">
        <v>106500</v>
      </c>
      <c r="I17" s="4" t="str">
        <v>.</v>
      </c>
      <c r="J17" s="4">
        <v>5504</v>
      </c>
    </row>
    <row r="18" ht="50" customHeight="1" xml:space="preserve">
      <c r="B18" s="4" t="str">
        <v>CIAT (Alliance)</v>
      </c>
      <c r="D18" s="4" t="str" xml:space="preserve">
        <v xml:space="preserve">Deliverable - Farmer Research Networks for Agroecology: Establish and facilitate Farmer Research Networks (FRNs) in which farmers co-design, test, and document agroecology practices using digital record-keeping tools (and AI-enabled support where feasible), to generate farmer-led evidence and strengthen peer-to-peer learning.
Indicator: Number of Farmers engaged in Research Networks</v>
      </c>
      <c r="E18" s="4" t="str">
        <v>Number of people trained (capacity sharing for development)</v>
      </c>
      <c r="F18" s="4" t="str">
        <v>Kenya</v>
      </c>
      <c r="G18" s="5">
        <v>1000</v>
      </c>
      <c r="H18" s="5">
        <v>106500</v>
      </c>
      <c r="I18" s="4" t="str">
        <v>.</v>
      </c>
      <c r="J18" s="4">
        <v>5506</v>
      </c>
    </row>
    <row r="19" ht="50" customHeight="1" xml:space="preserve">
      <c r="B19" s="4" t="str">
        <v>CIAT (Alliance)</v>
      </c>
      <c r="D19" s="4" t="str" xml:space="preserve">
        <v xml:space="preserve">Deliverable - Capacity Strengthening on Digital Soil Mapping: Build the capacities of local research and extension partners to develop, interpret, and apply high-resolution digital soil maps for planning, advisory services, and landscape-level decision making
Indicator: Number of institutions trained on digital soil mapping</v>
      </c>
      <c r="E19" s="4" t="str">
        <v>Number of people trained (capacity sharing for development)</v>
      </c>
      <c r="F19" s="4" t="str">
        <v>Colombia, Peru, The Socialist Republic of Viet Nam, India, Kenya</v>
      </c>
      <c r="G19" s="5">
        <v>4</v>
      </c>
      <c r="H19" s="5">
        <v>30000</v>
      </c>
      <c r="I19" s="4" t="str">
        <v>.</v>
      </c>
      <c r="J19" s="4">
        <v>5507</v>
      </c>
    </row>
    <row r="20" ht="50" customHeight="1" xml:space="preserve">
      <c r="B20" s="4" t="str">
        <v>CIAT (Alliance)</v>
      </c>
      <c r="D20" s="4" t="str" xml:space="preserve">
        <v xml:space="preserve">Deliverable - Capacity-building modules and youth engagement: Develop and deploy participatory training materials and “BioInput Scout” modules for SENA and technical agricultural schools, integrating citizen-science methods and digital data-collection tools. 
Indicator: Number of youth engaged in the co-design and implementation of BioInput Scout training modules</v>
      </c>
      <c r="E20" s="4" t="str">
        <v>custom</v>
      </c>
      <c r="F20" s="4" t="str">
        <v>Colombia</v>
      </c>
      <c r="G20" s="5">
        <v>8</v>
      </c>
      <c r="H20" s="5">
        <v>31950</v>
      </c>
      <c r="I20" s="4" t="str">
        <v>.</v>
      </c>
      <c r="J20" s="4">
        <v>5508</v>
      </c>
    </row>
    <row r="21" ht="50" customHeight="1" xml:space="preserve">
      <c r="B21" s="4" t="str">
        <v>CIAT (Alliance)</v>
      </c>
      <c r="D21" s="4" t="str" xml:space="preserve">
        <v xml:space="preserve">Deliverable - Rural Advisory modules for tree-based systems for Agroecological and Nature+ transition with institutionalization pathway identfied 
Indicator: Number of advisory modules piloted on tree-based systems</v>
      </c>
      <c r="E21" s="4" t="str">
        <v>Number of innovations (innovation development)</v>
      </c>
      <c r="F21" s="4" t="str">
        <v>Peru</v>
      </c>
      <c r="G21" s="5">
        <v>3</v>
      </c>
      <c r="H21" s="5">
        <v>132834</v>
      </c>
      <c r="I21" s="4" t="str">
        <v>.</v>
      </c>
      <c r="J21" s="4">
        <v>5511</v>
      </c>
    </row>
    <row r="22" ht="50" customHeight="1" xml:space="preserve">
      <c r="B22" s="4" t="str">
        <v>CIAT (Alliance)</v>
      </c>
      <c r="D22" s="4" t="str" xml:space="preserve">
        <v xml:space="preserve">Deliverable - Farmers led Network of Sites  for Agroecology and Nature+ Tree based systems: start consolidating and expanding the network of  co-learning sites (established by B-REAL) as a space for Rural Adivsory Services, Extension Systems organizations and individual farmers for  co-design, test, and document  practices implementation;  co-desinging training material and taylored record-keeping tools to generate farmer-led evidence and strengthen peer-to-peer learning and communication
Indicator: Number of stakeholder groups engaged in Farmer led network of sites</v>
      </c>
      <c r="E22" s="4" t="str">
        <v>custom</v>
      </c>
      <c r="F22" s="4" t="str">
        <v>Peru</v>
      </c>
      <c r="G22" s="5">
        <v>10</v>
      </c>
      <c r="H22" s="5">
        <v>62431</v>
      </c>
      <c r="I22" s="4" t="str">
        <v>.</v>
      </c>
      <c r="J22" s="4">
        <v>7495</v>
      </c>
    </row>
    <row r="23" ht="50" customHeight="1" xml:space="preserve">
      <c r="B23" s="4" t="str">
        <v>CIAT (Alliance)</v>
      </c>
      <c r="D23" s="4" t="str" xml:space="preserve">
        <v xml:space="preserve">Deliverable: Capacity Building for context-specific climate-smart and agroecological practices, co-designing, piloting and implementation : Train and mentor extension agents and farmers to implement and scale the climate smart and agroecological bundles across targeted countries/LLs.
Indicator: Number of extension agents and farmers trained on climate smart and agroecological bundles</v>
      </c>
      <c r="E23" s="4" t="str">
        <v>Number of people trained (capacity sharing for development)</v>
      </c>
      <c r="F23" s="4" t="str">
        <v>Ethiopia</v>
      </c>
      <c r="G23" s="5">
        <v>300</v>
      </c>
      <c r="H23" s="5">
        <v>38000</v>
      </c>
      <c r="I23" s="4" t="str">
        <v>.</v>
      </c>
      <c r="J23" s="4">
        <v>7496</v>
      </c>
    </row>
    <row r="24" ht="50" customHeight="1" xml:space="preserve">
      <c r="B24" s="4" t="str">
        <v>CIAT (Alliance)</v>
      </c>
      <c r="D24" s="4" t="str" xml:space="preserve">
        <v xml:space="preserve">Forest-Fish-Food (Triple F): Restitution and validation of the community-level risks and vulnerability analysis and options reviews, Peru and Ethiopia. Community-level action plans and capacity sharing  FOR AGROECOLOGY AND FOR NUTRITION RESILIENCE.
Indicator: Number of people (women, men, youth, indigenous) trained on agroecology and nutrition options based on the co-developed community level resilience action-plans.
</v>
      </c>
      <c r="E24" s="4" t="str">
        <v>Number of people trained (capacity sharing for development)</v>
      </c>
      <c r="F24" s="4" t="str">
        <v>Peru, Ethiopia</v>
      </c>
      <c r="G24" s="5">
        <v>0</v>
      </c>
      <c r="H24" s="5">
        <v>0</v>
      </c>
      <c r="I24" s="4" t="str">
        <v/>
      </c>
      <c r="J24" s="4">
        <v>8387</v>
      </c>
    </row>
    <row r="25" ht="50" customHeight="1" xml:space="preserve">
      <c r="B25" s="4" t="str">
        <v>CIAT (Alliance)</v>
      </c>
      <c r="D25" s="4" t="str" xml:space="preserve">
        <v xml:space="preserve">Forest-Fish-Food (Triple F): Restitution and validation of the community-level risks and vulnerability analysis and options reviews, Peru and Ethiopia. Community-level action plans and capacity sharing FOR AGROECOLOGY AND FOR NUTRITION RESILIENCE. 
Indicator: Number of people (women, men, youth, indigenous) trained on agroecology and nutrition options at the landscape using fish-forest-food interaction options co-developed with community level resilience action-plans, and on community-based monitoring systems. </v>
      </c>
      <c r="E25" s="4" t="str">
        <v>Number of people trained (capacity sharing for development)</v>
      </c>
      <c r="F25" s="4" t="str">
        <v>Ethiopia</v>
      </c>
      <c r="G25" s="5">
        <v>0</v>
      </c>
      <c r="H25" s="5">
        <v>20368</v>
      </c>
      <c r="I25" s="4" t="str">
        <v>.</v>
      </c>
      <c r="J25" s="4">
        <v>8398</v>
      </c>
    </row>
    <row r="26" ht="50" customHeight="1" xml:space="preserve">
      <c r="A26" s="4" t="str">
        <v>AOW01: Agroecology+ Solutions &amp; Innovations</v>
      </c>
      <c r="B26" s="4" t="str">
        <v>CIAT (Alliance)</v>
      </c>
      <c r="C26" s="4" t="str">
        <v>OP 1.1.2. – Climate-smart adaptation &amp; mitigation bundles</v>
      </c>
      <c r="D26" s="4" t="str" xml:space="preserve">
        <v xml:space="preserve">Deliverable: Enhanced Rock Weathering (ERW) for Soil Health, Climate Mitigation, and Food Security: ERW field trials co-designed, co-piloted and monitored across three Living Landscapes in Ethiopia
Indicators: No of field trials piloted in MFL living landscapes</v>
      </c>
      <c r="E26" s="4" t="str">
        <v>Number of knowledge products</v>
      </c>
      <c r="F26" s="4" t="str">
        <v>Colombia, Ethiopia</v>
      </c>
      <c r="G26" s="5">
        <v>8</v>
      </c>
      <c r="H26" s="5">
        <v>173500</v>
      </c>
      <c r="I26" s="4" t="str">
        <v>.</v>
      </c>
      <c r="J26" s="4">
        <v>7507</v>
      </c>
    </row>
    <row r="27" ht="50" customHeight="1" xml:space="preserve">
      <c r="B27" s="4" t="str">
        <v>CIAT (Alliance)</v>
      </c>
      <c r="D27" s="4" t="str" xml:space="preserve">
        <v xml:space="preserve">Deliverable: Bioiputs:Technical development and standardization of bio inputs that compliant with national requirements, including technical validation. The deliverable also includes a scaling and commercialization strategy covering market analysis, partnerships, and capacity building to enable widespread adoption (Deliverable co-owned by AoW1 and AoW3). 
Indicator: Number of bioinputs evaluated</v>
      </c>
      <c r="E27" s="4" t="str">
        <v>Number of innovations (innovation development)</v>
      </c>
      <c r="F27" s="4" t="str">
        <v>Colombia, Ethiopia</v>
      </c>
      <c r="G27" s="5">
        <v>3</v>
      </c>
      <c r="H27" s="5">
        <v>65000</v>
      </c>
      <c r="I27" s="4" t="str">
        <v>.</v>
      </c>
      <c r="J27" s="4">
        <v>7522</v>
      </c>
    </row>
    <row r="28" ht="25" customHeight="1">
      <c r="C28" s="9" t="str">
        <v>HLO budget subtotal</v>
      </c>
      <c r="H28" s="9">
        <v>1645447</v>
      </c>
      <c r="J28" s="9" t="str">
        <v/>
      </c>
    </row>
    <row r="29" ht="50" customHeight="1" xml:space="preserve">
      <c r="A29" s="8" t="str">
        <v>AOW02: Landscape Optimization and Inclusive Planning</v>
      </c>
      <c r="B29" s="4" t="str">
        <v>CIAT (Alliance)</v>
      </c>
      <c r="C29" s="4" t="str">
        <v>OP 2.2.3. – Integrated planning &amp; scenarios</v>
      </c>
      <c r="D29" s="4" t="str" xml:space="preserve">
        <v xml:space="preserve">Deliverable - Landscape Optimization and Land-Use Planning, Senegal: Develop integrated land-use optimization and planning process for the Senegal MFL Living Landscape with landscape stakeholders. 
Indicator: Number of stakeholder groups involved in multifunctional integrated landscape planning in Senegal</v>
      </c>
      <c r="E29" s="4" t="str">
        <v>custom</v>
      </c>
      <c r="F29" s="4" t="str">
        <v>Senegal</v>
      </c>
      <c r="G29" s="5">
        <v>5</v>
      </c>
      <c r="H29" s="5">
        <v>102814</v>
      </c>
      <c r="I29" s="4" t="str">
        <v>.</v>
      </c>
      <c r="J29" s="4">
        <v>5242</v>
      </c>
    </row>
    <row r="30" ht="50" customHeight="1" xml:space="preserve">
      <c r="B30" s="4" t="str">
        <v>CIAT (Alliance)</v>
      </c>
      <c r="D30" s="4" t="str" xml:space="preserve">
        <v xml:space="preserve">Deliverable - Landscape Optimization and Land-Use Planning, Peru: In collaboration with relevant landscape stakeholders of the Peru MFL Living Landscape selected sites co-design a participatory pilot processes for integrated land-use optimization and planning, including pathways for institutionalization 
Indicator: Number of stakeholder groups involved in multifunctional integrated landscape planning in Peru</v>
      </c>
      <c r="E30" s="4" t="str">
        <v>custom</v>
      </c>
      <c r="F30" s="4" t="str">
        <v>Peru</v>
      </c>
      <c r="G30" s="5">
        <v>10</v>
      </c>
      <c r="H30" s="5">
        <v>27953</v>
      </c>
      <c r="I30" s="4" t="str">
        <v>.</v>
      </c>
      <c r="J30" s="4">
        <v>5244</v>
      </c>
    </row>
    <row r="31" ht="50" customHeight="1" xml:space="preserve">
      <c r="B31" s="4" t="str">
        <v>CIAT (Alliance)</v>
      </c>
      <c r="D31" s="4" t="str" xml:space="preserve">
        <v xml:space="preserve">Deliverable - Finance and Incentive Mechanisms co-developed for Forest-Friendly Production: Co-design green finance and incentive mechanisms with value chain actors, financial institutions, and producer organizations to support deforestation-free and forest-friendly production systems, including options such as premium pricing schemes, sustainability-linked credit/loans, carbon or ecosystem service payments, and verified traceability frameworks.
Indicator: Number of co-designed mechanisms for green finance that support deforestation free production systems</v>
      </c>
      <c r="E31" s="4" t="str">
        <v>Number of innovations (innovation development)</v>
      </c>
      <c r="F31" s="4" t="str">
        <v>Ethiopia, The Socialist Republic of Viet Nam, Kenya</v>
      </c>
      <c r="G31" s="5">
        <v>1</v>
      </c>
      <c r="H31" s="5">
        <v>43752</v>
      </c>
      <c r="I31" s="4" t="str">
        <v>.</v>
      </c>
      <c r="J31" s="4">
        <v>5256</v>
      </c>
    </row>
    <row r="32" ht="50" customHeight="1" xml:space="preserve">
      <c r="B32" s="4" t="str">
        <v>CIAT (Alliance)</v>
      </c>
      <c r="D32" s="4" t="str" xml:space="preserve">
        <v xml:space="preserve">Deliverable: Critical Capabilities - Establish and operationalize Alliance and partner datasets, harmonized indicators, and AI-ready analytical pipelines supporting multifunctional-landscape modelling and reporting. Key processes include aggregate and curate soil-health and emission datasets; harmonize metadata and geospatial references; develop interoperability protocols; build analytical interfaces for AI and visualization tools; and publish an initial open-access soil-health dataset.
Indicator: Number of hubs operationalized with ≥ 50 datasets integrated</v>
      </c>
      <c r="E32" s="4" t="str">
        <v>Number of innovations (innovation development)</v>
      </c>
      <c r="F32" s="4" t="str">
        <v>Senegal, The Socialist Republic of Viet Nam, Zimbabwe, Tanzania, United Republic, Lao People's Democratic Republic, Ethiopia, Côte d'Ivoire, Cambodia, Kenya, Colombia, Tunisia, Peru, India</v>
      </c>
      <c r="G32" s="5">
        <v>1</v>
      </c>
      <c r="H32" s="5">
        <v>137784</v>
      </c>
      <c r="I32" s="4" t="str">
        <v>.</v>
      </c>
      <c r="J32" s="4">
        <v>5262</v>
      </c>
    </row>
    <row r="33" ht="50" customHeight="1" xml:space="preserve">
      <c r="B33" s="4" t="str">
        <v>CIAT (Alliance)</v>
      </c>
      <c r="D33" s="4" t="str" xml:space="preserve">
        <v xml:space="preserve">Deliverables: MFL recommendation engine validated for a single learning location (LL), with a comprehensive test report. Indicator: Number of detailed technical report describing the technical components of the engine and outlining its applicability. 
Indicator: Number of detailed technical report describing the technical components of the engine and outlining its applicability.</v>
      </c>
      <c r="E33" s="4" t="str">
        <v>Number of knowledge products</v>
      </c>
      <c r="F33" s="4" t="str">
        <v>Ethiopia</v>
      </c>
      <c r="G33" s="5">
        <v>1</v>
      </c>
      <c r="H33" s="5">
        <v>15000</v>
      </c>
      <c r="I33" s="4" t="str">
        <v>.</v>
      </c>
      <c r="J33" s="4">
        <v>7671</v>
      </c>
    </row>
    <row r="34" ht="50" customHeight="1" xml:space="preserve">
      <c r="B34" s="4" t="str">
        <v>CIAT (Alliance)</v>
      </c>
      <c r="D34" s="4" t="str" xml:space="preserve">
        <v xml:space="preserve">Deliverable - A Sentinel Landscape Replication for Evidence-Based Landscape Planning (2026-2027)
Indicator: Field Protocol Updated for MFL</v>
      </c>
      <c r="E34" s="4" t="str">
        <v>Number of knowledge products</v>
      </c>
      <c r="F34" s="4" t="str">
        <v>Peru</v>
      </c>
      <c r="G34" s="5">
        <v>1</v>
      </c>
      <c r="H34" s="5">
        <v>25000</v>
      </c>
      <c r="I34" s="4" t="str">
        <v>.</v>
      </c>
      <c r="J34" s="4">
        <v>7676</v>
      </c>
    </row>
    <row r="35" ht="50" customHeight="1" xml:space="preserve">
      <c r="B35" s="4" t="str">
        <v>CIAT (Alliance)</v>
      </c>
      <c r="D35" s="4" t="str" xml:space="preserve">
        <v xml:space="preserve">Deliverables: MFL data automation - prioritization - optimization - recommendation/advisory/DSTs - evidence generation toold - engine (prototype) developed and tested for selected landscapes. The engine brings together host of data-methods-tools- for integrated use across the MFL value chains tailed to needs and requirements. 
Indicator: Number of MFL AE+ recommendation engines</v>
      </c>
      <c r="E35" s="4" t="str">
        <v>Number of innovations (innovation development)</v>
      </c>
      <c r="F35" s="4" t="str">
        <v>Zimbabwe, Lao People's Democratic Republic, Senegal, Tanzania, United Republic, Kenya, India, Ethiopia, Cambodia, Côte d'Ivoire, Peru, The Socialist Republic of Viet Nam, Tunisia, Colombia</v>
      </c>
      <c r="G35" s="5">
        <v>1</v>
      </c>
      <c r="H35" s="5">
        <v>150000</v>
      </c>
      <c r="I35" s="4" t="str">
        <v>.</v>
      </c>
      <c r="J35" s="4">
        <v>7736</v>
      </c>
    </row>
    <row r="36" ht="50" customHeight="1" xml:space="preserve">
      <c r="B36" s="4" t="str">
        <v>CIAT (Alliance)</v>
      </c>
      <c r="D36" s="4" t="str" xml:space="preserve">
        <v xml:space="preserve">Deliverable: Reconciling land-sparing and land-sharing objectives through coupling plot/farm and landsape level solutions. Develop an integrated, evidence-based analytical framework and tools for assessing land-sparing, land-sharing, and hybrid landscape strategies across different agroecological and socio-economic contexts and scales and optimizing win-win solutions considering competing needs and conflicting priorities.
Indicator: Number of Framework supported by scientific publication</v>
      </c>
      <c r="E36" s="4" t="str">
        <v>Number of innovations (innovation development)</v>
      </c>
      <c r="F36" s="4" t="str">
        <v>Tunisia, Peru, Colombia</v>
      </c>
      <c r="G36" s="5">
        <v>1</v>
      </c>
      <c r="H36" s="5">
        <v>80000</v>
      </c>
      <c r="I36" s="4" t="str">
        <v>.</v>
      </c>
      <c r="J36" s="4">
        <v>7741</v>
      </c>
    </row>
    <row r="37" ht="50" customHeight="1" xml:space="preserve">
      <c r="B37" s="4" t="str">
        <v>CIAT (Alliance)</v>
      </c>
      <c r="D37" s="4" t="str" xml:space="preserve">
        <v xml:space="preserve">Forest-Fish-Food (Triple F): Revisiting the context for local vulnerabilities and identifying locally-specific options for community resilience in the local sites in Peru and Ethiopia
Indicator: Number of knowledge products (journal articles, protocls, guidelines, reports, briefs, presentations) on locally-specific options for community resilience addressing locally identified vulnerabilities  
</v>
      </c>
      <c r="E37" s="4" t="str">
        <v>Number of knowledge products</v>
      </c>
      <c r="F37" s="4" t="str">
        <v>Peru</v>
      </c>
      <c r="G37" s="5">
        <v>0</v>
      </c>
      <c r="H37" s="5">
        <v>0</v>
      </c>
      <c r="I37" s="4" t="str">
        <v/>
      </c>
      <c r="J37" s="4">
        <v>8386</v>
      </c>
    </row>
    <row r="38" ht="50" customHeight="1" xml:space="preserve">
      <c r="B38" s="4" t="str">
        <v>CIAT (Alliance)</v>
      </c>
      <c r="D38" s="4" t="str" xml:space="preserve">
        <v xml:space="preserve">Forest-Fish-Food (Triple F): Revisiting the context for local vulnerabilities and identifying locally-specific options for community resilience in the local sites in Peru and Ethiopia
Indicator: Number of knowlege products (journal articles, protocols, guidelines, reports, briefs, presentations) on locally-specific options for community resilience addressing locally identified vulnerabilities applying the SES framework based on fish-forest-food interaction at the landscape.</v>
      </c>
      <c r="E38" s="4" t="str">
        <v>Number of knowledge products</v>
      </c>
      <c r="F38" s="4" t="str">
        <v>Ethiopia</v>
      </c>
      <c r="G38" s="5">
        <v>0</v>
      </c>
      <c r="H38" s="5">
        <v>20368</v>
      </c>
      <c r="I38" s="4" t="str">
        <v>.</v>
      </c>
      <c r="J38" s="4">
        <v>8397</v>
      </c>
    </row>
    <row r="39" ht="50" customHeight="1" xml:space="preserve">
      <c r="A39" s="4" t="str">
        <v>AOW02: Landscape Optimization and Inclusive Planning</v>
      </c>
      <c r="B39" s="4" t="str">
        <v>CIAT (Alliance)</v>
      </c>
      <c r="C39" s="4" t="str">
        <v>OP 2.2.4. – Digital Twins for foresight</v>
      </c>
      <c r="D39" s="4" t="str" xml:space="preserve">
        <v xml:space="preserve">Deliverable: Critical Capabilities - Co-develop modular digital-twin architecture; integrate datasets and analytical tools (Terra-I, D4R, MyFarmTrees); build visualization interfaces; and implement pilots demonstrating adaptive planning and traceability functions for restoration and land-use optimization. The Digital Twin framework will be co-designed and piloted in at least two Multifunctional Living Landscapes, integrating existing digital tools and enabling real-time monitoring, scenario modelling, and decision-support dashboards.
Indicator: Number of landscape Digital Twin frameworks operationalized with ≥ 10 integrated data layers and ≥ 100 participants from public, private, and research institutions engaged in decision-support trials.</v>
      </c>
      <c r="E39" s="4" t="str">
        <v>Number of innovations (innovation development)</v>
      </c>
      <c r="F39" s="4" t="str">
        <v>Peru, Cambodia, Colombia, The Socialist Republic of Viet Nam, Lao People's Democratic Republic, Ethiopia, India</v>
      </c>
      <c r="G39" s="5">
        <v>3</v>
      </c>
      <c r="H39" s="5">
        <v>137784</v>
      </c>
      <c r="I39" s="4" t="str">
        <v>.</v>
      </c>
      <c r="J39" s="4">
        <v>5302</v>
      </c>
    </row>
    <row r="40" ht="50" customHeight="1" xml:space="preserve">
      <c r="B40" s="4" t="str">
        <v>CIAT (Alliance)</v>
      </c>
      <c r="D40" s="4" t="str" xml:space="preserve">
        <v xml:space="preserve">Deliverable: Developing and deploying an open source MFL Geospatial Datahub for Ethiopia and Kenya that supports standardized yet flexible geospatial data management, analysis, visualization, and sharing for Living Labs, while interoperating with the National DataHub System through shared metadata, APIs, and common identifiers. 
Indicator: Number of open source MFL Geospatial Datahubs</v>
      </c>
      <c r="E40" s="4" t="str">
        <v>Number of innovations (innovation development)</v>
      </c>
      <c r="F40" s="4" t="str">
        <v>Kenya, Ethiopia</v>
      </c>
      <c r="G40" s="5">
        <v>1</v>
      </c>
      <c r="H40" s="5">
        <v>10000</v>
      </c>
      <c r="I40" s="4" t="str">
        <v>.</v>
      </c>
      <c r="J40" s="4">
        <v>7668</v>
      </c>
    </row>
    <row r="41" ht="50" customHeight="1" xml:space="preserve">
      <c r="A41" s="4" t="str">
        <v>AOW02: Landscape Optimization and Inclusive Planning</v>
      </c>
      <c r="B41" s="4" t="str">
        <v>CIAT (Alliance)</v>
      </c>
      <c r="C41" s="4" t="str">
        <v>OP 2.1.1. – Hotspot mapping &amp; characterization</v>
      </c>
      <c r="D41" s="4" t="str" xml:space="preserve">
        <v xml:space="preserve">Deliverable - Generation and integration of high-quality Soil Organic Carbon (SOC) baseline data from the LVB Kenya Living Landscapes to support the parameterization, calibration, and validation of the DSSAT model. This includes harmonization of field measurements, soil profiles, and spatial datasets to ensure accurate representation of soil conditions within DSSAT simulations. The SOC baseline will enhance model reliability in assessing crop performance, soil health dynamics, and climate-resilient management options.
Indicator: Number of technical reports summarizing SOC baseline, soil, climate, and management data prepared for use in DSSAT model parameterization and simulation.</v>
      </c>
      <c r="E41" s="4" t="str">
        <v>Number of knowledge products</v>
      </c>
      <c r="F41" s="4" t="str">
        <v>Tanzania, United Republic, Kenya</v>
      </c>
      <c r="G41" s="5">
        <v>2</v>
      </c>
      <c r="H41" s="5">
        <v>32222</v>
      </c>
      <c r="I41" s="4" t="str">
        <v>.</v>
      </c>
      <c r="J41" s="4">
        <v>5359</v>
      </c>
    </row>
    <row r="42" ht="50" customHeight="1" xml:space="preserve">
      <c r="B42" s="4" t="str">
        <v>CIAT (Alliance)</v>
      </c>
      <c r="D42" s="4" t="str" xml:space="preserve">
        <v xml:space="preserve">Deliverable - Restoration Hotspot Mapping for Priority Targeting: Develop spatial hotspot maps that identify priority areas for land and water restoration interventions, integrating data on degradation, ecosystem service loss, climate vulnerability, and community needs to support evidence-based targeting and planning in MFL Living Landscapes.
Indicator: Number of publications, maps or datasets on hotspots for land and water restoration</v>
      </c>
      <c r="E42" s="4" t="str">
        <v>Number of knowledge products</v>
      </c>
      <c r="F42" s="4" t="str">
        <v>Ethiopia, Kenya</v>
      </c>
      <c r="G42" s="5">
        <v>2</v>
      </c>
      <c r="H42" s="5">
        <v>24307</v>
      </c>
      <c r="I42" s="4" t="str">
        <v>.</v>
      </c>
      <c r="J42" s="4">
        <v>5367</v>
      </c>
    </row>
    <row r="43" ht="50" customHeight="1" xml:space="preserve">
      <c r="B43" s="4" t="str">
        <v>CIAT (Alliance)</v>
      </c>
      <c r="D43" s="4" t="str" xml:space="preserve">
        <v xml:space="preserve">Deliverable - Contextualized Credit Scoring Framework for Restoration Incentives: Review and contextualizing credit score approach for designing incentive mechanism for landscape restoration options to sustain water infrstructure, freshwater ecosystems, and landscapes
Indicator: Number of credit score approaches developed for designing incentives for landscape restoration</v>
      </c>
      <c r="E43" s="4" t="str">
        <v>Number of innovations (innovation development)</v>
      </c>
      <c r="F43" s="4" t="str">
        <v>Ethiopia, Kenya</v>
      </c>
      <c r="G43" s="5">
        <v>1</v>
      </c>
      <c r="H43" s="5">
        <v>29168</v>
      </c>
      <c r="I43" s="4" t="str">
        <v>.</v>
      </c>
      <c r="J43" s="4">
        <v>5368</v>
      </c>
    </row>
    <row r="44" ht="50" customHeight="1" xml:space="preserve">
      <c r="B44" s="4" t="str">
        <v>CIAT (Alliance)</v>
      </c>
      <c r="D44" s="4" t="str" xml:space="preserve">
        <v xml:space="preserve">Deliverable - AE+ Solution Catalog and Contextual Adaptation Framework: Review, document, analyze, and catalogue AE+ solutions and innovations, organizing them by ecosystem context, farming system type, and resource conditions, to enable evidence-based bundling, adaptation, and fine-tuning for application across MFL Living Landscapes.
Indicator: Number of catalogues of context and site-specific management options</v>
      </c>
      <c r="E44" s="4" t="str">
        <v>Number of knowledge products</v>
      </c>
      <c r="F44" s="4" t="str">
        <v>Kenya, Ethiopia</v>
      </c>
      <c r="G44" s="5">
        <v>2</v>
      </c>
      <c r="H44" s="5">
        <v>49168</v>
      </c>
      <c r="I44" s="4" t="str">
        <v>.</v>
      </c>
      <c r="J44" s="4">
        <v>5369</v>
      </c>
    </row>
    <row r="45" ht="50" customHeight="1" xml:space="preserve">
      <c r="B45" s="4" t="str">
        <v>CIAT (Alliance)</v>
      </c>
      <c r="D45" s="4" t="str" xml:space="preserve">
        <v xml:space="preserve">Deliverable - Baseline Characterization of Living Landscapes: Compile and analyze baseline biophysical and socioeconomic datasets for two selected Living Landscapes, providing a benchmarking reference for landscape condition, resource use patterns, production systems, and community livelihood dynamics to inform planning, monitoring, and adaptive management
Indicator: Number of publications, maps or datasets on biophysical and socioeconomic variables in Living Landscapes</v>
      </c>
      <c r="E45" s="4" t="str">
        <v>Number of knowledge products</v>
      </c>
      <c r="F45" s="4" t="str">
        <v>Ethiopia, Tanzania, United Republic, India</v>
      </c>
      <c r="G45" s="5">
        <v>2</v>
      </c>
      <c r="H45" s="5">
        <v>27710</v>
      </c>
      <c r="I45" s="4" t="str">
        <v>.</v>
      </c>
      <c r="J45" s="4">
        <v>5372</v>
      </c>
    </row>
    <row r="46" ht="50" customHeight="1" xml:space="preserve">
      <c r="B46" s="4" t="str">
        <v>CIAT (Alliance)</v>
      </c>
      <c r="D46" s="4" t="str" xml:space="preserve">
        <v xml:space="preserve">Deliverable - Maps quantifying trends in ecosystem services value (ESV) due to land use changes
Indicator: Number of validated maps on value of ecosystem services</v>
      </c>
      <c r="E46" s="4" t="str">
        <v>Number of knowledge products</v>
      </c>
      <c r="F46" s="4" t="str">
        <v>Kenya, Ethiopia</v>
      </c>
      <c r="G46" s="5">
        <v>2</v>
      </c>
      <c r="H46" s="5">
        <v>20000</v>
      </c>
      <c r="I46" s="4" t="str">
        <v>.</v>
      </c>
      <c r="J46" s="4">
        <v>7681</v>
      </c>
    </row>
    <row r="47" ht="50" customHeight="1" xml:space="preserve">
      <c r="B47" s="4" t="str">
        <v>CIAT (Alliance)</v>
      </c>
      <c r="D47" s="4" t="str" xml:space="preserve">
        <v xml:space="preserve">Forest-Fish-Food (Triple F): Common methods and science background for the community-based action-research component 
Indicator: Number action research plans based on standardized and co-defined protocols (research-action methodological compendium) and co-identified local resilience options </v>
      </c>
      <c r="E47" s="4" t="str">
        <v>Number of knowledge products</v>
      </c>
      <c r="F47" s="4" t="str">
        <v>Peru</v>
      </c>
      <c r="G47" s="5">
        <v>0</v>
      </c>
      <c r="H47" s="5">
        <v>55338</v>
      </c>
      <c r="I47" s="4" t="str" xml:space="preserve">
        <v xml:space="preserve">USD 55,338 allocation to ICRAF with Alliance OVH included (actual allocation to include in sub-agreement is USD 48,120). 
</v>
      </c>
      <c r="J47" s="4">
        <v>8385</v>
      </c>
    </row>
    <row r="48" ht="50" customHeight="1" xml:space="preserve">
      <c r="B48" s="4" t="str">
        <v>CIAT (Alliance)</v>
      </c>
      <c r="D48" s="4" t="str" xml:space="preserve">
        <v xml:space="preserve">Forest-Fish-Food (Triple F): Common methods and science background for the community-based action-research component 
Indicator: Number action research plans based on standardized and co-defined protocols (research-action methodological compendium) and co-identified local resilience options using the SES framework modules (Fish-forest-food) at the landscape level.</v>
      </c>
      <c r="E48" s="4" t="str">
        <v>Number of knowledge products</v>
      </c>
      <c r="F48" s="4" t="str">
        <v>Ethiopia, Peru</v>
      </c>
      <c r="G48" s="5">
        <v>0</v>
      </c>
      <c r="H48" s="5">
        <v>5092</v>
      </c>
      <c r="I48" s="4" t="str">
        <v>Alliance budget for this deliverable in Ethiopia allocated in CIAT entity.</v>
      </c>
      <c r="J48" s="4">
        <v>8395</v>
      </c>
    </row>
    <row r="49" ht="50" customHeight="1" xml:space="preserve">
      <c r="A49" s="4" t="str">
        <v>AOW02: Landscape Optimization and Inclusive Planning</v>
      </c>
      <c r="B49" s="4" t="str">
        <v>CIAT (Alliance)</v>
      </c>
      <c r="C49" s="4" t="str">
        <v>OP 2.2.2. – Landscape visions &amp; co-developed plans</v>
      </c>
      <c r="D49" s="4" t="str" xml:space="preserve">
        <v xml:space="preserve">Deliverable - Landscape Vision to Action (LV2A) Implementation Across Five Countries: Lead the co-development and validation of Landscape Vision and Priority Action Frameworks in Peru, Colombia, Kenya, and Senegal, and provide technical and facilitation support to ongoing LV2A processes in Zimbabwe and Tanzania, strengthening multi-stakeholder alignment, governance, and pathways for coordinated landscape transition.
Indicator: Number of Landscape Vision 2 Action plans validated for Colombia, Kenya, Peru, Senegal, Ethiopia</v>
      </c>
      <c r="E49" s="4" t="str">
        <v>custom</v>
      </c>
      <c r="F49" s="4" t="str">
        <v>Ethiopia, Colombia, Kenya, Peru, Senegal</v>
      </c>
      <c r="G49" s="5">
        <v>5</v>
      </c>
      <c r="H49" s="5">
        <v>90000</v>
      </c>
      <c r="I49" s="4" t="str">
        <v>.</v>
      </c>
      <c r="J49" s="4">
        <v>5379</v>
      </c>
    </row>
    <row r="50" ht="50" customHeight="1" xml:space="preserve">
      <c r="B50" s="4" t="str">
        <v>CIAT (Alliance)</v>
      </c>
      <c r="D50" s="4" t="str" xml:space="preserve">
        <v xml:space="preserve">Deliverable - Landscape Vision to Action (LV2A) Innovation Products: Development of the LV2A process and supporting innovations across participating countries, supporting the use of its structured participatory planning process to translate stakeholder visions into actionable landscape transition pathways, and produce cross-country learning products that document methods, adaptations, and lessons. 
Indicator: Number of innovations on multifunctional landscape Vision To Action developed</v>
      </c>
      <c r="E50" s="4" t="str">
        <v>Number of knowledge products</v>
      </c>
      <c r="F50" s="4" t="str">
        <v>Ethiopia, Tunisia, Peru, Colombia, Kenya, Zimbabwe, India</v>
      </c>
      <c r="G50" s="5">
        <v>1</v>
      </c>
      <c r="H50" s="5">
        <v>40000</v>
      </c>
      <c r="I50" s="4" t="str">
        <v>.</v>
      </c>
      <c r="J50" s="4">
        <v>5380</v>
      </c>
    </row>
    <row r="51" ht="50" customHeight="1" xml:space="preserve">
      <c r="B51" s="4" t="str">
        <v>CIAT (Alliance)</v>
      </c>
      <c r="D51" s="4" t="str" xml:space="preserve">
        <v xml:space="preserve">Deliverable: Landscape work alignment and coherence. 
Indicator: Number of country reports on landscape alignment and coherence</v>
      </c>
      <c r="E51" s="4" t="str">
        <v>Number of knowledge products</v>
      </c>
      <c r="F51" s="4" t="str">
        <v>Ethiopia, Colombia, Peru, Kenya</v>
      </c>
      <c r="G51" s="5">
        <v>4</v>
      </c>
      <c r="H51" s="5">
        <v>80000</v>
      </c>
      <c r="I51" s="4" t="str">
        <v>.</v>
      </c>
      <c r="J51" s="4">
        <v>7743</v>
      </c>
    </row>
    <row r="52" ht="25" customHeight="1">
      <c r="C52" s="9" t="str">
        <v>HLO budget subtotal</v>
      </c>
      <c r="H52" s="9">
        <v>1203460</v>
      </c>
      <c r="J52" s="9" t="str">
        <v/>
      </c>
    </row>
    <row r="53" ht="50" customHeight="1" xml:space="preserve">
      <c r="A53" s="8" t="str">
        <v>AOW03: Business Models, Markets, and Sustainable Finance</v>
      </c>
      <c r="B53" s="4" t="str">
        <v>CIAT (Alliance)</v>
      </c>
      <c r="C53" s="4" t="str">
        <v>OP 3.4.5. Integrated policy–market–finance pathways</v>
      </c>
      <c r="D53" s="4" t="str" xml:space="preserve">
        <v xml:space="preserve">Deliverable - Conservation Compensation Mechanism for Smallholder Landscapes: Develop an analytical and operational framework for conservation compensation that links verified ecosystem restoration and biodiversity outcomes on smallholder farms to financial rewards or incentives. The framework will include practical guidelines, monitoring criteria, payout logic, and institutional options to ensure transparency, fairness, and equitable benefit sharing.
Indicator: Number of stakeholders consulted in the development of conservation compensation analytical framework and practical guidelines</v>
      </c>
      <c r="E53" s="4" t="str">
        <v>custom</v>
      </c>
      <c r="F53" s="4" t="str">
        <v>Colombia, Peru</v>
      </c>
      <c r="G53" s="5">
        <v>50</v>
      </c>
      <c r="H53" s="5">
        <v>79000</v>
      </c>
      <c r="I53" s="4" t="str">
        <v>.</v>
      </c>
      <c r="J53" s="4">
        <v>5269</v>
      </c>
    </row>
    <row r="54" ht="50" customHeight="1">
      <c r="B54" s="4" t="str">
        <v>CIAT (Alliance)</v>
      </c>
      <c r="D54" s="4" t="str">
        <v>Number of evidence-based frameworks and decision support tools developed for policy-market-finance alignment</v>
      </c>
      <c r="E54" s="4" t="str">
        <v>Number of innovations (innovation development)</v>
      </c>
      <c r="F54" s="4" t="str">
        <v>Cambodia, Zimbabwe, Senegal, India, Côte d'Ivoire, Tanzania, United Republic, The Socialist Republic of Viet Nam, Colombia, Peru, Tunisia, Kenya, Lao People's Democratic Republic, Ethiopia</v>
      </c>
      <c r="G54" s="5">
        <v>0</v>
      </c>
      <c r="H54" s="5">
        <v>0</v>
      </c>
      <c r="I54" s="4" t="str">
        <v/>
      </c>
      <c r="J54" s="4">
        <v>5271</v>
      </c>
    </row>
    <row r="55" ht="50" customHeight="1" xml:space="preserve">
      <c r="A55" s="4" t="str">
        <v>AOW03: Business Models, Markets, and Sustainable Finance</v>
      </c>
      <c r="B55" s="4" t="str">
        <v>CIAT (Alliance)</v>
      </c>
      <c r="C55" s="4" t="str">
        <v>OP 3.2.2. Inclusive business models</v>
      </c>
      <c r="D55" s="4" t="str" xml:space="preserve">
        <v xml:space="preserve">Deliverable - Analysis of Market and Value Chain for NUS, Biofertilizers, or Biotrade Products:  Market and value chain analyses for assessing the local and export potential of NUS, biofertilizers and biotrade based products
Indicator: Number of market and value chain analyses conducted to assess local and export potential of NUS, biofertilizers, or biotrade products</v>
      </c>
      <c r="E55" s="4" t="str">
        <v>Number of knowledge products</v>
      </c>
      <c r="F55" s="4" t="str">
        <v>Peru</v>
      </c>
      <c r="G55" s="5">
        <v>4</v>
      </c>
      <c r="H55" s="5">
        <v>79500</v>
      </c>
      <c r="I55" s="4" t="str">
        <v>.</v>
      </c>
      <c r="J55" s="4">
        <v>5407</v>
      </c>
    </row>
    <row r="56" ht="50" customHeight="1" xml:space="preserve">
      <c r="B56" s="4" t="str">
        <v>CIAT (Alliance)</v>
      </c>
      <c r="D56" s="4" t="str" xml:space="preserve">
        <v xml:space="preserve">Deliverable - Co-Design of Multi-Level Innovations Across the Value Chain: Co-design of innovations to implement at farm level, collector level, processor level and retailor level + 1 communication at Tropentag_26
Indicator: Number of agroecological value chain innovations co-designed across farm, collector, processor, and retailer levels + 1 communication</v>
      </c>
      <c r="E56" s="4" t="str">
        <v>Number of innovations (innovation development)</v>
      </c>
      <c r="F56" s="4" t="str">
        <v>Senegal</v>
      </c>
      <c r="G56" s="5">
        <v>2</v>
      </c>
      <c r="H56" s="5">
        <v>23000</v>
      </c>
      <c r="I56" s="4" t="str">
        <v>.</v>
      </c>
      <c r="J56" s="4">
        <v>5408</v>
      </c>
    </row>
    <row r="57" ht="50" customHeight="1" xml:space="preserve">
      <c r="B57" s="4" t="str">
        <v>CIAT (Alliance)</v>
      </c>
      <c r="D57" s="4" t="str" xml:space="preserve">
        <v xml:space="preserve">Deliverable - Agroecological Business Models in Two Priority Value Chains characterized: Characterization of the currents and agroecological business models of the actors of the two value chains
Indicator:  Number of current and agroecological business models assessed</v>
      </c>
      <c r="E57" s="4" t="str">
        <v>Number of knowledge products</v>
      </c>
      <c r="F57" s="4" t="str">
        <v>Senegal</v>
      </c>
      <c r="G57" s="5">
        <v>2</v>
      </c>
      <c r="H57" s="5">
        <v>28300</v>
      </c>
      <c r="I57" s="4" t="str">
        <v>.</v>
      </c>
      <c r="J57" s="4">
        <v>5409</v>
      </c>
    </row>
    <row r="58" ht="50" customHeight="1" xml:space="preserve">
      <c r="B58" s="4" t="str">
        <v>CIAT (Alliance)</v>
      </c>
      <c r="D58" s="4" t="str" xml:space="preserve">
        <v xml:space="preserve">Deliverable - Characterization of the space for initiatives of the operators of the two value chains. The analysis focuses on operators along the entire chain from upstream producers, through collectors, to downstream processors in order to characterize opportunities and constraints across multiple dimensions (institutional governance, natural resources, knowledge and know-how, economic/market conditions, and social aspects).
Indicator: Number of value chain assessments</v>
      </c>
      <c r="E58" s="4" t="str">
        <v>Number of knowledge products</v>
      </c>
      <c r="F58" s="4" t="str">
        <v>Senegal</v>
      </c>
      <c r="G58" s="5">
        <v>2</v>
      </c>
      <c r="H58" s="5">
        <v>20000</v>
      </c>
      <c r="I58" s="4" t="str">
        <v>.</v>
      </c>
      <c r="J58" s="4">
        <v>5410</v>
      </c>
    </row>
    <row r="59" ht="50" customHeight="1" xml:space="preserve">
      <c r="B59" s="4" t="str">
        <v>CIAT (Alliance)</v>
      </c>
      <c r="D59" s="4" t="str" xml:space="preserve">
        <v xml:space="preserve">Deliverable - Consumer Preference and Institutional Market Analysis for Dairy and Pearl Millet Products: Analysis of consumer preferences for dairy and pearl millet products; study of criteria and conditions to strengthen alternative markets (such as school canteens)
Indicator: Number of consumer preference lists for dairy and pearl millet product assessed</v>
      </c>
      <c r="E59" s="4" t="str">
        <v>Number of knowledge products</v>
      </c>
      <c r="F59" s="4" t="str">
        <v>Senegal</v>
      </c>
      <c r="G59" s="5">
        <v>2</v>
      </c>
      <c r="H59" s="5">
        <v>20000</v>
      </c>
      <c r="I59" s="4" t="str">
        <v>.</v>
      </c>
      <c r="J59" s="4">
        <v>5411</v>
      </c>
    </row>
    <row r="60" ht="50" customHeight="1" xml:space="preserve">
      <c r="B60" s="4" t="str">
        <v>CIAT (Alliance)</v>
      </c>
      <c r="D60" s="4" t="str" xml:space="preserve">
        <v xml:space="preserve">Deliverable - Sustainably upgraded business models: Apply a participatory business model assessment and upgrading process with crop, livestock, seed, and bioinput producer organizations (including community seed banks) adopting agroecological innovations under AoW1. Identify operational, financial, and marketing bottlenecks, prioritize improvement actions, and define targeted capacity-building needs to enhance business performance and accelerate circular production transitions.
Indicator: Number of sustainably upgraded business models</v>
      </c>
      <c r="E60" s="4" t="str">
        <v>Number of innovations (innovation development)</v>
      </c>
      <c r="F60" s="4" t="str">
        <v>Colombia</v>
      </c>
      <c r="G60" s="5">
        <v>3</v>
      </c>
      <c r="H60" s="5">
        <v>59500</v>
      </c>
      <c r="I60" s="4" t="str">
        <v>.</v>
      </c>
      <c r="J60" s="4">
        <v>5415</v>
      </c>
    </row>
    <row r="61" ht="50" customHeight="1" xml:space="preserve">
      <c r="B61" s="4" t="str">
        <v>CIAT (Alliance)</v>
      </c>
      <c r="D61" s="4" t="str" xml:space="preserve">
        <v xml:space="preserve">Deliverable - Co-Designed Solutions for Nutritious and Sustainable Food Value Chains: Co-design solutions with MSMEs and consumers to improve the delivery, accessibility, and consumption of sustainably produced, nutritious foods in Kenya, strengthening local value chains, enhancing market linkages, and promoting inclusive business models that support healthy diets and sustainable food systems
Indicator: Number of consumers and MSMEs involved in the codesign of business models</v>
      </c>
      <c r="E61" s="4" t="str">
        <v>custom</v>
      </c>
      <c r="F61" s="4" t="str">
        <v>Kenya</v>
      </c>
      <c r="G61" s="5">
        <v>135</v>
      </c>
      <c r="H61" s="5">
        <v>64500</v>
      </c>
      <c r="I61" s="4" t="str">
        <v>.</v>
      </c>
      <c r="J61" s="4">
        <v>5416</v>
      </c>
    </row>
    <row r="62" ht="50" customHeight="1" xml:space="preserve">
      <c r="B62" s="4" t="str">
        <v>CIAT (Alliance)</v>
      </c>
      <c r="D62" s="4" t="str" xml:space="preserve">
        <v xml:space="preserve">Deliverable - Value Addition and Market Integration for Agroecological and Nature-Based Enterprises: Work with agroecological and nature-based enterprises to strengthen value addition for locally produced commodities through product refinement, quality improvement, packaging and labeling enhancement, and consumer acceptability assessment, to improve market competitiveness, brand positioning, and integration into local, territorial, and specialty markets.
Indicator: Number of business models for agroecological and nature-based enterprises improved</v>
      </c>
      <c r="E62" s="4" t="str">
        <v>Number of innovations (innovation development)</v>
      </c>
      <c r="F62" s="4" t="str">
        <v>Kenya</v>
      </c>
      <c r="G62" s="5">
        <v>2</v>
      </c>
      <c r="H62" s="5">
        <v>51845</v>
      </c>
      <c r="I62" s="4" t="str">
        <v>.</v>
      </c>
      <c r="J62" s="4">
        <v>5417</v>
      </c>
    </row>
    <row r="63" ht="50" customHeight="1" xml:space="preserve">
      <c r="B63" s="4" t="str">
        <v>CIAT (Alliance)</v>
      </c>
      <c r="D63" s="4" t="str" xml:space="preserve">
        <v xml:space="preserve">Deliverable - Participatory Guarantee Systems (PGS) for Inclusive Market Strengthening:   Support farmer organizations and other market actors in implementing peer-to-peer certification systems (Participatory Guarantee Systems – PGS) to strengthen inclusive business models, enhance market credibility
Indicator: Number of farmer organizations or market actors supported in the implementation of peer-to-peer certification systems</v>
      </c>
      <c r="E63" s="4" t="str">
        <v>custom</v>
      </c>
      <c r="F63" s="4" t="str">
        <v>Kenya</v>
      </c>
      <c r="G63" s="5">
        <v>100</v>
      </c>
      <c r="H63" s="5">
        <v>36500</v>
      </c>
      <c r="I63" s="4" t="str">
        <v>.</v>
      </c>
      <c r="J63" s="4">
        <v>5418</v>
      </c>
    </row>
    <row r="64" ht="50" customHeight="1" xml:space="preserve">
      <c r="B64" s="4" t="str">
        <v>CIAT (Alliance)</v>
      </c>
      <c r="D64" s="4" t="str" xml:space="preserve">
        <v xml:space="preserve">Deliverable: Technical development and standardization of bio inputs that compliant with national requirements, including technical validation. The deliverable also includes a scaling and commercialization strategy covering market analysis, partnerships, and capacity building to enable widespread adoption (Deliverable co-owned by AoW1 and AoW3). 
Indicator: Number of market strategies for bioinputs developed</v>
      </c>
      <c r="E64" s="4" t="str">
        <v>Number of knowledge products</v>
      </c>
      <c r="F64" s="4" t="str">
        <v>Colombia</v>
      </c>
      <c r="G64" s="5">
        <v>1</v>
      </c>
      <c r="H64" s="5">
        <v>58000</v>
      </c>
      <c r="I64" s="4" t="str">
        <v>.</v>
      </c>
      <c r="J64" s="4">
        <v>7409</v>
      </c>
    </row>
    <row r="65" ht="50" customHeight="1" xml:space="preserve">
      <c r="B65" s="4" t="str">
        <v>CIAT (Alliance)</v>
      </c>
      <c r="D65" s="4" t="str" xml:space="preserve">
        <v xml:space="preserve">Deliverable - AE business models for Ethiopia and Peru targeting wheat and cocoa value chains. 
Indicator: Number of agroecological business models targeting wheat and cocoa value chains. </v>
      </c>
      <c r="E65" s="4" t="str">
        <v>Number of innovations (innovation development)</v>
      </c>
      <c r="F65" s="4" t="str">
        <v>Peru, Ethiopia</v>
      </c>
      <c r="G65" s="5">
        <v>2</v>
      </c>
      <c r="H65" s="5">
        <v>30000</v>
      </c>
      <c r="I65" s="4" t="str">
        <v>.</v>
      </c>
      <c r="J65" s="4">
        <v>7412</v>
      </c>
    </row>
    <row r="66" ht="50" customHeight="1" xml:space="preserve">
      <c r="A66" s="4" t="str">
        <v>AOW03: Business Models, Markets, and Sustainable Finance</v>
      </c>
      <c r="B66" s="4" t="str">
        <v>CIAT (Alliance)</v>
      </c>
      <c r="C66" s="4" t="str">
        <v>OP 3.3.3. Co-designed inclusive market and non-market mechanisms for optimizing ecosystem services</v>
      </c>
      <c r="D66" s="4" t="str" xml:space="preserve">
        <v xml:space="preserve">Deliverable - Strengthened market linkages and ecosystem service opportunities: Co-design a mechanism including instruments that could be Payments for Ecosystem Services (PES), Payments for Agrobiodiversity Conservation Services (PACS), and other compensation schemes. Analyze their operational feasibility, institutional arrangements, and livelihood benefits to validate models that incentivize sustainable production and biodiversity in the MFL. 
Indicator: Number of market analyses conducted assessing commercial feasibility, demand, and opportunities for bioeconomy products</v>
      </c>
      <c r="E66" s="4" t="str">
        <v>Number of innovations (innovation development)</v>
      </c>
      <c r="F66" s="4" t="str">
        <v>Colombia</v>
      </c>
      <c r="G66" s="5">
        <v>2</v>
      </c>
      <c r="H66" s="5">
        <v>72082</v>
      </c>
      <c r="I66" s="4" t="str">
        <v>.</v>
      </c>
      <c r="J66" s="4">
        <v>5424</v>
      </c>
    </row>
    <row r="67" ht="50" customHeight="1" xml:space="preserve">
      <c r="B67" s="4" t="str">
        <v>CIAT (Alliance)</v>
      </c>
      <c r="D67" s="4" t="str" xml:space="preserve">
        <v xml:space="preserve">Deliverable - Project Structuring for sustainable landscape transformation: Design and structure investment-ready projects that enable producers, companies, and financial institutions to access available funding for sustainable landscape transformation. The deliverable builds on incentive analysis to develop bankable proposals that integrate national and international financial mechanisms in Colombia.
Indicator: Number of investment-ready project proposals structured for sustainable landscape transformation </v>
      </c>
      <c r="E67" s="4" t="str">
        <v>Number of innovations (innovation development)</v>
      </c>
      <c r="F67" s="4" t="str">
        <v>Colombia</v>
      </c>
      <c r="G67" s="5">
        <v>2</v>
      </c>
      <c r="H67" s="5">
        <v>98000</v>
      </c>
      <c r="I67" s="4" t="str">
        <v>.</v>
      </c>
      <c r="J67" s="4">
        <v>5427</v>
      </c>
    </row>
    <row r="68" ht="50" customHeight="1" xml:space="preserve">
      <c r="B68" s="4" t="str">
        <v>CIAT (Alliance)</v>
      </c>
      <c r="D68" s="4" t="str" xml:space="preserve">
        <v xml:space="preserve">Deliverable - Territorial Market Model Linking Schools and Farmer Research Networks: Co-design and implement a Territorial market model bringing together MFL schools and Farmer research networks
Indicator: Number of territorial market models co-designed</v>
      </c>
      <c r="E68" s="4" t="str">
        <v>Number of innovations (innovation development)</v>
      </c>
      <c r="F68" s="4" t="str">
        <v>Kenya</v>
      </c>
      <c r="G68" s="5">
        <v>2</v>
      </c>
      <c r="H68" s="5">
        <v>34500</v>
      </c>
      <c r="I68" s="4" t="str">
        <v>.</v>
      </c>
      <c r="J68" s="4">
        <v>5431</v>
      </c>
    </row>
    <row r="69" ht="50" customHeight="1" xml:space="preserve">
      <c r="A69" s="4" t="str">
        <v>AOW03: Business Models, Markets, and Sustainable Finance</v>
      </c>
      <c r="B69" s="4" t="str">
        <v>CIAT (Alliance)</v>
      </c>
      <c r="C69" s="4" t="str">
        <v>OP 3.1.1. Capacity strengthening for producer organizations &amp; value chains</v>
      </c>
      <c r="D69" s="4" t="str" xml:space="preserve">
        <v xml:space="preserve">Deliverable - Capacity Strengthening for Biodiversity-Based and Agroecological Enterprises: Strengthening the organizational, managerial, and marketing capacities of producer organizations and local SMEs operating in the bioeconomy sector to enhance their competitiveness, promote inclusive business models, and facilitate access to markets for biodiversity-based and agroecological products within multifunctional landscapes (MFLs).
Indicator: Number of capacity development initiatives implemented to strengthen organizational, managerial, and marketing capacities of producer organizations and local SMEs in the bioeconomy sector</v>
      </c>
      <c r="E69" s="4" t="str">
        <v>custom</v>
      </c>
      <c r="F69" s="4" t="str">
        <v>Peru</v>
      </c>
      <c r="G69" s="5">
        <v>7</v>
      </c>
      <c r="H69" s="5">
        <v>58336</v>
      </c>
      <c r="I69" s="4" t="str">
        <v>.</v>
      </c>
      <c r="J69" s="4">
        <v>5433</v>
      </c>
    </row>
    <row r="70" ht="50" customHeight="1" xml:space="preserve">
      <c r="B70" s="4" t="str">
        <v>CIAT (Alliance)</v>
      </c>
      <c r="D70" s="4" t="str" xml:space="preserve">
        <v xml:space="preserve">Deliverable - Pilot Demand Stimulation Strategy for Nutritious, Locally Produced Foods: Implement a pilot of a demand stimulation strategy to promote healthier diets and increased consumption of locally produced, nutritious foods through consumer awareness campaigns, and partnerships with market actors, contributing to improved nutrition outcomes and strengthened local food systems within multifunctional landscapes (MFLs).
Indicator: Number of individuals sensitized to healthier diets and the consumption of local products.</v>
      </c>
      <c r="E70" s="4" t="str">
        <v>Number of people trained (capacity sharing for development)</v>
      </c>
      <c r="F70" s="4" t="str">
        <v>Peru</v>
      </c>
      <c r="G70" s="5">
        <v>120</v>
      </c>
      <c r="H70" s="5">
        <v>34750</v>
      </c>
      <c r="I70" s="4" t="str">
        <v>.</v>
      </c>
      <c r="J70" s="4">
        <v>5434</v>
      </c>
    </row>
    <row r="71" ht="50" customHeight="1" xml:space="preserve">
      <c r="B71" s="4" t="str">
        <v>CIAT (Alliance)</v>
      </c>
      <c r="D71" s="4" t="str" xml:space="preserve">
        <v xml:space="preserve">Deliverable - Investment Readiness and Ecosystem Services Capacity Strengthening: Strengthen key competencies to improve linkages between producer organizations, market actors, and ecosystem service operators through capacity building in MRV, financial and business literacy, and investment readiness. Targeted training via the project’s incubator will enable participating organizations to access and mobilize sustainable financing opportunities.
Indicator: Number of actors strengthened to improve linkages through capacity building in MRV, financial and business literacy, and investment readiness</v>
      </c>
      <c r="E71" s="4" t="str">
        <v>Number of people trained (capacity sharing for development)</v>
      </c>
      <c r="F71" s="4" t="str">
        <v>Colombia</v>
      </c>
      <c r="G71" s="5">
        <v>50</v>
      </c>
      <c r="H71" s="5">
        <v>49500</v>
      </c>
      <c r="I71" s="4" t="str">
        <v>.</v>
      </c>
      <c r="J71" s="4">
        <v>5435</v>
      </c>
    </row>
    <row r="72" ht="50" customHeight="1" xml:space="preserve">
      <c r="B72" s="4" t="str">
        <v>CIAT (Alliance)</v>
      </c>
      <c r="D72" s="4" t="str" xml:space="preserve">
        <v xml:space="preserve">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indigenous) trained on AE market-based and finacial options based on the co-developed community level resilience action-plans.</v>
      </c>
      <c r="E72" s="4" t="str">
        <v>Number of people trained (capacity sharing for development)</v>
      </c>
      <c r="F72" s="4" t="str">
        <v>Peru</v>
      </c>
      <c r="G72" s="5">
        <v>0</v>
      </c>
      <c r="H72" s="5">
        <v>0</v>
      </c>
      <c r="I72" s="4" t="str">
        <v/>
      </c>
      <c r="J72" s="4">
        <v>8388</v>
      </c>
    </row>
    <row r="73" ht="50" customHeight="1" xml:space="preserve">
      <c r="B73" s="4" t="str">
        <v>CIAT (Alliance)</v>
      </c>
      <c r="D73" s="4" t="str" xml:space="preserve">
        <v xml:space="preserve">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indigenous) from producer organizations trained on Triple F business models and market incentives on agroecology and nutrition options using fish-forest-food interaction co-developed based on community level resilience action-plans.</v>
      </c>
      <c r="E73" s="4" t="str">
        <v>Number of people trained (capacity sharing for development)</v>
      </c>
      <c r="F73" s="4" t="str">
        <v>Peru, Ethiopia</v>
      </c>
      <c r="G73" s="5">
        <v>0</v>
      </c>
      <c r="H73" s="5">
        <v>5092</v>
      </c>
      <c r="I73" s="4" t="str">
        <v>.</v>
      </c>
      <c r="J73" s="4">
        <v>8400</v>
      </c>
    </row>
    <row r="74" ht="50" customHeight="1" xml:space="preserve">
      <c r="A74" s="4" t="str">
        <v>AOW03: Business Models, Markets, and Sustainable Finance</v>
      </c>
      <c r="B74" s="4" t="str">
        <v>CIAT (Alliance)</v>
      </c>
      <c r="C74" s="4" t="str">
        <v>OP 3.3.4. Innovative sustainable finance instruments</v>
      </c>
      <c r="D74" s="4" t="str" xml:space="preserve">
        <v xml:space="preserve">Deliverable - Co-Design Financial Mechanisms for Agroecological Enterprises: Co-design and pilot different financial mechanisms for enterprises that sell agroecological commodities Co-design and pilot context-appropriate financial mechanisms (e.g., revolving funds, purchase guarantees, payment advances, blended credit, community savings and loan schemes, or ecosystem service incentive payments) that enable small and medium agroecological enterprises to access working capital, de-risk operations, improve cash flow, and expand production and market reach. Solutions will be co-developed with enterprises, financial actors, and producer organizations to ensure feasibility and equity.
Indicator: Number of financial mechanisms for enterprises that sell agroecological commodities co-designed</v>
      </c>
      <c r="E74" s="4" t="str">
        <v>Number of innovations (innovation development)</v>
      </c>
      <c r="F74" s="4" t="str">
        <v>Ethiopia, Kenya</v>
      </c>
      <c r="G74" s="5">
        <v>2</v>
      </c>
      <c r="H74" s="5">
        <v>99000</v>
      </c>
      <c r="I74" s="4" t="str">
        <v>.</v>
      </c>
      <c r="J74" s="4">
        <v>5437</v>
      </c>
    </row>
    <row r="75" ht="50" customHeight="1" xml:space="preserve">
      <c r="B75" s="4" t="str">
        <v>CIAT (Alliance)</v>
      </c>
      <c r="D75" s="4" t="str" xml:space="preserve">
        <v xml:space="preserve">Deliverable - MFL accelerator/incubator program 
Indicator: Number of MFL accelerator/incubator programs established</v>
      </c>
      <c r="E75" s="4" t="str">
        <v>Number of innovations (innovation development)</v>
      </c>
      <c r="F75" s="4" t="str">
        <v>Ethiopia, Peru, Zimbabwe, Colombia</v>
      </c>
      <c r="G75" s="5">
        <v>4</v>
      </c>
      <c r="H75" s="5">
        <v>110220</v>
      </c>
      <c r="I75" s="4" t="str">
        <v>.</v>
      </c>
      <c r="J75" s="4">
        <v>5438</v>
      </c>
    </row>
    <row r="76" ht="50" customHeight="1" xml:space="preserve">
      <c r="B76" s="4" t="str">
        <v>CIAT (Alliance)</v>
      </c>
      <c r="D76" s="4" t="str" xml:space="preserve">
        <v xml:space="preserve">Deliverable - Facilitate multistakeholder spaces that enable public, private and finance actors to co-design and sustain innovations for resilient, multifunctional landscapes.
Indicator: Number of multistakeholder engagement spaces for publica, private and finance sector actors co-design</v>
      </c>
      <c r="E76" s="4" t="str">
        <v>custom</v>
      </c>
      <c r="F76" s="4" t="str">
        <v>Ethiopia, Tunisia, Colombia, Peru, India</v>
      </c>
      <c r="G76" s="5">
        <v>10</v>
      </c>
      <c r="H76" s="5">
        <v>38000</v>
      </c>
      <c r="I76" s="4" t="str">
        <v>.</v>
      </c>
      <c r="J76" s="4">
        <v>7414</v>
      </c>
    </row>
    <row r="77" ht="25" customHeight="1">
      <c r="C77" s="9" t="str">
        <v>HLO budget subtotal</v>
      </c>
      <c r="H77" s="9">
        <v>1149625</v>
      </c>
      <c r="J77" s="9" t="str">
        <v/>
      </c>
    </row>
    <row r="78" ht="50" customHeight="1" xml:space="preserve">
      <c r="A78" s="8" t="str">
        <v>AOW04: Governance, Institutions, Policy, and Inclusion</v>
      </c>
      <c r="B78" s="4" t="str">
        <v>CIAT (Alliance)</v>
      </c>
      <c r="C78" s="4" t="str">
        <v>OP 4.1.2 GEYSI for co-creation and inclusive governance</v>
      </c>
      <c r="D78" s="4" t="str" xml:space="preserve">
        <v xml:space="preserve">Deliverable: Capacity strengthening on inclusive governance
Indicator: Number of stakeholders trained on inclusive governance
</v>
      </c>
      <c r="E78" s="4" t="str">
        <v>Number of people trained (capacity sharing for development)</v>
      </c>
      <c r="F78" s="4" t="str">
        <v>Senegal</v>
      </c>
      <c r="G78" s="5">
        <v>50</v>
      </c>
      <c r="H78" s="5">
        <v>7292</v>
      </c>
      <c r="I78" s="4" t="str">
        <v>.</v>
      </c>
      <c r="J78" s="4">
        <v>5278</v>
      </c>
    </row>
    <row r="79" ht="50" customHeight="1" xml:space="preserve">
      <c r="B79" s="4" t="str">
        <v>CIAT (Alliance)</v>
      </c>
      <c r="D79" s="4" t="str" xml:space="preserve">
        <v xml:space="preserve">Deliverable: GEYSI capacity in MFL policies and institutions
Indicator: Number of assessments on GEYSI inclusion in MFL institutions, business models and/or policies implemented</v>
      </c>
      <c r="E79" s="4" t="str">
        <v>Number of knowledge products</v>
      </c>
      <c r="F79" s="4" t="str">
        <v>India, Peru, Colombia</v>
      </c>
      <c r="G79" s="5">
        <v>3</v>
      </c>
      <c r="H79" s="5">
        <v>69301</v>
      </c>
      <c r="I79" s="4" t="str">
        <v>.</v>
      </c>
      <c r="J79" s="4">
        <v>5279</v>
      </c>
    </row>
    <row r="80" ht="50" customHeight="1" xml:space="preserve">
      <c r="B80" s="4" t="str">
        <v>CIAT (Alliance)</v>
      </c>
      <c r="D80" s="4" t="str" xml:space="preserve">
        <v xml:space="preserve">Deliverable: Recommendations and guidance for MFL governance, GEYSI methods and tools, landscape level gender transformative research 
Indicator: Number of GEYSI recommendations packages developed</v>
      </c>
      <c r="E80" s="4" t="str">
        <v>Number of knowledge products</v>
      </c>
      <c r="F80" s="4" t="str">
        <v>India, Peru, Colombia, Senegal</v>
      </c>
      <c r="G80" s="5">
        <v>5</v>
      </c>
      <c r="H80" s="5">
        <v>68661</v>
      </c>
      <c r="I80" s="4" t="str">
        <v>.</v>
      </c>
      <c r="J80" s="4">
        <v>5280</v>
      </c>
    </row>
    <row r="81" ht="50" customHeight="1" xml:space="preserve">
      <c r="B81" s="4" t="str">
        <v>CIAT (Alliance)</v>
      </c>
      <c r="D81" s="4" t="str" xml:space="preserve">
        <v xml:space="preserve">Deliverable: GEYSI-disaggregated data and brief per MFL on access and use of common pool resources and the implications within climate change and biodiversity loss context; Recommendations and guidance documents for integration of GEYSI data into decision support systems; Briefs on indicators and metrics for inclusive natural resource governance
Indicator: Number of guidelines for integration of GEYSI data into decision support systems</v>
      </c>
      <c r="E81" s="4" t="str">
        <v>Number of knowledge products</v>
      </c>
      <c r="F81" s="4" t="str">
        <v>Colombia, Lao People's Democratic Republic, India</v>
      </c>
      <c r="G81" s="5">
        <v>1</v>
      </c>
      <c r="H81" s="5">
        <v>29168</v>
      </c>
      <c r="I81" s="4" t="str">
        <v>.</v>
      </c>
      <c r="J81" s="4">
        <v>5285</v>
      </c>
    </row>
    <row r="82" ht="50" customHeight="1" xml:space="preserve">
      <c r="B82" s="4" t="str">
        <v>CIAT (Alliance)</v>
      </c>
      <c r="D82" s="4" t="str" xml:space="preserve">
        <v xml:space="preserve">Deliverable: Data and reports per MFL on behavioral drivers of- biodiversity loss vs. conservation, climate and livelihood vulnerability vs. resilience, inclusive social movements in context of biodiversity loss, climate change, water stress/scarcity; key change levers for national level policy and MFL governance
Indicator: Number of reports on behavioral drivers, inclusive social movements and key change levers
</v>
      </c>
      <c r="E82" s="4" t="str">
        <v>Number of knowledge products</v>
      </c>
      <c r="F82" s="4" t="str">
        <v>Côte d'Ivoire, Senegal, Cambodia, Zimbabwe, Lao People's Democratic Republic, The Socialist Republic of Viet Nam, Tunisia, Ethiopia, Colombia, Kenya, India, Peru</v>
      </c>
      <c r="G82" s="5">
        <v>1</v>
      </c>
      <c r="H82" s="5">
        <v>55628</v>
      </c>
      <c r="I82" s="4" t="str">
        <v>.</v>
      </c>
      <c r="J82" s="4">
        <v>5286</v>
      </c>
    </row>
    <row r="83" ht="50" customHeight="1" xml:space="preserve">
      <c r="A83" s="4" t="str">
        <v>AOW04: Governance, Institutions, Policy, and Inclusion</v>
      </c>
      <c r="B83" s="4" t="str">
        <v>CIAT (Alliance)</v>
      </c>
      <c r="C83" s="4" t="str">
        <v>OP 4.3.2. Engagement frameworks and pilots</v>
      </c>
      <c r="D83" s="4" t="str" xml:space="preserve">
        <v xml:space="preserve">Deliverable: Co-design Policy and Institutional Coherence Roadmaps ( for national, subnational  and MFL sites level with ownership by landscape-stakeholder) (2) Desiminate the recommendations from Roadmaps to align sectoral policies, mandates, incentives, and data systems to deliver integrated solutions for three Rio Conventions: CBD, UNCCD, UNFCCC targets  in multifunctional landscapes site and national level.
Indicator: Number of policy and institutional roadmaps designed in the living landscapes</v>
      </c>
      <c r="E83" s="4" t="str">
        <v>Number of knowledge products</v>
      </c>
      <c r="F83" s="4" t="str">
        <v>Kenya, Ethiopia</v>
      </c>
      <c r="G83" s="5">
        <v>2</v>
      </c>
      <c r="H83" s="5">
        <v>20000</v>
      </c>
      <c r="I83" s="4" t="str">
        <v>.</v>
      </c>
      <c r="J83" s="4">
        <v>5331</v>
      </c>
    </row>
    <row r="84" ht="50" customHeight="1" xml:space="preserve">
      <c r="B84" s="4" t="str">
        <v>CIAT (Alliance)</v>
      </c>
      <c r="D84" s="4" t="str" xml:space="preserve">
        <v xml:space="preserve">Deliverable:  (1) Co-design National Agroecology Strategies and regional biotrade, and NBSAP; (2)  Co-design implementation strategies and investment plans for National Agroecology Strategy, regional biotrade and NBSAPs. 
Indicator: Number of national agroecology / regional biotrade/NBSAP strategies and  implementation plans co-designed</v>
      </c>
      <c r="E84" s="4" t="str">
        <v>Number of knowledge products</v>
      </c>
      <c r="F84" s="4" t="str">
        <v>Peru, Ethiopia</v>
      </c>
      <c r="G84" s="5">
        <v>2</v>
      </c>
      <c r="H84" s="5">
        <v>54690</v>
      </c>
      <c r="I84" s="4" t="str">
        <v>.</v>
      </c>
      <c r="J84" s="4">
        <v>5332</v>
      </c>
    </row>
    <row r="85" ht="50" customHeight="1" xml:space="preserve">
      <c r="B85" s="4" t="str">
        <v>CIAT (Alliance)</v>
      </c>
      <c r="D85" s="4" t="str" xml:space="preserve">
        <v xml:space="preserve">Deliverable - A series of online workshops and concluded with an in-person workshop, involving MLF scientists and reknown external scientists in landscape multifunctionality from the academia, research organizations, and international MFL networks to codesign and co-develop a publication the conceptual framework of landscape multifunctionality, including MFL gains.
Indicator: Number of publications on landscape multifunctionality and MFL gains</v>
      </c>
      <c r="E85" s="4" t="str">
        <v>Number of knowledge products</v>
      </c>
      <c r="F85" s="4" t="str">
        <v>Tunisia, Zimbabwe, Ethiopia, Kenya, The Socialist Republic of Viet Nam, Peru, Cambodia, India, Côte d'Ivoire, Senegal, Lao People's Democratic Republic, Tanzania, United Republic, Colombia</v>
      </c>
      <c r="G85" s="5">
        <v>1</v>
      </c>
      <c r="H85" s="5">
        <v>50000</v>
      </c>
      <c r="I85" s="4" t="str">
        <v>.</v>
      </c>
      <c r="J85" s="4">
        <v>7739</v>
      </c>
    </row>
    <row r="86" ht="50" customHeight="1" xml:space="preserve">
      <c r="B86" s="4" t="str">
        <v>CIAT (Alliance)</v>
      </c>
      <c r="D86" s="4" t="str" xml:space="preserve">
        <v xml:space="preserve">Forest-Fish-Food (Triple F): Knowledge exchange events between Peru and Ethiopia delivered, lessons learned and co-designed pathways for out-scaling 
Indicator: Number of people (women, men, youth, indigenous) from Peru participating in the South-South exchanges with focus on enabling environment for fish-forest-food integrated actions and implementation strategies.</v>
      </c>
      <c r="E86" s="4" t="str">
        <v>custom</v>
      </c>
      <c r="F86" s="4" t="str">
        <v>Peru</v>
      </c>
      <c r="G86" s="5">
        <v>0</v>
      </c>
      <c r="H86" s="5">
        <v>15372</v>
      </c>
      <c r="I86" s="4" t="str" xml:space="preserve">
        <v xml:space="preserve">USD 15,372 allocation to ICRAF with Alliance OVH included (actual allocation to include in sub-agreement is USD 13,367). Alliance budget for this deliverable in Ethiopia allocated in CIAT entity.
</v>
      </c>
      <c r="J86" s="4">
        <v>8390</v>
      </c>
    </row>
    <row r="87" ht="50" customHeight="1" xml:space="preserve">
      <c r="B87" s="4" t="str">
        <v>CIAT (Alliance)</v>
      </c>
      <c r="D87" s="4" t="str" xml:space="preserve">
        <v xml:space="preserve">Forest-Fish-Food (Triple F): Knowledge exchange events between Peru and Ethiopia delivered, lessons learned and co-designed pathways for out-scaling 
Indicator: Number of people (women, men, youth, indigenous) from Ethiopia participating in the South-South exchanges with focus on on enabling environment for fish-forest-food integrated actions and implementation strategies.</v>
      </c>
      <c r="E87" s="4" t="str">
        <v>custom</v>
      </c>
      <c r="F87" s="4" t="str">
        <v>Ethiopia</v>
      </c>
      <c r="G87" s="5">
        <v>0</v>
      </c>
      <c r="H87" s="5">
        <v>5092</v>
      </c>
      <c r="I87" s="4" t="str">
        <v>.</v>
      </c>
      <c r="J87" s="4">
        <v>8403</v>
      </c>
    </row>
    <row r="88" ht="50" customHeight="1" xml:space="preserve">
      <c r="A88" s="4" t="str">
        <v>AOW04: Governance, Institutions, Policy, and Inclusion</v>
      </c>
      <c r="B88" s="4" t="str">
        <v>CIAT (Alliance)</v>
      </c>
      <c r="C88" s="4" t="str">
        <v>OP 4.2.1. Institutional, social and behavioral mechanisms</v>
      </c>
      <c r="D88" s="4" t="str" xml:space="preserve">
        <v xml:space="preserve">Deliverable: Strategies in concept phase to support behavior change, structural leverage points, collective action and inclusive social movements in context of biodiversity loss, climate change, water stress/scarcity,
Indicator: Number of strategies to support behavior changes tested</v>
      </c>
      <c r="E88" s="4" t="str">
        <v>Number of innovations (innovation development)</v>
      </c>
      <c r="F88" s="4" t="str">
        <v>India, Peru, Colombia</v>
      </c>
      <c r="G88" s="5">
        <v>1</v>
      </c>
      <c r="H88" s="5">
        <v>32814</v>
      </c>
      <c r="I88" s="4" t="str">
        <v>.</v>
      </c>
      <c r="J88" s="4">
        <v>5339</v>
      </c>
    </row>
    <row r="89" ht="50" customHeight="1" xml:space="preserve">
      <c r="B89" s="4" t="str">
        <v>CIAT (Alliance)</v>
      </c>
      <c r="D89" s="4" t="str" xml:space="preserve">
        <v xml:space="preserve">Deliverable: A scientific learning network of MFL SP researchers across MFL countries as a cluster of the international network (CGIAR Centers and partners) that facilitates Program implementation and deepens common understanding of landscape multifunctionality , trade-offs and transition pathways and that provide evidence for researchers and decision-makers (Programmatic aligned country work plans, Co-production of position papers, participation in key conferences, commission of studies, scientific journal articles)
Indicator: Number of knowledge products co-produced and shared with researchers and decision-makers</v>
      </c>
      <c r="E89" s="4" t="str">
        <v>Number of knowledge products</v>
      </c>
      <c r="F89" s="4" t="str">
        <v>India, Tunisia, Colombia, Ethiopia, Peru</v>
      </c>
      <c r="G89" s="5">
        <v>1</v>
      </c>
      <c r="H89" s="5">
        <v>10000</v>
      </c>
      <c r="I89" s="4" t="str">
        <v>.</v>
      </c>
      <c r="J89" s="4">
        <v>7469</v>
      </c>
    </row>
    <row r="90" ht="50" customHeight="1" xml:space="preserve">
      <c r="B90" s="4" t="str">
        <v>CIAT (Alliance)</v>
      </c>
      <c r="D90" s="4" t="str" xml:space="preserve">
        <v xml:space="preserve">Deliverable: Strategies to address differentiated drivers of behavior for nature-positive and/or agroecological practices in 3 MFL sites 
Indicator: Number of knowledge products containing strategies to address differentiated drivers of behavior for nature-positive and/or agroecological practices</v>
      </c>
      <c r="E90" s="4" t="str">
        <v>Number of knowledge products</v>
      </c>
      <c r="F90" s="4" t="str">
        <v>Peru, Zimbabwe, India, Colombia</v>
      </c>
      <c r="G90" s="5">
        <v>2</v>
      </c>
      <c r="H90" s="5">
        <v>30000</v>
      </c>
      <c r="I90" s="4" t="str">
        <v>.</v>
      </c>
      <c r="J90" s="4">
        <v>7472</v>
      </c>
    </row>
    <row r="91" ht="50" customHeight="1" xml:space="preserve">
      <c r="A91" s="4" t="str">
        <v>AOW04: Governance, Institutions, Policy, and Inclusion</v>
      </c>
      <c r="B91" s="4" t="str">
        <v>CIAT (Alliance)</v>
      </c>
      <c r="C91" s="4" t="str">
        <v>OP 4.1.1. Inclusive governance architectures</v>
      </c>
      <c r="D91" s="4" t="str" xml:space="preserve">
        <v xml:space="preserve">Deliverable: Co-development of capacity sharing module for forest-related conflict management and resolution to be used by Kenya´s Community Forest Associations (CFA)
Indicator: Number of members of Community Forest Associations trained on conflict-sensitive forest governance</v>
      </c>
      <c r="E91" s="4" t="str">
        <v>Number of people trained (capacity sharing for development)</v>
      </c>
      <c r="F91" s="4" t="str">
        <v>Kenya</v>
      </c>
      <c r="G91" s="5">
        <v>20</v>
      </c>
      <c r="H91" s="5">
        <v>35060</v>
      </c>
      <c r="I91" s="4" t="str">
        <v>.</v>
      </c>
      <c r="J91" s="4">
        <v>5394</v>
      </c>
    </row>
    <row r="92" ht="50" customHeight="1" xml:space="preserve">
      <c r="B92" s="4" t="str">
        <v>CIAT (Alliance)</v>
      </c>
      <c r="D92" s="4" t="str" xml:space="preserve">
        <v xml:space="preserve">Deliverable: Governance assessment, mapping institutional arrangements, policy incentives, and power dynamics shaping dry forest management in pilot sites.
Indicator: Number of publications with results of dry forest governance assessments and recommendations for conflict sensitive dry forest governance</v>
      </c>
      <c r="E92" s="4" t="str">
        <v>Number of knowledge products</v>
      </c>
      <c r="F92" s="4" t="str">
        <v>Kenya</v>
      </c>
      <c r="G92" s="5">
        <v>3</v>
      </c>
      <c r="H92" s="5">
        <v>35000</v>
      </c>
      <c r="I92" s="4" t="str">
        <v>.</v>
      </c>
      <c r="J92" s="4">
        <v>5395</v>
      </c>
    </row>
    <row r="93" ht="50" customHeight="1" xml:space="preserve">
      <c r="B93" s="4" t="str">
        <v>CIAT (Alliance)</v>
      </c>
      <c r="D93" s="4" t="str" xml:space="preserve">
        <v xml:space="preserve">Deliverable: Inclusive governance frameworks, and tools to support transition to agrecology+ solutions, nature positive, regenerative agriculture and circular agriculture with MFL sites  
Indicator: Number of inclusive governance knowledge products, tools and architecture
</v>
      </c>
      <c r="E93" s="4" t="str">
        <v>Number of knowledge products</v>
      </c>
      <c r="F93" s="4" t="str">
        <v>Colombia</v>
      </c>
      <c r="G93" s="5">
        <v>1</v>
      </c>
      <c r="H93" s="5">
        <v>29168</v>
      </c>
      <c r="I93" s="4" t="str">
        <v>.</v>
      </c>
      <c r="J93" s="4">
        <v>5400</v>
      </c>
    </row>
    <row r="94" ht="50" customHeight="1" xml:space="preserve">
      <c r="B94" s="4" t="str">
        <v>CIAT (Alliance)</v>
      </c>
      <c r="D94" s="4" t="str" xml:space="preserve">
        <v xml:space="preserve">Deliverable: Operationalization of landscape governance tool in Omo-Gibe landscape to establish a functional, inclusive, and coordinated governance architecture
Indicator: Number of landscape governance tools operationalized </v>
      </c>
      <c r="E94" s="4" t="str">
        <v>Number of knowledge products</v>
      </c>
      <c r="F94" s="4" t="str">
        <v>Ethiopia</v>
      </c>
      <c r="G94" s="5">
        <v>1</v>
      </c>
      <c r="H94" s="5">
        <v>20000</v>
      </c>
      <c r="I94" s="4" t="str">
        <v>.</v>
      </c>
      <c r="J94" s="4">
        <v>7447</v>
      </c>
    </row>
    <row r="95" ht="50" customHeight="1" xml:space="preserve">
      <c r="B95" s="4" t="str">
        <v>CIAT (Alliance)</v>
      </c>
      <c r="D95" s="4" t="str" xml:space="preserve">
        <v xml:space="preserve">Deliverable: Application of governance knowledge products, tools and frameworks to set-up inclusive and participatory governance architectures in MFL priority sites with local partners 
Indicator: Number of landscapes with inclusive and participatory governance architectures </v>
      </c>
      <c r="E95" s="4" t="str">
        <v>Number of knowledge products</v>
      </c>
      <c r="F95" s="4" t="str">
        <v>Ethiopia, Kenya, Peru</v>
      </c>
      <c r="G95" s="5">
        <v>2</v>
      </c>
      <c r="H95" s="5">
        <v>20000</v>
      </c>
      <c r="I95" s="4" t="str">
        <v>.</v>
      </c>
      <c r="J95" s="4">
        <v>7577</v>
      </c>
    </row>
    <row r="96" ht="50" customHeight="1" xml:space="preserve">
      <c r="A96" s="4" t="str">
        <v>AOW04: Governance, Institutions, Policy, and Inclusion</v>
      </c>
      <c r="B96" s="4" t="str">
        <v>CIAT (Alliance)</v>
      </c>
      <c r="C96" s="4" t="str">
        <v>OP 4.2.2. Demand driven capacity sharing for policy makers and landscape stakeholders</v>
      </c>
      <c r="D96" s="4" t="str" xml:space="preserve">
        <v xml:space="preserve">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v>
      </c>
      <c r="E96" s="4" t="str">
        <v>custom</v>
      </c>
      <c r="F96" s="4" t="str">
        <v>Senegal, Lao People's Democratic Republic, The Socialist Republic of Viet Nam, Côte d'Ivoire, Colombia, Peru, Tunisia, India, Zimbabwe, Cambodia, Tanzania, United Republic, Ethiopia, Kenya</v>
      </c>
      <c r="G96" s="5">
        <v>10</v>
      </c>
      <c r="H96" s="5">
        <v>50000</v>
      </c>
      <c r="I96" s="4" t="str">
        <v>.</v>
      </c>
      <c r="J96" s="4">
        <v>7467</v>
      </c>
    </row>
    <row r="97" ht="50" customHeight="1" xml:space="preserve">
      <c r="B97" s="4" t="str">
        <v>CIAT (Alliance)</v>
      </c>
      <c r="D97" s="4" t="str" xml:space="preserve">
        <v xml:space="preserve">Deliverable - Do No Harm and deliberate peace building in multifunctional landscapes: Multi use and multi stakeholder landscapes can be hotspots for conflict demanding deliberate steps to be taken to first ‘do no harm’  and two, integrate peace building within landscape processes and action. Drawing from past experiences of CGIAR research in common property resources, namely forests and rangelands, the integration of peace building across the MFL SP landscape activities will be supported, with pilots undertaken in Colombia. Following a conflict analysis, peace building tools and approaches will be adapted to these living landscapes and integrated into ongoing activities. This can include such as youth peace forums, local conventions, women’s peace crusades, community conversations,  conflict early warning and response and addressing legal pluralism. A review of what works best in which contexts will be undertaken and lessons learned documented, providing important guidance for scaling across the SP. We will work with relevant actors on the ground to understand conflicts and co-apply appropriate tools and processes, so building capacities at the same time. This deliverable will align with a similar deliverable uner the FFS SP.
Indicator: Number of innovations developed to support peacebuilding oriented land use planning, governance, and institutions.</v>
      </c>
      <c r="E97" s="4" t="str">
        <v>Number of innovations (innovation development)</v>
      </c>
      <c r="F97" s="4" t="str">
        <v>Colombia</v>
      </c>
      <c r="G97" s="5">
        <v>1</v>
      </c>
      <c r="H97" s="5">
        <v>20000</v>
      </c>
      <c r="I97" s="4" t="str">
        <v>.</v>
      </c>
      <c r="J97" s="4">
        <v>7734</v>
      </c>
    </row>
    <row r="98" ht="50" customHeight="1" xml:space="preserve">
      <c r="B98" s="4" t="str">
        <v>CIAT (Alliance)</v>
      </c>
      <c r="D98" s="4" t="str" xml:space="preserve">
        <v xml:space="preserve">Forest-Fish-Food (Triple F): Restitution and validation of the community-level risks and vulnerability analysis and options reviews, Peru and Ethiopia. community-level action plans and capacity sharing on  GOVERNANCE, INSTITUTIONS, POLICIES, and INCLUSION
Indicator: Number of  people (women, men, youth, indigenous) trained on inclusive and participatory governance mechanisms, policy processes and institutions based on the co-developed community level resilience action-plans.</v>
      </c>
      <c r="E98" s="4" t="str">
        <v>Number of people trained (capacity sharing for development)</v>
      </c>
      <c r="F98" s="4" t="str">
        <v>Peru</v>
      </c>
      <c r="G98" s="5">
        <v>0</v>
      </c>
      <c r="H98" s="5">
        <v>0</v>
      </c>
      <c r="I98" s="4" t="str">
        <v/>
      </c>
      <c r="J98" s="4">
        <v>8389</v>
      </c>
    </row>
    <row r="99" ht="50" customHeight="1" xml:space="preserve">
      <c r="B99" s="4" t="str">
        <v>CIAT (Alliance)</v>
      </c>
      <c r="D99" s="4" t="str" xml:space="preserve">
        <v xml:space="preserve">Forest-Fish-Food (Triple F): Restitution and validation of the community-level risks and vulnerability analysis and options reviews, Peru and Ethiopia. community-level action plans and capacity sharing on GOVERNANCE, INSTITUTIONS, POLICIES, and INCLUSION 
Indicator: Number of people (women, men, youth, indigenous) trained on enabling policy, institutions, incentives and governance drivers for fish-forest-food interaction based on co-developed community level resilience action-plans.
</v>
      </c>
      <c r="E99" s="4" t="str">
        <v>Number of people trained (capacity sharing for development)</v>
      </c>
      <c r="F99" s="4" t="str">
        <v>Ethiopia, Peru</v>
      </c>
      <c r="G99" s="5">
        <v>0</v>
      </c>
      <c r="H99" s="5">
        <v>10184</v>
      </c>
      <c r="I99" s="4" t="str" xml:space="preserve">
        <v xml:space="preserve">Budget fully allocated in CIAT because of current composition of Alliance AoW4 team.
</v>
      </c>
      <c r="J99" s="4">
        <v>8401</v>
      </c>
    </row>
    <row r="100" ht="50" customHeight="1" xml:space="preserve">
      <c r="A100" s="4" t="str">
        <v>AOW04: Governance, Institutions, Policy, and Inclusion</v>
      </c>
      <c r="B100" s="4" t="str">
        <v>CIAT (Alliance)</v>
      </c>
      <c r="C100" s="4" t="str">
        <v>OP 4.3.1. Multifunctional landscapes policy design and implementation</v>
      </c>
      <c r="D100" s="4" t="str" xml:space="preserve">
        <v xml:space="preserve">Deliverable: Co-design integrated institutional ecosystem incentives bundle for Non-market incentives such as Participatory Gurantee Schemes (PGS); Market (price premium), cross-compliance (procurement for schools meals) and regulatory incentives for MFL sites and engage in capacity sharing. 
Indicator: Number of integrated incentive innovation bundles</v>
      </c>
      <c r="E100" s="4" t="str">
        <v>Number of innovations (innovation development)</v>
      </c>
      <c r="F100" s="4" t="str">
        <v>Kenya, Ethiopia, Peru</v>
      </c>
      <c r="G100" s="5">
        <v>1</v>
      </c>
      <c r="H100" s="5">
        <v>20000</v>
      </c>
      <c r="I100" s="4" t="str">
        <v>.</v>
      </c>
      <c r="J100" s="4">
        <v>7471</v>
      </c>
    </row>
    <row r="101" ht="50" customHeight="1" xml:space="preserve">
      <c r="B101" s="4" t="str">
        <v>CIAT (Alliance)</v>
      </c>
      <c r="D101" s="4" t="str" xml:space="preserve">
        <v xml:space="preserve">Deliverable - Promote and enable transboundary cooperation through participatory food systems modelling and scenario development with local institutes from multiple countries, to collaboratively develop national pathways to achieving global sustainability targets (SDG, Global Biodiversity Framework, Paris Agreement) through multi-level (landscape to national, national to global) action alignment. Includes capacity development and knowledge sharing across countries to use modelling and scenario tools, and one participatory international live scenario analysis workshop, and in depth analysis and work with policymakers in Ethiopia.
Indicator: Number of national and local policy processes and dialogues supported for integrated food, biodiversity, climate, and water security planning and implementation in Ethiopia</v>
      </c>
      <c r="E101" s="4" t="str">
        <v>custom</v>
      </c>
      <c r="F101" s="4" t="str">
        <v>Ethiopia</v>
      </c>
      <c r="G101" s="5">
        <v>1</v>
      </c>
      <c r="H101" s="5">
        <v>10000</v>
      </c>
      <c r="I101" s="4" t="str">
        <v>.</v>
      </c>
      <c r="J101" s="4">
        <v>7906</v>
      </c>
    </row>
    <row r="102" ht="25" customHeight="1">
      <c r="C102" s="9" t="str">
        <v>HLO budget subtotal</v>
      </c>
      <c r="H102" s="9">
        <v>697430</v>
      </c>
      <c r="J102" s="9" t="str">
        <v/>
      </c>
    </row>
    <row r="103" ht="50" customHeight="1" xml:space="preserve">
      <c r="A103" s="8" t="str">
        <v>AOW05: Performance Assessments &amp; Evidence Generation</v>
      </c>
      <c r="B103" s="4" t="str">
        <v>CIAT (Alliance)</v>
      </c>
      <c r="C103" s="4" t="str">
        <v>OP 5.2.2. AI-assisted monitoring system</v>
      </c>
      <c r="D103" s="4" t="str" xml:space="preserve">
        <v xml:space="preserve">Deliverable - User needs assessment report that identify challenges faced by stakeholders that can be solved with a DT application. The reports will ensure future DT development is aligned with decision-making needs in each landscape, ensuring DTs generate measurable benefits. 
Indicator: Number of user needs assessment reports for digital twin developed. </v>
      </c>
      <c r="E103" s="4" t="str">
        <v>Number of knowledge products</v>
      </c>
      <c r="F103" s="4" t="str">
        <v>Peru, Kenya, India</v>
      </c>
      <c r="G103" s="5">
        <v>2</v>
      </c>
      <c r="H103" s="5">
        <v>131256</v>
      </c>
      <c r="I103" s="4" t="str">
        <v>.</v>
      </c>
      <c r="J103" s="4">
        <v>5268</v>
      </c>
    </row>
    <row r="104" ht="50" customHeight="1" xml:space="preserve">
      <c r="B104" s="4" t="str">
        <v>CIAT (Alliance)</v>
      </c>
      <c r="D104" s="4" t="str" xml:space="preserve">
        <v xml:space="preserve">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v>
      </c>
      <c r="E104" s="4" t="str">
        <v>Number of knowledge products</v>
      </c>
      <c r="F104" s="4" t="str">
        <v>Colombia</v>
      </c>
      <c r="G104" s="5">
        <v>2</v>
      </c>
      <c r="H104" s="5">
        <v>30000</v>
      </c>
      <c r="I104" s="4" t="str">
        <v>.</v>
      </c>
      <c r="J104" s="4">
        <v>7428</v>
      </c>
    </row>
    <row r="105" ht="50" customHeight="1" xml:space="preserve">
      <c r="B105" s="4" t="str">
        <v>CIAT (Alliance)</v>
      </c>
      <c r="D105" s="4" t="str" xml:space="preserve">
        <v xml:space="preserve">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v>
      </c>
      <c r="E105" s="4" t="str">
        <v>Number of knowledge products</v>
      </c>
      <c r="F105" s="4" t="str">
        <v>Kenya</v>
      </c>
      <c r="G105" s="5">
        <v>2</v>
      </c>
      <c r="H105" s="5">
        <v>30000</v>
      </c>
      <c r="I105" s="4" t="str">
        <v>.</v>
      </c>
      <c r="J105" s="4">
        <v>7433</v>
      </c>
    </row>
    <row r="106" ht="50" customHeight="1" xml:space="preserve">
      <c r="B106" s="4" t="str">
        <v>CIAT (Alliance)</v>
      </c>
      <c r="D106" s="4" t="str" xml:space="preserve">
        <v xml:space="preserve">Number of monitoring systems designed or strengthened with new data and tools in the targeted Living Landscapes
</v>
      </c>
      <c r="E106" s="4" t="str">
        <v>Number of innovations (innovation development)</v>
      </c>
      <c r="F106" s="4" t="str">
        <v>Ethiopia, Peru, Kenya, Colombia, India, Tunisia</v>
      </c>
      <c r="G106" s="5">
        <v>3</v>
      </c>
      <c r="H106" s="5">
        <v>0</v>
      </c>
      <c r="I106" s="4" t="str">
        <v/>
      </c>
      <c r="J106" s="4">
        <v>8162</v>
      </c>
    </row>
    <row r="107" ht="50" customHeight="1" xml:space="preserve">
      <c r="A107" s="4" t="str">
        <v>AOW05: Performance Assessments &amp; Evidence Generation</v>
      </c>
      <c r="B107" s="4" t="str">
        <v>CIAT (Alliance)</v>
      </c>
      <c r="C107" s="4" t="str">
        <v>OP 5.1.2 Landscape-specific assessment frameworks</v>
      </c>
      <c r="D107" s="4" t="str" xml:space="preserve">
        <v xml:space="preserve">Deliverable - Landscape assessment framework for informing, monitoring, and evaluating processes and outcomes related to the Landscape Vision to Action framework and other CGIAR engagements and interventions in Peruvian multifunctional landscape co-defined with key stakeholders
Indicator: Number of landscape assessment frameworks and engagement processes defined with stakeholders in Peru</v>
      </c>
      <c r="E107" s="4" t="str">
        <v>Number of innovations (innovation development)</v>
      </c>
      <c r="F107" s="4" t="str">
        <v>Peru</v>
      </c>
      <c r="G107" s="5">
        <v>1</v>
      </c>
      <c r="H107" s="5">
        <v>110000</v>
      </c>
      <c r="I107" s="4" t="str">
        <v>.</v>
      </c>
      <c r="J107" s="4">
        <v>5315</v>
      </c>
    </row>
    <row r="108" ht="50" customHeight="1" xml:space="preserve">
      <c r="B108" s="4" t="str">
        <v>CIAT (Alliance)</v>
      </c>
      <c r="D108" s="4" t="str" xml:space="preserve">
        <v xml:space="preserve">Deliverable - Landscape assessment frameworks for informing, monitoring, and evaluating processes and outcomes related to the Landscape Vision to Action  framework and other CGIAR engagements and interventions in Kenyan multifunctional landscapes co-defined with key stakeholders. 
Indicator: Number of operational guidelines co-developed with stakeholders for prioritizing, planning, implementation, and monitoring interventions aimed at increasing landscape multifunctionality in Kenya</v>
      </c>
      <c r="E108" s="4" t="str">
        <v>Number of innovations (innovation development)</v>
      </c>
      <c r="F108" s="4" t="str">
        <v>Kenya</v>
      </c>
      <c r="G108" s="5">
        <v>2</v>
      </c>
      <c r="H108" s="5">
        <v>110000</v>
      </c>
      <c r="I108" s="4" t="str">
        <v>.</v>
      </c>
      <c r="J108" s="4">
        <v>5316</v>
      </c>
    </row>
    <row r="109" ht="50" customHeight="1" xml:space="preserve">
      <c r="B109" s="4" t="str">
        <v>CIAT (Alliance)</v>
      </c>
      <c r="D109" s="4" t="str" xml:space="preserve">
        <v xml:space="preserve">Deliverable: MELIA STUDY Landscape appropriate Impact Assessment data collection in Peru and Colombia: farming households + system actors 
Indicator: Number of baseline/midline datasets collected using validated sampling strategies and made available for future impact assessment</v>
      </c>
      <c r="E109" s="4" t="str">
        <v>Number of knowledge products</v>
      </c>
      <c r="F109" s="4" t="str">
        <v>Peru, Colombia</v>
      </c>
      <c r="G109" s="5">
        <v>1</v>
      </c>
      <c r="H109" s="5">
        <v>145840</v>
      </c>
      <c r="I109" s="4" t="str">
        <v>.</v>
      </c>
      <c r="J109" s="4">
        <v>8179</v>
      </c>
    </row>
    <row r="110" ht="50" customHeight="1" xml:space="preserve">
      <c r="B110" s="4" t="str">
        <v>CIAT (Alliance)</v>
      </c>
      <c r="D110" s="4" t="str" xml:space="preserve">
        <v xml:space="preserve">Deliverable - MELIA STUDY Landscape appropriate Impact Assessment system implementation: cross country coordination and learning briefs 
Indicator: Number of landscape-specific frameworks to assess multifunctional landscape performance </v>
      </c>
      <c r="E110" s="4" t="str">
        <v>Number of innovations (innovation development)</v>
      </c>
      <c r="F110" s="4" t="str">
        <v>Peru, India, Kenya, Colombia</v>
      </c>
      <c r="G110" s="5">
        <v>1</v>
      </c>
      <c r="H110" s="5">
        <v>22124</v>
      </c>
      <c r="I110" s="4" t="str">
        <v>.</v>
      </c>
      <c r="J110" s="4">
        <v>8180</v>
      </c>
    </row>
    <row r="111" ht="50" customHeight="1" xml:space="preserve">
      <c r="B111" s="4" t="str">
        <v>CIAT (Alliance)</v>
      </c>
      <c r="D111" s="4" t="str" xml:space="preserve">
        <v xml:space="preserve">Forest-Fish-Food (Triple F): SES framework applied in two landscapes / water basins, one in Peru and one in Ethiopia, and given latest ecological and social information data and studies available
Indicator: Number of applications of the framework to Peru: number of databaes and knowledge products.</v>
      </c>
      <c r="E111" s="4" t="str">
        <v>Number of knowledge products</v>
      </c>
      <c r="F111" s="4" t="str">
        <v>Peru</v>
      </c>
      <c r="G111" s="5">
        <v>0</v>
      </c>
      <c r="H111" s="5">
        <v>36111</v>
      </c>
      <c r="I111" s="4" t="str">
        <v>USD 36,111 allocation to ICRAF with Alliance OVH included (actual allocation to include in sub-agreement is USD 31,401).</v>
      </c>
      <c r="J111" s="4">
        <v>8384</v>
      </c>
    </row>
    <row r="112" ht="50" customHeight="1" xml:space="preserve">
      <c r="B112" s="4" t="str">
        <v>CIAT (Alliance)</v>
      </c>
      <c r="D112" s="4" t="str" xml:space="preserve">
        <v xml:space="preserve">Forest-Fish-Food (Triple F): SES framework applied in two landscapes / water basins, one in Peru and one in Ethiopia, and given latest ecological and social information data and studies available 
Indicator: Number of SES frameworks applied to Fish-forest-food interaction modules at the landscape report.</v>
      </c>
      <c r="E112" s="4" t="str">
        <v>Number of knowledge products</v>
      </c>
      <c r="F112" s="4" t="str">
        <v>Ethiopia, Peru</v>
      </c>
      <c r="G112" s="5">
        <v>0</v>
      </c>
      <c r="H112" s="5">
        <v>20368</v>
      </c>
      <c r="I112" s="4" t="str">
        <v>Alliance budget for this deliverable in Ethiopia allocated in CIAT entity.</v>
      </c>
      <c r="J112" s="4">
        <v>8394</v>
      </c>
    </row>
    <row r="113" ht="50" customHeight="1" xml:space="preserve">
      <c r="A113" s="4" t="str">
        <v>AOW05: Performance Assessments &amp; Evidence Generation</v>
      </c>
      <c r="B113" s="4" t="str">
        <v>CIAT (Alliance)</v>
      </c>
      <c r="C113" s="4" t="str">
        <v>OP 5.1.1 – Standardised protocols, tools and methods</v>
      </c>
      <c r="D113" s="4" t="str" xml:space="preserve">
        <v xml:space="preserve">Deliverable - Metrics Database providing a one-stop shop for methods to co-select indicators, and protocols for tested and scientifically robust data-collection and indicator calculation processes 
Indicator: Number of cross-scale metrics databases</v>
      </c>
      <c r="E113" s="4" t="str">
        <v>Number of innovations (innovation development)</v>
      </c>
      <c r="F113" s="4" t="str">
        <v>India, Kenya, Peru</v>
      </c>
      <c r="G113" s="5">
        <v>1</v>
      </c>
      <c r="H113" s="5">
        <v>204176</v>
      </c>
      <c r="I113" s="4" t="str">
        <v>.</v>
      </c>
      <c r="J113" s="4">
        <v>5325</v>
      </c>
    </row>
    <row r="114" ht="50" customHeight="1" xml:space="preserve">
      <c r="B114" s="4" t="str">
        <v>CIAT (Alliance)</v>
      </c>
      <c r="D114" s="4" t="str" xml:space="preserve">
        <v xml:space="preserve">Deliverable - Ecosystem service valuation framework developed with case studies for Colombia, Tunisia, Kenya, to quantify and value ecosystem services in mixed crop–tree-livestock systems. The framework will generate evidence on how livestock, trees, and crops can be combined to restore land, enhance biodiversity, and strengthen climate resilience while sustaining livelihoods. 
Indicator: Number of publications on ecosystem service valuation frameworks</v>
      </c>
      <c r="E114" s="4" t="str">
        <v>Number of knowledge products</v>
      </c>
      <c r="F114" s="4" t="str">
        <v>Colombia, Kenya, The Socialist Republic of Viet Nam</v>
      </c>
      <c r="G114" s="5">
        <v>2</v>
      </c>
      <c r="H114" s="5">
        <v>90000</v>
      </c>
      <c r="I114" s="4" t="str">
        <v>.</v>
      </c>
      <c r="J114" s="4">
        <v>5326</v>
      </c>
    </row>
    <row r="115" ht="50" customHeight="1" xml:space="preserve">
      <c r="B115" s="4" t="str">
        <v>CIAT (Alliance)</v>
      </c>
      <c r="D115" s="4" t="str" xml:space="preserve">
        <v xml:space="preserve">Deliverable - Organomineral fertilization framework (validated) provides evidence for soil health and GHG mitigation strengthening local and national MRV capabilities. 
Indicator: Number of organomineral fertilization frameworks validated and applied to strengthen soil health and GHG monitoring in MRV systems</v>
      </c>
      <c r="E115" s="4" t="str">
        <v>Number of knowledge products</v>
      </c>
      <c r="F115" s="4" t="str">
        <v>Colombia</v>
      </c>
      <c r="G115" s="5">
        <v>1</v>
      </c>
      <c r="H115" s="5">
        <v>7292</v>
      </c>
      <c r="I115" s="4" t="str">
        <v>.</v>
      </c>
      <c r="J115" s="4">
        <v>5327</v>
      </c>
    </row>
    <row r="116" ht="50" customHeight="1" xml:space="preserve">
      <c r="B116" s="4" t="str">
        <v>CIAT (Alliance)</v>
      </c>
      <c r="D116" s="4" t="str" xml:space="preserve">
        <v xml:space="preserve">Deliverable - Operationalize a standardized workflow for computing landscape composition and configuration metrics (e.g. fragmentation, connectivity, land-use structure)
Indicator: Number of reproducible workflows and maps published in an open-source repository</v>
      </c>
      <c r="E116" s="4" t="str">
        <v>Number of knowledge products</v>
      </c>
      <c r="F116" s="4" t="str">
        <v>Ethiopia, Kenya, Zimbabwe</v>
      </c>
      <c r="G116" s="5">
        <v>1</v>
      </c>
      <c r="H116" s="5">
        <v>30000</v>
      </c>
      <c r="I116" s="4" t="str">
        <v>.</v>
      </c>
      <c r="J116" s="4">
        <v>7434</v>
      </c>
    </row>
    <row r="117" ht="50" customHeight="1" xml:space="preserve">
      <c r="B117" s="4" t="str">
        <v>CIAT (Alliance)</v>
      </c>
      <c r="D117" s="4" t="str" xml:space="preserve">
        <v xml:space="preserve">Forest-Fish-Food (Triple F): Common methods and SES framework developed for identifying and assessing cascading effects from forest and water cycle management to fish, food, and nutrition security in Peru and Ethiopia
Indicator: Number of forest and agroforestry livelihoods modules and compilations of overall framework based on the modules of the other partners.</v>
      </c>
      <c r="E117" s="4" t="str">
        <v>Number of innovations (innovation development)</v>
      </c>
      <c r="F117" s="4" t="str">
        <v>Peru</v>
      </c>
      <c r="G117" s="5">
        <v>1</v>
      </c>
      <c r="H117" s="5">
        <v>151763</v>
      </c>
      <c r="I117" s="4" t="str">
        <v xml:space="preserve">USD 151,763 allocation to ICRAF with Alliance OVH included (actual allocation to include in sub-agreement is USD 131,968). </v>
      </c>
      <c r="J117" s="4">
        <v>8383</v>
      </c>
    </row>
    <row r="118" ht="50" customHeight="1" xml:space="preserve">
      <c r="B118" s="4" t="str">
        <v>CIAT (Alliance)</v>
      </c>
      <c r="D118" s="4" t="str" xml:space="preserve">
        <v xml:space="preserve">Forest-Fish-Food (Triple F): Common methods and SES framework developed for identifying and assessing cascading effects from forest and water cycle management to fish, food, and nutrition security in Peru and Ethiopia 
Indicator: Number of fish-forest-food interaction modules developed and integrated into SES framework.</v>
      </c>
      <c r="E118" s="4" t="str">
        <v>Number of innovations (innovation development)</v>
      </c>
      <c r="F118" s="4" t="str">
        <v>Peru, Ethiopia</v>
      </c>
      <c r="G118" s="5">
        <v>1</v>
      </c>
      <c r="H118" s="5">
        <v>15276</v>
      </c>
      <c r="I118" s="4" t="str" xml:space="preserve">
        <v xml:space="preserve">Alliance budget for this deliverable in Ethiopia allocated in CIAT entity.
</v>
      </c>
      <c r="J118" s="4">
        <v>8392</v>
      </c>
    </row>
    <row r="119" ht="50" customHeight="1" xml:space="preserve">
      <c r="A119" s="4" t="str">
        <v>AOW05: Performance Assessments &amp; Evidence Generation</v>
      </c>
      <c r="B119" s="4" t="str">
        <v>CIAT (Alliance)</v>
      </c>
      <c r="C119" s="4" t="str">
        <v>OP 5.1.3. Cross-CGIAR assessment frameworks of impact indicators</v>
      </c>
      <c r="D119" s="4" t="str" xml:space="preserve">
        <v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reports on indicators for environmental health and biodiversity adopted by the CGIAR published</v>
      </c>
      <c r="E119" s="4" t="str">
        <v>Number of knowledge products</v>
      </c>
      <c r="F119" s="4" t="str">
        <v>India, Colombia, Tanzania, United Republic, Lao People's Democratic Republic, Zimbabwe, Senegal, Tunisia, Ethiopia, The Socialist Republic of Viet Nam, Peru, Cambodia, Kenya</v>
      </c>
      <c r="G119" s="5">
        <v>1</v>
      </c>
      <c r="H119" s="5">
        <v>30000</v>
      </c>
      <c r="I119" s="4" t="str">
        <v>.</v>
      </c>
      <c r="J119" s="4">
        <v>7451</v>
      </c>
    </row>
    <row r="120" ht="50" customHeight="1" xml:space="preserve">
      <c r="A120" s="4" t="str">
        <v>AOW05: Performance Assessments &amp; Evidence Generation</v>
      </c>
      <c r="B120" s="4" t="str">
        <v>CIAT (Alliance)</v>
      </c>
      <c r="C120" s="4" t="str">
        <v>OP 5.2.1. Knowledge and information hubs</v>
      </c>
      <c r="D120" s="4" t="str" xml:space="preserve">
        <v xml:space="preserve">Deliverable - Development of an agent to synthesize the accumulated evidence from the agroecology, N+, and MFL-SP initiative, generating information about the landscapes as well as the outcomes.
Indicator: Number of interactive online dashboards to synthesize the accumulated evidence from the agroecology, N+, and MFL-SP initiative
</v>
      </c>
      <c r="E120" s="4" t="str">
        <v>Number of knowledge products</v>
      </c>
      <c r="F120" s="4" t="str">
        <v>Tunisia, Peru, Lao People's Democratic Republic, Zimbabwe, Senegal, Ethiopia, India, Cambodia, The Socialist Republic of Viet Nam, Tanzania, United Republic, Kenya, Colombia</v>
      </c>
      <c r="G120" s="5">
        <v>1</v>
      </c>
      <c r="H120" s="5">
        <v>60000</v>
      </c>
      <c r="I120" s="4" t="str">
        <v>.</v>
      </c>
      <c r="J120" s="4">
        <v>7640</v>
      </c>
    </row>
    <row r="121" ht="25" customHeight="1">
      <c r="C121" s="9" t="str">
        <v>HLO budget subtotal</v>
      </c>
      <c r="H121" s="9">
        <v>1224206</v>
      </c>
      <c r="J121" s="9" t="str">
        <v/>
      </c>
    </row>
  </sheetData>
  <mergeCells count="37">
    <mergeCell ref="A1:A2"/>
    <mergeCell ref="B1:B2"/>
    <mergeCell ref="C1:C2"/>
    <mergeCell ref="D1:H1"/>
    <mergeCell ref="I1:I2"/>
    <mergeCell ref="J1:J2"/>
    <mergeCell ref="C3:C15"/>
    <mergeCell ref="C16:C25"/>
    <mergeCell ref="C26:C27"/>
    <mergeCell ref="C28:G28"/>
    <mergeCell ref="A3:A28"/>
    <mergeCell ref="C29:C38"/>
    <mergeCell ref="C39:C40"/>
    <mergeCell ref="C41:C48"/>
    <mergeCell ref="C49:C51"/>
    <mergeCell ref="C52:G52"/>
    <mergeCell ref="A29:A52"/>
    <mergeCell ref="C53:C54"/>
    <mergeCell ref="C55:C65"/>
    <mergeCell ref="C66:C68"/>
    <mergeCell ref="C69:C73"/>
    <mergeCell ref="C74:C76"/>
    <mergeCell ref="C77:G77"/>
    <mergeCell ref="A53:A77"/>
    <mergeCell ref="C78:C82"/>
    <mergeCell ref="C83:C87"/>
    <mergeCell ref="C88:C90"/>
    <mergeCell ref="C91:C95"/>
    <mergeCell ref="C96:C99"/>
    <mergeCell ref="C100:C101"/>
    <mergeCell ref="C102:G102"/>
    <mergeCell ref="A78:A102"/>
    <mergeCell ref="C103:C106"/>
    <mergeCell ref="C107:C112"/>
    <mergeCell ref="C113:C118"/>
    <mergeCell ref="C121:G121"/>
    <mergeCell ref="A103:A121"/>
  </mergeCells>
  <ignoredErrors>
    <ignoredError numberStoredAsText="1" sqref="A1:J121"/>
  </ignoredErrors>
</worksheet>
</file>

<file path=xl/worksheets/sheet3.xml><?xml version="1.0" encoding="utf-8"?>
<worksheet xmlns="http://schemas.openxmlformats.org/spreadsheetml/2006/main" xmlns:r="http://schemas.openxmlformats.org/officeDocument/2006/relationships">
  <dimension ref="A1:G2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Agroecology+ Solutions &amp; Innovations</v>
      </c>
      <c r="B2" s="4" t="str">
        <v>Center for International Forestry Research (CIFOR) and World Agroforestry (ICRAF)</v>
      </c>
      <c r="C2" s="4" t="str">
        <v>CIAT (Alliance)</v>
      </c>
      <c r="D2" s="4" t="str">
        <v>Kenya, Peru</v>
      </c>
      <c r="E2" s="5">
        <v>115508</v>
      </c>
      <c r="F2" s="4" t="str">
        <v>.</v>
      </c>
      <c r="G2" s="4">
        <v>530</v>
      </c>
    </row>
    <row r="3" ht="50" customHeight="1">
      <c r="A3" s="4" t="str">
        <v>AOW01: Agroecology+ Solutions &amp; Innovations</v>
      </c>
      <c r="B3" s="4" t="str">
        <v>Centre de coopération internationale en recherche agronomique pour le développement</v>
      </c>
      <c r="C3" s="4" t="str">
        <v>CIAT (Alliance)</v>
      </c>
      <c r="D3" s="4" t="str">
        <v>Senegal</v>
      </c>
      <c r="E3" s="5">
        <v>43478</v>
      </c>
      <c r="F3" s="4" t="str">
        <v>.</v>
      </c>
      <c r="G3" s="4">
        <v>531</v>
      </c>
    </row>
    <row r="4" ht="50" customHeight="1">
      <c r="A4" s="4" t="str">
        <v>AOW01: Agroecology+ Solutions &amp; Innovations</v>
      </c>
      <c r="B4" s="4" t="str">
        <v>Community Sustainable Agriculture Healthy Environmental Program</v>
      </c>
      <c r="C4" s="4" t="str">
        <v>CIAT (Alliance)</v>
      </c>
      <c r="D4" s="4" t="str">
        <v>Kenya</v>
      </c>
      <c r="E4" s="5">
        <v>18000</v>
      </c>
      <c r="F4" s="4" t="str">
        <v>.</v>
      </c>
      <c r="G4" s="4">
        <v>532</v>
      </c>
    </row>
    <row r="5" ht="50" customHeight="1">
      <c r="A5" s="4" t="str">
        <v>AOW01: Agroecology+ Solutions &amp; Innovations</v>
      </c>
      <c r="B5" s="4" t="str">
        <v xml:space="preserve">Local NGO - Enhancing Pastoralist Research and Development Alternatives (EPaRDA); Tool development - ACATECH technologies </v>
      </c>
      <c r="C5" s="4" t="str">
        <v>CIAT (Alliance)</v>
      </c>
      <c r="D5" s="4" t="str">
        <v>Ethiopia</v>
      </c>
      <c r="E5" s="5">
        <v>14000</v>
      </c>
      <c r="F5" s="4" t="str">
        <v>.</v>
      </c>
      <c r="G5" s="4">
        <v>533</v>
      </c>
    </row>
    <row r="6" ht="50" customHeight="1">
      <c r="A6" s="4" t="str">
        <v>AOW01: Agroecology+ Solutions &amp; Innovations</v>
      </c>
      <c r="B6" s="4" t="str">
        <v>Unknown Partner 1</v>
      </c>
      <c r="C6" s="4" t="str">
        <v>CIAT (Alliance)</v>
      </c>
      <c r="D6" s="4" t="str">
        <v>Ethiopia</v>
      </c>
      <c r="E6" s="5">
        <v>10000</v>
      </c>
      <c r="F6" s="4" t="str">
        <v>Budget for partner to be selected in Ethiopia</v>
      </c>
      <c r="G6" s="4">
        <v>534</v>
      </c>
    </row>
    <row r="7" ht="50" customHeight="1">
      <c r="A7" s="4" t="str">
        <v>AOW01: Agroecology+ Solutions &amp; Innovations</v>
      </c>
      <c r="B7" s="4" t="str">
        <v>Agrosalud de Ucayali</v>
      </c>
      <c r="C7" s="4" t="str">
        <v>CIAT (Alliance)</v>
      </c>
      <c r="D7" s="4" t="str">
        <v>Peru</v>
      </c>
      <c r="E7" s="5">
        <v>10000</v>
      </c>
      <c r="F7" s="4" t="str">
        <v>.</v>
      </c>
      <c r="G7" s="4">
        <v>535</v>
      </c>
    </row>
    <row r="8" ht="50" customHeight="1">
      <c r="A8" s="4" t="str">
        <v>AOW01: Agroecology+ Solutions &amp; Innovations</v>
      </c>
      <c r="B8" s="4" t="str">
        <v>AIDER</v>
      </c>
      <c r="C8" s="4" t="str">
        <v>CIAT (Alliance)</v>
      </c>
      <c r="D8" s="4" t="str">
        <v>Peru</v>
      </c>
      <c r="E8" s="5">
        <v>6500</v>
      </c>
      <c r="F8" s="4" t="str">
        <v>.</v>
      </c>
      <c r="G8" s="4">
        <v>536</v>
      </c>
    </row>
    <row r="9" ht="50" customHeight="1">
      <c r="A9" s="4" t="str">
        <v>AOW01: Agroecology+ Solutions &amp; Innovations</v>
      </c>
      <c r="B9" s="4" t="str">
        <v>CUMBE-Institución Educativa Técnica Agropecuaria Indígena Cumbe, Cumbal</v>
      </c>
      <c r="C9" s="4" t="str">
        <v>CIAT (Alliance)</v>
      </c>
      <c r="D9" s="4" t="str">
        <v>Colombia</v>
      </c>
      <c r="E9" s="5">
        <v>4000</v>
      </c>
      <c r="F9" s="4" t="str">
        <v>.</v>
      </c>
      <c r="G9" s="4">
        <v>537</v>
      </c>
    </row>
    <row r="10" ht="25" customHeight="1">
      <c r="B10" s="9" t="str">
        <v>Contracted partners subtotal</v>
      </c>
      <c r="E10" s="9">
        <v>221486</v>
      </c>
      <c r="F10" s="9" t="str">
        <v/>
      </c>
      <c r="G10" s="9" t="str">
        <v/>
      </c>
    </row>
    <row r="11" ht="50" customHeight="1">
      <c r="A11" s="8" t="str">
        <v>AOW02: Landscape Optimization and Inclusive Planning</v>
      </c>
      <c r="B11" s="4" t="str">
        <v>Center for International Forestry Research (CIFOR) and World Agroforestry (ICRAF)</v>
      </c>
      <c r="C11" s="4" t="str">
        <v>CIAT (Alliance)</v>
      </c>
      <c r="D11" s="4" t="str">
        <v>Kenya, Peru</v>
      </c>
      <c r="E11" s="5">
        <v>72427</v>
      </c>
      <c r="F11" s="4" t="str">
        <v>.</v>
      </c>
      <c r="G11" s="4">
        <v>538</v>
      </c>
    </row>
    <row r="12" ht="50" customHeight="1">
      <c r="A12" s="4" t="str">
        <v>AOW02: Landscape Optimization and Inclusive Planning</v>
      </c>
      <c r="B12" s="4" t="str">
        <v>Centre de coopération internationale en recherche agronomique pour le développement</v>
      </c>
      <c r="C12" s="4" t="str">
        <v>CIAT (Alliance)</v>
      </c>
      <c r="D12" s="4" t="str">
        <v>Senegal</v>
      </c>
      <c r="E12" s="5">
        <v>94403</v>
      </c>
      <c r="F12" s="4" t="str">
        <v>.</v>
      </c>
      <c r="G12" s="4">
        <v>539</v>
      </c>
    </row>
    <row r="13" ht="25" customHeight="1">
      <c r="B13" s="9" t="str">
        <v>Contracted partners subtotal</v>
      </c>
      <c r="E13" s="9">
        <v>166830</v>
      </c>
      <c r="F13" s="9" t="str">
        <v/>
      </c>
      <c r="G13" s="9" t="str">
        <v/>
      </c>
    </row>
    <row r="14" ht="50" customHeight="1">
      <c r="A14" s="8" t="str">
        <v>AOW03: Business Models, Markets, and Sustainable Finance</v>
      </c>
      <c r="B14" s="4" t="str">
        <v>Centre de coopération internationale en recherche agronomique pour le développement</v>
      </c>
      <c r="C14" s="4" t="str">
        <v>CIAT (Alliance)</v>
      </c>
      <c r="D14" s="4" t="str">
        <v>Senegal</v>
      </c>
      <c r="E14" s="5">
        <v>62332</v>
      </c>
      <c r="F14" s="4" t="str">
        <v>.</v>
      </c>
      <c r="G14" s="4">
        <v>540</v>
      </c>
    </row>
    <row r="15" ht="50" customHeight="1">
      <c r="A15" s="4" t="str">
        <v>AOW03: Business Models, Markets, and Sustainable Finance</v>
      </c>
      <c r="B15" s="4" t="str">
        <v>Tay Nguyen University</v>
      </c>
      <c r="C15" s="4" t="str">
        <v>CIAT (Alliance)</v>
      </c>
      <c r="D15" s="4" t="str">
        <v>The Socialist Republic of Viet Nam</v>
      </c>
      <c r="E15" s="5">
        <v>5000</v>
      </c>
      <c r="F15" s="4" t="str">
        <v>.</v>
      </c>
      <c r="G15" s="4">
        <v>541</v>
      </c>
    </row>
    <row r="16" ht="50" customHeight="1">
      <c r="A16" s="4" t="str">
        <v>AOW03: Business Models, Markets, and Sustainable Finance</v>
      </c>
      <c r="B16" s="4" t="str">
        <v>Plant Resources Center Vietman</v>
      </c>
      <c r="C16" s="4" t="str">
        <v>CIAT (Alliance)</v>
      </c>
      <c r="D16" s="4" t="str">
        <v>The Socialist Republic of Viet Nam</v>
      </c>
      <c r="E16" s="5">
        <v>5000</v>
      </c>
      <c r="F16" s="4" t="str">
        <v>.</v>
      </c>
      <c r="G16" s="4">
        <v>542</v>
      </c>
    </row>
    <row r="17" ht="50" customHeight="1">
      <c r="A17" s="4" t="str">
        <v>AOW03: Business Models, Markets, and Sustainable Finance</v>
      </c>
      <c r="B17" s="4" t="str">
        <v>Unknown Partner 1</v>
      </c>
      <c r="C17" s="4" t="str">
        <v>CIAT (Alliance)</v>
      </c>
      <c r="D17" s="4" t="str">
        <v>Kenya, Peru, Tunisia, India, The Socialist Republic of Viet Nam, Lao People's Democratic Republic, Cambodia, Senegal</v>
      </c>
      <c r="E17" s="5">
        <v>35000</v>
      </c>
      <c r="F17" s="4" t="str">
        <v>Budget for business incubation partners in different countries. Partners willbe selected later in the year.</v>
      </c>
      <c r="G17" s="4">
        <v>543</v>
      </c>
    </row>
    <row r="18" ht="25" customHeight="1">
      <c r="B18" s="9" t="str">
        <v>Contracted partners subtotal</v>
      </c>
      <c r="E18" s="9">
        <v>107332</v>
      </c>
      <c r="F18" s="9" t="str">
        <v/>
      </c>
      <c r="G18" s="9" t="str">
        <v/>
      </c>
    </row>
    <row r="19" ht="50" customHeight="1">
      <c r="A19" s="8" t="str">
        <v>AOW04: Governance, Institutions, Policy, and Inclusion</v>
      </c>
      <c r="B19" s="4" t="str">
        <v>Center for International Forestry Research (CIFOR) and World Agroforestry (ICRAF)</v>
      </c>
      <c r="C19" s="4" t="str">
        <v>CIAT (Alliance)</v>
      </c>
      <c r="D19" s="4" t="str">
        <v>Kenya, Peru</v>
      </c>
      <c r="E19" s="5">
        <v>22878</v>
      </c>
      <c r="F19" s="4" t="str">
        <v>.</v>
      </c>
      <c r="G19" s="4">
        <v>544</v>
      </c>
    </row>
    <row r="20" ht="50" customHeight="1">
      <c r="A20" s="4" t="str">
        <v>AOW04: Governance, Institutions, Policy, and Inclusion</v>
      </c>
      <c r="B20" s="4" t="str">
        <v>Centre de coopération internationale en recherche agronomique pour le développement</v>
      </c>
      <c r="C20" s="4" t="str">
        <v>CIAT (Alliance)</v>
      </c>
      <c r="D20" s="4" t="str">
        <v>Senegal</v>
      </c>
      <c r="E20" s="5">
        <v>6341</v>
      </c>
      <c r="F20" s="4" t="str">
        <v>.</v>
      </c>
      <c r="G20" s="4">
        <v>545</v>
      </c>
    </row>
    <row r="21" ht="50" customHeight="1">
      <c r="A21" s="4" t="str">
        <v>AOW04: Governance, Institutions, Policy, and Inclusion</v>
      </c>
      <c r="B21" s="4" t="str">
        <v>Yiaku Laikipia Trust</v>
      </c>
      <c r="C21" s="4" t="str">
        <v>CIAT (Alliance)</v>
      </c>
      <c r="D21" s="4" t="str">
        <v>Kenya</v>
      </c>
      <c r="E21" s="5">
        <v>10000</v>
      </c>
      <c r="F21" s="4" t="str">
        <v>.</v>
      </c>
      <c r="G21" s="4">
        <v>546</v>
      </c>
    </row>
    <row r="22" ht="25" customHeight="1">
      <c r="B22" s="9" t="str">
        <v>Contracted partners subtotal</v>
      </c>
      <c r="E22" s="9">
        <v>39219</v>
      </c>
      <c r="F22" s="9" t="str">
        <v/>
      </c>
      <c r="G22" s="9" t="str">
        <v/>
      </c>
    </row>
    <row r="23" ht="50" customHeight="1">
      <c r="A23" s="8" t="str">
        <v>AOW05: Performance Assessments &amp; Evidence Generation</v>
      </c>
      <c r="B23" s="4" t="str">
        <v>Center for International Forestry Research (CIFOR) and World Agroforestry (ICRAF)</v>
      </c>
      <c r="C23" s="4" t="str">
        <v>CIAT (Alliance)</v>
      </c>
      <c r="D23" s="4" t="str">
        <v>Kenya, Peru</v>
      </c>
      <c r="E23" s="5">
        <v>614757</v>
      </c>
      <c r="F23" s="4" t="str">
        <v>.</v>
      </c>
      <c r="G23" s="4">
        <v>547</v>
      </c>
    </row>
    <row r="24" ht="50" customHeight="1">
      <c r="A24" s="4" t="str">
        <v>AOW05: Performance Assessments &amp; Evidence Generation</v>
      </c>
      <c r="B24" s="4" t="str">
        <v>Centre de coopération internationale en recherche agronomique pour le développement</v>
      </c>
      <c r="C24" s="4" t="str">
        <v>CIAT (Alliance)</v>
      </c>
      <c r="D24" s="4" t="str">
        <v>Senegal</v>
      </c>
      <c r="E24" s="5">
        <v>10000</v>
      </c>
      <c r="F24" s="4" t="str">
        <v>.</v>
      </c>
      <c r="G24" s="4">
        <v>548</v>
      </c>
    </row>
    <row r="25" ht="50" customHeight="1">
      <c r="A25" s="4" t="str">
        <v>AOW05: Performance Assessments &amp; Evidence Generation</v>
      </c>
      <c r="B25" s="4" t="str">
        <v>Statistics for Sustainable Development</v>
      </c>
      <c r="C25" s="4" t="str">
        <v>CIAT (Alliance)</v>
      </c>
      <c r="D25" s="4" t="str">
        <v>United Kingdom of Great Britain and Northern Ireland</v>
      </c>
      <c r="E25" s="5">
        <v>10000</v>
      </c>
      <c r="F25" s="4" t="str">
        <v>.</v>
      </c>
      <c r="G25" s="4">
        <v>549</v>
      </c>
    </row>
    <row r="26" ht="25" customHeight="1">
      <c r="B26" s="9" t="str">
        <v>Contracted partners subtotal</v>
      </c>
      <c r="E26" s="9">
        <v>634757</v>
      </c>
      <c r="F26" s="9" t="str">
        <v/>
      </c>
      <c r="G26" s="9" t="str">
        <v/>
      </c>
    </row>
  </sheetData>
  <mergeCells count="10">
    <mergeCell ref="B10:D10"/>
    <mergeCell ref="A2:A10"/>
    <mergeCell ref="B13:D13"/>
    <mergeCell ref="A11:A13"/>
    <mergeCell ref="B18:D18"/>
    <mergeCell ref="A14:A18"/>
    <mergeCell ref="B22:D22"/>
    <mergeCell ref="A19:A22"/>
    <mergeCell ref="B26:D26"/>
    <mergeCell ref="A23:A26"/>
  </mergeCells>
  <ignoredErrors>
    <ignoredError numberStoredAsText="1" sqref="A1:G26"/>
  </ignoredErrors>
</worksheet>
</file>

<file path=xl/worksheets/sheet4.xml><?xml version="1.0" encoding="utf-8"?>
<worksheet xmlns="http://schemas.openxmlformats.org/spreadsheetml/2006/main" xmlns:r="http://schemas.openxmlformats.org/officeDocument/2006/relationships">
  <dimension ref="A1:F1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xml:space="preserve">
      <c r="A2" s="8" t="str">
        <v>CIAT (Alliance)</v>
      </c>
      <c r="B2" s="4" t="str">
        <v>ANONYMOUS DONOR - Fruitful Lands India Phase II: Harnessing Fruit Tree Biodiversity as a Nature-Based Solution for Food Security, Nutrition, Human and Planetary Health</v>
      </c>
      <c r="C2" s="4" t="str" xml:space="preserve">
        <v xml:space="preserve">2030 OC-5 National, regional, and global actors proactively apply scientifically-sound MFL evidence and strengthened capacities to shape policy discourse, investment decisions, and agenda-setting,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2" s="5">
        <v>254571</v>
      </c>
      <c r="E2" s="4" t="str">
        <v>.</v>
      </c>
      <c r="F2" s="4">
        <v>1028</v>
      </c>
    </row>
    <row r="3" ht="60" customHeight="1" xml:space="preserve">
      <c r="A3" s="4" t="str">
        <v>CIAT (Alliance)</v>
      </c>
      <c r="B3" s="4" t="str">
        <v>BIUSA (Bezos Earth Fund)-Using genetic diversity to capture carbon through deep root systems in tropical soils  (Research and Capacity development)</v>
      </c>
      <c r="C3"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3" s="5">
        <v>0</v>
      </c>
      <c r="E3" s="4" t="str">
        <v/>
      </c>
      <c r="F3" s="4">
        <v>1041</v>
      </c>
    </row>
    <row r="4" ht="60" customHeight="1" xml:space="preserve">
      <c r="A4" s="4" t="str">
        <v>CIAT (Alliance)</v>
      </c>
      <c r="B4" s="4" t="str">
        <v>Fertilize Right Colombia</v>
      </c>
      <c r="C4"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4" s="5">
        <v>352641</v>
      </c>
      <c r="E4" s="4" t="str">
        <v>.</v>
      </c>
      <c r="F4" s="4">
        <v>1044</v>
      </c>
    </row>
    <row r="5" ht="60" customHeight="1">
      <c r="A5" s="4" t="str">
        <v>CIAT (Alliance)</v>
      </c>
      <c r="B5" s="4" t="str">
        <v>FRANCE – FFEM Promover Oportunidades Sostenibles en la Cadena de Valor del Cacao de Excelencia (IA Lead of A1537)</v>
      </c>
      <c r="C5" s="4" t="str">
        <v>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v>
      </c>
      <c r="D5" s="5">
        <v>763584</v>
      </c>
      <c r="E5" s="4" t="str">
        <v>.</v>
      </c>
      <c r="F5" s="4">
        <v>1020</v>
      </c>
    </row>
    <row r="6" ht="60" customHeight="1">
      <c r="A6" s="4" t="str">
        <v>CIAT (Alliance)</v>
      </c>
      <c r="B6" s="4" t="str">
        <v>IFAD (EC) Agroecological Transitions for Building Resilient, Inclusive, Agricultural and Food Systems (TRANSITIONS): Private sector incentives and investments</v>
      </c>
      <c r="C6" s="4" t="str">
        <v>2030 OC-5 National, regional, and global actors proactively apply scientifically-sound MFL evidence and strengthened capacities to shape policy discourse, investment decisions, and agenda-setting, 2030 OC-3 National and sub-national public actors, market and finance sector actors implement and sustain coordinated, inclusive policy, organizational, market, and non-market innovations</v>
      </c>
      <c r="D6" s="5">
        <v>345770</v>
      </c>
      <c r="E6" s="4" t="str">
        <v>.</v>
      </c>
      <c r="F6" s="4">
        <v>1024</v>
      </c>
    </row>
    <row r="7" ht="60" customHeight="1">
      <c r="A7" s="4" t="str">
        <v>CIAT (Alliance)</v>
      </c>
      <c r="B7" s="4" t="str">
        <v>ITALY-Italy Voluntary contribution 2024 - Sustainable cocoa value chains in West Africa (A1701)</v>
      </c>
      <c r="C7" s="4" t="str">
        <v>2030 OC-3 National and sub-national public actors, market and finance sector actors implement and sustain coordinated, inclusive policy, organizational, market, and non-market innovations</v>
      </c>
      <c r="D7" s="5">
        <v>0</v>
      </c>
      <c r="E7" s="4" t="str">
        <v/>
      </c>
      <c r="F7" s="4">
        <v>1033</v>
      </c>
    </row>
    <row r="8" ht="60" customHeight="1" xml:space="preserve">
      <c r="A8" s="4" t="str">
        <v>CIAT (Alliance)</v>
      </c>
      <c r="B8" s="4" t="str">
        <v>IUCN (GEF)-Restoration Challenge Grant Platform for Smallholders and Communities, with Blockchain-Enabled Crowdfunding</v>
      </c>
      <c r="C8" s="4" t="str" xml:space="preserve">
        <v xml:space="preserve">2030 OC-5 National, regional, and global actors proactively apply scientifically-sound MFL evidence and strengthened capacities to shape policy discourse, investment decisions, and agenda-setting,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8" s="5">
        <v>0</v>
      </c>
      <c r="E8" s="4" t="str">
        <v/>
      </c>
      <c r="F8" s="4">
        <v>1023</v>
      </c>
    </row>
    <row r="9" ht="60" customHeight="1" xml:space="preserve">
      <c r="A9" s="4" t="str">
        <v>CIAT (Alliance)</v>
      </c>
      <c r="B9" s="4" t="str">
        <v>PREPARATION PHASE - "Supporting Colombia’s Just Energy Transition, climate resilience, and food security through the introduction of inclusive agri-photovoltaic systems" (JET-AgriSOL)</v>
      </c>
      <c r="C9"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9" s="5">
        <v>1603966</v>
      </c>
      <c r="E9" s="4" t="str">
        <v>.</v>
      </c>
      <c r="F9" s="4">
        <v>1021</v>
      </c>
    </row>
    <row r="10" ht="60" customHeight="1">
      <c r="A10" s="4" t="str">
        <v>CIAT (Alliance)</v>
      </c>
      <c r="B10" s="4" t="str">
        <v>Rural and sustainable innovation for regional development in conditions of climate variability in the Central RAP-E Region</v>
      </c>
      <c r="C10" s="4" t="str">
        <v>OP 4.1.2 GEYSI for co-creation and inclusive governance</v>
      </c>
      <c r="D10" s="5">
        <v>0</v>
      </c>
      <c r="E10" s="4" t="str">
        <v/>
      </c>
      <c r="F10" s="4">
        <v>1030</v>
      </c>
    </row>
    <row r="11" ht="60" customHeight="1">
      <c r="A11" s="4" t="str">
        <v>CIAT (Alliance)</v>
      </c>
      <c r="B11" s="4" t="str">
        <v>SCIENTIFIC AND TECHNICAL SUPPORT TO ASEAN COUNTRIES' SUSTAINABLE AGRICULTURE - 3S</v>
      </c>
      <c r="C11" s="4" t="str">
        <v>OP 1.1.1. – Bundles of farm-level solutions</v>
      </c>
      <c r="D11" s="5">
        <v>0</v>
      </c>
      <c r="E11" s="4" t="str">
        <v/>
      </c>
      <c r="F11" s="4">
        <v>1045</v>
      </c>
    </row>
    <row r="12" ht="60" customHeight="1">
      <c r="A12" s="4" t="str">
        <v>CIAT (Alliance)</v>
      </c>
      <c r="B12" s="4" t="str">
        <v>THE FOOD PLANET PRIZE &amp; THE CURT BERGFORS FOUNDATION Agrobiodiversity Index</v>
      </c>
      <c r="C12" s="4" t="str">
        <v>2030 OC-5 National, regional, and global actors proactively apply scientifically-sound MFL evidence and strengthened capacities to shape policy discourse, investment decisions, and agenda-setting</v>
      </c>
      <c r="D12" s="5">
        <v>261261</v>
      </c>
      <c r="E12" s="4" t="str">
        <v>.</v>
      </c>
      <c r="F12" s="4">
        <v>1031</v>
      </c>
    </row>
    <row r="13" ht="60" customHeight="1">
      <c r="A13" s="4" t="str">
        <v>CIAT (Alliance)</v>
      </c>
      <c r="B13" s="4" t="str">
        <v>UK FCDO - Seed to tree: value  chains and partnerships for resilient restored forests in Malaysia</v>
      </c>
      <c r="C13" s="4" t="str">
        <v>2030 OC-3 National and sub-national public actors, market and finance sector actors implement and sustain coordinated, inclusive policy, organizational, market, and non-market innovations</v>
      </c>
      <c r="D13" s="5">
        <v>759995</v>
      </c>
      <c r="E13" s="4" t="str">
        <v>.</v>
      </c>
      <c r="F13" s="4">
        <v>1038</v>
      </c>
    </row>
    <row r="14" ht="60" customHeight="1" xml:space="preserve">
      <c r="A14" s="4" t="str">
        <v>CIAT (Alliance)</v>
      </c>
      <c r="B14" s="4" t="str">
        <v>UK – GCBC (UK-Defra) , Deploying Diversity as a Strategic Asset for Scaling of  Ethiopia’s Green Legacy Initiative for Climate Change  Resilience and Livelihoods</v>
      </c>
      <c r="C14"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14" s="5">
        <v>344280</v>
      </c>
      <c r="E14" s="4" t="str">
        <v>.</v>
      </c>
      <c r="F14" s="4">
        <v>1027</v>
      </c>
    </row>
    <row r="15" ht="60" customHeight="1">
      <c r="A15" s="4" t="str">
        <v>CIAT (Alliance)</v>
      </c>
      <c r="B15" s="4" t="str">
        <v>USA-USAID-Amazon Biodiversity Fund Brazil Fundo de Investimento em Participações Multiestratégia</v>
      </c>
      <c r="C15" s="4" t="str">
        <v>2030 OC-3 National and sub-national public actors, market and finance sector actors implement and sustain coordinated, inclusive policy, organizational, market, and non-market innovations</v>
      </c>
      <c r="D15" s="5">
        <v>518003</v>
      </c>
      <c r="E15" s="4" t="str">
        <v>.</v>
      </c>
      <c r="F15" s="4">
        <v>1036</v>
      </c>
    </row>
    <row r="16" ht="25" customHeight="1">
      <c r="B16" s="9" t="str">
        <v>W3/Bilateral budget subtotal</v>
      </c>
      <c r="D16" s="9">
        <v>5204071</v>
      </c>
      <c r="E16" s="9" t="str">
        <v/>
      </c>
      <c r="F16" s="9" t="str">
        <v/>
      </c>
    </row>
  </sheetData>
  <mergeCells count="2">
    <mergeCell ref="B16:C16"/>
    <mergeCell ref="A2:A16"/>
  </mergeCells>
  <ignoredErrors>
    <ignoredError numberStoredAsText="1" sqref="A1:F16"/>
  </ignoredErrors>
</worksheet>
</file>

<file path=xl/worksheets/sheet5.xml><?xml version="1.0" encoding="utf-8"?>
<worksheet xmlns="http://schemas.openxmlformats.org/spreadsheetml/2006/main" xmlns:r="http://schemas.openxmlformats.org/officeDocument/2006/relationships">
  <dimension ref="A1:H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AOW05: Performance Assessments &amp; Evidence Generation</v>
      </c>
      <c r="B2" s="4" t="str">
        <v>CIAT (Alliance)</v>
      </c>
      <c r="C2" s="4" t="str">
        <v>Deliverable - MELIA STUDY Landscape appropriate Impact Assessment system implementation: cross country coordination and learning briefs Indicator: Number of landscape-specific frameworks to assess multifunctional landscape performance</v>
      </c>
      <c r="D2" s="4" t="str">
        <v>I-OC 5.1 Partners in MFL Living Landscapes sites demonstrate strengthened capacity to articulate, communicate, and actively influence the uptake of MFL knowledge in policy arenas, scientific communities, and practitioner networks.</v>
      </c>
      <c r="E2" s="4" t="str">
        <v>N/A</v>
      </c>
      <c r="F2" s="5">
        <v>22124</v>
      </c>
      <c r="G2" s="4" t="str">
        <v>.</v>
      </c>
      <c r="H2" s="4">
        <v>551</v>
      </c>
    </row>
    <row r="3" ht="60" customHeight="1" xml:space="preserve">
      <c r="A3" s="4" t="str">
        <v>AOW05: Performance Assessments &amp; Evidence Generation</v>
      </c>
      <c r="B3" s="4" t="str">
        <v>CIAT (Alliance)</v>
      </c>
      <c r="C3" s="4" t="str" xml:space="preserve">
        <v xml:space="preserve">Deliverable - MELIA STUDY Landscape appropriate Impact Assessment data collection in Peru and Colombia: farming households + system actors 
Indicator: Number of baseline/midline datasets collected using validated sampling strategies and made available for future impact assessment </v>
      </c>
      <c r="D3" s="4" t="str">
        <v>I-OC 5.1 Partners in MFL Living Landscapes sites demonstrate strengthened capacity to articulate, communicate, and actively influence the uptake of MFL knowledge in policy arenas, scientific communities, and practitioner networks.</v>
      </c>
      <c r="E3" s="4" t="str">
        <v>N/A</v>
      </c>
      <c r="F3" s="5">
        <v>145840</v>
      </c>
      <c r="G3" s="4" t="str">
        <v>.</v>
      </c>
      <c r="H3" s="4">
        <v>554</v>
      </c>
    </row>
    <row r="4" ht="60" customHeight="1">
      <c r="A4" s="4" t="str">
        <v>AOW05: Performance Assessments &amp; Evidence Generation</v>
      </c>
      <c r="B4" s="4" t="str">
        <v>CIAT (Alliance)</v>
      </c>
      <c r="C4" s="4" t="str">
        <v xml:space="preserve"> Deliverable - Critical Capabilities - MELIA STUDY Landscape appropriate Impact Assessment implementation: System Level Theory of Change Indicator: Number of impact assessments carried out and documented</v>
      </c>
      <c r="D4" s="4" t="str">
        <v>I-OC 5.1 Partners in MFL Living Landscapes sites demonstrate strengthened capacity to articulate, communicate, and actively influence the uptake of MFL knowledge in policy arenas, scientific communities, and practitioner networks.</v>
      </c>
      <c r="E4" s="4" t="str">
        <v>N/A</v>
      </c>
      <c r="F4" s="5">
        <v>0</v>
      </c>
      <c r="G4" s="4" t="str">
        <v/>
      </c>
      <c r="H4" s="4">
        <v>640</v>
      </c>
    </row>
    <row r="5" ht="60" customHeight="1">
      <c r="A5" s="4" t="str">
        <v>AOW05: Performance Assessments &amp; Evidence Generation</v>
      </c>
      <c r="B5" s="4" t="str">
        <v>CIAT (Alliance)</v>
      </c>
      <c r="C5" s="4" t="str">
        <v xml:space="preserve"> Deliverable - MELIA STUDY Landscape appropriate impact assessment data collection for Kenya: farming households + system actors Indicator: Number of baseline/midline datasets collected using validated sampling strategies and made available for future impact assessment</v>
      </c>
      <c r="D5" s="4" t="str">
        <v>I-OC 5.1 Partners in MFL Living Landscapes sites demonstrate strengthened capacity to articulate, communicate, and actively influence the uptake of MFL knowledge in policy arenas, scientific communities, and practitioner networks.</v>
      </c>
      <c r="E5" s="4" t="str">
        <v>N/A</v>
      </c>
      <c r="F5" s="5">
        <v>0</v>
      </c>
      <c r="G5" s="4" t="str">
        <v/>
      </c>
      <c r="H5" s="4">
        <v>647</v>
      </c>
    </row>
    <row r="6" ht="25" customHeight="1">
      <c r="C6" s="9" t="str">
        <v>MELIA budget subtotal</v>
      </c>
      <c r="F6" s="9">
        <v>167964</v>
      </c>
      <c r="G6" s="9" t="str">
        <v/>
      </c>
      <c r="H6" s="9" t="str">
        <v/>
      </c>
    </row>
  </sheetData>
  <mergeCells count="2">
    <mergeCell ref="C6:E6"/>
    <mergeCell ref="A2:A6"/>
  </mergeCells>
  <ignoredErrors>
    <ignoredError numberStoredAsText="1" sqref="A1:H6"/>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CIAT (Alliance)</v>
      </c>
      <c r="C2" s="4" t="str">
        <v>MELIA</v>
      </c>
      <c r="D2" s="5">
        <v>100000</v>
      </c>
      <c r="E2" s="4" t="str" xml:space="preserve">
        <v xml:space="preserve">USD 100K for Impact Assessment cross-cutting activities."Deliverable: MEL studies on 1) producer organizations and private sector marketing, value chaing linking capacities; 2) policy outcomes; 3) partners' capacity building outcomes. Indicator: Number of MELIA studies on producer, private sector and policy makers capacity strengthening and uptake of MFL science
Indicator: Number of MELIA studies on producer, private sector and policy makers capacity strengthening and uptake of MFL science"
</v>
      </c>
      <c r="F2" s="4">
        <v>78</v>
      </c>
      <c r="G2" s="4">
        <v>6</v>
      </c>
    </row>
    <row r="3" ht="45" customHeight="1">
      <c r="A3" s="4" t="str">
        <v>AOW00: Cross Cutting</v>
      </c>
      <c r="B3" s="4" t="str">
        <v>CIAT (Alliance)</v>
      </c>
      <c r="C3" s="4" t="str">
        <v>PMU, CGIAR Program Finance Support and associated Allocation</v>
      </c>
      <c r="D3" s="5">
        <v>245634</v>
      </c>
      <c r="E3" s="4" t="str">
        <v xml:space="preserve">USD 169,096 for Simone Staiger's position. USD 31,538 for Genowefa Blundo's position. USD 45,000 travel budget for Simone Staiger, Alejandra Vargas and Genowefa Blundo's attendance to MFL SP management meetings (USD 15,000 travel budget for each of them).  </v>
      </c>
      <c r="F3" s="4">
        <v>213</v>
      </c>
      <c r="G3" s="4">
        <v>2</v>
      </c>
    </row>
    <row r="4" ht="45" customHeight="1">
      <c r="A4" s="4" t="str">
        <v>AOW00: Cross Cutting</v>
      </c>
      <c r="B4" s="4" t="str">
        <v>CIAT (Alliance)</v>
      </c>
      <c r="C4" s="4" t="str">
        <v>Area of Work Leads</v>
      </c>
      <c r="D4" s="5">
        <v>128488</v>
      </c>
      <c r="E4" s="4" t="str">
        <v>USD 113,488 for AoW 3 Carolina Gonzalez's position. USD 15,000 travel budget for Carolina's attendance to MFL SP management meetings.</v>
      </c>
      <c r="F4" s="4">
        <v>215</v>
      </c>
      <c r="G4" s="4">
        <v>3</v>
      </c>
    </row>
    <row r="5" ht="25" customHeight="1">
      <c r="C5" s="9" t="str">
        <v>Cross-cutting budget subtotal</v>
      </c>
      <c r="D5" s="9">
        <v>474122</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336672</v>
      </c>
      <c r="C2" s="5">
        <v>926069</v>
      </c>
      <c r="D2" s="5">
        <v>678153</v>
      </c>
      <c r="E2" s="5">
        <v>698841</v>
      </c>
      <c r="F2" s="5">
        <v>458176</v>
      </c>
      <c r="G2" s="5">
        <v>347880</v>
      </c>
      <c r="H2" s="5">
        <f>=SUM(B2:G2)</f>
        <v>0</v>
      </c>
    </row>
    <row r="3" ht="20" customHeight="1">
      <c r="A3" s="4" t="str">
        <v>Operations (supplies, consultants, travels, workshops, other)</v>
      </c>
      <c r="B3" s="5">
        <v>137450</v>
      </c>
      <c r="C3" s="5">
        <v>497892</v>
      </c>
      <c r="D3" s="5">
        <v>358477</v>
      </c>
      <c r="E3" s="5">
        <v>343452</v>
      </c>
      <c r="F3" s="5">
        <v>200035</v>
      </c>
      <c r="G3" s="5">
        <v>241569</v>
      </c>
      <c r="H3" s="5">
        <f>=SUM(B3:G3)</f>
        <v>0</v>
      </c>
    </row>
    <row r="4" ht="20" customHeight="1">
      <c r="A4" s="4" t="str">
        <v>Collaborators non-CGIAR centers</v>
      </c>
      <c r="B4" s="5">
        <v>0</v>
      </c>
      <c r="C4" s="5">
        <v>221486</v>
      </c>
      <c r="D4" s="5">
        <v>166830</v>
      </c>
      <c r="E4" s="5">
        <v>107332</v>
      </c>
      <c r="F4" s="5">
        <v>39219</v>
      </c>
      <c r="G4" s="5">
        <v>634757</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3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CIAT (Alliance)</v>
      </c>
      <c r="C2" s="4" t="str">
        <v>Colombia</v>
      </c>
      <c r="D2" s="5">
        <v>100</v>
      </c>
      <c r="E2" s="4">
        <v>3385</v>
      </c>
    </row>
    <row r="3" ht="45" customHeight="1">
      <c r="A3" s="8" t="str">
        <v>AOW01: Agroecology+ Solutions &amp; Innovations</v>
      </c>
      <c r="B3" s="4" t="str">
        <v>CIAT (Alliance)</v>
      </c>
      <c r="C3" s="4" t="str">
        <v>Colombia</v>
      </c>
      <c r="D3" s="5">
        <v>30</v>
      </c>
      <c r="E3" s="4">
        <v>2382</v>
      </c>
    </row>
    <row r="4" ht="45" customHeight="1">
      <c r="A4" s="4" t="str">
        <v>AOW01: Agroecology+ Solutions &amp; Innovations</v>
      </c>
      <c r="B4" s="4" t="str">
        <v>CIAT (Alliance)</v>
      </c>
      <c r="C4" s="4" t="str">
        <v>Ethiopia</v>
      </c>
      <c r="D4" s="5">
        <v>10</v>
      </c>
      <c r="E4" s="4">
        <v>2383</v>
      </c>
    </row>
    <row r="5" ht="45" customHeight="1">
      <c r="A5" s="4" t="str">
        <v>AOW01: Agroecology+ Solutions &amp; Innovations</v>
      </c>
      <c r="B5" s="4" t="str">
        <v>CIAT (Alliance)</v>
      </c>
      <c r="C5" s="4" t="str">
        <v>India</v>
      </c>
      <c r="D5" s="5">
        <v>0</v>
      </c>
      <c r="E5" s="4">
        <v>2384</v>
      </c>
    </row>
    <row r="6" ht="45" customHeight="1">
      <c r="A6" s="4" t="str">
        <v>AOW01: Agroecology+ Solutions &amp; Innovations</v>
      </c>
      <c r="B6" s="4" t="str">
        <v>CIAT (Alliance)</v>
      </c>
      <c r="C6" s="4" t="str">
        <v>Kenya</v>
      </c>
      <c r="D6" s="5">
        <v>40</v>
      </c>
      <c r="E6" s="4">
        <v>2385</v>
      </c>
    </row>
    <row r="7" ht="45" customHeight="1">
      <c r="A7" s="4" t="str">
        <v>AOW01: Agroecology+ Solutions &amp; Innovations</v>
      </c>
      <c r="B7" s="4" t="str">
        <v>CIAT (Alliance)</v>
      </c>
      <c r="C7" s="4" t="str">
        <v>Peru</v>
      </c>
      <c r="D7" s="5">
        <v>15</v>
      </c>
      <c r="E7" s="4">
        <v>2386</v>
      </c>
    </row>
    <row r="8" ht="45" customHeight="1">
      <c r="A8" s="4" t="str">
        <v>AOW01: Agroecology+ Solutions &amp; Innovations</v>
      </c>
      <c r="B8" s="4" t="str">
        <v>CIAT (Alliance)</v>
      </c>
      <c r="C8" s="4" t="str">
        <v>Senegal</v>
      </c>
      <c r="D8" s="5">
        <v>5</v>
      </c>
      <c r="E8" s="4">
        <v>2394</v>
      </c>
    </row>
    <row r="9" ht="45" customHeight="1">
      <c r="A9" s="4" t="str">
        <v>AOW01: Agroecology+ Solutions &amp; Innovations</v>
      </c>
      <c r="B9" s="4" t="str">
        <v>CIAT (Alliance)</v>
      </c>
      <c r="C9" s="4" t="str">
        <v>The Socialist Republic of Viet Nam</v>
      </c>
      <c r="D9" s="5">
        <v>0</v>
      </c>
      <c r="E9" s="4">
        <v>2393</v>
      </c>
    </row>
    <row r="10" ht="45" customHeight="1">
      <c r="A10" s="8" t="str">
        <v>AOW02: Landscape Optimization and Inclusive Planning</v>
      </c>
      <c r="B10" s="4" t="str">
        <v>CIAT (Alliance)</v>
      </c>
      <c r="C10" s="4" t="str">
        <v>Colombia</v>
      </c>
      <c r="D10" s="5">
        <v>30</v>
      </c>
      <c r="E10" s="4">
        <v>2387</v>
      </c>
    </row>
    <row r="11" ht="45" customHeight="1">
      <c r="A11" s="4" t="str">
        <v>AOW02: Landscape Optimization and Inclusive Planning</v>
      </c>
      <c r="B11" s="4" t="str">
        <v>CIAT (Alliance)</v>
      </c>
      <c r="C11" s="4" t="str">
        <v>Ethiopia</v>
      </c>
      <c r="D11" s="5">
        <v>10</v>
      </c>
      <c r="E11" s="4">
        <v>2389</v>
      </c>
    </row>
    <row r="12" ht="45" customHeight="1">
      <c r="A12" s="4" t="str">
        <v>AOW02: Landscape Optimization and Inclusive Planning</v>
      </c>
      <c r="B12" s="4" t="str">
        <v>CIAT (Alliance)</v>
      </c>
      <c r="C12" s="4" t="str">
        <v>India</v>
      </c>
      <c r="D12" s="5">
        <v>0</v>
      </c>
      <c r="E12" s="4">
        <v>2388</v>
      </c>
    </row>
    <row r="13" ht="45" customHeight="1">
      <c r="A13" s="4" t="str">
        <v>AOW02: Landscape Optimization and Inclusive Planning</v>
      </c>
      <c r="B13" s="4" t="str">
        <v>CIAT (Alliance)</v>
      </c>
      <c r="C13" s="4" t="str">
        <v>Kenya</v>
      </c>
      <c r="D13" s="5">
        <v>40</v>
      </c>
      <c r="E13" s="4">
        <v>2391</v>
      </c>
    </row>
    <row r="14" ht="45" customHeight="1">
      <c r="A14" s="4" t="str">
        <v>AOW02: Landscape Optimization and Inclusive Planning</v>
      </c>
      <c r="B14" s="4" t="str">
        <v>CIAT (Alliance)</v>
      </c>
      <c r="C14" s="4" t="str">
        <v>Lao People's Democratic Republic</v>
      </c>
      <c r="D14" s="5">
        <v>0</v>
      </c>
      <c r="E14" s="4">
        <v>2390</v>
      </c>
    </row>
    <row r="15" ht="45" customHeight="1">
      <c r="A15" s="4" t="str">
        <v>AOW02: Landscape Optimization and Inclusive Planning</v>
      </c>
      <c r="B15" s="4" t="str">
        <v>CIAT (Alliance)</v>
      </c>
      <c r="C15" s="4" t="str">
        <v>Peru</v>
      </c>
      <c r="D15" s="5">
        <v>15</v>
      </c>
      <c r="E15" s="4">
        <v>2392</v>
      </c>
    </row>
    <row r="16" ht="45" customHeight="1">
      <c r="A16" s="4" t="str">
        <v>AOW02: Landscape Optimization and Inclusive Planning</v>
      </c>
      <c r="B16" s="4" t="str">
        <v>CIAT (Alliance)</v>
      </c>
      <c r="C16" s="4" t="str">
        <v>Senegal</v>
      </c>
      <c r="D16" s="5">
        <v>5</v>
      </c>
      <c r="E16" s="4">
        <v>2395</v>
      </c>
    </row>
    <row r="17" ht="45" customHeight="1">
      <c r="A17" s="8" t="str">
        <v>AOW03: Business Models, Markets, and Sustainable Finance</v>
      </c>
      <c r="B17" s="4" t="str">
        <v>CIAT (Alliance)</v>
      </c>
      <c r="C17" s="4" t="str">
        <v>Colombia</v>
      </c>
      <c r="D17" s="5">
        <v>30</v>
      </c>
      <c r="E17" s="4">
        <v>2396</v>
      </c>
    </row>
    <row r="18" ht="45" customHeight="1">
      <c r="A18" s="4" t="str">
        <v>AOW03: Business Models, Markets, and Sustainable Finance</v>
      </c>
      <c r="B18" s="4" t="str">
        <v>CIAT (Alliance)</v>
      </c>
      <c r="C18" s="4" t="str">
        <v>Ethiopia</v>
      </c>
      <c r="D18" s="5">
        <v>0</v>
      </c>
      <c r="E18" s="4">
        <v>2397</v>
      </c>
    </row>
    <row r="19" ht="45" customHeight="1">
      <c r="A19" s="4" t="str">
        <v>AOW03: Business Models, Markets, and Sustainable Finance</v>
      </c>
      <c r="B19" s="4" t="str">
        <v>CIAT (Alliance)</v>
      </c>
      <c r="C19" s="4" t="str">
        <v>India</v>
      </c>
      <c r="D19" s="5">
        <v>0</v>
      </c>
      <c r="E19" s="4">
        <v>2398</v>
      </c>
    </row>
    <row r="20" ht="45" customHeight="1">
      <c r="A20" s="4" t="str">
        <v>AOW03: Business Models, Markets, and Sustainable Finance</v>
      </c>
      <c r="B20" s="4" t="str">
        <v>CIAT (Alliance)</v>
      </c>
      <c r="C20" s="4" t="str">
        <v>Kenya</v>
      </c>
      <c r="D20" s="5">
        <v>30</v>
      </c>
      <c r="E20" s="4">
        <v>2403</v>
      </c>
    </row>
    <row r="21" ht="45" customHeight="1">
      <c r="A21" s="4" t="str">
        <v>AOW03: Business Models, Markets, and Sustainable Finance</v>
      </c>
      <c r="B21" s="4" t="str">
        <v>CIAT (Alliance)</v>
      </c>
      <c r="C21" s="4" t="str">
        <v>Peru</v>
      </c>
      <c r="D21" s="5">
        <v>30</v>
      </c>
      <c r="E21" s="4">
        <v>2399</v>
      </c>
    </row>
    <row r="22" ht="45" customHeight="1">
      <c r="A22" s="4" t="str">
        <v>AOW03: Business Models, Markets, and Sustainable Finance</v>
      </c>
      <c r="B22" s="4" t="str">
        <v>CIAT (Alliance)</v>
      </c>
      <c r="C22" s="4" t="str">
        <v>Senegal</v>
      </c>
      <c r="D22" s="5">
        <v>10</v>
      </c>
      <c r="E22" s="4">
        <v>2401</v>
      </c>
    </row>
    <row r="23" ht="45" customHeight="1">
      <c r="A23" s="4" t="str">
        <v>AOW03: Business Models, Markets, and Sustainable Finance</v>
      </c>
      <c r="B23" s="4" t="str">
        <v>CIAT (Alliance)</v>
      </c>
      <c r="C23" s="4" t="str">
        <v>Tunisia</v>
      </c>
      <c r="D23" s="5">
        <v>0</v>
      </c>
      <c r="E23" s="4">
        <v>2400</v>
      </c>
    </row>
    <row r="24" ht="45" customHeight="1">
      <c r="A24" s="4" t="str">
        <v>AOW03: Business Models, Markets, and Sustainable Finance</v>
      </c>
      <c r="B24" s="4" t="str">
        <v>CIAT (Alliance)</v>
      </c>
      <c r="C24" s="4" t="str">
        <v>Zimbabwe</v>
      </c>
      <c r="D24" s="5">
        <v>0</v>
      </c>
      <c r="E24" s="4">
        <v>2402</v>
      </c>
    </row>
    <row r="25" ht="45" customHeight="1">
      <c r="A25" s="8" t="str">
        <v>AOW04: Governance, Institutions, Policy, and Inclusion</v>
      </c>
      <c r="B25" s="4" t="str">
        <v>CIAT (Alliance)</v>
      </c>
      <c r="C25" s="4" t="str">
        <v>Colombia</v>
      </c>
      <c r="D25" s="5">
        <v>20</v>
      </c>
      <c r="E25" s="4">
        <v>2406</v>
      </c>
    </row>
    <row r="26" ht="45" customHeight="1">
      <c r="A26" s="4" t="str">
        <v>AOW04: Governance, Institutions, Policy, and Inclusion</v>
      </c>
      <c r="B26" s="4" t="str">
        <v>CIAT (Alliance)</v>
      </c>
      <c r="C26" s="4" t="str">
        <v>Ethiopia</v>
      </c>
      <c r="D26" s="5">
        <v>5</v>
      </c>
      <c r="E26" s="4">
        <v>2408</v>
      </c>
    </row>
    <row r="27" ht="45" customHeight="1">
      <c r="A27" s="4" t="str">
        <v>AOW04: Governance, Institutions, Policy, and Inclusion</v>
      </c>
      <c r="B27" s="4" t="str">
        <v>CIAT (Alliance)</v>
      </c>
      <c r="C27" s="4" t="str">
        <v>Kenya</v>
      </c>
      <c r="D27" s="5">
        <v>50</v>
      </c>
      <c r="E27" s="4">
        <v>2404</v>
      </c>
    </row>
    <row r="28" ht="45" customHeight="1">
      <c r="A28" s="4" t="str">
        <v>AOW04: Governance, Institutions, Policy, and Inclusion</v>
      </c>
      <c r="B28" s="4" t="str">
        <v>CIAT (Alliance)</v>
      </c>
      <c r="C28" s="4" t="str">
        <v>Peru</v>
      </c>
      <c r="D28" s="5">
        <v>20</v>
      </c>
      <c r="E28" s="4">
        <v>2405</v>
      </c>
    </row>
    <row r="29" ht="45" customHeight="1">
      <c r="A29" s="4" t="str">
        <v>AOW04: Governance, Institutions, Policy, and Inclusion</v>
      </c>
      <c r="B29" s="4" t="str">
        <v>CIAT (Alliance)</v>
      </c>
      <c r="C29" s="4" t="str">
        <v>Senegal</v>
      </c>
      <c r="D29" s="5">
        <v>5</v>
      </c>
      <c r="E29" s="4">
        <v>2407</v>
      </c>
    </row>
    <row r="30" ht="45" customHeight="1">
      <c r="A30" s="8" t="str">
        <v>AOW05: Performance Assessments &amp; Evidence Generation</v>
      </c>
      <c r="B30" s="4" t="str">
        <v>CIAT (Alliance)</v>
      </c>
      <c r="C30" s="4" t="str">
        <v>Colombia</v>
      </c>
      <c r="D30" s="5">
        <v>25</v>
      </c>
      <c r="E30" s="4">
        <v>2409</v>
      </c>
    </row>
    <row r="31" ht="45" customHeight="1">
      <c r="A31" s="4" t="str">
        <v>AOW05: Performance Assessments &amp; Evidence Generation</v>
      </c>
      <c r="B31" s="4" t="str">
        <v>CIAT (Alliance)</v>
      </c>
      <c r="C31" s="4" t="str">
        <v>Ethiopia</v>
      </c>
      <c r="D31" s="5">
        <v>10</v>
      </c>
      <c r="E31" s="4">
        <v>2413</v>
      </c>
    </row>
    <row r="32" ht="45" customHeight="1">
      <c r="A32" s="4" t="str">
        <v>AOW05: Performance Assessments &amp; Evidence Generation</v>
      </c>
      <c r="B32" s="4" t="str">
        <v>CIAT (Alliance)</v>
      </c>
      <c r="C32" s="4" t="str">
        <v>Kenya</v>
      </c>
      <c r="D32" s="5">
        <v>25</v>
      </c>
      <c r="E32" s="4">
        <v>2410</v>
      </c>
    </row>
    <row r="33" ht="45" customHeight="1">
      <c r="A33" s="4" t="str">
        <v>AOW05: Performance Assessments &amp; Evidence Generation</v>
      </c>
      <c r="B33" s="4" t="str">
        <v>CIAT (Alliance)</v>
      </c>
      <c r="C33" s="4" t="str">
        <v>Lao People's Democratic Republic</v>
      </c>
      <c r="D33" s="5">
        <v>5</v>
      </c>
      <c r="E33" s="4">
        <v>2414</v>
      </c>
    </row>
    <row r="34" ht="45" customHeight="1">
      <c r="A34" s="4" t="str">
        <v>AOW05: Performance Assessments &amp; Evidence Generation</v>
      </c>
      <c r="B34" s="4" t="str">
        <v>CIAT (Alliance)</v>
      </c>
      <c r="C34" s="4" t="str">
        <v>Peru</v>
      </c>
      <c r="D34" s="5">
        <v>25</v>
      </c>
      <c r="E34" s="4">
        <v>2411</v>
      </c>
    </row>
    <row r="35" ht="45" customHeight="1">
      <c r="A35" s="4" t="str">
        <v>AOW05: Performance Assessments &amp; Evidence Generation</v>
      </c>
      <c r="B35" s="4" t="str">
        <v>CIAT (Alliance)</v>
      </c>
      <c r="C35" s="4" t="str">
        <v>Senegal</v>
      </c>
      <c r="D35" s="5">
        <v>10</v>
      </c>
      <c r="E35" s="4">
        <v>2412</v>
      </c>
    </row>
  </sheetData>
  <mergeCells count="6">
    <mergeCell ref="A2"/>
    <mergeCell ref="A3:A9"/>
    <mergeCell ref="A10:A16"/>
    <mergeCell ref="A17:A24"/>
    <mergeCell ref="A25:A29"/>
    <mergeCell ref="A30:A35"/>
  </mergeCells>
  <ignoredErrors>
    <ignoredError numberStoredAsText="1" sqref="A1:E35"/>
  </ignoredErrors>
</worksheet>
</file>

<file path=xl/worksheets/sheet9.xml><?xml version="1.0" encoding="utf-8"?>
<worksheet xmlns="http://schemas.openxmlformats.org/spreadsheetml/2006/main" xmlns:r="http://schemas.openxmlformats.org/officeDocument/2006/relationships">
  <dimension ref="A1:F3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CIAT (Alliance)</v>
      </c>
      <c r="C2" s="4" t="str">
        <v>Cambodia</v>
      </c>
      <c r="D2" s="4" t="str">
        <v>country</v>
      </c>
      <c r="E2" s="5">
        <v>4</v>
      </c>
      <c r="F2" s="4">
        <v>1582</v>
      </c>
    </row>
    <row r="3" ht="45" customHeight="1">
      <c r="A3" s="4" t="str">
        <v>AOW00: Cross Cutting</v>
      </c>
      <c r="B3" s="4" t="str">
        <v>CIAT (Alliance)</v>
      </c>
      <c r="C3" s="4" t="str">
        <v>Colombia</v>
      </c>
      <c r="D3" s="4" t="str">
        <v>country</v>
      </c>
      <c r="E3" s="5">
        <v>10</v>
      </c>
      <c r="F3" s="4">
        <v>1583</v>
      </c>
    </row>
    <row r="4" ht="45" customHeight="1">
      <c r="A4" s="4" t="str">
        <v>AOW00: Cross Cutting</v>
      </c>
      <c r="B4" s="4" t="str">
        <v>CIAT (Alliance)</v>
      </c>
      <c r="C4" s="4" t="str">
        <v>Côte d'Ivoire</v>
      </c>
      <c r="D4" s="4" t="str">
        <v>country</v>
      </c>
      <c r="E4" s="5">
        <v>7</v>
      </c>
      <c r="F4" s="4">
        <v>1584</v>
      </c>
    </row>
    <row r="5" ht="45" customHeight="1">
      <c r="A5" s="4" t="str">
        <v>AOW00: Cross Cutting</v>
      </c>
      <c r="B5" s="4" t="str">
        <v>CIAT (Alliance)</v>
      </c>
      <c r="C5" s="4" t="str">
        <v>Ethiopia</v>
      </c>
      <c r="D5" s="4" t="str">
        <v>country</v>
      </c>
      <c r="E5" s="5">
        <v>7</v>
      </c>
      <c r="F5" s="4">
        <v>1585</v>
      </c>
    </row>
    <row r="6" ht="45" customHeight="1">
      <c r="A6" s="4" t="str">
        <v>AOW00: Cross Cutting</v>
      </c>
      <c r="B6" s="4" t="str">
        <v>CIAT (Alliance)</v>
      </c>
      <c r="C6" s="4" t="str">
        <v>India</v>
      </c>
      <c r="D6" s="4" t="str">
        <v>country</v>
      </c>
      <c r="E6" s="5">
        <v>10</v>
      </c>
      <c r="F6" s="4">
        <v>1586</v>
      </c>
    </row>
    <row r="7" ht="45" customHeight="1">
      <c r="A7" s="4" t="str">
        <v>AOW00: Cross Cutting</v>
      </c>
      <c r="B7" s="4" t="str">
        <v>CIAT (Alliance)</v>
      </c>
      <c r="C7" s="4" t="str">
        <v>Kenya</v>
      </c>
      <c r="D7" s="4" t="str">
        <v>country</v>
      </c>
      <c r="E7" s="5">
        <v>10</v>
      </c>
      <c r="F7" s="4">
        <v>1587</v>
      </c>
    </row>
    <row r="8" ht="45" customHeight="1">
      <c r="A8" s="4" t="str">
        <v>AOW00: Cross Cutting</v>
      </c>
      <c r="B8" s="4" t="str">
        <v>CIAT (Alliance)</v>
      </c>
      <c r="C8" s="4" t="str">
        <v>Lao People's Democratic Republic</v>
      </c>
      <c r="D8" s="4" t="str">
        <v>country</v>
      </c>
      <c r="E8" s="5">
        <v>4</v>
      </c>
      <c r="F8" s="4">
        <v>1588</v>
      </c>
    </row>
    <row r="9" ht="45" customHeight="1">
      <c r="A9" s="4" t="str">
        <v>AOW00: Cross Cutting</v>
      </c>
      <c r="B9" s="4" t="str">
        <v>CIAT (Alliance)</v>
      </c>
      <c r="C9" s="4" t="str">
        <v>Peru</v>
      </c>
      <c r="D9" s="4" t="str">
        <v>country</v>
      </c>
      <c r="E9" s="5">
        <v>10</v>
      </c>
      <c r="F9" s="4">
        <v>1589</v>
      </c>
    </row>
    <row r="10" ht="45" customHeight="1">
      <c r="A10" s="4" t="str">
        <v>AOW00: Cross Cutting</v>
      </c>
      <c r="B10" s="4" t="str">
        <v>CIAT (Alliance)</v>
      </c>
      <c r="C10" s="4" t="str">
        <v>Senegal</v>
      </c>
      <c r="D10" s="4" t="str">
        <v>country</v>
      </c>
      <c r="E10" s="5">
        <v>7</v>
      </c>
      <c r="F10" s="4">
        <v>1590</v>
      </c>
    </row>
    <row r="11" ht="45" customHeight="1">
      <c r="A11" s="4" t="str">
        <v>AOW00: Cross Cutting</v>
      </c>
      <c r="B11" s="4" t="str">
        <v>CIAT (Alliance)</v>
      </c>
      <c r="C11" s="4" t="str">
        <v>Tanzania</v>
      </c>
      <c r="D11" s="4" t="str">
        <v>country</v>
      </c>
      <c r="E11" s="5">
        <v>7</v>
      </c>
      <c r="F11" s="4">
        <v>1591</v>
      </c>
    </row>
    <row r="12" ht="45" customHeight="1">
      <c r="A12" s="4" t="str">
        <v>AOW00: Cross Cutting</v>
      </c>
      <c r="B12" s="4" t="str">
        <v>CIAT (Alliance)</v>
      </c>
      <c r="C12" s="4" t="str">
        <v>The Socialist Republic of Viet Nam</v>
      </c>
      <c r="D12" s="4" t="str">
        <v>country</v>
      </c>
      <c r="E12" s="5">
        <v>4</v>
      </c>
      <c r="F12" s="4">
        <v>1592</v>
      </c>
    </row>
    <row r="13" ht="45" customHeight="1">
      <c r="A13" s="4" t="str">
        <v>AOW00: Cross Cutting</v>
      </c>
      <c r="B13" s="4" t="str">
        <v>CIAT (Alliance)</v>
      </c>
      <c r="C13" s="4" t="str">
        <v>Tunisia</v>
      </c>
      <c r="D13" s="4" t="str">
        <v>country</v>
      </c>
      <c r="E13" s="5">
        <v>10</v>
      </c>
      <c r="F13" s="4">
        <v>1593</v>
      </c>
    </row>
    <row r="14" ht="45" customHeight="1">
      <c r="A14" s="4" t="str">
        <v>AOW00: Cross Cutting</v>
      </c>
      <c r="B14" s="4" t="str">
        <v>CIAT (Alliance)</v>
      </c>
      <c r="C14" s="4" t="str">
        <v>Zimbabwe</v>
      </c>
      <c r="D14" s="4" t="str">
        <v>country</v>
      </c>
      <c r="E14" s="5">
        <v>10</v>
      </c>
      <c r="F14" s="4">
        <v>1594</v>
      </c>
    </row>
    <row r="15" ht="45" customHeight="1">
      <c r="A15" s="8" t="str">
        <v>AOW01: Agroecology+ Solutions &amp; Innovations</v>
      </c>
      <c r="B15" s="4" t="str">
        <v>CIAT (Alliance)</v>
      </c>
      <c r="C15" s="4" t="str">
        <v>Cambodia</v>
      </c>
      <c r="D15" s="4" t="str">
        <v>country</v>
      </c>
      <c r="E15" s="5">
        <v>0</v>
      </c>
      <c r="F15" s="4">
        <v>1282</v>
      </c>
    </row>
    <row r="16" ht="45" customHeight="1">
      <c r="A16" s="4" t="str">
        <v>AOW01: Agroecology+ Solutions &amp; Innovations</v>
      </c>
      <c r="B16" s="4" t="str">
        <v>CIAT (Alliance)</v>
      </c>
      <c r="C16" s="4" t="str">
        <v>Colombia</v>
      </c>
      <c r="D16" s="4" t="str">
        <v>country</v>
      </c>
      <c r="E16" s="5">
        <v>30</v>
      </c>
      <c r="F16" s="4">
        <v>1283</v>
      </c>
    </row>
    <row r="17" ht="45" customHeight="1">
      <c r="A17" s="4" t="str">
        <v>AOW01: Agroecology+ Solutions &amp; Innovations</v>
      </c>
      <c r="B17" s="4" t="str">
        <v>CIAT (Alliance)</v>
      </c>
      <c r="C17" s="4" t="str">
        <v>Ethiopia</v>
      </c>
      <c r="D17" s="4" t="str">
        <v>country</v>
      </c>
      <c r="E17" s="5">
        <v>10</v>
      </c>
      <c r="F17" s="4">
        <v>1289</v>
      </c>
    </row>
    <row r="18" ht="45" customHeight="1">
      <c r="A18" s="4" t="str">
        <v>AOW01: Agroecology+ Solutions &amp; Innovations</v>
      </c>
      <c r="B18" s="4" t="str">
        <v>CIAT (Alliance)</v>
      </c>
      <c r="C18" s="4" t="str">
        <v>India</v>
      </c>
      <c r="D18" s="4" t="str">
        <v>country</v>
      </c>
      <c r="E18" s="5">
        <v>0</v>
      </c>
      <c r="F18" s="4">
        <v>1284</v>
      </c>
    </row>
    <row r="19" ht="45" customHeight="1">
      <c r="A19" s="4" t="str">
        <v>AOW01: Agroecology+ Solutions &amp; Innovations</v>
      </c>
      <c r="B19" s="4" t="str">
        <v>CIAT (Alliance)</v>
      </c>
      <c r="C19" s="4" t="str">
        <v>Kenya</v>
      </c>
      <c r="D19" s="4" t="str">
        <v>country</v>
      </c>
      <c r="E19" s="5">
        <v>40</v>
      </c>
      <c r="F19" s="4">
        <v>1285</v>
      </c>
    </row>
    <row r="20" ht="45" customHeight="1">
      <c r="A20" s="4" t="str">
        <v>AOW01: Agroecology+ Solutions &amp; Innovations</v>
      </c>
      <c r="B20" s="4" t="str">
        <v>CIAT (Alliance)</v>
      </c>
      <c r="C20" s="4" t="str">
        <v>Lao People's Democratic Republic</v>
      </c>
      <c r="D20" s="4" t="str">
        <v>country</v>
      </c>
      <c r="E20" s="5">
        <v>0</v>
      </c>
      <c r="F20" s="4">
        <v>1286</v>
      </c>
    </row>
    <row r="21" ht="45" customHeight="1">
      <c r="A21" s="4" t="str">
        <v>AOW01: Agroecology+ Solutions &amp; Innovations</v>
      </c>
      <c r="B21" s="4" t="str">
        <v>CIAT (Alliance)</v>
      </c>
      <c r="C21" s="4" t="str">
        <v>Peru</v>
      </c>
      <c r="D21" s="4" t="str">
        <v>country</v>
      </c>
      <c r="E21" s="5">
        <v>15</v>
      </c>
      <c r="F21" s="4">
        <v>1287</v>
      </c>
    </row>
    <row r="22" ht="45" customHeight="1">
      <c r="A22" s="4" t="str">
        <v>AOW01: Agroecology+ Solutions &amp; Innovations</v>
      </c>
      <c r="B22" s="4" t="str">
        <v>CIAT (Alliance)</v>
      </c>
      <c r="C22" s="4" t="str">
        <v>Senegal</v>
      </c>
      <c r="D22" s="4" t="str">
        <v>country</v>
      </c>
      <c r="E22" s="5">
        <v>5</v>
      </c>
      <c r="F22" s="4">
        <v>1290</v>
      </c>
    </row>
    <row r="23" ht="45" customHeight="1">
      <c r="A23" s="4" t="str">
        <v>AOW01: Agroecology+ Solutions &amp; Innovations</v>
      </c>
      <c r="B23" s="4" t="str">
        <v>CIAT (Alliance)</v>
      </c>
      <c r="C23" s="4" t="str">
        <v>Tanzania</v>
      </c>
      <c r="D23" s="4" t="str">
        <v>country</v>
      </c>
      <c r="E23" s="5">
        <v>0</v>
      </c>
      <c r="F23" s="4">
        <v>1288</v>
      </c>
    </row>
    <row r="24" ht="45" customHeight="1">
      <c r="A24" s="8" t="str">
        <v>AOW02: Landscape Optimization and Inclusive Planning</v>
      </c>
      <c r="B24" s="4" t="str">
        <v>CIAT (Alliance)</v>
      </c>
      <c r="C24" s="4" t="str">
        <v>Colombia</v>
      </c>
      <c r="D24" s="4" t="str">
        <v>country</v>
      </c>
      <c r="E24" s="5">
        <v>30</v>
      </c>
      <c r="F24" s="4">
        <v>1291</v>
      </c>
    </row>
    <row r="25" ht="45" customHeight="1">
      <c r="A25" s="4" t="str">
        <v>AOW02: Landscape Optimization and Inclusive Planning</v>
      </c>
      <c r="B25" s="4" t="str">
        <v>CIAT (Alliance)</v>
      </c>
      <c r="C25" s="4" t="str">
        <v>Ethiopia</v>
      </c>
      <c r="D25" s="4" t="str">
        <v>country</v>
      </c>
      <c r="E25" s="5">
        <v>10</v>
      </c>
      <c r="F25" s="4">
        <v>1292</v>
      </c>
    </row>
    <row r="26" ht="45" customHeight="1">
      <c r="A26" s="4" t="str">
        <v>AOW02: Landscape Optimization and Inclusive Planning</v>
      </c>
      <c r="B26" s="4" t="str">
        <v>CIAT (Alliance)</v>
      </c>
      <c r="C26" s="4" t="str">
        <v>Kenya</v>
      </c>
      <c r="D26" s="4" t="str">
        <v>country</v>
      </c>
      <c r="E26" s="5">
        <v>40</v>
      </c>
      <c r="F26" s="4">
        <v>1293</v>
      </c>
    </row>
    <row r="27" ht="45" customHeight="1">
      <c r="A27" s="4" t="str">
        <v>AOW02: Landscape Optimization and Inclusive Planning</v>
      </c>
      <c r="B27" s="4" t="str">
        <v>CIAT (Alliance)</v>
      </c>
      <c r="C27" s="4" t="str">
        <v>Peru</v>
      </c>
      <c r="D27" s="4" t="str">
        <v>country</v>
      </c>
      <c r="E27" s="5">
        <v>15</v>
      </c>
      <c r="F27" s="4">
        <v>1294</v>
      </c>
    </row>
    <row r="28" ht="45" customHeight="1">
      <c r="A28" s="4" t="str">
        <v>AOW02: Landscape Optimization and Inclusive Planning</v>
      </c>
      <c r="B28" s="4" t="str">
        <v>CIAT (Alliance)</v>
      </c>
      <c r="C28" s="4" t="str">
        <v>Senegal</v>
      </c>
      <c r="D28" s="4" t="str">
        <v>country</v>
      </c>
      <c r="E28" s="5">
        <v>5</v>
      </c>
      <c r="F28" s="4">
        <v>1295</v>
      </c>
    </row>
    <row r="29" ht="45" customHeight="1">
      <c r="A29" s="8" t="str">
        <v>AOW03: Business Models, Markets, and Sustainable Finance</v>
      </c>
      <c r="B29" s="4" t="str">
        <v>CIAT (Alliance)</v>
      </c>
      <c r="C29" s="4" t="str">
        <v>Global</v>
      </c>
      <c r="D29" s="4" t="str">
        <v>global</v>
      </c>
      <c r="E29" s="5">
        <v>100</v>
      </c>
      <c r="F29" s="4">
        <v>1296</v>
      </c>
    </row>
    <row r="30" ht="45" customHeight="1">
      <c r="A30" s="4" t="str">
        <v>AOW03: Business Models, Markets, and Sustainable Finance</v>
      </c>
      <c r="B30" s="4" t="str">
        <v>CIAT (Alliance)</v>
      </c>
      <c r="C30" s="4" t="str">
        <v>Colombia</v>
      </c>
      <c r="D30" s="4" t="str">
        <v>country</v>
      </c>
      <c r="E30" s="5">
        <v>0</v>
      </c>
      <c r="F30" s="4">
        <v>1297</v>
      </c>
    </row>
    <row r="31" ht="45" customHeight="1">
      <c r="A31" s="8" t="str">
        <v>AOW04: Governance, Institutions, Policy, and Inclusion</v>
      </c>
      <c r="B31" s="4" t="str">
        <v>CIAT (Alliance)</v>
      </c>
      <c r="C31" s="4" t="str">
        <v>Colombia</v>
      </c>
      <c r="D31" s="4" t="str">
        <v>country</v>
      </c>
      <c r="E31" s="5">
        <v>20</v>
      </c>
      <c r="F31" s="4">
        <v>1298</v>
      </c>
    </row>
    <row r="32" ht="45" customHeight="1">
      <c r="A32" s="4" t="str">
        <v>AOW04: Governance, Institutions, Policy, and Inclusion</v>
      </c>
      <c r="B32" s="4" t="str">
        <v>CIAT (Alliance)</v>
      </c>
      <c r="C32" s="4" t="str">
        <v>Ethiopia</v>
      </c>
      <c r="D32" s="4" t="str">
        <v>country</v>
      </c>
      <c r="E32" s="5">
        <v>5</v>
      </c>
      <c r="F32" s="4">
        <v>1299</v>
      </c>
    </row>
    <row r="33" ht="45" customHeight="1">
      <c r="A33" s="4" t="str">
        <v>AOW04: Governance, Institutions, Policy, and Inclusion</v>
      </c>
      <c r="B33" s="4" t="str">
        <v>CIAT (Alliance)</v>
      </c>
      <c r="C33" s="4" t="str">
        <v>Kenya</v>
      </c>
      <c r="D33" s="4" t="str">
        <v>country</v>
      </c>
      <c r="E33" s="5">
        <v>50</v>
      </c>
      <c r="F33" s="4">
        <v>1300</v>
      </c>
    </row>
    <row r="34" ht="45" customHeight="1">
      <c r="A34" s="4" t="str">
        <v>AOW04: Governance, Institutions, Policy, and Inclusion</v>
      </c>
      <c r="B34" s="4" t="str">
        <v>CIAT (Alliance)</v>
      </c>
      <c r="C34" s="4" t="str">
        <v>Peru</v>
      </c>
      <c r="D34" s="4" t="str">
        <v>country</v>
      </c>
      <c r="E34" s="5">
        <v>20</v>
      </c>
      <c r="F34" s="4">
        <v>1301</v>
      </c>
    </row>
    <row r="35" ht="45" customHeight="1">
      <c r="A35" s="4" t="str">
        <v>AOW04: Governance, Institutions, Policy, and Inclusion</v>
      </c>
      <c r="B35" s="4" t="str">
        <v>CIAT (Alliance)</v>
      </c>
      <c r="C35" s="4" t="str">
        <v>Senegal</v>
      </c>
      <c r="D35" s="4" t="str">
        <v>country</v>
      </c>
      <c r="E35" s="5">
        <v>5</v>
      </c>
      <c r="F35" s="4">
        <v>1302</v>
      </c>
    </row>
    <row r="36" ht="45" customHeight="1">
      <c r="A36" s="4" t="str">
        <v>AOW04: Governance, Institutions, Policy, and Inclusion</v>
      </c>
      <c r="B36" s="4" t="str">
        <v>CIAT (Alliance)</v>
      </c>
      <c r="C36" s="4" t="str">
        <v>The Socialist Republic of Viet Nam</v>
      </c>
      <c r="D36" s="4" t="str">
        <v>country</v>
      </c>
      <c r="E36" s="5">
        <v>0</v>
      </c>
      <c r="F36" s="4">
        <v>1303</v>
      </c>
    </row>
    <row r="37" ht="45" customHeight="1">
      <c r="A37" s="8" t="str">
        <v>AOW05: Performance Assessments &amp; Evidence Generation</v>
      </c>
      <c r="B37" s="4" t="str">
        <v>CIAT (Alliance)</v>
      </c>
      <c r="C37" s="4" t="str">
        <v>Global</v>
      </c>
      <c r="D37" s="4" t="str">
        <v>global</v>
      </c>
      <c r="E37" s="5">
        <v>100</v>
      </c>
      <c r="F37" s="4">
        <v>1304</v>
      </c>
    </row>
  </sheetData>
  <mergeCells count="6">
    <mergeCell ref="A2:A14"/>
    <mergeCell ref="A15:A23"/>
    <mergeCell ref="A24:A28"/>
    <mergeCell ref="A29:A30"/>
    <mergeCell ref="A31:A36"/>
    <mergeCell ref="A37"/>
  </mergeCells>
  <ignoredErrors>
    <ignoredError numberStoredAsText="1" sqref="A1:F37"/>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