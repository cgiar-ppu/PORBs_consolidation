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50417</v>
      </c>
      <c r="K4" s="5">
        <v>50417</v>
      </c>
      <c r="L4" s="5">
        <v>0</v>
      </c>
      <c r="M4" s="5">
        <v>0</v>
      </c>
      <c r="N4" s="4">
        <v>219</v>
      </c>
    </row>
    <row r="5" ht="20" customHeight="1">
      <c r="A5" s="4" t="str">
        <v>AOW01: Data Ecosystem</v>
      </c>
      <c r="B5" s="5">
        <v>0</v>
      </c>
      <c r="C5" s="5">
        <v>0</v>
      </c>
      <c r="D5" s="5">
        <v>5</v>
      </c>
      <c r="E5" s="5">
        <v>50000</v>
      </c>
      <c r="F5" s="5">
        <v>0</v>
      </c>
      <c r="G5" s="5">
        <v>0</v>
      </c>
      <c r="H5" s="5">
        <v>0</v>
      </c>
      <c r="I5" s="5">
        <v>0</v>
      </c>
      <c r="J5" s="5">
        <v>50000</v>
      </c>
      <c r="K5" s="5">
        <v>50000</v>
      </c>
      <c r="L5" s="5">
        <v>0</v>
      </c>
      <c r="M5" s="5">
        <v>0</v>
      </c>
      <c r="N5" s="4">
        <v>215</v>
      </c>
    </row>
    <row r="6" ht="20" customHeight="1">
      <c r="A6" s="4" t="str">
        <v>AOW02: Action Lab</v>
      </c>
      <c r="B6" s="5">
        <v>2</v>
      </c>
      <c r="C6" s="5">
        <v>150261</v>
      </c>
      <c r="D6" s="5">
        <v>2</v>
      </c>
      <c r="E6" s="5">
        <v>175000</v>
      </c>
      <c r="F6" s="5">
        <v>0</v>
      </c>
      <c r="G6" s="5">
        <v>0</v>
      </c>
      <c r="H6" s="5">
        <v>0</v>
      </c>
      <c r="I6" s="5">
        <v>0</v>
      </c>
      <c r="J6" s="5">
        <v>325261</v>
      </c>
      <c r="K6" s="5">
        <v>325261</v>
      </c>
      <c r="L6" s="5">
        <v>0</v>
      </c>
      <c r="M6" s="5">
        <v>0</v>
      </c>
      <c r="N6" s="4">
        <v>216</v>
      </c>
    </row>
    <row r="7" ht="20" customHeight="1">
      <c r="A7" s="4" t="str">
        <v>AOW03: Digital Futures</v>
      </c>
      <c r="B7" s="5">
        <v>3</v>
      </c>
      <c r="C7" s="5">
        <v>92168</v>
      </c>
      <c r="D7" s="5">
        <v>2</v>
      </c>
      <c r="E7" s="5">
        <v>25999</v>
      </c>
      <c r="F7" s="5">
        <v>0</v>
      </c>
      <c r="G7" s="5">
        <v>0</v>
      </c>
      <c r="H7" s="5">
        <v>0</v>
      </c>
      <c r="I7" s="5">
        <v>0</v>
      </c>
      <c r="J7" s="5">
        <v>118167</v>
      </c>
      <c r="K7" s="5">
        <v>118167</v>
      </c>
      <c r="L7" s="5">
        <v>0</v>
      </c>
      <c r="M7" s="5">
        <v>0</v>
      </c>
      <c r="N7" s="4">
        <v>218</v>
      </c>
    </row>
    <row r="8" ht="20" customHeight="1">
      <c r="A8" s="4" t="str">
        <v>AOW04: Enabling Environment</v>
      </c>
      <c r="B8" s="5">
        <v>0</v>
      </c>
      <c r="C8" s="5">
        <v>0</v>
      </c>
      <c r="D8" s="5">
        <v>5</v>
      </c>
      <c r="E8" s="5">
        <v>94819</v>
      </c>
      <c r="F8" s="5">
        <v>58</v>
      </c>
      <c r="G8" s="5">
        <v>30000</v>
      </c>
      <c r="H8" s="5">
        <v>1</v>
      </c>
      <c r="I8" s="5">
        <v>10000</v>
      </c>
      <c r="J8" s="5">
        <v>134819</v>
      </c>
      <c r="K8" s="5">
        <v>134819</v>
      </c>
      <c r="L8" s="5">
        <v>0</v>
      </c>
      <c r="M8" s="5">
        <v>0</v>
      </c>
      <c r="N8" s="4">
        <v>217</v>
      </c>
    </row>
    <row r="9" ht="25" customHeight="1">
      <c r="A9" s="6" t="str">
        <v>Total</v>
      </c>
      <c r="B9" s="7" t="str">
        <v/>
      </c>
      <c r="C9" s="7">
        <v>242429</v>
      </c>
      <c r="D9" s="7" t="str">
        <v/>
      </c>
      <c r="E9" s="7">
        <v>345818</v>
      </c>
      <c r="F9" s="7" t="str">
        <v/>
      </c>
      <c r="G9" s="7">
        <v>30000</v>
      </c>
      <c r="H9" s="7" t="str">
        <v/>
      </c>
      <c r="I9" s="7">
        <v>10000</v>
      </c>
      <c r="J9" s="7">
        <v>678664</v>
      </c>
      <c r="K9" s="7">
        <v>678664</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Data Ecosystem</v>
      </c>
      <c r="B3" s="4" t="str">
        <v>IWMI</v>
      </c>
      <c r="C3" s="4" t="str">
        <v>HLO 1.1: Developed integrated data infrastructure, tools, and standards to enable creation, discovery, and analysis of FAIR, AI-ready data and AI solutions.</v>
      </c>
      <c r="D3" s="4" t="str">
        <v>Number of guidelines, training material and other support documents to foster and change culture around the creation, collection, analysis and ethical use of FAIR and AI-ready data and digital solutions.</v>
      </c>
      <c r="E3" s="4" t="str">
        <v>Number of knowledge products</v>
      </c>
      <c r="F3" s="4" t="str">
        <v>Sri Lanka, Mexico, India, Pakistan, Peru, South Africa, Philippines, Kenya, Rwanda, Tanzania, United Republic</v>
      </c>
      <c r="G3" s="5">
        <v>2</v>
      </c>
      <c r="H3" s="5">
        <v>14000</v>
      </c>
      <c r="I3" s="4" t="str" xml:space="preserve">
        <v xml:space="preserve">"""Fragmentation persists due to lack of alignment among centers.
High cost or complexity of upgrading tools and workflows.
Resistance to change or insufficient training leading to poor adoption."""
</v>
      </c>
      <c r="J3" s="4">
        <v>7254</v>
      </c>
    </row>
    <row r="4" ht="50" customHeight="1" xml:space="preserve">
      <c r="A4" s="4" t="str">
        <v>AOW01: Data Ecosystem</v>
      </c>
      <c r="B4" s="4" t="str">
        <v>IWMI</v>
      </c>
      <c r="C4" s="4" t="str">
        <v xml:space="preserve">HLO 1.2: Established standards-compliant FAIR data corpus enabling an open, secure analytics ecosystem. </v>
      </c>
      <c r="D4" s="4" t="str">
        <v>Number of standardized, FAIR and AI-ready datasets.</v>
      </c>
      <c r="E4" s="4" t="str">
        <v>Number of knowledge products</v>
      </c>
      <c r="F4" s="4" t="str">
        <v>Timor-Leste, Zambia, Kenya, Nigeria, Colombia, Pakistan, Mexico, India, Sri Lanka, Philippines, Peru, United States of America, Malaysia, Ghana, South Africa, Côte d'Ivoire</v>
      </c>
      <c r="G4" s="5">
        <v>2</v>
      </c>
      <c r="H4" s="5">
        <v>16000</v>
      </c>
      <c r="I4" s="4" t="str" xml:space="preserve">
        <v xml:space="preserve">"""Fragmentation persists due to lack of alignment among centers.
High cost or complexity of upgrading tools and workflows.
Resistance to change or insufficient training leading to poor adoption."""
</v>
      </c>
      <c r="J4" s="4">
        <v>7258</v>
      </c>
    </row>
    <row r="5" ht="50" customHeight="1" xml:space="preserve">
      <c r="A5" s="4" t="str">
        <v>AOW01: Data Ecosystem</v>
      </c>
      <c r="B5" s="4" t="str">
        <v>IWMI</v>
      </c>
      <c r="C5" s="4" t="str">
        <v>HLO 1.3: Established governance strategies and frameworks to strengthen data and digital management and drive culture change across CGIAR Centers.</v>
      </c>
      <c r="D5" s="4" t="str">
        <v>Number of governance and incentive strategies and frameworks on data &amp; digital management and culture change at CGIAR level</v>
      </c>
      <c r="E5" s="4" t="str">
        <v>Number of knowledge products</v>
      </c>
      <c r="F5" s="4" t="str">
        <v>Côte d'Ivoire, Sri Lanka, Pakistan, Philippines, United States of America, Peru, India, Egypt, Mexico, Malaysia, South Africa, Kenya, France</v>
      </c>
      <c r="G5" s="5">
        <v>1</v>
      </c>
      <c r="H5" s="5">
        <v>20000</v>
      </c>
      <c r="I5" s="4" t="str" xml:space="preserve">
        <v xml:space="preserve">"""Delays in policy approval or inconsistent adoption across centers.
Regulatory changes or data privacy concerns impacting implementation.
Limited staff capacity for training and compliance monitoring."""
</v>
      </c>
      <c r="J5" s="4">
        <v>7273</v>
      </c>
    </row>
    <row r="6" ht="25" customHeight="1">
      <c r="C6" s="9" t="str">
        <v>HLO budget subtotal</v>
      </c>
      <c r="H6" s="9">
        <v>50000</v>
      </c>
      <c r="J6" s="9" t="str">
        <v/>
      </c>
    </row>
    <row r="7" ht="50" customHeight="1" xml:space="preserve">
      <c r="A7" s="8" t="str">
        <v>AOW02: Action Lab</v>
      </c>
      <c r="B7" s="4" t="str">
        <v>IWMI</v>
      </c>
      <c r="C7" s="4" t="str">
        <v>HLO 2.1: Research integrates AI analytics, remote sensing, and digital technologies to enhance modeling, evidence generation, and environmental monitoring at scale.</v>
      </c>
      <c r="D7" s="4" t="str">
        <v>IWMI 8: Number of operational platforms enabling access and analytics of water availability and crop demand datasets</v>
      </c>
      <c r="E7" s="4" t="str">
        <v>Number of innovations (innovation development)</v>
      </c>
      <c r="F7" s="4" t="str">
        <v>India, Sri Lanka, South Africa</v>
      </c>
      <c r="G7" s="5">
        <v>1</v>
      </c>
      <c r="H7" s="5">
        <v>100261</v>
      </c>
      <c r="I7" s="4" t="str" xml:space="preserve">
        <v xml:space="preserve">Low partner engagement or incomplete data submissions.
Complexity in harmonizing diverse innovation datasets.
Risk of underutilization if adoption by stakeholders is slow.
</v>
      </c>
      <c r="J7" s="4">
        <v>6468</v>
      </c>
    </row>
    <row r="8" ht="50" customHeight="1" xml:space="preserve">
      <c r="B8" s="4" t="str">
        <v>IWMI</v>
      </c>
      <c r="D8" s="4" t="str">
        <v>Number of geospatial use cases, including datasets, documentation, and intended outcome</v>
      </c>
      <c r="E8" s="4" t="str">
        <v>Number of knowledge products</v>
      </c>
      <c r="F8" s="4" t="str">
        <v>United States of America, Tanzania, United Republic, Kenya, Malaysia, Mexico, India, Nigeria, Ghana, Sri Lanka, Mozambique, Peru, Colombia, Philippines, Rwanda, Ethiopia</v>
      </c>
      <c r="G8" s="5">
        <v>1</v>
      </c>
      <c r="H8" s="5">
        <v>35000</v>
      </c>
      <c r="I8" s="4" t="str" xml:space="preserve">
        <v xml:space="preserve">The successful delivery depends on identification of proper geospatial use case and smooth coordination within the CSI community and with all participating CG centers. 
</v>
      </c>
      <c r="J8" s="4">
        <v>7347</v>
      </c>
    </row>
    <row r="9" ht="50" customHeight="1" xml:space="preserve">
      <c r="A9" s="4" t="str">
        <v>AOW02: Action Lab</v>
      </c>
      <c r="B9" s="4" t="str">
        <v>IWMI</v>
      </c>
      <c r="C9" s="4" t="str">
        <v>HLO 2.2: Decision support systems integrate (near-)real-time, including digital twin approaches, to enable evidence-based management decisions.</v>
      </c>
      <c r="D9" s="4" t="str" xml:space="preserve">
        <v xml:space="preserve">IWMI 6: Number of infrastructure setups deployed to support an AI flood analytics assistant for multi-actor flood response
</v>
      </c>
      <c r="E9" s="4" t="str">
        <v>Number of innovations (innovation development)</v>
      </c>
      <c r="F9" s="4" t="str">
        <v>South Africa, Ethiopia, Sri Lanka</v>
      </c>
      <c r="G9" s="5">
        <v>1</v>
      </c>
      <c r="H9" s="5">
        <v>50000</v>
      </c>
      <c r="I9" s="4" t="str" xml:space="preserve">
        <v xml:space="preserve">Technical challenges in model development or data interoperability.
Delays in validation or scaling due to resource constraints.
High costs for hardware/software upgrades or unforeseen technical dependencies.
</v>
      </c>
      <c r="J9" s="4">
        <v>6479</v>
      </c>
    </row>
    <row r="10" ht="50" customHeight="1" xml:space="preserve">
      <c r="B10" s="4" t="str">
        <v>IWMI</v>
      </c>
      <c r="D10" s="4" t="str" xml:space="preserve">
        <v xml:space="preserve">IWMI 5: Number of knowledge products produced to operationalize the AI-enabled Digital Twin for multi-agency flood response
</v>
      </c>
      <c r="E10" s="4" t="str">
        <v>Number of knowledge products</v>
      </c>
      <c r="F10" s="4" t="str">
        <v>Sri Lanka, Ethiopia, South Africa</v>
      </c>
      <c r="G10" s="5">
        <v>1</v>
      </c>
      <c r="H10" s="5">
        <v>140000</v>
      </c>
      <c r="I10" s="4" t="str" xml:space="preserve">
        <v xml:space="preserve">Technical challenges in model development or data interoperability.
Delays in validation or scaling due to resource constraints.
High costs for hardware/software upgrades or unforeseen technical dependencies.
</v>
      </c>
      <c r="J10" s="4">
        <v>6480</v>
      </c>
    </row>
    <row r="11" ht="25" customHeight="1">
      <c r="C11" s="9" t="str">
        <v>HLO budget subtotal</v>
      </c>
      <c r="H11" s="9">
        <v>325261</v>
      </c>
      <c r="J11" s="9" t="str">
        <v/>
      </c>
    </row>
    <row r="12" ht="50" customHeight="1" xml:space="preserve">
      <c r="A12" s="8" t="str">
        <v>AOW03: Digital Futures</v>
      </c>
      <c r="B12" s="4" t="str">
        <v>IWMI</v>
      </c>
      <c r="C12" s="4" t="str">
        <v>HLO 3.2: Future case scenarios identified for digital transformation in FWL systems in addressing context-specific challenges and opportunities.</v>
      </c>
      <c r="D12" s="4" t="str">
        <v>IWMI 9: Number of integrated platforms or systems enabling secure, FAIR, and AI-ready data access and analytics.</v>
      </c>
      <c r="E12" s="4" t="str">
        <v>Number of innovations (innovation development)</v>
      </c>
      <c r="F12" s="4" t="str">
        <v>Sri Lanka</v>
      </c>
      <c r="G12" s="5">
        <v>1</v>
      </c>
      <c r="H12" s="5">
        <v>65848</v>
      </c>
      <c r="I12" s="4" t="str" xml:space="preserve">
        <v xml:space="preserve">Technical challenges in interoperability and model accuracy.
Ethical concerns or compliance issues delaying deployment.
High costs for scaling and maintaining AI infrastructure.
</v>
      </c>
      <c r="J12" s="4">
        <v>6293</v>
      </c>
    </row>
    <row r="13" ht="50" customHeight="1" xml:space="preserve">
      <c r="B13" s="4" t="str">
        <v>IWMI</v>
      </c>
      <c r="D13" s="4" t="str">
        <v>IWMI 12: Number of foresight briefs developed to identify strategic risks and opportunities, and contributes to a joint synthesis linking foresight insights to CGIAR’s portfolio and communication strategy.</v>
      </c>
      <c r="E13" s="4" t="str">
        <v>Number of knowledge products</v>
      </c>
      <c r="F13" s="4" t="str">
        <v>Sri Lanka</v>
      </c>
      <c r="G13" s="5">
        <v>1</v>
      </c>
      <c r="H13" s="5">
        <v>13015</v>
      </c>
      <c r="I13" s="4" t="str" xml:space="preserve">
        <v xml:space="preserve">Low participation or lack of consensus on future scenarios.
Difficulty translating foresight outputs into operational plans.
Budget constraints limiting dissemination and scaling of insights.
</v>
      </c>
      <c r="J13" s="4">
        <v>6299</v>
      </c>
    </row>
    <row r="14" ht="50" customHeight="1" xml:space="preserve">
      <c r="B14" s="4" t="str">
        <v>IWMI</v>
      </c>
      <c r="D14" s="4" t="str">
        <v>IWMI 13: The number joint scenario synthesis reports  produced to inform institutional planning, foresight communication, and donor engagement.</v>
      </c>
      <c r="E14" s="4" t="str">
        <v>Number of knowledge products</v>
      </c>
      <c r="F14" s="4" t="str">
        <v>Sri Lanka</v>
      </c>
      <c r="G14" s="5">
        <v>1</v>
      </c>
      <c r="H14" s="5">
        <v>12984</v>
      </c>
      <c r="I14" s="4" t="str" xml:space="preserve">
        <v xml:space="preserve">Low participation or lack of consensus on future scenarios.
Difficulty translating foresight outputs into operational plans.
Budget constraints limiting dissemination and scaling of insights.
</v>
      </c>
      <c r="J14" s="4">
        <v>6300</v>
      </c>
    </row>
    <row r="15" ht="50" customHeight="1" xml:space="preserve">
      <c r="A15" s="4" t="str">
        <v>AOW03: Digital Futures</v>
      </c>
      <c r="B15" s="4" t="str">
        <v>IWMI</v>
      </c>
      <c r="C15" s="4" t="str">
        <v>HLO 3.1: Probes of a wide range of AI and/or other novel digital solutions to generate early evidence on digital frontier technology impacts, for decision making.</v>
      </c>
      <c r="D15" s="4" t="str">
        <v>IWMI 11: Number of Probes developed on Accelerate Conversational AI(Water Co-pilot) with Digital Humans.</v>
      </c>
      <c r="E15" s="4" t="str">
        <v>Number of innovations (innovation development)</v>
      </c>
      <c r="F15" s="4" t="str">
        <v>Sri Lanka</v>
      </c>
      <c r="G15" s="5">
        <v>1</v>
      </c>
      <c r="H15" s="5">
        <v>13015</v>
      </c>
      <c r="I15" s="4" t="str" xml:space="preserve">
        <v xml:space="preserve">Rapid tech evolution may render probes obsolete before scaling.
Limited funding for follow-up pilots or prototypes.
Ethical or regulatory concerns delaying adoption of identified technologies.
</v>
      </c>
      <c r="J15" s="4">
        <v>6392</v>
      </c>
    </row>
    <row r="16" ht="50" customHeight="1" xml:space="preserve">
      <c r="B16" s="4" t="str">
        <v>IWMI</v>
      </c>
      <c r="D16" s="4" t="str">
        <v>IWMI 10: Number of Probes developed on Immersive Digital Twin for River Basin Management.</v>
      </c>
      <c r="E16" s="4" t="str">
        <v>Number of innovations (innovation development)</v>
      </c>
      <c r="F16" s="4" t="str">
        <v>Sri Lanka</v>
      </c>
      <c r="G16" s="5">
        <v>1</v>
      </c>
      <c r="H16" s="5">
        <v>13305</v>
      </c>
      <c r="I16" s="4" t="str" xml:space="preserve">
        <v xml:space="preserve">Rapid tech evolution may render probes obsolete before scaling.
Limited funding for follow-up pilots or prototypes.
Ethical or regulatory concerns delaying adoption of identified technologies.
</v>
      </c>
      <c r="J16" s="4">
        <v>6393</v>
      </c>
    </row>
    <row r="17" ht="25" customHeight="1">
      <c r="C17" s="9" t="str">
        <v>HLO budget subtotal</v>
      </c>
      <c r="H17" s="9">
        <v>118167</v>
      </c>
      <c r="J17" s="9" t="str">
        <v/>
      </c>
    </row>
    <row r="18" ht="50" customHeight="1" xml:space="preserve">
      <c r="A18" s="8" t="str">
        <v>AOW04: Enabling Environment</v>
      </c>
      <c r="B18" s="4" t="str">
        <v>IWMI</v>
      </c>
      <c r="C18" s="4" t="str">
        <v>HLO 4.2:  Applied tools, frameworks, methods, guidelines and prototypes developed to support responsible, inclusive, and user-centered digital innovation across FLW systems.</v>
      </c>
      <c r="D18" s="4" t="str">
        <v>IWMI 15: Number of knowledge products on responsible AI guidelines directives for IWMI and AI Governance Report for CGIAR.</v>
      </c>
      <c r="E18" s="4" t="str">
        <v>Number of knowledge products</v>
      </c>
      <c r="F18" s="4" t="str">
        <v>Sri Lanka</v>
      </c>
      <c r="G18" s="5">
        <v>2</v>
      </c>
      <c r="H18" s="5">
        <v>10000</v>
      </c>
      <c r="I18" s="4" t="str" xml:space="preserve">
        <v xml:space="preserve">Low participation or lack of continuity in COP activities.
Budget limitations affecting planned events and outputs.
Difficulty measuring impact and adoption of COP outputs.
</v>
      </c>
      <c r="J18" s="4">
        <v>6310</v>
      </c>
    </row>
    <row r="19" ht="50" customHeight="1" xml:space="preserve">
      <c r="B19" s="4" t="str">
        <v>IWMI</v>
      </c>
      <c r="D19" s="4" t="str">
        <v>IWMI 18:Number of knowledge products produced  support responsible AI, knowledge sharing, and effective CoP functioning.</v>
      </c>
      <c r="E19" s="4" t="str">
        <v>Number of knowledge products</v>
      </c>
      <c r="F19" s="4" t="str">
        <v>Ghana, Ethiopia, South Africa, Sri Lanka</v>
      </c>
      <c r="G19" s="5">
        <v>2</v>
      </c>
      <c r="H19" s="5">
        <v>79819</v>
      </c>
      <c r="I19" s="4" t="str" xml:space="preserve">
        <v xml:space="preserve">Assumptions:
Adequate technical and financial resources, along with effective collaboration across centers, will enable the development and dissemination of high-quality knowledge products.
Risks:
Budget limitations may constrain production and dissemination, while weak coordination could lead to duplication or fragmentation, and limited uptake of knowledge products may reduce overall impact.</v>
      </c>
      <c r="J19" s="4">
        <v>6360</v>
      </c>
    </row>
    <row r="20" ht="50" customHeight="1" xml:space="preserve">
      <c r="A20" s="4" t="str">
        <v>AOW04: Enabling Environment</v>
      </c>
      <c r="B20" s="4" t="str">
        <v>IWMI</v>
      </c>
      <c r="C20" s="4" t="str">
        <v>HLO 4.4: Capacity, participation, and organizational readiness strengthened for responsible, human-centered, and sustainable digital innovation across FLW systems.</v>
      </c>
      <c r="D20" s="4" t="str">
        <v>IWMI 14: Number of reports produced by IWMI focal points participating in the COP activities on Human-Centered Design, gender, and digital, delivering capacity-building activities.</v>
      </c>
      <c r="E20" s="4" t="str">
        <v>Number of knowledge products</v>
      </c>
      <c r="F20" s="4" t="str">
        <v>Sri Lanka</v>
      </c>
      <c r="G20" s="5">
        <v>1</v>
      </c>
      <c r="H20" s="5">
        <v>5000</v>
      </c>
      <c r="I20" s="4" t="str" xml:space="preserve">
        <v xml:space="preserve">Uneven participation across centers leading to fragmented outcomes.
Limited funding for sustained capacity-building initiatives.
Risk of duplication if roles and responsibilities are unclear.
</v>
      </c>
      <c r="J20" s="4">
        <v>6311</v>
      </c>
    </row>
    <row r="21" ht="50" customHeight="1" xml:space="preserve">
      <c r="A21" s="4" t="str">
        <v>AOW04: Enabling Environment</v>
      </c>
      <c r="B21" s="4" t="str">
        <v>IWMI</v>
      </c>
      <c r="C21" s="4" t="str">
        <v>HLO 4.1. Communities of practice and collaborative knowledge platforms established to coordinate learning, exchange, and leadership on responsible and inclusive digital innovation across FLW systems.</v>
      </c>
      <c r="D21" s="4" t="str">
        <v>IWMI 19: Number of Communities of Practices (COPs) on Responsible AI (collaboratively with IFPRI) maintained and managed ensuring ongoing member engagement and regular capacity-building activities.</v>
      </c>
      <c r="E21" s="4" t="str">
        <v>custom</v>
      </c>
      <c r="F21" s="4" t="str">
        <v>Sri Lanka</v>
      </c>
      <c r="G21" s="5">
        <v>1</v>
      </c>
      <c r="H21" s="5">
        <v>10000</v>
      </c>
      <c r="I21" s="4" t="str" xml:space="preserve">
        <v xml:space="preserve">Assumptions:
Sustained engagement from IFPRI and participating centers will support active Communities of Practice, with adequate resources available for coordination, facilitation, and regular capacity-building activities.
Risks:
Inconsistent participation and limited ownership across centers may affect continuity, while resource constraints could reduce the frequency and quality of engagement, and maintaining long-term member interest and measurable outcomes may remain challenging.</v>
      </c>
      <c r="J21" s="4">
        <v>6351</v>
      </c>
    </row>
    <row r="22" ht="50" customHeight="1" xml:space="preserve">
      <c r="B22" s="4" t="str">
        <v>IWMI</v>
      </c>
      <c r="D22" s="4" t="str">
        <v>Number of people trained on geospatial foundation models, platforms and/or frameworks</v>
      </c>
      <c r="E22" s="4" t="str">
        <v>Number of people trained (capacity sharing for development)</v>
      </c>
      <c r="F22" s="4" t="str">
        <v>Kenya</v>
      </c>
      <c r="G22" s="5">
        <v>5</v>
      </c>
      <c r="H22" s="5">
        <v>5000</v>
      </c>
      <c r="I22" s="4" t="str" xml:space="preserve">
        <v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v>
      </c>
      <c r="J22" s="4">
        <v>7361</v>
      </c>
    </row>
    <row r="23" ht="50" customHeight="1" xml:space="preserve">
      <c r="B23" s="4" t="str">
        <v>IWMI</v>
      </c>
      <c r="D23" s="4" t="str">
        <v xml:space="preserve">Number of individuals capacitated through consortium workshops on Spatial Information (CSI) to coordinate geospatial analysis across the CGIAR </v>
      </c>
      <c r="E23" s="4" t="str">
        <v>Number of people trained (capacity sharing for development)</v>
      </c>
      <c r="F23" s="4" t="str">
        <v>Kenya</v>
      </c>
      <c r="G23" s="5">
        <v>3</v>
      </c>
      <c r="H23" s="5">
        <v>5000</v>
      </c>
      <c r="I23" s="4" t="str" xml:space="preserve">
        <v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v>
      </c>
      <c r="J23" s="4">
        <v>7376</v>
      </c>
    </row>
    <row r="24" ht="50" customHeight="1">
      <c r="B24" s="4" t="str">
        <v>IWMI</v>
      </c>
      <c r="D24" s="4" t="str">
        <v>GNDR Swedish: Number of Center Needs Assessments and strategic roadmaps developed to identify institutional priorities, enabling conditions and opportunities for streamlining human-centered and inclusive digital product development.</v>
      </c>
      <c r="E24" s="4" t="str">
        <v>Number of knowledge products</v>
      </c>
      <c r="F24" s="4" t="str">
        <v>India, United States of America, Peru, Colombia, Kenya, Lebanon, Mexico, Philippines, Nigeria, Malaysia, Sri Lanka, Côte d'Ivoire, Italy</v>
      </c>
      <c r="G24" s="5">
        <v>1</v>
      </c>
      <c r="H24" s="5">
        <v>0</v>
      </c>
      <c r="I24" s="4" t="str">
        <v/>
      </c>
      <c r="J24" s="4">
        <v>8352</v>
      </c>
    </row>
    <row r="25" ht="50" customHeight="1" xml:space="preserve">
      <c r="A25" s="4" t="str">
        <v>AOW04: Enabling Environment</v>
      </c>
      <c r="B25" s="4" t="str">
        <v>IWMI</v>
      </c>
      <c r="C25" s="4" t="str">
        <v>HLO 4.6 Robust, secure and flexible foundational digital infrastructure &amp; sustainable operating model across centers and hubs</v>
      </c>
      <c r="D25" s="4" t="str">
        <v>IWMI 17: Number of individuals trained on data science, project management, and cloud administration to support digital transformation initiatives.</v>
      </c>
      <c r="E25" s="4" t="str">
        <v>Number of people trained (capacity sharing for development)</v>
      </c>
      <c r="F25" s="4" t="str">
        <v>Sri Lanka</v>
      </c>
      <c r="G25" s="5">
        <v>50</v>
      </c>
      <c r="H25" s="5">
        <v>20000</v>
      </c>
      <c r="I25" s="4" t="str" xml:space="preserve">
        <v xml:space="preserve">Budget overruns due to unforeseen hardware/software requirements.
Cybersecurity breaches or compliance failures.
Uneven adoption across centers leading to inefficiencies.</v>
      </c>
      <c r="J25" s="4">
        <v>6993</v>
      </c>
    </row>
    <row r="26" ht="25" customHeight="1">
      <c r="C26" s="9" t="str">
        <v>HLO budget subtotal</v>
      </c>
      <c r="H26" s="9">
        <v>134819</v>
      </c>
      <c r="J26" s="9" t="str">
        <v/>
      </c>
    </row>
  </sheetData>
  <mergeCells count="20">
    <mergeCell ref="A1:A2"/>
    <mergeCell ref="B1:B2"/>
    <mergeCell ref="C1:C2"/>
    <mergeCell ref="D1:H1"/>
    <mergeCell ref="I1:I2"/>
    <mergeCell ref="J1:J2"/>
    <mergeCell ref="C6:G6"/>
    <mergeCell ref="A3:A6"/>
    <mergeCell ref="C7:C8"/>
    <mergeCell ref="C9:C10"/>
    <mergeCell ref="C11:G11"/>
    <mergeCell ref="A7:A11"/>
    <mergeCell ref="C12:C14"/>
    <mergeCell ref="C15:C16"/>
    <mergeCell ref="C17:G17"/>
    <mergeCell ref="A12:A17"/>
    <mergeCell ref="C18:C19"/>
    <mergeCell ref="C21:C24"/>
    <mergeCell ref="C26:G26"/>
    <mergeCell ref="A18:A26"/>
  </mergeCells>
  <ignoredErrors>
    <ignoredError numberStoredAsText="1" sqref="A1:J26"/>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IWMI</v>
      </c>
      <c r="B2" s="4" t="str">
        <v>W-D-0392-NET: WaPOR Phase 2</v>
      </c>
      <c r="C2" s="4" t="str">
        <v xml:space="preserve">I-OC 2.2. Smallholder farmers, local innovators, women, and youth groups gain equitable access to user-centered, AI-enabled digital services that support learning, innovation, and inclusive participation. </v>
      </c>
      <c r="D2" s="5">
        <v>0</v>
      </c>
      <c r="E2" s="4" t="str">
        <v/>
      </c>
      <c r="F2" s="4">
        <v>1219</v>
      </c>
    </row>
    <row r="3" ht="60" customHeight="1" xml:space="preserve">
      <c r="A3" s="4" t="str">
        <v>IWMI</v>
      </c>
      <c r="B3" s="4" t="str">
        <v>W-D-0523-DIWASA - Phase II</v>
      </c>
      <c r="C3" s="4" t="str">
        <v>HLO 2.2: Decision support systems integrate (near-)real-time, including digital twin approaches, to enable evidence-based management decisions.</v>
      </c>
      <c r="D3" s="5">
        <v>1919446</v>
      </c>
      <c r="E3" s="4" t="str" xml:space="preserve">
        <v xml:space="preserve">Active in 2026 and subject to continued funding. 
</v>
      </c>
      <c r="F3" s="4">
        <v>1218</v>
      </c>
    </row>
    <row r="4" ht="25" customHeight="1">
      <c r="B4" s="9" t="str">
        <v>W3/Bilateral budget subtotal</v>
      </c>
      <c r="D4" s="9">
        <v>1919446</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IWMI</v>
      </c>
      <c r="C2" s="4" t="str">
        <v>Area of Work Leads</v>
      </c>
      <c r="D2" s="5">
        <v>50417</v>
      </c>
      <c r="E2" s="4" t="str" xml:space="preserve">
        <v xml:space="preserve">Funds for AoW3 co-lead Angie from Jan-August 2026.
</v>
      </c>
      <c r="F2" s="4">
        <v>115</v>
      </c>
      <c r="G2" s="4">
        <v>3</v>
      </c>
    </row>
    <row r="3" ht="25" customHeight="1">
      <c r="C3" s="9" t="str">
        <v>Cross-cutting budget subtotal</v>
      </c>
      <c r="D3" s="9">
        <v>50417</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50417</v>
      </c>
      <c r="C2" s="5">
        <v>49318</v>
      </c>
      <c r="D2" s="5">
        <v>257158</v>
      </c>
      <c r="E2" s="5">
        <v>100667</v>
      </c>
      <c r="F2" s="5">
        <v>92129</v>
      </c>
      <c r="G2" s="5">
        <f>=SUM(B2:F2)</f>
        <v>0</v>
      </c>
    </row>
    <row r="3" ht="20" customHeight="1">
      <c r="A3" s="4" t="str">
        <v>Operations (supplies, consultants, travels, workshops, other)</v>
      </c>
      <c r="B3" s="5">
        <v>0</v>
      </c>
      <c r="C3" s="5">
        <v>682</v>
      </c>
      <c r="D3" s="5">
        <v>68103</v>
      </c>
      <c r="E3" s="5">
        <v>17500</v>
      </c>
      <c r="F3" s="5">
        <v>42690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1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IWMI</v>
      </c>
      <c r="C2" s="4" t="str">
        <v>Sri Lanka</v>
      </c>
      <c r="D2" s="5">
        <v>100</v>
      </c>
      <c r="E2" s="4">
        <v>3361</v>
      </c>
    </row>
    <row r="3" ht="45" customHeight="1">
      <c r="A3" s="8" t="str">
        <v>AOW01: Data Ecosystem</v>
      </c>
      <c r="B3" s="4" t="str">
        <v>IWMI</v>
      </c>
      <c r="C3" s="4" t="str">
        <v>Pakistan</v>
      </c>
      <c r="D3" s="5">
        <v>33</v>
      </c>
      <c r="E3" s="4">
        <v>1293</v>
      </c>
    </row>
    <row r="4" ht="45" customHeight="1">
      <c r="A4" s="4" t="str">
        <v>AOW01: Data Ecosystem</v>
      </c>
      <c r="B4" s="4" t="str">
        <v>IWMI</v>
      </c>
      <c r="C4" s="4" t="str">
        <v>South Africa</v>
      </c>
      <c r="D4" s="5">
        <v>33</v>
      </c>
      <c r="E4" s="4">
        <v>1292</v>
      </c>
    </row>
    <row r="5" ht="45" customHeight="1">
      <c r="A5" s="4" t="str">
        <v>AOW01: Data Ecosystem</v>
      </c>
      <c r="B5" s="4" t="str">
        <v>IWMI</v>
      </c>
      <c r="C5" s="4" t="str">
        <v>Sri Lanka</v>
      </c>
      <c r="D5" s="5">
        <v>34</v>
      </c>
      <c r="E5" s="4">
        <v>1291</v>
      </c>
    </row>
    <row r="6" ht="45" customHeight="1">
      <c r="A6" s="8" t="str">
        <v>AOW02: Action Lab</v>
      </c>
      <c r="B6" s="4" t="str">
        <v>IWMI</v>
      </c>
      <c r="C6" s="4" t="str">
        <v>Ethiopia</v>
      </c>
      <c r="D6" s="5">
        <v>22</v>
      </c>
      <c r="E6" s="4">
        <v>1346</v>
      </c>
    </row>
    <row r="7" ht="45" customHeight="1">
      <c r="A7" s="4" t="str">
        <v>AOW02: Action Lab</v>
      </c>
      <c r="B7" s="4" t="str">
        <v>IWMI</v>
      </c>
      <c r="C7" s="4" t="str">
        <v>India</v>
      </c>
      <c r="D7" s="5">
        <v>12</v>
      </c>
      <c r="E7" s="4">
        <v>1347</v>
      </c>
    </row>
    <row r="8" ht="45" customHeight="1">
      <c r="A8" s="4" t="str">
        <v>AOW02: Action Lab</v>
      </c>
      <c r="B8" s="4" t="str">
        <v>IWMI</v>
      </c>
      <c r="C8" s="4" t="str">
        <v>South Africa</v>
      </c>
      <c r="D8" s="5">
        <v>33</v>
      </c>
      <c r="E8" s="4">
        <v>1345</v>
      </c>
    </row>
    <row r="9" ht="45" customHeight="1">
      <c r="A9" s="4" t="str">
        <v>AOW02: Action Lab</v>
      </c>
      <c r="B9" s="4" t="str">
        <v>IWMI</v>
      </c>
      <c r="C9" s="4" t="str">
        <v>Sri Lanka</v>
      </c>
      <c r="D9" s="5">
        <v>33</v>
      </c>
      <c r="E9" s="4">
        <v>1344</v>
      </c>
    </row>
    <row r="10" ht="45" customHeight="1">
      <c r="A10" s="8" t="str">
        <v>AOW03: Digital Futures</v>
      </c>
      <c r="B10" s="4" t="str">
        <v>IWMI</v>
      </c>
      <c r="C10" s="4" t="str">
        <v>Sri Lanka</v>
      </c>
      <c r="D10" s="5">
        <v>100</v>
      </c>
      <c r="E10" s="4">
        <v>1404</v>
      </c>
    </row>
    <row r="11" ht="45" customHeight="1">
      <c r="A11" s="8" t="str">
        <v>AOW04: Enabling Environment</v>
      </c>
      <c r="B11" s="4" t="str">
        <v>IWMI</v>
      </c>
      <c r="C11" s="4" t="str">
        <v>Ethiopia</v>
      </c>
      <c r="D11" s="5">
        <v>15</v>
      </c>
      <c r="E11" s="4">
        <v>1487</v>
      </c>
    </row>
    <row r="12" ht="45" customHeight="1">
      <c r="A12" s="4" t="str">
        <v>AOW04: Enabling Environment</v>
      </c>
      <c r="B12" s="4" t="str">
        <v>IWMI</v>
      </c>
      <c r="C12" s="4" t="str">
        <v>Ghana</v>
      </c>
      <c r="D12" s="5">
        <v>15</v>
      </c>
      <c r="E12" s="4">
        <v>1486</v>
      </c>
    </row>
    <row r="13" ht="45" customHeight="1">
      <c r="A13" s="4" t="str">
        <v>AOW04: Enabling Environment</v>
      </c>
      <c r="B13" s="4" t="str">
        <v>IWMI</v>
      </c>
      <c r="C13" s="4" t="str">
        <v>Kenya</v>
      </c>
      <c r="D13" s="5">
        <v>13</v>
      </c>
      <c r="E13" s="4">
        <v>1489</v>
      </c>
    </row>
    <row r="14" ht="45" customHeight="1">
      <c r="A14" s="4" t="str">
        <v>AOW04: Enabling Environment</v>
      </c>
      <c r="B14" s="4" t="str">
        <v>IWMI</v>
      </c>
      <c r="C14" s="4" t="str">
        <v>South Africa</v>
      </c>
      <c r="D14" s="5">
        <v>15</v>
      </c>
      <c r="E14" s="4">
        <v>1488</v>
      </c>
    </row>
    <row r="15" ht="45" customHeight="1">
      <c r="A15" s="4" t="str">
        <v>AOW04: Enabling Environment</v>
      </c>
      <c r="B15" s="4" t="str">
        <v>IWMI</v>
      </c>
      <c r="C15" s="4" t="str">
        <v>Sri Lanka</v>
      </c>
      <c r="D15" s="5">
        <v>42</v>
      </c>
      <c r="E15" s="4">
        <v>1485</v>
      </c>
    </row>
  </sheetData>
  <mergeCells count="5">
    <mergeCell ref="A2"/>
    <mergeCell ref="A3:A5"/>
    <mergeCell ref="A6:A9"/>
    <mergeCell ref="A10"/>
    <mergeCell ref="A11:A15"/>
  </mergeCells>
  <ignoredErrors>
    <ignoredError numberStoredAsText="1" sqref="A1:E15"/>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IWMI</v>
      </c>
      <c r="C2" s="4" t="str">
        <v>Global</v>
      </c>
      <c r="D2" s="4" t="str">
        <v>global</v>
      </c>
      <c r="E2" s="5">
        <v>100</v>
      </c>
      <c r="F2" s="4">
        <v>1675</v>
      </c>
    </row>
    <row r="3" ht="45" customHeight="1">
      <c r="A3" s="8" t="str">
        <v>AOW01: Data Ecosystem</v>
      </c>
      <c r="B3" s="4" t="str">
        <v>IWMI</v>
      </c>
      <c r="C3" s="4" t="str">
        <v>Global</v>
      </c>
      <c r="D3" s="4" t="str">
        <v>global</v>
      </c>
      <c r="E3" s="5">
        <v>100</v>
      </c>
      <c r="F3" s="4">
        <v>1676</v>
      </c>
    </row>
    <row r="4" ht="45" customHeight="1">
      <c r="A4" s="8" t="str">
        <v>AOW02: Action Lab</v>
      </c>
      <c r="B4" s="4" t="str">
        <v>IWMI</v>
      </c>
      <c r="C4" s="4" t="str">
        <v>Global</v>
      </c>
      <c r="D4" s="4" t="str">
        <v>global</v>
      </c>
      <c r="E4" s="5">
        <v>100</v>
      </c>
      <c r="F4" s="4">
        <v>470</v>
      </c>
    </row>
    <row r="5" ht="45" customHeight="1">
      <c r="A5" s="8" t="str">
        <v>AOW03: Digital Futures</v>
      </c>
      <c r="B5" s="4" t="str">
        <v>IWMI</v>
      </c>
      <c r="C5" s="4" t="str">
        <v>Global</v>
      </c>
      <c r="D5" s="4" t="str">
        <v>global</v>
      </c>
      <c r="E5" s="5">
        <v>100</v>
      </c>
      <c r="F5" s="4">
        <v>497</v>
      </c>
    </row>
    <row r="6" ht="45" customHeight="1">
      <c r="A6" s="8" t="str">
        <v>AOW04: Enabling Environment</v>
      </c>
      <c r="B6" s="4" t="str">
        <v>IWMI</v>
      </c>
      <c r="C6" s="4" t="str">
        <v>Global</v>
      </c>
      <c r="D6" s="4" t="str">
        <v>global</v>
      </c>
      <c r="E6" s="5">
        <v>100</v>
      </c>
      <c r="F6" s="4">
        <v>518</v>
      </c>
    </row>
  </sheetData>
  <mergeCells count="5">
    <mergeCell ref="A2"/>
    <mergeCell ref="A3"/>
    <mergeCell ref="A4"/>
    <mergeCell ref="A5"/>
    <mergeCell ref="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