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219</v>
      </c>
    </row>
    <row r="5" ht="20" customHeight="1">
      <c r="A5" s="4" t="str">
        <v>AOW01: Data Ecosystem</v>
      </c>
      <c r="B5" s="5">
        <v>0</v>
      </c>
      <c r="C5" s="5">
        <v>0</v>
      </c>
      <c r="D5" s="5">
        <v>12</v>
      </c>
      <c r="E5" s="5">
        <v>50000</v>
      </c>
      <c r="F5" s="5">
        <v>0</v>
      </c>
      <c r="G5" s="5">
        <v>0</v>
      </c>
      <c r="H5" s="5">
        <v>0</v>
      </c>
      <c r="I5" s="5">
        <v>0</v>
      </c>
      <c r="J5" s="5">
        <v>50000</v>
      </c>
      <c r="K5" s="5">
        <v>50000</v>
      </c>
      <c r="L5" s="5">
        <v>0</v>
      </c>
      <c r="M5" s="5">
        <v>0</v>
      </c>
      <c r="N5" s="4">
        <v>215</v>
      </c>
    </row>
    <row r="6" ht="20" customHeight="1">
      <c r="A6" s="4" t="str">
        <v>AOW02: Action Lab</v>
      </c>
      <c r="B6" s="5">
        <v>8</v>
      </c>
      <c r="C6" s="5">
        <v>93395</v>
      </c>
      <c r="D6" s="5">
        <v>2</v>
      </c>
      <c r="E6" s="5">
        <v>70000</v>
      </c>
      <c r="F6" s="5">
        <v>600</v>
      </c>
      <c r="G6" s="5">
        <v>40000</v>
      </c>
      <c r="H6" s="5">
        <v>0</v>
      </c>
      <c r="I6" s="5">
        <v>0</v>
      </c>
      <c r="J6" s="5">
        <v>203395</v>
      </c>
      <c r="K6" s="5">
        <v>203395</v>
      </c>
      <c r="L6" s="5">
        <v>0</v>
      </c>
      <c r="M6" s="5">
        <v>0</v>
      </c>
      <c r="N6" s="4">
        <v>216</v>
      </c>
    </row>
    <row r="7" ht="20" customHeight="1">
      <c r="A7" s="4" t="str">
        <v>AOW03: Digital Futures</v>
      </c>
      <c r="B7" s="5">
        <v>0</v>
      </c>
      <c r="C7" s="5">
        <v>0</v>
      </c>
      <c r="D7" s="5">
        <v>2</v>
      </c>
      <c r="E7" s="5">
        <v>50000</v>
      </c>
      <c r="F7" s="5">
        <v>0</v>
      </c>
      <c r="G7" s="5">
        <v>0</v>
      </c>
      <c r="H7" s="5">
        <v>0</v>
      </c>
      <c r="I7" s="5">
        <v>0</v>
      </c>
      <c r="J7" s="5">
        <v>50000</v>
      </c>
      <c r="K7" s="5">
        <v>50000</v>
      </c>
      <c r="L7" s="5">
        <v>0</v>
      </c>
      <c r="M7" s="5">
        <v>0</v>
      </c>
      <c r="N7" s="4">
        <v>218</v>
      </c>
    </row>
    <row r="8" ht="20" customHeight="1">
      <c r="A8" s="4" t="str">
        <v>AOW04: Enabling Environment</v>
      </c>
      <c r="B8" s="5">
        <v>0</v>
      </c>
      <c r="C8" s="5">
        <v>0</v>
      </c>
      <c r="D8" s="5">
        <v>0</v>
      </c>
      <c r="E8" s="5">
        <v>0</v>
      </c>
      <c r="F8" s="5">
        <v>8</v>
      </c>
      <c r="G8" s="5">
        <v>10000</v>
      </c>
      <c r="H8" s="5">
        <v>12</v>
      </c>
      <c r="I8" s="5">
        <v>109000</v>
      </c>
      <c r="J8" s="5">
        <v>119000</v>
      </c>
      <c r="K8" s="5">
        <v>119000</v>
      </c>
      <c r="L8" s="5">
        <v>0</v>
      </c>
      <c r="M8" s="5">
        <v>0</v>
      </c>
      <c r="N8" s="4">
        <v>217</v>
      </c>
    </row>
    <row r="9" ht="25" customHeight="1">
      <c r="A9" s="6" t="str">
        <v>Total</v>
      </c>
      <c r="B9" s="7" t="str">
        <v/>
      </c>
      <c r="C9" s="7">
        <v>93395</v>
      </c>
      <c r="D9" s="7" t="str">
        <v/>
      </c>
      <c r="E9" s="7">
        <v>170000</v>
      </c>
      <c r="F9" s="7" t="str">
        <v/>
      </c>
      <c r="G9" s="7">
        <v>50000</v>
      </c>
      <c r="H9" s="7" t="str">
        <v/>
      </c>
      <c r="I9" s="7">
        <v>109000</v>
      </c>
      <c r="J9" s="7">
        <v>422395</v>
      </c>
      <c r="K9" s="7">
        <v>422395</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ICARDA</v>
      </c>
      <c r="C3" s="4" t="str">
        <v>HLO 1.3: Established governance strategies and frameworks to strengthen data and digital management and drive culture change across CGIAR Centers.</v>
      </c>
      <c r="D3" s="4" t="str">
        <v>Number of governance and incentive strategies and frameworks on data &amp; digital management and culture change at CGIAR level</v>
      </c>
      <c r="E3" s="4" t="str">
        <v>Number of knowledge products</v>
      </c>
      <c r="F3" s="4" t="str">
        <v>Côte d'Ivoire, Sri Lanka, Pakistan, Philippines, United States of America, Peru, India, Egypt, Mexico, Malaysia, South Africa, Kenya, France</v>
      </c>
      <c r="G3" s="5">
        <v>12</v>
      </c>
      <c r="H3" s="5">
        <v>50000</v>
      </c>
      <c r="I3" s="4" t="str" xml:space="preserve">
        <v xml:space="preserve">Most of the budget will be dedicated to internal consultations, coordination meetings, and the preparation of policies and SOPs required to define roles across the data lifecycle. Additional resources will support harmonizing data practices across ICARDA’
</v>
      </c>
      <c r="J3" s="4">
        <v>7272</v>
      </c>
    </row>
    <row r="4" ht="25" customHeight="1">
      <c r="C4" s="9" t="str">
        <v>HLO budget subtotal</v>
      </c>
      <c r="H4" s="9">
        <v>50000</v>
      </c>
      <c r="J4" s="9" t="str">
        <v/>
      </c>
    </row>
    <row r="5" ht="50" customHeight="1" xml:space="preserve">
      <c r="A5" s="8" t="str">
        <v>AOW02: Action Lab</v>
      </c>
      <c r="B5" s="4" t="str">
        <v>ICARDA</v>
      </c>
      <c r="C5" s="4" t="str">
        <v>HLO 2.6: Capacity sharing programs use digital and AI-enabled approaches to build skills, enhance reach, and foster engagement.</v>
      </c>
      <c r="D5" s="4" t="str" xml:space="preserve">
        <v xml:space="preserve">ICARDA 2: Number of people trained on using the AI-enabled digital climate advisory services
</v>
      </c>
      <c r="E5" s="4" t="str">
        <v>Number of people trained (capacity sharing for development)</v>
      </c>
      <c r="F5" s="4" t="str">
        <v>Egypt, India</v>
      </c>
      <c r="G5" s="5">
        <v>600</v>
      </c>
      <c r="H5" s="5">
        <v>40000</v>
      </c>
      <c r="I5" s="4" t="str" xml:space="preserve">
        <v xml:space="preserve">The USD 40,000 budget will support the design and delivery of comprehensive ToT programs on the AI-enabled DCAS for experts, farmers, and policymakers across the three target countries. It will cover training materials, expert facilitation, digital infrastructure. 
</v>
      </c>
      <c r="J5" s="4">
        <v>6323</v>
      </c>
    </row>
    <row r="6" ht="50" customHeight="1" xml:space="preserve">
      <c r="A6" s="4" t="str">
        <v>AOW02: Action Lab</v>
      </c>
      <c r="B6" s="4" t="str">
        <v>ICARDA</v>
      </c>
      <c r="C6" s="4" t="str">
        <v>HLO 2.5: Advisory solutions use AI-powered tools, including language models and speech analytics, to improve relevance, accessibility, and user engagement.</v>
      </c>
      <c r="D6" s="4" t="str" xml:space="preserve">
        <v xml:space="preserve">ICARDA 1: Number of operational AI-enabled Digital Climate Advisory Systems (DCAS)
</v>
      </c>
      <c r="E6" s="4" t="str">
        <v>Number of innovations (innovation development)</v>
      </c>
      <c r="F6" s="4" t="str">
        <v>India, Egypt</v>
      </c>
      <c r="G6" s="5">
        <v>3</v>
      </c>
      <c r="H6" s="5">
        <v>45000</v>
      </c>
      <c r="I6" s="4" t="str">
        <v xml:space="preserve">The allocated USD 45,000 will support the continued development of the GeoAgro platform to operationalize AI-enabled DCAS customized for Morocco, Egypt, and India. This requires hiring software developers to build and integrate the new country-specific features. </v>
      </c>
      <c r="J6" s="4">
        <v>6325</v>
      </c>
    </row>
    <row r="7" ht="50" customHeight="1" xml:space="preserve">
      <c r="B7" s="4" t="str">
        <v>ICARDA</v>
      </c>
      <c r="D7" s="4" t="str" xml:space="preserve">
        <v xml:space="preserve">ICARDA 3: Number of AI-powered drought forecast algorithms developed and deployed on climate information service platforms
</v>
      </c>
      <c r="E7" s="4" t="str">
        <v>Number of knowledge products</v>
      </c>
      <c r="F7" s="4" t="str">
        <v>Egypt, India</v>
      </c>
      <c r="G7" s="5">
        <v>1</v>
      </c>
      <c r="H7" s="5">
        <v>35000</v>
      </c>
      <c r="I7" s="4" t="str" xml:space="preserve">
        <v xml:space="preserve">Budget utilization will cover the hiring of specialized consultants to design and implement the deep-learning–based drought forecasting algorithm, integrating multi-temporal RS and historical climate data. 
</v>
      </c>
      <c r="J7" s="4">
        <v>6464</v>
      </c>
    </row>
    <row r="8" ht="50" customHeight="1" xml:space="preserve">
      <c r="A8" s="4" t="str">
        <v>AOW02: Action Lab</v>
      </c>
      <c r="B8" s="4" t="str">
        <v>ICARDA</v>
      </c>
      <c r="C8" s="4" t="str">
        <v>HLO 2.2: Decision support systems integrate (near-)real-time, including digital twin approaches, to enable evidence-based management decisions.</v>
      </c>
      <c r="D8" s="4" t="str" xml:space="preserve">
        <v xml:space="preserve">ICARDA 5: Number of APIs developed to disseminate AI-powered water management information to agricultural stakeholders
</v>
      </c>
      <c r="E8" s="4" t="str">
        <v>Number of innovations (innovation development)</v>
      </c>
      <c r="F8" s="4" t="str">
        <v>India, Egypt, Morocco</v>
      </c>
      <c r="G8" s="5">
        <v>4</v>
      </c>
      <c r="H8" s="5">
        <v>20000</v>
      </c>
      <c r="I8"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8" s="4">
        <v>6462</v>
      </c>
    </row>
    <row r="9" ht="50" customHeight="1" xml:space="preserve">
      <c r="B9" s="4" t="str">
        <v>ICARDA</v>
      </c>
      <c r="D9" s="4" t="str" xml:space="preserve">
        <v xml:space="preserve">ICARDA 4: Number of A-based drought forecast algorithms developed and deployed on climate information systems
</v>
      </c>
      <c r="E9" s="4" t="str">
        <v>Number of innovations (innovation development)</v>
      </c>
      <c r="F9" s="4" t="str">
        <v>India, Egypt, Morocco</v>
      </c>
      <c r="G9" s="5">
        <v>1</v>
      </c>
      <c r="H9" s="5">
        <v>28395</v>
      </c>
      <c r="I9" s="4" t="str" xml:space="preserve">
        <v xml:space="preserve">Budget utilization will cover the staff time of digital scientists to design and implement the deep-learning–based  algorithm, integrating multi-temporal RS and historical climate data on water management issues in the global drylands. 
</v>
      </c>
      <c r="J9" s="4">
        <v>6463</v>
      </c>
    </row>
    <row r="10" ht="50" customHeight="1" xml:space="preserve">
      <c r="A10" s="4" t="str">
        <v>AOW02: Action Lab</v>
      </c>
      <c r="B10" s="4" t="str">
        <v>ICARDA</v>
      </c>
      <c r="C10" s="4" t="str">
        <v>HLO 2.1: Research integrates AI analytics, remote sensing, and digital technologies to enhance modeling, evidence generation, and environmental monitoring at scale.</v>
      </c>
      <c r="D10" s="4" t="str">
        <v>Number of geospatial use cases, including datasets, documentation, and intended outcome</v>
      </c>
      <c r="E10" s="4" t="str">
        <v>Number of knowledge products</v>
      </c>
      <c r="F10" s="4" t="str">
        <v>United States of America, Tanzania, United Republic, Kenya, Malaysia, Mexico, India, Nigeria, Ghana, Sri Lanka, Mozambique, Peru, Colombia, Philippines, Rwanda, Ethiopia</v>
      </c>
      <c r="G10" s="5">
        <v>1</v>
      </c>
      <c r="H10" s="5">
        <v>35000</v>
      </c>
      <c r="I10" s="4" t="str" xml:space="preserve">
        <v xml:space="preserve">The successful delivery depends on identification of proper geospatial use case and smooth coordination within the CSI community and with all participating CG centers. 
</v>
      </c>
      <c r="J10" s="4">
        <v>7351</v>
      </c>
    </row>
    <row r="11" ht="25" customHeight="1">
      <c r="C11" s="9" t="str">
        <v>HLO budget subtotal</v>
      </c>
      <c r="H11" s="9">
        <v>203395</v>
      </c>
      <c r="J11" s="9" t="str">
        <v/>
      </c>
    </row>
    <row r="12" ht="50" customHeight="1" xml:space="preserve">
      <c r="A12" s="8" t="str">
        <v>AOW03: Digital Futures</v>
      </c>
      <c r="B12" s="4" t="str">
        <v>ICARDA</v>
      </c>
      <c r="C12" s="4" t="str">
        <v>HLO 3.2: Future case scenarios identified for digital transformation in FWL systems in addressing context-specific challenges and opportunities.</v>
      </c>
      <c r="D12" s="4" t="str">
        <v>ICARDA 10: Number of synthesis papers produced on on Frontier Digital Innovations and emerging digital technologies with potential towards Climate Information Systems, assessing applications, investment readiness, and ethical implications through systematic horizon scanning.</v>
      </c>
      <c r="E12" s="4" t="str">
        <v>Number of knowledge products</v>
      </c>
      <c r="F12" s="4" t="str">
        <v>India, Egypt</v>
      </c>
      <c r="G12" s="5">
        <v>1</v>
      </c>
      <c r="H12" s="5">
        <v>25000</v>
      </c>
      <c r="I12" s="4" t="str" xml:space="preserve">
        <v xml:space="preserve">Most of the budget will be dedicated to conducting a comprehensive situation analysis, including an intensive literature review, stakeholder consultations, and on-the-ground assessments. These activities are resource- and time-intensive.
</v>
      </c>
      <c r="J12" s="4">
        <v>6297</v>
      </c>
    </row>
    <row r="13" ht="50" customHeight="1" xml:space="preserve">
      <c r="B13" s="4" t="str">
        <v>ICARDA</v>
      </c>
      <c r="D13" s="4" t="str">
        <v>ICARDA 9: Number of  Synthesis papers produced on evaluating emerging digital technologies relevant to MRV  of C seqestration towards C trading and Low Emisions Development,  in the Global Drylands.</v>
      </c>
      <c r="E13" s="4" t="str">
        <v>Number of knowledge products</v>
      </c>
      <c r="F13" s="4" t="str">
        <v>India, Egypt</v>
      </c>
      <c r="G13" s="5">
        <v>1</v>
      </c>
      <c r="H13" s="5">
        <v>25000</v>
      </c>
      <c r="I13" s="4" t="str" xml:space="preserve">
        <v xml:space="preserve">Most of the budget will be dedicated to conducting a comprehensive situation analysis, including an intensive literature review, stakeholder consultations, and on-the-ground assessments. These activities are resource- and time-intensive. 
</v>
      </c>
      <c r="J13" s="4">
        <v>6298</v>
      </c>
    </row>
    <row r="14" ht="25" customHeight="1">
      <c r="C14" s="9" t="str">
        <v>HLO budget subtotal</v>
      </c>
      <c r="H14" s="9">
        <v>50000</v>
      </c>
      <c r="J14" s="9" t="str">
        <v/>
      </c>
    </row>
    <row r="15" ht="50" customHeight="1" xml:space="preserve">
      <c r="A15" s="8" t="str">
        <v>AOW04: Enabling Environment</v>
      </c>
      <c r="B15" s="4" t="str">
        <v>ICARDA</v>
      </c>
      <c r="C15" s="4" t="str">
        <v>HLO 4.5: Networks of digital innovation nodes &amp; hubs creating an ecosystem for inclusive and FAIR compliant digital and data innovations.</v>
      </c>
      <c r="D15" s="4" t="str">
        <v>ICARDA 13: The number of Living Lab/Centre of Excellence for high-tech dryland agriculture established and operationalized an integrating AI, remote sensing, and IoT</v>
      </c>
      <c r="E15" s="4" t="str">
        <v>custom</v>
      </c>
      <c r="F15" s="4" t="str">
        <v>India, Egypt</v>
      </c>
      <c r="G15" s="5">
        <v>1</v>
      </c>
      <c r="H15" s="5">
        <v>45000</v>
      </c>
      <c r="I15" s="4" t="str" xml:space="preserve">
        <v xml:space="preserve">The budget will support the establishment of a Living Lab (LL) demonstrating advanced digital sensors, IoT devices, drones, and proximal sensing technologies for high-efficiency dryland agriculture. Co-funding from several bilateral projects will complement. 
</v>
      </c>
      <c r="J15" s="4">
        <v>6309</v>
      </c>
    </row>
    <row r="16" ht="50" customHeight="1" xml:space="preserve">
      <c r="A16" s="4" t="str">
        <v>AOW04: Enabling Environment</v>
      </c>
      <c r="B16" s="4" t="str">
        <v>ICARDA</v>
      </c>
      <c r="C16" s="4" t="str">
        <v>HLO 4.2:  Applied tools, frameworks, methods, guidelines and prototypes developed to support responsible, inclusive, and user-centered digital innovation across FLW systems.</v>
      </c>
      <c r="D16" s="4" t="str">
        <v>ICARDA 12: Number of algorithms made available for CGIAR-wide use.</v>
      </c>
      <c r="E16" s="4" t="str">
        <v>custom</v>
      </c>
      <c r="F16" s="4" t="str">
        <v>Philippines, India</v>
      </c>
      <c r="G16" s="5">
        <v>6</v>
      </c>
      <c r="H16" s="5">
        <v>30000</v>
      </c>
      <c r="I16"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16" s="4">
        <v>6324</v>
      </c>
    </row>
    <row r="17" ht="50" customHeight="1" xml:space="preserve">
      <c r="B17" s="4" t="str">
        <v>ICARDA</v>
      </c>
      <c r="D17" s="4" t="str">
        <v>ICARDA 11: Established and operationalized a spatial data repository for global drylands at national and sub-national levels, integrating climate, livestock, crops, socioeconomic, and remote sensing data, accessible through Google Earth Engine interfaces for CGIAR-wide use.</v>
      </c>
      <c r="E17" s="4" t="str">
        <v>custom</v>
      </c>
      <c r="F17" s="4" t="str">
        <v>Philippines, India</v>
      </c>
      <c r="G17" s="5">
        <v>5</v>
      </c>
      <c r="H17" s="5">
        <v>34000</v>
      </c>
      <c r="I17" s="4" t="str" xml:space="preserve">
        <v xml:space="preserve">Budget utilization will cover the staff time of digital scientists to design and implement the deep-learning–based algorithm, integrating multi-temporal RS and historical climate data. It will also support operational costs for cloud servers, data acquisition. 
</v>
      </c>
      <c r="J17" s="4">
        <v>6350</v>
      </c>
    </row>
    <row r="18" ht="50" customHeight="1" xml:space="preserve">
      <c r="A18" s="4" t="str">
        <v>AOW04: Enabling Environment</v>
      </c>
      <c r="B18" s="4" t="str">
        <v>ICARDA</v>
      </c>
      <c r="C18" s="4" t="str">
        <v>HLO 4.1. Communities of practice and collaborative knowledge platforms established to coordinate learning, exchange, and leadership on responsible and inclusive digital innovation across FLW systems.</v>
      </c>
      <c r="D18" s="4" t="str">
        <v>Number of people trained on geospatial foundation models, platforms and/or frameworks</v>
      </c>
      <c r="E18" s="4" t="str">
        <v>Number of people trained (capacity sharing for development)</v>
      </c>
      <c r="F18" s="4" t="str">
        <v>Kenya</v>
      </c>
      <c r="G18" s="5">
        <v>5</v>
      </c>
      <c r="H18" s="5">
        <v>5000</v>
      </c>
      <c r="I18"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8" s="4">
        <v>7369</v>
      </c>
    </row>
    <row r="19" ht="50" customHeight="1" xml:space="preserve">
      <c r="B19" s="4" t="str">
        <v>ICARDA</v>
      </c>
      <c r="D19" s="4" t="str">
        <v xml:space="preserve">Number of individuals capacitated through consortium workshops on Spatial Information (CSI) to coordinate geospatial analysis across the CGIAR </v>
      </c>
      <c r="E19" s="4" t="str">
        <v>Number of people trained (capacity sharing for development)</v>
      </c>
      <c r="F19" s="4" t="str">
        <v>Kenya</v>
      </c>
      <c r="G19" s="5">
        <v>3</v>
      </c>
      <c r="H19" s="5">
        <v>5000</v>
      </c>
      <c r="I19"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9" s="4">
        <v>7371</v>
      </c>
    </row>
    <row r="20" ht="50" customHeight="1">
      <c r="B20" s="4" t="str">
        <v>ICARDA</v>
      </c>
      <c r="D20" s="4" t="str">
        <v>GNDR Swedish: Number of Center Needs Assessments and strategic roadmaps developed to identify institutional priorities, enabling conditions and opportunities for streamlining human-centered and inclusive digital product development.</v>
      </c>
      <c r="E20" s="4" t="str">
        <v>Number of knowledge products</v>
      </c>
      <c r="F20" s="4" t="str">
        <v>India, United States of America, Peru, Colombia, Kenya, Lebanon, Mexico, Philippines, Nigeria, Malaysia, Sri Lanka, Côte d'Ivoire, Italy</v>
      </c>
      <c r="G20" s="5">
        <v>1</v>
      </c>
      <c r="H20" s="5">
        <v>0</v>
      </c>
      <c r="I20" s="4" t="str">
        <v/>
      </c>
      <c r="J20" s="4">
        <v>8353</v>
      </c>
    </row>
    <row r="21" ht="25" customHeight="1">
      <c r="C21" s="9" t="str">
        <v>HLO budget subtotal</v>
      </c>
      <c r="H21" s="9">
        <v>119000</v>
      </c>
      <c r="J21" s="9" t="str">
        <v/>
      </c>
    </row>
  </sheetData>
  <mergeCells count="19">
    <mergeCell ref="A1:A2"/>
    <mergeCell ref="B1:B2"/>
    <mergeCell ref="C1:C2"/>
    <mergeCell ref="D1:H1"/>
    <mergeCell ref="I1:I2"/>
    <mergeCell ref="J1:J2"/>
    <mergeCell ref="C4:G4"/>
    <mergeCell ref="A3:A4"/>
    <mergeCell ref="C6:C7"/>
    <mergeCell ref="C8:C9"/>
    <mergeCell ref="C11:G11"/>
    <mergeCell ref="A5:A11"/>
    <mergeCell ref="C12:C13"/>
    <mergeCell ref="C14:G14"/>
    <mergeCell ref="A12:A14"/>
    <mergeCell ref="C16:C17"/>
    <mergeCell ref="C18:C20"/>
    <mergeCell ref="C21:G21"/>
    <mergeCell ref="A15:A21"/>
  </mergeCells>
  <ignoredErrors>
    <ignoredError numberStoredAsText="1" sqref="A1:J21"/>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25000</v>
      </c>
      <c r="D2" s="5">
        <v>114197</v>
      </c>
      <c r="E2" s="5">
        <v>25000</v>
      </c>
      <c r="F2" s="5">
        <v>54500</v>
      </c>
      <c r="G2" s="5">
        <f>=SUM(B2:F2)</f>
        <v>0</v>
      </c>
    </row>
    <row r="3" ht="20" customHeight="1">
      <c r="A3" s="4" t="str">
        <v>Operations (supplies, consultants, travels, workshops, other)</v>
      </c>
      <c r="B3" s="5">
        <v>0</v>
      </c>
      <c r="C3" s="5">
        <v>25000</v>
      </c>
      <c r="D3" s="5">
        <v>89198</v>
      </c>
      <c r="E3" s="5">
        <v>25000</v>
      </c>
      <c r="F3" s="5">
        <v>64500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Data Ecosystem</v>
      </c>
      <c r="B2" s="4" t="str">
        <v>ICARDA</v>
      </c>
      <c r="C2" s="4" t="str">
        <v>Egypt</v>
      </c>
      <c r="D2" s="5">
        <v>50</v>
      </c>
      <c r="E2" s="4">
        <v>1274</v>
      </c>
    </row>
    <row r="3" ht="45" customHeight="1">
      <c r="A3" s="4" t="str">
        <v>AOW01: Data Ecosystem</v>
      </c>
      <c r="B3" s="4" t="str">
        <v>ICARDA</v>
      </c>
      <c r="C3" s="4" t="str">
        <v>India</v>
      </c>
      <c r="D3" s="5">
        <v>50</v>
      </c>
      <c r="E3" s="4">
        <v>1275</v>
      </c>
    </row>
    <row r="4" ht="45" customHeight="1">
      <c r="A4" s="8" t="str">
        <v>AOW02: Action Lab</v>
      </c>
      <c r="B4" s="4" t="str">
        <v>ICARDA</v>
      </c>
      <c r="C4" s="4" t="str">
        <v>Egypt</v>
      </c>
      <c r="D4" s="5">
        <v>45</v>
      </c>
      <c r="E4" s="4">
        <v>1324</v>
      </c>
    </row>
    <row r="5" ht="45" customHeight="1">
      <c r="A5" s="4" t="str">
        <v>AOW02: Action Lab</v>
      </c>
      <c r="B5" s="4" t="str">
        <v>ICARDA</v>
      </c>
      <c r="C5" s="4" t="str">
        <v>India</v>
      </c>
      <c r="D5" s="5">
        <v>45</v>
      </c>
      <c r="E5" s="4">
        <v>1325</v>
      </c>
    </row>
    <row r="6" ht="45" customHeight="1">
      <c r="A6" s="4" t="str">
        <v>AOW02: Action Lab</v>
      </c>
      <c r="B6" s="4" t="str">
        <v>ICARDA</v>
      </c>
      <c r="C6" s="4" t="str">
        <v>Morocco</v>
      </c>
      <c r="D6" s="5">
        <v>10</v>
      </c>
      <c r="E6" s="4">
        <v>1326</v>
      </c>
    </row>
    <row r="7" ht="45" customHeight="1">
      <c r="A7" s="8" t="str">
        <v>AOW03: Digital Futures</v>
      </c>
      <c r="B7" s="4" t="str">
        <v>ICARDA</v>
      </c>
      <c r="C7" s="4" t="str">
        <v>Egypt</v>
      </c>
      <c r="D7" s="5">
        <v>50</v>
      </c>
      <c r="E7" s="4">
        <v>1378</v>
      </c>
    </row>
    <row r="8" ht="45" customHeight="1">
      <c r="A8" s="4" t="str">
        <v>AOW03: Digital Futures</v>
      </c>
      <c r="B8" s="4" t="str">
        <v>ICARDA</v>
      </c>
      <c r="C8" s="4" t="str">
        <v>India</v>
      </c>
      <c r="D8" s="5">
        <v>50</v>
      </c>
      <c r="E8" s="4">
        <v>1379</v>
      </c>
    </row>
    <row r="9" ht="45" customHeight="1">
      <c r="A9" s="8" t="str">
        <v>AOW04: Enabling Environment</v>
      </c>
      <c r="B9" s="4" t="str">
        <v>ICARDA</v>
      </c>
      <c r="C9" s="4" t="str">
        <v>Egypt</v>
      </c>
      <c r="D9" s="5">
        <v>19</v>
      </c>
      <c r="E9" s="4">
        <v>1449</v>
      </c>
    </row>
    <row r="10" ht="45" customHeight="1">
      <c r="A10" s="4" t="str">
        <v>AOW04: Enabling Environment</v>
      </c>
      <c r="B10" s="4" t="str">
        <v>ICARDA</v>
      </c>
      <c r="C10" s="4" t="str">
        <v>India</v>
      </c>
      <c r="D10" s="5">
        <v>45</v>
      </c>
      <c r="E10" s="4">
        <v>1447</v>
      </c>
    </row>
    <row r="11" ht="45" customHeight="1">
      <c r="A11" s="4" t="str">
        <v>AOW04: Enabling Environment</v>
      </c>
      <c r="B11" s="4" t="str">
        <v>ICARDA</v>
      </c>
      <c r="C11" s="4" t="str">
        <v>Kenya</v>
      </c>
      <c r="D11" s="5">
        <v>10</v>
      </c>
      <c r="E11" s="4">
        <v>1450</v>
      </c>
    </row>
    <row r="12" ht="45" customHeight="1">
      <c r="A12" s="4" t="str">
        <v>AOW04: Enabling Environment</v>
      </c>
      <c r="B12" s="4" t="str">
        <v>ICARDA</v>
      </c>
      <c r="C12" s="4" t="str">
        <v>Philippines</v>
      </c>
      <c r="D12" s="5">
        <v>26</v>
      </c>
      <c r="E12" s="4">
        <v>1448</v>
      </c>
    </row>
  </sheetData>
  <mergeCells count="4">
    <mergeCell ref="A2:A3"/>
    <mergeCell ref="A4:A6"/>
    <mergeCell ref="A7:A8"/>
    <mergeCell ref="A9:A12"/>
  </mergeCells>
  <ignoredErrors>
    <ignoredError numberStoredAsText="1" sqref="A1:E12"/>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Data Ecosystem</v>
      </c>
      <c r="B2" s="4" t="str">
        <v>ICARDA</v>
      </c>
      <c r="C2" s="4" t="str">
        <v>Egypt</v>
      </c>
      <c r="D2" s="4" t="str">
        <v>country</v>
      </c>
      <c r="E2" s="5">
        <v>50</v>
      </c>
      <c r="F2" s="4">
        <v>446</v>
      </c>
    </row>
    <row r="3" ht="45" customHeight="1">
      <c r="A3" s="4" t="str">
        <v>AOW01: Data Ecosystem</v>
      </c>
      <c r="B3" s="4" t="str">
        <v>ICARDA</v>
      </c>
      <c r="C3" s="4" t="str">
        <v>India</v>
      </c>
      <c r="D3" s="4" t="str">
        <v>country</v>
      </c>
      <c r="E3" s="5">
        <v>50</v>
      </c>
      <c r="F3" s="4">
        <v>447</v>
      </c>
    </row>
    <row r="4" ht="45" customHeight="1">
      <c r="A4" s="8" t="str">
        <v>AOW02: Action Lab</v>
      </c>
      <c r="B4" s="4" t="str">
        <v>ICARDA</v>
      </c>
      <c r="C4" s="4" t="str">
        <v>Global</v>
      </c>
      <c r="D4" s="4" t="str">
        <v>global</v>
      </c>
      <c r="E4" s="5">
        <v>100</v>
      </c>
      <c r="F4" s="4">
        <v>462</v>
      </c>
    </row>
    <row r="5" ht="45" customHeight="1">
      <c r="A5" s="8" t="str">
        <v>AOW03: Digital Futures</v>
      </c>
      <c r="B5" s="4" t="str">
        <v>ICARDA</v>
      </c>
      <c r="C5" s="4" t="str">
        <v>Global</v>
      </c>
      <c r="D5" s="4" t="str">
        <v>global</v>
      </c>
      <c r="E5" s="5">
        <v>100</v>
      </c>
      <c r="F5" s="4">
        <v>488</v>
      </c>
    </row>
    <row r="6" ht="45" customHeight="1">
      <c r="A6" s="8" t="str">
        <v>AOW04: Enabling Environment</v>
      </c>
      <c r="B6" s="4" t="str">
        <v>ICARDA</v>
      </c>
      <c r="C6" s="4" t="str">
        <v>Global</v>
      </c>
      <c r="D6" s="4" t="str">
        <v>global</v>
      </c>
      <c r="E6" s="5">
        <v>100</v>
      </c>
      <c r="F6" s="4">
        <v>510</v>
      </c>
    </row>
  </sheetData>
  <mergeCells count="4">
    <mergeCell ref="A2: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