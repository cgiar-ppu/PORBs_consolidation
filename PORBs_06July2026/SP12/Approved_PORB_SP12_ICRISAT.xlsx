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219</v>
      </c>
    </row>
    <row r="5" ht="20" customHeight="1">
      <c r="A5" s="4" t="str">
        <v>AOW01: Data Ecosystem</v>
      </c>
      <c r="B5" s="5">
        <v>2</v>
      </c>
      <c r="C5" s="5">
        <v>50000</v>
      </c>
      <c r="D5" s="5">
        <v>11</v>
      </c>
      <c r="E5" s="5">
        <v>75000</v>
      </c>
      <c r="F5" s="5">
        <v>0</v>
      </c>
      <c r="G5" s="5">
        <v>0</v>
      </c>
      <c r="H5" s="5">
        <v>0</v>
      </c>
      <c r="I5" s="5">
        <v>0</v>
      </c>
      <c r="J5" s="5">
        <v>125000</v>
      </c>
      <c r="K5" s="5">
        <v>125000</v>
      </c>
      <c r="L5" s="5">
        <v>0</v>
      </c>
      <c r="M5" s="5">
        <v>0</v>
      </c>
      <c r="N5" s="4">
        <v>215</v>
      </c>
    </row>
    <row r="6" ht="20" customHeight="1">
      <c r="A6" s="4" t="str">
        <v>AOW02: Action Lab</v>
      </c>
      <c r="B6" s="5">
        <v>6</v>
      </c>
      <c r="C6" s="5">
        <v>188066</v>
      </c>
      <c r="D6" s="5">
        <v>1</v>
      </c>
      <c r="E6" s="5">
        <v>35000</v>
      </c>
      <c r="F6" s="5">
        <v>0</v>
      </c>
      <c r="G6" s="5">
        <v>0</v>
      </c>
      <c r="H6" s="5">
        <v>0</v>
      </c>
      <c r="I6" s="5">
        <v>0</v>
      </c>
      <c r="J6" s="5">
        <v>223066</v>
      </c>
      <c r="K6" s="5">
        <v>223066</v>
      </c>
      <c r="L6" s="5">
        <v>24000</v>
      </c>
      <c r="M6" s="5">
        <v>0</v>
      </c>
      <c r="N6" s="4">
        <v>216</v>
      </c>
    </row>
    <row r="7" ht="20" customHeight="1">
      <c r="A7" s="4" t="str">
        <v>AOW03: Digital Futures</v>
      </c>
      <c r="B7" s="5">
        <v>1</v>
      </c>
      <c r="C7" s="5">
        <v>46493</v>
      </c>
      <c r="D7" s="5">
        <v>1</v>
      </c>
      <c r="E7" s="5">
        <v>46493</v>
      </c>
      <c r="F7" s="5">
        <v>0</v>
      </c>
      <c r="G7" s="5">
        <v>0</v>
      </c>
      <c r="H7" s="5">
        <v>0</v>
      </c>
      <c r="I7" s="5">
        <v>0</v>
      </c>
      <c r="J7" s="5">
        <v>92986</v>
      </c>
      <c r="K7" s="5">
        <v>92986</v>
      </c>
      <c r="L7" s="5">
        <v>0</v>
      </c>
      <c r="M7" s="5">
        <v>0</v>
      </c>
      <c r="N7" s="4">
        <v>218</v>
      </c>
    </row>
    <row r="8" ht="20" customHeight="1">
      <c r="A8" s="4" t="str">
        <v>AOW04: Enabling Environment</v>
      </c>
      <c r="B8" s="5">
        <v>1</v>
      </c>
      <c r="C8" s="5">
        <v>30000</v>
      </c>
      <c r="D8" s="5">
        <v>1</v>
      </c>
      <c r="E8" s="5">
        <v>40000</v>
      </c>
      <c r="F8" s="5">
        <v>58</v>
      </c>
      <c r="G8" s="5">
        <v>40000</v>
      </c>
      <c r="H8" s="5">
        <v>0</v>
      </c>
      <c r="I8" s="5">
        <v>0</v>
      </c>
      <c r="J8" s="5">
        <v>110000</v>
      </c>
      <c r="K8" s="5">
        <v>110000</v>
      </c>
      <c r="L8" s="5">
        <v>0</v>
      </c>
      <c r="M8" s="5">
        <v>0</v>
      </c>
      <c r="N8" s="4">
        <v>217</v>
      </c>
    </row>
    <row r="9" ht="25" customHeight="1">
      <c r="A9" s="6" t="str">
        <v>Total</v>
      </c>
      <c r="B9" s="7" t="str">
        <v/>
      </c>
      <c r="C9" s="7">
        <v>314559</v>
      </c>
      <c r="D9" s="7" t="str">
        <v/>
      </c>
      <c r="E9" s="7">
        <v>196493</v>
      </c>
      <c r="F9" s="7" t="str">
        <v/>
      </c>
      <c r="G9" s="7">
        <v>40000</v>
      </c>
      <c r="H9" s="7" t="str">
        <v/>
      </c>
      <c r="I9" s="7">
        <v>0</v>
      </c>
      <c r="J9" s="7">
        <v>551052</v>
      </c>
      <c r="K9" s="7">
        <v>551052</v>
      </c>
      <c r="L9" s="7">
        <v>24000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ICRISAT</v>
      </c>
      <c r="C3" s="4" t="str">
        <v>HLO 1.1: Developed integrated data infrastructure, tools, and standards to enable creation, discovery, and analysis of FAIR, AI-ready data and AI solutions.</v>
      </c>
      <c r="D3" s="4" t="str">
        <v>Number of data infrastructure, tools, and standards developed to create, collect, search and analyze FAIR and AI-ready data and digital solutions.</v>
      </c>
      <c r="E3" s="4" t="str">
        <v>Number of innovations (innovation development)</v>
      </c>
      <c r="F3" s="4" t="str">
        <v>Zambia, Timor-Leste, Ethiopia, Mexico, Greece, Nigeria, Malaysia, Peru, Bangladesh, India, Kenya, Colombia</v>
      </c>
      <c r="G3" s="5">
        <v>2</v>
      </c>
      <c r="H3" s="5">
        <v>50000</v>
      </c>
      <c r="I3" s="4" t="str" xml:space="preserve">
        <v xml:space="preserve">** The functional analytical tool may be designed as a web package.                                                  ** The direction of work is subject to changes depending upon the output at each level.
</v>
      </c>
      <c r="J3" s="4">
        <v>7252</v>
      </c>
    </row>
    <row r="4" ht="50" customHeight="1" xml:space="preserve">
      <c r="A4" s="4" t="str">
        <v>AOW01: Data Ecosystem</v>
      </c>
      <c r="B4" s="4" t="str">
        <v>ICRISAT</v>
      </c>
      <c r="C4" s="4" t="str">
        <v xml:space="preserve">HLO 1.2: Established standards-compliant FAIR data corpus enabling an open, secure analytics ecosystem. </v>
      </c>
      <c r="D4" s="4" t="str">
        <v>Number of standardized, FAIR and AI-ready datasets.</v>
      </c>
      <c r="E4" s="4" t="str">
        <v>Number of knowledge products</v>
      </c>
      <c r="F4" s="4" t="str">
        <v>Timor-Leste, Zambia, Kenya, Nigeria, Colombia, Pakistan, Mexico, India, Sri Lanka, Philippines, Peru, United States of America, Malaysia, Ghana, South Africa, Côte d'Ivoire</v>
      </c>
      <c r="G4" s="5">
        <v>11</v>
      </c>
      <c r="H4" s="5">
        <v>75000</v>
      </c>
      <c r="I4" s="4" t="str" xml:space="preserve">
        <v xml:space="preserve">Assumes successful collection and harmonization of advisory datasets, crop calendars, and decision rules from national and state partners. Risks include incomplete historical datasets, inconsistent formats, and delays in FAIR-compliant data cleaning
</v>
      </c>
      <c r="J4" s="4">
        <v>7261</v>
      </c>
    </row>
    <row r="5" ht="25" customHeight="1">
      <c r="C5" s="9" t="str">
        <v>HLO budget subtotal</v>
      </c>
      <c r="H5" s="9">
        <v>125000</v>
      </c>
      <c r="J5" s="9" t="str">
        <v/>
      </c>
    </row>
    <row r="6" ht="50" customHeight="1" xml:space="preserve">
      <c r="A6" s="8" t="str">
        <v>AOW02: Action Lab</v>
      </c>
      <c r="B6" s="4" t="str">
        <v>ICRISAT</v>
      </c>
      <c r="C6" s="4" t="str">
        <v>HLO 2.5: Advisory solutions use AI-powered tools, including language models and speech analytics, to improve relevance, accessibility, and user engagement.</v>
      </c>
      <c r="D6" s="4" t="str" xml:space="preserve">
        <v xml:space="preserve">ICRISAT 8: Number of advisory services integrating agriculture-focused AI language models
</v>
      </c>
      <c r="E6" s="4" t="str">
        <v>Number of innovations (innovation development)</v>
      </c>
      <c r="F6" s="4" t="str">
        <v>India</v>
      </c>
      <c r="G6" s="5">
        <v>1</v>
      </c>
      <c r="H6" s="5">
        <v>10000</v>
      </c>
      <c r="I6" s="4" t="str" xml:space="preserve">
        <v xml:space="preserve">Assumes stable multilingual LLM performance, integration support from partners, and smooth user testing with ≥5,000 farmers. Assumes $4000 allocation to partner Crea2Sol Pvt Ltd. 
</v>
      </c>
      <c r="J6" s="4">
        <v>6326</v>
      </c>
    </row>
    <row r="7" ht="50" customHeight="1" xml:space="preserve">
      <c r="B7" s="4" t="str">
        <v>ICRISAT</v>
      </c>
      <c r="D7" s="4" t="str" xml:space="preserve">
        <v xml:space="preserve">ICRISAT 7: Number of AI-powered agro-met advisory services developed using generative AI for crop-specific climate advisories
</v>
      </c>
      <c r="E7" s="4" t="str">
        <v>Number of innovations (innovation development)</v>
      </c>
      <c r="F7" s="4" t="str">
        <v>India</v>
      </c>
      <c r="G7" s="5">
        <v>1</v>
      </c>
      <c r="H7" s="5">
        <v>35000</v>
      </c>
      <c r="I7" s="4" t="str" xml:space="preserve">
        <v xml:space="preserve">Assumes timely availability of climate and crop datasets and continuous partner engagement (ICAR, IITM,IMD,ILRI, CRIDA). Risks include delays in ML model development, limited compute access, and reliance on external forecast APIs and regulatory clearances
</v>
      </c>
      <c r="J7" s="4">
        <v>6335</v>
      </c>
    </row>
    <row r="8" ht="50" customHeight="1" xml:space="preserve">
      <c r="A8" s="4" t="str">
        <v>AOW02: Action Lab</v>
      </c>
      <c r="B8" s="4" t="str">
        <v>ICRISAT</v>
      </c>
      <c r="C8" s="4" t="str">
        <v>HLO 2.4: Genebanks integrate AI-powered tools to improve germplasm management and access.</v>
      </c>
      <c r="D8" s="4" t="str" xml:space="preserve">
        <v xml:space="preserve">ICRISAT 11: Number of AI agent dashboards deployed for genebanks covering 6 crops for natural language germplasm querying
</v>
      </c>
      <c r="E8" s="4" t="str">
        <v>Number of innovations (innovation development)</v>
      </c>
      <c r="F8" s="4" t="str">
        <v>India</v>
      </c>
      <c r="G8" s="5">
        <v>1</v>
      </c>
      <c r="H8" s="5">
        <v>40000</v>
      </c>
      <c r="I8" s="4" t="str" xml:space="preserve">
        <v xml:space="preserve">The budget provisioned for working with ICRISAT's Genebank data to develop the Gen AI tools. 
</v>
      </c>
      <c r="J8" s="4">
        <v>6340</v>
      </c>
    </row>
    <row r="9" ht="50" customHeight="1" xml:space="preserve">
      <c r="B9" s="4" t="str">
        <v>ICRISAT</v>
      </c>
      <c r="D9" s="4" t="str" xml:space="preserve">
        <v xml:space="preserve">ICRISAT 12: Number of interactive genebank dashboards integrating passport, trait, and environmental data for germplasm discovery
</v>
      </c>
      <c r="E9" s="4" t="str">
        <v>Number of innovations (innovation development)</v>
      </c>
      <c r="F9" s="4" t="str">
        <v>India</v>
      </c>
      <c r="G9" s="5">
        <v>1</v>
      </c>
      <c r="H9" s="5">
        <v>10000</v>
      </c>
      <c r="I9" s="4" t="str" xml:space="preserve">
        <v xml:space="preserve">The budget provisioned for working with ICRISAT's Genebank data to develop the Gen AI tools. 
</v>
      </c>
      <c r="J9" s="4">
        <v>6342</v>
      </c>
    </row>
    <row r="10" ht="50" customHeight="1" xml:space="preserve">
      <c r="B10" s="4" t="str">
        <v>ICRISAT</v>
      </c>
      <c r="D10" s="4" t="str" xml:space="preserve">
        <v xml:space="preserve">ICRISAT 10: Number of genebanks deploying AI tools to make germplasm passport data AI-ready with biophysical descriptors
</v>
      </c>
      <c r="E10" s="4" t="str">
        <v>Number of innovations (innovation development)</v>
      </c>
      <c r="F10" s="4" t="str">
        <v>India</v>
      </c>
      <c r="G10" s="5">
        <v>1</v>
      </c>
      <c r="H10" s="5">
        <v>30000</v>
      </c>
      <c r="I10" s="4" t="str" xml:space="preserve">
        <v xml:space="preserve">The budget provisioned for working with ICRISAT's Genebank data to develop the Gen AI tools. 
</v>
      </c>
      <c r="J10" s="4">
        <v>6344</v>
      </c>
    </row>
    <row r="11" ht="50" customHeight="1" xml:space="preserve">
      <c r="A11" s="4" t="str">
        <v>AOW02: Action Lab</v>
      </c>
      <c r="B11" s="4" t="str">
        <v>ICRISAT</v>
      </c>
      <c r="C11" s="4" t="str">
        <v>HLO 2.1: Research integrates AI analytics, remote sensing, and digital technologies to enhance modeling, evidence generation, and environmental monitoring at scale.</v>
      </c>
      <c r="D11" s="4" t="str" xml:space="preserve">
        <v xml:space="preserve">ICRISAT 13: Number of FAIR-compliant digital nutrition tools developed with dietary recall and report-card modules
</v>
      </c>
      <c r="E11" s="4" t="str">
        <v>Number of innovations (innovation development)</v>
      </c>
      <c r="F11" s="4" t="str">
        <v>India</v>
      </c>
      <c r="G11" s="5">
        <v>1</v>
      </c>
      <c r="H11" s="5">
        <v>63066</v>
      </c>
      <c r="I11" s="4" t="str" xml:space="preserve">
        <v xml:space="preserve">This budget provision is for customizing the tools in collaboration with partners. Assumes $20,000 allocation to partner University of Cambridge. 
</v>
      </c>
      <c r="J11" s="4">
        <v>6470</v>
      </c>
    </row>
    <row r="12" ht="50" customHeight="1" xml:space="preserve">
      <c r="B12" s="4" t="str">
        <v>ICRISAT</v>
      </c>
      <c r="D12" s="4" t="str">
        <v>Number of geospatial use cases, including datasets, documentation, and intended outcome</v>
      </c>
      <c r="E12" s="4" t="str">
        <v>Number of knowledge products</v>
      </c>
      <c r="F12" s="4" t="str">
        <v>United States of America, Tanzania, United Republic, Kenya, Malaysia, Mexico, India, Nigeria, Ghana, Sri Lanka, Mozambique, Peru, Colombia, Philippines, Rwanda, Ethiopia</v>
      </c>
      <c r="G12" s="5">
        <v>1</v>
      </c>
      <c r="H12" s="5">
        <v>35000</v>
      </c>
      <c r="I12" s="4" t="str" xml:space="preserve">
        <v xml:space="preserve">The successful delivery depends on identification of proper geospatial use case and smooth coordination within the CSI community and with all participating CG centers. 
</v>
      </c>
      <c r="J12" s="4">
        <v>7350</v>
      </c>
    </row>
    <row r="13" ht="25" customHeight="1">
      <c r="C13" s="9" t="str">
        <v>HLO budget subtotal</v>
      </c>
      <c r="H13" s="9">
        <v>223066</v>
      </c>
      <c r="J13" s="9" t="str">
        <v/>
      </c>
    </row>
    <row r="14" ht="50" customHeight="1">
      <c r="A14" s="8" t="str">
        <v>AOW03: Digital Futures</v>
      </c>
      <c r="B14" s="4" t="str">
        <v>ICRISAT</v>
      </c>
      <c r="C14" s="4" t="str">
        <v>HLO 3.1: Probes of a wide range of AI and/or other novel digital solutions to generate early evidence on digital frontier technology impacts, for decision making.</v>
      </c>
      <c r="D14" s="4" t="str">
        <v>ICRISAT 3.1: Number of probes on AI and digital solution supporting system-level scenario analysis for decision-makers.</v>
      </c>
      <c r="E14" s="4" t="str">
        <v>Number of knowledge products</v>
      </c>
      <c r="F14" s="4" t="str">
        <v>India</v>
      </c>
      <c r="G14" s="5">
        <v>1</v>
      </c>
      <c r="H14" s="5">
        <v>46493</v>
      </c>
      <c r="I14" s="4" t="str">
        <v>The budget is provisioned to work with DTA team on AI co-scientist use case. Simultaneously, ICRISAT team will also working on ICRISAT's LLM use case.</v>
      </c>
      <c r="J14" s="4">
        <v>6388</v>
      </c>
    </row>
    <row r="15" ht="50" customHeight="1" xml:space="preserve">
      <c r="A15" s="4" t="str">
        <v>AOW03: Digital Futures</v>
      </c>
      <c r="B15" s="4" t="str">
        <v>ICRISAT</v>
      </c>
      <c r="C15" s="4" t="str">
        <v>HLO 3.2: Future case scenarios identified for digital transformation in FWL systems in addressing context-specific challenges and opportunities.</v>
      </c>
      <c r="D15" s="4" t="str">
        <v>ICRISAT 3: Number of AI and digital solution probes supporting system-level scenario analysis for decision-makers.</v>
      </c>
      <c r="E15" s="4" t="str">
        <v>Number of innovations (innovation development)</v>
      </c>
      <c r="F15" s="4" t="str">
        <v>India</v>
      </c>
      <c r="G15" s="5">
        <v>1</v>
      </c>
      <c r="H15" s="5">
        <v>46493</v>
      </c>
      <c r="I15" s="4" t="str" xml:space="preserve">
        <v xml:space="preserve">This will include one probe on analytical tools under Digital MRV
</v>
      </c>
      <c r="J15" s="4">
        <v>6396</v>
      </c>
    </row>
    <row r="16" ht="25" customHeight="1">
      <c r="C16" s="9" t="str">
        <v>HLO budget subtotal</v>
      </c>
      <c r="H16" s="9">
        <v>92986</v>
      </c>
      <c r="J16" s="9" t="str">
        <v/>
      </c>
    </row>
    <row r="17" ht="50" customHeight="1" xml:space="preserve">
      <c r="A17" s="8" t="str">
        <v>AOW04: Enabling Environment</v>
      </c>
      <c r="B17" s="4" t="str">
        <v>ICRISAT</v>
      </c>
      <c r="C17" s="4" t="str">
        <v>HLO 4.4: Capacity, participation, and organizational readiness strengthened for responsible, human-centered, and sustainable digital innovation across FLW systems.</v>
      </c>
      <c r="D17" s="4" t="str" xml:space="preserve">
        <v xml:space="preserve">ICRISAT 5: Number of individuals who received training on Human-Centered Design, AI, and CSI.
</v>
      </c>
      <c r="E17" s="4" t="str">
        <v>Number of people trained (capacity sharing for development)</v>
      </c>
      <c r="F17" s="4" t="str">
        <v>India, Ethiopia, Kenya, Malawi</v>
      </c>
      <c r="G17" s="5">
        <v>50</v>
      </c>
      <c r="H17" s="5">
        <v>30000</v>
      </c>
      <c r="I17" s="4" t="str" xml:space="preserve">
        <v xml:space="preserve"> Active Participation in COPs on, Data foundations Geospatial, AI, and HCD
</v>
      </c>
      <c r="J17" s="4">
        <v>6315</v>
      </c>
    </row>
    <row r="18" ht="50" customHeight="1" xml:space="preserve">
      <c r="A18" s="4" t="str">
        <v>AOW04: Enabling Environment</v>
      </c>
      <c r="B18" s="4" t="str">
        <v>ICRISAT</v>
      </c>
      <c r="C18" s="4" t="str">
        <v>HLO 4.2:  Applied tools, frameworks, methods, guidelines and prototypes developed to support responsible, inclusive, and user-centered digital innovation across FLW systems.</v>
      </c>
      <c r="D18" s="4" t="str">
        <v>ICRISAT 4 : Number of GeoAI-driven geomorphological modeling framework for spatial and ecological planning developed.</v>
      </c>
      <c r="E18" s="4" t="str">
        <v>Number of knowledge products</v>
      </c>
      <c r="F18" s="4" t="str">
        <v>Ethiopia, Kenya, Malawi</v>
      </c>
      <c r="G18" s="5">
        <v>1</v>
      </c>
      <c r="H18" s="5">
        <v>40000</v>
      </c>
      <c r="I18" s="4" t="str" xml:space="preserve">
        <v xml:space="preserve">The budget assumes that centers will have the resources, collaboration, and technical readiness needed to strengthen secure digital infrastructure and develop skills in AI, data science, and digital product management. Key risks include limited funding etc. 
</v>
      </c>
      <c r="J18" s="4">
        <v>6316</v>
      </c>
    </row>
    <row r="19" ht="50" customHeight="1" xml:space="preserve">
      <c r="A19" s="4" t="str">
        <v>AOW04: Enabling Environment</v>
      </c>
      <c r="B19" s="4" t="str">
        <v>ICRISAT</v>
      </c>
      <c r="C19" s="4" t="str">
        <v>HLO 4.6 Robust, secure and flexible foundational digital infrastructure &amp; sustainable operating model across centers and hubs</v>
      </c>
      <c r="D19" s="4" t="str" xml:space="preserve">
        <v xml:space="preserve">ICRISAT 6: Number of infrastructure setups deployed for data storage and processing in target domains  to support research teams and digital innovation initiatives.
</v>
      </c>
      <c r="E19" s="4" t="str">
        <v>Number of innovations (innovation development)</v>
      </c>
      <c r="F19" s="4" t="str">
        <v>India</v>
      </c>
      <c r="G19" s="5">
        <v>1</v>
      </c>
      <c r="H19" s="5">
        <v>30000</v>
      </c>
      <c r="I19" s="4" t="str">
        <v xml:space="preserve">The package assumes that CGIAR centers will have sufficient resources, collaboration, and technical readiness to strengthen secure digital infrastructure and build skills in data science, AI, and digital product management. </v>
      </c>
      <c r="J19" s="4">
        <v>6353</v>
      </c>
    </row>
    <row r="20" ht="50" customHeight="1" xml:space="preserve">
      <c r="A20" s="4" t="str">
        <v>AOW04: Enabling Environment</v>
      </c>
      <c r="B20" s="4" t="str">
        <v>ICRISAT</v>
      </c>
      <c r="C20" s="4" t="str">
        <v>HLO 4.1. Communities of practice and collaborative knowledge platforms established to coordinate learning, exchange, and leadership on responsible and inclusive digital innovation across FLW systems.</v>
      </c>
      <c r="D20" s="4" t="str">
        <v>Number of people trained on geospatial foundation models, platforms and/or frameworks</v>
      </c>
      <c r="E20" s="4" t="str">
        <v>Number of people trained (capacity sharing for development)</v>
      </c>
      <c r="F20" s="4" t="str">
        <v>Kenya</v>
      </c>
      <c r="G20" s="5">
        <v>5</v>
      </c>
      <c r="H20" s="5">
        <v>5000</v>
      </c>
      <c r="I20"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20" s="4">
        <v>7368</v>
      </c>
    </row>
    <row r="21" ht="50" customHeight="1" xml:space="preserve">
      <c r="B21" s="4" t="str">
        <v>ICRISAT</v>
      </c>
      <c r="D21" s="4" t="str">
        <v xml:space="preserve">Number of individuals capacitated through consortium workshops on Spatial Information (CSI) to coordinate geospatial analysis across the CGIAR </v>
      </c>
      <c r="E21" s="4" t="str">
        <v>Number of people trained (capacity sharing for development)</v>
      </c>
      <c r="F21" s="4" t="str">
        <v>Kenya</v>
      </c>
      <c r="G21" s="5">
        <v>3</v>
      </c>
      <c r="H21" s="5">
        <v>5000</v>
      </c>
      <c r="I21"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21" s="4">
        <v>7378</v>
      </c>
    </row>
    <row r="22" ht="50" customHeight="1">
      <c r="B22" s="4" t="str">
        <v>ICRISAT</v>
      </c>
      <c r="D22" s="4" t="str">
        <v>GNDR Swedish: Number of Center Needs Assessments and strategic roadmaps developed to identify institutional priorities, enabling conditions and opportunities for streamlining human-centered and inclusive digital product development.</v>
      </c>
      <c r="E22" s="4" t="str">
        <v>Number of knowledge products</v>
      </c>
      <c r="F22" s="4" t="str">
        <v>India, United States of America, Peru, Colombia, Kenya, Lebanon, Mexico, Philippines, Nigeria, Malaysia, Sri Lanka, Côte d'Ivoire, Italy</v>
      </c>
      <c r="G22" s="5">
        <v>1</v>
      </c>
      <c r="H22" s="5">
        <v>0</v>
      </c>
      <c r="I22" s="4" t="str">
        <v/>
      </c>
      <c r="J22" s="4">
        <v>8354</v>
      </c>
    </row>
    <row r="23" ht="25" customHeight="1">
      <c r="C23" s="9" t="str">
        <v>HLO budget subtotal</v>
      </c>
      <c r="H23" s="9">
        <v>110000</v>
      </c>
      <c r="J23" s="9" t="str">
        <v/>
      </c>
    </row>
  </sheetData>
  <mergeCells count="18">
    <mergeCell ref="A1:A2"/>
    <mergeCell ref="B1:B2"/>
    <mergeCell ref="C1:C2"/>
    <mergeCell ref="D1:H1"/>
    <mergeCell ref="I1:I2"/>
    <mergeCell ref="J1:J2"/>
    <mergeCell ref="C5:G5"/>
    <mergeCell ref="A3:A5"/>
    <mergeCell ref="C6:C7"/>
    <mergeCell ref="C8:C10"/>
    <mergeCell ref="C11:C12"/>
    <mergeCell ref="C13:G13"/>
    <mergeCell ref="A6:A13"/>
    <mergeCell ref="C16:G16"/>
    <mergeCell ref="A14:A16"/>
    <mergeCell ref="C20:C22"/>
    <mergeCell ref="C23:G23"/>
    <mergeCell ref="A17:A23"/>
  </mergeCells>
  <ignoredErrors>
    <ignoredError numberStoredAsText="1" sqref="A1:J23"/>
  </ignoredErrors>
</worksheet>
</file>

<file path=xl/worksheets/sheet3.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Action Lab</v>
      </c>
      <c r="B2" s="4" t="str">
        <v>University of Cambridge</v>
      </c>
      <c r="C2" s="4" t="str">
        <v>ICRISAT</v>
      </c>
      <c r="D2" s="4" t="str">
        <v>United Kingdom of Great Britain and Northern Ireland</v>
      </c>
      <c r="E2" s="5">
        <v>20000</v>
      </c>
      <c r="F2" s="4" t="str">
        <v xml:space="preserve">Subject to approval of budget, and contracting is TBD. </v>
      </c>
      <c r="G2" s="4">
        <v>222</v>
      </c>
    </row>
    <row r="3" ht="50" customHeight="1">
      <c r="A3" s="4" t="str">
        <v>AOW02: Action Lab</v>
      </c>
      <c r="B3" s="4" t="str">
        <v>Unknown Partner 2</v>
      </c>
      <c r="C3" s="4" t="str">
        <v>ICRISAT</v>
      </c>
      <c r="D3" s="4" t="str">
        <v>India</v>
      </c>
      <c r="E3" s="5">
        <v>4000</v>
      </c>
      <c r="F3" s="4" t="str">
        <v xml:space="preserve">Possibly Crea2Sol Pvt Ltd. Contracting TBC after approval of PORB. </v>
      </c>
      <c r="G3" s="4">
        <v>223</v>
      </c>
    </row>
    <row r="4" ht="25" customHeight="1">
      <c r="B4" s="9" t="str">
        <v>Contracted partners subtotal</v>
      </c>
      <c r="E4" s="9">
        <v>24000</v>
      </c>
      <c r="F4" s="9" t="str">
        <v/>
      </c>
      <c r="G4" s="9" t="str">
        <v/>
      </c>
    </row>
  </sheetData>
  <mergeCells count="2">
    <mergeCell ref="B4:D4"/>
    <mergeCell ref="A2:A4"/>
  </mergeCells>
  <ignoredErrors>
    <ignoredError numberStoredAsText="1" sqref="A1:G4"/>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67000</v>
      </c>
      <c r="D2" s="5">
        <v>126000</v>
      </c>
      <c r="E2" s="5">
        <v>54000</v>
      </c>
      <c r="F2" s="5">
        <v>52500</v>
      </c>
      <c r="G2" s="5">
        <f>=SUM(B2:F2)</f>
        <v>0</v>
      </c>
    </row>
    <row r="3" ht="20" customHeight="1">
      <c r="A3" s="4" t="str">
        <v>Operations (supplies, consultants, travels, workshops, other)</v>
      </c>
      <c r="B3" s="5">
        <v>0</v>
      </c>
      <c r="C3" s="5">
        <v>58000</v>
      </c>
      <c r="D3" s="5">
        <v>73066</v>
      </c>
      <c r="E3" s="5">
        <v>38986</v>
      </c>
      <c r="F3" s="5">
        <v>57500</v>
      </c>
      <c r="G3" s="5">
        <f>=SUM(B3:F3)</f>
        <v>0</v>
      </c>
    </row>
    <row r="4" ht="20" customHeight="1">
      <c r="A4" s="4" t="str">
        <v>Collaborators non-CGIAR centers</v>
      </c>
      <c r="B4" s="5">
        <v>0</v>
      </c>
      <c r="C4" s="5">
        <v>0</v>
      </c>
      <c r="D4" s="5">
        <v>24000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Data Ecosystem</v>
      </c>
      <c r="B2" s="4" t="str">
        <v>ICRISAT</v>
      </c>
      <c r="C2" s="4" t="str">
        <v>India</v>
      </c>
      <c r="D2" s="5">
        <v>100</v>
      </c>
      <c r="E2" s="4">
        <v>1276</v>
      </c>
    </row>
    <row r="3" ht="45" customHeight="1">
      <c r="A3" s="8" t="str">
        <v>AOW02: Action Lab</v>
      </c>
      <c r="B3" s="4" t="str">
        <v>ICRISAT</v>
      </c>
      <c r="C3" s="4" t="str">
        <v>India</v>
      </c>
      <c r="D3" s="5">
        <v>100</v>
      </c>
      <c r="E3" s="4">
        <v>1327</v>
      </c>
    </row>
    <row r="4" ht="45" customHeight="1">
      <c r="A4" s="8" t="str">
        <v>AOW03: Digital Futures</v>
      </c>
      <c r="B4" s="4" t="str">
        <v>ICRISAT</v>
      </c>
      <c r="C4" s="4" t="str">
        <v>India</v>
      </c>
      <c r="D4" s="5">
        <v>100</v>
      </c>
      <c r="E4" s="4">
        <v>1380</v>
      </c>
    </row>
    <row r="5" ht="45" customHeight="1">
      <c r="A5" s="8" t="str">
        <v>AOW04: Enabling Environment</v>
      </c>
      <c r="B5" s="4" t="str">
        <v>ICRISAT</v>
      </c>
      <c r="C5" s="4" t="str">
        <v>Ethiopia</v>
      </c>
      <c r="D5" s="5">
        <v>18</v>
      </c>
      <c r="E5" s="4">
        <v>1452</v>
      </c>
    </row>
    <row r="6" ht="45" customHeight="1">
      <c r="A6" s="4" t="str">
        <v>AOW04: Enabling Environment</v>
      </c>
      <c r="B6" s="4" t="str">
        <v>ICRISAT</v>
      </c>
      <c r="C6" s="4" t="str">
        <v>India</v>
      </c>
      <c r="D6" s="5">
        <v>35</v>
      </c>
      <c r="E6" s="4">
        <v>1453</v>
      </c>
    </row>
    <row r="7" ht="45" customHeight="1">
      <c r="A7" s="4" t="str">
        <v>AOW04: Enabling Environment</v>
      </c>
      <c r="B7" s="4" t="str">
        <v>ICRISAT</v>
      </c>
      <c r="C7" s="4" t="str">
        <v>Kenya</v>
      </c>
      <c r="D7" s="5">
        <v>28</v>
      </c>
      <c r="E7" s="4">
        <v>1454</v>
      </c>
    </row>
    <row r="8" ht="45" customHeight="1">
      <c r="A8" s="4" t="str">
        <v>AOW04: Enabling Environment</v>
      </c>
      <c r="B8" s="4" t="str">
        <v>ICRISAT</v>
      </c>
      <c r="C8" s="4" t="str">
        <v>Malawi</v>
      </c>
      <c r="D8" s="5">
        <v>19</v>
      </c>
      <c r="E8" s="4">
        <v>1455</v>
      </c>
    </row>
  </sheetData>
  <mergeCells count="4">
    <mergeCell ref="A2"/>
    <mergeCell ref="A3"/>
    <mergeCell ref="A4"/>
    <mergeCell ref="A5:A8"/>
  </mergeCells>
  <ignoredErrors>
    <ignoredError numberStoredAsText="1" sqref="A1:E8"/>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Data Ecosystem</v>
      </c>
      <c r="B2" s="4" t="str">
        <v>ICRISAT</v>
      </c>
      <c r="C2" s="4" t="str">
        <v>India</v>
      </c>
      <c r="D2" s="4" t="str">
        <v>country</v>
      </c>
      <c r="E2" s="5">
        <v>100</v>
      </c>
      <c r="F2" s="4">
        <v>448</v>
      </c>
    </row>
    <row r="3" ht="45" customHeight="1">
      <c r="A3" s="8" t="str">
        <v>AOW02: Action Lab</v>
      </c>
      <c r="B3" s="4" t="str">
        <v>ICRISAT</v>
      </c>
      <c r="C3" s="4" t="str">
        <v>Global</v>
      </c>
      <c r="D3" s="4" t="str">
        <v>global</v>
      </c>
      <c r="E3" s="5">
        <v>0</v>
      </c>
      <c r="F3" s="4">
        <v>463</v>
      </c>
    </row>
    <row r="4" ht="45" customHeight="1">
      <c r="A4" s="4" t="str">
        <v>AOW02: Action Lab</v>
      </c>
      <c r="B4" s="4" t="str">
        <v>ICRISAT</v>
      </c>
      <c r="C4" s="4" t="str">
        <v>India</v>
      </c>
      <c r="D4" s="4" t="str">
        <v>country</v>
      </c>
      <c r="E4" s="5">
        <v>100</v>
      </c>
      <c r="F4" s="4">
        <v>464</v>
      </c>
    </row>
    <row r="5" ht="45" customHeight="1">
      <c r="A5" s="8" t="str">
        <v>AOW03: Digital Futures</v>
      </c>
      <c r="B5" s="4" t="str">
        <v>ICRISAT</v>
      </c>
      <c r="C5" s="4" t="str">
        <v>Global</v>
      </c>
      <c r="D5" s="4" t="str">
        <v>global</v>
      </c>
      <c r="E5" s="5">
        <v>100</v>
      </c>
      <c r="F5" s="4">
        <v>489</v>
      </c>
    </row>
    <row r="6" ht="45" customHeight="1">
      <c r="A6" s="8" t="str">
        <v>AOW04: Enabling Environment</v>
      </c>
      <c r="B6" s="4" t="str">
        <v>ICRISAT</v>
      </c>
      <c r="C6" s="4" t="str">
        <v>Global</v>
      </c>
      <c r="D6" s="4" t="str">
        <v>global</v>
      </c>
      <c r="E6" s="5">
        <v>100</v>
      </c>
      <c r="F6" s="4">
        <v>513</v>
      </c>
    </row>
  </sheetData>
  <mergeCells count="4">
    <mergeCell ref="A2"/>
    <mergeCell ref="A3: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