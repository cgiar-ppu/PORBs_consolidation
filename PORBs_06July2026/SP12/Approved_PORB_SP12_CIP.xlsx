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37084</v>
      </c>
      <c r="K4" s="5">
        <v>37084</v>
      </c>
      <c r="L4" s="5">
        <v>0</v>
      </c>
      <c r="M4" s="5">
        <v>0</v>
      </c>
      <c r="N4" s="4">
        <v>219</v>
      </c>
    </row>
    <row r="5" ht="20" customHeight="1">
      <c r="A5" s="4" t="str">
        <v>AOW01: Data Ecosystem</v>
      </c>
      <c r="B5" s="5">
        <v>2</v>
      </c>
      <c r="C5" s="5">
        <v>25000</v>
      </c>
      <c r="D5" s="5">
        <v>14</v>
      </c>
      <c r="E5" s="5">
        <v>50000</v>
      </c>
      <c r="F5" s="5">
        <v>150</v>
      </c>
      <c r="G5" s="5">
        <v>25000</v>
      </c>
      <c r="H5" s="5">
        <v>0</v>
      </c>
      <c r="I5" s="5">
        <v>0</v>
      </c>
      <c r="J5" s="5">
        <v>100000</v>
      </c>
      <c r="K5" s="5">
        <v>100000</v>
      </c>
      <c r="L5" s="5">
        <v>0</v>
      </c>
      <c r="M5" s="5">
        <v>0</v>
      </c>
      <c r="N5" s="4">
        <v>215</v>
      </c>
    </row>
    <row r="6" ht="20" customHeight="1">
      <c r="A6" s="4" t="str">
        <v>AOW02: Action Lab</v>
      </c>
      <c r="B6" s="5">
        <v>0</v>
      </c>
      <c r="C6" s="5">
        <v>0</v>
      </c>
      <c r="D6" s="5">
        <v>7</v>
      </c>
      <c r="E6" s="5">
        <v>210000</v>
      </c>
      <c r="F6" s="5">
        <v>0</v>
      </c>
      <c r="G6" s="5">
        <v>0</v>
      </c>
      <c r="H6" s="5">
        <v>0</v>
      </c>
      <c r="I6" s="5">
        <v>0</v>
      </c>
      <c r="J6" s="5">
        <v>210000</v>
      </c>
      <c r="K6" s="5">
        <v>210000</v>
      </c>
      <c r="L6" s="5">
        <v>0</v>
      </c>
      <c r="M6" s="5">
        <v>0</v>
      </c>
      <c r="N6" s="4">
        <v>216</v>
      </c>
    </row>
    <row r="7" ht="20" customHeight="1">
      <c r="A7" s="4" t="str">
        <v>AOW03: Digital Futures</v>
      </c>
      <c r="B7" s="5">
        <v>4</v>
      </c>
      <c r="C7" s="5">
        <v>36744</v>
      </c>
      <c r="D7" s="5">
        <v>1</v>
      </c>
      <c r="E7" s="5">
        <v>10000</v>
      </c>
      <c r="F7" s="5">
        <v>0</v>
      </c>
      <c r="G7" s="5">
        <v>0</v>
      </c>
      <c r="H7" s="5">
        <v>0</v>
      </c>
      <c r="I7" s="5">
        <v>0</v>
      </c>
      <c r="J7" s="5">
        <v>46744</v>
      </c>
      <c r="K7" s="5">
        <v>46744</v>
      </c>
      <c r="L7" s="5">
        <v>0</v>
      </c>
      <c r="M7" s="5">
        <v>0</v>
      </c>
      <c r="N7" s="4">
        <v>218</v>
      </c>
    </row>
    <row r="8" ht="20" customHeight="1">
      <c r="A8" s="4" t="str">
        <v>AOW04: Enabling Environment</v>
      </c>
      <c r="B8" s="5">
        <v>6</v>
      </c>
      <c r="C8" s="5">
        <v>120000</v>
      </c>
      <c r="D8" s="5">
        <v>1</v>
      </c>
      <c r="E8" s="5">
        <v>30000</v>
      </c>
      <c r="F8" s="5">
        <v>78</v>
      </c>
      <c r="G8" s="5">
        <v>60000</v>
      </c>
      <c r="H8" s="5">
        <v>0</v>
      </c>
      <c r="I8" s="5">
        <v>0</v>
      </c>
      <c r="J8" s="5">
        <v>210000</v>
      </c>
      <c r="K8" s="5">
        <v>210000</v>
      </c>
      <c r="L8" s="5">
        <v>0</v>
      </c>
      <c r="M8" s="5">
        <v>0</v>
      </c>
      <c r="N8" s="4">
        <v>217</v>
      </c>
    </row>
    <row r="9" ht="25" customHeight="1">
      <c r="A9" s="6" t="str">
        <v>Total</v>
      </c>
      <c r="B9" s="7" t="str">
        <v/>
      </c>
      <c r="C9" s="7">
        <v>181744</v>
      </c>
      <c r="D9" s="7" t="str">
        <v/>
      </c>
      <c r="E9" s="7">
        <v>300000</v>
      </c>
      <c r="F9" s="7" t="str">
        <v/>
      </c>
      <c r="G9" s="7">
        <v>85000</v>
      </c>
      <c r="H9" s="7" t="str">
        <v/>
      </c>
      <c r="I9" s="7">
        <v>0</v>
      </c>
      <c r="J9" s="7">
        <v>603828</v>
      </c>
      <c r="K9" s="7">
        <v>603828</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CIP</v>
      </c>
      <c r="C3" s="4" t="str">
        <v>HLO 1.3: Established governance strategies and frameworks to strengthen data and digital management and drive culture change across CGIAR Centers.</v>
      </c>
      <c r="D3" s="4" t="str">
        <v>Number of individuals trained on ethical and inclusive data and digital practices.</v>
      </c>
      <c r="E3" s="4" t="str">
        <v>Number of people trained (capacity sharing for development)</v>
      </c>
      <c r="F3" s="4" t="str">
        <v>Philippines, Ethiopia, India, The Socialist Republic of Viet Nam, Malaysia, Thailand, Mexico, Kenya, Peru</v>
      </c>
      <c r="G3" s="5">
        <v>100</v>
      </c>
      <c r="H3" s="5">
        <v>12500</v>
      </c>
      <c r="I3" s="4" t="str" xml:space="preserve">
        <v xml:space="preserve">Staff cost for percentage time of data team members working on research data. Includes time for travel for one data professional to represent CIP in an AoW1 collaborative meeting and any travel for capacity building in other offices in Peru.
</v>
      </c>
      <c r="J3" s="4">
        <v>6452</v>
      </c>
    </row>
    <row r="4" ht="50" customHeight="1" xml:space="preserve">
      <c r="B4" s="4" t="str">
        <v>CIP</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1</v>
      </c>
      <c r="H4" s="5">
        <v>6250</v>
      </c>
      <c r="I4" s="4" t="str" xml:space="preserve">
        <v xml:space="preserve">Staff cost for percentage time of data team members working on research data and breeding team staff working on dataset curation.
</v>
      </c>
      <c r="J4" s="4">
        <v>7274</v>
      </c>
    </row>
    <row r="5" ht="50" customHeight="1" xml:space="preserve">
      <c r="A5" s="4" t="str">
        <v>AOW01: Data Ecosystem</v>
      </c>
      <c r="B5" s="4" t="str">
        <v>CIP</v>
      </c>
      <c r="C5" s="4" t="str">
        <v>HLO 1.1: Developed integrated data infrastructure, tools, and standards to enable creation, discovery, and analysis of FAIR, AI-ready data and AI solutions.</v>
      </c>
      <c r="D5" s="4" t="str">
        <v>Number of individuals capacitated to create, collect, analyze and ethically use  FAIR and AI-ready data and digital solutions.</v>
      </c>
      <c r="E5" s="4" t="str">
        <v>Number of people trained (capacity sharing for development)</v>
      </c>
      <c r="F5" s="4" t="str">
        <v>Zambia, Timor-Leste, India, Colombia, Egypt, Philippines, Bangladesh, Ethiopia, Nigeria, Peru, Malaysia, Guatemala, Ghana, Kenya, France</v>
      </c>
      <c r="G5" s="5">
        <v>50</v>
      </c>
      <c r="H5" s="5">
        <v>12500</v>
      </c>
      <c r="I5" s="4" t="str" xml:space="preserve">
        <v xml:space="preserve">Staff cost for percentage time of data team members working on research data. 
</v>
      </c>
      <c r="J5" s="4">
        <v>7243</v>
      </c>
    </row>
    <row r="6" ht="50" customHeight="1" xml:space="preserve">
      <c r="B6" s="4" t="str">
        <v>CIP</v>
      </c>
      <c r="D6" s="4" t="str">
        <v>Number of data infrastructure, tools, and standards developed to create, collect, search and analyze FAIR and AI-ready data and digital solutions.</v>
      </c>
      <c r="E6" s="4" t="str">
        <v>Number of innovations (innovation development)</v>
      </c>
      <c r="F6" s="4" t="str">
        <v>Zambia, Timor-Leste, Ethiopia, Mexico, Greece, Nigeria, Malaysia, Peru, Bangladesh, India, Kenya, Colombia</v>
      </c>
      <c r="G6" s="5">
        <v>2</v>
      </c>
      <c r="H6" s="5">
        <v>25000</v>
      </c>
      <c r="I6" s="4" t="str" xml:space="preserve">
        <v xml:space="preserve">Staff cost for percentage time of data team members working on research data pipelines.
</v>
      </c>
      <c r="J6" s="4">
        <v>7249</v>
      </c>
    </row>
    <row r="7" ht="50" customHeight="1" xml:space="preserve">
      <c r="B7" s="4" t="str">
        <v>CIP</v>
      </c>
      <c r="D7" s="4" t="str">
        <v>Number of guidelines, training material and other support documents to foster and change culture around the creation, collection, analysis and ethical use of FAIR and AI-ready data and digital solutions.</v>
      </c>
      <c r="E7" s="4" t="str">
        <v>Number of knowledge products</v>
      </c>
      <c r="F7" s="4" t="str">
        <v>Sri Lanka, Mexico, India, Pakistan, Peru, South Africa, Philippines, Kenya, Rwanda, Tanzania, United Republic</v>
      </c>
      <c r="G7" s="5">
        <v>3</v>
      </c>
      <c r="H7" s="5">
        <v>31250</v>
      </c>
      <c r="I7" s="4" t="str" xml:space="preserve">
        <v xml:space="preserve">Staff cost for percentage time of data team members working on research data FAIRfication.  Also includes time for breeding data team member for prioritized breeding data.
</v>
      </c>
      <c r="J7" s="4">
        <v>7257</v>
      </c>
    </row>
    <row r="8" ht="50" customHeight="1" xml:space="preserve">
      <c r="A8" s="4" t="str">
        <v>AOW01: Data Ecosystem</v>
      </c>
      <c r="B8" s="4" t="str">
        <v>CIP</v>
      </c>
      <c r="C8" s="4" t="str">
        <v xml:space="preserve">HLO 1.2: Established standards-compliant FAIR data corpus enabling an open, secure analytics ecosystem. </v>
      </c>
      <c r="D8" s="4" t="str">
        <v>Number of standardized, FAIR and AI-ready datasets.</v>
      </c>
      <c r="E8" s="4" t="str">
        <v>Number of knowledge products</v>
      </c>
      <c r="F8" s="4" t="str">
        <v>Timor-Leste, Zambia, Kenya, Nigeria, Colombia, Pakistan, Mexico, India, Sri Lanka, Philippines, Peru, United States of America, Malaysia, Ghana, South Africa, Côte d'Ivoire</v>
      </c>
      <c r="G8" s="5">
        <v>10</v>
      </c>
      <c r="H8" s="5">
        <v>12500</v>
      </c>
      <c r="I8" s="4" t="str" xml:space="preserve">
        <v xml:space="preserve">Staff cost for percentage time of data team members working on research data and breeding team staff working on dataset curation.
</v>
      </c>
      <c r="J8" s="4">
        <v>7263</v>
      </c>
    </row>
    <row r="9" ht="25" customHeight="1">
      <c r="C9" s="9" t="str">
        <v>HLO budget subtotal</v>
      </c>
      <c r="H9" s="9">
        <v>100000</v>
      </c>
      <c r="J9" s="9" t="str">
        <v/>
      </c>
    </row>
    <row r="10" ht="50" customHeight="1" xml:space="preserve">
      <c r="A10" s="8" t="str">
        <v>AOW02: Action Lab</v>
      </c>
      <c r="B10" s="4" t="str">
        <v>CIP</v>
      </c>
      <c r="C10" s="4" t="str">
        <v>HLO 2.1: Research integrates AI analytics, remote sensing, and digital technologies to enhance modeling, evidence generation, and environmental monitoring at scale.</v>
      </c>
      <c r="D10" s="4" t="str" xml:space="preserve">
        <v xml:space="preserve">CIP 21: Number of AI-powered research outputs produced through the root and tuber crop technology transfer program
</v>
      </c>
      <c r="E10" s="4" t="str">
        <v>Number of knowledge products</v>
      </c>
      <c r="F10" s="4" t="str">
        <v>Rwanda</v>
      </c>
      <c r="G10" s="5">
        <v>3</v>
      </c>
      <c r="H10" s="5">
        <v>75000</v>
      </c>
      <c r="I10" s="4" t="str" xml:space="preserve">
        <v xml:space="preserve">Covers staff cost for percentage time of regenerative agriculture and data scientists. Includes operational cost for field validation visits, consultancy and travel.
Assumes that developed CIP data and models will be integrated into the AFSA platform. 
</v>
      </c>
      <c r="J10" s="4">
        <v>6471</v>
      </c>
    </row>
    <row r="11" ht="50" customHeight="1" xml:space="preserve">
      <c r="B11" s="4" t="str">
        <v>CIP</v>
      </c>
      <c r="D11" s="4" t="str">
        <v>Number of geospatial use cases, including datasets, documentation, and intended outcome</v>
      </c>
      <c r="E11" s="4" t="str">
        <v>Number of knowledge products</v>
      </c>
      <c r="F11" s="4" t="str">
        <v>United States of America, Tanzania, United Republic, Kenya, Malaysia, Mexico, India, Nigeria, Ghana, Sri Lanka, Mozambique, Peru, Colombia, Philippines, Rwanda, Ethiopia</v>
      </c>
      <c r="G11" s="5">
        <v>1</v>
      </c>
      <c r="H11" s="5">
        <v>35000</v>
      </c>
      <c r="I11" s="4" t="str" xml:space="preserve">
        <v xml:space="preserve">The successful delivery depends on identification of proper geospatial use case and smooth coordination within the CSI community and with all participating CG centers. 
</v>
      </c>
      <c r="J11" s="4">
        <v>7349</v>
      </c>
    </row>
    <row r="12" ht="50" customHeight="1" xml:space="preserve">
      <c r="A12" s="4" t="str">
        <v>AOW02: Action Lab</v>
      </c>
      <c r="B12" s="4" t="str">
        <v>CIP</v>
      </c>
      <c r="C12" s="4" t="str">
        <v>HLO 2.2: Decision support systems integrate (near-)real-time, including digital twin approaches, to enable evidence-based management decisions.</v>
      </c>
      <c r="D12" s="4" t="str">
        <v>CIP 20: Number of decision support systems adopting a digital twin approach for near real-time growth monitoring of root and tuber crops.</v>
      </c>
      <c r="E12" s="4" t="str">
        <v>Number of knowledge products</v>
      </c>
      <c r="F12" s="4" t="str">
        <v>Rwanda</v>
      </c>
      <c r="G12" s="5">
        <v>3</v>
      </c>
      <c r="H12" s="5">
        <v>100000</v>
      </c>
      <c r="I12" s="4" t="str" xml:space="preserve">
        <v xml:space="preserve">Covers staff cost for percentage time of regenerative agriculture and data scientists. Includes operational cost for purchase of IoT equipment, field validation visits, consultancy and travel.
</v>
      </c>
      <c r="J12" s="4">
        <v>6481</v>
      </c>
    </row>
    <row r="13" ht="25" customHeight="1">
      <c r="C13" s="9" t="str">
        <v>HLO budget subtotal</v>
      </c>
      <c r="H13" s="9">
        <v>210000</v>
      </c>
      <c r="J13" s="9" t="str">
        <v/>
      </c>
    </row>
    <row r="14" ht="50" customHeight="1" xml:space="preserve">
      <c r="A14" s="8" t="str">
        <v>AOW03: Digital Futures</v>
      </c>
      <c r="B14" s="4" t="str">
        <v>CIP</v>
      </c>
      <c r="C14" s="4" t="str">
        <v>HLO 3.2: Future case scenarios identified for digital transformation in FWL systems in addressing context-specific challenges and opportunities.</v>
      </c>
      <c r="D14" s="4" t="str">
        <v>CIP 14: Number of AI and digital solution probes supporting system-level scenario analysis for decision-makers.</v>
      </c>
      <c r="E14" s="4" t="str">
        <v>Number of innovations (innovation development)</v>
      </c>
      <c r="F14" s="4" t="str">
        <v>Peru</v>
      </c>
      <c r="G14" s="5">
        <v>1</v>
      </c>
      <c r="H14" s="5">
        <v>10000</v>
      </c>
      <c r="I14"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
</v>
      </c>
      <c r="J14" s="4">
        <v>6294</v>
      </c>
    </row>
    <row r="15" ht="50" customHeight="1" xml:space="preserve">
      <c r="B15" s="4" t="str">
        <v>CIP</v>
      </c>
      <c r="D15" s="4" t="str">
        <v>CIP 11: Number of AI and digital solution probes supporting system-level scenario analysis for decision-makers.</v>
      </c>
      <c r="E15" s="4" t="str">
        <v>Number of knowledge products</v>
      </c>
      <c r="F15" s="4" t="str">
        <v>Peru</v>
      </c>
      <c r="G15" s="5">
        <v>1</v>
      </c>
      <c r="H15" s="5">
        <v>10000</v>
      </c>
      <c r="I15" s="4" t="str" xml:space="preserve">
        <v xml:space="preserve">Staff cost for percentage time of an AI engineer working on research AI assisted scenarios.
</v>
      </c>
      <c r="J15" s="4">
        <v>6302</v>
      </c>
    </row>
    <row r="16" ht="50" customHeight="1" xml:space="preserve">
      <c r="B16" s="4" t="str">
        <v>CIP</v>
      </c>
      <c r="D16" s="4" t="str">
        <v>CIP 15: Number of AI and digital solution probes supporting system-level scenario analysis for decision-makers.</v>
      </c>
      <c r="E16" s="4" t="str">
        <v>Number of innovations (innovation development)</v>
      </c>
      <c r="F16" s="4" t="str">
        <v>Peru</v>
      </c>
      <c r="G16" s="5">
        <v>1</v>
      </c>
      <c r="H16" s="5">
        <v>10000</v>
      </c>
      <c r="I16" s="4" t="str" xml:space="preserve">
        <v xml:space="preserve">Staff cost for percentage time of CIP data lead coordinate deployment of co-scientist elements and co-lead the co-scientist effort in AoW3.  Includes travel time for participation in the Co-scientist steering group meetings and AoW3 annual meeting.
</v>
      </c>
      <c r="J16" s="4">
        <v>6390</v>
      </c>
    </row>
    <row r="17" ht="50" customHeight="1" xml:space="preserve">
      <c r="B17" s="4" t="str">
        <v>CIP</v>
      </c>
      <c r="D17" s="4" t="str">
        <v>CIP 13: Number of AI and digital solution probes supporting system-level scenario analysis for decision-makers.</v>
      </c>
      <c r="E17" s="4" t="str">
        <v>Number of innovations (innovation development)</v>
      </c>
      <c r="F17" s="4" t="str">
        <v>Peru</v>
      </c>
      <c r="G17" s="5">
        <v>1</v>
      </c>
      <c r="H17" s="5">
        <v>10000</v>
      </c>
      <c r="I17"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
</v>
      </c>
      <c r="J17" s="4">
        <v>6405</v>
      </c>
    </row>
    <row r="18" ht="50" customHeight="1" xml:space="preserve">
      <c r="A18" s="4" t="str">
        <v>AOW03: Digital Futures</v>
      </c>
      <c r="B18" s="4" t="str">
        <v>CIP</v>
      </c>
      <c r="C18" s="4" t="str">
        <v>HLO 3.1: Probes of a wide range of AI and/or other novel digital solutions to generate early evidence on digital frontier technology impacts, for decision making.</v>
      </c>
      <c r="D18" s="4" t="str">
        <v>CIP 12: Number of AI and digital solution probes supporting system-level scenario analysis for decision-makers.</v>
      </c>
      <c r="E18" s="4" t="str">
        <v>Number of innovations (innovation development)</v>
      </c>
      <c r="F18" s="4" t="str">
        <v>Peru</v>
      </c>
      <c r="G18" s="5">
        <v>1</v>
      </c>
      <c r="H18" s="5">
        <v>6744</v>
      </c>
      <c r="I18"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
</v>
      </c>
      <c r="J18" s="4">
        <v>6395</v>
      </c>
    </row>
    <row r="19" ht="25" customHeight="1">
      <c r="C19" s="9" t="str">
        <v>HLO budget subtotal</v>
      </c>
      <c r="H19" s="9">
        <v>46744</v>
      </c>
      <c r="J19" s="9" t="str">
        <v/>
      </c>
    </row>
    <row r="20" ht="50" customHeight="1" xml:space="preserve">
      <c r="A20" s="8" t="str">
        <v>AOW04: Enabling Environment</v>
      </c>
      <c r="B20" s="4" t="str">
        <v>CIP</v>
      </c>
      <c r="C20" s="4" t="str">
        <v>HLO 4.3: Evidence, partnerships, and sustainable pathways for scaling digital innovation and digital public infrastructure in FLW systems generated and tested</v>
      </c>
      <c r="D20" s="4" t="str">
        <v>CIP 19: Number of individual trained on  AI, digital tools, data governance, and platforms engaging CGIAR and its partners, governments, and private sector actors.</v>
      </c>
      <c r="E20" s="4" t="str">
        <v>Number of people trained (capacity sharing for development)</v>
      </c>
      <c r="F20" s="4" t="str">
        <v>Peru</v>
      </c>
      <c r="G20" s="5">
        <v>50</v>
      </c>
      <c r="H20" s="5">
        <v>30000</v>
      </c>
      <c r="I20" s="4" t="str" xml:space="preserve">
        <v xml:space="preserve">"Staff cost for percentage time for Data Science staff to prepare and carry out trainings including virtual and one in presence.  Operational costs for hosting an event on CIP campus in Lima working with partners in Lima. 
Risk: CG-Centers and parties out"
</v>
      </c>
      <c r="J20" s="4">
        <v>6347</v>
      </c>
    </row>
    <row r="21" ht="50" customHeight="1" xml:space="preserve">
      <c r="A21" s="4" t="str">
        <v>AOW04: Enabling Environment</v>
      </c>
      <c r="B21" s="4" t="str">
        <v>CIP</v>
      </c>
      <c r="C21" s="4" t="str">
        <v>HLO 4.5: Networks of digital innovation nodes &amp; hubs creating an ecosystem for inclusive and FAIR compliant digital and data innovations.</v>
      </c>
      <c r="D21" s="4" t="str">
        <v>CIP 18: Number of knowledge products (SOPs, reports, and scoping studies) produced to identify priority digital opportunities, co-investment entry points which align with CGIAR and Genebank accelerator priorities to inform an implementation roadmap.</v>
      </c>
      <c r="E21" s="4" t="str">
        <v>Number of knowledge products</v>
      </c>
      <c r="F21" s="4" t="str">
        <v>Peru</v>
      </c>
      <c r="G21" s="5">
        <v>1</v>
      </c>
      <c r="H21" s="5">
        <v>30000</v>
      </c>
      <c r="I21" s="4" t="str" xml:space="preserve">
        <v xml:space="preserve">Staff cost for coordination of the Digital Hub. Operational costs for licenses and tools for scoping studies.
</v>
      </c>
      <c r="J21" s="4">
        <v>6348</v>
      </c>
    </row>
    <row r="22" ht="50" customHeight="1">
      <c r="B22" s="4" t="str">
        <v>CIP</v>
      </c>
      <c r="D22" s="4" t="str">
        <v>CIP 22: Number of AI product co-developed for genebanks in collaboration with AI71.</v>
      </c>
      <c r="E22" s="4" t="str">
        <v>Number of innovations (innovation development)</v>
      </c>
      <c r="F22" s="4" t="str">
        <v>Peru</v>
      </c>
      <c r="G22" s="5">
        <v>1</v>
      </c>
      <c r="H22" s="5">
        <v>50000</v>
      </c>
      <c r="I22" s="4" t="str">
        <v>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v>
      </c>
      <c r="J22" s="4">
        <v>7002</v>
      </c>
    </row>
    <row r="23" ht="50" customHeight="1" xml:space="preserve">
      <c r="A23" s="4" t="str">
        <v>AOW04: Enabling Environment</v>
      </c>
      <c r="B23" s="4" t="str">
        <v>CIP</v>
      </c>
      <c r="C23" s="4" t="str">
        <v>HLO 4.6 Robust, secure and flexible foundational digital infrastructure &amp; sustainable operating model across centers and hubs</v>
      </c>
      <c r="D23" s="4" t="str">
        <v>CIP 17: Number of individuals who received training on data science, project management, and cloud administration to support digital transformation initiatives.</v>
      </c>
      <c r="E23" s="4" t="str">
        <v>Number of people trained (capacity sharing for development)</v>
      </c>
      <c r="F23" s="4" t="str">
        <v>Peru</v>
      </c>
      <c r="G23" s="5">
        <v>20</v>
      </c>
      <c r="H23" s="5">
        <v>20000</v>
      </c>
      <c r="I23" s="4" t="str" xml:space="preserve">
        <v xml:space="preserve">Staff cost for percentage time for Data Science staff to prepare and carry out trainings virtual and in CIP offices.
</v>
      </c>
      <c r="J23" s="4">
        <v>6354</v>
      </c>
    </row>
    <row r="24" ht="50" customHeight="1" xml:space="preserve">
      <c r="B24" s="4" t="str">
        <v>CIP</v>
      </c>
      <c r="D24" s="4" t="str">
        <v>CIP 16: Number of new digital tools/enhancements or SOPs developed &amp; deployed or policy/governance changes to enable digital core infrastructure for research and support.</v>
      </c>
      <c r="E24" s="4" t="str">
        <v>Number of innovations (innovation development)</v>
      </c>
      <c r="F24" s="4" t="str">
        <v>Peru</v>
      </c>
      <c r="G24" s="5">
        <v>5</v>
      </c>
      <c r="H24" s="5">
        <v>70000</v>
      </c>
      <c r="I24" s="4" t="str" xml:space="preserve">
        <v xml:space="preserve">Staff cost for coordination of the Digital Hub. Operational costs for licenses and tools for scoping studies.
</v>
      </c>
      <c r="J24" s="4">
        <v>6355</v>
      </c>
    </row>
    <row r="25" ht="50" customHeight="1" xml:space="preserve">
      <c r="A25" s="4" t="str">
        <v>AOW04: Enabling Environment</v>
      </c>
      <c r="B25" s="4" t="str">
        <v>CIP</v>
      </c>
      <c r="C25" s="4" t="str">
        <v>HLO 4.1. Communities of practice and collaborative knowledge platforms established to coordinate learning, exchange, and leadership on responsible and inclusive digital innovation across FLW systems.</v>
      </c>
      <c r="D25" s="4" t="str">
        <v>Number of people trained on geospatial foundation models, platforms and/or frameworks</v>
      </c>
      <c r="E25" s="4" t="str">
        <v>Number of people trained (capacity sharing for development)</v>
      </c>
      <c r="F25" s="4" t="str">
        <v>Kenya</v>
      </c>
      <c r="G25" s="5">
        <v>5</v>
      </c>
      <c r="H25" s="5">
        <v>5000</v>
      </c>
      <c r="I25"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5" s="4">
        <v>7367</v>
      </c>
    </row>
    <row r="26" ht="50" customHeight="1" xml:space="preserve">
      <c r="B26" s="4" t="str">
        <v>CIP</v>
      </c>
      <c r="D26" s="4" t="str">
        <v xml:space="preserve">Number of individuals capacitated through consortium workshops on Spatial Information (CSI) to coordinate geospatial analysis across the CGIAR </v>
      </c>
      <c r="E26" s="4" t="str">
        <v>Number of people trained (capacity sharing for development)</v>
      </c>
      <c r="F26" s="4" t="str">
        <v>Kenya</v>
      </c>
      <c r="G26" s="5">
        <v>3</v>
      </c>
      <c r="H26" s="5">
        <v>5000</v>
      </c>
      <c r="I26"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6" s="4">
        <v>7373</v>
      </c>
    </row>
    <row r="27" ht="50" customHeight="1">
      <c r="B27" s="4" t="str">
        <v>CIP</v>
      </c>
      <c r="D27" s="4" t="str">
        <v>GNDR Swedish: Number of Center Needs Assessments and strategic roadmaps developed to identify institutional priorities, enabling conditions and opportunities for streamlining human-centered and inclusive digital product development.</v>
      </c>
      <c r="E27" s="4" t="str">
        <v>Number of knowledge products</v>
      </c>
      <c r="F27" s="4" t="str">
        <v>India, United States of America, Peru, Colombia, Kenya, Lebanon, Mexico, Philippines, Nigeria, Malaysia, Sri Lanka, Côte d'Ivoire, Italy</v>
      </c>
      <c r="G27" s="5">
        <v>1</v>
      </c>
      <c r="H27" s="5">
        <v>0</v>
      </c>
      <c r="I27" s="4" t="str">
        <v/>
      </c>
      <c r="J27" s="4">
        <v>8358</v>
      </c>
    </row>
    <row r="28" ht="25" customHeight="1">
      <c r="C28" s="9" t="str">
        <v>HLO budget subtotal</v>
      </c>
      <c r="H28" s="9">
        <v>210000</v>
      </c>
      <c r="J28" s="9" t="str">
        <v/>
      </c>
    </row>
  </sheetData>
  <mergeCells count="21">
    <mergeCell ref="A1:A2"/>
    <mergeCell ref="B1:B2"/>
    <mergeCell ref="C1:C2"/>
    <mergeCell ref="D1:H1"/>
    <mergeCell ref="I1:I2"/>
    <mergeCell ref="J1:J2"/>
    <mergeCell ref="C3:C4"/>
    <mergeCell ref="C5:C7"/>
    <mergeCell ref="C9:G9"/>
    <mergeCell ref="A3:A9"/>
    <mergeCell ref="C10:C11"/>
    <mergeCell ref="C13:G13"/>
    <mergeCell ref="A10:A13"/>
    <mergeCell ref="C14:C17"/>
    <mergeCell ref="C19:G19"/>
    <mergeCell ref="A14:A19"/>
    <mergeCell ref="C21:C22"/>
    <mergeCell ref="C23:C24"/>
    <mergeCell ref="C25:C27"/>
    <mergeCell ref="C28:G28"/>
    <mergeCell ref="A20: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37084</v>
      </c>
      <c r="E2" s="4" t="str">
        <v xml:space="preserve">Funds for AoW4 co-lead Leroy from Jan-August 2026. </v>
      </c>
      <c r="F2" s="4">
        <v>109</v>
      </c>
      <c r="G2" s="4">
        <v>3</v>
      </c>
    </row>
    <row r="3" ht="25" customHeight="1">
      <c r="C3" s="9" t="str">
        <v>Cross-cutting budget subtotal</v>
      </c>
      <c r="D3" s="9">
        <v>37084</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37084</v>
      </c>
      <c r="C2" s="5">
        <v>80784</v>
      </c>
      <c r="D2" s="5">
        <v>144964</v>
      </c>
      <c r="E2" s="5">
        <v>28244</v>
      </c>
      <c r="F2" s="5">
        <v>151520</v>
      </c>
      <c r="G2" s="5">
        <f>=SUM(B2:F2)</f>
        <v>0</v>
      </c>
    </row>
    <row r="3" ht="20" customHeight="1">
      <c r="A3" s="4" t="str">
        <v>Operations (supplies, consultants, travels, workshops, other)</v>
      </c>
      <c r="B3" s="5">
        <v>0</v>
      </c>
      <c r="C3" s="5">
        <v>19216</v>
      </c>
      <c r="D3" s="5">
        <v>65036</v>
      </c>
      <c r="E3" s="5">
        <v>18500</v>
      </c>
      <c r="F3" s="5">
        <v>58480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3355</v>
      </c>
    </row>
    <row r="3" ht="45" customHeight="1">
      <c r="A3" s="8" t="str">
        <v>AOW01: Data Ecosystem</v>
      </c>
      <c r="B3" s="4" t="str">
        <v>CIP</v>
      </c>
      <c r="C3" s="4" t="str">
        <v>Peru</v>
      </c>
      <c r="D3" s="5">
        <v>100</v>
      </c>
      <c r="E3" s="4">
        <v>1273</v>
      </c>
    </row>
    <row r="4" ht="45" customHeight="1">
      <c r="A4" s="8" t="str">
        <v>AOW02: Action Lab</v>
      </c>
      <c r="B4" s="4" t="str">
        <v>CIP</v>
      </c>
      <c r="C4" s="4" t="str">
        <v>Rwanda</v>
      </c>
      <c r="D4" s="5">
        <v>100</v>
      </c>
      <c r="E4" s="4">
        <v>1323</v>
      </c>
    </row>
    <row r="5" ht="45" customHeight="1">
      <c r="A5" s="8" t="str">
        <v>AOW03: Digital Futures</v>
      </c>
      <c r="B5" s="4" t="str">
        <v>CIP</v>
      </c>
      <c r="C5" s="4" t="str">
        <v>Peru</v>
      </c>
      <c r="D5" s="5">
        <v>100</v>
      </c>
      <c r="E5" s="4">
        <v>1377</v>
      </c>
    </row>
    <row r="6" ht="45" customHeight="1">
      <c r="A6" s="8" t="str">
        <v>AOW04: Enabling Environment</v>
      </c>
      <c r="B6" s="4" t="str">
        <v>CIP</v>
      </c>
      <c r="C6" s="4" t="str">
        <v>Kenya</v>
      </c>
      <c r="D6" s="5">
        <v>3</v>
      </c>
      <c r="E6" s="4">
        <v>1446</v>
      </c>
    </row>
    <row r="7" ht="45" customHeight="1">
      <c r="A7" s="4" t="str">
        <v>AOW04: Enabling Environment</v>
      </c>
      <c r="B7" s="4" t="str">
        <v>CIP</v>
      </c>
      <c r="C7" s="4" t="str">
        <v>Peru</v>
      </c>
      <c r="D7" s="5">
        <v>97</v>
      </c>
      <c r="E7" s="4">
        <v>1445</v>
      </c>
    </row>
  </sheetData>
  <mergeCells count="5">
    <mergeCell ref="A2"/>
    <mergeCell ref="A3"/>
    <mergeCell ref="A4"/>
    <mergeCell ref="A5"/>
    <mergeCell ref="A6: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1670</v>
      </c>
    </row>
    <row r="3" ht="45" customHeight="1">
      <c r="A3" s="8" t="str">
        <v>AOW01: Data Ecosystem</v>
      </c>
      <c r="B3" s="4" t="str">
        <v>CIP</v>
      </c>
      <c r="C3" s="4" t="str">
        <v>Global</v>
      </c>
      <c r="D3" s="4" t="str">
        <v>global</v>
      </c>
      <c r="E3" s="5">
        <v>100</v>
      </c>
      <c r="F3" s="4">
        <v>445</v>
      </c>
    </row>
    <row r="4" ht="45" customHeight="1">
      <c r="A4" s="8" t="str">
        <v>AOW02: Action Lab</v>
      </c>
      <c r="B4" s="4" t="str">
        <v>CIP</v>
      </c>
      <c r="C4" s="4" t="str">
        <v>Global</v>
      </c>
      <c r="D4" s="4" t="str">
        <v>global</v>
      </c>
      <c r="E4" s="5">
        <v>100</v>
      </c>
      <c r="F4" s="4">
        <v>461</v>
      </c>
    </row>
    <row r="5" ht="45" customHeight="1">
      <c r="A5" s="8" t="str">
        <v>AOW03: Digital Futures</v>
      </c>
      <c r="B5" s="4" t="str">
        <v>CIP</v>
      </c>
      <c r="C5" s="4" t="str">
        <v>Global</v>
      </c>
      <c r="D5" s="4" t="str">
        <v>global</v>
      </c>
      <c r="E5" s="5">
        <v>100</v>
      </c>
      <c r="F5" s="4">
        <v>487</v>
      </c>
    </row>
    <row r="6" ht="45" customHeight="1">
      <c r="A6" s="8" t="str">
        <v>AOW04: Enabling Environment</v>
      </c>
      <c r="B6" s="4" t="str">
        <v>CIP</v>
      </c>
      <c r="C6" s="4" t="str">
        <v>Global</v>
      </c>
      <c r="D6" s="4" t="str">
        <v>global</v>
      </c>
      <c r="E6" s="5">
        <v>100</v>
      </c>
      <c r="F6" s="4">
        <v>509</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