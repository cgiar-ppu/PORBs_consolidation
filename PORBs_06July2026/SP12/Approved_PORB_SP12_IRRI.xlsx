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60417</v>
      </c>
      <c r="K4" s="5">
        <v>60417</v>
      </c>
      <c r="L4" s="5">
        <v>0</v>
      </c>
      <c r="M4" s="5">
        <v>0</v>
      </c>
      <c r="N4" s="4">
        <v>219</v>
      </c>
    </row>
    <row r="5" ht="20" customHeight="1">
      <c r="A5" s="4" t="str">
        <v>AOW01: Data Ecosystem</v>
      </c>
      <c r="B5" s="5">
        <v>2</v>
      </c>
      <c r="C5" s="5">
        <v>32986</v>
      </c>
      <c r="D5" s="5">
        <v>2</v>
      </c>
      <c r="E5" s="5">
        <v>25000</v>
      </c>
      <c r="F5" s="5">
        <v>300</v>
      </c>
      <c r="G5" s="5">
        <v>15000</v>
      </c>
      <c r="H5" s="5">
        <v>0</v>
      </c>
      <c r="I5" s="5">
        <v>0</v>
      </c>
      <c r="J5" s="5">
        <v>72986</v>
      </c>
      <c r="K5" s="5">
        <v>72986</v>
      </c>
      <c r="L5" s="5">
        <v>0</v>
      </c>
      <c r="M5" s="5">
        <v>0</v>
      </c>
      <c r="N5" s="4">
        <v>215</v>
      </c>
    </row>
    <row r="6" ht="20" customHeight="1">
      <c r="A6" s="4" t="str">
        <v>AOW02: Action Lab</v>
      </c>
      <c r="B6" s="5">
        <v>6</v>
      </c>
      <c r="C6" s="5">
        <v>162455</v>
      </c>
      <c r="D6" s="5">
        <v>6</v>
      </c>
      <c r="E6" s="5">
        <v>210000</v>
      </c>
      <c r="F6" s="5">
        <v>0</v>
      </c>
      <c r="G6" s="5">
        <v>0</v>
      </c>
      <c r="H6" s="5">
        <v>5000</v>
      </c>
      <c r="I6" s="5">
        <v>30000</v>
      </c>
      <c r="J6" s="5">
        <v>402455</v>
      </c>
      <c r="K6" s="5">
        <v>402455</v>
      </c>
      <c r="L6" s="5">
        <v>150000</v>
      </c>
      <c r="M6" s="5">
        <v>0</v>
      </c>
      <c r="N6" s="4">
        <v>216</v>
      </c>
    </row>
    <row r="7" ht="20" customHeight="1">
      <c r="A7" s="4" t="str">
        <v>AOW03: Digital Futures</v>
      </c>
      <c r="B7" s="5">
        <v>1</v>
      </c>
      <c r="C7" s="5">
        <v>20000</v>
      </c>
      <c r="D7" s="5">
        <v>2</v>
      </c>
      <c r="E7" s="5">
        <v>50000</v>
      </c>
      <c r="F7" s="5">
        <v>0</v>
      </c>
      <c r="G7" s="5">
        <v>0</v>
      </c>
      <c r="H7" s="5">
        <v>0</v>
      </c>
      <c r="I7" s="5">
        <v>0</v>
      </c>
      <c r="J7" s="5">
        <v>70000</v>
      </c>
      <c r="K7" s="5">
        <v>70000</v>
      </c>
      <c r="L7" s="5">
        <v>10000</v>
      </c>
      <c r="M7" s="5">
        <v>0</v>
      </c>
      <c r="N7" s="4">
        <v>218</v>
      </c>
    </row>
    <row r="8" ht="20" customHeight="1">
      <c r="A8" s="4" t="str">
        <v>AOW04: Enabling Environment</v>
      </c>
      <c r="B8" s="5">
        <v>3</v>
      </c>
      <c r="C8" s="5">
        <v>100000</v>
      </c>
      <c r="D8" s="5">
        <v>6</v>
      </c>
      <c r="E8" s="5">
        <v>90000</v>
      </c>
      <c r="F8" s="5">
        <v>8</v>
      </c>
      <c r="G8" s="5">
        <v>10000</v>
      </c>
      <c r="H8" s="5">
        <v>1</v>
      </c>
      <c r="I8" s="5">
        <v>10000</v>
      </c>
      <c r="J8" s="5">
        <v>210000</v>
      </c>
      <c r="K8" s="5">
        <v>210000</v>
      </c>
      <c r="L8" s="5">
        <v>50000</v>
      </c>
      <c r="M8" s="5">
        <v>0</v>
      </c>
      <c r="N8" s="4">
        <v>217</v>
      </c>
    </row>
    <row r="9" ht="25" customHeight="1">
      <c r="A9" s="6" t="str">
        <v>Total</v>
      </c>
      <c r="B9" s="7" t="str">
        <v/>
      </c>
      <c r="C9" s="7">
        <v>315441</v>
      </c>
      <c r="D9" s="7" t="str">
        <v/>
      </c>
      <c r="E9" s="7">
        <v>375000</v>
      </c>
      <c r="F9" s="7" t="str">
        <v/>
      </c>
      <c r="G9" s="7">
        <v>25000</v>
      </c>
      <c r="H9" s="7" t="str">
        <v/>
      </c>
      <c r="I9" s="7">
        <v>40000</v>
      </c>
      <c r="J9" s="7">
        <v>815858</v>
      </c>
      <c r="K9" s="7">
        <v>815858</v>
      </c>
      <c r="L9" s="7">
        <v>210000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IRRI</v>
      </c>
      <c r="C3" s="4" t="str">
        <v>HLO 1.1: Developed integrated data infrastructure, tools, and standards to enable creation, discovery, and analysis of FAIR, AI-ready data and AI solutions.</v>
      </c>
      <c r="D3" s="4" t="str">
        <v>Number of individuals capacitated to create, collect, analyze and ethically use  FAIR and AI-ready data and digital solutions.</v>
      </c>
      <c r="E3" s="4" t="str">
        <v>Number of people trained (capacity sharing for development)</v>
      </c>
      <c r="F3" s="4" t="str">
        <v>Zambia, Timor-Leste, India, Colombia, Egypt, Philippines, Bangladesh, Ethiopia, Nigeria, Peru, Malaysia, Guatemala, Ghana, Kenya, France</v>
      </c>
      <c r="G3" s="5">
        <v>300</v>
      </c>
      <c r="H3" s="5">
        <v>15000</v>
      </c>
      <c r="I3" s="4" t="str" xml:space="preserve">
        <v xml:space="preserve">"""Assumptions: Stakeholder availability for training, adequate baseline digital skills, access to necessary training tools and platforms, relevance of training materials to stakeholder needs, organizational support for capacity building. 
Risks: Low training"
</v>
      </c>
      <c r="J3" s="4">
        <v>7246</v>
      </c>
    </row>
    <row r="4" ht="50" customHeight="1" xml:space="preserve">
      <c r="B4" s="4" t="str">
        <v>IRRI</v>
      </c>
      <c r="D4" s="4" t="str">
        <v>Number of data infrastructure, tools, and standards developed to create, collect, search and analyze FAIR and AI-ready data and digital solutions.</v>
      </c>
      <c r="E4" s="4" t="str">
        <v>Number of innovations (innovation development)</v>
      </c>
      <c r="F4" s="4" t="str">
        <v>Zambia, Timor-Leste, Ethiopia, Mexico, Greece, Nigeria, Malaysia, Peru, Bangladesh, India, Kenya, Colombia</v>
      </c>
      <c r="G4" s="5">
        <v>2</v>
      </c>
      <c r="H4" s="5">
        <v>32986</v>
      </c>
      <c r="I4" s="4" t="str" xml:space="preserve">
        <v xml:space="preserve">"""Assumptions: Availability of high-quality multisite data, readiness of EBS infrastructure, stakeholder willingness to share data, clearly defined FAIR standards, sufficient technical expertise, stable system integration environment.
Risk: Data inconsistency"
</v>
      </c>
      <c r="J4" s="4">
        <v>7251</v>
      </c>
    </row>
    <row r="5" ht="50" customHeight="1" xml:space="preserve">
      <c r="B5" s="4" t="str">
        <v>IRRI</v>
      </c>
      <c r="D5" s="4" t="str">
        <v>Number of guidelines, training material and other support documents to foster and change culture around the creation, collection, analysis and ethical use of FAIR and AI-ready data and digital solutions.</v>
      </c>
      <c r="E5" s="4" t="str">
        <v>Number of knowledge products</v>
      </c>
      <c r="F5" s="4" t="str">
        <v>Sri Lanka, Mexico, India, Pakistan, Peru, South Africa, Philippines, Kenya, Rwanda, Tanzania, United Republic</v>
      </c>
      <c r="G5" s="5">
        <v>2</v>
      </c>
      <c r="H5" s="5">
        <v>25000</v>
      </c>
      <c r="I5" s="4" t="str" xml:space="preserve">
        <v xml:space="preserve">"""Assumptions: system integration readiness, adequate technical infrastructure
Risk: algorithmic errors or bias, security and privacy concerns"""
</v>
      </c>
      <c r="J5" s="4">
        <v>7255</v>
      </c>
    </row>
    <row r="6" ht="25" customHeight="1">
      <c r="C6" s="9" t="str">
        <v>HLO budget subtotal</v>
      </c>
      <c r="H6" s="9">
        <v>72986</v>
      </c>
      <c r="J6" s="9" t="str">
        <v/>
      </c>
    </row>
    <row r="7" ht="50" customHeight="1" xml:space="preserve">
      <c r="A7" s="8" t="str">
        <v>AOW02: Action Lab</v>
      </c>
      <c r="B7" s="4" t="str">
        <v>IRRI</v>
      </c>
      <c r="C7" s="4" t="str">
        <v>HLO 2.7: Digital innovations use human-centered design and citizen science to enhance gender responsiveness and social inclusiveness.</v>
      </c>
      <c r="D7" s="4" t="str" xml:space="preserve">
        <v xml:space="preserve">IRRI 13: Number of knowledge products produced on women farmers' adoption pathways with generative AI advisory services
</v>
      </c>
      <c r="E7" s="4" t="str">
        <v>Number of knowledge products</v>
      </c>
      <c r="F7" s="4" t="str">
        <v>India</v>
      </c>
      <c r="G7" s="5">
        <v>2</v>
      </c>
      <c r="H7" s="5">
        <v>70000</v>
      </c>
      <c r="I7" s="4" t="str" xml:space="preserve">
        <v xml:space="preserve">"Assumptions: Women farmers have consistent access to mobile devices and AI advisory platforms, availability of reliable log data and qualitative field access, willingness of farmers and communities to participate in user studies, digital literacy levels sufficient to engage with generative AI tools, stable operation of platforms like FarmerChat for data collection, trust in researchers and local partners facilitating fieldwork, social networks and women’s groups remain active and accessible for observation.
Risks: Uneven digital access or literacy limiting meaningful engagement, reluctance of women farmers to participate due to social norms or trust concerns, incomplete or noisy log data affecting analysis, AI-generated advice misunderstood or misapplied, household or community dynamics influencing participation or responses, potential reinforcement of gender inequalities through AI-mediated interactions, difficulty generalizing findings across diverse contexts, disruptions to fieldwork due to environmental, political, or logistical constraints.
Assumes $20k allocation to partner Digital Green. 
"
</v>
      </c>
      <c r="J7" s="4">
        <v>6322</v>
      </c>
    </row>
    <row r="8" ht="50" customHeight="1" xml:space="preserve">
      <c r="A8" s="4" t="str">
        <v>AOW02: Action Lab</v>
      </c>
      <c r="B8" s="4" t="str">
        <v>IRRI</v>
      </c>
      <c r="C8" s="4" t="str">
        <v>HLO 2.1: Research integrates AI analytics, remote sensing, and digital technologies to enhance modeling, evidence generation, and environmental monitoring at scale.</v>
      </c>
      <c r="D8" s="4" t="str" xml:space="preserve">
        <v xml:space="preserve">IRRI 14: Number of AI-based frameworks developed for behavioral experiments on climate-smart agricultural decision-making
</v>
      </c>
      <c r="E8" s="4" t="str">
        <v>Number of knowledge products</v>
      </c>
      <c r="F8" s="4" t="str">
        <v>India</v>
      </c>
      <c r="G8" s="5">
        <v>2</v>
      </c>
      <c r="H8" s="5">
        <v>100000</v>
      </c>
      <c r="I8" s="4" t="str" xml:space="preserve">
        <v xml:space="preserve">"Assumptions: Participants across the carbon value chain are willing to engage in behavioral experiments, AI-assisted vignette and choice-task methods accurately reflect real-world decision contexts, availability of reliable behavioral, GHG monitoring, and remote-sensing data, stable technical infrastructure to run digital experiments at scale, effective integration between behavioral insights and emissions models, consistent collaboration among researchers, carbon service providers, and policymakers, sufficient digital literacy among participants to engage with experimental tools.
Risks: Low participation or response bias in behavioral experiments, difficulty replicating complex real-world decision environments digitally, incomplete or inconsistent behavioral and emissions data, AI algorithms misclassifying behavioral patterns, limited ability to generalize findings across regions or value chains, challenges integrating behavioral outputs with climate models, institutional or policy constraints affecting data access, technical failures or disruptions during digital experiments, potential misinterpretation of behavioral insights in policymaking.
Assumes $35k budget allocation to partners IISER, Bhopal; Dexian and Gothenburg University, Sweden. Details to be yet assessed. "
</v>
      </c>
      <c r="J8" s="4">
        <v>6466</v>
      </c>
    </row>
    <row r="9" ht="50" customHeight="1" xml:space="preserve">
      <c r="B9" s="4" t="str">
        <v>IRRI</v>
      </c>
      <c r="D9" s="4" t="str" xml:space="preserve">
        <v xml:space="preserve">IRRI 12: Number of fine-tuned AI models tested for agricultural policy evidence synthesis
</v>
      </c>
      <c r="E9" s="4" t="str">
        <v>Number of innovations (innovation development)</v>
      </c>
      <c r="F9" s="4" t="str">
        <v>India</v>
      </c>
      <c r="G9" s="5">
        <v>2</v>
      </c>
      <c r="H9" s="5">
        <v>32107</v>
      </c>
      <c r="I9" s="4" t="str" xml:space="preserve">
        <v xml:space="preserve">"Assumptions: Availability of high-quality, verified policy documents and datasets, strong collaboration with scientific advisors and policy units, stable access to priority economic models for integration, policymakers’ willingness to use conversational AI tools, effective co-design processes to identify policy intents, adequate compute resources for LLM development and fine-tuning, institutional support for responsible AI and FAIR data principles, readiness of partner countries to adopt digital policy tools. 
Risks: Data quality gaps or inconsistencies affecting model outputs, limited access to proprietary or sensitive policy datasets, LLM misinterpretation of policy queries or model results, low adoption by policymakers due to trust or usability concerns, challenges integrating economic models with LLM interfaces, potential bias or inaccuracies in fine-tuned models, cybersecurity or data privacy risks, insufficient capacity for maintaining or scaling the AgriLLM platform, mismatched expectations between AI capabilities and policy decision timelines. 
Assumes $15k allocation to partner Digital Green. "
</v>
      </c>
      <c r="J9" s="4">
        <v>6472</v>
      </c>
    </row>
    <row r="10" ht="50" customHeight="1" xml:space="preserve">
      <c r="B10" s="4" t="str">
        <v>IRRI</v>
      </c>
      <c r="D10" s="4" t="str">
        <v>Number of geospatial use cases, including datasets, documentation, and intended outcome</v>
      </c>
      <c r="E10" s="4" t="str">
        <v>Number of knowledge products</v>
      </c>
      <c r="F10" s="4" t="str">
        <v>United States of America, Tanzania, United Republic, Kenya, Malaysia, Mexico, India, Nigeria, Ghana, Sri Lanka, Mozambique, Peru, Colombia, Philippines, Rwanda, Ethiopia</v>
      </c>
      <c r="G10" s="5">
        <v>1</v>
      </c>
      <c r="H10" s="5">
        <v>35000</v>
      </c>
      <c r="I10" s="4" t="str" xml:space="preserve">
        <v xml:space="preserve">The successful delivery depends on identification of proper geospatial use case and smooth coordination within the CSI community and with all participating CG centers. 
</v>
      </c>
      <c r="J10" s="4">
        <v>7358</v>
      </c>
    </row>
    <row r="11" ht="50" customHeight="1" xml:space="preserve">
      <c r="A11" s="4" t="str">
        <v>AOW02: Action Lab</v>
      </c>
      <c r="B11" s="4" t="str">
        <v>IRRI</v>
      </c>
      <c r="C11" s="4" t="str">
        <v>HLO 2.5: Advisory solutions use AI-powered tools, including language models and speech analytics, to improve relevance, accessibility, and user engagement.</v>
      </c>
      <c r="D11" s="4" t="str" xml:space="preserve">
        <v xml:space="preserve">IRRI 17: Number of individuals receiving AI-powered nutrient management advisories
</v>
      </c>
      <c r="E11" s="4" t="str">
        <v>custom</v>
      </c>
      <c r="F11" s="4" t="str">
        <v>The Socialist Republic of Viet Nam</v>
      </c>
      <c r="G11" s="5">
        <v>5000</v>
      </c>
      <c r="H11" s="5">
        <v>30000</v>
      </c>
      <c r="I11" s="4" t="str" xml:space="preserve">
        <v xml:space="preserve">"Assumptions: Pilot sites represent diverse production conditions, local partners cooperate in field testing, farmers are willing to participate, seasonal data can be collected consistently, enabling policy environment remains supportive. 
Risks: Environmental or seasonal disruptions affecting pilots, low farmer participation, logistical delays in field testing, inconsistent implementation across locations, challenges scaling findings to national programs.
Budget assumes $20k allocation to Ministry of Agriculture and Rural Development (Vietnam). "
</v>
      </c>
      <c r="J11" s="4">
        <v>6482</v>
      </c>
    </row>
    <row r="12" ht="50" customHeight="1" xml:space="preserve">
      <c r="B12" s="4" t="str">
        <v>IRRI</v>
      </c>
      <c r="D12" s="4" t="str" xml:space="preserve">
        <v xml:space="preserve">IRRI 16: Number of operational AI-powered nutrient management advisory prototypes developed for rice production systems
</v>
      </c>
      <c r="E12" s="4" t="str">
        <v>Number of innovations (innovation development)</v>
      </c>
      <c r="F12" s="4" t="str">
        <v>The Socialist Republic of Viet Nam</v>
      </c>
      <c r="G12" s="5">
        <v>1</v>
      </c>
      <c r="H12" s="5">
        <v>35000</v>
      </c>
      <c r="I12" s="4" t="str" xml:space="preserve">
        <v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
</v>
      </c>
      <c r="J12" s="4">
        <v>6483</v>
      </c>
    </row>
    <row r="13" ht="50" customHeight="1" xml:space="preserve">
      <c r="A13" s="4" t="str">
        <v>AOW02: Action Lab</v>
      </c>
      <c r="B13" s="4" t="str">
        <v>IRRI</v>
      </c>
      <c r="C13" s="4" t="str">
        <v>HLO 2.2: Decision support systems integrate (near-)real-time, including digital twin approaches, to enable evidence-based management decisions.</v>
      </c>
      <c r="D13" s="4" t="str" xml:space="preserve">
        <v xml:space="preserve">IRRI 15: Number of integrated databases developed to curate rice value chain data in Vietnam for AI-powered nutrient management
</v>
      </c>
      <c r="E13" s="4" t="str">
        <v>Number of knowledge products</v>
      </c>
      <c r="F13" s="4" t="str">
        <v>The Socialist Republic of Viet Nam</v>
      </c>
      <c r="G13" s="5">
        <v>1</v>
      </c>
      <c r="H13" s="5">
        <v>5000</v>
      </c>
      <c r="I13" s="4" t="str" xml:space="preserve">
        <v xml:space="preserve">"""Assumptions: Availability of high-quality soil, farmer, and SSNM trial data, successful integration of diverse datasets, partners provide timely data access, standardized data formats exist, field data from One-Million-Ha pilots remain reliable.
Risks: D"
</v>
      </c>
      <c r="J13" s="4">
        <v>6484</v>
      </c>
    </row>
    <row r="14" ht="50" customHeight="1" xml:space="preserve">
      <c r="A14" s="4" t="str">
        <v>AOW02: Action Lab</v>
      </c>
      <c r="B14" s="4" t="str">
        <v>IRRI</v>
      </c>
      <c r="C14" s="4" t="str">
        <v>HLO 2.4: Genebanks integrate AI-powered tools to improve germplasm management and access.</v>
      </c>
      <c r="D14" s="4" t="str">
        <v>IRRI 6: Number of genebanks deploying AI tools for rice germplasm access, donor discovery, and breeder training with SOPs</v>
      </c>
      <c r="E14" s="4" t="str">
        <v>Number of innovations (innovation development)</v>
      </c>
      <c r="F14" s="4" t="str">
        <v>India, Egypt, Philippines</v>
      </c>
      <c r="G14" s="5">
        <v>3</v>
      </c>
      <c r="H14" s="5">
        <v>95348</v>
      </c>
      <c r="I14" s="4" t="str" xml:space="preserve">
        <v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
</v>
      </c>
      <c r="J14" s="4">
        <v>7737</v>
      </c>
    </row>
    <row r="15" ht="25" customHeight="1">
      <c r="C15" s="9" t="str">
        <v>HLO budget subtotal</v>
      </c>
      <c r="H15" s="9">
        <v>402455</v>
      </c>
      <c r="J15" s="9" t="str">
        <v/>
      </c>
    </row>
    <row r="16" ht="50" customHeight="1" xml:space="preserve">
      <c r="A16" s="8" t="str">
        <v>AOW03: Digital Futures</v>
      </c>
      <c r="B16" s="4" t="str">
        <v>IRRI</v>
      </c>
      <c r="C16" s="4" t="str">
        <v>HLO 3.2: Future case scenarios identified for digital transformation in FWL systems in addressing context-specific challenges and opportunities.</v>
      </c>
      <c r="D16" s="4" t="str">
        <v>IRRI 8: Number of evidence-based knowledge products on youth engagement in digital foresight produced and disseminated; (publication and scoping review)</v>
      </c>
      <c r="E16" s="4" t="str">
        <v>Number of knowledge products</v>
      </c>
      <c r="F16" s="4" t="str">
        <v>India, Philippines</v>
      </c>
      <c r="G16" s="5">
        <v>2</v>
      </c>
      <c r="H16" s="5">
        <v>50000</v>
      </c>
      <c r="I16" s="4" t="str" xml:space="preserve">
        <v xml:space="preserve">"Assumptions: Centers have sufficient capacity and expertise to translate scenarios into actionable insights, partners are willing to engage in scenario stress-testing, relevant data and foresight outputs are accessible across CGIAR, scenario outputs can meaningfully inform strategic decisions, communication products effectively convey scenario implications, coordination between Centers and AoW3 remains strong, future scenarios remain relevant to emerging global challenges. 
Risks: Limited partner engagement in scenario exercises, inconsistent capacity across Centers to operationalize scenarios, difficulty translating high-level scenarios into concrete research priorities, misalignment between scenario outputs and organizational decision-making processes, insufficient integration with data platforms or digital public goods, scenario results misunderstood or underused in communication products, weak coordination between Centers and AoW3 leading to fragmented foresight efforts.
Budget assumes $10k allocation for yet unidentified partner. "
</v>
      </c>
      <c r="J16" s="4">
        <v>6307</v>
      </c>
    </row>
    <row r="17" ht="50" customHeight="1" xml:space="preserve">
      <c r="A17" s="4" t="str">
        <v>AOW03: Digital Futures</v>
      </c>
      <c r="B17" s="4" t="str">
        <v>IRRI</v>
      </c>
      <c r="C17" s="4" t="str">
        <v>HLO 3.1: Probes of a wide range of AI and/or other novel digital solutions to generate early evidence on digital frontier technology impacts, for decision making.</v>
      </c>
      <c r="D17" s="4" t="str">
        <v>IRRI 7: Number of AI and digital solution probes supporting system-level scenario analysis for decision-makers. (Beta version for testing)</v>
      </c>
      <c r="E17" s="4" t="str">
        <v>Number of innovations (innovation development)</v>
      </c>
      <c r="F17" s="4" t="str">
        <v>Philippines</v>
      </c>
      <c r="G17" s="5">
        <v>1</v>
      </c>
      <c r="H17" s="5">
        <v>20000</v>
      </c>
      <c r="I17" s="4" t="str" xml:space="preserve">
        <v xml:space="preserve">"Assumptions: adequate baseline acoustic data for model training, stable insect behavioral responses to attractants and LEDs, effective aggregation of insects near the device, machine learning models generalize well from controlled to real storage environment.
</v>
      </c>
      <c r="J17" s="4">
        <v>6404</v>
      </c>
    </row>
    <row r="18" ht="25" customHeight="1">
      <c r="C18" s="9" t="str">
        <v>HLO budget subtotal</v>
      </c>
      <c r="H18" s="9">
        <v>70000</v>
      </c>
      <c r="J18" s="9" t="str">
        <v/>
      </c>
    </row>
    <row r="19" ht="50" customHeight="1">
      <c r="A19" s="8" t="str">
        <v>AOW04: Enabling Environment</v>
      </c>
      <c r="B19" s="4" t="str">
        <v>IRRI</v>
      </c>
      <c r="C19" s="4" t="str">
        <v>HLO 4.5: Networks of digital innovation nodes &amp; hubs creating an ecosystem for inclusive and FAIR compliant digital and data innovations.</v>
      </c>
      <c r="D19" s="4" t="str">
        <v>IRRI 19: Number of AI product co-developed for genebanks in collaboration with AI71.</v>
      </c>
      <c r="E19" s="4" t="str">
        <v>Number of innovations (innovation development)</v>
      </c>
      <c r="F19" s="4" t="str">
        <v>Philippines, Egypt, India</v>
      </c>
      <c r="G19" s="5">
        <v>1</v>
      </c>
      <c r="H19" s="5">
        <v>50000</v>
      </c>
      <c r="I19" s="4" t="str">
        <v>This assumes availability of specialized AI expertise, tools, and infrastructure through collaboration with AI71, alongside sufficient funding to support co-development, testing, and deployment. Risks include dependency on an external UAE-based partner for technical inputs, potential coordination and alignment challenges across geographies, higher costs related to advanced AI development, and possible delays or limited adoption due to data access, integration, or contextual adaptation constraints.</v>
      </c>
      <c r="J19" s="4">
        <v>6343</v>
      </c>
    </row>
    <row r="20" ht="50" customHeight="1" xml:space="preserve">
      <c r="A20" s="4" t="str">
        <v>AOW04: Enabling Environment</v>
      </c>
      <c r="B20" s="4" t="str">
        <v>IRRI</v>
      </c>
      <c r="C20" s="4" t="str">
        <v>HLO 4.3: Evidence, partnerships, and sustainable pathways for scaling digital innovation and digital public infrastructure in FLW systems generated and tested</v>
      </c>
      <c r="D20" s="4" t="str">
        <v>IRRI 11: Number of AI-based digital agency module toolkit co-developed and piloted with partners.</v>
      </c>
      <c r="E20" s="4" t="str">
        <v>Number of innovations (innovation development)</v>
      </c>
      <c r="F20" s="4" t="str">
        <v>Philippines, India</v>
      </c>
      <c r="G20" s="5">
        <v>2</v>
      </c>
      <c r="H20" s="5">
        <v>50000</v>
      </c>
      <c r="I20" s="4" t="str" xml:space="preserve">
        <v xml:space="preserve">"Assumptions: Partners’ readiness to co-develop and test the toolkit, availability of field data to inform piloting, digital tools adaptable to local gender contexts, adequate technical capacity for implementation, supportive policy and institutional environments.
Risks: Toolkit may not generalize across diverse contexts, limited partner capacity for piloting, challenges integrating gender-responsive features into AI tools, low user adoption in pilots, potential ethical or safety concerns in deploying AI modules, delays due to country-level operational constraints.
Budget assumes $20k allocation to as yet unidentified partner. "
</v>
      </c>
      <c r="J20" s="4">
        <v>6372</v>
      </c>
    </row>
    <row r="21" ht="50" customHeight="1" xml:space="preserve">
      <c r="A21" s="4" t="str">
        <v>AOW04: Enabling Environment</v>
      </c>
      <c r="B21" s="4" t="str">
        <v>IRRI</v>
      </c>
      <c r="C21" s="4" t="str">
        <v>HLO 4.2:  Applied tools, frameworks, methods, guidelines and prototypes developed to support responsible, inclusive, and user-centered digital innovation across FLW systems.</v>
      </c>
      <c r="D21" s="4" t="str">
        <v>IRRI 10: Number of gender-responsive benchmarking framework for AI modules developed and validated.</v>
      </c>
      <c r="E21" s="4" t="str">
        <v>Number of knowledge products</v>
      </c>
      <c r="F21" s="4" t="str">
        <v>India</v>
      </c>
      <c r="G21" s="5">
        <v>3</v>
      </c>
      <c r="H21" s="5">
        <v>50000</v>
      </c>
      <c r="I21" s="4" t="str" xml:space="preserve">
        <v xml:space="preserve">"Assumptions: Active participation from Centers and partners, shared commitment to gender-responsive AI design, availability of AI tools for benchmarking, consistent engagement through CoP activities, institutional support for learning and knowledge exchange.
Risks: Low participation or inconsistent engagement across Centers, limited understanding of gender-responsive AI methods, challenges accessing AI modules for benchmarking, lack of coordination in CoP governance, difficulty maintaining momentum and knowledge flow.
Budget includes $10,000 for as yet unidentified partner. "
</v>
      </c>
      <c r="J21" s="4">
        <v>6373</v>
      </c>
    </row>
    <row r="22" ht="50" customHeight="1" xml:space="preserve">
      <c r="B22" s="4" t="str">
        <v>IRRI</v>
      </c>
      <c r="D22" s="4" t="str">
        <v>IRRI 9: Number of knowledge products (digital gender inclusion framework, digital agency module, and gender and digital strategy) developed and delivered.</v>
      </c>
      <c r="E22" s="4" t="str">
        <v>Number of knowledge products</v>
      </c>
      <c r="F22" s="4" t="str">
        <v>Philippines, India</v>
      </c>
      <c r="G22" s="5">
        <v>3</v>
      </c>
      <c r="H22" s="5">
        <v>40000</v>
      </c>
      <c r="I22" s="4" t="str" xml:space="preserve">
        <v xml:space="preserve">"Assumptions: Availability of gender and digital inclusion expertise, strong collaboration with GENDER Accelerator, stakeholder willingness to adopt new frameworks, adequate data to inform benchmarking and strategy, consistent institutional support for gender-responsive digital design.
Risk: Misalignment between frameworks and existing CGIAR processes, limited availability of high-quality gender data, insufficient buy-in for gender and digital strategies, difficulty integrating MDII + WEAI with digital modules, delays in framework validation or endorsement.
Budget includes $20,000 for as yet unidentified partner. "
</v>
      </c>
      <c r="J22" s="4">
        <v>6374</v>
      </c>
    </row>
    <row r="23" ht="50" customHeight="1">
      <c r="A23" s="4" t="str">
        <v>AOW04: Enabling Environment</v>
      </c>
      <c r="B23" s="4" t="str">
        <v>IRRI</v>
      </c>
      <c r="C23" s="4" t="str">
        <v>HLO 4.1. Communities of practice and collaborative knowledge platforms established to coordinate learning, exchange, and leadership on responsible and inclusive digital innovation across FLW systems.</v>
      </c>
      <c r="D23" s="4" t="str">
        <v>IRRI 18: Number of Communities of Practices (COPs) on gender-inclusive digital pathways launched,  operationalized and maintained.</v>
      </c>
      <c r="E23" s="4" t="str">
        <v>custom</v>
      </c>
      <c r="F23" s="4" t="str">
        <v>India, Philippines</v>
      </c>
      <c r="G23" s="5">
        <v>1</v>
      </c>
      <c r="H23" s="5">
        <v>10000</v>
      </c>
      <c r="I23" s="4" t="str">
        <v>Successful delivery of the budget assumes adequate funding and coordination to support the launch and sustained operation of Communities of Practice, with active and continuous participation from stakeholders across countries. Risks include inconsistent engagement and ownership, challenges in maintaining continuity across diverse contexts, and resource constraints that may affect the quality, frequency, and long-term sustainability of CoP activities.</v>
      </c>
      <c r="J23" s="4">
        <v>7006</v>
      </c>
    </row>
    <row r="24" ht="50" customHeight="1" xml:space="preserve">
      <c r="B24" s="4" t="str">
        <v>IRRI</v>
      </c>
      <c r="D24" s="4" t="str">
        <v>Number of people trained on geospatial foundation models, platforms and/or frameworks</v>
      </c>
      <c r="E24" s="4" t="str">
        <v>Number of people trained (capacity sharing for development)</v>
      </c>
      <c r="F24" s="4" t="str">
        <v>Kenya</v>
      </c>
      <c r="G24" s="5">
        <v>5</v>
      </c>
      <c r="H24" s="5">
        <v>5000</v>
      </c>
      <c r="I24"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24" s="4">
        <v>7365</v>
      </c>
    </row>
    <row r="25" ht="50" customHeight="1" xml:space="preserve">
      <c r="B25" s="4" t="str">
        <v>IRRI</v>
      </c>
      <c r="D25" s="4" t="str">
        <v xml:space="preserve">Number of individuals capacitated through consortium workshops on Spatial Information (CSI) to coordinate geospatial analysis across the CGIAR </v>
      </c>
      <c r="E25" s="4" t="str">
        <v>Number of people trained (capacity sharing for development)</v>
      </c>
      <c r="F25" s="4" t="str">
        <v>Kenya</v>
      </c>
      <c r="G25" s="5">
        <v>3</v>
      </c>
      <c r="H25" s="5">
        <v>5000</v>
      </c>
      <c r="I25"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25" s="4">
        <v>7462</v>
      </c>
    </row>
    <row r="26" ht="50" customHeight="1">
      <c r="B26" s="4" t="str">
        <v>IRRI</v>
      </c>
      <c r="D26" s="4" t="str">
        <v>GNDR Swedish: Number of Center Needs Assessments and strategic roadmaps developed to identify institutional priorities, enabling conditions and opportunities for streamlining human-centered and inclusive digital product development.</v>
      </c>
      <c r="E26" s="4" t="str">
        <v>Number of knowledge products</v>
      </c>
      <c r="F26" s="4" t="str">
        <v>India, United States of America, Peru, Colombia, Kenya, Lebanon, Mexico, Philippines, Nigeria, Malaysia, Sri Lanka, Côte d'Ivoire, Italy</v>
      </c>
      <c r="G26" s="5">
        <v>1</v>
      </c>
      <c r="H26" s="5">
        <v>0</v>
      </c>
      <c r="I26" s="4" t="str">
        <v/>
      </c>
      <c r="J26" s="4">
        <v>8363</v>
      </c>
    </row>
    <row r="27" ht="25" customHeight="1">
      <c r="C27" s="9" t="str">
        <v>HLO budget subtotal</v>
      </c>
      <c r="H27" s="9">
        <v>210000</v>
      </c>
      <c r="J27" s="9" t="str">
        <v/>
      </c>
    </row>
  </sheetData>
  <mergeCells count="19">
    <mergeCell ref="A1:A2"/>
    <mergeCell ref="B1:B2"/>
    <mergeCell ref="C1:C2"/>
    <mergeCell ref="D1:H1"/>
    <mergeCell ref="I1:I2"/>
    <mergeCell ref="J1:J2"/>
    <mergeCell ref="C3:C5"/>
    <mergeCell ref="C6:G6"/>
    <mergeCell ref="A3:A6"/>
    <mergeCell ref="C8:C10"/>
    <mergeCell ref="C11:C12"/>
    <mergeCell ref="C15:G15"/>
    <mergeCell ref="A7:A15"/>
    <mergeCell ref="C18:G18"/>
    <mergeCell ref="A16:A18"/>
    <mergeCell ref="C21:C22"/>
    <mergeCell ref="C23:C26"/>
    <mergeCell ref="C27:G27"/>
    <mergeCell ref="A19:A27"/>
  </mergeCells>
  <ignoredErrors>
    <ignoredError numberStoredAsText="1" sqref="A1:J27"/>
  </ignoredErrors>
</worksheet>
</file>

<file path=xl/worksheets/sheet3.xml><?xml version="1.0" encoding="utf-8"?>
<worksheet xmlns="http://schemas.openxmlformats.org/spreadsheetml/2006/main" xmlns:r="http://schemas.openxmlformats.org/officeDocument/2006/relationships">
  <dimension ref="A1:G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Action Lab</v>
      </c>
      <c r="B2" s="4" t="str">
        <v>Google</v>
      </c>
      <c r="C2" s="4" t="str">
        <v>IRRI</v>
      </c>
      <c r="D2" s="4" t="str">
        <v>United States of America</v>
      </c>
      <c r="E2" s="5">
        <v>40000</v>
      </c>
      <c r="F2" s="4" t="str">
        <v>Placeholder, to be confirmed after PORB approval.</v>
      </c>
      <c r="G2" s="4">
        <v>231</v>
      </c>
    </row>
    <row r="3" ht="50" customHeight="1">
      <c r="A3" s="4" t="str">
        <v>AOW02: Action Lab</v>
      </c>
      <c r="B3" s="4" t="str">
        <v>Digital Green</v>
      </c>
      <c r="C3" s="4" t="str">
        <v>IRRI</v>
      </c>
      <c r="D3" s="4" t="str">
        <v>United States of America</v>
      </c>
      <c r="E3" s="5">
        <v>15000</v>
      </c>
      <c r="F3" s="4" t="str">
        <v>Placeholder, to be confirmed after PORB approval.</v>
      </c>
      <c r="G3" s="4">
        <v>232</v>
      </c>
    </row>
    <row r="4" ht="50" customHeight="1">
      <c r="A4" s="4" t="str">
        <v>AOW02: Action Lab</v>
      </c>
      <c r="B4" s="4" t="str">
        <v>Unknown Partner 5</v>
      </c>
      <c r="C4" s="4" t="str">
        <v>IRRI</v>
      </c>
      <c r="D4" s="4" t="str">
        <v>India, The Socialist Republic of Viet Nam, Sweden</v>
      </c>
      <c r="E4" s="5">
        <v>95000</v>
      </c>
      <c r="F4" s="4" t="str">
        <v>Placeholder, to be confirmed after PORB approval.</v>
      </c>
      <c r="G4" s="4">
        <v>233</v>
      </c>
    </row>
    <row r="5" ht="25" customHeight="1">
      <c r="B5" s="9" t="str">
        <v>Contracted partners subtotal</v>
      </c>
      <c r="E5" s="9">
        <v>150000</v>
      </c>
      <c r="F5" s="9" t="str">
        <v/>
      </c>
      <c r="G5" s="9" t="str">
        <v/>
      </c>
    </row>
    <row r="6" ht="50" customHeight="1">
      <c r="A6" s="8" t="str">
        <v>AOW03: Digital Futures</v>
      </c>
      <c r="B6" s="4" t="str">
        <v>Unknown Partner 1</v>
      </c>
      <c r="C6" s="4" t="str">
        <v>IRRI</v>
      </c>
      <c r="D6" s="4" t="str">
        <v>Philippines</v>
      </c>
      <c r="E6" s="5">
        <v>10000</v>
      </c>
      <c r="F6" s="4" t="str">
        <v>Placeholder, to be confirmed after PORB approval.</v>
      </c>
      <c r="G6" s="4">
        <v>234</v>
      </c>
    </row>
    <row r="7" ht="25" customHeight="1">
      <c r="B7" s="9" t="str">
        <v>Contracted partners subtotal</v>
      </c>
      <c r="E7" s="9">
        <v>10000</v>
      </c>
      <c r="F7" s="9" t="str">
        <v/>
      </c>
      <c r="G7" s="9" t="str">
        <v/>
      </c>
    </row>
    <row r="8" ht="50" customHeight="1">
      <c r="A8" s="8" t="str">
        <v>AOW04: Enabling Environment</v>
      </c>
      <c r="B8" s="4" t="str">
        <v>Unknown Partner 1</v>
      </c>
      <c r="C8" s="4" t="str">
        <v>IRRI</v>
      </c>
      <c r="D8" s="4" t="str">
        <v>India, Philippines</v>
      </c>
      <c r="E8" s="5">
        <v>50000</v>
      </c>
      <c r="F8" s="4" t="str">
        <v>Placeholder, to be confirmed after PORB approval.</v>
      </c>
      <c r="G8" s="4">
        <v>235</v>
      </c>
    </row>
    <row r="9" ht="25" customHeight="1">
      <c r="B9" s="9" t="str">
        <v>Contracted partners subtotal</v>
      </c>
      <c r="E9" s="9">
        <v>50000</v>
      </c>
      <c r="F9" s="9" t="str">
        <v/>
      </c>
      <c r="G9" s="9" t="str">
        <v/>
      </c>
    </row>
  </sheetData>
  <mergeCells count="6">
    <mergeCell ref="B5:D5"/>
    <mergeCell ref="A2:A5"/>
    <mergeCell ref="B7:D7"/>
    <mergeCell ref="A6:A7"/>
    <mergeCell ref="B9:D9"/>
    <mergeCell ref="A8:A9"/>
  </mergeCells>
  <ignoredErrors>
    <ignoredError numberStoredAsText="1" sqref="A1:G9"/>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IRRI</v>
      </c>
      <c r="B2" s="4" t="str">
        <v>R-A-2023-19-EBS Phase 3</v>
      </c>
      <c r="C2" s="4" t="str">
        <v>HLO 1.1: Developed integrated data infrastructure, tools, and standards to enable creation, discovery, and analysis of FAIR, AI-ready data and AI solutions.</v>
      </c>
      <c r="D2" s="5">
        <v>0</v>
      </c>
      <c r="E2" s="4" t="str">
        <v/>
      </c>
      <c r="F2" s="4">
        <v>1211</v>
      </c>
    </row>
    <row r="3" ht="60" customHeight="1" xml:space="preserve">
      <c r="A3" s="4" t="str">
        <v>IRRI</v>
      </c>
      <c r="B3" s="4" t="str">
        <v>R-A-2024-19-ISARC Phase III</v>
      </c>
      <c r="C3" s="4" t="str">
        <v xml:space="preserve">I-OC 2.2. Smallholder farmers, local innovators, women, and youth groups gain equitable access to user-centered, AI-enabled digital services that support learning, innovation, and inclusive participation. </v>
      </c>
      <c r="D3" s="5">
        <v>383314</v>
      </c>
      <c r="E3" s="4" t="str" xml:space="preserve">
        <v xml:space="preserve">Active in 2026 and subject to continued funding. 
</v>
      </c>
      <c r="F3" s="4">
        <v>1220</v>
      </c>
    </row>
    <row r="4" ht="25" customHeight="1">
      <c r="B4" s="9" t="str">
        <v>W3/Bilateral budget subtotal</v>
      </c>
      <c r="D4" s="9">
        <v>383314</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IRRI</v>
      </c>
      <c r="C2" s="4" t="str">
        <v>Area of Work Leads</v>
      </c>
      <c r="D2" s="5">
        <v>50417</v>
      </c>
      <c r="E2" s="4" t="str" xml:space="preserve">
        <v xml:space="preserve">Funds for AoW2 co-lead Shalini from Jan-August 2026. 
</v>
      </c>
      <c r="F2" s="4">
        <v>114</v>
      </c>
      <c r="G2" s="4">
        <v>3</v>
      </c>
    </row>
    <row r="3" ht="45" customHeight="1">
      <c r="A3" s="4" t="str">
        <v>AOW00: Cross Cutting</v>
      </c>
      <c r="B3" s="4" t="str">
        <v>IRRI</v>
      </c>
      <c r="C3" s="4" t="str">
        <v>Communication/Knowledge management</v>
      </c>
      <c r="D3" s="5">
        <v>10000</v>
      </c>
      <c r="E3" s="4" t="str">
        <v xml:space="preserve">Funds to support Communication consultant Emmanuel Casubha for the B4T x DTA graphic design and video editing work. </v>
      </c>
      <c r="F3" s="4">
        <v>256</v>
      </c>
      <c r="G3" s="4">
        <v>5</v>
      </c>
    </row>
    <row r="4" ht="25" customHeight="1">
      <c r="C4" s="9" t="str">
        <v>Cross-cutting budget subtotal</v>
      </c>
      <c r="D4" s="9">
        <v>60417</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50417</v>
      </c>
      <c r="C2" s="5">
        <v>38986</v>
      </c>
      <c r="D2" s="5">
        <v>137455</v>
      </c>
      <c r="E2" s="5">
        <v>32000</v>
      </c>
      <c r="F2" s="5">
        <v>100000</v>
      </c>
      <c r="G2" s="5">
        <f>=SUM(B2:F2)</f>
        <v>0</v>
      </c>
    </row>
    <row r="3" ht="20" customHeight="1">
      <c r="A3" s="4" t="str">
        <v>Operations (supplies, consultants, travels, workshops, other)</v>
      </c>
      <c r="B3" s="5">
        <v>10000</v>
      </c>
      <c r="C3" s="5">
        <v>34000</v>
      </c>
      <c r="D3" s="5">
        <v>115000</v>
      </c>
      <c r="E3" s="5">
        <v>28000</v>
      </c>
      <c r="F3" s="5">
        <v>60000</v>
      </c>
      <c r="G3" s="5">
        <f>=SUM(B3:F3)</f>
        <v>0</v>
      </c>
    </row>
    <row r="4" ht="20" customHeight="1">
      <c r="A4" s="4" t="str">
        <v>Collaborators non-CGIAR centers</v>
      </c>
      <c r="B4" s="5">
        <v>0</v>
      </c>
      <c r="C4" s="5">
        <v>0</v>
      </c>
      <c r="D4" s="5">
        <v>150000</v>
      </c>
      <c r="E4" s="5">
        <v>10000</v>
      </c>
      <c r="F4" s="5">
        <v>50000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1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IRRI</v>
      </c>
      <c r="C2" s="4" t="str">
        <v>India</v>
      </c>
      <c r="D2" s="5">
        <v>100</v>
      </c>
      <c r="E2" s="4">
        <v>3360</v>
      </c>
    </row>
    <row r="3" ht="45" customHeight="1">
      <c r="A3" s="8" t="str">
        <v>AOW01: Data Ecosystem</v>
      </c>
      <c r="B3" s="4" t="str">
        <v>IRRI</v>
      </c>
      <c r="C3" s="4" t="str">
        <v>Philippines</v>
      </c>
      <c r="D3" s="5">
        <v>100</v>
      </c>
      <c r="E3" s="4">
        <v>1290</v>
      </c>
    </row>
    <row r="4" ht="45" customHeight="1">
      <c r="A4" s="8" t="str">
        <v>AOW02: Action Lab</v>
      </c>
      <c r="B4" s="4" t="str">
        <v>IRRI</v>
      </c>
      <c r="C4" s="4" t="str">
        <v>Egypt</v>
      </c>
      <c r="D4" s="5">
        <v>9</v>
      </c>
      <c r="E4" s="4">
        <v>1342</v>
      </c>
    </row>
    <row r="5" ht="45" customHeight="1">
      <c r="A5" s="4" t="str">
        <v>AOW02: Action Lab</v>
      </c>
      <c r="B5" s="4" t="str">
        <v>IRRI</v>
      </c>
      <c r="C5" s="4" t="str">
        <v>India</v>
      </c>
      <c r="D5" s="5">
        <v>63</v>
      </c>
      <c r="E5" s="4">
        <v>1340</v>
      </c>
    </row>
    <row r="6" ht="45" customHeight="1">
      <c r="A6" s="4" t="str">
        <v>AOW02: Action Lab</v>
      </c>
      <c r="B6" s="4" t="str">
        <v>IRRI</v>
      </c>
      <c r="C6" s="4" t="str">
        <v>Philippines</v>
      </c>
      <c r="D6" s="5">
        <v>9</v>
      </c>
      <c r="E6" s="4">
        <v>1343</v>
      </c>
    </row>
    <row r="7" ht="45" customHeight="1">
      <c r="A7" s="4" t="str">
        <v>AOW02: Action Lab</v>
      </c>
      <c r="B7" s="4" t="str">
        <v>IRRI</v>
      </c>
      <c r="C7" s="4" t="str">
        <v>The Socialist Republic of Viet Nam</v>
      </c>
      <c r="D7" s="5">
        <v>19</v>
      </c>
      <c r="E7" s="4">
        <v>1341</v>
      </c>
    </row>
    <row r="8" ht="45" customHeight="1">
      <c r="A8" s="8" t="str">
        <v>AOW03: Digital Futures</v>
      </c>
      <c r="B8" s="4" t="str">
        <v>IRRI</v>
      </c>
      <c r="C8" s="4" t="str">
        <v>India</v>
      </c>
      <c r="D8" s="5">
        <v>65</v>
      </c>
      <c r="E8" s="4">
        <v>1399</v>
      </c>
    </row>
    <row r="9" ht="45" customHeight="1">
      <c r="A9" s="4" t="str">
        <v>AOW03: Digital Futures</v>
      </c>
      <c r="B9" s="4" t="str">
        <v>IRRI</v>
      </c>
      <c r="C9" s="4" t="str">
        <v>Philippines</v>
      </c>
      <c r="D9" s="5">
        <v>35</v>
      </c>
      <c r="E9" s="4">
        <v>1401</v>
      </c>
    </row>
    <row r="10" ht="45" customHeight="1">
      <c r="A10" s="8" t="str">
        <v>AOW04: Enabling Environment</v>
      </c>
      <c r="B10" s="4" t="str">
        <v>IRRI</v>
      </c>
      <c r="C10" s="4" t="str">
        <v>Egypt</v>
      </c>
      <c r="D10" s="5">
        <v>8</v>
      </c>
      <c r="E10" s="4">
        <v>1482</v>
      </c>
    </row>
    <row r="11" ht="45" customHeight="1">
      <c r="A11" s="4" t="str">
        <v>AOW04: Enabling Environment</v>
      </c>
      <c r="B11" s="4" t="str">
        <v>IRRI</v>
      </c>
      <c r="C11" s="4" t="str">
        <v>India</v>
      </c>
      <c r="D11" s="5">
        <v>55</v>
      </c>
      <c r="E11" s="4">
        <v>1479</v>
      </c>
    </row>
    <row r="12" ht="45" customHeight="1">
      <c r="A12" s="4" t="str">
        <v>AOW04: Enabling Environment</v>
      </c>
      <c r="B12" s="4" t="str">
        <v>IRRI</v>
      </c>
      <c r="C12" s="4" t="str">
        <v>Kenya</v>
      </c>
      <c r="D12" s="5">
        <v>5</v>
      </c>
      <c r="E12" s="4">
        <v>1480</v>
      </c>
    </row>
    <row r="13" ht="45" customHeight="1">
      <c r="A13" s="4" t="str">
        <v>AOW04: Enabling Environment</v>
      </c>
      <c r="B13" s="4" t="str">
        <v>IRRI</v>
      </c>
      <c r="C13" s="4" t="str">
        <v>Philippines</v>
      </c>
      <c r="D13" s="5">
        <v>32</v>
      </c>
      <c r="E13" s="4">
        <v>1481</v>
      </c>
    </row>
  </sheetData>
  <mergeCells count="5">
    <mergeCell ref="A2"/>
    <mergeCell ref="A3"/>
    <mergeCell ref="A4:A7"/>
    <mergeCell ref="A8:A9"/>
    <mergeCell ref="A10:A13"/>
  </mergeCells>
  <ignoredErrors>
    <ignoredError numberStoredAsText="1" sqref="A1:E13"/>
  </ignoredErrors>
</worksheet>
</file>

<file path=xl/worksheets/sheet9.xml><?xml version="1.0" encoding="utf-8"?>
<worksheet xmlns="http://schemas.openxmlformats.org/spreadsheetml/2006/main" xmlns:r="http://schemas.openxmlformats.org/officeDocument/2006/relationships">
  <dimension ref="A1:F7"/>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IRRI</v>
      </c>
      <c r="C2" s="4" t="str">
        <v>Global</v>
      </c>
      <c r="D2" s="4" t="str">
        <v>global</v>
      </c>
      <c r="E2" s="5">
        <v>100</v>
      </c>
      <c r="F2" s="4">
        <v>1674</v>
      </c>
    </row>
    <row r="3" ht="45" customHeight="1">
      <c r="A3" s="8" t="str">
        <v>AOW01: Data Ecosystem</v>
      </c>
      <c r="B3" s="4" t="str">
        <v>IRRI</v>
      </c>
      <c r="C3" s="4" t="str">
        <v>Global</v>
      </c>
      <c r="D3" s="4" t="str">
        <v>global</v>
      </c>
      <c r="E3" s="5">
        <v>100</v>
      </c>
      <c r="F3" s="4">
        <v>453</v>
      </c>
    </row>
    <row r="4" ht="45" customHeight="1">
      <c r="A4" s="4" t="str">
        <v>AOW01: Data Ecosystem</v>
      </c>
      <c r="B4" s="4" t="str">
        <v>IRRI</v>
      </c>
      <c r="C4" s="4" t="str">
        <v>Philippines</v>
      </c>
      <c r="D4" s="4" t="str">
        <v>country</v>
      </c>
      <c r="E4" s="5">
        <v>0</v>
      </c>
      <c r="F4" s="4">
        <v>452</v>
      </c>
    </row>
    <row r="5" ht="45" customHeight="1">
      <c r="A5" s="8" t="str">
        <v>AOW02: Action Lab</v>
      </c>
      <c r="B5" s="4" t="str">
        <v>IRRI</v>
      </c>
      <c r="C5" s="4" t="str">
        <v>Global</v>
      </c>
      <c r="D5" s="4" t="str">
        <v>global</v>
      </c>
      <c r="E5" s="5">
        <v>100</v>
      </c>
      <c r="F5" s="4">
        <v>469</v>
      </c>
    </row>
    <row r="6" ht="45" customHeight="1">
      <c r="A6" s="8" t="str">
        <v>AOW03: Digital Futures</v>
      </c>
      <c r="B6" s="4" t="str">
        <v>IRRI</v>
      </c>
      <c r="C6" s="4" t="str">
        <v>Asia</v>
      </c>
      <c r="D6" s="4" t="str">
        <v>region</v>
      </c>
      <c r="E6" s="5">
        <v>100</v>
      </c>
      <c r="F6" s="4">
        <v>494</v>
      </c>
    </row>
    <row r="7" ht="45" customHeight="1">
      <c r="A7" s="8" t="str">
        <v>AOW04: Enabling Environment</v>
      </c>
      <c r="B7" s="4" t="str">
        <v>IRRI</v>
      </c>
      <c r="C7" s="4" t="str">
        <v>Global</v>
      </c>
      <c r="D7" s="4" t="str">
        <v>global</v>
      </c>
      <c r="E7" s="5">
        <v>100</v>
      </c>
      <c r="F7" s="4">
        <v>517</v>
      </c>
    </row>
  </sheetData>
  <mergeCells count="5">
    <mergeCell ref="A2"/>
    <mergeCell ref="A3:A4"/>
    <mergeCell ref="A5"/>
    <mergeCell ref="A6"/>
    <mergeCell ref="A7"/>
  </mergeCells>
  <ignoredErrors>
    <ignoredError numberStoredAsText="1" sqref="A1:F7"/>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