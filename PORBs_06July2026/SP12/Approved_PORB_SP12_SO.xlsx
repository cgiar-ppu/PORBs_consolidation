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724142</v>
      </c>
      <c r="K4" s="5">
        <v>724142</v>
      </c>
      <c r="L4" s="5">
        <v>0</v>
      </c>
      <c r="M4" s="5">
        <v>0</v>
      </c>
      <c r="N4" s="4">
        <v>219</v>
      </c>
    </row>
    <row r="5" ht="20" customHeight="1">
      <c r="A5" s="4" t="str">
        <v>AOW01: Data Ecosystem</v>
      </c>
      <c r="B5" s="5">
        <v>0</v>
      </c>
      <c r="C5" s="5">
        <v>0</v>
      </c>
      <c r="D5" s="5">
        <v>0</v>
      </c>
      <c r="E5" s="5">
        <v>0</v>
      </c>
      <c r="F5" s="5">
        <v>0</v>
      </c>
      <c r="G5" s="5">
        <v>0</v>
      </c>
      <c r="H5" s="5">
        <v>0</v>
      </c>
      <c r="I5" s="5">
        <v>0</v>
      </c>
      <c r="J5" s="5">
        <v>0</v>
      </c>
      <c r="K5" s="5">
        <v>0</v>
      </c>
      <c r="L5" s="5">
        <v>0</v>
      </c>
      <c r="M5" s="5">
        <v>0</v>
      </c>
      <c r="N5" s="4">
        <v>215</v>
      </c>
    </row>
    <row r="6" ht="20" customHeight="1">
      <c r="A6" s="4" t="str">
        <v>AOW02: Action Lab</v>
      </c>
      <c r="B6" s="5">
        <v>0</v>
      </c>
      <c r="C6" s="5">
        <v>0</v>
      </c>
      <c r="D6" s="5">
        <v>0</v>
      </c>
      <c r="E6" s="5">
        <v>0</v>
      </c>
      <c r="F6" s="5">
        <v>0</v>
      </c>
      <c r="G6" s="5">
        <v>0</v>
      </c>
      <c r="H6" s="5">
        <v>0</v>
      </c>
      <c r="I6" s="5">
        <v>0</v>
      </c>
      <c r="J6" s="5">
        <v>0</v>
      </c>
      <c r="K6" s="5">
        <v>0</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0</v>
      </c>
      <c r="G8" s="5">
        <v>0</v>
      </c>
      <c r="H8" s="5">
        <v>0</v>
      </c>
      <c r="I8" s="5">
        <v>0</v>
      </c>
      <c r="J8" s="5">
        <v>0</v>
      </c>
      <c r="K8" s="5">
        <v>0</v>
      </c>
      <c r="L8" s="5">
        <v>0</v>
      </c>
      <c r="M8" s="5">
        <v>0</v>
      </c>
      <c r="N8" s="4">
        <v>217</v>
      </c>
    </row>
    <row r="9" ht="25" customHeight="1">
      <c r="A9" s="6" t="str">
        <v>Total</v>
      </c>
      <c r="B9" s="7" t="str">
        <v/>
      </c>
      <c r="C9" s="7">
        <v>0</v>
      </c>
      <c r="D9" s="7" t="str">
        <v/>
      </c>
      <c r="E9" s="7">
        <v>0</v>
      </c>
      <c r="F9" s="7" t="str">
        <v/>
      </c>
      <c r="G9" s="7">
        <v>0</v>
      </c>
      <c r="H9" s="7" t="str">
        <v/>
      </c>
      <c r="I9" s="7">
        <v>0</v>
      </c>
      <c r="J9" s="7">
        <v>724142</v>
      </c>
      <c r="K9" s="7">
        <v>724142</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SO</v>
      </c>
      <c r="C2" s="4" t="str">
        <v>Program Director and Associated Allocation</v>
      </c>
      <c r="D2" s="5">
        <v>318104</v>
      </c>
      <c r="E2" s="4" t="str" xml:space="preserve">
        <v xml:space="preserve">This budget includes coverage for Director FTE from July 15 to Dec 2026, and associated cost on travel, workshops, and other admin expenses. supporting Director's office. 
</v>
      </c>
      <c r="F2" s="4">
        <v>102</v>
      </c>
      <c r="G2" s="4">
        <v>1</v>
      </c>
    </row>
    <row r="3" ht="45" customHeight="1" xml:space="preserve">
      <c r="A3" s="4" t="str">
        <v>AOW00: Cross Cutting</v>
      </c>
      <c r="B3" s="4" t="str">
        <v>SO</v>
      </c>
      <c r="C3" s="4" t="str">
        <v>PMU, CGIAR Program Finance Support and associated Allocation</v>
      </c>
      <c r="D3" s="5">
        <v>15000</v>
      </c>
      <c r="E3" s="4" t="str" xml:space="preserve">
        <v xml:space="preserve">Funds for Finance support as requested by PCU. 
</v>
      </c>
      <c r="F3" s="4">
        <v>103</v>
      </c>
      <c r="G3" s="4">
        <v>2</v>
      </c>
    </row>
    <row r="4" ht="45" customHeight="1">
      <c r="A4" s="4" t="str">
        <v>AOW00: Cross Cutting</v>
      </c>
      <c r="B4" s="4" t="str">
        <v>SO</v>
      </c>
      <c r="C4" s="4" t="str">
        <v>Communication/Knowledge management</v>
      </c>
      <c r="D4" s="5">
        <v>41000</v>
      </c>
      <c r="E4" s="4" t="str">
        <v xml:space="preserve">These funds are proposed to support communication focal point Julie and her team. </v>
      </c>
      <c r="F4" s="4">
        <v>104</v>
      </c>
      <c r="G4" s="4">
        <v>5</v>
      </c>
    </row>
    <row r="5" ht="45" customHeight="1">
      <c r="A5" s="4" t="str">
        <v>AOW00: Cross Cutting</v>
      </c>
      <c r="B5" s="4" t="str">
        <v>SO</v>
      </c>
      <c r="C5" s="4" t="str">
        <v>Discretionary funds</v>
      </c>
      <c r="D5" s="5">
        <v>0</v>
      </c>
      <c r="E5" s="4" t="str">
        <v/>
      </c>
      <c r="F5" s="4">
        <v>105</v>
      </c>
      <c r="G5" s="4">
        <v>7</v>
      </c>
    </row>
    <row r="6" ht="45" customHeight="1">
      <c r="A6" s="4" t="str">
        <v>AOW00: Cross Cutting</v>
      </c>
      <c r="B6" s="4" t="str">
        <v>SO</v>
      </c>
      <c r="C6" s="4" t="str">
        <v>Operations</v>
      </c>
      <c r="D6" s="5">
        <v>350038</v>
      </c>
      <c r="E6" s="4" t="str">
        <v xml:space="preserve">Budget covers cost of deploying Lina, product director of DTA, who will be based in CG Hub in Abu Dhabi, plus some consultants who will support Lina's activities. </v>
      </c>
      <c r="F6" s="4">
        <v>219</v>
      </c>
      <c r="G6" s="4">
        <v>4</v>
      </c>
    </row>
    <row r="7" ht="25" customHeight="1">
      <c r="C7" s="9" t="str">
        <v>Cross-cutting budget subtotal</v>
      </c>
      <c r="D7" s="9">
        <v>724142</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543227</v>
      </c>
      <c r="C2" s="5">
        <v>0</v>
      </c>
      <c r="D2" s="5">
        <v>0</v>
      </c>
      <c r="E2" s="5">
        <v>0</v>
      </c>
      <c r="F2" s="5">
        <v>0</v>
      </c>
      <c r="G2" s="5">
        <f>=SUM(B2:F2)</f>
        <v>0</v>
      </c>
    </row>
    <row r="3" ht="20" customHeight="1">
      <c r="A3" s="4" t="str">
        <v>Operations (supplies, consultants, travels, workshops, other)</v>
      </c>
      <c r="B3" s="5">
        <v>180915</v>
      </c>
      <c r="C3" s="5">
        <v>0</v>
      </c>
      <c r="D3" s="5">
        <v>0</v>
      </c>
      <c r="E3" s="5">
        <v>0</v>
      </c>
      <c r="F3" s="5">
        <v>0</v>
      </c>
      <c r="G3" s="5">
        <f>=SUM(B3:F3)</f>
        <v>0</v>
      </c>
    </row>
    <row r="4" ht="20" customHeight="1">
      <c r="A4" s="4" t="str">
        <v>Collaborators non-CGIAR centers</v>
      </c>
      <c r="B4" s="5">
        <v>0</v>
      </c>
      <c r="C4" s="5">
        <v>0</v>
      </c>
      <c r="D4" s="5">
        <v>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France</v>
      </c>
      <c r="D2" s="5">
        <v>2</v>
      </c>
      <c r="E2" s="4">
        <v>2973</v>
      </c>
    </row>
    <row r="3" ht="45" customHeight="1">
      <c r="A3" s="4" t="str">
        <v>AOW00: Cross Cutting</v>
      </c>
      <c r="B3" s="4" t="str">
        <v>SO</v>
      </c>
      <c r="C3" s="4" t="str">
        <v>Kenya</v>
      </c>
      <c r="D3" s="5">
        <v>66</v>
      </c>
      <c r="E3" s="4">
        <v>2971</v>
      </c>
    </row>
    <row r="4" ht="45" customHeight="1">
      <c r="A4" s="4" t="str">
        <v>AOW00: Cross Cutting</v>
      </c>
      <c r="B4" s="4" t="str">
        <v>SO</v>
      </c>
      <c r="C4" s="4" t="str">
        <v>The United Arab Emirates</v>
      </c>
      <c r="D4" s="5">
        <v>32</v>
      </c>
      <c r="E4" s="4">
        <v>2979</v>
      </c>
    </row>
  </sheetData>
  <mergeCells count="1">
    <mergeCell ref="A2: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528</v>
      </c>
    </row>
    <row r="3" ht="45" customHeight="1">
      <c r="A3" s="8" t="str">
        <v>AOW01: Data Ecosystem</v>
      </c>
      <c r="B3" s="4" t="str">
        <v>SO</v>
      </c>
      <c r="C3" s="4" t="str">
        <v>Global</v>
      </c>
      <c r="D3" s="4" t="str">
        <v>global</v>
      </c>
      <c r="E3" s="5">
        <v>100</v>
      </c>
      <c r="F3" s="4">
        <v>454</v>
      </c>
    </row>
    <row r="4" ht="45" customHeight="1">
      <c r="A4" s="8" t="str">
        <v>AOW03: Digital Futures</v>
      </c>
      <c r="B4" s="4" t="str">
        <v>SO</v>
      </c>
      <c r="C4" s="4" t="str">
        <v>Global</v>
      </c>
      <c r="D4" s="4" t="str">
        <v>global</v>
      </c>
      <c r="E4" s="5">
        <v>100</v>
      </c>
      <c r="F4" s="4">
        <v>520</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