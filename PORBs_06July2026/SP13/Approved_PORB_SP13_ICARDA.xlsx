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108784</v>
      </c>
      <c r="K4" s="5">
        <v>108784</v>
      </c>
      <c r="L4" s="5">
        <v>0</v>
      </c>
      <c r="M4" s="5">
        <v>70000</v>
      </c>
      <c r="N4" s="4">
        <v>225</v>
      </c>
    </row>
    <row r="5" ht="20" customHeight="1">
      <c r="A5" s="4" t="str">
        <v>AOW01: Biodiversity Conservation</v>
      </c>
      <c r="B5" s="5">
        <v>9</v>
      </c>
      <c r="C5" s="5">
        <v>77000</v>
      </c>
      <c r="D5" s="5">
        <v>1</v>
      </c>
      <c r="E5" s="5">
        <v>3000</v>
      </c>
      <c r="F5" s="5">
        <v>0</v>
      </c>
      <c r="G5" s="5">
        <v>0</v>
      </c>
      <c r="H5" s="5">
        <v>1045</v>
      </c>
      <c r="I5" s="5">
        <v>2417615</v>
      </c>
      <c r="J5" s="5">
        <v>2497615</v>
      </c>
      <c r="K5" s="5">
        <v>2497615</v>
      </c>
      <c r="L5" s="5">
        <v>0</v>
      </c>
      <c r="M5" s="5">
        <v>0</v>
      </c>
      <c r="N5" s="4">
        <v>220</v>
      </c>
    </row>
    <row r="6" ht="20" customHeight="1">
      <c r="A6" s="4" t="str">
        <v>AOW02: Strategic User Engagement</v>
      </c>
      <c r="B6" s="5">
        <v>2</v>
      </c>
      <c r="C6" s="5">
        <v>87000</v>
      </c>
      <c r="D6" s="5">
        <v>1</v>
      </c>
      <c r="E6" s="5">
        <v>3000</v>
      </c>
      <c r="F6" s="5">
        <v>0</v>
      </c>
      <c r="G6" s="5">
        <v>0</v>
      </c>
      <c r="H6" s="5">
        <v>3</v>
      </c>
      <c r="I6" s="5">
        <v>13000</v>
      </c>
      <c r="J6" s="5">
        <v>103000</v>
      </c>
      <c r="K6" s="5">
        <v>103000</v>
      </c>
      <c r="L6" s="5">
        <v>0</v>
      </c>
      <c r="M6" s="5">
        <v>0</v>
      </c>
      <c r="N6" s="4">
        <v>223</v>
      </c>
    </row>
    <row r="7" ht="20" customHeight="1">
      <c r="A7" s="4" t="str">
        <v>AOW03: Genetic Resources Policy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221</v>
      </c>
    </row>
    <row r="8" ht="20" customHeight="1">
      <c r="A8" s="4" t="str">
        <v>AOW04: Germplasm Health</v>
      </c>
      <c r="B8" s="5">
        <v>4</v>
      </c>
      <c r="C8" s="5">
        <v>60000</v>
      </c>
      <c r="D8" s="5">
        <v>5</v>
      </c>
      <c r="E8" s="5">
        <v>60000</v>
      </c>
      <c r="F8" s="5">
        <v>0</v>
      </c>
      <c r="G8" s="5">
        <v>0</v>
      </c>
      <c r="H8" s="5">
        <v>101</v>
      </c>
      <c r="I8" s="5">
        <v>80000</v>
      </c>
      <c r="J8" s="5">
        <v>200000</v>
      </c>
      <c r="K8" s="5">
        <v>200000</v>
      </c>
      <c r="L8" s="5">
        <v>0</v>
      </c>
      <c r="M8" s="5">
        <v>0</v>
      </c>
      <c r="N8" s="4">
        <v>224</v>
      </c>
    </row>
    <row r="9" ht="20" customHeight="1">
      <c r="A9" s="4" t="str">
        <v>AOW05: Strengthening Capacity for In Situ and Ex Situ Conservation Globally</v>
      </c>
      <c r="B9" s="5">
        <v>0</v>
      </c>
      <c r="C9" s="5">
        <v>0</v>
      </c>
      <c r="D9" s="5">
        <v>1</v>
      </c>
      <c r="E9" s="5">
        <v>3000</v>
      </c>
      <c r="F9" s="5">
        <v>50</v>
      </c>
      <c r="G9" s="5">
        <v>52000</v>
      </c>
      <c r="H9" s="5">
        <v>133</v>
      </c>
      <c r="I9" s="5">
        <v>17000</v>
      </c>
      <c r="J9" s="5">
        <v>72000</v>
      </c>
      <c r="K9" s="5">
        <v>72000</v>
      </c>
      <c r="L9" s="5">
        <v>0</v>
      </c>
      <c r="M9" s="5">
        <v>0</v>
      </c>
      <c r="N9" s="4">
        <v>222</v>
      </c>
    </row>
    <row r="10" ht="25" customHeight="1">
      <c r="A10" s="6" t="str">
        <v>Total</v>
      </c>
      <c r="B10" s="7" t="str">
        <v/>
      </c>
      <c r="C10" s="7">
        <v>224000</v>
      </c>
      <c r="D10" s="7" t="str">
        <v/>
      </c>
      <c r="E10" s="7">
        <v>69000</v>
      </c>
      <c r="F10" s="7" t="str">
        <v/>
      </c>
      <c r="G10" s="7">
        <v>52000</v>
      </c>
      <c r="H10" s="7" t="str">
        <v/>
      </c>
      <c r="I10" s="7">
        <v>2527615</v>
      </c>
      <c r="J10" s="7">
        <v>2981399</v>
      </c>
      <c r="K10" s="7">
        <v>2981399</v>
      </c>
      <c r="L10" s="7">
        <v>0</v>
      </c>
      <c r="M10" s="7">
        <v>70000</v>
      </c>
      <c r="N10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 xml:space="preserve">
      <c r="A3" s="8" t="str">
        <v>AOW01: Biodiversity Conservation</v>
      </c>
      <c r="B3" s="4" t="str">
        <v>ICARDA</v>
      </c>
      <c r="C3" s="4" t="str">
        <v>1.1. All collections conserved and made available according to international standards and best practices</v>
      </c>
      <c r="D3" s="4" t="str">
        <v>1.1.6. Germplasm requests  to CGIAR genebanks responded to</v>
      </c>
      <c r="E3" s="4" t="str">
        <v>custom</v>
      </c>
      <c r="F3" s="4" t="str">
        <v>Ethiopia, Côte d'Ivoire, India, Lebanon, Colombia, Nigeria, Morocco, Mexico, Peru, Philippines, Belgium</v>
      </c>
      <c r="G3" s="5">
        <v>100</v>
      </c>
      <c r="H3" s="5">
        <v>20000</v>
      </c>
      <c r="I3" s="4" t="str" xml:space="preserve">
        <v xml:space="preserve">Personnel costs based on standard organizational salary scales.
</v>
      </c>
      <c r="J3" s="4">
        <v>6486</v>
      </c>
    </row>
    <row r="4" ht="50" customHeight="1" xml:space="preserve">
      <c r="B4" s="4" t="str">
        <v>ICARDA</v>
      </c>
      <c r="D4" s="4" t="str">
        <v>1.1.4. Quality Management System (QMS) elements in place</v>
      </c>
      <c r="E4" s="4" t="str">
        <v>custom</v>
      </c>
      <c r="F4" s="4" t="str">
        <v>Morocco, India, Ethiopia, Belgium, Philippines, Colombia, Lebanon, Peru, Côte d'Ivoire, Mexico, Nigeria</v>
      </c>
      <c r="G4" s="5">
        <v>33</v>
      </c>
      <c r="H4" s="5">
        <v>60000</v>
      </c>
      <c r="I4" s="4" t="str" xml:space="preserve">
        <v xml:space="preserve">Personnel costs based on standard organizational salary scales.
</v>
      </c>
      <c r="J4" s="4">
        <v>6516</v>
      </c>
    </row>
    <row r="5" ht="50" customHeight="1" xml:space="preserve">
      <c r="B5" s="4" t="str">
        <v>ICARDA</v>
      </c>
      <c r="D5" s="4" t="str">
        <v xml:space="preserve">1.1.1. Accessions made available for global distribution from CGIAR genebanks </v>
      </c>
      <c r="E5" s="4" t="str">
        <v>custom</v>
      </c>
      <c r="F5" s="4" t="str">
        <v>Philippines, India, Lebanon, Morocco, Belgium, Peru, Ethiopia, Nigeria, Mexico, Colombia, Côte d'Ivoire</v>
      </c>
      <c r="G5" s="5">
        <v>90</v>
      </c>
      <c r="H5" s="5">
        <v>2022615</v>
      </c>
      <c r="I5" s="4" t="str" xml:space="preserve">
        <v xml:space="preserve">Lentil and chickpea targets maybe affected by unpredictable environmental conditions (Rain)
</v>
      </c>
      <c r="J5" s="4">
        <v>7133</v>
      </c>
    </row>
    <row r="6" ht="50" customHeight="1" xml:space="preserve">
      <c r="B6" s="4" t="str">
        <v>ICARDA</v>
      </c>
      <c r="D6" s="4" t="str">
        <v xml:space="preserve">1.1.2. Seed accessions managed at CGIAR genebanks safety duplicated at two sites </v>
      </c>
      <c r="E6" s="4" t="str">
        <v>custom</v>
      </c>
      <c r="F6" s="4" t="str">
        <v>Taiwan (Province of China), Philippines, Mexico, India, Nigeria, Peru, Ethiopia, Colombia, Lebanon, Morocco, United States of America, Norway, Côte d'Ivoire</v>
      </c>
      <c r="G6" s="5">
        <v>75</v>
      </c>
      <c r="H6" s="5">
        <v>100000</v>
      </c>
      <c r="I6" s="4" t="str" xml:space="preserve">
        <v xml:space="preserve">Personnel costs based on standard organizational salary scales.
</v>
      </c>
      <c r="J6" s="4">
        <v>7140</v>
      </c>
    </row>
    <row r="7" ht="50" customHeight="1" xml:space="preserve">
      <c r="B7" s="4" t="str">
        <v>ICARDA</v>
      </c>
      <c r="D7" s="4" t="str">
        <v xml:space="preserve">1.1.7. Technically and legally feasible germplasm requests to CGIAR genebanks that are successfully fulfilled </v>
      </c>
      <c r="E7" s="4" t="str">
        <v>custom</v>
      </c>
      <c r="F7" s="4" t="str">
        <v>Philippines, India, Ethiopia, Mexico, Nigeria, Morocco, Colombia, Belgium, Lebanon, Peru, Côte d'Ivoire</v>
      </c>
      <c r="G7" s="5">
        <v>95</v>
      </c>
      <c r="H7" s="5">
        <v>20000</v>
      </c>
      <c r="I7" s="4" t="str" xml:space="preserve">
        <v xml:space="preserve">Personnel costs based on standard organizational salary scales.
</v>
      </c>
      <c r="J7" s="4">
        <v>7152</v>
      </c>
    </row>
    <row r="8" ht="50" customHeight="1">
      <c r="B8" s="4" t="str">
        <v>ICARDA</v>
      </c>
      <c r="D8" s="4" t="str">
        <v>1.1.8. CGIAR genebank staff trained in areas related to genebank management, conservation, and data management.</v>
      </c>
      <c r="E8" s="4" t="str">
        <v>Number of people trained (capacity sharing for development)</v>
      </c>
      <c r="F8" s="4" t="str">
        <v>Belgium, India, Lebanon, Côte d'Ivoire, Mexico, Nigeria, Morocco, Ethiopia, Colombia, Philippines, Peru</v>
      </c>
      <c r="G8" s="5">
        <v>4</v>
      </c>
      <c r="H8" s="5">
        <v>0</v>
      </c>
      <c r="I8" s="4" t="str">
        <v/>
      </c>
      <c r="J8" s="4">
        <v>7166</v>
      </c>
    </row>
    <row r="9" ht="50" customHeight="1">
      <c r="B9" s="4" t="str">
        <v>ICARDA</v>
      </c>
      <c r="D9" s="4" t="str">
        <v>1.1.5. Crop collections reach and sustain genebank performance targets (90% availability, safety duplication, documentation and Quality Management System (QMS))</v>
      </c>
      <c r="E9" s="4" t="str">
        <v>custom</v>
      </c>
      <c r="F9" s="4" t="str">
        <v>Philippines, Colombia, Côte d'Ivoire, Mexico, India, Nigeria</v>
      </c>
      <c r="G9" s="5">
        <v>0</v>
      </c>
      <c r="H9" s="5">
        <v>0</v>
      </c>
      <c r="I9" s="4" t="str">
        <v/>
      </c>
      <c r="J9" s="4">
        <v>7717</v>
      </c>
    </row>
    <row r="10" ht="50" customHeight="1" xml:space="preserve">
      <c r="A10" s="4" t="str">
        <v>AOW01: Biodiversity Conservation</v>
      </c>
      <c r="B10" s="4" t="str">
        <v>ICARDA</v>
      </c>
      <c r="C10" s="4" t="str">
        <v>1.2. Innovations to enhance the efficiency of conserving collections</v>
      </c>
      <c r="D10" s="4" t="str">
        <v>1.2.5 Journal articles related to innovations and improvements to conservation published each year</v>
      </c>
      <c r="E10" s="4" t="str">
        <v>Number of knowledge products</v>
      </c>
      <c r="F10" s="4" t="str">
        <v>Ethiopia, Belgium, Philippines, Lebanon, Morocco, Colombia, Peru, Nigeria, India, Mexico, Côte d'Ivoire</v>
      </c>
      <c r="G10" s="5">
        <v>1</v>
      </c>
      <c r="H10" s="5">
        <v>3000</v>
      </c>
      <c r="I10" s="4" t="str" xml:space="preserve">
        <v xml:space="preserve">Personnel costs based on standard organizational salary scales.
</v>
      </c>
      <c r="J10" s="4">
        <v>6540</v>
      </c>
    </row>
    <row r="11" ht="50" customHeight="1" xml:space="preserve">
      <c r="B11" s="4" t="str">
        <v>ICARDA</v>
      </c>
      <c r="D11" s="4" t="str">
        <v>1.2.1.a. Number of crops for which new multispectral-imaging algorithms are developed (VideometerLab) during the year</v>
      </c>
      <c r="E11" s="4" t="str">
        <v>Number of innovations (innovation development)</v>
      </c>
      <c r="F11" s="4" t="str">
        <v>Mexico, India, Morocco, Colombia, Lebanon, Ethiopia, Nigeria</v>
      </c>
      <c r="G11" s="5">
        <v>2</v>
      </c>
      <c r="H11" s="5">
        <v>11000</v>
      </c>
      <c r="I11" s="4" t="str" xml:space="preserve">
        <v xml:space="preserve">Personnel costs based on standard organizational salary scales.
</v>
      </c>
      <c r="J11" s="4">
        <v>6555</v>
      </c>
    </row>
    <row r="12" ht="50" customHeight="1" xml:space="preserve">
      <c r="B12" s="4" t="str">
        <v>ICARDA</v>
      </c>
      <c r="D12" s="4" t="str">
        <v>1.2.4. New or improved protocols to enhance the efficiency of conservation or to increase the availability of accessions</v>
      </c>
      <c r="E12" s="4" t="str">
        <v>Number of innovations (innovation development)</v>
      </c>
      <c r="F12" s="4" t="str">
        <v>Philippines, Peru, Ethiopia, Mexico, Colombia, Morocco, Lebanon, India, Nigeria, Belgium, Côte d'Ivoire</v>
      </c>
      <c r="G12" s="5">
        <v>2</v>
      </c>
      <c r="H12" s="5">
        <v>30000</v>
      </c>
      <c r="I12" s="4" t="str" xml:space="preserve">
        <v xml:space="preserve">Personnel costs based on standard organizational salary scales.
</v>
      </c>
      <c r="J12" s="4">
        <v>6560</v>
      </c>
    </row>
    <row r="13" ht="50" customHeight="1" xml:space="preserve">
      <c r="B13" s="4" t="str">
        <v>ICARDA</v>
      </c>
      <c r="D13" s="4" t="str">
        <v>1.2.2 Taxa (genus) for which new viability testing protocols  are developed each year</v>
      </c>
      <c r="E13" s="4" t="str">
        <v>Number of innovations (innovation development)</v>
      </c>
      <c r="F13" s="4" t="str">
        <v>Nigeria, Belgium, Côte d'Ivoire, Philippines, Morocco, Ethiopia, Colombia, Lebanon, India, Peru</v>
      </c>
      <c r="G13" s="5">
        <v>2</v>
      </c>
      <c r="H13" s="5">
        <v>25000</v>
      </c>
      <c r="I13" s="4" t="str" xml:space="preserve">
        <v xml:space="preserve">Personnel costs based on standard organizational salary scales.
</v>
      </c>
      <c r="J13" s="4">
        <v>6575</v>
      </c>
    </row>
    <row r="14" ht="50" customHeight="1" xml:space="preserve">
      <c r="B14" s="4" t="str">
        <v>ICARDA</v>
      </c>
      <c r="D14" s="4" t="str">
        <v>1.2.1.b. Number of crops routinely characterized using developed/refined MSI algorithms (VideometerLab) during the year</v>
      </c>
      <c r="E14" s="4" t="str">
        <v>Number of innovations (innovation development)</v>
      </c>
      <c r="F14" s="4" t="str">
        <v>Côte d'Ivoire, Morocco, Colombia, India, Philippines, Mexico, Lebanon</v>
      </c>
      <c r="G14" s="5">
        <v>3</v>
      </c>
      <c r="H14" s="5">
        <v>11000</v>
      </c>
      <c r="I14" s="4" t="str" xml:space="preserve">
        <v xml:space="preserve">Personnel costs based on standard organizational salary scales.
</v>
      </c>
      <c r="J14" s="4">
        <v>7162</v>
      </c>
    </row>
    <row r="15" ht="50" customHeight="1">
      <c r="A15" s="4" t="str">
        <v>AOW01: Biodiversity Conservation</v>
      </c>
      <c r="B15" s="4" t="str">
        <v>ICARDA</v>
      </c>
      <c r="C15" s="4" t="str">
        <v xml:space="preserve">1.3. Optimized collection composition and structure to represent crop gene pools </v>
      </c>
      <c r="D15" s="4" t="str">
        <v xml:space="preserve">1.3.3. Updated document on CGIAR accession management to include criteria and policies for eliminating redundant accessions </v>
      </c>
      <c r="E15" s="4" t="str">
        <v>Number of knowledge products</v>
      </c>
      <c r="F15" s="4" t="str">
        <v/>
      </c>
      <c r="G15" s="5">
        <v>1</v>
      </c>
      <c r="H15" s="5">
        <v>0</v>
      </c>
      <c r="I15" s="4" t="str">
        <v/>
      </c>
      <c r="J15" s="4">
        <v>6595</v>
      </c>
    </row>
    <row r="16" ht="50" customHeight="1" xml:space="preserve">
      <c r="B16" s="4" t="str">
        <v>ICARDA</v>
      </c>
      <c r="D16" s="4" t="str">
        <v>1.3.2. Accessions earmarked as potentially redundant and/or archived each year</v>
      </c>
      <c r="E16" s="4" t="str">
        <v>custom</v>
      </c>
      <c r="F16" s="4" t="str">
        <v>Philippines, Morocco, Belgium, Lebanon, Ethiopia, India, Mexico, Peru, Colombia, Côte d'Ivoire, Nigeria</v>
      </c>
      <c r="G16" s="5">
        <v>300</v>
      </c>
      <c r="H16" s="5">
        <v>35000</v>
      </c>
      <c r="I16" s="4" t="str" xml:space="preserve">
        <v xml:space="preserve">Personnel costs based on standard organizational salary scales.
</v>
      </c>
      <c r="J16" s="4">
        <v>6599</v>
      </c>
    </row>
    <row r="17" ht="50" customHeight="1" xml:space="preserve">
      <c r="B17" s="4" t="str">
        <v>ICARDA</v>
      </c>
      <c r="D17" s="4" t="str">
        <v>1.3.1. New accessions acquired from in/ex situ</v>
      </c>
      <c r="E17" s="4" t="str">
        <v>custom</v>
      </c>
      <c r="F17" s="4" t="str">
        <v>Lebanon, Peru, Colombia, Côte d'Ivoire, Morocco, Belgium, Philippines, Mexico, India, Nigeria</v>
      </c>
      <c r="G17" s="5">
        <v>200</v>
      </c>
      <c r="H17" s="5">
        <v>67000</v>
      </c>
      <c r="I17" s="4" t="str" xml:space="preserve">
        <v xml:space="preserve">Personnel costs based on standard organizational salary scales.
</v>
      </c>
      <c r="J17" s="4">
        <v>6614</v>
      </c>
    </row>
    <row r="18" ht="50" customHeight="1">
      <c r="B18" s="4" t="str">
        <v>ICARDA</v>
      </c>
      <c r="D18" s="4" t="str">
        <v>1.3.4.a Analytical script developed and published in GIthub</v>
      </c>
      <c r="E18" s="4" t="str">
        <v>custom</v>
      </c>
      <c r="F18" s="4" t="str">
        <v>Lebanon, Morocco</v>
      </c>
      <c r="G18" s="5">
        <v>1</v>
      </c>
      <c r="H18" s="5">
        <v>3000</v>
      </c>
      <c r="I18" s="4" t="str">
        <v>Personnel costs based on standard organizational salary scales.</v>
      </c>
      <c r="J18" s="4">
        <v>7939</v>
      </c>
    </row>
    <row r="19" ht="50" customHeight="1" xml:space="preserve">
      <c r="A19" s="4" t="str">
        <v>AOW01: Biodiversity Conservation</v>
      </c>
      <c r="B19" s="4" t="str">
        <v>ICARDA</v>
      </c>
      <c r="C19" s="4" t="str">
        <v>1.4. Effective and AI-ready data management systems using harmonized data standards across Centers</v>
      </c>
      <c r="D19" s="4" t="str">
        <v>1.4.3. Datasets uploaded to the GIGWA database to manage molecular accession data</v>
      </c>
      <c r="E19" s="4" t="str">
        <v>custom</v>
      </c>
      <c r="F19" s="4" t="str">
        <v>Morocco, Côte d'Ivoire, Philippines, Belgium, Ethiopia, France, Mexico, India, Peru, Colombia, Lebanon, Nigeria</v>
      </c>
      <c r="G19" s="5">
        <v>3</v>
      </c>
      <c r="H19" s="5">
        <v>30000</v>
      </c>
      <c r="I19" s="4" t="str" xml:space="preserve">
        <v xml:space="preserve">Personnel costs based on standard organizational salary scales.
</v>
      </c>
      <c r="J19" s="4">
        <v>6630</v>
      </c>
    </row>
    <row r="20" ht="50" customHeight="1" xml:space="preserve">
      <c r="B20" s="4" t="str">
        <v>ICARDA</v>
      </c>
      <c r="D20" s="4" t="str">
        <v>1.4.1. Average % of accessions for which all static (passport, characterization, etc.) and dynamic (inventory, viability, etc.) data have been fully curated/validated</v>
      </c>
      <c r="E20" s="4" t="str">
        <v>custom</v>
      </c>
      <c r="F20" s="4" t="str">
        <v>Ethiopia, Colombia, Philippines, Mexico, Belgium, India, Côte d'Ivoire, Lebanon, Morocco, Peru, Nigeria</v>
      </c>
      <c r="G20" s="5">
        <v>75</v>
      </c>
      <c r="H20" s="5">
        <v>40000</v>
      </c>
      <c r="I20" s="4" t="str" xml:space="preserve">
        <v xml:space="preserve">Personnel costs based on standard organizational salary scales.
</v>
      </c>
      <c r="J20" s="4">
        <v>6642</v>
      </c>
    </row>
    <row r="21" ht="50" customHeight="1" xml:space="preserve">
      <c r="B21" s="4" t="str">
        <v>ICARDA</v>
      </c>
      <c r="D21" s="4" t="str">
        <v>1.4.1.a. Average % of accessions for which all up-to-date static (passport, characterization, etc.) data have been migrated to GGCE</v>
      </c>
      <c r="E21" s="4" t="str">
        <v>custom</v>
      </c>
      <c r="F21" s="4" t="str">
        <v>Mexico, Nigeria, Peru, Ethiopia, Belgium, Côte d'Ivoire, Morocco, Philippines, Lebanon, India, Colombia</v>
      </c>
      <c r="G21" s="5">
        <v>73</v>
      </c>
      <c r="H21" s="5">
        <v>20000</v>
      </c>
      <c r="I21" s="4" t="str" xml:space="preserve">
        <v xml:space="preserve">Personnel costs based on standard organizational salary scales.
</v>
      </c>
      <c r="J21" s="4">
        <v>7182</v>
      </c>
    </row>
    <row r="22" ht="25" customHeight="1">
      <c r="C22" s="9" t="str">
        <v>HLO budget subtotal</v>
      </c>
      <c r="H22" s="9">
        <v>2497615</v>
      </c>
      <c r="J22" s="9" t="str">
        <v/>
      </c>
    </row>
    <row r="23" ht="50" customHeight="1" xml:space="preserve">
      <c r="A23" s="8" t="str">
        <v>AOW02: Strategic User Engagement</v>
      </c>
      <c r="B23" s="4" t="str">
        <v>ICARDA</v>
      </c>
      <c r="C23" s="4" t="str">
        <v>2.2. Enhanced germplasm information for more precise accession targeting</v>
      </c>
      <c r="D23" s="4" t="str">
        <v>2.2.2. Journal articles related to enhanced accessions data published</v>
      </c>
      <c r="E23" s="4" t="str">
        <v>Number of knowledge products</v>
      </c>
      <c r="F23" s="4" t="str">
        <v>Morocco, Lebanon, Peru, India, Mexico, Philippines, Côte d'Ivoire, Ethiopia, Nigeria, Belgium, Colombia</v>
      </c>
      <c r="G23" s="5">
        <v>1</v>
      </c>
      <c r="H23" s="5">
        <v>3000</v>
      </c>
      <c r="I23" s="4" t="str" xml:space="preserve">
        <v xml:space="preserve">Personnel costs based on standard organizational salary scales.
</v>
      </c>
      <c r="J23" s="4">
        <v>6658</v>
      </c>
    </row>
    <row r="24" ht="50" customHeight="1">
      <c r="B24" s="4" t="str">
        <v>ICARDA</v>
      </c>
      <c r="D24" s="4" t="str">
        <v>2.2.1. Phenotyping, genotyping, environmental datasets of crops generated and uploaded into open-access databases ​(Dataverse, global databases, and crop community databases)</v>
      </c>
      <c r="E24" s="4" t="str">
        <v>custom</v>
      </c>
      <c r="F24" s="4" t="str">
        <v>Morocco, Mexico, Philippines, Peru, India, Côte d'Ivoire, Ethiopia, Colombia, Lebanon, Belgium, Nigeria</v>
      </c>
      <c r="G24" s="5">
        <v>5</v>
      </c>
      <c r="H24" s="5">
        <v>0</v>
      </c>
      <c r="I24" s="4" t="str">
        <v/>
      </c>
      <c r="J24" s="4">
        <v>6662</v>
      </c>
    </row>
    <row r="25" ht="50" customHeight="1">
      <c r="B25" s="4" t="str">
        <v>ICARDA</v>
      </c>
      <c r="D25" s="4" t="str">
        <v>2.2.3.Trait-specific subsets developed with the related dataset uploaded in GENESYS</v>
      </c>
      <c r="E25" s="4" t="str">
        <v>custom</v>
      </c>
      <c r="F25" s="4" t="str">
        <v>Lebanon, Philippines, Colombia, Mexico, Peru, France, Morocco, India, Côte d'Ivoire, Ethiopia, Nigeria</v>
      </c>
      <c r="G25" s="5">
        <v>20</v>
      </c>
      <c r="H25" s="5">
        <v>0</v>
      </c>
      <c r="I25" s="4" t="str">
        <v/>
      </c>
      <c r="J25" s="4">
        <v>6684</v>
      </c>
    </row>
    <row r="26" ht="50" customHeight="1" xml:space="preserve">
      <c r="A26" s="4" t="str">
        <v>AOW02: Strategic User Engagement</v>
      </c>
      <c r="B26" s="4" t="str">
        <v>ICARDA</v>
      </c>
      <c r="C26" s="4" t="str">
        <v>2.3. CGIAR-wide portal with AI enabled digital infrastructure for germplasm data and requests</v>
      </c>
      <c r="D26" s="4" t="str">
        <v>2.3.1. Tools related to request of material and associated data developed or updated</v>
      </c>
      <c r="E26" s="4" t="str">
        <v>Number of innovations (innovation development)</v>
      </c>
      <c r="F26" s="4" t="str">
        <v>United States of America, Mexico, Peru, Nigeria, Belgium, Côte d'Ivoire, Lebanon, Morocco</v>
      </c>
      <c r="G26" s="5">
        <v>1</v>
      </c>
      <c r="H26" s="5">
        <v>13000</v>
      </c>
      <c r="I26" s="4" t="str" xml:space="preserve">
        <v xml:space="preserve">Personnel costs based on standard organizational salary scales.
</v>
      </c>
      <c r="J26" s="4">
        <v>6676</v>
      </c>
    </row>
    <row r="27" ht="50" customHeight="1" xml:space="preserve">
      <c r="B27" s="4" t="str">
        <v>ICARDA</v>
      </c>
      <c r="D27" s="4" t="str">
        <v>2.3.1.c Analytical tools for germplasm data use developed or updated</v>
      </c>
      <c r="E27" s="4" t="str">
        <v>custom</v>
      </c>
      <c r="F27" s="4" t="str">
        <v>Morocco, Lebanon</v>
      </c>
      <c r="G27" s="5">
        <v>3</v>
      </c>
      <c r="H27" s="5">
        <v>13000</v>
      </c>
      <c r="I27" s="4" t="str" xml:space="preserve">
        <v xml:space="preserve">Personnel costs based on standard organizational salary scales.
</v>
      </c>
      <c r="J27" s="4">
        <v>7049</v>
      </c>
    </row>
    <row r="28" ht="50" customHeight="1" xml:space="preserve">
      <c r="B28" s="4" t="str">
        <v>ICARDA</v>
      </c>
      <c r="D28" s="4" t="str">
        <v xml:space="preserve">2.3.1.a. AI-supported subset generation approaches or tools developed or refined </v>
      </c>
      <c r="E28" s="4" t="str">
        <v>Number of innovations (innovation development)</v>
      </c>
      <c r="F28" s="4" t="str">
        <v>Philippines, France, Nigeria, Colombia, Morocco, Côte d'Ivoire</v>
      </c>
      <c r="G28" s="5">
        <v>1</v>
      </c>
      <c r="H28" s="5">
        <v>74000</v>
      </c>
      <c r="I28" s="4" t="str" xml:space="preserve">
        <v xml:space="preserve">Personnel costs based on standard organizational salary scales.
</v>
      </c>
      <c r="J28" s="4">
        <v>7195</v>
      </c>
    </row>
    <row r="29" ht="50" customHeight="1">
      <c r="B29" s="4" t="str">
        <v>ICARDA</v>
      </c>
      <c r="D29" s="4" t="str">
        <v>2.3.1.b. An AutoML pipeline that unifies fragmented Genebank data sources, predicts and fills missing values ​​across hundreds of attributes, and transforms sparse datasets into high-fidelity, interoperable assets ready for advanced discovery and cross-institutional use</v>
      </c>
      <c r="E29" s="4" t="str">
        <v>Number of innovations (innovation development)</v>
      </c>
      <c r="F29" s="4" t="str">
        <v>The United Arab Emirates, Colombia, Philippines, Peru, Morocco</v>
      </c>
      <c r="G29" s="5">
        <v>1</v>
      </c>
      <c r="H29" s="5">
        <v>0</v>
      </c>
      <c r="I29" s="4" t="str">
        <v/>
      </c>
      <c r="J29" s="4">
        <v>7239</v>
      </c>
    </row>
    <row r="30" ht="25" customHeight="1">
      <c r="C30" s="9" t="str">
        <v>HLO budget subtotal</v>
      </c>
      <c r="H30" s="9">
        <v>103000</v>
      </c>
      <c r="J30" s="9" t="str">
        <v/>
      </c>
    </row>
    <row r="31" ht="50" customHeight="1" xml:space="preserve">
      <c r="A31" s="8" t="str">
        <v>AOW04: Germplasm Health</v>
      </c>
      <c r="B31" s="4" t="str">
        <v>ICARDA</v>
      </c>
      <c r="C31" s="4" t="str">
        <v>4.1. Optimized phytosanitary health delivery system</v>
      </c>
      <c r="D31" s="4" t="str">
        <v>4.1.4. Standard Operating Procedures (SOPs) harmonized or updated within the Quality Management System during the year</v>
      </c>
      <c r="E31" s="4" t="str">
        <v>custom</v>
      </c>
      <c r="F31" s="4" t="str">
        <v>Belgium, Colombia, Philippines, Lebanon, Morocco, Côte d'Ivoire, Nigeria, Peru, Mexico, Ethiopia, India</v>
      </c>
      <c r="G31" s="5">
        <v>4</v>
      </c>
      <c r="H31" s="5">
        <v>20000</v>
      </c>
      <c r="I31" s="4" t="str" xml:space="preserve">
        <v xml:space="preserve">Personnel costs based on standard organizational salary scales.
</v>
      </c>
      <c r="J31" s="4">
        <v>6709</v>
      </c>
    </row>
    <row r="32" ht="50" customHeight="1" xml:space="preserve">
      <c r="B32" s="4" t="str">
        <v>ICARDA</v>
      </c>
      <c r="D32" s="4" t="str">
        <v xml:space="preserve">4.1.1. Service requests processed on time per year </v>
      </c>
      <c r="E32" s="4" t="str">
        <v>custom</v>
      </c>
      <c r="F32" s="4" t="str">
        <v>Nigeria, Lebanon, India, Mexico, Colombia, Peru, Côte d'Ivoire, Ethiopia, Philippines, Morocco, Belgium</v>
      </c>
      <c r="G32" s="5">
        <v>95</v>
      </c>
      <c r="H32" s="5">
        <v>30000</v>
      </c>
      <c r="I32" s="4" t="str" xml:space="preserve">
        <v xml:space="preserve">Personnel costs based on standard organizational salary scales.
</v>
      </c>
      <c r="J32" s="4">
        <v>6730</v>
      </c>
    </row>
    <row r="33" ht="50" customHeight="1" xml:space="preserve">
      <c r="B33" s="4" t="str">
        <v>ICARDA</v>
      </c>
      <c r="D33" s="4" t="str">
        <v xml:space="preserve">4.1.3.a.Germplasm Health Units (GHUs) implementing costing processes </v>
      </c>
      <c r="E33" s="4" t="str">
        <v>custom</v>
      </c>
      <c r="F33" s="4" t="str">
        <v>Philippines, Colombia, India, Lebanon, Morocco, Mexico, Nigeria, Peru</v>
      </c>
      <c r="G33" s="5">
        <v>1</v>
      </c>
      <c r="H33" s="5">
        <v>10000</v>
      </c>
      <c r="I33" s="4" t="str" xml:space="preserve">
        <v xml:space="preserve">Personnel costs based on standard organizational salary scales.
</v>
      </c>
      <c r="J33" s="4">
        <v>6739</v>
      </c>
    </row>
    <row r="34" ht="50" customHeight="1" xml:space="preserve">
      <c r="B34" s="4" t="str">
        <v>ICARDA</v>
      </c>
      <c r="D34" s="4" t="str">
        <v xml:space="preserve">4.1.2. Germplasm Health Unit (GHU) data dashboards created, updated, or under development </v>
      </c>
      <c r="E34" s="4" t="str">
        <v>custom</v>
      </c>
      <c r="F34" s="4" t="str">
        <v>India, Ethiopia, Lebanon, Philippines, Morocco, Peru, Nigeria, Côte d'Ivoire</v>
      </c>
      <c r="G34" s="5">
        <v>1</v>
      </c>
      <c r="H34" s="5">
        <v>10000</v>
      </c>
      <c r="I34" s="4" t="str" xml:space="preserve">
        <v xml:space="preserve">Personnel costs based on standard organizational salary scales.
</v>
      </c>
      <c r="J34" s="4">
        <v>7198</v>
      </c>
    </row>
    <row r="35" ht="50" customHeight="1" xml:space="preserve">
      <c r="A35" s="4" t="str">
        <v>AOW04: Germplasm Health</v>
      </c>
      <c r="B35" s="4" t="str">
        <v>ICARDA</v>
      </c>
      <c r="C35" s="4" t="str">
        <v>4.2. Improved diagnostics and novel therapies for efficient germplasm health testing and phytosanitation​</v>
      </c>
      <c r="D35" s="4" t="str">
        <v>4.2.1. Upgraded/new protocols for germplasm health diagnostics and health monitoring</v>
      </c>
      <c r="E35" s="4" t="str">
        <v>Number of innovations (innovation development)</v>
      </c>
      <c r="F35" s="4" t="str">
        <v>Colombia, Philippines, Nigeria, Lebanon, Morocco, Belgium, Côte d'Ivoire, Peru, Ethiopia, Mexico, India</v>
      </c>
      <c r="G35" s="5">
        <v>2</v>
      </c>
      <c r="H35" s="5">
        <v>30000</v>
      </c>
      <c r="I35" s="4" t="str" xml:space="preserve">
        <v xml:space="preserve">Personnel costs based on standard organizational salary scales.
</v>
      </c>
      <c r="J35" s="4">
        <v>6744</v>
      </c>
    </row>
    <row r="36" ht="50" customHeight="1" xml:space="preserve">
      <c r="B36" s="4" t="str">
        <v>ICARDA</v>
      </c>
      <c r="D36" s="4" t="str">
        <v>4.2.2. Improved phytosanitary protocols for clonal and seed germplasm, including novel virus therapies and chemicals for seed dressing</v>
      </c>
      <c r="E36" s="4" t="str">
        <v>Number of innovations (innovation development)</v>
      </c>
      <c r="F36" s="4" t="str">
        <v>Colombia, Belgium, Mexico, Morocco, Nigeria, Lebanon, Philippines, India, Côte d'Ivoire</v>
      </c>
      <c r="G36" s="5">
        <v>2</v>
      </c>
      <c r="H36" s="5">
        <v>30000</v>
      </c>
      <c r="I36" s="4" t="str" xml:space="preserve">
        <v xml:space="preserve">Personnel costs based on standard organizational salary scales.
</v>
      </c>
      <c r="J36" s="4">
        <v>6759</v>
      </c>
    </row>
    <row r="37" ht="50" customHeight="1" xml:space="preserve">
      <c r="A37" s="4" t="str">
        <v>AOW04: Germplasm Health</v>
      </c>
      <c r="B37" s="4" t="str">
        <v>ICARDA</v>
      </c>
      <c r="C37" s="4" t="str">
        <v>4.3. Enhanced knowledge for effective control of germplasm-borne pests and diseases</v>
      </c>
      <c r="D37" s="4" t="str">
        <v>4.3.3. Knowledge products on key seed-borne pests and diseases published</v>
      </c>
      <c r="E37" s="4" t="str">
        <v>Number of knowledge products</v>
      </c>
      <c r="F37" s="4" t="str">
        <v>Colombia, Belgium, Côte d'Ivoire, Nigeria, Lebanon, Mexico, India, Morocco, Philippines, Ethiopia</v>
      </c>
      <c r="G37" s="5">
        <v>2</v>
      </c>
      <c r="H37" s="5">
        <v>20000</v>
      </c>
      <c r="I37" s="4" t="str" xml:space="preserve">
        <v xml:space="preserve">Personnel costs based on standard organizational salary scales.
</v>
      </c>
      <c r="J37" s="4">
        <v>6771</v>
      </c>
    </row>
    <row r="38" ht="50" customHeight="1" xml:space="preserve">
      <c r="B38" s="4" t="str">
        <v>ICARDA</v>
      </c>
      <c r="D38" s="4" t="str">
        <v xml:space="preserve">4.3.1. Knowledge Products about Pest and Diseases interception information by crop by center. </v>
      </c>
      <c r="E38" s="4" t="str">
        <v>Number of knowledge products</v>
      </c>
      <c r="F38" s="4" t="str">
        <v>Philippines, Lebanon, Nigeria, Belgium, India, Mexico, Côte d'Ivoire, Peru, Morocco, Colombia, Ethiopia</v>
      </c>
      <c r="G38" s="5">
        <v>1</v>
      </c>
      <c r="H38" s="5">
        <v>10000</v>
      </c>
      <c r="I38" s="4" t="str" xml:space="preserve">
        <v xml:space="preserve">Personnel costs based on standard organizational salary scales.
</v>
      </c>
      <c r="J38" s="4">
        <v>6778</v>
      </c>
    </row>
    <row r="39" ht="50" customHeight="1" xml:space="preserve">
      <c r="B39" s="4" t="str">
        <v>ICARDA</v>
      </c>
      <c r="D39" s="4" t="str">
        <v xml:space="preserve">4.3.2. Protocols for preventing seed-transmission during seed regeneration and propagation </v>
      </c>
      <c r="E39" s="4" t="str">
        <v>custom</v>
      </c>
      <c r="F39" s="4" t="str">
        <v>Peru, Ethiopia, Côte d'Ivoire, Mexico, Nigeria</v>
      </c>
      <c r="G39" s="5">
        <v>0</v>
      </c>
      <c r="H39" s="5">
        <v>10000</v>
      </c>
      <c r="I39" s="4" t="str" xml:space="preserve">
        <v xml:space="preserve">Personnel costs based on standard organizational salary scales.
</v>
      </c>
      <c r="J39" s="4">
        <v>6789</v>
      </c>
    </row>
    <row r="40" ht="50" customHeight="1">
      <c r="A40" s="4" t="str">
        <v>AOW04: Germplasm Health</v>
      </c>
      <c r="B40" s="4" t="str">
        <v>ICARDA</v>
      </c>
      <c r="C40" s="4" t="str">
        <v>4.4. Systems-based phytosanitary protocol for expedited germplasm delivery​</v>
      </c>
      <c r="D40" s="4" t="str">
        <v>4.4.1. Average time to clear shipments under systems-based protocol.</v>
      </c>
      <c r="E40" s="4" t="str">
        <v>custom</v>
      </c>
      <c r="F40" s="4" t="str">
        <v>Philippines</v>
      </c>
      <c r="G40" s="5">
        <v>0</v>
      </c>
      <c r="H40" s="5">
        <v>0</v>
      </c>
      <c r="I40" s="4" t="str">
        <v/>
      </c>
      <c r="J40" s="4">
        <v>6797</v>
      </c>
    </row>
    <row r="41" ht="50" customHeight="1" xml:space="preserve">
      <c r="B41" s="4" t="str">
        <v>ICARDA</v>
      </c>
      <c r="D41" s="4" t="str">
        <v>4.4.2. Formal protocols for expedited germplasm exchange developed through stakeholder consultations and submitted for accreditation by relevant NPPOs</v>
      </c>
      <c r="E41" s="4" t="str">
        <v>Number of knowledge products</v>
      </c>
      <c r="F41" s="4" t="str">
        <v>Morocco, Côte d'Ivoire, Niger, Philippines, Lebanon</v>
      </c>
      <c r="G41" s="5">
        <v>2</v>
      </c>
      <c r="H41" s="5">
        <v>30000</v>
      </c>
      <c r="I41" s="4" t="str" xml:space="preserve">
        <v xml:space="preserve">Personnel costs based on standard organizational salary scales.
</v>
      </c>
      <c r="J41" s="4">
        <v>6805</v>
      </c>
    </row>
    <row r="42" ht="25" customHeight="1">
      <c r="C42" s="9" t="str">
        <v>HLO budget subtotal</v>
      </c>
      <c r="H42" s="9">
        <v>200000</v>
      </c>
      <c r="J42" s="9" t="str">
        <v/>
      </c>
    </row>
    <row r="43" ht="50" customHeight="1" xml:space="preserve">
      <c r="A43" s="8" t="str">
        <v>AOW05: Strengthening Capacity for In Situ and Ex Situ Conservation Globally</v>
      </c>
      <c r="B43" s="4" t="str">
        <v>ICARDA</v>
      </c>
      <c r="C43" s="4" t="str">
        <v>5.1. Regional hubs for coordinated safeguarding of at-risk crop diversity</v>
      </c>
      <c r="D43" s="4" t="str">
        <v xml:space="preserve">5.1.1 Regional hubs for saving crop diversity at risk established or maintained </v>
      </c>
      <c r="E43" s="4" t="str">
        <v>custom</v>
      </c>
      <c r="F43" s="4" t="str">
        <v>Suriname, Colombia, Argentina, Mexico, Guatemala, Cuba, Brazil, Panama, Ecuador, Chile, Oman, Türkiye, Tunisia, Uzbekistan, Kyrgyzstan, The United Arab Emirates, Jordan, Libya, Kazakhstan, Armenia, Lebanon, Morocco, Peru</v>
      </c>
      <c r="G43" s="5">
        <v>1</v>
      </c>
      <c r="H43" s="5">
        <v>5000</v>
      </c>
      <c r="I43" s="4" t="str" xml:space="preserve">
        <v xml:space="preserve">Personnel costs based on standard organizational salary scales.
</v>
      </c>
      <c r="J43" s="4">
        <v>6820</v>
      </c>
    </row>
    <row r="44" ht="50" customHeight="1" xml:space="preserve">
      <c r="A44" s="4" t="str">
        <v>AOW05: Strengthening Capacity for In Situ and Ex Situ Conservation Globally</v>
      </c>
      <c r="B44" s="4" t="str">
        <v>ICARDA</v>
      </c>
      <c r="C44" s="4" t="str">
        <v>5.2. Regional Communities of Practices and networks for diversity/gap analyses/SQM and key themes established and functioning</v>
      </c>
      <c r="D44" s="4" t="str">
        <v>5.2.2. Knowledge products including journal articles co-authored with NARS partners on topics related to cryopreservation, DSI, in-situ</v>
      </c>
      <c r="E44" s="4" t="str">
        <v>Number of knowledge products</v>
      </c>
      <c r="F44" s="4" t="str">
        <v>Peru, Lebanon, Morocco, The Socialist Republic of Viet Nam, Colombia, Mexico</v>
      </c>
      <c r="G44" s="5">
        <v>1</v>
      </c>
      <c r="H44" s="5">
        <v>3000</v>
      </c>
      <c r="I44" s="4" t="str" xml:space="preserve">
        <v xml:space="preserve">Personnel costs based on standard organizational salary scales.
</v>
      </c>
      <c r="J44" s="4">
        <v>6824</v>
      </c>
    </row>
    <row r="45" ht="50" customHeight="1" xml:space="preserve">
      <c r="A45" s="4" t="str">
        <v>AOW05: Strengthening Capacity for In Situ and Ex Situ Conservation Globally</v>
      </c>
      <c r="B45" s="4" t="str">
        <v>ICARDA</v>
      </c>
      <c r="C45" s="4" t="str">
        <v>5.3 Capacity strengthened at national and regional levels across genebank activities (SQM, data management, germplasm health, policy…)</v>
      </c>
      <c r="D45" s="4" t="str">
        <v>5.3.1. Individuals trained on collection, SQM, cryo, germplasm health, in situ, community genebanks, policy</v>
      </c>
      <c r="E45" s="4" t="str">
        <v>Number of people trained (capacity sharing for development)</v>
      </c>
      <c r="F45" s="4" t="str">
        <v>Morocco, Colombia, Belgium, Lebanon, Ethiopia, India, Peru, Mexico, Côte d'Ivoire, Nigeria</v>
      </c>
      <c r="G45" s="5">
        <v>50</v>
      </c>
      <c r="H45" s="5">
        <v>52000</v>
      </c>
      <c r="I45" s="4" t="str" xml:space="preserve">
        <v xml:space="preserve">Personnel costs based on standard organizational salary scales.
</v>
      </c>
      <c r="J45" s="4">
        <v>6840</v>
      </c>
    </row>
    <row r="46" ht="50" customHeight="1" xml:space="preserve">
      <c r="A46" s="4" t="str">
        <v>AOW05: Strengthening Capacity for In Situ and Ex Situ Conservation Globally</v>
      </c>
      <c r="B46" s="4" t="str">
        <v>ICARDA</v>
      </c>
      <c r="C46" s="4" t="str">
        <v xml:space="preserve">5.4. Unique crop diversity under threat is protected through the integration of in situ and ex situ conservation strategies </v>
      </c>
      <c r="D46" s="4" t="str">
        <v>5.4.3. Sites monitored for in-situ on farm</v>
      </c>
      <c r="E46" s="4" t="str">
        <v>custom</v>
      </c>
      <c r="F46" s="4" t="str">
        <v>Lebanon, Colombia, Peru, Mexico</v>
      </c>
      <c r="G46" s="5">
        <v>7</v>
      </c>
      <c r="H46" s="5">
        <v>2000</v>
      </c>
      <c r="I46" s="4" t="str" xml:space="preserve">
        <v xml:space="preserve">Personnel costs based on standard organizational salary scales.
</v>
      </c>
      <c r="J46" s="4">
        <v>6844</v>
      </c>
    </row>
    <row r="47" ht="50" customHeight="1" xml:space="preserve">
      <c r="B47" s="4" t="str">
        <v>ICARDA</v>
      </c>
      <c r="D47" s="4" t="str">
        <v>5.4.1. Unique accessions repatriated from CG Genebanks to national genebanks / communities</v>
      </c>
      <c r="E47" s="4" t="str">
        <v>custom</v>
      </c>
      <c r="F47" s="4" t="str">
        <v>Peru, Philippines, The Socialist Republic of Viet Nam, Morocco, Mexico, Jordan, Panama, Colombia, Chile</v>
      </c>
      <c r="G47" s="5">
        <v>125</v>
      </c>
      <c r="H47" s="5">
        <v>10000</v>
      </c>
      <c r="I47" s="4" t="str" xml:space="preserve">
        <v xml:space="preserve">Personnel costs based on standard organizational salary scales.
</v>
      </c>
      <c r="J47" s="4">
        <v>6846</v>
      </c>
    </row>
    <row r="48" ht="25" customHeight="1">
      <c r="C48" s="9" t="str">
        <v>HLO budget subtotal</v>
      </c>
      <c r="H48" s="9">
        <v>72000</v>
      </c>
      <c r="J48" s="9" t="str">
        <v/>
      </c>
    </row>
  </sheetData>
  <mergeCells count="25">
    <mergeCell ref="A1:A2"/>
    <mergeCell ref="B1:B2"/>
    <mergeCell ref="C1:C2"/>
    <mergeCell ref="D1:H1"/>
    <mergeCell ref="I1:I2"/>
    <mergeCell ref="J1:J2"/>
    <mergeCell ref="C3:C9"/>
    <mergeCell ref="C10:C14"/>
    <mergeCell ref="C15:C18"/>
    <mergeCell ref="C19:C21"/>
    <mergeCell ref="C22:G22"/>
    <mergeCell ref="A3:A22"/>
    <mergeCell ref="C23:C25"/>
    <mergeCell ref="C26:C29"/>
    <mergeCell ref="C30:G30"/>
    <mergeCell ref="A23:A30"/>
    <mergeCell ref="C31:C34"/>
    <mergeCell ref="C35:C36"/>
    <mergeCell ref="C37:C39"/>
    <mergeCell ref="C40:C41"/>
    <mergeCell ref="C42:G42"/>
    <mergeCell ref="A31:A42"/>
    <mergeCell ref="C46:C47"/>
    <mergeCell ref="C48:G48"/>
    <mergeCell ref="A43:A48"/>
  </mergeCells>
  <ignoredErrors>
    <ignoredError numberStoredAsText="1" sqref="A1:J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  <row r="2" ht="60" customHeight="1">
      <c r="A2" s="8" t="str">
        <v>ICARDA</v>
      </c>
      <c r="B2" s="4" t="str">
        <v>D-100735-Barley quality traits</v>
      </c>
      <c r="C2" s="4" t="str">
        <v>2.2. Enhanced germplasm information for more precise accession targeting</v>
      </c>
      <c r="D2" s="5">
        <v>116881</v>
      </c>
      <c r="E2" s="4" t="str">
        <v>Assuming similar budget as 2025</v>
      </c>
      <c r="F2" s="4">
        <v>1235</v>
      </c>
    </row>
    <row r="3" ht="60" customHeight="1">
      <c r="A3" s="4" t="str">
        <v>ICARDA</v>
      </c>
      <c r="B3" s="4" t="str">
        <v>Long Term Partnership Agreement</v>
      </c>
      <c r="C3" s="4" t="str">
        <v>1.1. All collections conserved and made available according to international standards and best practices</v>
      </c>
      <c r="D3" s="5">
        <v>428472</v>
      </c>
      <c r="E3" s="4" t="str">
        <v>As per figures provided by crop trust</v>
      </c>
      <c r="F3" s="4">
        <v>1224</v>
      </c>
    </row>
    <row r="4" ht="25" customHeight="1">
      <c r="B4" s="9" t="str">
        <v>W3/Bilateral budget subtotal</v>
      </c>
      <c r="D4" s="9">
        <v>545353</v>
      </c>
      <c r="E4" s="9" t="str">
        <v/>
      </c>
      <c r="F4" s="9" t="str">
        <v/>
      </c>
    </row>
  </sheetData>
  <mergeCells count="2">
    <mergeCell ref="B4:C4"/>
    <mergeCell ref="A2:A4"/>
  </mergeCells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  <row r="2" ht="60" customHeight="1">
      <c r="A2" s="8" t="str">
        <v>AOW00: Cross Cutting</v>
      </c>
      <c r="B2" s="4" t="str">
        <v>ICARDA</v>
      </c>
      <c r="C2" s="4" t="str">
        <v>Study on partners application of best practices to the management and exchange of agrobiodiversity and conservation of diversity in perpetuity and ensuring its availability</v>
      </c>
      <c r="D2" s="4" t="str">
        <v>1. International and national genebanks conserve crop diversity in perpetuity and ensure its availability in a strengthened Global System, underpinned by enabling policies and enhanced capacities</v>
      </c>
      <c r="E2" s="4" t="str">
        <v>N/A</v>
      </c>
      <c r="F2" s="5">
        <v>35000</v>
      </c>
      <c r="G2" s="4" t="str">
        <v>Stakeholders are willing to provide information through interviews, surveys, and data sharing.</v>
      </c>
      <c r="H2" s="4">
        <v>420</v>
      </c>
    </row>
    <row r="3" ht="60" customHeight="1">
      <c r="A3" s="4" t="str">
        <v>AOW00: Cross Cutting</v>
      </c>
      <c r="B3" s="4" t="str">
        <v>ICARDA</v>
      </c>
      <c r="C3" s="4" t="str">
        <v>Study on the use of germplasm and associated data sourced from CGIAR Genebanks</v>
      </c>
      <c r="D3" s="4" t="str">
        <v>3. Researchers, farmers, and students increasingly use available diversity and associated data 2. Researchers, farmers, and students, access diversity and associated data in a more targeted way</v>
      </c>
      <c r="E3" s="4" t="str">
        <v>N/A</v>
      </c>
      <c r="F3" s="5">
        <v>35000</v>
      </c>
      <c r="G3" s="4" t="str">
        <v>Stakeholders are willing to provide information through interviews, surveys, and data sharing.</v>
      </c>
      <c r="H3" s="4">
        <v>421</v>
      </c>
    </row>
    <row r="4" ht="60" customHeight="1">
      <c r="A4" s="4" t="str">
        <v>AOW00: Cross Cutting</v>
      </c>
      <c r="B4" s="4" t="str">
        <v>ICARDA</v>
      </c>
      <c r="C4" s="4" t="str">
        <v xml:space="preserve">Outcome study on the access to diversity and associated data in a smarter and more targeted way for increased use   </v>
      </c>
      <c r="D4" s="4" t="str">
        <v>2. Researchers, farmers, and students, access diversity and associated data in a more targeted way</v>
      </c>
      <c r="E4" s="4" t="str">
        <v>N/A</v>
      </c>
      <c r="F4" s="5">
        <v>0</v>
      </c>
      <c r="G4" s="4" t="str">
        <v/>
      </c>
      <c r="H4" s="4">
        <v>422</v>
      </c>
    </row>
    <row r="5" ht="25" customHeight="1">
      <c r="C5" s="9" t="str">
        <v>MELIA budget subtotal</v>
      </c>
      <c r="F5" s="9">
        <v>70000</v>
      </c>
      <c r="G5" s="9" t="str">
        <v/>
      </c>
      <c r="H5" s="9" t="str">
        <v/>
      </c>
    </row>
    <row r="6" ht="60" customHeight="1">
      <c r="A6" s="8" t="str">
        <v>AOW01: Biodiversity Conservation</v>
      </c>
      <c r="B6" s="4" t="str">
        <v>ICARDA</v>
      </c>
      <c r="C6" s="4" t="str">
        <v xml:space="preserve">Review of the Seed Quality Management (SQM) and Quality Management System (QMS) Communities of Practice, under Genebanks </v>
      </c>
      <c r="D6" s="4" t="str">
        <v>1.1. All collections conserved and made available according to international standards and best practices</v>
      </c>
      <c r="E6" s="4" t="str">
        <v>N/A</v>
      </c>
      <c r="F6" s="5">
        <v>0</v>
      </c>
      <c r="G6" s="4" t="str">
        <v/>
      </c>
      <c r="H6" s="4">
        <v>418</v>
      </c>
    </row>
    <row r="7" ht="25" customHeight="1">
      <c r="C7" s="9" t="str">
        <v>MELIA budget subtotal</v>
      </c>
      <c r="F7" s="9">
        <v>0</v>
      </c>
      <c r="G7" s="9" t="str">
        <v/>
      </c>
      <c r="H7" s="9" t="str">
        <v/>
      </c>
    </row>
    <row r="8" ht="60" customHeight="1">
      <c r="A8" s="8" t="str">
        <v>AOW05: Strengthening Capacity for In Situ and Ex Situ Conservation Globally</v>
      </c>
      <c r="B8" s="4" t="str">
        <v>ICARDA</v>
      </c>
      <c r="C8" s="4" t="str">
        <v>Study on partners application of best practices to the management and exchange of agrobiodiversity and conservation of diversity in perpetuity and ensuring its availability</v>
      </c>
      <c r="D8" s="4" t="str">
        <v>1. International and national genebanks conserve crop diversity in perpetuity and ensure its availability in a strengthened Global System, underpinned by enabling policies and enhanced capacities</v>
      </c>
      <c r="E8" s="4" t="str">
        <v>N/A</v>
      </c>
      <c r="F8" s="5">
        <v>0</v>
      </c>
      <c r="G8" s="4" t="str">
        <v/>
      </c>
      <c r="H8" s="4">
        <v>419</v>
      </c>
    </row>
    <row r="9" ht="25" customHeight="1">
      <c r="C9" s="9" t="str">
        <v>MELIA budget subtotal</v>
      </c>
      <c r="F9" s="9">
        <v>0</v>
      </c>
      <c r="G9" s="9" t="str">
        <v/>
      </c>
      <c r="H9" s="9" t="str">
        <v/>
      </c>
    </row>
  </sheetData>
  <mergeCells count="6">
    <mergeCell ref="C5:E5"/>
    <mergeCell ref="A2:A5"/>
    <mergeCell ref="C7:E7"/>
    <mergeCell ref="A6:A7"/>
    <mergeCell ref="C9:E9"/>
    <mergeCell ref="A8:A9"/>
  </mergeCells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>
      <c r="A2" s="8" t="str">
        <v>AOW00: Cross Cutting</v>
      </c>
      <c r="B2" s="4" t="str">
        <v>ICARDA</v>
      </c>
      <c r="C2" s="4" t="str">
        <v>MELIA</v>
      </c>
      <c r="D2" s="5">
        <v>70000</v>
      </c>
      <c r="E2" s="4" t="str">
        <v>Stakeholders are willing to provide information through interviews, surveys, and data sharing.</v>
      </c>
      <c r="F2" s="4">
        <v>136</v>
      </c>
      <c r="G2" s="4">
        <v>6</v>
      </c>
    </row>
    <row r="3" ht="45" customHeight="1" xml:space="preserve">
      <c r="A3" s="4" t="str">
        <v>AOW00: Cross Cutting</v>
      </c>
      <c r="B3" s="4" t="str">
        <v>ICARDA</v>
      </c>
      <c r="C3" s="4" t="str">
        <v>PMU, CGIAR Program Finance Support and associated Allocation</v>
      </c>
      <c r="D3" s="5">
        <v>38784</v>
      </c>
      <c r="E3" s="4" t="str" xml:space="preserve">
        <v xml:space="preserve">Personnel costs based on standard organizational salary scales
</v>
      </c>
      <c r="F3" s="4">
        <v>142</v>
      </c>
      <c r="G3" s="4">
        <v>2</v>
      </c>
    </row>
    <row r="4" ht="25" customHeight="1">
      <c r="C4" s="9" t="str">
        <v>Cross-cutting budget subtotal</v>
      </c>
      <c r="D4" s="9">
        <v>108784</v>
      </c>
      <c r="E4" s="9" t="str">
        <v/>
      </c>
      <c r="F4" s="9" t="str">
        <v/>
      </c>
      <c r="G4" s="9" t="str">
        <v/>
      </c>
    </row>
  </sheetData>
  <mergeCells count="1">
    <mergeCell ref="A2:A4"/>
  </mergeCells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4" t="str">
        <v>Staffing, Chargebacks and Indirect</v>
      </c>
      <c r="B2" s="5">
        <v>38784</v>
      </c>
      <c r="C2" s="5">
        <v>1373688</v>
      </c>
      <c r="D2" s="5">
        <v>56650</v>
      </c>
      <c r="E2" s="5">
        <v>0</v>
      </c>
      <c r="F2" s="5">
        <v>174000</v>
      </c>
      <c r="G2" s="5">
        <v>72000</v>
      </c>
      <c r="H2" s="5">
        <f>=SUM(B2:G2)</f>
        <v>0</v>
      </c>
    </row>
    <row r="3" ht="20" customHeight="1">
      <c r="A3" s="4" t="str">
        <v>Operations (supplies, consultants, travels, workshops, other)</v>
      </c>
      <c r="B3" s="5">
        <v>70000</v>
      </c>
      <c r="C3" s="5">
        <v>1123927</v>
      </c>
      <c r="D3" s="5">
        <v>46350</v>
      </c>
      <c r="E3" s="5">
        <v>0</v>
      </c>
      <c r="F3" s="5">
        <v>26000</v>
      </c>
      <c r="G3" s="5">
        <v>0</v>
      </c>
      <c r="H3" s="5">
        <f>=SUM(B3:G3)</f>
        <v>0</v>
      </c>
    </row>
    <row r="4" ht="20" customHeight="1">
      <c r="A4" s="4" t="str">
        <v>Collaborators non-CGIAR centers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f>=SUM(B4:G4)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  <c r="G5" s="7">
        <f>=SUM(G2:G4)</f>
        <v>0</v>
      </c>
      <c r="H5" s="7">
        <f>=SUM(H2:H4)</f>
        <v>0</v>
      </c>
    </row>
  </sheetData>
  <ignoredErrors>
    <ignoredError numberStoredAsText="1" sqref="A1:H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ICARDA</v>
      </c>
      <c r="C2" s="4" t="str">
        <v>Lebanon</v>
      </c>
      <c r="D2" s="5">
        <v>50</v>
      </c>
      <c r="E2" s="4">
        <v>2677</v>
      </c>
    </row>
    <row r="3" ht="45" customHeight="1">
      <c r="A3" s="4" t="str">
        <v>AOW00: Cross Cutting</v>
      </c>
      <c r="B3" s="4" t="str">
        <v>ICARDA</v>
      </c>
      <c r="C3" s="4" t="str">
        <v>Morocco</v>
      </c>
      <c r="D3" s="5">
        <v>50</v>
      </c>
      <c r="E3" s="4">
        <v>2676</v>
      </c>
    </row>
    <row r="4" ht="45" customHeight="1">
      <c r="A4" s="8" t="str">
        <v>AOW01: Biodiversity Conservation</v>
      </c>
      <c r="B4" s="4" t="str">
        <v>ICARDA</v>
      </c>
      <c r="C4" s="4" t="str">
        <v>Lebanon</v>
      </c>
      <c r="D4" s="5">
        <v>50</v>
      </c>
      <c r="E4" s="4">
        <v>404</v>
      </c>
    </row>
    <row r="5" ht="45" customHeight="1">
      <c r="A5" s="4" t="str">
        <v>AOW01: Biodiversity Conservation</v>
      </c>
      <c r="B5" s="4" t="str">
        <v>ICARDA</v>
      </c>
      <c r="C5" s="4" t="str">
        <v>Morocco</v>
      </c>
      <c r="D5" s="5">
        <v>50</v>
      </c>
      <c r="E5" s="4">
        <v>405</v>
      </c>
    </row>
    <row r="6" ht="45" customHeight="1">
      <c r="A6" s="8" t="str">
        <v>AOW02: Strategic User Engagement</v>
      </c>
      <c r="B6" s="4" t="str">
        <v>ICARDA</v>
      </c>
      <c r="C6" s="4" t="str">
        <v>Lebanon</v>
      </c>
      <c r="D6" s="5">
        <v>34</v>
      </c>
      <c r="E6" s="4">
        <v>408</v>
      </c>
    </row>
    <row r="7" ht="45" customHeight="1">
      <c r="A7" s="4" t="str">
        <v>AOW02: Strategic User Engagement</v>
      </c>
      <c r="B7" s="4" t="str">
        <v>ICARDA</v>
      </c>
      <c r="C7" s="4" t="str">
        <v>Morocco</v>
      </c>
      <c r="D7" s="5">
        <v>33</v>
      </c>
      <c r="E7" s="4">
        <v>407</v>
      </c>
    </row>
    <row r="8" ht="45" customHeight="1">
      <c r="A8" s="4" t="str">
        <v>AOW02: Strategic User Engagement</v>
      </c>
      <c r="B8" s="4" t="str">
        <v>ICARDA</v>
      </c>
      <c r="C8" s="4" t="str">
        <v>The United Arab Emirates</v>
      </c>
      <c r="D8" s="5">
        <v>33</v>
      </c>
      <c r="E8" s="4">
        <v>406</v>
      </c>
    </row>
    <row r="9" ht="45" customHeight="1">
      <c r="A9" s="8" t="str">
        <v>AOW04: Germplasm Health</v>
      </c>
      <c r="B9" s="4" t="str">
        <v>ICARDA</v>
      </c>
      <c r="C9" s="4" t="str">
        <v>Belgium</v>
      </c>
      <c r="D9" s="5">
        <v>8.3</v>
      </c>
      <c r="E9" s="4">
        <v>409</v>
      </c>
    </row>
    <row r="10" ht="45" customHeight="1">
      <c r="A10" s="4" t="str">
        <v>AOW04: Germplasm Health</v>
      </c>
      <c r="B10" s="4" t="str">
        <v>ICARDA</v>
      </c>
      <c r="C10" s="4" t="str">
        <v>Colombia</v>
      </c>
      <c r="D10" s="5">
        <v>8.3</v>
      </c>
      <c r="E10" s="4">
        <v>410</v>
      </c>
    </row>
    <row r="11" ht="45" customHeight="1">
      <c r="A11" s="4" t="str">
        <v>AOW04: Germplasm Health</v>
      </c>
      <c r="B11" s="4" t="str">
        <v>ICARDA</v>
      </c>
      <c r="C11" s="4" t="str">
        <v>Côte d'Ivoire</v>
      </c>
      <c r="D11" s="5">
        <v>8.3</v>
      </c>
      <c r="E11" s="4">
        <v>411</v>
      </c>
    </row>
    <row r="12" ht="45" customHeight="1">
      <c r="A12" s="4" t="str">
        <v>AOW04: Germplasm Health</v>
      </c>
      <c r="B12" s="4" t="str">
        <v>ICARDA</v>
      </c>
      <c r="C12" s="4" t="str">
        <v>Ethiopia</v>
      </c>
      <c r="D12" s="5">
        <v>8.3</v>
      </c>
      <c r="E12" s="4">
        <v>412</v>
      </c>
    </row>
    <row r="13" ht="45" customHeight="1">
      <c r="A13" s="4" t="str">
        <v>AOW04: Germplasm Health</v>
      </c>
      <c r="B13" s="4" t="str">
        <v>ICARDA</v>
      </c>
      <c r="C13" s="4" t="str">
        <v>India</v>
      </c>
      <c r="D13" s="5">
        <v>8.3</v>
      </c>
      <c r="E13" s="4">
        <v>413</v>
      </c>
    </row>
    <row r="14" ht="45" customHeight="1">
      <c r="A14" s="4" t="str">
        <v>AOW04: Germplasm Health</v>
      </c>
      <c r="B14" s="4" t="str">
        <v>ICARDA</v>
      </c>
      <c r="C14" s="4" t="str">
        <v>Lebanon</v>
      </c>
      <c r="D14" s="5">
        <v>8.59</v>
      </c>
      <c r="E14" s="4">
        <v>414</v>
      </c>
    </row>
    <row r="15" ht="45" customHeight="1">
      <c r="A15" s="4" t="str">
        <v>AOW04: Germplasm Health</v>
      </c>
      <c r="B15" s="4" t="str">
        <v>ICARDA</v>
      </c>
      <c r="C15" s="4" t="str">
        <v>Mexico</v>
      </c>
      <c r="D15" s="5">
        <v>8.3</v>
      </c>
      <c r="E15" s="4">
        <v>415</v>
      </c>
    </row>
    <row r="16" ht="45" customHeight="1">
      <c r="A16" s="4" t="str">
        <v>AOW04: Germplasm Health</v>
      </c>
      <c r="B16" s="4" t="str">
        <v>ICARDA</v>
      </c>
      <c r="C16" s="4" t="str">
        <v>Morocco</v>
      </c>
      <c r="D16" s="5">
        <v>8.41</v>
      </c>
      <c r="E16" s="4">
        <v>416</v>
      </c>
    </row>
    <row r="17" ht="45" customHeight="1">
      <c r="A17" s="4" t="str">
        <v>AOW04: Germplasm Health</v>
      </c>
      <c r="B17" s="4" t="str">
        <v>ICARDA</v>
      </c>
      <c r="C17" s="4" t="str">
        <v>Niger</v>
      </c>
      <c r="D17" s="5">
        <v>8.3</v>
      </c>
      <c r="E17" s="4">
        <v>417</v>
      </c>
    </row>
    <row r="18" ht="45" customHeight="1">
      <c r="A18" s="4" t="str">
        <v>AOW04: Germplasm Health</v>
      </c>
      <c r="B18" s="4" t="str">
        <v>ICARDA</v>
      </c>
      <c r="C18" s="4" t="str">
        <v>Nigeria</v>
      </c>
      <c r="D18" s="5">
        <v>8.3</v>
      </c>
      <c r="E18" s="4">
        <v>418</v>
      </c>
    </row>
    <row r="19" ht="45" customHeight="1">
      <c r="A19" s="4" t="str">
        <v>AOW04: Germplasm Health</v>
      </c>
      <c r="B19" s="4" t="str">
        <v>ICARDA</v>
      </c>
      <c r="C19" s="4" t="str">
        <v>Peru</v>
      </c>
      <c r="D19" s="5">
        <v>8.3</v>
      </c>
      <c r="E19" s="4">
        <v>419</v>
      </c>
    </row>
    <row r="20" ht="45" customHeight="1">
      <c r="A20" s="4" t="str">
        <v>AOW04: Germplasm Health</v>
      </c>
      <c r="B20" s="4" t="str">
        <v>ICARDA</v>
      </c>
      <c r="C20" s="4" t="str">
        <v>Philippines</v>
      </c>
      <c r="D20" s="5">
        <v>8.3</v>
      </c>
      <c r="E20" s="4">
        <v>420</v>
      </c>
    </row>
    <row r="21" ht="45" customHeight="1">
      <c r="A21" s="8" t="str">
        <v>AOW05: Strengthening Capacity for In Situ and Ex Situ Conservation Globally</v>
      </c>
      <c r="B21" s="4" t="str">
        <v>ICARDA</v>
      </c>
      <c r="C21" s="4" t="str">
        <v>Argentina</v>
      </c>
      <c r="D21" s="5">
        <v>0</v>
      </c>
      <c r="E21" s="4">
        <v>421</v>
      </c>
    </row>
    <row r="22" ht="45" customHeight="1">
      <c r="A22" s="4" t="str">
        <v>AOW05: Strengthening Capacity for In Situ and Ex Situ Conservation Globally</v>
      </c>
      <c r="B22" s="4" t="str">
        <v>ICARDA</v>
      </c>
      <c r="C22" s="4" t="str">
        <v>Armenia</v>
      </c>
      <c r="D22" s="5">
        <v>3.45</v>
      </c>
      <c r="E22" s="4">
        <v>422</v>
      </c>
    </row>
    <row r="23" ht="45" customHeight="1">
      <c r="A23" s="4" t="str">
        <v>AOW05: Strengthening Capacity for In Situ and Ex Situ Conservation Globally</v>
      </c>
      <c r="B23" s="4" t="str">
        <v>ICARDA</v>
      </c>
      <c r="C23" s="4" t="str">
        <v>Belgium</v>
      </c>
      <c r="D23" s="5">
        <v>0</v>
      </c>
      <c r="E23" s="4">
        <v>423</v>
      </c>
    </row>
    <row r="24" ht="45" customHeight="1">
      <c r="A24" s="4" t="str">
        <v>AOW05: Strengthening Capacity for In Situ and Ex Situ Conservation Globally</v>
      </c>
      <c r="B24" s="4" t="str">
        <v>ICARDA</v>
      </c>
      <c r="C24" s="4" t="str">
        <v>Brazil</v>
      </c>
      <c r="D24" s="5">
        <v>0</v>
      </c>
      <c r="E24" s="4">
        <v>424</v>
      </c>
    </row>
    <row r="25" ht="45" customHeight="1">
      <c r="A25" s="4" t="str">
        <v>AOW05: Strengthening Capacity for In Situ and Ex Situ Conservation Globally</v>
      </c>
      <c r="B25" s="4" t="str">
        <v>ICARDA</v>
      </c>
      <c r="C25" s="4" t="str">
        <v>Chile</v>
      </c>
      <c r="D25" s="5">
        <v>0</v>
      </c>
      <c r="E25" s="4">
        <v>425</v>
      </c>
    </row>
    <row r="26" ht="45" customHeight="1">
      <c r="A26" s="4" t="str">
        <v>AOW05: Strengthening Capacity for In Situ and Ex Situ Conservation Globally</v>
      </c>
      <c r="B26" s="4" t="str">
        <v>ICARDA</v>
      </c>
      <c r="C26" s="4" t="str">
        <v>Colombia</v>
      </c>
      <c r="D26" s="5">
        <v>0</v>
      </c>
      <c r="E26" s="4">
        <v>426</v>
      </c>
    </row>
    <row r="27" ht="45" customHeight="1">
      <c r="A27" s="4" t="str">
        <v>AOW05: Strengthening Capacity for In Situ and Ex Situ Conservation Globally</v>
      </c>
      <c r="B27" s="4" t="str">
        <v>ICARDA</v>
      </c>
      <c r="C27" s="4" t="str">
        <v>Côte d'Ivoire</v>
      </c>
      <c r="D27" s="5">
        <v>3.45</v>
      </c>
      <c r="E27" s="4">
        <v>428</v>
      </c>
    </row>
    <row r="28" ht="45" customHeight="1">
      <c r="A28" s="4" t="str">
        <v>AOW05: Strengthening Capacity for In Situ and Ex Situ Conservation Globally</v>
      </c>
      <c r="B28" s="4" t="str">
        <v>ICARDA</v>
      </c>
      <c r="C28" s="4" t="str">
        <v>Cuba</v>
      </c>
      <c r="D28" s="5">
        <v>0</v>
      </c>
      <c r="E28" s="4">
        <v>427</v>
      </c>
    </row>
    <row r="29" ht="45" customHeight="1">
      <c r="A29" s="4" t="str">
        <v>AOW05: Strengthening Capacity for In Situ and Ex Situ Conservation Globally</v>
      </c>
      <c r="B29" s="4" t="str">
        <v>ICARDA</v>
      </c>
      <c r="C29" s="4" t="str">
        <v>Ecuador</v>
      </c>
      <c r="D29" s="5">
        <v>0</v>
      </c>
      <c r="E29" s="4">
        <v>429</v>
      </c>
    </row>
    <row r="30" ht="45" customHeight="1">
      <c r="A30" s="4" t="str">
        <v>AOW05: Strengthening Capacity for In Situ and Ex Situ Conservation Globally</v>
      </c>
      <c r="B30" s="4" t="str">
        <v>ICARDA</v>
      </c>
      <c r="C30" s="4" t="str">
        <v>Ethiopia</v>
      </c>
      <c r="D30" s="5">
        <v>3.45</v>
      </c>
      <c r="E30" s="4">
        <v>430</v>
      </c>
    </row>
    <row r="31" ht="45" customHeight="1">
      <c r="A31" s="4" t="str">
        <v>AOW05: Strengthening Capacity for In Situ and Ex Situ Conservation Globally</v>
      </c>
      <c r="B31" s="4" t="str">
        <v>ICARDA</v>
      </c>
      <c r="C31" s="4" t="str">
        <v>Guatemala</v>
      </c>
      <c r="D31" s="5">
        <v>0</v>
      </c>
      <c r="E31" s="4">
        <v>431</v>
      </c>
    </row>
    <row r="32" ht="45" customHeight="1">
      <c r="A32" s="4" t="str">
        <v>AOW05: Strengthening Capacity for In Situ and Ex Situ Conservation Globally</v>
      </c>
      <c r="B32" s="4" t="str">
        <v>ICARDA</v>
      </c>
      <c r="C32" s="4" t="str">
        <v>India</v>
      </c>
      <c r="D32" s="5">
        <v>3.45</v>
      </c>
      <c r="E32" s="4">
        <v>432</v>
      </c>
    </row>
    <row r="33" ht="45" customHeight="1">
      <c r="A33" s="4" t="str">
        <v>AOW05: Strengthening Capacity for In Situ and Ex Situ Conservation Globally</v>
      </c>
      <c r="B33" s="4" t="str">
        <v>ICARDA</v>
      </c>
      <c r="C33" s="4" t="str">
        <v>Jordan</v>
      </c>
      <c r="D33" s="5">
        <v>3.69</v>
      </c>
      <c r="E33" s="4">
        <v>433</v>
      </c>
    </row>
    <row r="34" ht="45" customHeight="1">
      <c r="A34" s="4" t="str">
        <v>AOW05: Strengthening Capacity for In Situ and Ex Situ Conservation Globally</v>
      </c>
      <c r="B34" s="4" t="str">
        <v>ICARDA</v>
      </c>
      <c r="C34" s="4" t="str">
        <v>Kazakhstan</v>
      </c>
      <c r="D34" s="5">
        <v>2.63</v>
      </c>
      <c r="E34" s="4">
        <v>434</v>
      </c>
    </row>
    <row r="35" ht="45" customHeight="1">
      <c r="A35" s="4" t="str">
        <v>AOW05: Strengthening Capacity for In Situ and Ex Situ Conservation Globally</v>
      </c>
      <c r="B35" s="4" t="str">
        <v>ICARDA</v>
      </c>
      <c r="C35" s="4" t="str">
        <v>Kyrgyzstan</v>
      </c>
      <c r="D35" s="5">
        <v>3.45</v>
      </c>
      <c r="E35" s="4">
        <v>435</v>
      </c>
    </row>
    <row r="36" ht="45" customHeight="1">
      <c r="A36" s="4" t="str">
        <v>AOW05: Strengthening Capacity for In Situ and Ex Situ Conservation Globally</v>
      </c>
      <c r="B36" s="4" t="str">
        <v>ICARDA</v>
      </c>
      <c r="C36" s="4" t="str">
        <v>Lebanon</v>
      </c>
      <c r="D36" s="5">
        <v>11</v>
      </c>
      <c r="E36" s="4">
        <v>436</v>
      </c>
    </row>
    <row r="37" ht="45" customHeight="1">
      <c r="A37" s="4" t="str">
        <v>AOW05: Strengthening Capacity for In Situ and Ex Situ Conservation Globally</v>
      </c>
      <c r="B37" s="4" t="str">
        <v>ICARDA</v>
      </c>
      <c r="C37" s="4" t="str">
        <v>Libya</v>
      </c>
      <c r="D37" s="5">
        <v>3.45</v>
      </c>
      <c r="E37" s="4">
        <v>437</v>
      </c>
    </row>
    <row r="38" ht="45" customHeight="1">
      <c r="A38" s="4" t="str">
        <v>AOW05: Strengthening Capacity for In Situ and Ex Situ Conservation Globally</v>
      </c>
      <c r="B38" s="4" t="str">
        <v>ICARDA</v>
      </c>
      <c r="C38" s="4" t="str">
        <v>Mexico</v>
      </c>
      <c r="D38" s="5">
        <v>0</v>
      </c>
      <c r="E38" s="4">
        <v>438</v>
      </c>
    </row>
    <row r="39" ht="45" customHeight="1">
      <c r="A39" s="4" t="str">
        <v>AOW05: Strengthening Capacity for In Situ and Ex Situ Conservation Globally</v>
      </c>
      <c r="B39" s="4" t="str">
        <v>ICARDA</v>
      </c>
      <c r="C39" s="4" t="str">
        <v>Morocco</v>
      </c>
      <c r="D39" s="5">
        <v>30.01</v>
      </c>
      <c r="E39" s="4">
        <v>439</v>
      </c>
    </row>
    <row r="40" ht="45" customHeight="1">
      <c r="A40" s="4" t="str">
        <v>AOW05: Strengthening Capacity for In Situ and Ex Situ Conservation Globally</v>
      </c>
      <c r="B40" s="4" t="str">
        <v>ICARDA</v>
      </c>
      <c r="C40" s="4" t="str">
        <v>Nigeria</v>
      </c>
      <c r="D40" s="5">
        <v>3.44</v>
      </c>
      <c r="E40" s="4">
        <v>440</v>
      </c>
    </row>
    <row r="41" ht="45" customHeight="1">
      <c r="A41" s="4" t="str">
        <v>AOW05: Strengthening Capacity for In Situ and Ex Situ Conservation Globally</v>
      </c>
      <c r="B41" s="4" t="str">
        <v>ICARDA</v>
      </c>
      <c r="C41" s="4" t="str">
        <v>Oman</v>
      </c>
      <c r="D41" s="5">
        <v>3.45</v>
      </c>
      <c r="E41" s="4">
        <v>441</v>
      </c>
    </row>
    <row r="42" ht="45" customHeight="1">
      <c r="A42" s="4" t="str">
        <v>AOW05: Strengthening Capacity for In Situ and Ex Situ Conservation Globally</v>
      </c>
      <c r="B42" s="4" t="str">
        <v>ICARDA</v>
      </c>
      <c r="C42" s="4" t="str">
        <v>Panama</v>
      </c>
      <c r="D42" s="5">
        <v>0</v>
      </c>
      <c r="E42" s="4">
        <v>442</v>
      </c>
    </row>
    <row r="43" ht="45" customHeight="1">
      <c r="A43" s="4" t="str">
        <v>AOW05: Strengthening Capacity for In Situ and Ex Situ Conservation Globally</v>
      </c>
      <c r="B43" s="4" t="str">
        <v>ICARDA</v>
      </c>
      <c r="C43" s="4" t="str">
        <v>Peru</v>
      </c>
      <c r="D43" s="5">
        <v>0</v>
      </c>
      <c r="E43" s="4">
        <v>443</v>
      </c>
    </row>
    <row r="44" ht="45" customHeight="1">
      <c r="A44" s="4" t="str">
        <v>AOW05: Strengthening Capacity for In Situ and Ex Situ Conservation Globally</v>
      </c>
      <c r="B44" s="4" t="str">
        <v>ICARDA</v>
      </c>
      <c r="C44" s="4" t="str">
        <v>Philippines</v>
      </c>
      <c r="D44" s="5">
        <v>0</v>
      </c>
      <c r="E44" s="4">
        <v>444</v>
      </c>
    </row>
    <row r="45" ht="45" customHeight="1">
      <c r="A45" s="4" t="str">
        <v>AOW05: Strengthening Capacity for In Situ and Ex Situ Conservation Globally</v>
      </c>
      <c r="B45" s="4" t="str">
        <v>ICARDA</v>
      </c>
      <c r="C45" s="4" t="str">
        <v>The Socialist Republic of Viet Nam</v>
      </c>
      <c r="D45" s="5">
        <v>3.45</v>
      </c>
      <c r="E45" s="4">
        <v>445</v>
      </c>
    </row>
    <row r="46" ht="45" customHeight="1">
      <c r="A46" s="4" t="str">
        <v>AOW05: Strengthening Capacity for In Situ and Ex Situ Conservation Globally</v>
      </c>
      <c r="B46" s="4" t="str">
        <v>ICARDA</v>
      </c>
      <c r="C46" s="4" t="str">
        <v>The United Arab Emirates</v>
      </c>
      <c r="D46" s="5">
        <v>10</v>
      </c>
      <c r="E46" s="4">
        <v>446</v>
      </c>
    </row>
    <row r="47" ht="45" customHeight="1">
      <c r="A47" s="4" t="str">
        <v>AOW05: Strengthening Capacity for In Situ and Ex Situ Conservation Globally</v>
      </c>
      <c r="B47" s="4" t="str">
        <v>ICARDA</v>
      </c>
      <c r="C47" s="4" t="str">
        <v>Tunisia</v>
      </c>
      <c r="D47" s="5">
        <v>3.629</v>
      </c>
      <c r="E47" s="4">
        <v>447</v>
      </c>
    </row>
    <row r="48" ht="45" customHeight="1">
      <c r="A48" s="4" t="str">
        <v>AOW05: Strengthening Capacity for In Situ and Ex Situ Conservation Globally</v>
      </c>
      <c r="B48" s="4" t="str">
        <v>ICARDA</v>
      </c>
      <c r="C48" s="4" t="str">
        <v>Türkiye</v>
      </c>
      <c r="D48" s="5">
        <v>4</v>
      </c>
      <c r="E48" s="4">
        <v>448</v>
      </c>
    </row>
    <row r="49" ht="45" customHeight="1">
      <c r="A49" s="4" t="str">
        <v>AOW05: Strengthening Capacity for In Situ and Ex Situ Conservation Globally</v>
      </c>
      <c r="B49" s="4" t="str">
        <v>ICARDA</v>
      </c>
      <c r="C49" s="4" t="str">
        <v>Uzbekistan</v>
      </c>
      <c r="D49" s="5">
        <v>4</v>
      </c>
      <c r="E49" s="4">
        <v>449</v>
      </c>
    </row>
  </sheetData>
  <mergeCells count="5">
    <mergeCell ref="A2:A3"/>
    <mergeCell ref="A4:A5"/>
    <mergeCell ref="A6:A8"/>
    <mergeCell ref="A9:A20"/>
    <mergeCell ref="A21:A49"/>
  </mergeCells>
  <ignoredErrors>
    <ignoredError numberStoredAsText="1" sqref="A1:E4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ICARDA</v>
      </c>
      <c r="C2" s="4" t="str">
        <v>Global</v>
      </c>
      <c r="D2" s="4" t="str">
        <v>global</v>
      </c>
      <c r="E2" s="5">
        <v>100</v>
      </c>
      <c r="F2" s="4">
        <v>990</v>
      </c>
    </row>
    <row r="3" ht="45" customHeight="1">
      <c r="A3" s="8" t="str">
        <v>AOW01: Biodiversity Conservation</v>
      </c>
      <c r="B3" s="4" t="str">
        <v>ICARDA</v>
      </c>
      <c r="C3" s="4" t="str">
        <v>Global</v>
      </c>
      <c r="D3" s="4" t="str">
        <v>global</v>
      </c>
      <c r="E3" s="5">
        <v>100</v>
      </c>
      <c r="F3" s="4">
        <v>196</v>
      </c>
    </row>
    <row r="4" ht="45" customHeight="1">
      <c r="A4" s="8" t="str">
        <v>AOW02: Strategic User Engagement</v>
      </c>
      <c r="B4" s="4" t="str">
        <v>ICARDA</v>
      </c>
      <c r="C4" s="4" t="str">
        <v>Global</v>
      </c>
      <c r="D4" s="4" t="str">
        <v>global</v>
      </c>
      <c r="E4" s="5">
        <v>100</v>
      </c>
      <c r="F4" s="4">
        <v>197</v>
      </c>
    </row>
    <row r="5" ht="45" customHeight="1">
      <c r="A5" s="8" t="str">
        <v>AOW04: Germplasm Health</v>
      </c>
      <c r="B5" s="4" t="str">
        <v>ICARDA</v>
      </c>
      <c r="C5" s="4" t="str">
        <v>Global</v>
      </c>
      <c r="D5" s="4" t="str">
        <v>global</v>
      </c>
      <c r="E5" s="5">
        <v>100</v>
      </c>
      <c r="F5" s="4">
        <v>198</v>
      </c>
    </row>
    <row r="6" ht="45" customHeight="1">
      <c r="A6" s="8" t="str">
        <v>AOW05: Strengthening Capacity for In Situ and Ex Situ Conservation Globally</v>
      </c>
      <c r="B6" s="4" t="str">
        <v>ICARDA</v>
      </c>
      <c r="C6" s="4" t="str">
        <v>Global</v>
      </c>
      <c r="D6" s="4" t="str">
        <v>global</v>
      </c>
      <c r="E6" s="5">
        <v>100</v>
      </c>
      <c r="F6" s="4">
        <v>199</v>
      </c>
    </row>
  </sheetData>
  <mergeCells count="5">
    <mergeCell ref="A2"/>
    <mergeCell ref="A3"/>
    <mergeCell ref="A4"/>
    <mergeCell ref="A5"/>
    <mergeCell ref="A6"/>
  </mergeCells>
  <ignoredErrors>
    <ignoredError numberStoredAsText="1" sqref="A1:F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AOW02: Strategic User Engagement</v>
      </c>
      <c r="B2" s="4" t="str">
        <v>Breeding for Tomorrow</v>
      </c>
      <c r="C2" s="4" t="str">
        <v>2.2. Enhanced germplasm information for more precise accession targeting</v>
      </c>
      <c r="D2" s="4" t="str">
        <v>In general, Breeding for Tomorrow (AoW2) will generate data related to genebank accessions, and Genebanks will harness the data to enrich genebank data resources and promote the use of the collections.</v>
      </c>
      <c r="E2" s="4">
        <v>1249</v>
      </c>
    </row>
    <row r="3" ht="60" customHeight="1">
      <c r="A3" s="4" t="str">
        <v>AOW02: Strategic User Engagement</v>
      </c>
      <c r="B3" s="4" t="str">
        <v xml:space="preserve">Sustainable Animal and Aquatic Foods </v>
      </c>
      <c r="C3" s="4" t="str">
        <v>2.2. Enhanced germplasm information for more precise accession targeting</v>
      </c>
      <c r="D3" s="4" t="str">
        <v>Genebanks conserving forage collections are collaborating with the BEF/BMGF-funded Low Methane Forages aiming at identifying forage accessions containing anti-methanogenic compounds.</v>
      </c>
      <c r="E3" s="4">
        <v>1250</v>
      </c>
    </row>
    <row r="4" ht="60" customHeight="1">
      <c r="A4" s="4" t="str">
        <v>AOW02: Strategic User Engagement</v>
      </c>
      <c r="B4" s="4" t="str">
        <v xml:space="preserve">Multifunctional Landscapes </v>
      </c>
      <c r="C4" s="4" t="str">
        <v>2.2. Enhanced germplasm information for more precise accession targeting</v>
      </c>
      <c r="D4" s="4" t="str">
        <v>Genebanks and Multifunctional Landscape collaborate to generate data related to genebank accessions</v>
      </c>
      <c r="E4" s="4">
        <v>1251</v>
      </c>
    </row>
    <row r="5" ht="60" customHeight="1">
      <c r="A5" s="4" t="str">
        <v>AOW02: Strategic User Engagement</v>
      </c>
      <c r="B5" s="4" t="str">
        <v xml:space="preserve">Sustainable Farming </v>
      </c>
      <c r="C5" s="4" t="str">
        <v>2.2. Enhanced germplasm information for more precise accession targeting</v>
      </c>
      <c r="D5" s="4" t="str">
        <v>Genebanks and Sustainable Farming collaborate to generate data related to genebank accessions</v>
      </c>
      <c r="E5" s="4">
        <v>1252</v>
      </c>
    </row>
    <row r="6" ht="60" customHeight="1">
      <c r="A6" s="4" t="str">
        <v>AOW02: Strategic User Engagement</v>
      </c>
      <c r="B6" s="4" t="str">
        <v xml:space="preserve">Digital Transformation </v>
      </c>
      <c r="C6" s="4" t="str">
        <v>2.3. CGIAR-wide portal with AI enabled digital infrastructure for germplasm data and requests</v>
      </c>
      <c r="D6" s="4" t="str">
        <v>Genebanks will collaborate with Digital Transformation (AoW1) to ensure adherence with FAIR principles in accession data generation and in the update of the germplasm request tool</v>
      </c>
      <c r="E6" s="4">
        <v>1253</v>
      </c>
    </row>
    <row r="7" ht="60" customHeight="1">
      <c r="A7" s="4" t="str">
        <v>AOW02: Strategic User Engagement</v>
      </c>
      <c r="B7" s="4" t="str">
        <v xml:space="preserve">Digital Transformation </v>
      </c>
      <c r="C7" s="4" t="str">
        <v>2.3. CGIAR-wide portal with AI enabled digital infrastructure for germplasm data and requests</v>
      </c>
      <c r="D7" s="4" t="str">
        <v>Genebanks will collaborate with Digital Transformation to improve Genesys subsetting tool.</v>
      </c>
      <c r="E7" s="4">
        <v>1283</v>
      </c>
    </row>
    <row r="8" ht="60" customHeight="1">
      <c r="A8" s="8" t="str">
        <v>AOW04: Germplasm Health</v>
      </c>
      <c r="B8" s="4" t="str">
        <v>Breeding for Tomorrow</v>
      </c>
      <c r="C8" s="4" t="str">
        <v>4.1. Optimized phytosanitary health delivery system</v>
      </c>
      <c r="D8" s="4" t="str">
        <v>Genebanks will collaborate with Breeding for Tomorrow to co-generate research outputs for strengthening SOPs/QMS and improve operational efficiency</v>
      </c>
      <c r="E8" s="4">
        <v>1256</v>
      </c>
    </row>
    <row r="9" ht="60" customHeight="1">
      <c r="A9" s="4" t="str">
        <v>AOW04: Germplasm Health</v>
      </c>
      <c r="B9" s="4" t="str">
        <v xml:space="preserve">Digital Transformation </v>
      </c>
      <c r="C9" s="4" t="str">
        <v>4.1. Optimized phytosanitary health delivery system</v>
      </c>
      <c r="D9" s="4" t="str">
        <v xml:space="preserve">Genebanks will work with Digital Transformation (AoW1) on the New GHU WebAPP (LIMS) diagnostic request tool  </v>
      </c>
      <c r="E9" s="4">
        <v>1257</v>
      </c>
    </row>
    <row r="10" ht="60" customHeight="1">
      <c r="A10" s="4" t="str">
        <v>AOW04: Germplasm Health</v>
      </c>
      <c r="B10" s="4" t="str">
        <v>Breeding for Tomorrow</v>
      </c>
      <c r="C10" s="4" t="str">
        <v>4.2. Improved diagnostics and novel therapies for efficient germplasm health testing and phytosanitation​</v>
      </c>
      <c r="D10" s="4" t="str">
        <v>Genebanks will collaborate with Breeding for Tomorrow to co-generate research outputs for the development and validation of protocols</v>
      </c>
      <c r="E10" s="4">
        <v>1258</v>
      </c>
    </row>
    <row r="11" ht="60" customHeight="1">
      <c r="A11" s="4" t="str">
        <v>AOW04: Germplasm Health</v>
      </c>
      <c r="B11" s="4" t="str">
        <v>Breeding for Tomorrow</v>
      </c>
      <c r="C11" s="4" t="str">
        <v>4.3. Enhanced knowledge for effective control of germplasm-borne pests and diseases</v>
      </c>
      <c r="D11" s="4" t="str">
        <v>Genebanks will collaborate with Breeding for Tomorrow to co-generate research outputs for the development and validation of protocols</v>
      </c>
      <c r="E11" s="4">
        <v>1259</v>
      </c>
    </row>
    <row r="12" ht="60" customHeight="1">
      <c r="A12" s="8" t="str">
        <v>AOW05: Strengthening Capacity for In Situ and Ex Situ Conservation Globally</v>
      </c>
      <c r="B12" s="4" t="str">
        <v xml:space="preserve">Multifunctional Landscapes </v>
      </c>
      <c r="C12" s="4" t="str">
        <v>5.2. Regional Communities of Practices and networks for diversity/gap analyses/SQM and key themes established and functioning</v>
      </c>
      <c r="D12" s="4" t="str">
        <v>Genebanks and Multifunctional Landscapes will collaborate through W3/bilateral projects on to create a community of practice for the in situ conservation.</v>
      </c>
      <c r="E12" s="4">
        <v>1260</v>
      </c>
    </row>
    <row r="13" ht="60" customHeight="1">
      <c r="A13" s="4" t="str">
        <v>AOW05: Strengthening Capacity for In Situ and Ex Situ Conservation Globally</v>
      </c>
      <c r="B13" s="4" t="str">
        <v>Food Frontiers and Security</v>
      </c>
      <c r="C13" s="4" t="str">
        <v>5.3 Capacity strengthened at national and regional levels across genebank activities (SQM, data management, germplasm health, policy…)</v>
      </c>
      <c r="D13" s="4" t="str">
        <v>Genebanks and FFS will collaborate to strengthen training and capacity building on key aspects of genetic resources conservation.</v>
      </c>
      <c r="E13" s="4">
        <v>1261</v>
      </c>
    </row>
    <row r="14" ht="60" customHeight="1">
      <c r="A14" s="4" t="str">
        <v>AOW05: Strengthening Capacity for In Situ and Ex Situ Conservation Globally</v>
      </c>
      <c r="B14" s="4" t="str">
        <v xml:space="preserve">Multifunctional Landscapes </v>
      </c>
      <c r="C14" s="4" t="str">
        <v>5.3 Capacity strengthened at national and regional levels across genebank activities (SQM, data management, germplasm health, policy…)</v>
      </c>
      <c r="D14" s="4" t="str">
        <v>Genebanks and Multifunctional Landscapes will collaborate through W3/bilateral projects to train individuals on in situ conservation strategies.</v>
      </c>
      <c r="E14" s="4">
        <v>1262</v>
      </c>
    </row>
    <row r="15" ht="60" customHeight="1">
      <c r="A15" s="4" t="str">
        <v>AOW05: Strengthening Capacity for In Situ and Ex Situ Conservation Globally</v>
      </c>
      <c r="B15" s="4" t="str">
        <v xml:space="preserve">Multifunctional Landscapes </v>
      </c>
      <c r="C15" s="4" t="str">
        <v xml:space="preserve">5.4. Unique crop diversity under threat is protected through the integration of in situ and ex situ conservation strategies </v>
      </c>
      <c r="D15" s="4" t="str">
        <v>Genebanks and Multifunctional Landscapes will collaborate for the monitoring of in-situ sites.</v>
      </c>
      <c r="E15" s="4">
        <v>1263</v>
      </c>
    </row>
  </sheetData>
  <mergeCells count="3">
    <mergeCell ref="A2:A7"/>
    <mergeCell ref="A8:A11"/>
    <mergeCell ref="A12:A15"/>
  </mergeCells>
  <ignoredErrors>
    <ignoredError numberStoredAsText="1" sqref="A1:E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1. International and national genebanks conserve crop diversity in perpetuity and ensure its availability in a strengthened Global System, underpinned by enabling policies and enhanced capacities</v>
      </c>
      <c r="C2" s="4" t="str">
        <v/>
      </c>
      <c r="D2" s="4" t="str">
        <v xml:space="preserve"> </v>
      </c>
      <c r="E2" s="4" t="str">
        <v>Global</v>
      </c>
      <c r="F2" s="5">
        <v>1000</v>
      </c>
      <c r="G2" s="4">
        <v>700</v>
      </c>
    </row>
    <row r="3" ht="60" customHeight="1">
      <c r="A3" s="4" t="str">
        <v>AOW00: Cross Cutting</v>
      </c>
      <c r="B3" s="4" t="str">
        <v>2. Researchers, farmers, and students, access diversity and associated data in a more targeted way</v>
      </c>
      <c r="C3" s="4" t="str">
        <v/>
      </c>
      <c r="D3" s="4" t="str">
        <v xml:space="preserve"> </v>
      </c>
      <c r="E3" s="4" t="str">
        <v>Global</v>
      </c>
      <c r="F3" s="5">
        <v>90</v>
      </c>
      <c r="G3" s="4">
        <v>701</v>
      </c>
    </row>
    <row r="4" ht="60" customHeight="1">
      <c r="A4" s="4" t="str">
        <v>AOW00: Cross Cutting</v>
      </c>
      <c r="B4" s="4" t="str">
        <v>2. Researchers, farmers, and students, access diversity and associated data in a more targeted way</v>
      </c>
      <c r="C4" s="4" t="str">
        <v/>
      </c>
      <c r="D4" s="4" t="str">
        <v>External users, particularly NARS, increasingly access crop diversity.</v>
      </c>
      <c r="E4" s="4" t="str">
        <v>Global</v>
      </c>
      <c r="F4" s="5">
        <v>500</v>
      </c>
      <c r="G4" s="4">
        <v>701</v>
      </c>
    </row>
    <row r="5" ht="60" customHeight="1">
      <c r="A5" s="4" t="str">
        <v>AOW00: Cross Cutting</v>
      </c>
      <c r="B5" s="4" t="str">
        <v>3. International and national organizations adopt and implement supportive access and benefit sharing policies</v>
      </c>
      <c r="C5" s="4" t="str">
        <v/>
      </c>
      <c r="D5" s="4" t="str">
        <v>Number of Policy (Policy Change)</v>
      </c>
      <c r="E5" s="4" t="str">
        <v>Global</v>
      </c>
      <c r="F5" s="5">
        <v>1</v>
      </c>
      <c r="G5" s="4">
        <v>703</v>
      </c>
    </row>
    <row r="6" ht="60" customHeight="1">
      <c r="A6" s="4" t="str">
        <v>AOW00: Cross Cutting</v>
      </c>
      <c r="B6" s="4" t="str">
        <v>3. Researchers, farmers, and students increasingly use available diversity and associated data</v>
      </c>
      <c r="C6" s="4" t="str">
        <v/>
      </c>
      <c r="D6" s="4" t="str">
        <v xml:space="preserve"> </v>
      </c>
      <c r="E6" s="4" t="str">
        <v>Global</v>
      </c>
      <c r="F6" s="5">
        <v>6</v>
      </c>
      <c r="G6" s="4">
        <v>725</v>
      </c>
    </row>
    <row r="7" ht="60" customHeight="1">
      <c r="A7" s="4" t="str">
        <v>AOW00: Cross Cutting</v>
      </c>
      <c r="B7" s="4" t="str">
        <v>3. Researchers, farmers, and students increasingly use available diversity and associated data</v>
      </c>
      <c r="C7" s="4" t="str">
        <v/>
      </c>
      <c r="D7" s="4" t="str">
        <v xml:space="preserve"> </v>
      </c>
      <c r="E7" s="4" t="str">
        <v>Global</v>
      </c>
      <c r="F7" s="5">
        <v>90</v>
      </c>
      <c r="G7" s="4">
        <v>725</v>
      </c>
    </row>
    <row r="8" ht="60" customHeight="1">
      <c r="A8" s="4" t="str">
        <v>AOW01: Biodiversity Conservation</v>
      </c>
      <c r="B8" s="4" t="str">
        <v>1. Crop Trust signs Long-Term Partnership Agreements with CGIAR</v>
      </c>
      <c r="C8" s="4" t="str">
        <v/>
      </c>
      <c r="D8" s="4" t="str">
        <v xml:space="preserve"> </v>
      </c>
      <c r="E8" s="4" t="str">
        <v>Global</v>
      </c>
      <c r="F8" s="5">
        <v>6</v>
      </c>
      <c r="G8" s="4">
        <v>702</v>
      </c>
    </row>
    <row r="9" ht="60" customHeight="1">
      <c r="A9" s="8" t="str">
        <v>AOW04: Germplasm Health</v>
      </c>
      <c r="B9" s="4" t="str">
        <v>4. CGIAR and internal and external partners exchange genetic resources without the risk of spreading quarantine pests or diseases</v>
      </c>
      <c r="C9" s="4" t="str">
        <v/>
      </c>
      <c r="D9" s="4" t="str">
        <v># Genetic resources exchanged in compliance with phytosanitary regulations.</v>
      </c>
      <c r="E9" s="4" t="str">
        <v>Global</v>
      </c>
      <c r="F9" s="5">
        <v>100</v>
      </c>
      <c r="G9" s="4">
        <v>704</v>
      </c>
    </row>
    <row r="10" ht="60" customHeight="1">
      <c r="A10" s="4" t="str">
        <v>AOW04: Germplasm Health</v>
      </c>
      <c r="B10" s="4" t="str">
        <v>4. CGIAR and internal and external partners exchange genetic resources without the risk of spreading quarantine pests or diseases</v>
      </c>
      <c r="C10" s="4" t="str">
        <v/>
      </c>
      <c r="D10" s="4" t="str">
        <v xml:space="preserve"> </v>
      </c>
      <c r="E10" s="4" t="str">
        <v>Global</v>
      </c>
      <c r="F10" s="5">
        <v>100</v>
      </c>
      <c r="G10" s="4">
        <v>704</v>
      </c>
    </row>
    <row r="11" ht="60" customHeight="1">
      <c r="A11" s="4" t="str">
        <v>AOW05: Strengthening Capacity for In Situ and Ex Situ Conservation Globally</v>
      </c>
      <c r="B11" s="4" t="str">
        <v>5.1 Partners apply best practices to the management and exchange of agrobiodiversity</v>
      </c>
      <c r="C11" s="4" t="str">
        <v/>
      </c>
      <c r="D11" s="4" t="str">
        <v xml:space="preserve"> </v>
      </c>
      <c r="E11" s="4" t="str">
        <v>Global</v>
      </c>
      <c r="F11" s="5">
        <v>2</v>
      </c>
      <c r="G11" s="4">
        <v>705</v>
      </c>
    </row>
  </sheetData>
  <mergeCells count="8">
    <mergeCell ref="B3:B4"/>
    <mergeCell ref="C3:C4"/>
    <mergeCell ref="B6:B7"/>
    <mergeCell ref="C6:C7"/>
    <mergeCell ref="A2:A7"/>
    <mergeCell ref="B9:B10"/>
    <mergeCell ref="C9:C10"/>
    <mergeCell ref="A9:A10"/>
  </mergeCells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