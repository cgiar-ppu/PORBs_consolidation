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225</v>
      </c>
    </row>
    <row r="5" ht="20" customHeight="1">
      <c r="A5" s="4" t="str">
        <v>AOW01: Biodiversity Conservation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220</v>
      </c>
    </row>
    <row r="6" ht="20" customHeight="1">
      <c r="A6" s="4" t="str">
        <v>AOW02: Strategic User Engagement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223</v>
      </c>
    </row>
    <row r="7" ht="20" customHeight="1">
      <c r="A7" s="4" t="str">
        <v>AOW03: Genetic Resources Policy</v>
      </c>
      <c r="B7" s="5">
        <v>0</v>
      </c>
      <c r="C7" s="5">
        <v>0</v>
      </c>
      <c r="D7" s="5">
        <v>1</v>
      </c>
      <c r="E7" s="5">
        <v>50000</v>
      </c>
      <c r="F7" s="5">
        <v>0</v>
      </c>
      <c r="G7" s="5">
        <v>0</v>
      </c>
      <c r="H7" s="5">
        <v>0</v>
      </c>
      <c r="I7" s="5">
        <v>0</v>
      </c>
      <c r="J7" s="5">
        <v>50000</v>
      </c>
      <c r="K7" s="5">
        <v>50000</v>
      </c>
      <c r="L7" s="5">
        <v>0</v>
      </c>
      <c r="M7" s="5">
        <v>0</v>
      </c>
      <c r="N7" s="4">
        <v>221</v>
      </c>
    </row>
    <row r="8" ht="20" customHeight="1">
      <c r="A8" s="4" t="str">
        <v>AOW04: Germplasm Health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224</v>
      </c>
    </row>
    <row r="9" ht="20" customHeight="1">
      <c r="A9" s="4" t="str">
        <v>AOW05: Strengthening Capacity for In Situ and Ex Situ Conservation Globally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222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50000</v>
      </c>
      <c r="F10" s="7" t="str">
        <v/>
      </c>
      <c r="G10" s="7">
        <v>0</v>
      </c>
      <c r="H10" s="7" t="str">
        <v/>
      </c>
      <c r="I10" s="7">
        <v>0</v>
      </c>
      <c r="J10" s="7">
        <v>50000</v>
      </c>
      <c r="K10" s="7">
        <v>50000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AOW03: Genetic Resources Policy</v>
      </c>
      <c r="B3" s="4" t="str">
        <v>IFPRI</v>
      </c>
      <c r="C3" s="4" t="str">
        <v xml:space="preserve">3.1. CGIAR Genebanks contributions to international negotiations </v>
      </c>
      <c r="D3" s="4" t="str">
        <v xml:space="preserve">3.1.2. Policy-related publications in peer review journals, policy briefs and or other forms of written responses to requests for inputs from negotiating bodies. </v>
      </c>
      <c r="E3" s="4" t="str">
        <v>Number of knowledge products</v>
      </c>
      <c r="F3" s="4" t="str">
        <v>Kenya, United States of America, Italy</v>
      </c>
      <c r="G3" s="5">
        <v>1</v>
      </c>
      <c r="H3" s="5">
        <v>50000</v>
      </c>
      <c r="I3" s="4" t="str" xml:space="preserve">
        <v xml:space="preserve">Personnel costs based on standard organizational salary scales.
</v>
      </c>
      <c r="J3" s="4">
        <v>6696</v>
      </c>
    </row>
    <row r="4" ht="25" customHeight="1">
      <c r="C4" s="9" t="str">
        <v>HLO budget subtotal</v>
      </c>
      <c r="H4" s="9">
        <v>50000</v>
      </c>
      <c r="J4" s="9" t="str">
        <v/>
      </c>
    </row>
  </sheetData>
  <mergeCells count="8">
    <mergeCell ref="A1:A2"/>
    <mergeCell ref="B1:B2"/>
    <mergeCell ref="C1:C2"/>
    <mergeCell ref="D1:H1"/>
    <mergeCell ref="I1:I2"/>
    <mergeCell ref="J1:J2"/>
    <mergeCell ref="C4:G4"/>
    <mergeCell ref="A3:A4"/>
  </mergeCells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0</v>
      </c>
      <c r="D2" s="5">
        <v>0</v>
      </c>
      <c r="E2" s="5">
        <v>50000</v>
      </c>
      <c r="F2" s="5">
        <v>0</v>
      </c>
      <c r="G2" s="5">
        <v>0</v>
      </c>
      <c r="H2" s="5">
        <f>=SUM(B2:G2)</f>
        <v>0</v>
      </c>
    </row>
    <row r="3" ht="20" customHeight="1">
      <c r="A3" s="6" t="str">
        <v>Subtotal</v>
      </c>
      <c r="B3" s="7">
        <f>=SUM(B2:B2)</f>
        <v>0</v>
      </c>
      <c r="C3" s="7">
        <f>=SUM(C2:C2)</f>
        <v>0</v>
      </c>
      <c r="D3" s="7">
        <f>=SUM(D2:D2)</f>
        <v>0</v>
      </c>
      <c r="E3" s="7">
        <f>=SUM(E2:E2)</f>
        <v>0</v>
      </c>
      <c r="F3" s="7">
        <f>=SUM(F2:F2)</f>
        <v>0</v>
      </c>
      <c r="G3" s="7">
        <f>=SUM(G2:G2)</f>
        <v>0</v>
      </c>
      <c r="H3" s="7">
        <f>=SUM(H2:H2)</f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AOW03: Genetic Resources Policy</v>
      </c>
      <c r="B2" s="4" t="str">
        <v>IFPRI</v>
      </c>
      <c r="C2" s="4" t="str">
        <v>Italy</v>
      </c>
      <c r="D2" s="5">
        <v>33</v>
      </c>
      <c r="E2" s="4">
        <v>515</v>
      </c>
    </row>
    <row r="3" ht="45" customHeight="1">
      <c r="A3" s="4" t="str">
        <v>AOW03: Genetic Resources Policy</v>
      </c>
      <c r="B3" s="4" t="str">
        <v>IFPRI</v>
      </c>
      <c r="C3" s="4" t="str">
        <v>Kenya</v>
      </c>
      <c r="D3" s="5">
        <v>33</v>
      </c>
      <c r="E3" s="4">
        <v>514</v>
      </c>
    </row>
    <row r="4" ht="45" customHeight="1">
      <c r="A4" s="4" t="str">
        <v>AOW03: Genetic Resources Policy</v>
      </c>
      <c r="B4" s="4" t="str">
        <v>IFPRI</v>
      </c>
      <c r="C4" s="4" t="str">
        <v>United States of America</v>
      </c>
      <c r="D4" s="5">
        <v>34</v>
      </c>
      <c r="E4" s="4">
        <v>513</v>
      </c>
    </row>
  </sheetData>
  <mergeCells count="1">
    <mergeCell ref="A2:A4"/>
  </mergeCells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AOW03: Genetic Resources Policy</v>
      </c>
      <c r="B2" s="4" t="str">
        <v>IFPRI</v>
      </c>
      <c r="C2" s="4" t="str">
        <v>Global</v>
      </c>
      <c r="D2" s="4" t="str">
        <v>global</v>
      </c>
      <c r="E2" s="5">
        <v>100</v>
      </c>
      <c r="F2" s="4">
        <v>205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AOW02: Strategic User Engagement</v>
      </c>
      <c r="B2" s="4" t="str">
        <v>Breeding for Tomorrow</v>
      </c>
      <c r="C2" s="4" t="str">
        <v>2.2. Enhanced germplasm information for more precise accession targeting</v>
      </c>
      <c r="D2" s="4" t="str">
        <v>In general, Breeding for Tomorrow (AoW2) will generate data related to genebank accessions, and Genebanks will harness the data to enrich genebank data resources and promote the use of the collections.</v>
      </c>
      <c r="E2" s="4">
        <v>1249</v>
      </c>
    </row>
    <row r="3" ht="60" customHeight="1">
      <c r="A3" s="4" t="str">
        <v>AOW02: Strategic User Engagement</v>
      </c>
      <c r="B3" s="4" t="str">
        <v xml:space="preserve">Sustainable Animal and Aquatic Foods </v>
      </c>
      <c r="C3" s="4" t="str">
        <v>2.2. Enhanced germplasm information for more precise accession targeting</v>
      </c>
      <c r="D3" s="4" t="str">
        <v>Genebanks conserving forage collections are collaborating with the BEF/BMGF-funded Low Methane Forages aiming at identifying forage accessions containing anti-methanogenic compounds.</v>
      </c>
      <c r="E3" s="4">
        <v>1250</v>
      </c>
    </row>
    <row r="4" ht="60" customHeight="1">
      <c r="A4" s="4" t="str">
        <v>AOW02: Strategic User Engagement</v>
      </c>
      <c r="B4" s="4" t="str">
        <v xml:space="preserve">Multifunctional Landscapes </v>
      </c>
      <c r="C4" s="4" t="str">
        <v>2.2. Enhanced germplasm information for more precise accession targeting</v>
      </c>
      <c r="D4" s="4" t="str">
        <v>Genebanks and Multifunctional Landscape collaborate to generate data related to genebank accessions</v>
      </c>
      <c r="E4" s="4">
        <v>1251</v>
      </c>
    </row>
    <row r="5" ht="60" customHeight="1">
      <c r="A5" s="4" t="str">
        <v>AOW02: Strategic User Engagement</v>
      </c>
      <c r="B5" s="4" t="str">
        <v xml:space="preserve">Sustainable Farming </v>
      </c>
      <c r="C5" s="4" t="str">
        <v>2.2. Enhanced germplasm information for more precise accession targeting</v>
      </c>
      <c r="D5" s="4" t="str">
        <v>Genebanks and Sustainable Farming collaborate to generate data related to genebank accessions</v>
      </c>
      <c r="E5" s="4">
        <v>1252</v>
      </c>
    </row>
    <row r="6" ht="60" customHeight="1">
      <c r="A6" s="4" t="str">
        <v>AOW02: Strategic User Engagement</v>
      </c>
      <c r="B6" s="4" t="str">
        <v xml:space="preserve">Digital Transformation </v>
      </c>
      <c r="C6" s="4" t="str">
        <v>2.3. CGIAR-wide portal with AI enabled digital infrastructure for germplasm data and requests</v>
      </c>
      <c r="D6" s="4" t="str">
        <v>Genebanks will collaborate with Digital Transformation (AoW1) to ensure adherence with FAIR principles in accession data generation and in the update of the germplasm request tool</v>
      </c>
      <c r="E6" s="4">
        <v>1253</v>
      </c>
    </row>
    <row r="7" ht="60" customHeight="1">
      <c r="A7" s="4" t="str">
        <v>AOW02: Strategic User Engagement</v>
      </c>
      <c r="B7" s="4" t="str">
        <v xml:space="preserve">Digital Transformation </v>
      </c>
      <c r="C7" s="4" t="str">
        <v>2.3. CGIAR-wide portal with AI enabled digital infrastructure for germplasm data and requests</v>
      </c>
      <c r="D7" s="4" t="str">
        <v>Genebanks will collaborate with Digital Transformation to improve Genesys subsetting tool.</v>
      </c>
      <c r="E7" s="4">
        <v>1283</v>
      </c>
    </row>
    <row r="8" ht="60" customHeight="1">
      <c r="A8" s="8" t="str">
        <v>AOW04: Germplasm Health</v>
      </c>
      <c r="B8" s="4" t="str">
        <v>Breeding for Tomorrow</v>
      </c>
      <c r="C8" s="4" t="str">
        <v>4.1. Optimized phytosanitary health delivery system</v>
      </c>
      <c r="D8" s="4" t="str">
        <v>Genebanks will collaborate with Breeding for Tomorrow to co-generate research outputs for strengthening SOPs/QMS and improve operational efficiency</v>
      </c>
      <c r="E8" s="4">
        <v>1256</v>
      </c>
    </row>
    <row r="9" ht="60" customHeight="1">
      <c r="A9" s="4" t="str">
        <v>AOW04: Germplasm Health</v>
      </c>
      <c r="B9" s="4" t="str">
        <v xml:space="preserve">Digital Transformation </v>
      </c>
      <c r="C9" s="4" t="str">
        <v>4.1. Optimized phytosanitary health delivery system</v>
      </c>
      <c r="D9" s="4" t="str">
        <v xml:space="preserve">Genebanks will work with Digital Transformation (AoW1) on the New GHU WebAPP (LIMS) diagnostic request tool  </v>
      </c>
      <c r="E9" s="4">
        <v>1257</v>
      </c>
    </row>
    <row r="10" ht="60" customHeight="1">
      <c r="A10" s="4" t="str">
        <v>AOW04: Germplasm Health</v>
      </c>
      <c r="B10" s="4" t="str">
        <v>Breeding for Tomorrow</v>
      </c>
      <c r="C10" s="4" t="str">
        <v>4.2. Improved diagnostics and novel therapies for efficient germplasm health testing and phytosanitation​</v>
      </c>
      <c r="D10" s="4" t="str">
        <v>Genebanks will collaborate with Breeding for Tomorrow to co-generate research outputs for the development and validation of protocols</v>
      </c>
      <c r="E10" s="4">
        <v>1258</v>
      </c>
    </row>
    <row r="11" ht="60" customHeight="1">
      <c r="A11" s="4" t="str">
        <v>AOW04: Germplasm Health</v>
      </c>
      <c r="B11" s="4" t="str">
        <v>Breeding for Tomorrow</v>
      </c>
      <c r="C11" s="4" t="str">
        <v>4.3. Enhanced knowledge for effective control of germplasm-borne pests and diseases</v>
      </c>
      <c r="D11" s="4" t="str">
        <v>Genebanks will collaborate with Breeding for Tomorrow to co-generate research outputs for the development and validation of protocols</v>
      </c>
      <c r="E11" s="4">
        <v>1259</v>
      </c>
    </row>
    <row r="12" ht="60" customHeight="1">
      <c r="A12" s="8" t="str">
        <v>AOW05: Strengthening Capacity for In Situ and Ex Situ Conservation Globally</v>
      </c>
      <c r="B12" s="4" t="str">
        <v xml:space="preserve">Multifunctional Landscapes </v>
      </c>
      <c r="C12" s="4" t="str">
        <v>5.2. Regional Communities of Practices and networks for diversity/gap analyses/SQM and key themes established and functioning</v>
      </c>
      <c r="D12" s="4" t="str">
        <v>Genebanks and Multifunctional Landscapes will collaborate through W3/bilateral projects on to create a community of practice for the in situ conservation.</v>
      </c>
      <c r="E12" s="4">
        <v>1260</v>
      </c>
    </row>
    <row r="13" ht="60" customHeight="1">
      <c r="A13" s="4" t="str">
        <v>AOW05: Strengthening Capacity for In Situ and Ex Situ Conservation Globally</v>
      </c>
      <c r="B13" s="4" t="str">
        <v>Food Frontiers and Security</v>
      </c>
      <c r="C13" s="4" t="str">
        <v>5.3 Capacity strengthened at national and regional levels across genebank activities (SQM, data management, germplasm health, policy…)</v>
      </c>
      <c r="D13" s="4" t="str">
        <v>Genebanks and FFS will collaborate to strengthen training and capacity building on key aspects of genetic resources conservation.</v>
      </c>
      <c r="E13" s="4">
        <v>1261</v>
      </c>
    </row>
    <row r="14" ht="60" customHeight="1">
      <c r="A14" s="4" t="str">
        <v>AOW05: Strengthening Capacity for In Situ and Ex Situ Conservation Globally</v>
      </c>
      <c r="B14" s="4" t="str">
        <v xml:space="preserve">Multifunctional Landscapes </v>
      </c>
      <c r="C14" s="4" t="str">
        <v>5.3 Capacity strengthened at national and regional levels across genebank activities (SQM, data management, germplasm health, policy…)</v>
      </c>
      <c r="D14" s="4" t="str">
        <v>Genebanks and Multifunctional Landscapes will collaborate through W3/bilateral projects to train individuals on in situ conservation strategies.</v>
      </c>
      <c r="E14" s="4">
        <v>1262</v>
      </c>
    </row>
    <row r="15" ht="60" customHeight="1">
      <c r="A15" s="4" t="str">
        <v>AOW05: Strengthening Capacity for In Situ and Ex Situ Conservation Globally</v>
      </c>
      <c r="B15" s="4" t="str">
        <v xml:space="preserve">Multifunctional Landscapes </v>
      </c>
      <c r="C15" s="4" t="str">
        <v xml:space="preserve">5.4. Unique crop diversity under threat is protected through the integration of in situ and ex situ conservation strategies </v>
      </c>
      <c r="D15" s="4" t="str">
        <v>Genebanks and Multifunctional Landscapes will collaborate for the monitoring of in-situ sites.</v>
      </c>
      <c r="E15" s="4">
        <v>1263</v>
      </c>
    </row>
  </sheetData>
  <mergeCells count="3">
    <mergeCell ref="A2:A7"/>
    <mergeCell ref="A8:A11"/>
    <mergeCell ref="A12:A15"/>
  </mergeCells>
  <ignoredErrors>
    <ignoredError numberStoredAsText="1" sqref="A1:E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1. International and national genebanks conserve crop diversity in perpetuity and ensure its availability in a strengthened Global System, underpinned by enabling policies and enhanced capacities</v>
      </c>
      <c r="C2" s="4" t="str">
        <v/>
      </c>
      <c r="D2" s="4" t="str">
        <v xml:space="preserve"> </v>
      </c>
      <c r="E2" s="4" t="str">
        <v>Global</v>
      </c>
      <c r="F2" s="5">
        <v>1000</v>
      </c>
      <c r="G2" s="4">
        <v>700</v>
      </c>
    </row>
    <row r="3" ht="60" customHeight="1">
      <c r="A3" s="4" t="str">
        <v>AOW00: Cross Cutting</v>
      </c>
      <c r="B3" s="4" t="str">
        <v>2. Researchers, farmers, and students, access diversity and associated data in a more targeted way</v>
      </c>
      <c r="C3" s="4" t="str">
        <v/>
      </c>
      <c r="D3" s="4" t="str">
        <v xml:space="preserve"> </v>
      </c>
      <c r="E3" s="4" t="str">
        <v>Global</v>
      </c>
      <c r="F3" s="5">
        <v>90</v>
      </c>
      <c r="G3" s="4">
        <v>701</v>
      </c>
    </row>
    <row r="4" ht="60" customHeight="1">
      <c r="A4" s="4" t="str">
        <v>AOW00: Cross Cutting</v>
      </c>
      <c r="B4" s="4" t="str">
        <v>2. Researchers, farmers, and students, access diversity and associated data in a more targeted way</v>
      </c>
      <c r="C4" s="4" t="str">
        <v/>
      </c>
      <c r="D4" s="4" t="str">
        <v>External users, particularly NARS, increasingly access crop diversity.</v>
      </c>
      <c r="E4" s="4" t="str">
        <v>Global</v>
      </c>
      <c r="F4" s="5">
        <v>500</v>
      </c>
      <c r="G4" s="4">
        <v>701</v>
      </c>
    </row>
    <row r="5" ht="60" customHeight="1">
      <c r="A5" s="4" t="str">
        <v>AOW00: Cross Cutting</v>
      </c>
      <c r="B5" s="4" t="str">
        <v>3. International and national organizations adopt and implement supportive access and benefit sharing policies</v>
      </c>
      <c r="C5" s="4" t="str">
        <v/>
      </c>
      <c r="D5" s="4" t="str">
        <v>Number of Policy (Policy Change)</v>
      </c>
      <c r="E5" s="4" t="str">
        <v>Global</v>
      </c>
      <c r="F5" s="5">
        <v>1</v>
      </c>
      <c r="G5" s="4">
        <v>703</v>
      </c>
    </row>
    <row r="6" ht="60" customHeight="1">
      <c r="A6" s="4" t="str">
        <v>AOW00: Cross Cutting</v>
      </c>
      <c r="B6" s="4" t="str">
        <v>3. Researchers, farmers, and students increasingly use available diversity and associated data</v>
      </c>
      <c r="C6" s="4" t="str">
        <v/>
      </c>
      <c r="D6" s="4" t="str">
        <v xml:space="preserve"> </v>
      </c>
      <c r="E6" s="4" t="str">
        <v>Global</v>
      </c>
      <c r="F6" s="5">
        <v>6</v>
      </c>
      <c r="G6" s="4">
        <v>725</v>
      </c>
    </row>
    <row r="7" ht="60" customHeight="1">
      <c r="A7" s="4" t="str">
        <v>AOW00: Cross Cutting</v>
      </c>
      <c r="B7" s="4" t="str">
        <v>3. Researchers, farmers, and students increasingly use available diversity and associated data</v>
      </c>
      <c r="C7" s="4" t="str">
        <v/>
      </c>
      <c r="D7" s="4" t="str">
        <v xml:space="preserve"> </v>
      </c>
      <c r="E7" s="4" t="str">
        <v>Global</v>
      </c>
      <c r="F7" s="5">
        <v>90</v>
      </c>
      <c r="G7" s="4">
        <v>725</v>
      </c>
    </row>
    <row r="8" ht="60" customHeight="1">
      <c r="A8" s="4" t="str">
        <v>AOW01: Biodiversity Conservation</v>
      </c>
      <c r="B8" s="4" t="str">
        <v>1. Crop Trust signs Long-Term Partnership Agreements with CGIAR</v>
      </c>
      <c r="C8" s="4" t="str">
        <v/>
      </c>
      <c r="D8" s="4" t="str">
        <v xml:space="preserve"> </v>
      </c>
      <c r="E8" s="4" t="str">
        <v>Global</v>
      </c>
      <c r="F8" s="5">
        <v>6</v>
      </c>
      <c r="G8" s="4">
        <v>702</v>
      </c>
    </row>
    <row r="9" ht="60" customHeight="1">
      <c r="A9" s="8" t="str">
        <v>AOW04: Germplasm Health</v>
      </c>
      <c r="B9" s="4" t="str">
        <v>4. CGIAR and internal and external partners exchange genetic resources without the risk of spreading quarantine pests or diseases</v>
      </c>
      <c r="C9" s="4" t="str">
        <v/>
      </c>
      <c r="D9" s="4" t="str">
        <v># Genetic resources exchanged in compliance with phytosanitary regulations.</v>
      </c>
      <c r="E9" s="4" t="str">
        <v>Global</v>
      </c>
      <c r="F9" s="5">
        <v>100</v>
      </c>
      <c r="G9" s="4">
        <v>704</v>
      </c>
    </row>
    <row r="10" ht="60" customHeight="1">
      <c r="A10" s="4" t="str">
        <v>AOW04: Germplasm Health</v>
      </c>
      <c r="B10" s="4" t="str">
        <v>4. CGIAR and internal and external partners exchange genetic resources without the risk of spreading quarantine pests or diseases</v>
      </c>
      <c r="C10" s="4" t="str">
        <v/>
      </c>
      <c r="D10" s="4" t="str">
        <v xml:space="preserve"> </v>
      </c>
      <c r="E10" s="4" t="str">
        <v>Global</v>
      </c>
      <c r="F10" s="5">
        <v>100</v>
      </c>
      <c r="G10" s="4">
        <v>704</v>
      </c>
    </row>
    <row r="11" ht="60" customHeight="1">
      <c r="A11" s="4" t="str">
        <v>AOW05: Strengthening Capacity for In Situ and Ex Situ Conservation Globally</v>
      </c>
      <c r="B11" s="4" t="str">
        <v>5.1 Partners apply best practices to the management and exchange of agrobiodiversity</v>
      </c>
      <c r="C11" s="4" t="str">
        <v/>
      </c>
      <c r="D11" s="4" t="str">
        <v xml:space="preserve"> </v>
      </c>
      <c r="E11" s="4" t="str">
        <v>Global</v>
      </c>
      <c r="F11" s="5">
        <v>2</v>
      </c>
      <c r="G11" s="4">
        <v>705</v>
      </c>
    </row>
  </sheetData>
  <mergeCells count="8">
    <mergeCell ref="B3:B4"/>
    <mergeCell ref="C3:C4"/>
    <mergeCell ref="B6:B7"/>
    <mergeCell ref="C6:C7"/>
    <mergeCell ref="A2:A7"/>
    <mergeCell ref="B9:B10"/>
    <mergeCell ref="C9:C10"/>
    <mergeCell ref="A9:A10"/>
  </mergeCells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