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225</v>
      </c>
    </row>
    <row r="5" ht="20" customHeight="1">
      <c r="A5" s="4" t="str">
        <v>AOW01: Biodiversity Conservation</v>
      </c>
      <c r="B5" s="5">
        <v>9</v>
      </c>
      <c r="C5" s="5">
        <v>300000</v>
      </c>
      <c r="D5" s="5">
        <v>4</v>
      </c>
      <c r="E5" s="5">
        <v>20000</v>
      </c>
      <c r="F5" s="5">
        <v>0</v>
      </c>
      <c r="G5" s="5">
        <v>0</v>
      </c>
      <c r="H5" s="5">
        <v>1658</v>
      </c>
      <c r="I5" s="5">
        <v>2546267</v>
      </c>
      <c r="J5" s="5">
        <v>2866267</v>
      </c>
      <c r="K5" s="5">
        <v>2866267</v>
      </c>
      <c r="L5" s="5">
        <v>106319</v>
      </c>
      <c r="M5" s="5">
        <v>0</v>
      </c>
      <c r="N5" s="4">
        <v>220</v>
      </c>
    </row>
    <row r="6" ht="20" customHeight="1">
      <c r="A6" s="4" t="str">
        <v>AOW02: Strategic User Engagement</v>
      </c>
      <c r="B6" s="5">
        <v>2</v>
      </c>
      <c r="C6" s="5">
        <v>100000</v>
      </c>
      <c r="D6" s="5">
        <v>3</v>
      </c>
      <c r="E6" s="5">
        <v>15000</v>
      </c>
      <c r="F6" s="5">
        <v>0</v>
      </c>
      <c r="G6" s="5">
        <v>0</v>
      </c>
      <c r="H6" s="5">
        <v>8</v>
      </c>
      <c r="I6" s="5">
        <v>14000</v>
      </c>
      <c r="J6" s="5">
        <v>129000</v>
      </c>
      <c r="K6" s="5">
        <v>129000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5</v>
      </c>
      <c r="C8" s="5">
        <v>110000</v>
      </c>
      <c r="D8" s="5">
        <v>4</v>
      </c>
      <c r="E8" s="5">
        <v>40000</v>
      </c>
      <c r="F8" s="5">
        <v>0</v>
      </c>
      <c r="G8" s="5">
        <v>0</v>
      </c>
      <c r="H8" s="5">
        <v>107</v>
      </c>
      <c r="I8" s="5">
        <v>80000</v>
      </c>
      <c r="J8" s="5">
        <v>230000</v>
      </c>
      <c r="K8" s="5">
        <v>230000</v>
      </c>
      <c r="L8" s="5">
        <v>0</v>
      </c>
      <c r="M8" s="5">
        <v>0</v>
      </c>
      <c r="N8" s="4">
        <v>224</v>
      </c>
    </row>
    <row r="9" ht="20" customHeight="1">
      <c r="A9" s="4" t="str">
        <v>AOW05: Strengthening Capacity for In Situ and Ex Situ Conservation Globally</v>
      </c>
      <c r="B9" s="5">
        <v>0</v>
      </c>
      <c r="C9" s="5">
        <v>0</v>
      </c>
      <c r="D9" s="5">
        <v>0</v>
      </c>
      <c r="E9" s="5">
        <v>0</v>
      </c>
      <c r="F9" s="5">
        <v>20</v>
      </c>
      <c r="G9" s="5">
        <v>52000</v>
      </c>
      <c r="H9" s="5">
        <v>0</v>
      </c>
      <c r="I9" s="5">
        <v>0</v>
      </c>
      <c r="J9" s="5">
        <v>52000</v>
      </c>
      <c r="K9" s="5">
        <v>52000</v>
      </c>
      <c r="L9" s="5">
        <v>0</v>
      </c>
      <c r="M9" s="5">
        <v>0</v>
      </c>
      <c r="N9" s="4">
        <v>222</v>
      </c>
    </row>
    <row r="10" ht="25" customHeight="1">
      <c r="A10" s="6" t="str">
        <v>Total</v>
      </c>
      <c r="B10" s="7" t="str">
        <v/>
      </c>
      <c r="C10" s="7">
        <v>510000</v>
      </c>
      <c r="D10" s="7" t="str">
        <v/>
      </c>
      <c r="E10" s="7">
        <v>75000</v>
      </c>
      <c r="F10" s="7" t="str">
        <v/>
      </c>
      <c r="G10" s="7">
        <v>52000</v>
      </c>
      <c r="H10" s="7" t="str">
        <v/>
      </c>
      <c r="I10" s="7">
        <v>2640267</v>
      </c>
      <c r="J10" s="7">
        <v>3277267</v>
      </c>
      <c r="K10" s="7">
        <v>3277267</v>
      </c>
      <c r="L10" s="7">
        <v>106319</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CIAT (Alliance)</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178621</v>
      </c>
      <c r="I3" s="4" t="str" xml:space="preserve">
        <v xml:space="preserve">This KPI depends on the demand for germplasm by external partners and Alliance breeding programs
</v>
      </c>
      <c r="J3" s="4">
        <v>6494</v>
      </c>
    </row>
    <row r="4" ht="50" customHeight="1" xml:space="preserve">
      <c r="B4" s="4" t="str">
        <v>CIAT (Alliance)</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3</v>
      </c>
      <c r="H4" s="5">
        <v>630000</v>
      </c>
      <c r="I4" s="4" t="str" xml:space="preserve">
        <v xml:space="preserve">We already have met performance targets for beans and forages, and expect to meet them for cassava as well, asssuming the nano-culture-based safety-duplication system performs as expected.
</v>
      </c>
      <c r="J4" s="4">
        <v>6497</v>
      </c>
    </row>
    <row r="5" ht="50" customHeight="1" xml:space="preserve">
      <c r="B5" s="4" t="str">
        <v>CIAT (Alliance)</v>
      </c>
      <c r="D5" s="4" t="str">
        <v>1.1.4. Quality Management System (QMS) elements in place</v>
      </c>
      <c r="E5" s="4" t="str">
        <v>custom</v>
      </c>
      <c r="F5" s="4" t="str">
        <v>Morocco, India, Ethiopia, Belgium, Philippines, Colombia, Lebanon, Peru, Côte d'Ivoire, Mexico, Nigeria</v>
      </c>
      <c r="G5" s="5">
        <v>43</v>
      </c>
      <c r="H5" s="5">
        <v>150000</v>
      </c>
      <c r="I5" s="4" t="str" xml:space="preserve">
        <v xml:space="preserve">Due to the recent move to a new genebank building, almost all SOPs need to be comprehensively updated. To safe time and money, we will focus on the Spanish versions (the native tongue of SOP owners) and will use LLMs to translate into English.
</v>
      </c>
      <c r="J5" s="4">
        <v>6517</v>
      </c>
    </row>
    <row r="6" ht="50" customHeight="1">
      <c r="B6" s="4" t="str">
        <v>CIAT (Alliance)</v>
      </c>
      <c r="D6" s="4" t="str">
        <v>1.1.3. Clonal accessions managed at CGIAR genebanks safety duplicated at one site</v>
      </c>
      <c r="E6" s="4" t="str">
        <v>custom</v>
      </c>
      <c r="F6" s="4" t="str">
        <v>Bangladesh, Zambia, Madagascar, Niger, Zimbabwe, India, Papua New Guinea, Pakistan, Philippines, Malaysia, Ethiopia, France, Peru, Belgium, Mexico, Benin, Germany, Colombia, Nigeria</v>
      </c>
      <c r="G6" s="5">
        <v>90</v>
      </c>
      <c r="H6" s="5">
        <v>0</v>
      </c>
      <c r="I6" s="4" t="str">
        <v/>
      </c>
      <c r="J6" s="4">
        <v>6532</v>
      </c>
    </row>
    <row r="7" ht="50" customHeight="1" xml:space="preserve">
      <c r="B7" s="4" t="str">
        <v>CIAT (Alliance)</v>
      </c>
      <c r="D7" s="4" t="str">
        <v xml:space="preserve">1.1.1. Accessions made available for global distribution from CGIAR genebanks </v>
      </c>
      <c r="E7" s="4" t="str">
        <v>custom</v>
      </c>
      <c r="F7" s="4" t="str">
        <v>Philippines, India, Lebanon, Morocco, Belgium, Peru, Ethiopia, Nigeria, Mexico, Colombia, Côte d'Ivoire</v>
      </c>
      <c r="G7" s="5">
        <v>92</v>
      </c>
      <c r="H7" s="5">
        <v>675000</v>
      </c>
      <c r="I7" s="4" t="str" xml:space="preserve">
        <v xml:space="preserve">Early in 2025, we were forced to abandon our two remaining bean-regeneration field stations in the Tenerife Valley and evacuate staff and their families following extortion threats from guerrilla groups operating in the area. Since then, we have established a new high-elevation bean-regeneration site in Tibaitatá (close to Bogotá) and are now in the process of setting up a mid-elevation site, which we expect to begin scaling up seed production in early 2027. We also continue to face challenging conditions at our Quilichao field stations, where tropical forages are regenerated, due to their proximity to a military battalion of more than 100 soldiers who have installed themselves next to our station and are using our facilities, such as toilets and showers, originally designed to support only a team of half a dozen of our staff. CIAT leadership is currently considering a relocation of Quilichao genebank operations to an alternative site. Finally, in 2025, the CIAT campus experienced a widespread outbreak of Southern Bean Mosaic Virus affecting both genebank and breeding-program areas. This resulted in the near-total loss of accessions regenerated on campus, as they had to be rejected on phytosanitary grounds. An estimated 45K from HLO1.3 were moved here to contribute to the establishment of a mid-elevation site for bean regeneration.
</v>
      </c>
      <c r="J7" s="4">
        <v>7132</v>
      </c>
    </row>
    <row r="8" ht="50" customHeight="1" xml:space="preserve">
      <c r="B8" s="4" t="str">
        <v>CIAT (Alliance)</v>
      </c>
      <c r="D8" s="4" t="str">
        <v xml:space="preserve">1.1.2. Seed accessions managed at CGIAR genebanks safety duplicated at two sites </v>
      </c>
      <c r="E8" s="4" t="str">
        <v>custom</v>
      </c>
      <c r="F8" s="4" t="str">
        <v>Taiwan (Province of China), Philippines, Mexico, India, Nigeria, Peru, Ethiopia, Colombia, Lebanon, Morocco, United States of America, Norway, Côte d'Ivoire</v>
      </c>
      <c r="G8" s="5">
        <v>94</v>
      </c>
      <c r="H8" s="5">
        <v>80000</v>
      </c>
      <c r="I8" s="4" t="str" xml:space="preserve">
        <v xml:space="preserve">The comments under KPI 1.1.1 apply here as well
</v>
      </c>
      <c r="J8" s="4">
        <v>7141</v>
      </c>
    </row>
    <row r="9" ht="50" customHeight="1" xml:space="preserve">
      <c r="B9" s="4" t="str">
        <v>CIAT (Alliance)</v>
      </c>
      <c r="D9" s="4" t="str">
        <v xml:space="preserve">1.1.7. Technically and legally feasible germplasm requests to CGIAR genebanks that are successfully fulfilled </v>
      </c>
      <c r="E9" s="4" t="str">
        <v>custom</v>
      </c>
      <c r="F9" s="4" t="str">
        <v>Philippines, India, Ethiopia, Mexico, Nigeria, Morocco, Colombia, Belgium, Lebanon, Peru, Côte d'Ivoire</v>
      </c>
      <c r="G9" s="5">
        <v>90</v>
      </c>
      <c r="H9" s="5">
        <v>80000</v>
      </c>
      <c r="I9" s="4" t="str" xml:space="preserve">
        <v xml:space="preserve">We assume that the new nano-culture-based safety-duplication system performs as expected
</v>
      </c>
      <c r="J9" s="4">
        <v>7158</v>
      </c>
    </row>
    <row r="10" ht="50" customHeight="1">
      <c r="B10" s="4" t="str">
        <v>CIAT (Alliance)</v>
      </c>
      <c r="D10" s="4" t="str">
        <v>1.1.8. CGIAR genebank staff trained in areas related to genebank management, conservation, and data management.</v>
      </c>
      <c r="E10" s="4" t="str">
        <v>Number of people trained (capacity sharing for development)</v>
      </c>
      <c r="F10" s="4" t="str">
        <v>Belgium, India, Lebanon, Côte d'Ivoire, Mexico, Nigeria, Morocco, Ethiopia, Colombia, Philippines, Peru</v>
      </c>
      <c r="G10" s="5">
        <v>61</v>
      </c>
      <c r="H10" s="5">
        <v>0</v>
      </c>
      <c r="I10" s="4" t="str">
        <v/>
      </c>
      <c r="J10" s="4">
        <v>7167</v>
      </c>
    </row>
    <row r="11" ht="50" customHeight="1" xml:space="preserve">
      <c r="A11" s="4" t="str">
        <v>AOW01: Biodiversity Conservation</v>
      </c>
      <c r="B11" s="4" t="str">
        <v>CIAT (Alliance)</v>
      </c>
      <c r="C11" s="4" t="str">
        <v>1.2. Innovations to enhance the efficiency of conserving collections</v>
      </c>
      <c r="D11" s="4" t="str">
        <v>1.2.5 Journal articles related to innovations and improvements to conservation published each year</v>
      </c>
      <c r="E11" s="4" t="str">
        <v>Number of knowledge products</v>
      </c>
      <c r="F11" s="4" t="str">
        <v>Ethiopia, Belgium, Philippines, Lebanon, Morocco, Colombia, Peru, Nigeria, India, Mexico, Côte d'Ivoire</v>
      </c>
      <c r="G11" s="5">
        <v>2</v>
      </c>
      <c r="H11" s="5">
        <v>10000</v>
      </c>
      <c r="I11" s="4" t="str" xml:space="preserve">
        <v xml:space="preserve">We are targeting 2 papers: one paper on an improve cassava methodology (nano culture, rejuvenation, or cryopreservation) and one paper outlining an innovation in the conservation of seed collections (e.g., sequential viability testing method for beans)
</v>
      </c>
      <c r="J11" s="4">
        <v>6542</v>
      </c>
    </row>
    <row r="12" ht="50" customHeight="1" xml:space="preserve">
      <c r="B12" s="4" t="str">
        <v>CIAT (Alliance)</v>
      </c>
      <c r="D12" s="4" t="str">
        <v>1.2.3. Clonal accessions managed at CGIAR genebanks cryopreserved</v>
      </c>
      <c r="E12" s="4" t="str">
        <v>custom</v>
      </c>
      <c r="F12" s="4" t="str">
        <v>Peru, Colombia, Belgium, Nigeria</v>
      </c>
      <c r="G12" s="5">
        <v>2</v>
      </c>
      <c r="H12" s="5">
        <v>240000</v>
      </c>
      <c r="I12" s="4" t="str" xml:space="preserve">
        <v xml:space="preserve">Repeated disruptions to routine operations over the past five years (including the lockdowns due to COVID and -subsequently- civil unrest, the two-year delay in relocating the collection to the new building, and the subsequent stabilization of operations there) have so far prevented us from addressing, in a comprehensive way, the bacterial contamination affecting a substantial portion of the in-vitro collection. As a result, rejuvenating and cleaning in vitro cultures to eliminate bacterial contaminants must take priority over maximizing the speed of cryopreservation, particularly given that the in-vitro collection has not undergone rejuvenation since it was established in the 1980s.
</v>
      </c>
      <c r="J12" s="4">
        <v>6548</v>
      </c>
    </row>
    <row r="13" ht="50" customHeight="1" xml:space="preserve">
      <c r="B13" s="4" t="str">
        <v>CIAT (Alliance)</v>
      </c>
      <c r="D13" s="4" t="str">
        <v>1.2.1.a. Number of crops for which new multispectral-imaging algorithms are developed (VideometerLab) during the year</v>
      </c>
      <c r="E13" s="4" t="str">
        <v>Number of innovations (innovation development)</v>
      </c>
      <c r="F13" s="4" t="str">
        <v>Mexico, India, Morocco, Colombia, Lebanon, Ethiopia, Nigeria</v>
      </c>
      <c r="G13" s="5">
        <v>1</v>
      </c>
      <c r="H13" s="5">
        <v>270000</v>
      </c>
      <c r="I13" s="4" t="str" xml:space="preserve">
        <v xml:space="preserve">"The budget contains two components: 40K for CIAT specific activities captured by this KPI + 230K to coordinate the SQM CoP across CGIAR genebanks (not captured by this KPI). The 230K for crosscutting SQ activities include a subcontract with Aahrus University valued at $106,319.
The algorithm now performs well in segmenting and classifying seed areas by primary color. It is not yet able to handle regions with secondary and tertiary colors. We are currently in discussions with a university team in Spain to further refine the algorithm so it can also address tertiary-color patterns."
</v>
      </c>
      <c r="J13" s="4">
        <v>6557</v>
      </c>
    </row>
    <row r="14" ht="50" customHeight="1" xml:space="preserve">
      <c r="B14" s="4" t="str">
        <v>CIAT (Alliance)</v>
      </c>
      <c r="D14" s="4" t="str">
        <v>1.2.4. New or improved protocols to enhance the efficiency of conservation or to increase the availability of accessions</v>
      </c>
      <c r="E14" s="4" t="str">
        <v>Number of innovations (innovation development)</v>
      </c>
      <c r="F14" s="4" t="str">
        <v>Philippines, Peru, Ethiopia, Mexico, Colombia, Morocco, Lebanon, India, Nigeria, Belgium, Côte d'Ivoire</v>
      </c>
      <c r="G14" s="5">
        <v>3</v>
      </c>
      <c r="H14" s="5">
        <v>10000</v>
      </c>
      <c r="I14" s="4" t="str" xml:space="preserve">
        <v xml:space="preserve">Some protocols, such as the Videometer protocol for bean seed shape characterization, have been reassigned to other KPIs. Others cannot be updated this year because of insufficient funding, as they would require capital investments, such as the protocols for the new quarantine greenhouse and the new growth chamber for wild bean species.
</v>
      </c>
      <c r="J14" s="4">
        <v>6559</v>
      </c>
    </row>
    <row r="15" ht="50" customHeight="1" xml:space="preserve">
      <c r="B15" s="4" t="str">
        <v>CIAT (Alliance)</v>
      </c>
      <c r="D15" s="4" t="str">
        <v>1.2.2 Taxa (genus) for which new viability testing protocols  are developed each year</v>
      </c>
      <c r="E15" s="4" t="str">
        <v>Number of innovations (innovation development)</v>
      </c>
      <c r="F15" s="4" t="str">
        <v>Nigeria, Belgium, Côte d'Ivoire, Philippines, Morocco, Ethiopia, Colombia, Lebanon, India, Peru</v>
      </c>
      <c r="G15" s="5">
        <v>5</v>
      </c>
      <c r="H15" s="5">
        <v>20000</v>
      </c>
      <c r="I15" s="4" t="str" xml:space="preserve">
        <v xml:space="preserve">Pueraria, Abrus precatorius, Lablab, Stylosanthes, and Desmodium
</v>
      </c>
      <c r="J15" s="4">
        <v>6573</v>
      </c>
    </row>
    <row r="16" ht="50" customHeight="1">
      <c r="B16" s="4" t="str">
        <v>CIAT (Alliance)</v>
      </c>
      <c r="D16" s="4" t="str">
        <v>1.2.1.b. Number of crops routinely characterized using developed/refined MSI algorithms (VideometerLab) during the year</v>
      </c>
      <c r="E16" s="4" t="str">
        <v>Number of innovations (innovation development)</v>
      </c>
      <c r="F16" s="4" t="str">
        <v>Côte d'Ivoire, Morocco, Colombia, India, Philippines, Mexico, Lebanon</v>
      </c>
      <c r="G16" s="5">
        <v>1</v>
      </c>
      <c r="H16" s="5">
        <v>0</v>
      </c>
      <c r="I16" s="4" t="str">
        <v/>
      </c>
      <c r="J16" s="4">
        <v>7159</v>
      </c>
    </row>
    <row r="17" ht="50" customHeight="1" xml:space="preserve">
      <c r="A17" s="4" t="str">
        <v>AOW01: Biodiversity Conservation</v>
      </c>
      <c r="B17" s="4" t="str">
        <v>CIAT (Alliance)</v>
      </c>
      <c r="C17" s="4" t="str">
        <v xml:space="preserve">1.3. Optimized collection composition and structure to represent crop gene pools </v>
      </c>
      <c r="D17" s="4" t="str">
        <v>1.3.4. Journal articles related to optimized collections published</v>
      </c>
      <c r="E17" s="4" t="str">
        <v>Number of knowledge products</v>
      </c>
      <c r="F17" s="4" t="str">
        <v>Mexico, Ethiopia, Nigeria, Colombia, Peru, India, Belgium, Côte d'Ivoire</v>
      </c>
      <c r="G17" s="5">
        <v>2</v>
      </c>
      <c r="H17" s="5">
        <v>10000</v>
      </c>
      <c r="I17" s="4" t="str" xml:space="preserve">
        <v xml:space="preserve">We are targeting at least 2 papers: Urochloa, cassava, and/or Stylosanthes diversity studies, assessment of genotyping densities in the bean collection
</v>
      </c>
      <c r="J17" s="4">
        <v>6585</v>
      </c>
    </row>
    <row r="18" ht="50" customHeight="1">
      <c r="B18" s="4" t="str">
        <v>CIAT (Alliance)</v>
      </c>
      <c r="D18" s="4" t="str">
        <v xml:space="preserve">1.3.3. Updated document on CGIAR accession management to include criteria and policies for eliminating redundant accessions </v>
      </c>
      <c r="E18" s="4" t="str">
        <v>Number of knowledge products</v>
      </c>
      <c r="F18" s="4" t="str">
        <v/>
      </c>
      <c r="G18" s="5">
        <v>1</v>
      </c>
      <c r="H18" s="5">
        <v>0</v>
      </c>
      <c r="I18" s="4" t="str">
        <v/>
      </c>
      <c r="J18" s="4">
        <v>6596</v>
      </c>
    </row>
    <row r="19" ht="50" customHeight="1" xml:space="preserve">
      <c r="B19" s="4" t="str">
        <v>CIAT (Alliance)</v>
      </c>
      <c r="D19" s="4" t="str">
        <v>1.3.2. Accessions earmarked as potentially redundant and/or archived each year</v>
      </c>
      <c r="E19" s="4" t="str">
        <v>custom</v>
      </c>
      <c r="F19" s="4" t="str">
        <v>Philippines, Morocco, Belgium, Lebanon, Ethiopia, India, Mexico, Peru, Colombia, Côte d'Ivoire, Nigeria</v>
      </c>
      <c r="G19" s="5">
        <v>1000</v>
      </c>
      <c r="H19" s="5">
        <v>50000</v>
      </c>
      <c r="I19" s="4" t="str" xml:space="preserve">
        <v xml:space="preserve">Identification of forage accesions to be repatriated and/or archived based on their forage potential; identification of potentially genetically redundant cassava accessions
</v>
      </c>
      <c r="J19" s="4">
        <v>6604</v>
      </c>
    </row>
    <row r="20" ht="50" customHeight="1">
      <c r="B20" s="4" t="str">
        <v>CIAT (Alliance)</v>
      </c>
      <c r="D20" s="4" t="str">
        <v>1.3.1. New accessions acquired from in/ex situ</v>
      </c>
      <c r="E20" s="4" t="str">
        <v>custom</v>
      </c>
      <c r="F20" s="4" t="str">
        <v>Lebanon, Peru, Colombia, Côte d'Ivoire, Morocco, Belgium, Philippines, Mexico, India, Nigeria</v>
      </c>
      <c r="G20" s="5">
        <v>20</v>
      </c>
      <c r="H20" s="5">
        <v>0</v>
      </c>
      <c r="I20" s="4" t="str">
        <v/>
      </c>
      <c r="J20" s="4">
        <v>6615</v>
      </c>
    </row>
    <row r="21" ht="50" customHeight="1" xml:space="preserve">
      <c r="A21" s="4" t="str">
        <v>AOW01: Biodiversity Conservation</v>
      </c>
      <c r="B21" s="4" t="str">
        <v>CIAT (Alliance)</v>
      </c>
      <c r="C21" s="4" t="str">
        <v>1.4. Effective and AI-ready data management systems using harmonized data standards across Centers</v>
      </c>
      <c r="D21" s="4" t="str">
        <v xml:space="preserve"> 1.4.2 Average % of genebank processes digitized and being managed using GGCE</v>
      </c>
      <c r="E21" s="4" t="str">
        <v>custom</v>
      </c>
      <c r="F21" s="4" t="str">
        <v>Mexico, Peru, Belgium, Côte d'Ivoire, Ethiopia, Colombia, Nigeria, India</v>
      </c>
      <c r="G21" s="5">
        <v>58</v>
      </c>
      <c r="H21" s="5">
        <v>412646</v>
      </c>
      <c r="I21" s="4" t="str" xml:space="preserve">
        <v xml:space="preserve">The budget contains two components: 150K for CIAT specific activities captured by this KPI + 330K to coordinate adoption of GGCE across CGIAR genebanks (not captured by this KPI).
We migrated the bean collection to GGCE in 2025 and will migrate the cassava collection in 2026; forages will follow in 2027. During 2026, we will also finalize the re-labelling of the majority of bean seed pouches in LTS, which is needed for implementing GGCE.
</v>
      </c>
      <c r="J21" s="4">
        <v>6622</v>
      </c>
    </row>
    <row r="22" ht="50" customHeight="1" xml:space="preserve">
      <c r="B22" s="4" t="str">
        <v>CIAT (Alliance)</v>
      </c>
      <c r="D22" s="4" t="str">
        <v>1.4.3. Datasets uploaded to the GIGWA database to manage molecular accession data</v>
      </c>
      <c r="E22" s="4" t="str">
        <v>custom</v>
      </c>
      <c r="F22" s="4" t="str">
        <v>Morocco, Côte d'Ivoire, Philippines, Belgium, Ethiopia, France, Mexico, India, Peru, Colombia, Lebanon, Nigeria</v>
      </c>
      <c r="G22" s="5">
        <v>2</v>
      </c>
      <c r="H22" s="5">
        <v>10000</v>
      </c>
      <c r="I22" s="4" t="str" xml:space="preserve">
        <v xml:space="preserve">Arachis, Clitoria, and/or Stylosanthes data sets
</v>
      </c>
      <c r="J22" s="4">
        <v>6637</v>
      </c>
    </row>
    <row r="23" ht="50" customHeight="1" xml:space="preserve">
      <c r="B23" s="4" t="str">
        <v>CIAT (Alliance)</v>
      </c>
      <c r="D23" s="4" t="str">
        <v>1.4.1. Average % of accessions for which all static (passport, characterization, etc.) and dynamic (inventory, viability, etc.) data have been fully curated/validated</v>
      </c>
      <c r="E23" s="4" t="str">
        <v>custom</v>
      </c>
      <c r="F23" s="4" t="str">
        <v>Ethiopia, Colombia, Philippines, Mexico, Belgium, India, Côte d'Ivoire, Lebanon, Morocco, Peru, Nigeria</v>
      </c>
      <c r="G23" s="5">
        <v>85</v>
      </c>
      <c r="H23" s="5">
        <v>10000</v>
      </c>
      <c r="I23" s="4" t="str" xml:space="preserve">
        <v xml:space="preserve">It's unclear how the aggregate number for the KPI should be calculated from the individual values of static and dynamic data for multiple collections (I have taken the average of the 6 values).
</v>
      </c>
      <c r="J23" s="4">
        <v>6644</v>
      </c>
    </row>
    <row r="24" ht="50" customHeight="1" xml:space="preserve">
      <c r="B24" s="4" t="str">
        <v>CIAT (Alliance)</v>
      </c>
      <c r="D24" s="4" t="str">
        <v>1.4.1.a. Average % of accessions for which all up-to-date static (passport, characterization, etc.) data have been migrated to GGCE</v>
      </c>
      <c r="E24" s="4" t="str">
        <v>custom</v>
      </c>
      <c r="F24" s="4" t="str">
        <v>Mexico, Nigeria, Peru, Ethiopia, Belgium, Côte d'Ivoire, Morocco, Philippines, Lebanon, India, Colombia</v>
      </c>
      <c r="G24" s="5">
        <v>89</v>
      </c>
      <c r="H24" s="5">
        <v>30000</v>
      </c>
      <c r="I24" s="4" t="str" xml:space="preserve">
        <v xml:space="preserve">We migrated the bean collection to GGCE in 2025 and will migrate the cassava collection in 2026; forages will follow in 2027
</v>
      </c>
      <c r="J24" s="4">
        <v>7177</v>
      </c>
    </row>
    <row r="25" ht="25" customHeight="1">
      <c r="C25" s="9" t="str">
        <v>HLO budget subtotal</v>
      </c>
      <c r="H25" s="9">
        <v>2866267</v>
      </c>
      <c r="J25" s="9" t="str">
        <v/>
      </c>
    </row>
    <row r="26" ht="50" customHeight="1" xml:space="preserve">
      <c r="A26" s="8" t="str">
        <v>AOW02: Strategic User Engagement</v>
      </c>
      <c r="B26" s="4" t="str">
        <v>CIAT (Alliance)</v>
      </c>
      <c r="C26" s="4" t="str">
        <v>2.2. Enhanced germplasm information for more precise accession targeting</v>
      </c>
      <c r="D26" s="4" t="str">
        <v>2.2.2. Journal articles related to enhanced accessions data published</v>
      </c>
      <c r="E26" s="4" t="str">
        <v>Number of knowledge products</v>
      </c>
      <c r="F26" s="4" t="str">
        <v>Morocco, Lebanon, Peru, India, Mexico, Philippines, Côte d'Ivoire, Ethiopia, Nigeria, Belgium, Colombia</v>
      </c>
      <c r="G26" s="5">
        <v>3</v>
      </c>
      <c r="H26" s="5">
        <v>15000</v>
      </c>
      <c r="I26" s="4" t="str" xml:space="preserve">
        <v xml:space="preserve">We are targeting 3 papers: bean PTFI analysis, second bean NIRS paper, bean EnvGWAS, and/or a LMF project related paper - one of the originally targeted papers was already published late Dec 2025
</v>
      </c>
      <c r="J26" s="4">
        <v>6656</v>
      </c>
    </row>
    <row r="27" ht="50" customHeight="1" xml:space="preserve">
      <c r="B27" s="4" t="str">
        <v>CIAT (Alliance)</v>
      </c>
      <c r="D27" s="4" t="str">
        <v>2.2.1. Phenotyping, genotyping, environmental datasets of crops generated and uploaded into open-access databases ​(Dataverse, global databases, and crop community databases)</v>
      </c>
      <c r="E27" s="4" t="str">
        <v>custom</v>
      </c>
      <c r="F27" s="4" t="str">
        <v>Morocco, Mexico, Philippines, Peru, India, Côte d'Ivoire, Ethiopia, Colombia, Lebanon, Belgium, Nigeria</v>
      </c>
      <c r="G27" s="5">
        <v>4</v>
      </c>
      <c r="H27" s="5">
        <v>12000</v>
      </c>
      <c r="I27" s="4" t="str" xml:space="preserve">
        <v xml:space="preserve">5 (Metathyrsus GWAS, bean PTFI data, historical cassava and forage datasets, data for LAC CoP publication, in vitro methane production and forage quality (bromatology) data from the LMF project, data from taxonomic and/or aerial nodulation studies in Aeschynomene carried out by Dr. Jean-François Arrighi, characterization of Guinea grass accessions [https://erepository.uonbi.ac.ke/handle/11295/16744], etc.)
</v>
      </c>
      <c r="J27" s="4">
        <v>6664</v>
      </c>
    </row>
    <row r="28" ht="50" customHeight="1" xml:space="preserve">
      <c r="B28" s="4" t="str">
        <v>CIAT (Alliance)</v>
      </c>
      <c r="D28" s="4" t="str">
        <v>2.2.3.Trait-specific subsets developed with the related dataset uploaded in GENESYS</v>
      </c>
      <c r="E28" s="4" t="str">
        <v>custom</v>
      </c>
      <c r="F28" s="4" t="str">
        <v>Lebanon, Philippines, Colombia, Mexico, Peru, France, Morocco, India, Côte d'Ivoire, Ethiopia, Nigeria</v>
      </c>
      <c r="G28" s="5">
        <v>4</v>
      </c>
      <c r="H28" s="5">
        <v>2000</v>
      </c>
      <c r="I28" s="4" t="str" xml:space="preserve">
        <v xml:space="preserve">4 (subsets corresponding to datasets uploaded to Genesys under KPI 2.2.2, plus potentially subsets distinguishing Meso and Andean accessions based on storage proteins)
</v>
      </c>
      <c r="J28" s="4">
        <v>6685</v>
      </c>
    </row>
    <row r="29" ht="50" customHeight="1" xml:space="preserve">
      <c r="A29" s="4" t="str">
        <v>AOW02: Strategic User Engagement</v>
      </c>
      <c r="B29" s="4" t="str">
        <v>CIAT (Alliance)</v>
      </c>
      <c r="C29" s="4" t="str">
        <v>2.3. CGIAR-wide portal with AI enabled digital infrastructure for germplasm data and requests</v>
      </c>
      <c r="D29" s="4" t="str">
        <v xml:space="preserve">2.3.1.a. AI-supported subset generation approaches or tools developed or refined </v>
      </c>
      <c r="E29" s="4" t="str">
        <v>Number of innovations (innovation development)</v>
      </c>
      <c r="F29" s="4" t="str">
        <v>Philippines, France, Nigeria, Colombia, Morocco, Côte d'Ivoire</v>
      </c>
      <c r="G29" s="5">
        <v>1</v>
      </c>
      <c r="H29" s="5">
        <v>50000</v>
      </c>
      <c r="I29" s="4" t="str" xml:space="preserve">
        <v xml:space="preserve">AI-Enabled Subsetting Engine Developed and Integrated, including LLM-Powered User Interface and Visualization Dashboards. 
</v>
      </c>
      <c r="J29" s="4">
        <v>7194</v>
      </c>
    </row>
    <row r="30" ht="50" customHeight="1" xml:space="preserve">
      <c r="B30" s="4" t="str">
        <v>CIAT (Alliance)</v>
      </c>
      <c r="D30" s="4" t="str">
        <v>2.3.1.b. An AutoML pipeline that unifies fragmented Genebank data sources, predicts and fills missing values ​​across hundreds of attributes, and transforms sparse datasets into high-fidelity, interoperable assets ready for advanced discovery and cross-institutional use</v>
      </c>
      <c r="E30" s="4" t="str">
        <v>Number of innovations (innovation development)</v>
      </c>
      <c r="F30" s="4" t="str">
        <v>The United Arab Emirates, Colombia, Philippines, Peru, Morocco</v>
      </c>
      <c r="G30" s="5">
        <v>1</v>
      </c>
      <c r="H30" s="5">
        <v>50000</v>
      </c>
      <c r="I30" s="4" t="str" xml:space="preserve">
        <v xml:space="preserve">AI-Enabled Subsetting Engine Developed and Integrated, including LLM-Powered User Interface and Visualization Dashboards. 
</v>
      </c>
      <c r="J30" s="4">
        <v>7236</v>
      </c>
    </row>
    <row r="31" ht="25" customHeight="1">
      <c r="C31" s="9" t="str">
        <v>HLO budget subtotal</v>
      </c>
      <c r="H31" s="9">
        <v>129000</v>
      </c>
      <c r="J31" s="9" t="str">
        <v/>
      </c>
    </row>
    <row r="32" ht="50" customHeight="1" xml:space="preserve">
      <c r="A32" s="8" t="str">
        <v>AOW04: Germplasm Health</v>
      </c>
      <c r="B32" s="4" t="str">
        <v>CIAT (Alliance)</v>
      </c>
      <c r="C32" s="4" t="str">
        <v>4.1. Optimized phytosanitary health delivery system</v>
      </c>
      <c r="D32" s="4" t="str">
        <v>4.1.4. Standard Operating Procedures (SOPs) harmonized or updated within the Quality Management System during the year</v>
      </c>
      <c r="E32" s="4" t="str">
        <v>custom</v>
      </c>
      <c r="F32" s="4" t="str">
        <v>Belgium, Colombia, Philippines, Lebanon, Morocco, Côte d'Ivoire, Nigeria, Peru, Mexico, Ethiopia, India</v>
      </c>
      <c r="G32" s="5">
        <v>6</v>
      </c>
      <c r="H32" s="5">
        <v>20000</v>
      </c>
      <c r="I32" s="4" t="str" xml:space="preserve">
        <v xml:space="preserve">"GHU-specific QMS elements, including SOPs updated and harmonized:
1. Detection of Cassava Vein Mosaic Virus (CVMV)
2. Detection of Ceratobasidium sp.
3. ONT library preparation (Detection of Brome Mosaic Virus)
4. Detection of Brome Mosaic Virus
5. HTS library preparation
6. Detection of Nepovirus arabis"
</v>
      </c>
      <c r="J32" s="4">
        <v>6708</v>
      </c>
    </row>
    <row r="33" ht="50" customHeight="1" xml:space="preserve">
      <c r="B33" s="4" t="str">
        <v>CIAT (Alliance)</v>
      </c>
      <c r="D33" s="4" t="str">
        <v xml:space="preserve">4.1.1. Service requests processed on time per year </v>
      </c>
      <c r="E33" s="4" t="str">
        <v>custom</v>
      </c>
      <c r="F33" s="4" t="str">
        <v>Nigeria, Lebanon, India, Mexico, Colombia, Peru, Côte d'Ivoire, Ethiopia, Philippines, Morocco, Belgium</v>
      </c>
      <c r="G33" s="5">
        <v>100</v>
      </c>
      <c r="H33" s="5">
        <v>45000</v>
      </c>
      <c r="I33" s="4" t="str" xml:space="preserve">
        <v xml:space="preserve">Ongoing GHU service provision to breeding programs and the genebank (several thousands samples per year)
</v>
      </c>
      <c r="J33" s="4">
        <v>6725</v>
      </c>
    </row>
    <row r="34" ht="50" customHeight="1" xml:space="preserve">
      <c r="B34" s="4" t="str">
        <v>CIAT (Alliance)</v>
      </c>
      <c r="D34" s="4" t="str">
        <v xml:space="preserve">4.1.3.a.Germplasm Health Units (GHUs) implementing costing processes </v>
      </c>
      <c r="E34" s="4" t="str">
        <v>custom</v>
      </c>
      <c r="F34" s="4" t="str">
        <v>Philippines, Colombia, India, Lebanon, Morocco, Mexico, Nigeria, Peru</v>
      </c>
      <c r="G34" s="5">
        <v>1</v>
      </c>
      <c r="H34" s="5">
        <v>15000</v>
      </c>
      <c r="I34" s="4" t="str" xml:space="preserve">
        <v xml:space="preserve">Progress in the implementation of the cost-recovery framework depends on institutional-level decisions within CIAT. The GHU-CIAT will continue providing technical support in coordination with the breeding programs and the PLANS area.
</v>
      </c>
      <c r="J34" s="4">
        <v>6742</v>
      </c>
    </row>
    <row r="35" ht="50" customHeight="1" xml:space="preserve">
      <c r="A35" s="4" t="str">
        <v>AOW04: Germplasm Health</v>
      </c>
      <c r="B35" s="4" t="str">
        <v>CIAT (Alliance)</v>
      </c>
      <c r="C35" s="4" t="str">
        <v>4.2. Improved diagnostics and novel therapies for efficient germplasm health testing and phytosanitation​</v>
      </c>
      <c r="D35" s="4" t="str">
        <v>4.2.1. Upgraded/new protocols for germplasm health diagnostics and health monitoring</v>
      </c>
      <c r="E35" s="4" t="str">
        <v>Number of innovations (innovation development)</v>
      </c>
      <c r="F35" s="4" t="str">
        <v>Colombia, Philippines, Nigeria, Lebanon, Morocco, Belgium, Côte d'Ivoire, Peru, Ethiopia, Mexico, India</v>
      </c>
      <c r="G35" s="5">
        <v>4</v>
      </c>
      <c r="H35" s="5">
        <v>55000</v>
      </c>
      <c r="I35" s="4" t="str" xml:space="preserve">
        <v xml:space="preserve">New, more sensitive molecualr diagnostic protocols for pathogen detection developed:
1. Detection of Xanthomonas axonopodis pv. phaseoli and Curtobacterium flaccumfaciens pv. flaccumfaciens (Multiplex PCR) (SOP)
2. Detection of nemotodes in seeds (SOP)
3. Taxonomic key for the identification of quarantine fungi in beans and tropical forages (INS)
4. Taxonomic key for the identification of quarantine fungi in rice (INS)
</v>
      </c>
      <c r="J35" s="4">
        <v>6747</v>
      </c>
    </row>
    <row r="36" ht="50" customHeight="1" xml:space="preserve">
      <c r="B36" s="4" t="str">
        <v>CIAT (Alliance)</v>
      </c>
      <c r="D36" s="4" t="str">
        <v>4.2.2. Improved phytosanitary protocols for clonal and seed germplasm, including novel virus therapies and chemicals for seed dressing</v>
      </c>
      <c r="E36" s="4" t="str">
        <v>Number of innovations (innovation development)</v>
      </c>
      <c r="F36" s="4" t="str">
        <v>Colombia, Belgium, Mexico, Morocco, Nigeria, Lebanon, Philippines, India, Côte d'Ivoire</v>
      </c>
      <c r="G36" s="5">
        <v>1</v>
      </c>
      <c r="H36" s="5">
        <v>55000</v>
      </c>
      <c r="I36" s="4" t="str" xml:space="preserve">
        <v xml:space="preserve">New germplasm-cleaning protocols developed
1. Detection of bacterial contaminants in cassava
</v>
      </c>
      <c r="J36" s="4">
        <v>6758</v>
      </c>
    </row>
    <row r="37" ht="50" customHeight="1" xml:space="preserve">
      <c r="A37" s="4" t="str">
        <v>AOW04: Germplasm Health</v>
      </c>
      <c r="B37" s="4" t="str">
        <v>CIAT (Alliance)</v>
      </c>
      <c r="C37" s="4" t="str">
        <v>4.3. Enhanced knowledge for effective control of germplasm-borne pests and diseases</v>
      </c>
      <c r="D37" s="4" t="str">
        <v>4.3.3. Knowledge products on key seed-borne pests and diseases published</v>
      </c>
      <c r="E37" s="4" t="str">
        <v>Number of knowledge products</v>
      </c>
      <c r="F37" s="4" t="str">
        <v>Colombia, Belgium, Côte d'Ivoire, Nigeria, Lebanon, Mexico, India, Morocco, Philippines, Ethiopia</v>
      </c>
      <c r="G37" s="5">
        <v>3</v>
      </c>
      <c r="H37" s="5">
        <v>20000</v>
      </c>
      <c r="I37" s="4" t="str" xml:space="preserve">
        <v xml:space="preserve">Knowledge products about seed-born pests and diseases drafted:
1. Training of FEDEARROZ staff in ELISA testing
2. Training germplasm conservation and management NARS Staff (Ecuador, Peru, and the Caribbean)
3. Training of AGROSAVIA staff on ISO/IEC 17025:2017
</v>
      </c>
      <c r="J37" s="4">
        <v>6773</v>
      </c>
    </row>
    <row r="38" ht="50" customHeight="1" xml:space="preserve">
      <c r="B38" s="4" t="str">
        <v>CIAT (Alliance)</v>
      </c>
      <c r="D38" s="4" t="str">
        <v xml:space="preserve">4.3.1. Knowledge Products about Pest and Diseases interception information by crop by center. </v>
      </c>
      <c r="E38" s="4" t="str">
        <v>Number of knowledge products</v>
      </c>
      <c r="F38" s="4" t="str">
        <v>Philippines, Lebanon, Nigeria, Belgium, India, Mexico, Côte d'Ivoire, Peru, Morocco, Colombia, Ethiopia</v>
      </c>
      <c r="G38" s="5">
        <v>1</v>
      </c>
      <c r="H38" s="5">
        <v>20000</v>
      </c>
      <c r="I38" s="4" t="str" xml:space="preserve">
        <v xml:space="preserve">P&amp;D detectable with available diagnostic tests, registered with ICA; this number may increase from 113 to 124 based on user requests and import permit demands.
</v>
      </c>
      <c r="J38" s="4">
        <v>6780</v>
      </c>
    </row>
    <row r="39" ht="50" customHeight="1">
      <c r="B39" s="4" t="str">
        <v>CIAT (Alliance)</v>
      </c>
      <c r="D39" s="4" t="str">
        <v xml:space="preserve">4.3.2. Protocols for preventing seed-transmission during seed regeneration and propagation </v>
      </c>
      <c r="E39" s="4" t="str">
        <v>custom</v>
      </c>
      <c r="F39" s="4" t="str">
        <v>Peru, Ethiopia, Côte d'Ivoire, Mexico, Nigeria</v>
      </c>
      <c r="G39" s="5">
        <v>0</v>
      </c>
      <c r="H39" s="5">
        <v>0</v>
      </c>
      <c r="I39" s="4" t="str">
        <v/>
      </c>
      <c r="J39" s="4">
        <v>6787</v>
      </c>
    </row>
    <row r="40" ht="50" customHeight="1">
      <c r="A40" s="4" t="str">
        <v>AOW04: Germplasm Health</v>
      </c>
      <c r="B40" s="4" t="str">
        <v>CIAT (Alliance)</v>
      </c>
      <c r="C40" s="4" t="str">
        <v>4.4. Systems-based phytosanitary protocol for expedited germplasm delivery​</v>
      </c>
      <c r="D40" s="4" t="str">
        <v>4.4.1. Average time to clear shipments under systems-based protocol.</v>
      </c>
      <c r="E40" s="4" t="str">
        <v>custom</v>
      </c>
      <c r="F40" s="4" t="str">
        <v>Philippines</v>
      </c>
      <c r="G40" s="5">
        <v>0</v>
      </c>
      <c r="H40" s="5">
        <v>0</v>
      </c>
      <c r="I40" s="4" t="str">
        <v/>
      </c>
      <c r="J40" s="4">
        <v>6803</v>
      </c>
    </row>
    <row r="41" ht="50" customHeight="1">
      <c r="B41" s="4" t="str">
        <v>CIAT (Alliance)</v>
      </c>
      <c r="D41" s="4" t="str">
        <v>4.4.2. Formal protocols for expedited germplasm exchange developed through stakeholder consultations and submitted for accreditation by relevant NPPOs</v>
      </c>
      <c r="E41" s="4" t="str">
        <v>Number of knowledge products</v>
      </c>
      <c r="F41" s="4" t="str">
        <v>Morocco, Côte d'Ivoire, Niger, Philippines, Lebanon</v>
      </c>
      <c r="G41" s="5">
        <v>0</v>
      </c>
      <c r="H41" s="5">
        <v>0</v>
      </c>
      <c r="I41" s="4" t="str">
        <v/>
      </c>
      <c r="J41" s="4">
        <v>6813</v>
      </c>
    </row>
    <row r="42" ht="25" customHeight="1">
      <c r="C42" s="9" t="str">
        <v>HLO budget subtotal</v>
      </c>
      <c r="H42" s="9">
        <v>230000</v>
      </c>
      <c r="J42" s="9" t="str">
        <v/>
      </c>
    </row>
    <row r="43" ht="50" customHeight="1">
      <c r="A43" s="8" t="str">
        <v>AOW05: Strengthening Capacity for In Situ and Ex Situ Conservation Globally</v>
      </c>
      <c r="B43" s="4" t="str">
        <v>CIAT (Alliance)</v>
      </c>
      <c r="C43" s="4" t="str">
        <v>5.2. Regional Communities of Practices and networks for diversity/gap analyses/SQM and key themes established and functioning</v>
      </c>
      <c r="D43" s="4" t="str">
        <v>5.2.1. CoPs and networks for diversity/gap analyses of crops at a regional level for strategic conservation, use and exchange, maintained, created, or re-activated</v>
      </c>
      <c r="E43" s="4" t="str">
        <v>custom</v>
      </c>
      <c r="F43"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3" s="5">
        <v>1</v>
      </c>
      <c r="H43" s="5">
        <v>0</v>
      </c>
      <c r="I43" s="4" t="str">
        <v/>
      </c>
      <c r="J43" s="4">
        <v>6826</v>
      </c>
    </row>
    <row r="44" ht="50" customHeight="1">
      <c r="B44" s="4" t="str">
        <v>CIAT (Alliance)</v>
      </c>
      <c r="D44" s="4" t="str">
        <v>5.2.2. Knowledge products including journal articles co-authored with NARS partners on topics related to cryopreservation, DSI, in-situ</v>
      </c>
      <c r="E44" s="4" t="str">
        <v>Number of knowledge products</v>
      </c>
      <c r="F44" s="4" t="str">
        <v>Peru, Lebanon, Morocco, The Socialist Republic of Viet Nam, Colombia, Mexico</v>
      </c>
      <c r="G44" s="5">
        <v>1</v>
      </c>
      <c r="H44" s="5">
        <v>0</v>
      </c>
      <c r="I44" s="4" t="str">
        <v/>
      </c>
      <c r="J44" s="4">
        <v>7106</v>
      </c>
    </row>
    <row r="45" ht="50" customHeight="1" xml:space="preserve">
      <c r="A45" s="4" t="str">
        <v>AOW05: Strengthening Capacity for In Situ and Ex Situ Conservation Globally</v>
      </c>
      <c r="B45" s="4" t="str">
        <v>CIAT (Alliance)</v>
      </c>
      <c r="C45" s="4" t="str">
        <v>5.3 Capacity strengthened at national and regional levels across genebank activities (SQM, data management, germplasm health, policy…)</v>
      </c>
      <c r="D45" s="4" t="str">
        <v>5.3.1. Individuals trained on collection, SQM, cryo, germplasm health, in situ, community genebanks, policy</v>
      </c>
      <c r="E45" s="4" t="str">
        <v>Number of people trained (capacity sharing for development)</v>
      </c>
      <c r="F45" s="4" t="str">
        <v>Morocco, Colombia, Belgium, Lebanon, Ethiopia, India, Peru, Mexico, Côte d'Ivoire, Nigeria</v>
      </c>
      <c r="G45" s="5">
        <v>20</v>
      </c>
      <c r="H45" s="5">
        <v>52000</v>
      </c>
      <c r="I45" s="4" t="str" xml:space="preserve">
        <v xml:space="preserve">People trained in genebank-related topics priorized by LAC CoP
</v>
      </c>
      <c r="J45" s="4">
        <v>6839</v>
      </c>
    </row>
    <row r="46" ht="50" customHeight="1">
      <c r="A46" s="4" t="str">
        <v>AOW05: Strengthening Capacity for In Situ and Ex Situ Conservation Globally</v>
      </c>
      <c r="B46" s="4" t="str">
        <v>CIAT (Alliance)</v>
      </c>
      <c r="C46" s="4" t="str">
        <v xml:space="preserve">5.4. Unique crop diversity under threat is protected through the integration of in situ and ex situ conservation strategies </v>
      </c>
      <c r="D46" s="4" t="str">
        <v>5.4.1. Unique accessions repatriated from CG Genebanks to national genebanks / communities</v>
      </c>
      <c r="E46" s="4" t="str">
        <v>custom</v>
      </c>
      <c r="F46" s="4" t="str">
        <v>Peru, Philippines, The Socialist Republic of Viet Nam, Morocco, Mexico, Jordan, Panama, Colombia, Chile</v>
      </c>
      <c r="G46" s="5">
        <v>245</v>
      </c>
      <c r="H46" s="5">
        <v>0</v>
      </c>
      <c r="I46" s="4" t="str">
        <v/>
      </c>
      <c r="J46" s="4">
        <v>6849</v>
      </c>
    </row>
    <row r="47" ht="25" customHeight="1">
      <c r="C47" s="9" t="str">
        <v>HLO budget subtotal</v>
      </c>
      <c r="H47" s="9">
        <v>52000</v>
      </c>
      <c r="J47" s="9" t="str">
        <v/>
      </c>
    </row>
  </sheetData>
  <mergeCells count="25">
    <mergeCell ref="A1:A2"/>
    <mergeCell ref="B1:B2"/>
    <mergeCell ref="C1:C2"/>
    <mergeCell ref="D1:H1"/>
    <mergeCell ref="I1:I2"/>
    <mergeCell ref="J1:J2"/>
    <mergeCell ref="C3:C10"/>
    <mergeCell ref="C11:C16"/>
    <mergeCell ref="C17:C20"/>
    <mergeCell ref="C21:C24"/>
    <mergeCell ref="C25:G25"/>
    <mergeCell ref="A3:A25"/>
    <mergeCell ref="C26:C28"/>
    <mergeCell ref="C29:C30"/>
    <mergeCell ref="C31:G31"/>
    <mergeCell ref="A26:A31"/>
    <mergeCell ref="C32:C34"/>
    <mergeCell ref="C35:C36"/>
    <mergeCell ref="C37:C39"/>
    <mergeCell ref="C40:C41"/>
    <mergeCell ref="C42:G42"/>
    <mergeCell ref="A32:A42"/>
    <mergeCell ref="C43:C44"/>
    <mergeCell ref="C47:G47"/>
    <mergeCell ref="A43:A47"/>
  </mergeCells>
  <ignoredErrors>
    <ignoredError numberStoredAsText="1" sqref="A1:J47"/>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Biodiversity Conservation</v>
      </c>
      <c r="B2" s="4" t="str">
        <v>Aarhus University</v>
      </c>
      <c r="C2" s="4" t="str">
        <v>CIAT (Alliance)</v>
      </c>
      <c r="D2" s="4" t="str">
        <v>Denmark, Colombia</v>
      </c>
      <c r="E2" s="5">
        <v>106319</v>
      </c>
      <c r="F2" s="4" t="str">
        <v>We've starting using the Videometer to characterize the bean collection; this is a multi-year effort; this KPI includes funds for Aarhus University to coordinate SQM CoP of all CGIAR genebanks.</v>
      </c>
      <c r="G2" s="4">
        <v>70</v>
      </c>
    </row>
    <row r="3" ht="25" customHeight="1">
      <c r="B3" s="9" t="str">
        <v>Contracted partners subtotal</v>
      </c>
      <c r="E3" s="9">
        <v>106319</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(BEF)-Screening, developing, and deploying anti-methanogenic feedstock into livestock systems in the Global South</v>
      </c>
      <c r="C2" s="4" t="str">
        <v>2.2. Enhanced germplasm information for more precise accession targeting</v>
      </c>
      <c r="D2" s="5">
        <v>926660</v>
      </c>
      <c r="E2" s="4" t="str">
        <v>Assuming similar funding as 2025, not yet confirmed</v>
      </c>
      <c r="F2" s="4">
        <v>1240</v>
      </c>
    </row>
    <row r="3" ht="60" customHeight="1">
      <c r="A3" s="4" t="str">
        <v>CIAT (Alliance)</v>
      </c>
      <c r="B3" s="4" t="str">
        <v>GCDT-Long-term conservation and sustainable use of plant genetic resources</v>
      </c>
      <c r="C3" s="4" t="str">
        <v>1.1. All collections conserved and made available according to international standards and best practices</v>
      </c>
      <c r="D3" s="5">
        <v>1379570</v>
      </c>
      <c r="E3" s="4" t="str">
        <v>As per figures provided by Crop Trust</v>
      </c>
      <c r="F3" s="4">
        <v>1229</v>
      </c>
    </row>
    <row r="4" ht="25" customHeight="1">
      <c r="B4" s="9" t="str">
        <v>W3/Bilateral budget subtotal</v>
      </c>
      <c r="D4" s="9">
        <v>2306230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2099620</v>
      </c>
      <c r="D2" s="5">
        <v>39576</v>
      </c>
      <c r="E2" s="5">
        <v>0</v>
      </c>
      <c r="F2" s="5">
        <v>153959</v>
      </c>
      <c r="G2" s="5">
        <v>6783</v>
      </c>
      <c r="H2" s="5">
        <f>=SUM(B2:G2)</f>
        <v>0</v>
      </c>
    </row>
    <row r="3" ht="20" customHeight="1">
      <c r="A3" s="4" t="str">
        <v>Operations (supplies, consultants, travels, workshops, other)</v>
      </c>
      <c r="B3" s="5">
        <v>0</v>
      </c>
      <c r="C3" s="5">
        <v>660328</v>
      </c>
      <c r="D3" s="5">
        <v>89424</v>
      </c>
      <c r="E3" s="5">
        <v>0</v>
      </c>
      <c r="F3" s="5">
        <v>76041</v>
      </c>
      <c r="G3" s="5">
        <v>45217</v>
      </c>
      <c r="H3" s="5">
        <f>=SUM(B3:G3)</f>
        <v>0</v>
      </c>
    </row>
    <row r="4" ht="20" customHeight="1">
      <c r="A4" s="4" t="str">
        <v>Collaborators non-CGIAR centers</v>
      </c>
      <c r="B4" s="5">
        <v>0</v>
      </c>
      <c r="C4" s="5">
        <v>106319</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8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203</v>
      </c>
    </row>
    <row r="3" ht="45" customHeight="1">
      <c r="A3" s="8" t="str">
        <v>AOW01: Biodiversity Conservation</v>
      </c>
      <c r="B3" s="4" t="str">
        <v>CIAT (Alliance)</v>
      </c>
      <c r="C3" s="4" t="str">
        <v>Colombia</v>
      </c>
      <c r="D3" s="5">
        <v>100</v>
      </c>
      <c r="E3" s="4">
        <v>205</v>
      </c>
    </row>
    <row r="4" ht="45" customHeight="1">
      <c r="A4" s="4" t="str">
        <v>AOW01: Biodiversity Conservation</v>
      </c>
      <c r="B4" s="4" t="str">
        <v>CIAT (Alliance)</v>
      </c>
      <c r="C4" s="4" t="str">
        <v>Mexico</v>
      </c>
      <c r="D4" s="5">
        <v>0</v>
      </c>
      <c r="E4" s="4">
        <v>206</v>
      </c>
    </row>
    <row r="5" ht="45" customHeight="1">
      <c r="A5" s="8" t="str">
        <v>AOW02: Strategic User Engagement</v>
      </c>
      <c r="B5" s="4" t="str">
        <v>CIAT (Alliance)</v>
      </c>
      <c r="C5" s="4" t="str">
        <v>Belgium</v>
      </c>
      <c r="D5" s="5">
        <v>7.6</v>
      </c>
      <c r="E5" s="4">
        <v>208</v>
      </c>
    </row>
    <row r="6" ht="45" customHeight="1">
      <c r="A6" s="4" t="str">
        <v>AOW02: Strategic User Engagement</v>
      </c>
      <c r="B6" s="4" t="str">
        <v>CIAT (Alliance)</v>
      </c>
      <c r="C6" s="4" t="str">
        <v>Colombia</v>
      </c>
      <c r="D6" s="5">
        <v>8</v>
      </c>
      <c r="E6" s="4">
        <v>209</v>
      </c>
    </row>
    <row r="7" ht="45" customHeight="1">
      <c r="A7" s="4" t="str">
        <v>AOW02: Strategic User Engagement</v>
      </c>
      <c r="B7" s="4" t="str">
        <v>CIAT (Alliance)</v>
      </c>
      <c r="C7" s="4" t="str">
        <v>Côte d'Ivoire</v>
      </c>
      <c r="D7" s="5">
        <v>7.6</v>
      </c>
      <c r="E7" s="4">
        <v>210</v>
      </c>
    </row>
    <row r="8" ht="45" customHeight="1">
      <c r="A8" s="4" t="str">
        <v>AOW02: Strategic User Engagement</v>
      </c>
      <c r="B8" s="4" t="str">
        <v>CIAT (Alliance)</v>
      </c>
      <c r="C8" s="4" t="str">
        <v>Ethiopia</v>
      </c>
      <c r="D8" s="5">
        <v>7.6</v>
      </c>
      <c r="E8" s="4">
        <v>211</v>
      </c>
    </row>
    <row r="9" ht="45" customHeight="1">
      <c r="A9" s="4" t="str">
        <v>AOW02: Strategic User Engagement</v>
      </c>
      <c r="B9" s="4" t="str">
        <v>CIAT (Alliance)</v>
      </c>
      <c r="C9" s="4" t="str">
        <v>France</v>
      </c>
      <c r="D9" s="5">
        <v>7.6</v>
      </c>
      <c r="E9" s="4">
        <v>212</v>
      </c>
    </row>
    <row r="10" ht="45" customHeight="1">
      <c r="A10" s="4" t="str">
        <v>AOW02: Strategic User Engagement</v>
      </c>
      <c r="B10" s="4" t="str">
        <v>CIAT (Alliance)</v>
      </c>
      <c r="C10" s="4" t="str">
        <v>India</v>
      </c>
      <c r="D10" s="5">
        <v>7.6</v>
      </c>
      <c r="E10" s="4">
        <v>213</v>
      </c>
    </row>
    <row r="11" ht="45" customHeight="1">
      <c r="A11" s="4" t="str">
        <v>AOW02: Strategic User Engagement</v>
      </c>
      <c r="B11" s="4" t="str">
        <v>CIAT (Alliance)</v>
      </c>
      <c r="C11" s="4" t="str">
        <v>Lebanon</v>
      </c>
      <c r="D11" s="5">
        <v>7.6</v>
      </c>
      <c r="E11" s="4">
        <v>214</v>
      </c>
    </row>
    <row r="12" ht="45" customHeight="1">
      <c r="A12" s="4" t="str">
        <v>AOW02: Strategic User Engagement</v>
      </c>
      <c r="B12" s="4" t="str">
        <v>CIAT (Alliance)</v>
      </c>
      <c r="C12" s="4" t="str">
        <v>Mexico</v>
      </c>
      <c r="D12" s="5">
        <v>7.6</v>
      </c>
      <c r="E12" s="4">
        <v>215</v>
      </c>
    </row>
    <row r="13" ht="45" customHeight="1">
      <c r="A13" s="4" t="str">
        <v>AOW02: Strategic User Engagement</v>
      </c>
      <c r="B13" s="4" t="str">
        <v>CIAT (Alliance)</v>
      </c>
      <c r="C13" s="4" t="str">
        <v>Morocco</v>
      </c>
      <c r="D13" s="5">
        <v>7.6</v>
      </c>
      <c r="E13" s="4">
        <v>216</v>
      </c>
    </row>
    <row r="14" ht="45" customHeight="1">
      <c r="A14" s="4" t="str">
        <v>AOW02: Strategic User Engagement</v>
      </c>
      <c r="B14" s="4" t="str">
        <v>CIAT (Alliance)</v>
      </c>
      <c r="C14" s="4" t="str">
        <v>Nigeria</v>
      </c>
      <c r="D14" s="5">
        <v>7.6</v>
      </c>
      <c r="E14" s="4">
        <v>217</v>
      </c>
    </row>
    <row r="15" ht="45" customHeight="1">
      <c r="A15" s="4" t="str">
        <v>AOW02: Strategic User Engagement</v>
      </c>
      <c r="B15" s="4" t="str">
        <v>CIAT (Alliance)</v>
      </c>
      <c r="C15" s="4" t="str">
        <v>Peru</v>
      </c>
      <c r="D15" s="5">
        <v>7.6</v>
      </c>
      <c r="E15" s="4">
        <v>218</v>
      </c>
    </row>
    <row r="16" ht="45" customHeight="1">
      <c r="A16" s="4" t="str">
        <v>AOW02: Strategic User Engagement</v>
      </c>
      <c r="B16" s="4" t="str">
        <v>CIAT (Alliance)</v>
      </c>
      <c r="C16" s="4" t="str">
        <v>Philippines</v>
      </c>
      <c r="D16" s="5">
        <v>7.6</v>
      </c>
      <c r="E16" s="4">
        <v>219</v>
      </c>
    </row>
    <row r="17" ht="45" customHeight="1">
      <c r="A17" s="4" t="str">
        <v>AOW02: Strategic User Engagement</v>
      </c>
      <c r="B17" s="4" t="str">
        <v>CIAT (Alliance)</v>
      </c>
      <c r="C17" s="4" t="str">
        <v>The United Arab Emirates</v>
      </c>
      <c r="D17" s="5">
        <v>8.4</v>
      </c>
      <c r="E17" s="4">
        <v>220</v>
      </c>
    </row>
    <row r="18" ht="45" customHeight="1">
      <c r="A18" s="8" t="str">
        <v>AOW04: Germplasm Health</v>
      </c>
      <c r="B18" s="4" t="str">
        <v>CIAT (Alliance)</v>
      </c>
      <c r="C18" s="4" t="str">
        <v>Belgium</v>
      </c>
      <c r="D18" s="5">
        <v>8</v>
      </c>
      <c r="E18" s="4">
        <v>222</v>
      </c>
    </row>
    <row r="19" ht="45" customHeight="1">
      <c r="A19" s="4" t="str">
        <v>AOW04: Germplasm Health</v>
      </c>
      <c r="B19" s="4" t="str">
        <v>CIAT (Alliance)</v>
      </c>
      <c r="C19" s="4" t="str">
        <v>Colombia</v>
      </c>
      <c r="D19" s="5">
        <v>12</v>
      </c>
      <c r="E19" s="4">
        <v>221</v>
      </c>
    </row>
    <row r="20" ht="45" customHeight="1">
      <c r="A20" s="4" t="str">
        <v>AOW04: Germplasm Health</v>
      </c>
      <c r="B20" s="4" t="str">
        <v>CIAT (Alliance)</v>
      </c>
      <c r="C20" s="4" t="str">
        <v>Côte d'Ivoire</v>
      </c>
      <c r="D20" s="5">
        <v>8</v>
      </c>
      <c r="E20" s="4">
        <v>223</v>
      </c>
    </row>
    <row r="21" ht="45" customHeight="1">
      <c r="A21" s="4" t="str">
        <v>AOW04: Germplasm Health</v>
      </c>
      <c r="B21" s="4" t="str">
        <v>CIAT (Alliance)</v>
      </c>
      <c r="C21" s="4" t="str">
        <v>Ethiopia</v>
      </c>
      <c r="D21" s="5">
        <v>8</v>
      </c>
      <c r="E21" s="4">
        <v>224</v>
      </c>
    </row>
    <row r="22" ht="45" customHeight="1">
      <c r="A22" s="4" t="str">
        <v>AOW04: Germplasm Health</v>
      </c>
      <c r="B22" s="4" t="str">
        <v>CIAT (Alliance)</v>
      </c>
      <c r="C22" s="4" t="str">
        <v>India</v>
      </c>
      <c r="D22" s="5">
        <v>8</v>
      </c>
      <c r="E22" s="4">
        <v>225</v>
      </c>
    </row>
    <row r="23" ht="45" customHeight="1">
      <c r="A23" s="4" t="str">
        <v>AOW04: Germplasm Health</v>
      </c>
      <c r="B23" s="4" t="str">
        <v>CIAT (Alliance)</v>
      </c>
      <c r="C23" s="4" t="str">
        <v>Lebanon</v>
      </c>
      <c r="D23" s="5">
        <v>8</v>
      </c>
      <c r="E23" s="4">
        <v>226</v>
      </c>
    </row>
    <row r="24" ht="45" customHeight="1">
      <c r="A24" s="4" t="str">
        <v>AOW04: Germplasm Health</v>
      </c>
      <c r="B24" s="4" t="str">
        <v>CIAT (Alliance)</v>
      </c>
      <c r="C24" s="4" t="str">
        <v>Mexico</v>
      </c>
      <c r="D24" s="5">
        <v>8</v>
      </c>
      <c r="E24" s="4">
        <v>227</v>
      </c>
    </row>
    <row r="25" ht="45" customHeight="1">
      <c r="A25" s="4" t="str">
        <v>AOW04: Germplasm Health</v>
      </c>
      <c r="B25" s="4" t="str">
        <v>CIAT (Alliance)</v>
      </c>
      <c r="C25" s="4" t="str">
        <v>Morocco</v>
      </c>
      <c r="D25" s="5">
        <v>8</v>
      </c>
      <c r="E25" s="4">
        <v>228</v>
      </c>
    </row>
    <row r="26" ht="45" customHeight="1">
      <c r="A26" s="4" t="str">
        <v>AOW04: Germplasm Health</v>
      </c>
      <c r="B26" s="4" t="str">
        <v>CIAT (Alliance)</v>
      </c>
      <c r="C26" s="4" t="str">
        <v>Niger</v>
      </c>
      <c r="D26" s="5">
        <v>8</v>
      </c>
      <c r="E26" s="4">
        <v>229</v>
      </c>
    </row>
    <row r="27" ht="45" customHeight="1">
      <c r="A27" s="4" t="str">
        <v>AOW04: Germplasm Health</v>
      </c>
      <c r="B27" s="4" t="str">
        <v>CIAT (Alliance)</v>
      </c>
      <c r="C27" s="4" t="str">
        <v>Nigeria</v>
      </c>
      <c r="D27" s="5">
        <v>8</v>
      </c>
      <c r="E27" s="4">
        <v>230</v>
      </c>
    </row>
    <row r="28" ht="45" customHeight="1">
      <c r="A28" s="4" t="str">
        <v>AOW04: Germplasm Health</v>
      </c>
      <c r="B28" s="4" t="str">
        <v>CIAT (Alliance)</v>
      </c>
      <c r="C28" s="4" t="str">
        <v>Peru</v>
      </c>
      <c r="D28" s="5">
        <v>8</v>
      </c>
      <c r="E28" s="4">
        <v>231</v>
      </c>
    </row>
    <row r="29" ht="45" customHeight="1">
      <c r="A29" s="4" t="str">
        <v>AOW04: Germplasm Health</v>
      </c>
      <c r="B29" s="4" t="str">
        <v>CIAT (Alliance)</v>
      </c>
      <c r="C29" s="4" t="str">
        <v>Philippines</v>
      </c>
      <c r="D29" s="5">
        <v>8</v>
      </c>
      <c r="E29" s="4">
        <v>232</v>
      </c>
    </row>
    <row r="30" ht="45" customHeight="1">
      <c r="A30" s="8" t="str">
        <v>AOW05: Strengthening Capacity for In Situ and Ex Situ Conservation Globally</v>
      </c>
      <c r="B30" s="4" t="str">
        <v>CIAT (Alliance)</v>
      </c>
      <c r="C30" s="4" t="str">
        <v>Argentina</v>
      </c>
      <c r="D30" s="5">
        <v>2</v>
      </c>
      <c r="E30" s="4">
        <v>245</v>
      </c>
    </row>
    <row r="31" ht="45" customHeight="1">
      <c r="A31" s="4" t="str">
        <v>AOW05: Strengthening Capacity for In Situ and Ex Situ Conservation Globally</v>
      </c>
      <c r="B31" s="4" t="str">
        <v>CIAT (Alliance)</v>
      </c>
      <c r="C31" s="4" t="str">
        <v>Belgium</v>
      </c>
      <c r="D31" s="5">
        <v>2</v>
      </c>
      <c r="E31" s="4">
        <v>246</v>
      </c>
    </row>
    <row r="32" ht="45" customHeight="1">
      <c r="A32" s="4" t="str">
        <v>AOW05: Strengthening Capacity for In Situ and Ex Situ Conservation Globally</v>
      </c>
      <c r="B32" s="4" t="str">
        <v>CIAT (Alliance)</v>
      </c>
      <c r="C32" s="4" t="str">
        <v>Benin</v>
      </c>
      <c r="D32" s="5">
        <v>2</v>
      </c>
      <c r="E32" s="4">
        <v>247</v>
      </c>
    </row>
    <row r="33" ht="45" customHeight="1">
      <c r="A33" s="4" t="str">
        <v>AOW05: Strengthening Capacity for In Situ and Ex Situ Conservation Globally</v>
      </c>
      <c r="B33" s="4" t="str">
        <v>CIAT (Alliance)</v>
      </c>
      <c r="C33" s="4" t="str">
        <v>Brazil</v>
      </c>
      <c r="D33" s="5">
        <v>2</v>
      </c>
      <c r="E33" s="4">
        <v>248</v>
      </c>
    </row>
    <row r="34" ht="45" customHeight="1">
      <c r="A34" s="4" t="str">
        <v>AOW05: Strengthening Capacity for In Situ and Ex Situ Conservation Globally</v>
      </c>
      <c r="B34" s="4" t="str">
        <v>CIAT (Alliance)</v>
      </c>
      <c r="C34" s="4" t="str">
        <v>Burkina Faso</v>
      </c>
      <c r="D34" s="5">
        <v>2</v>
      </c>
      <c r="E34" s="4">
        <v>249</v>
      </c>
    </row>
    <row r="35" ht="45" customHeight="1">
      <c r="A35" s="4" t="str">
        <v>AOW05: Strengthening Capacity for In Situ and Ex Situ Conservation Globally</v>
      </c>
      <c r="B35" s="4" t="str">
        <v>CIAT (Alliance)</v>
      </c>
      <c r="C35" s="4" t="str">
        <v>Burundi</v>
      </c>
      <c r="D35" s="5">
        <v>2</v>
      </c>
      <c r="E35" s="4">
        <v>250</v>
      </c>
    </row>
    <row r="36" ht="45" customHeight="1">
      <c r="A36" s="4" t="str">
        <v>AOW05: Strengthening Capacity for In Situ and Ex Situ Conservation Globally</v>
      </c>
      <c r="B36" s="4" t="str">
        <v>CIAT (Alliance)</v>
      </c>
      <c r="C36" s="4" t="str">
        <v>Cambodia</v>
      </c>
      <c r="D36" s="5">
        <v>2</v>
      </c>
      <c r="E36" s="4">
        <v>251</v>
      </c>
    </row>
    <row r="37" ht="45" customHeight="1">
      <c r="A37" s="4" t="str">
        <v>AOW05: Strengthening Capacity for In Situ and Ex Situ Conservation Globally</v>
      </c>
      <c r="B37" s="4" t="str">
        <v>CIAT (Alliance)</v>
      </c>
      <c r="C37" s="4" t="str">
        <v>Cameroon</v>
      </c>
      <c r="D37" s="5">
        <v>2</v>
      </c>
      <c r="E37" s="4">
        <v>252</v>
      </c>
    </row>
    <row r="38" ht="45" customHeight="1">
      <c r="A38" s="4" t="str">
        <v>AOW05: Strengthening Capacity for In Situ and Ex Situ Conservation Globally</v>
      </c>
      <c r="B38" s="4" t="str">
        <v>CIAT (Alliance)</v>
      </c>
      <c r="C38" s="4" t="str">
        <v>Central African Republic</v>
      </c>
      <c r="D38" s="5">
        <v>2</v>
      </c>
      <c r="E38" s="4">
        <v>253</v>
      </c>
    </row>
    <row r="39" ht="45" customHeight="1">
      <c r="A39" s="4" t="str">
        <v>AOW05: Strengthening Capacity for In Situ and Ex Situ Conservation Globally</v>
      </c>
      <c r="B39" s="4" t="str">
        <v>CIAT (Alliance)</v>
      </c>
      <c r="C39" s="4" t="str">
        <v>Chad</v>
      </c>
      <c r="D39" s="5">
        <v>2</v>
      </c>
      <c r="E39" s="4">
        <v>254</v>
      </c>
    </row>
    <row r="40" ht="45" customHeight="1">
      <c r="A40" s="4" t="str">
        <v>AOW05: Strengthening Capacity for In Situ and Ex Situ Conservation Globally</v>
      </c>
      <c r="B40" s="4" t="str">
        <v>CIAT (Alliance)</v>
      </c>
      <c r="C40" s="4" t="str">
        <v>Chile</v>
      </c>
      <c r="D40" s="5">
        <v>2</v>
      </c>
      <c r="E40" s="4">
        <v>255</v>
      </c>
    </row>
    <row r="41" ht="45" customHeight="1">
      <c r="A41" s="4" t="str">
        <v>AOW05: Strengthening Capacity for In Situ and Ex Situ Conservation Globally</v>
      </c>
      <c r="B41" s="4" t="str">
        <v>CIAT (Alliance)</v>
      </c>
      <c r="C41" s="4" t="str">
        <v>Colombia</v>
      </c>
      <c r="D41" s="5">
        <v>4</v>
      </c>
      <c r="E41" s="4">
        <v>256</v>
      </c>
    </row>
    <row r="42" ht="45" customHeight="1">
      <c r="A42" s="4" t="str">
        <v>AOW05: Strengthening Capacity for In Situ and Ex Situ Conservation Globally</v>
      </c>
      <c r="B42" s="4" t="str">
        <v>CIAT (Alliance)</v>
      </c>
      <c r="C42" s="4" t="str">
        <v>Congo</v>
      </c>
      <c r="D42" s="5">
        <v>2</v>
      </c>
      <c r="E42" s="4">
        <v>257</v>
      </c>
    </row>
    <row r="43" ht="45" customHeight="1">
      <c r="A43" s="4" t="str">
        <v>AOW05: Strengthening Capacity for In Situ and Ex Situ Conservation Globally</v>
      </c>
      <c r="B43" s="4" t="str">
        <v>CIAT (Alliance)</v>
      </c>
      <c r="C43" s="4" t="str">
        <v>Costa Rica</v>
      </c>
      <c r="D43" s="5">
        <v>2</v>
      </c>
      <c r="E43" s="4">
        <v>258</v>
      </c>
    </row>
    <row r="44" ht="45" customHeight="1">
      <c r="A44" s="4" t="str">
        <v>AOW05: Strengthening Capacity for In Situ and Ex Situ Conservation Globally</v>
      </c>
      <c r="B44" s="4" t="str">
        <v>CIAT (Alliance)</v>
      </c>
      <c r="C44" s="4" t="str">
        <v>Côte d'Ivoire</v>
      </c>
      <c r="D44" s="5">
        <v>2</v>
      </c>
      <c r="E44" s="4">
        <v>260</v>
      </c>
    </row>
    <row r="45" ht="45" customHeight="1">
      <c r="A45" s="4" t="str">
        <v>AOW05: Strengthening Capacity for In Situ and Ex Situ Conservation Globally</v>
      </c>
      <c r="B45" s="4" t="str">
        <v>CIAT (Alliance)</v>
      </c>
      <c r="C45" s="4" t="str">
        <v>Cuba</v>
      </c>
      <c r="D45" s="5">
        <v>2</v>
      </c>
      <c r="E45" s="4">
        <v>259</v>
      </c>
    </row>
    <row r="46" ht="45" customHeight="1">
      <c r="A46" s="4" t="str">
        <v>AOW05: Strengthening Capacity for In Situ and Ex Situ Conservation Globally</v>
      </c>
      <c r="B46" s="4" t="str">
        <v>CIAT (Alliance)</v>
      </c>
      <c r="C46" s="4" t="str">
        <v>Ecuador</v>
      </c>
      <c r="D46" s="5">
        <v>2</v>
      </c>
      <c r="E46" s="4">
        <v>261</v>
      </c>
    </row>
    <row r="47" ht="45" customHeight="1">
      <c r="A47" s="4" t="str">
        <v>AOW05: Strengthening Capacity for In Situ and Ex Situ Conservation Globally</v>
      </c>
      <c r="B47" s="4" t="str">
        <v>CIAT (Alliance)</v>
      </c>
      <c r="C47" s="4" t="str">
        <v>El Salvador</v>
      </c>
      <c r="D47" s="5">
        <v>2</v>
      </c>
      <c r="E47" s="4">
        <v>262</v>
      </c>
    </row>
    <row r="48" ht="45" customHeight="1">
      <c r="A48" s="4" t="str">
        <v>AOW05: Strengthening Capacity for In Situ and Ex Situ Conservation Globally</v>
      </c>
      <c r="B48" s="4" t="str">
        <v>CIAT (Alliance)</v>
      </c>
      <c r="C48" s="4" t="str">
        <v>Ethiopia</v>
      </c>
      <c r="D48" s="5">
        <v>2</v>
      </c>
      <c r="E48" s="4">
        <v>263</v>
      </c>
    </row>
    <row r="49" ht="45" customHeight="1">
      <c r="A49" s="4" t="str">
        <v>AOW05: Strengthening Capacity for In Situ and Ex Situ Conservation Globally</v>
      </c>
      <c r="B49" s="4" t="str">
        <v>CIAT (Alliance)</v>
      </c>
      <c r="C49" s="4" t="str">
        <v>Ghana</v>
      </c>
      <c r="D49" s="5">
        <v>2</v>
      </c>
      <c r="E49" s="4">
        <v>264</v>
      </c>
    </row>
    <row r="50" ht="45" customHeight="1">
      <c r="A50" s="4" t="str">
        <v>AOW05: Strengthening Capacity for In Situ and Ex Situ Conservation Globally</v>
      </c>
      <c r="B50" s="4" t="str">
        <v>CIAT (Alliance)</v>
      </c>
      <c r="C50" s="4" t="str">
        <v>Guatemala</v>
      </c>
      <c r="D50" s="5">
        <v>2</v>
      </c>
      <c r="E50" s="4">
        <v>265</v>
      </c>
    </row>
    <row r="51" ht="45" customHeight="1">
      <c r="A51" s="4" t="str">
        <v>AOW05: Strengthening Capacity for In Situ and Ex Situ Conservation Globally</v>
      </c>
      <c r="B51" s="4" t="str">
        <v>CIAT (Alliance)</v>
      </c>
      <c r="C51" s="4" t="str">
        <v>Honduras</v>
      </c>
      <c r="D51" s="5">
        <v>2</v>
      </c>
      <c r="E51" s="4">
        <v>266</v>
      </c>
    </row>
    <row r="52" ht="45" customHeight="1">
      <c r="A52" s="4" t="str">
        <v>AOW05: Strengthening Capacity for In Situ and Ex Situ Conservation Globally</v>
      </c>
      <c r="B52" s="4" t="str">
        <v>CIAT (Alliance)</v>
      </c>
      <c r="C52" s="4" t="str">
        <v>India</v>
      </c>
      <c r="D52" s="5">
        <v>2</v>
      </c>
      <c r="E52" s="4">
        <v>267</v>
      </c>
    </row>
    <row r="53" ht="45" customHeight="1">
      <c r="A53" s="4" t="str">
        <v>AOW05: Strengthening Capacity for In Situ and Ex Situ Conservation Globally</v>
      </c>
      <c r="B53" s="4" t="str">
        <v>CIAT (Alliance)</v>
      </c>
      <c r="C53" s="4" t="str">
        <v>Indonesia</v>
      </c>
      <c r="D53" s="5">
        <v>2</v>
      </c>
      <c r="E53" s="4">
        <v>268</v>
      </c>
    </row>
    <row r="54" ht="45" customHeight="1">
      <c r="A54" s="4" t="str">
        <v>AOW05: Strengthening Capacity for In Situ and Ex Situ Conservation Globally</v>
      </c>
      <c r="B54" s="4" t="str">
        <v>CIAT (Alliance)</v>
      </c>
      <c r="C54" s="4" t="str">
        <v>Jordan</v>
      </c>
      <c r="D54" s="5">
        <v>2</v>
      </c>
      <c r="E54" s="4">
        <v>269</v>
      </c>
    </row>
    <row r="55" ht="45" customHeight="1">
      <c r="A55" s="4" t="str">
        <v>AOW05: Strengthening Capacity for In Situ and Ex Situ Conservation Globally</v>
      </c>
      <c r="B55" s="4" t="str">
        <v>CIAT (Alliance)</v>
      </c>
      <c r="C55" s="4" t="str">
        <v>Kenya</v>
      </c>
      <c r="D55" s="5">
        <v>2</v>
      </c>
      <c r="E55" s="4">
        <v>270</v>
      </c>
    </row>
    <row r="56" ht="45" customHeight="1">
      <c r="A56" s="4" t="str">
        <v>AOW05: Strengthening Capacity for In Situ and Ex Situ Conservation Globally</v>
      </c>
      <c r="B56" s="4" t="str">
        <v>CIAT (Alliance)</v>
      </c>
      <c r="C56" s="4" t="str">
        <v>Lao People's Democratic Republic</v>
      </c>
      <c r="D56" s="5">
        <v>2</v>
      </c>
      <c r="E56" s="4">
        <v>271</v>
      </c>
    </row>
    <row r="57" ht="45" customHeight="1">
      <c r="A57" s="4" t="str">
        <v>AOW05: Strengthening Capacity for In Situ and Ex Situ Conservation Globally</v>
      </c>
      <c r="B57" s="4" t="str">
        <v>CIAT (Alliance)</v>
      </c>
      <c r="C57" s="4" t="str">
        <v>Lebanon</v>
      </c>
      <c r="D57" s="5">
        <v>2</v>
      </c>
      <c r="E57" s="4">
        <v>272</v>
      </c>
    </row>
    <row r="58" ht="45" customHeight="1">
      <c r="A58" s="4" t="str">
        <v>AOW05: Strengthening Capacity for In Situ and Ex Situ Conservation Globally</v>
      </c>
      <c r="B58" s="4" t="str">
        <v>CIAT (Alliance)</v>
      </c>
      <c r="C58" s="4" t="str">
        <v>Malawi</v>
      </c>
      <c r="D58" s="5">
        <v>2</v>
      </c>
      <c r="E58" s="4">
        <v>273</v>
      </c>
    </row>
    <row r="59" ht="45" customHeight="1">
      <c r="A59" s="4" t="str">
        <v>AOW05: Strengthening Capacity for In Situ and Ex Situ Conservation Globally</v>
      </c>
      <c r="B59" s="4" t="str">
        <v>CIAT (Alliance)</v>
      </c>
      <c r="C59" s="4" t="str">
        <v>Mali</v>
      </c>
      <c r="D59" s="5">
        <v>2</v>
      </c>
      <c r="E59" s="4">
        <v>274</v>
      </c>
    </row>
    <row r="60" ht="45" customHeight="1">
      <c r="A60" s="4" t="str">
        <v>AOW05: Strengthening Capacity for In Situ and Ex Situ Conservation Globally</v>
      </c>
      <c r="B60" s="4" t="str">
        <v>CIAT (Alliance)</v>
      </c>
      <c r="C60" s="4" t="str">
        <v>Mexico</v>
      </c>
      <c r="D60" s="5">
        <v>2</v>
      </c>
      <c r="E60" s="4">
        <v>275</v>
      </c>
    </row>
    <row r="61" ht="45" customHeight="1">
      <c r="A61" s="4" t="str">
        <v>AOW05: Strengthening Capacity for In Situ and Ex Situ Conservation Globally</v>
      </c>
      <c r="B61" s="4" t="str">
        <v>CIAT (Alliance)</v>
      </c>
      <c r="C61" s="4" t="str">
        <v>Morocco</v>
      </c>
      <c r="D61" s="5">
        <v>2</v>
      </c>
      <c r="E61" s="4">
        <v>276</v>
      </c>
    </row>
    <row r="62" ht="45" customHeight="1">
      <c r="A62" s="4" t="str">
        <v>AOW05: Strengthening Capacity for In Situ and Ex Situ Conservation Globally</v>
      </c>
      <c r="B62" s="4" t="str">
        <v>CIAT (Alliance)</v>
      </c>
      <c r="C62" s="4" t="str">
        <v>Niger</v>
      </c>
      <c r="D62" s="5">
        <v>2</v>
      </c>
      <c r="E62" s="4">
        <v>277</v>
      </c>
    </row>
    <row r="63" ht="45" customHeight="1">
      <c r="A63" s="4" t="str">
        <v>AOW05: Strengthening Capacity for In Situ and Ex Situ Conservation Globally</v>
      </c>
      <c r="B63" s="4" t="str">
        <v>CIAT (Alliance)</v>
      </c>
      <c r="C63" s="4" t="str">
        <v>Nigeria</v>
      </c>
      <c r="D63" s="5">
        <v>2</v>
      </c>
      <c r="E63" s="4">
        <v>278</v>
      </c>
    </row>
    <row r="64" ht="45" customHeight="1">
      <c r="A64" s="4" t="str">
        <v>AOW05: Strengthening Capacity for In Situ and Ex Situ Conservation Globally</v>
      </c>
      <c r="B64" s="4" t="str">
        <v>CIAT (Alliance)</v>
      </c>
      <c r="C64" s="4" t="str">
        <v>Panama</v>
      </c>
      <c r="D64" s="5">
        <v>2</v>
      </c>
      <c r="E64" s="4">
        <v>279</v>
      </c>
    </row>
    <row r="65" ht="45" customHeight="1">
      <c r="A65" s="4" t="str">
        <v>AOW05: Strengthening Capacity for In Situ and Ex Situ Conservation Globally</v>
      </c>
      <c r="B65" s="4" t="str">
        <v>CIAT (Alliance)</v>
      </c>
      <c r="C65" s="4" t="str">
        <v>Paraguay</v>
      </c>
      <c r="D65" s="5">
        <v>2</v>
      </c>
      <c r="E65" s="4">
        <v>280</v>
      </c>
    </row>
    <row r="66" ht="45" customHeight="1">
      <c r="A66" s="4" t="str">
        <v>AOW05: Strengthening Capacity for In Situ and Ex Situ Conservation Globally</v>
      </c>
      <c r="B66" s="4" t="str">
        <v>CIAT (Alliance)</v>
      </c>
      <c r="C66" s="4" t="str">
        <v>Peru</v>
      </c>
      <c r="D66" s="5">
        <v>2</v>
      </c>
      <c r="E66" s="4">
        <v>281</v>
      </c>
    </row>
    <row r="67" ht="45" customHeight="1">
      <c r="A67" s="4" t="str">
        <v>AOW05: Strengthening Capacity for In Situ and Ex Situ Conservation Globally</v>
      </c>
      <c r="B67" s="4" t="str">
        <v>CIAT (Alliance)</v>
      </c>
      <c r="C67" s="4" t="str">
        <v>Philippines</v>
      </c>
      <c r="D67" s="5">
        <v>2</v>
      </c>
      <c r="E67" s="4">
        <v>282</v>
      </c>
    </row>
    <row r="68" ht="45" customHeight="1">
      <c r="A68" s="4" t="str">
        <v>AOW05: Strengthening Capacity for In Situ and Ex Situ Conservation Globally</v>
      </c>
      <c r="B68" s="4" t="str">
        <v>CIAT (Alliance)</v>
      </c>
      <c r="C68" s="4" t="str">
        <v>Rwanda</v>
      </c>
      <c r="D68" s="5">
        <v>1</v>
      </c>
      <c r="E68" s="4">
        <v>283</v>
      </c>
    </row>
    <row r="69" ht="45" customHeight="1">
      <c r="A69" s="4" t="str">
        <v>AOW05: Strengthening Capacity for In Situ and Ex Situ Conservation Globally</v>
      </c>
      <c r="B69" s="4" t="str">
        <v>CIAT (Alliance)</v>
      </c>
      <c r="C69" s="4" t="str">
        <v>Senegal</v>
      </c>
      <c r="D69" s="5">
        <v>1</v>
      </c>
      <c r="E69" s="4">
        <v>284</v>
      </c>
    </row>
    <row r="70" ht="45" customHeight="1">
      <c r="A70" s="4" t="str">
        <v>AOW05: Strengthening Capacity for In Situ and Ex Situ Conservation Globally</v>
      </c>
      <c r="B70" s="4" t="str">
        <v>CIAT (Alliance)</v>
      </c>
      <c r="C70" s="4" t="str">
        <v>Somalia</v>
      </c>
      <c r="D70" s="5">
        <v>1</v>
      </c>
      <c r="E70" s="4">
        <v>888</v>
      </c>
    </row>
    <row r="71" ht="45" customHeight="1">
      <c r="A71" s="4" t="str">
        <v>AOW05: Strengthening Capacity for In Situ and Ex Situ Conservation Globally</v>
      </c>
      <c r="B71" s="4" t="str">
        <v>CIAT (Alliance)</v>
      </c>
      <c r="C71" s="4" t="str">
        <v>South Sudan</v>
      </c>
      <c r="D71" s="5">
        <v>1</v>
      </c>
      <c r="E71" s="4">
        <v>285</v>
      </c>
    </row>
    <row r="72" ht="45" customHeight="1">
      <c r="A72" s="4" t="str">
        <v>AOW05: Strengthening Capacity for In Situ and Ex Situ Conservation Globally</v>
      </c>
      <c r="B72" s="4" t="str">
        <v>CIAT (Alliance)</v>
      </c>
      <c r="C72" s="4" t="str">
        <v>Suriname</v>
      </c>
      <c r="D72" s="5">
        <v>2</v>
      </c>
      <c r="E72" s="4">
        <v>889</v>
      </c>
    </row>
    <row r="73" ht="45" customHeight="1">
      <c r="A73" s="4" t="str">
        <v>AOW05: Strengthening Capacity for In Situ and Ex Situ Conservation Globally</v>
      </c>
      <c r="B73" s="4" t="str">
        <v>CIAT (Alliance)</v>
      </c>
      <c r="C73" s="4" t="str">
        <v>Tanzania</v>
      </c>
      <c r="D73" s="5">
        <v>2</v>
      </c>
      <c r="E73" s="4">
        <v>286</v>
      </c>
    </row>
    <row r="74" ht="45" customHeight="1">
      <c r="A74" s="4" t="str">
        <v>AOW05: Strengthening Capacity for In Situ and Ex Situ Conservation Globally</v>
      </c>
      <c r="B74" s="4" t="str">
        <v>CIAT (Alliance)</v>
      </c>
      <c r="C74" s="4" t="str">
        <v>The Democratic Republic of the Congo</v>
      </c>
      <c r="D74" s="5">
        <v>2</v>
      </c>
      <c r="E74" s="4">
        <v>287</v>
      </c>
    </row>
    <row r="75" ht="45" customHeight="1">
      <c r="A75" s="4" t="str">
        <v>AOW05: Strengthening Capacity for In Situ and Ex Situ Conservation Globally</v>
      </c>
      <c r="B75" s="4" t="str">
        <v>CIAT (Alliance)</v>
      </c>
      <c r="C75" s="4" t="str">
        <v>The Socialist Republic of Viet Nam</v>
      </c>
      <c r="D75" s="5">
        <v>2</v>
      </c>
      <c r="E75" s="4">
        <v>288</v>
      </c>
    </row>
    <row r="76" ht="45" customHeight="1">
      <c r="A76" s="4" t="str">
        <v>AOW05: Strengthening Capacity for In Situ and Ex Situ Conservation Globally</v>
      </c>
      <c r="B76" s="4" t="str">
        <v>CIAT (Alliance)</v>
      </c>
      <c r="C76" s="4" t="str">
        <v>Togo</v>
      </c>
      <c r="D76" s="5">
        <v>2</v>
      </c>
      <c r="E76" s="4">
        <v>289</v>
      </c>
    </row>
    <row r="77" ht="45" customHeight="1">
      <c r="A77" s="4" t="str">
        <v>AOW05: Strengthening Capacity for In Situ and Ex Situ Conservation Globally</v>
      </c>
      <c r="B77" s="4" t="str">
        <v>CIAT (Alliance)</v>
      </c>
      <c r="C77" s="4" t="str">
        <v>Uganda</v>
      </c>
      <c r="D77" s="5">
        <v>2</v>
      </c>
      <c r="E77" s="4">
        <v>290</v>
      </c>
    </row>
    <row r="78" ht="45" customHeight="1">
      <c r="A78" s="4" t="str">
        <v>AOW05: Strengthening Capacity for In Situ and Ex Situ Conservation Globally</v>
      </c>
      <c r="B78" s="4" t="str">
        <v>CIAT (Alliance)</v>
      </c>
      <c r="C78" s="4" t="str">
        <v>United Republic</v>
      </c>
      <c r="D78" s="5">
        <v>0</v>
      </c>
      <c r="E78" s="4">
        <v>291</v>
      </c>
    </row>
    <row r="79" ht="45" customHeight="1">
      <c r="A79" s="4" t="str">
        <v>AOW05: Strengthening Capacity for In Situ and Ex Situ Conservation Globally</v>
      </c>
      <c r="B79" s="4" t="str">
        <v>CIAT (Alliance)</v>
      </c>
      <c r="C79" s="4" t="str">
        <v>Uruguay</v>
      </c>
      <c r="D79" s="5">
        <v>2</v>
      </c>
      <c r="E79" s="4">
        <v>292</v>
      </c>
    </row>
    <row r="80" ht="45" customHeight="1">
      <c r="A80" s="4" t="str">
        <v>AOW05: Strengthening Capacity for In Situ and Ex Situ Conservation Globally</v>
      </c>
      <c r="B80" s="4" t="str">
        <v>CIAT (Alliance)</v>
      </c>
      <c r="C80" s="4" t="str">
        <v>Zambia</v>
      </c>
      <c r="D80" s="5">
        <v>2</v>
      </c>
      <c r="E80" s="4">
        <v>293</v>
      </c>
    </row>
    <row r="81" ht="45" customHeight="1">
      <c r="A81" s="4" t="str">
        <v>AOW05: Strengthening Capacity for In Situ and Ex Situ Conservation Globally</v>
      </c>
      <c r="B81" s="4" t="str">
        <v>CIAT (Alliance)</v>
      </c>
      <c r="C81" s="4" t="str">
        <v>Zimbabwe</v>
      </c>
      <c r="D81" s="5">
        <v>2</v>
      </c>
      <c r="E81" s="4">
        <v>294</v>
      </c>
    </row>
  </sheetData>
  <mergeCells count="5">
    <mergeCell ref="A2"/>
    <mergeCell ref="A3:A4"/>
    <mergeCell ref="A5:A17"/>
    <mergeCell ref="A18:A29"/>
    <mergeCell ref="A30:A81"/>
  </mergeCells>
  <ignoredErrors>
    <ignoredError numberStoredAsText="1" sqref="A1:E81"/>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135</v>
      </c>
    </row>
    <row r="3" ht="45" customHeight="1">
      <c r="A3" s="8" t="str">
        <v>AOW01: Biodiversity Conservation</v>
      </c>
      <c r="B3" s="4" t="str">
        <v>CIAT (Alliance)</v>
      </c>
      <c r="C3" s="4" t="str">
        <v>Global</v>
      </c>
      <c r="D3" s="4" t="str">
        <v>global</v>
      </c>
      <c r="E3" s="5">
        <v>100</v>
      </c>
      <c r="F3" s="4">
        <v>137</v>
      </c>
    </row>
    <row r="4" ht="45" customHeight="1">
      <c r="A4" s="8" t="str">
        <v>AOW02: Strategic User Engagement</v>
      </c>
      <c r="B4" s="4" t="str">
        <v>CIAT (Alliance)</v>
      </c>
      <c r="C4" s="4" t="str">
        <v>Global</v>
      </c>
      <c r="D4" s="4" t="str">
        <v>global</v>
      </c>
      <c r="E4" s="5">
        <v>100</v>
      </c>
      <c r="F4" s="4">
        <v>138</v>
      </c>
    </row>
    <row r="5" ht="45" customHeight="1">
      <c r="A5" s="8" t="str">
        <v>AOW04: Germplasm Health</v>
      </c>
      <c r="B5" s="4" t="str">
        <v>CIAT (Alliance)</v>
      </c>
      <c r="C5" s="4" t="str">
        <v>Global</v>
      </c>
      <c r="D5" s="4" t="str">
        <v>global</v>
      </c>
      <c r="E5" s="5">
        <v>100</v>
      </c>
      <c r="F5" s="4">
        <v>139</v>
      </c>
    </row>
    <row r="6" ht="45" customHeight="1">
      <c r="A6" s="8" t="str">
        <v>AOW05: Strengthening Capacity for In Situ and Ex Situ Conservation Globally</v>
      </c>
      <c r="B6" s="4" t="str">
        <v>CIAT (Alliance)</v>
      </c>
      <c r="C6" s="4" t="str">
        <v>Global</v>
      </c>
      <c r="D6" s="4" t="str">
        <v>global</v>
      </c>
      <c r="E6" s="5">
        <v>100</v>
      </c>
      <c r="F6" s="4">
        <v>141</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