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86329</v>
      </c>
      <c r="K4" s="5">
        <v>86329</v>
      </c>
      <c r="L4" s="5">
        <v>0</v>
      </c>
      <c r="M4" s="5">
        <v>0</v>
      </c>
      <c r="N4" s="4">
        <v>225</v>
      </c>
    </row>
    <row r="5" ht="20" customHeight="1">
      <c r="A5" s="4" t="str">
        <v>AOW01: Biodiversity Conservation</v>
      </c>
      <c r="B5" s="5">
        <v>3</v>
      </c>
      <c r="C5" s="5">
        <v>35000</v>
      </c>
      <c r="D5" s="5">
        <v>2</v>
      </c>
      <c r="E5" s="5">
        <v>10000</v>
      </c>
      <c r="F5" s="5">
        <v>0</v>
      </c>
      <c r="G5" s="5">
        <v>0</v>
      </c>
      <c r="H5" s="5">
        <v>847</v>
      </c>
      <c r="I5" s="5">
        <v>4255417</v>
      </c>
      <c r="J5" s="5">
        <v>4300417</v>
      </c>
      <c r="K5" s="5">
        <v>4300417</v>
      </c>
      <c r="L5" s="5">
        <v>0</v>
      </c>
      <c r="M5" s="5">
        <v>0</v>
      </c>
      <c r="N5" s="4">
        <v>220</v>
      </c>
    </row>
    <row r="6" ht="20" customHeight="1">
      <c r="A6" s="4" t="str">
        <v>AOW02: Strategic User Engagement</v>
      </c>
      <c r="B6" s="5">
        <v>2</v>
      </c>
      <c r="C6" s="5">
        <v>55000</v>
      </c>
      <c r="D6" s="5">
        <v>2</v>
      </c>
      <c r="E6" s="5">
        <v>4000</v>
      </c>
      <c r="F6" s="5">
        <v>0</v>
      </c>
      <c r="G6" s="5">
        <v>0</v>
      </c>
      <c r="H6" s="5">
        <v>5</v>
      </c>
      <c r="I6" s="5">
        <v>40000</v>
      </c>
      <c r="J6" s="5">
        <v>99000</v>
      </c>
      <c r="K6" s="5">
        <v>99000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5</v>
      </c>
      <c r="C8" s="5">
        <v>60000</v>
      </c>
      <c r="D8" s="5">
        <v>1</v>
      </c>
      <c r="E8" s="5">
        <v>10000</v>
      </c>
      <c r="F8" s="5">
        <v>0</v>
      </c>
      <c r="G8" s="5">
        <v>0</v>
      </c>
      <c r="H8" s="5">
        <v>107</v>
      </c>
      <c r="I8" s="5">
        <v>160000</v>
      </c>
      <c r="J8" s="5">
        <v>230000</v>
      </c>
      <c r="K8" s="5">
        <v>230000</v>
      </c>
      <c r="L8" s="5">
        <v>0</v>
      </c>
      <c r="M8" s="5">
        <v>0</v>
      </c>
      <c r="N8" s="4">
        <v>224</v>
      </c>
    </row>
    <row r="9" ht="20" customHeight="1">
      <c r="A9" s="4" t="str">
        <v>AOW05: Strengthening Capacity for In Situ and Ex Situ Conservation Globally</v>
      </c>
      <c r="B9" s="5">
        <v>0</v>
      </c>
      <c r="C9" s="5">
        <v>0</v>
      </c>
      <c r="D9" s="5">
        <v>0</v>
      </c>
      <c r="E9" s="5">
        <v>0</v>
      </c>
      <c r="F9" s="5">
        <v>150</v>
      </c>
      <c r="G9" s="5">
        <v>52000</v>
      </c>
      <c r="H9" s="5">
        <v>76</v>
      </c>
      <c r="I9" s="5">
        <v>140000</v>
      </c>
      <c r="J9" s="5">
        <v>192000</v>
      </c>
      <c r="K9" s="5">
        <v>192000</v>
      </c>
      <c r="L9" s="5">
        <v>0</v>
      </c>
      <c r="M9" s="5">
        <v>0</v>
      </c>
      <c r="N9" s="4">
        <v>222</v>
      </c>
    </row>
    <row r="10" ht="25" customHeight="1">
      <c r="A10" s="6" t="str">
        <v>Total</v>
      </c>
      <c r="B10" s="7" t="str">
        <v/>
      </c>
      <c r="C10" s="7">
        <v>150000</v>
      </c>
      <c r="D10" s="7" t="str">
        <v/>
      </c>
      <c r="E10" s="7">
        <v>24000</v>
      </c>
      <c r="F10" s="7" t="str">
        <v/>
      </c>
      <c r="G10" s="7">
        <v>52000</v>
      </c>
      <c r="H10" s="7" t="str">
        <v/>
      </c>
      <c r="I10" s="7">
        <v>4595417</v>
      </c>
      <c r="J10" s="7">
        <v>4907746</v>
      </c>
      <c r="K10" s="7">
        <v>4907746</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CIP</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50000</v>
      </c>
      <c r="I3" s="4" t="str" xml:space="preserve">
        <v xml:space="preserve">This KPI can only capture the requests that are coming in through official channels, not mails which constitute still a large share of our germplsm requests.  
</v>
      </c>
      <c r="J3" s="4">
        <v>6489</v>
      </c>
    </row>
    <row r="4" ht="50" customHeight="1" xml:space="preserve">
      <c r="B4" s="4" t="str">
        <v>CIP</v>
      </c>
      <c r="D4" s="4" t="str">
        <v>1.1.4. Quality Management System (QMS) elements in place</v>
      </c>
      <c r="E4" s="4" t="str">
        <v>custom</v>
      </c>
      <c r="F4" s="4" t="str">
        <v>Morocco, India, Ethiopia, Belgium, Philippines, Colombia, Lebanon, Peru, Côte d'Ivoire, Mexico, Nigeria</v>
      </c>
      <c r="G4" s="5">
        <v>41</v>
      </c>
      <c r="H4" s="5">
        <v>2417</v>
      </c>
      <c r="I4" s="4" t="str" xml:space="preserve">
        <v xml:space="preserve">In addition to the 41 elements there are 5 more in preparation. However due to the loss of 2 key positions (pending replacement) the termination of these protocols might be delayed. 
</v>
      </c>
      <c r="J4" s="4">
        <v>6513</v>
      </c>
    </row>
    <row r="5" ht="50" customHeight="1" xml:space="preserve">
      <c r="B5" s="4" t="str">
        <v>CIP</v>
      </c>
      <c r="D5" s="4" t="str">
        <v>1.1.3. Clonal accessions managed at CGIAR genebanks safety duplicated at one site</v>
      </c>
      <c r="E5" s="4" t="str">
        <v>custom</v>
      </c>
      <c r="F5" s="4" t="str">
        <v>Bangladesh, Zambia, Madagascar, Niger, Zimbabwe, India, Papua New Guinea, Pakistan, Philippines, Malaysia, Ethiopia, France, Peru, Belgium, Mexico, Benin, Germany, Colombia, Nigeria</v>
      </c>
      <c r="G5" s="5">
        <v>84</v>
      </c>
      <c r="H5" s="5">
        <v>300000</v>
      </c>
      <c r="I5" s="4" t="str" xml:space="preserve">
        <v xml:space="preserve">We expect increasing costs for the shipment of the black box and cryo courier; extra funds will be reserved to guarantee safety back ups. 
</v>
      </c>
      <c r="J5" s="4">
        <v>6533</v>
      </c>
    </row>
    <row r="6" ht="50" customHeight="1" xml:space="preserve">
      <c r="B6" s="4" t="str">
        <v>CIP</v>
      </c>
      <c r="D6" s="4" t="str">
        <v xml:space="preserve">1.1.1. Accessions made available for global distribution from CGIAR genebanks </v>
      </c>
      <c r="E6" s="4" t="str">
        <v>custom</v>
      </c>
      <c r="F6" s="4" t="str">
        <v>Philippines, India, Lebanon, Morocco, Belgium, Peru, Ethiopia, Nigeria, Mexico, Colombia, Côte d'Ivoire</v>
      </c>
      <c r="G6" s="5">
        <v>81</v>
      </c>
      <c r="H6" s="5">
        <v>3128000</v>
      </c>
      <c r="I6" s="4" t="str" xml:space="preserve">
        <v xml:space="preserve">Present energy crisis might impact distribution logistics and enegery costs for the in vitro collections; a recent outbreak of the Guatemaltecan potato moth in Peru and near the experimental station in Huancayo may impact seed production of wild species as movement of plant material will be limited. A phytosanitary protocol has been activated to control the outbreak. 
</v>
      </c>
      <c r="J6" s="4">
        <v>7130</v>
      </c>
    </row>
    <row r="7" ht="50" customHeight="1" xml:space="preserve">
      <c r="B7" s="4" t="str">
        <v>CIP</v>
      </c>
      <c r="D7" s="4" t="str">
        <v xml:space="preserve">1.1.2. Seed accessions managed at CGIAR genebanks safety duplicated at two sites </v>
      </c>
      <c r="E7" s="4" t="str">
        <v>custom</v>
      </c>
      <c r="F7" s="4" t="str">
        <v>Taiwan (Province of China), Philippines, Mexico, India, Nigeria, Peru, Ethiopia, Colombia, Lebanon, Morocco, United States of America, Norway, Côte d'Ivoire</v>
      </c>
      <c r="G7" s="5">
        <v>80</v>
      </c>
      <c r="H7" s="5">
        <v>100000</v>
      </c>
      <c r="I7" s="4" t="str" xml:space="preserve">
        <v xml:space="preserve">A recent outbreak of the Guatemaltecan potato moth in Peru and near the experimental station in Huancayo may impact seed production of wild species as movement of plant material will be limited. A phytosanitary protocol has been activated to control the outbreak.
</v>
      </c>
      <c r="J7" s="4">
        <v>7145</v>
      </c>
    </row>
    <row r="8" ht="50" customHeight="1" xml:space="preserve">
      <c r="B8" s="4" t="str">
        <v>CIP</v>
      </c>
      <c r="D8" s="4" t="str">
        <v xml:space="preserve">1.1.7. Technically and legally feasible germplasm requests to CGIAR genebanks that are successfully fulfilled </v>
      </c>
      <c r="E8" s="4" t="str">
        <v>custom</v>
      </c>
      <c r="F8" s="4" t="str">
        <v>Philippines, India, Ethiopia, Mexico, Nigeria, Morocco, Colombia, Belgium, Lebanon, Peru, Côte d'Ivoire</v>
      </c>
      <c r="G8" s="5">
        <v>90</v>
      </c>
      <c r="H8" s="5">
        <v>50000</v>
      </c>
      <c r="I8" s="4" t="str" xml:space="preserve">
        <v xml:space="preserve">This KPI can only capture the requests that are coming in through official channels, not mails which constitute still a large share of our germplsm requests.  
</v>
      </c>
      <c r="J8" s="4">
        <v>7151</v>
      </c>
    </row>
    <row r="9" ht="50" customHeight="1">
      <c r="B9" s="4" t="str">
        <v>CIP</v>
      </c>
      <c r="D9" s="4" t="str">
        <v>1.1.8. CGIAR genebank staff trained in areas related to genebank management, conservation, and data management.</v>
      </c>
      <c r="E9" s="4" t="str">
        <v>Number of people trained (capacity sharing for development)</v>
      </c>
      <c r="F9" s="4" t="str">
        <v>Belgium, India, Lebanon, Côte d'Ivoire, Mexico, Nigeria, Morocco, Ethiopia, Colombia, Philippines, Peru</v>
      </c>
      <c r="G9" s="5">
        <v>5</v>
      </c>
      <c r="H9" s="5">
        <v>0</v>
      </c>
      <c r="I9" s="4" t="str">
        <v/>
      </c>
      <c r="J9" s="4">
        <v>7171</v>
      </c>
    </row>
    <row r="10" ht="50" customHeight="1">
      <c r="B10" s="4" t="str">
        <v>CIP</v>
      </c>
      <c r="D10" s="4" t="str">
        <v>1.1.5. Crop collections reach and sustain genebank performance targets (90% availability, safety duplication, documentation and Quality Management System (QMS))</v>
      </c>
      <c r="E10" s="4" t="str">
        <v>custom</v>
      </c>
      <c r="F10" s="4" t="str">
        <v>Philippines, Colombia, Côte d'Ivoire, Mexico, India, Nigeria</v>
      </c>
      <c r="G10" s="5">
        <v>0</v>
      </c>
      <c r="H10" s="5">
        <v>0</v>
      </c>
      <c r="I10" s="4" t="str">
        <v/>
      </c>
      <c r="J10" s="4">
        <v>7720</v>
      </c>
    </row>
    <row r="11" ht="50" customHeight="1" xml:space="preserve">
      <c r="A11" s="4" t="str">
        <v>AOW01: Biodiversity Conservation</v>
      </c>
      <c r="B11" s="4" t="str">
        <v>CIP</v>
      </c>
      <c r="C11" s="4" t="str">
        <v>1.2. Innovations to enhance the efficiency of conserving collections</v>
      </c>
      <c r="D11" s="4" t="str">
        <v>1.2.5 Journal articles related to innovations and improvements to conservation published each year</v>
      </c>
      <c r="E11" s="4" t="str">
        <v>Number of knowledge products</v>
      </c>
      <c r="F11" s="4" t="str">
        <v>Ethiopia, Belgium, Philippines, Lebanon, Morocco, Colombia, Peru, Nigeria, India, Mexico, Côte d'Ivoire</v>
      </c>
      <c r="G11" s="5">
        <v>1</v>
      </c>
      <c r="H11" s="5">
        <v>5000</v>
      </c>
      <c r="I11" s="4" t="str" xml:space="preserve">
        <v xml:space="preserve">Personal and activity-related expenditures, including purchases, transportation, and routine expenses, shall be determined in accordance with CIP salary scales and historical references from previous years.
</v>
      </c>
      <c r="J11" s="4">
        <v>6537</v>
      </c>
    </row>
    <row r="12" ht="50" customHeight="1" xml:space="preserve">
      <c r="B12" s="4" t="str">
        <v>CIP</v>
      </c>
      <c r="D12" s="4" t="str">
        <v>1.2.3. Clonal accessions managed at CGIAR genebanks cryopreserved</v>
      </c>
      <c r="E12" s="4" t="str">
        <v>custom</v>
      </c>
      <c r="F12" s="4" t="str">
        <v>Peru, Colombia, Belgium, Nigeria</v>
      </c>
      <c r="G12" s="5">
        <v>44</v>
      </c>
      <c r="H12" s="5">
        <v>415000</v>
      </c>
      <c r="I12" s="4" t="str" xml:space="preserve">
        <v xml:space="preserve">Phytosanitary procotocols can not be established in near future for ARTCs due to operational bottlenecks in GHU which limits capacity to include ARTCs in cryo preservation. 
</v>
      </c>
      <c r="J12" s="4">
        <v>6547</v>
      </c>
    </row>
    <row r="13" ht="50" customHeight="1" xml:space="preserve">
      <c r="B13" s="4" t="str">
        <v>CIP</v>
      </c>
      <c r="D13" s="4" t="str">
        <v>1.2.4. New or improved protocols to enhance the efficiency of conservation or to increase the availability of accessions</v>
      </c>
      <c r="E13" s="4" t="str">
        <v>Number of innovations (innovation development)</v>
      </c>
      <c r="F13" s="4" t="str">
        <v>Philippines, Peru, Ethiopia, Mexico, Colombia, Morocco, Lebanon, India, Nigeria, Belgium, Côte d'Ivoire</v>
      </c>
      <c r="G13" s="5">
        <v>1</v>
      </c>
      <c r="H13" s="5">
        <v>5000</v>
      </c>
      <c r="I13" s="4" t="str" xml:space="preserve">
        <v xml:space="preserve">Personal and activity-related expenditures, including purchases, transportation, and routine expenses, shall be determined in accordance with CIP salary scales and historical references from previous years.
</v>
      </c>
      <c r="J13" s="4">
        <v>6563</v>
      </c>
    </row>
    <row r="14" ht="50" customHeight="1" xml:space="preserve">
      <c r="B14" s="4" t="str">
        <v>CIP</v>
      </c>
      <c r="D14" s="4" t="str">
        <v>1.2.2 Taxa (genus) for which new viability testing protocols  are developed each year</v>
      </c>
      <c r="E14" s="4" t="str">
        <v>Number of innovations (innovation development)</v>
      </c>
      <c r="F14" s="4" t="str">
        <v>Nigeria, Belgium, Côte d'Ivoire, Philippines, Morocco, Ethiopia, Colombia, Lebanon, India, Peru</v>
      </c>
      <c r="G14" s="5">
        <v>2</v>
      </c>
      <c r="H14" s="5">
        <v>30000</v>
      </c>
      <c r="I14" s="4" t="str" xml:space="preserve">
        <v xml:space="preserve">Personal and activity-related expenditures, including purchases, transportation, and routine expenses, shall be determined in accordance with CIP salary scales and historical references from previous years.
</v>
      </c>
      <c r="J14" s="4">
        <v>6576</v>
      </c>
    </row>
    <row r="15" ht="50" customHeight="1" xml:space="preserve">
      <c r="A15" s="4" t="str">
        <v>AOW01: Biodiversity Conservation</v>
      </c>
      <c r="B15" s="4" t="str">
        <v>CIP</v>
      </c>
      <c r="C15" s="4" t="str">
        <v xml:space="preserve">1.3. Optimized collection composition and structure to represent crop gene pools </v>
      </c>
      <c r="D15" s="4" t="str">
        <v>1.3.4. Journal articles related to optimized collections published</v>
      </c>
      <c r="E15" s="4" t="str">
        <v>Number of knowledge products</v>
      </c>
      <c r="F15" s="4" t="str">
        <v>Mexico, Ethiopia, Nigeria, Colombia, Peru, India, Belgium, Côte d'Ivoire</v>
      </c>
      <c r="G15" s="5">
        <v>1</v>
      </c>
      <c r="H15" s="5">
        <v>5000</v>
      </c>
      <c r="I15" s="4" t="str" xml:space="preserve">
        <v xml:space="preserve">Personal and activity-related expenditures, including purchases, transportation, and routine expenses, shall be determined in accordance with CIP salary scales and historical references from previous years.
</v>
      </c>
      <c r="J15" s="4">
        <v>6586</v>
      </c>
    </row>
    <row r="16" ht="50" customHeight="1">
      <c r="B16" s="4" t="str">
        <v>CIP</v>
      </c>
      <c r="D16" s="4" t="str">
        <v xml:space="preserve">1.3.3. Updated document on CGIAR accession management to include criteria and policies for eliminating redundant accessions </v>
      </c>
      <c r="E16" s="4" t="str">
        <v>Number of knowledge products</v>
      </c>
      <c r="F16" s="4" t="str">
        <v/>
      </c>
      <c r="G16" s="5">
        <v>1</v>
      </c>
      <c r="H16" s="5">
        <v>0</v>
      </c>
      <c r="I16" s="4" t="str">
        <v/>
      </c>
      <c r="J16" s="4">
        <v>6597</v>
      </c>
    </row>
    <row r="17" ht="50" customHeight="1" xml:space="preserve">
      <c r="B17" s="4" t="str">
        <v>CIP</v>
      </c>
      <c r="D17" s="4" t="str">
        <v>1.3.2. Accessions earmarked as potentially redundant and/or archived each year</v>
      </c>
      <c r="E17" s="4" t="str">
        <v>custom</v>
      </c>
      <c r="F17" s="4" t="str">
        <v>Philippines, Morocco, Belgium, Lebanon, Ethiopia, India, Mexico, Peru, Colombia, Côte d'Ivoire, Nigeria</v>
      </c>
      <c r="G17" s="5">
        <v>175</v>
      </c>
      <c r="H17" s="5">
        <v>100000</v>
      </c>
      <c r="I17" s="4" t="str" xml:space="preserve">
        <v xml:space="preserve">Personal and activity-related expenditures, including purchases, transportation, and routine expenses, shall be determined in accordance with CIP salary scales and historical references from previous years.
</v>
      </c>
      <c r="J17" s="4">
        <v>6607</v>
      </c>
    </row>
    <row r="18" ht="50" customHeight="1">
      <c r="B18" s="4" t="str">
        <v>CIP</v>
      </c>
      <c r="D18" s="4" t="str">
        <v>1.3.1. New accessions acquired from in/ex situ</v>
      </c>
      <c r="E18" s="4" t="str">
        <v>custom</v>
      </c>
      <c r="F18" s="4" t="str">
        <v>Lebanon, Peru, Colombia, Côte d'Ivoire, Morocco, Belgium, Philippines, Mexico, India, Nigeria</v>
      </c>
      <c r="G18" s="5">
        <v>140</v>
      </c>
      <c r="H18" s="5">
        <v>0</v>
      </c>
      <c r="I18" s="4" t="str">
        <v/>
      </c>
      <c r="J18" s="4">
        <v>6617</v>
      </c>
    </row>
    <row r="19" ht="50" customHeight="1" xml:space="preserve">
      <c r="A19" s="4" t="str">
        <v>AOW01: Biodiversity Conservation</v>
      </c>
      <c r="B19" s="4" t="str">
        <v>CIP</v>
      </c>
      <c r="C19" s="4" t="str">
        <v>1.4. Effective and AI-ready data management systems using harmonized data standards across Centers</v>
      </c>
      <c r="D19" s="4" t="str">
        <v xml:space="preserve"> 1.4.2 Average % of genebank processes digitized and being managed using GGCE</v>
      </c>
      <c r="E19" s="4" t="str">
        <v>custom</v>
      </c>
      <c r="F19" s="4" t="str">
        <v>Mexico, Peru, Belgium, Côte d'Ivoire, Ethiopia, Colombia, Nigeria, India</v>
      </c>
      <c r="G19" s="5">
        <v>74</v>
      </c>
      <c r="H19" s="5">
        <v>40000</v>
      </c>
      <c r="I19" s="4" t="str" xml:space="preserve">
        <v xml:space="preserve">Personal and activity-related expenditures, including purchases, transportation, and routine expenses, shall be determined in accordance with CIP salary scales and historical references from previous years.
</v>
      </c>
      <c r="J19" s="4">
        <v>6625</v>
      </c>
    </row>
    <row r="20" ht="50" customHeight="1" xml:space="preserve">
      <c r="B20" s="4" t="str">
        <v>CIP</v>
      </c>
      <c r="D20" s="4" t="str">
        <v>1.4.3. Datasets uploaded to the GIGWA database to manage molecular accession data</v>
      </c>
      <c r="E20" s="4" t="str">
        <v>custom</v>
      </c>
      <c r="F20" s="4" t="str">
        <v>Morocco, Côte d'Ivoire, Philippines, Belgium, Ethiopia, France, Mexico, India, Peru, Colombia, Lebanon, Nigeria</v>
      </c>
      <c r="G20" s="5">
        <v>2</v>
      </c>
      <c r="H20" s="5">
        <v>30000</v>
      </c>
      <c r="I20" s="4" t="str" xml:space="preserve">
        <v xml:space="preserve">Personal and activity-related expenditures, including purchases, transportation, and routine expenses, shall be determined in accordance with CIP salary scales and historical references from previous years.
</v>
      </c>
      <c r="J20" s="4">
        <v>6632</v>
      </c>
    </row>
    <row r="21" ht="50" customHeight="1" xml:space="preserve">
      <c r="B21" s="4" t="str">
        <v>CIP</v>
      </c>
      <c r="D21" s="4" t="str">
        <v>1.4.1. Average % of accessions for which all static (passport, characterization, etc.) and dynamic (inventory, viability, etc.) data have been fully curated/validated</v>
      </c>
      <c r="E21" s="4" t="str">
        <v>custom</v>
      </c>
      <c r="F21" s="4" t="str">
        <v>Ethiopia, Colombia, Philippines, Mexico, Belgium, India, Côte d'Ivoire, Lebanon, Morocco, Peru, Nigeria</v>
      </c>
      <c r="G21" s="5">
        <v>76</v>
      </c>
      <c r="H21" s="5">
        <v>40000</v>
      </c>
      <c r="I21" s="4" t="str" xml:space="preserve">
        <v xml:space="preserve">Migration might be done but work flow modules for clonally propagated crop might not be succesfully developed within 2026. 
</v>
      </c>
      <c r="J21" s="4">
        <v>6641</v>
      </c>
    </row>
    <row r="22" ht="50" customHeight="1">
      <c r="B22" s="4" t="str">
        <v>CIP</v>
      </c>
      <c r="D22" s="4" t="str">
        <v>1.4.1.a. Average % of accessions for which all up-to-date static (passport, characterization, etc.) data have been migrated to GGCE</v>
      </c>
      <c r="E22" s="4" t="str">
        <v>custom</v>
      </c>
      <c r="F22" s="4" t="str">
        <v>Mexico, Nigeria, Peru, Ethiopia, Belgium, Côte d'Ivoire, Morocco, Philippines, Lebanon, India, Colombia</v>
      </c>
      <c r="G22" s="5">
        <v>58</v>
      </c>
      <c r="H22" s="5">
        <v>0</v>
      </c>
      <c r="I22" s="4" t="str">
        <v/>
      </c>
      <c r="J22" s="4">
        <v>7179</v>
      </c>
    </row>
    <row r="23" ht="25" customHeight="1">
      <c r="C23" s="9" t="str">
        <v>HLO budget subtotal</v>
      </c>
      <c r="H23" s="9">
        <v>4300417</v>
      </c>
      <c r="J23" s="9" t="str">
        <v/>
      </c>
    </row>
    <row r="24" ht="50" customHeight="1" xml:space="preserve">
      <c r="A24" s="8" t="str">
        <v>AOW02: Strategic User Engagement</v>
      </c>
      <c r="B24" s="4" t="str">
        <v>CIP</v>
      </c>
      <c r="C24" s="4" t="str">
        <v>2.2. Enhanced germplasm information for more precise accession targeting</v>
      </c>
      <c r="D24" s="4" t="str">
        <v>2.2.2. Journal articles related to enhanced accessions data published</v>
      </c>
      <c r="E24" s="4" t="str">
        <v>Number of knowledge products</v>
      </c>
      <c r="F24" s="4" t="str">
        <v>Morocco, Lebanon, Peru, India, Mexico, Philippines, Côte d'Ivoire, Ethiopia, Nigeria, Belgium, Colombia</v>
      </c>
      <c r="G24" s="5">
        <v>2</v>
      </c>
      <c r="H24" s="5">
        <v>4000</v>
      </c>
      <c r="I24" s="4" t="str" xml:space="preserve">
        <v xml:space="preserve">Personal and activity-related expenditures, including purchases, transportation, and routine expenses, shall be determined in accordance with CIP salary scales and historical references from previous years.
</v>
      </c>
      <c r="J24" s="4">
        <v>6655</v>
      </c>
    </row>
    <row r="25" ht="50" customHeight="1" xml:space="preserve">
      <c r="B25" s="4" t="str">
        <v>CIP</v>
      </c>
      <c r="D25" s="4" t="str">
        <v>2.2.1. Phenotyping, genotyping, environmental datasets of crops generated and uploaded into open-access databases ​(Dataverse, global databases, and crop community databases)</v>
      </c>
      <c r="E25" s="4" t="str">
        <v>custom</v>
      </c>
      <c r="F25" s="4" t="str">
        <v>Morocco, Mexico, Philippines, Peru, India, Côte d'Ivoire, Ethiopia, Colombia, Lebanon, Belgium, Nigeria</v>
      </c>
      <c r="G25" s="5">
        <v>3</v>
      </c>
      <c r="H25" s="5">
        <v>20000</v>
      </c>
      <c r="I25" s="4" t="str" xml:space="preserve">
        <v xml:space="preserve">Personal and activity-related expenditures, including purchases, transportation, and routine expenses, shall be determined in accordance with CIP salary scales and historical references from previous years.
</v>
      </c>
      <c r="J25" s="4">
        <v>6663</v>
      </c>
    </row>
    <row r="26" ht="50" customHeight="1">
      <c r="B26" s="4" t="str">
        <v>CIP</v>
      </c>
      <c r="D26" s="4" t="str">
        <v>2.2.3.Trait-specific subsets developed with the related dataset uploaded in GENESYS</v>
      </c>
      <c r="E26" s="4" t="str">
        <v>custom</v>
      </c>
      <c r="F26" s="4" t="str">
        <v>Lebanon, Philippines, Colombia, Mexico, Peru, France, Morocco, India, Côte d'Ivoire, Ethiopia, Nigeria</v>
      </c>
      <c r="G26" s="5">
        <v>2</v>
      </c>
      <c r="H26" s="5">
        <v>20000</v>
      </c>
      <c r="I26" s="4" t="str">
        <v>Restarting joint Alliance-ICARDA efforts to further develop the existing subsetting tool by incorporating AI and/or linking to genetic data</v>
      </c>
      <c r="J26" s="4">
        <v>6678</v>
      </c>
    </row>
    <row r="27" ht="50" customHeight="1" xml:space="preserve">
      <c r="A27" s="4" t="str">
        <v>AOW02: Strategic User Engagement</v>
      </c>
      <c r="B27" s="4" t="str">
        <v>CIP</v>
      </c>
      <c r="C27" s="4" t="str">
        <v>2.3. CGIAR-wide portal with AI enabled digital infrastructure for germplasm data and requests</v>
      </c>
      <c r="D27" s="4" t="str">
        <v>2.3.1. Tools related to request of material and associated data developed or updated</v>
      </c>
      <c r="E27" s="4" t="str">
        <v>Number of innovations (innovation development)</v>
      </c>
      <c r="F27" s="4" t="str">
        <v>United States of America, Mexico, Peru, Nigeria, Belgium, Côte d'Ivoire, Lebanon, Morocco</v>
      </c>
      <c r="G27" s="5">
        <v>1</v>
      </c>
      <c r="H27" s="5">
        <v>50000</v>
      </c>
      <c r="I27" s="4" t="str" xml:space="preserve">
        <v xml:space="preserve">Personal and activity-related expenditures, including purchases, transportation, and routine expenses, shall be determined in accordance with CIP salary scales and historical references from previous years.
</v>
      </c>
      <c r="J27" s="4">
        <v>6677</v>
      </c>
    </row>
    <row r="28" ht="50" customHeight="1" xml:space="preserve">
      <c r="B28" s="4" t="str">
        <v>CIP</v>
      </c>
      <c r="D28" s="4" t="str">
        <v>2.3.1.b. An AutoML pipeline that unifies fragmented Genebank data sources, predicts and fills missing values ​​across hundreds of attributes, and transforms sparse datasets into high-fidelity, interoperable assets ready for advanced discovery and cross-institutional use</v>
      </c>
      <c r="E28" s="4" t="str">
        <v>Number of innovations (innovation development)</v>
      </c>
      <c r="F28" s="4" t="str">
        <v>The United Arab Emirates, Colombia, Philippines, Peru, Morocco</v>
      </c>
      <c r="G28" s="5">
        <v>1</v>
      </c>
      <c r="H28" s="5">
        <v>5000</v>
      </c>
      <c r="I28" s="4" t="str" xml:space="preserve">
        <v xml:space="preserve">to reflect the time commitment.
</v>
      </c>
      <c r="J28" s="4">
        <v>7238</v>
      </c>
    </row>
    <row r="29" ht="50" customHeight="1">
      <c r="A29" s="4" t="str">
        <v>AOW02: Strategic User Engagement</v>
      </c>
      <c r="B29" s="4" t="str">
        <v>CIP</v>
      </c>
      <c r="C29" s="4" t="str">
        <v>2.4. Products, concepts, or services developed with partners from conserved genetic resources with income-generating potential</v>
      </c>
      <c r="D29" s="4" t="str">
        <v>2.4.1 Number of products, concepts, or services developed with national partners and farmer organizations from conserved genetic resources with income-generating potential</v>
      </c>
      <c r="E29" s="4" t="str">
        <v>custom</v>
      </c>
      <c r="F29" s="4" t="str">
        <v>Peru</v>
      </c>
      <c r="G29" s="5">
        <v>1</v>
      </c>
      <c r="H29" s="5">
        <v>0</v>
      </c>
      <c r="I29" s="4" t="str">
        <v/>
      </c>
      <c r="J29" s="4">
        <v>7698</v>
      </c>
    </row>
    <row r="30" ht="50" customHeight="1">
      <c r="A30" s="4" t="str">
        <v>AOW02: Strategic User Engagement</v>
      </c>
      <c r="B30" s="4" t="str">
        <v>CIP</v>
      </c>
      <c r="C30" s="4" t="str">
        <v>2.1. A strategy for proactive engagement with diverse users</v>
      </c>
      <c r="D30" s="4" t="str">
        <v>2.1.2. Communication products published annually to support user outreach, including website content, social media materials</v>
      </c>
      <c r="E30" s="4" t="str">
        <v>custom</v>
      </c>
      <c r="F30" s="4" t="str">
        <v>France</v>
      </c>
      <c r="G30" s="5">
        <v>2</v>
      </c>
      <c r="H30" s="5">
        <v>0</v>
      </c>
      <c r="I30" s="4" t="str">
        <v/>
      </c>
      <c r="J30" s="4">
        <v>8309</v>
      </c>
    </row>
    <row r="31" ht="25" customHeight="1">
      <c r="C31" s="9" t="str">
        <v>HLO budget subtotal</v>
      </c>
      <c r="H31" s="9">
        <v>99000</v>
      </c>
      <c r="J31" s="9" t="str">
        <v/>
      </c>
    </row>
    <row r="32" ht="50" customHeight="1" xml:space="preserve">
      <c r="A32" s="8" t="str">
        <v>AOW04: Germplasm Health</v>
      </c>
      <c r="B32" s="4" t="str">
        <v>CIP</v>
      </c>
      <c r="C32" s="4" t="str">
        <v>4.1. Optimized phytosanitary health delivery system</v>
      </c>
      <c r="D32" s="4" t="str">
        <v>4.1.4. Standard Operating Procedures (SOPs) harmonized or updated within the Quality Management System during the year</v>
      </c>
      <c r="E32" s="4" t="str">
        <v>custom</v>
      </c>
      <c r="F32" s="4" t="str">
        <v>Belgium, Colombia, Philippines, Lebanon, Morocco, Côte d'Ivoire, Nigeria, Peru, Mexico, Ethiopia, India</v>
      </c>
      <c r="G32" s="5">
        <v>4</v>
      </c>
      <c r="H32" s="5">
        <v>15000</v>
      </c>
      <c r="I32" s="4" t="str" xml:space="preserve">
        <v xml:space="preserve">Personal and activity-related expenditures, including purchases, transportation, and routine expenses, shall be determined in accordance with CIP salary scales and historical references from previous years.
</v>
      </c>
      <c r="J32" s="4">
        <v>6712</v>
      </c>
    </row>
    <row r="33" ht="50" customHeight="1" xml:space="preserve">
      <c r="B33" s="4" t="str">
        <v>CIP</v>
      </c>
      <c r="D33" s="4" t="str">
        <v xml:space="preserve">4.1.1. Service requests processed on time per year </v>
      </c>
      <c r="E33" s="4" t="str">
        <v>custom</v>
      </c>
      <c r="F33" s="4" t="str">
        <v>Nigeria, Lebanon, India, Mexico, Colombia, Peru, Côte d'Ivoire, Ethiopia, Philippines, Morocco, Belgium</v>
      </c>
      <c r="G33" s="5">
        <v>90</v>
      </c>
      <c r="H33" s="5">
        <v>40000</v>
      </c>
      <c r="I33" s="4" t="str" xml:space="preserve">
        <v xml:space="preserve">Personal and activity-related expenditures, including purchases, transportation, and routine expenses, shall be determined in accordance with CIP salary scales and historical references from previous years.
</v>
      </c>
      <c r="J33" s="4">
        <v>6732</v>
      </c>
    </row>
    <row r="34" ht="50" customHeight="1" xml:space="preserve">
      <c r="B34" s="4" t="str">
        <v>CIP</v>
      </c>
      <c r="D34" s="4" t="str">
        <v xml:space="preserve">4.1.3.a.Germplasm Health Units (GHUs) implementing costing processes </v>
      </c>
      <c r="E34" s="4" t="str">
        <v>custom</v>
      </c>
      <c r="F34" s="4" t="str">
        <v>Philippines, Colombia, India, Lebanon, Morocco, Mexico, Nigeria, Peru</v>
      </c>
      <c r="G34" s="5">
        <v>1</v>
      </c>
      <c r="H34" s="5">
        <v>20000</v>
      </c>
      <c r="I34" s="4" t="str" xml:space="preserve">
        <v xml:space="preserve">Personal and activity-related expenditures, including purchases, transportation, and routine expenses, shall be determined in accordance with CIP salary scales and historical references from previous years.
</v>
      </c>
      <c r="J34" s="4">
        <v>6736</v>
      </c>
    </row>
    <row r="35" ht="50" customHeight="1" xml:space="preserve">
      <c r="B35" s="4" t="str">
        <v>CIP</v>
      </c>
      <c r="D35" s="4" t="str">
        <v xml:space="preserve">4.1.2. Germplasm Health Unit (GHU) data dashboards created, updated, or under development </v>
      </c>
      <c r="E35" s="4" t="str">
        <v>custom</v>
      </c>
      <c r="F35" s="4" t="str">
        <v>India, Ethiopia, Lebanon, Philippines, Morocco, Peru, Nigeria, Côte d'Ivoire</v>
      </c>
      <c r="G35" s="5">
        <v>1</v>
      </c>
      <c r="H35" s="5">
        <v>65000</v>
      </c>
      <c r="I35" s="4" t="str" xml:space="preserve">
        <v xml:space="preserve">Personal and activity-related expenditures, including purchases, transportation, and routine expenses, shall be determined in accordance with CIP salary scales and historical references from previous years.
</v>
      </c>
      <c r="J35" s="4">
        <v>7201</v>
      </c>
    </row>
    <row r="36" ht="50" customHeight="1">
      <c r="B36" s="4" t="str">
        <v>CIP</v>
      </c>
      <c r="D36" s="4" t="str">
        <v>4.1.3.b. Percentage of services delivered under cost-recovery mechanisms.</v>
      </c>
      <c r="E36" s="4" t="str">
        <v>custom</v>
      </c>
      <c r="F36" s="4" t="str">
        <v>Peru, Philippines, Nigeria</v>
      </c>
      <c r="G36" s="5">
        <v>65</v>
      </c>
      <c r="H36" s="5">
        <v>0</v>
      </c>
      <c r="I36" s="4" t="str">
        <v/>
      </c>
      <c r="J36" s="4">
        <v>7203</v>
      </c>
    </row>
    <row r="37" ht="50" customHeight="1" xml:space="preserve">
      <c r="A37" s="4" t="str">
        <v>AOW04: Germplasm Health</v>
      </c>
      <c r="B37" s="4" t="str">
        <v>CIP</v>
      </c>
      <c r="C37" s="4" t="str">
        <v>4.2. Improved diagnostics and novel therapies for efficient germplasm health testing and phytosanitation​</v>
      </c>
      <c r="D37" s="4" t="str">
        <v>4.2.1. Upgraded/new protocols for germplasm health diagnostics and health monitoring</v>
      </c>
      <c r="E37" s="4" t="str">
        <v>Number of innovations (innovation development)</v>
      </c>
      <c r="F37" s="4" t="str">
        <v>Colombia, Philippines, Nigeria, Lebanon, Morocco, Belgium, Côte d'Ivoire, Peru, Ethiopia, Mexico, India</v>
      </c>
      <c r="G37" s="5">
        <v>5</v>
      </c>
      <c r="H37" s="5">
        <v>60000</v>
      </c>
      <c r="I37" s="4" t="str" xml:space="preserve">
        <v xml:space="preserve">Personal and activity-related expenditures, including purchases, transportation, and routine expenses, shall be determined in accordance with CIP salary scales and historical references from previous years.
</v>
      </c>
      <c r="J37" s="4">
        <v>6751</v>
      </c>
    </row>
    <row r="38" ht="50" customHeight="1">
      <c r="B38" s="4" t="str">
        <v>CIP</v>
      </c>
      <c r="D38" s="4" t="str">
        <v>4.2.2. Improved phytosanitary protocols for clonal and seed germplasm, including novel virus therapies and chemicals for seed dressing</v>
      </c>
      <c r="E38" s="4" t="str">
        <v>Number of innovations (innovation development)</v>
      </c>
      <c r="F38" s="4" t="str">
        <v>Colombia, Belgium, Mexico, Morocco, Nigeria, Lebanon, Philippines, India, Côte d'Ivoire</v>
      </c>
      <c r="G38" s="5">
        <v>0</v>
      </c>
      <c r="H38" s="5">
        <v>0</v>
      </c>
      <c r="I38" s="4" t="str">
        <v/>
      </c>
      <c r="J38" s="4">
        <v>6762</v>
      </c>
    </row>
    <row r="39" ht="50" customHeight="1">
      <c r="A39" s="4" t="str">
        <v>AOW04: Germplasm Health</v>
      </c>
      <c r="B39" s="4" t="str">
        <v>CIP</v>
      </c>
      <c r="C39" s="4" t="str">
        <v>4.3. Enhanced knowledge for effective control of germplasm-borne pests and diseases</v>
      </c>
      <c r="D39" s="4" t="str">
        <v>4.3.4 Datasets related to validation of sRNAs in Potato and Sweet potato produced</v>
      </c>
      <c r="E39" s="4" t="str">
        <v>custom</v>
      </c>
      <c r="F39" s="4" t="str">
        <v>Peru</v>
      </c>
      <c r="G39" s="5">
        <v>10</v>
      </c>
      <c r="H39" s="5">
        <v>7500</v>
      </c>
      <c r="I39" s="4" t="str">
        <v>Report detailing the preparation and analysis of a HTS library; preparation of a scientific publication on “Cryptic Virus Bottlenecks to Clonal Crop Distribution" in collaboration with the GHU CoP; report on the sequencing of 2-3 fungal and bacterial refe</v>
      </c>
      <c r="J39" s="4">
        <v>6764</v>
      </c>
    </row>
    <row r="40" ht="50" customHeight="1">
      <c r="B40" s="4" t="str">
        <v>CIP</v>
      </c>
      <c r="D40" s="4" t="str">
        <v>4.3.3. Knowledge products on key seed-borne pests and diseases published</v>
      </c>
      <c r="E40" s="4" t="str">
        <v>Number of knowledge products</v>
      </c>
      <c r="F40" s="4" t="str">
        <v>Colombia, Belgium, Côte d'Ivoire, Nigeria, Lebanon, Mexico, India, Morocco, Philippines, Ethiopia</v>
      </c>
      <c r="G40" s="5">
        <v>0</v>
      </c>
      <c r="H40" s="5">
        <v>0</v>
      </c>
      <c r="I40" s="4" t="str">
        <v/>
      </c>
      <c r="J40" s="4">
        <v>6766</v>
      </c>
    </row>
    <row r="41" ht="50" customHeight="1" xml:space="preserve">
      <c r="B41" s="4" t="str">
        <v>CIP</v>
      </c>
      <c r="D41" s="4" t="str">
        <v xml:space="preserve">4.3.1. Knowledge Products about Pest and Diseases interception information by crop by center. </v>
      </c>
      <c r="E41" s="4" t="str">
        <v>Number of knowledge products</v>
      </c>
      <c r="F41" s="4" t="str">
        <v>Philippines, Lebanon, Nigeria, Belgium, India, Mexico, Côte d'Ivoire, Peru, Morocco, Colombia, Ethiopia</v>
      </c>
      <c r="G41" s="5">
        <v>1</v>
      </c>
      <c r="H41" s="5">
        <v>10000</v>
      </c>
      <c r="I41" s="4" t="str" xml:space="preserve">
        <v xml:space="preserve">Personal and activity-related expenditures, including purchases, transportation, and routine expenses, shall be determined in accordance with CIP salary scales and historical references from previous years.
</v>
      </c>
      <c r="J41" s="4">
        <v>6775</v>
      </c>
    </row>
    <row r="42" ht="50" customHeight="1" xml:space="preserve">
      <c r="B42" s="4" t="str">
        <v>CIP</v>
      </c>
      <c r="D42" s="4" t="str">
        <v xml:space="preserve">4.3.2. Protocols for preventing seed-transmission during seed regeneration and propagation </v>
      </c>
      <c r="E42" s="4" t="str">
        <v>custom</v>
      </c>
      <c r="F42" s="4" t="str">
        <v>Peru, Ethiopia, Côte d'Ivoire, Mexico, Nigeria</v>
      </c>
      <c r="G42" s="5">
        <v>1</v>
      </c>
      <c r="H42" s="5">
        <v>12500</v>
      </c>
      <c r="I42" s="4" t="str" xml:space="preserve">
        <v xml:space="preserve">Personal and activity-related expenditures, including purchases, transportation, and routine expenses, shall be determined in accordance with CIP salary scales and historical references from previous years.
</v>
      </c>
      <c r="J42" s="4">
        <v>6792</v>
      </c>
    </row>
    <row r="43" ht="50" customHeight="1">
      <c r="A43" s="4" t="str">
        <v>AOW04: Germplasm Health</v>
      </c>
      <c r="B43" s="4" t="str">
        <v>CIP</v>
      </c>
      <c r="C43" s="4" t="str">
        <v>4.4. Systems-based phytosanitary protocol for expedited germplasm delivery​</v>
      </c>
      <c r="D43" s="4" t="str">
        <v>4.4.1. Average time to clear shipments under systems-based protocol.</v>
      </c>
      <c r="E43" s="4" t="str">
        <v>custom</v>
      </c>
      <c r="F43" s="4" t="str">
        <v>Philippines</v>
      </c>
      <c r="G43" s="5">
        <v>0</v>
      </c>
      <c r="H43" s="5">
        <v>0</v>
      </c>
      <c r="I43" s="4" t="str">
        <v/>
      </c>
      <c r="J43" s="4">
        <v>6802</v>
      </c>
    </row>
    <row r="44" ht="50" customHeight="1">
      <c r="B44" s="4" t="str">
        <v>CIP</v>
      </c>
      <c r="D44" s="4" t="str">
        <v>4.4.2. Formal protocols for expedited germplasm exchange developed through stakeholder consultations and submitted for accreditation by relevant NPPOs</v>
      </c>
      <c r="E44" s="4" t="str">
        <v>Number of knowledge products</v>
      </c>
      <c r="F44" s="4" t="str">
        <v>Morocco, Côte d'Ivoire, Niger, Philippines, Lebanon</v>
      </c>
      <c r="G44" s="5">
        <v>0</v>
      </c>
      <c r="H44" s="5">
        <v>0</v>
      </c>
      <c r="I44" s="4" t="str">
        <v/>
      </c>
      <c r="J44" s="4">
        <v>6808</v>
      </c>
    </row>
    <row r="45" ht="25" customHeight="1">
      <c r="C45" s="9" t="str">
        <v>HLO budget subtotal</v>
      </c>
      <c r="H45" s="9">
        <v>230000</v>
      </c>
      <c r="J45" s="9" t="str">
        <v/>
      </c>
    </row>
    <row r="46" ht="50" customHeight="1" xml:space="preserve">
      <c r="A46" s="8" t="str">
        <v>AOW05: Strengthening Capacity for In Situ and Ex Situ Conservation Globally</v>
      </c>
      <c r="B46" s="4" t="str">
        <v>CIP</v>
      </c>
      <c r="C46" s="4" t="str">
        <v>5.1. Regional hubs for coordinated safeguarding of at-risk crop diversity</v>
      </c>
      <c r="D46" s="4" t="str">
        <v xml:space="preserve">5.1.1 Regional hubs for saving crop diversity at risk established or maintained </v>
      </c>
      <c r="E46" s="4" t="str">
        <v>custom</v>
      </c>
      <c r="F46" s="4" t="str">
        <v>Suriname, Colombia, Argentina, Mexico, Guatemala, Cuba, Brazil, Panama, Ecuador, Chile, Oman, Türkiye, Tunisia, Uzbekistan, Kyrgyzstan, The United Arab Emirates, Jordan, Libya, Kazakhstan, Armenia, Lebanon, Morocco, Peru</v>
      </c>
      <c r="G46" s="5">
        <v>1</v>
      </c>
      <c r="H46" s="5">
        <v>40000</v>
      </c>
      <c r="I46" s="4" t="str" xml:space="preserve">
        <v xml:space="preserve">Sustainability of funding for hub; concerted action for joint high level fund raising
</v>
      </c>
      <c r="J46" s="4">
        <v>6821</v>
      </c>
    </row>
    <row r="47" ht="50" customHeight="1" xml:space="preserve">
      <c r="B47" s="4" t="str">
        <v>CIP</v>
      </c>
      <c r="D47" s="4" t="str">
        <v xml:space="preserve">5.1.2. Accessions from national or regional collections cryopreserved and safety duplicated </v>
      </c>
      <c r="E47" s="4" t="str">
        <v>custom</v>
      </c>
      <c r="F47" s="4" t="str">
        <v>Peru, Nigeria</v>
      </c>
      <c r="G47" s="5">
        <v>75</v>
      </c>
      <c r="H47" s="5">
        <v>100000</v>
      </c>
      <c r="I47" s="4" t="str" xml:space="preserve">
        <v xml:space="preserve">Country agreement cannot be signed on time and cryo shipment protocols are not available. The shipment of germplasm as cryo material is new and customs/phytosanitary agencies may not have protocol in pleace which can jeopardize the safe shipment of cryo material. Sufficient time, early involvement of relevant authorities,  and alternative shipment methods are recomended to avoid loss of material. 
</v>
      </c>
      <c r="J47" s="4">
        <v>7208</v>
      </c>
    </row>
    <row r="48" ht="50" customHeight="1" xml:space="preserve">
      <c r="A48" s="4" t="str">
        <v>AOW05: Strengthening Capacity for In Situ and Ex Situ Conservation Globally</v>
      </c>
      <c r="B48" s="4" t="str">
        <v>CIP</v>
      </c>
      <c r="C48" s="4" t="str">
        <v>5.3 Capacity strengthened at national and regional levels across genebank activities (SQM, data management, germplasm health, policy…)</v>
      </c>
      <c r="D48" s="4" t="str">
        <v>5.3.1. Individuals trained on collection, SQM, cryo, germplasm health, in situ, community genebanks, policy</v>
      </c>
      <c r="E48" s="4" t="str">
        <v>Number of people trained (capacity sharing for development)</v>
      </c>
      <c r="F48" s="4" t="str">
        <v>Morocco, Colombia, Belgium, Lebanon, Ethiopia, India, Peru, Mexico, Côte d'Ivoire, Nigeria</v>
      </c>
      <c r="G48" s="5">
        <v>150</v>
      </c>
      <c r="H48" s="5">
        <v>52000</v>
      </c>
      <c r="I48" s="4" t="str" xml:space="preserve">
        <v xml:space="preserve">Insufficient funding levels to meet increasing demand for training. 
</v>
      </c>
      <c r="J48" s="4">
        <v>6835</v>
      </c>
    </row>
    <row r="49" ht="50" customHeight="1">
      <c r="A49" s="4" t="str">
        <v>AOW05: Strengthening Capacity for In Situ and Ex Situ Conservation Globally</v>
      </c>
      <c r="B49" s="4" t="str">
        <v>CIP</v>
      </c>
      <c r="C49" s="4" t="str">
        <v xml:space="preserve">5.4. Unique crop diversity under threat is protected through the integration of in situ and ex situ conservation strategies </v>
      </c>
      <c r="D49" s="4" t="str">
        <v>5.4.1. Unique accessions repatriated from CG Genebanks to national genebanks / communities</v>
      </c>
      <c r="E49" s="4" t="str">
        <v>custom</v>
      </c>
      <c r="F49" s="4" t="str">
        <v>Peru, Philippines, The Socialist Republic of Viet Nam, Morocco, Mexico, Jordan, Panama, Colombia, Chile</v>
      </c>
      <c r="G49" s="5">
        <v>975</v>
      </c>
      <c r="H49" s="5">
        <v>0</v>
      </c>
      <c r="I49" s="4" t="str">
        <v/>
      </c>
      <c r="J49" s="4">
        <v>6848</v>
      </c>
    </row>
    <row r="50" ht="50" customHeight="1">
      <c r="B50" s="4" t="str">
        <v>CIP</v>
      </c>
      <c r="D50" s="4" t="str">
        <v>5.4.3. Sites monitored for in-situ on farm</v>
      </c>
      <c r="E50" s="4" t="str">
        <v>custom</v>
      </c>
      <c r="F50" s="4" t="str">
        <v>Lebanon, Colombia, Peru, Mexico</v>
      </c>
      <c r="G50" s="5">
        <v>3</v>
      </c>
      <c r="H50" s="5">
        <v>0</v>
      </c>
      <c r="I50" s="4" t="str">
        <v/>
      </c>
      <c r="J50" s="4">
        <v>7212</v>
      </c>
    </row>
    <row r="51" ht="50" customHeight="1">
      <c r="A51" s="4" t="str">
        <v>AOW05: Strengthening Capacity for In Situ and Ex Situ Conservation Globally</v>
      </c>
      <c r="B51" s="4" t="str">
        <v>CIP</v>
      </c>
      <c r="C51" s="4" t="str">
        <v>5.2. Regional Communities of Practices and networks for diversity/gap analyses/SQM and key themes established and functioning</v>
      </c>
      <c r="D51" s="4" t="str">
        <v>5.2.1. CoPs and networks for diversity/gap analyses of crops at a regional level for strategic conservation, use and exchange, maintained, created, or re-activated</v>
      </c>
      <c r="E51" s="4" t="str">
        <v>custom</v>
      </c>
      <c r="F51"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51" s="5">
        <v>1</v>
      </c>
      <c r="H51" s="5">
        <v>0</v>
      </c>
      <c r="I51" s="4" t="str">
        <v/>
      </c>
      <c r="J51" s="4">
        <v>7210</v>
      </c>
    </row>
    <row r="52" ht="50" customHeight="1">
      <c r="B52" s="4" t="str">
        <v>CIP</v>
      </c>
      <c r="D52" s="4" t="str">
        <v>5.2.2. Knowledge products including journal articles co-authored with NARS partners on topics related to cryopreservation, DSI, in-situ</v>
      </c>
      <c r="E52" s="4" t="str">
        <v>Number of knowledge products</v>
      </c>
      <c r="F52" s="4" t="str">
        <v>Peru, Lebanon, Morocco, The Socialist Republic of Viet Nam, Colombia, Mexico</v>
      </c>
      <c r="G52" s="5">
        <v>1</v>
      </c>
      <c r="H52" s="5">
        <v>0</v>
      </c>
      <c r="I52" s="4" t="str">
        <v/>
      </c>
      <c r="J52" s="4">
        <v>7211</v>
      </c>
    </row>
    <row r="53" ht="25" customHeight="1">
      <c r="C53" s="9" t="str">
        <v>HLO budget subtotal</v>
      </c>
      <c r="H53" s="9">
        <v>192000</v>
      </c>
      <c r="J53" s="9" t="str">
        <v/>
      </c>
    </row>
  </sheetData>
  <mergeCells count="27">
    <mergeCell ref="A1:A2"/>
    <mergeCell ref="B1:B2"/>
    <mergeCell ref="C1:C2"/>
    <mergeCell ref="D1:H1"/>
    <mergeCell ref="I1:I2"/>
    <mergeCell ref="J1:J2"/>
    <mergeCell ref="C3:C10"/>
    <mergeCell ref="C11:C14"/>
    <mergeCell ref="C15:C18"/>
    <mergeCell ref="C19:C22"/>
    <mergeCell ref="C23:G23"/>
    <mergeCell ref="A3:A23"/>
    <mergeCell ref="C24:C26"/>
    <mergeCell ref="C27:C28"/>
    <mergeCell ref="C31:G31"/>
    <mergeCell ref="A24:A31"/>
    <mergeCell ref="C32:C36"/>
    <mergeCell ref="C37:C38"/>
    <mergeCell ref="C39:C42"/>
    <mergeCell ref="C43:C44"/>
    <mergeCell ref="C45:G45"/>
    <mergeCell ref="A32:A45"/>
    <mergeCell ref="C46:C47"/>
    <mergeCell ref="C49:C50"/>
    <mergeCell ref="C51:C52"/>
    <mergeCell ref="C53:G53"/>
    <mergeCell ref="A46:A53"/>
  </mergeCells>
  <ignoredErrors>
    <ignoredError numberStoredAsText="1" sqref="A1:J53"/>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1571-FAO0 - Youth, Citizen Science and E-commerce: scaling integrated conservation solutions and farmers’ rights by connecting key diversity hotspots: Bolivia, Chile, and Peru</v>
      </c>
      <c r="C2" s="4" t="str">
        <v>5.3 Capacity strengthened at national and regional levels across genebank activities (SQM, data management, germplasm health, policy…)</v>
      </c>
      <c r="D2" s="5">
        <v>84231</v>
      </c>
      <c r="E2" s="4" t="str">
        <v>Assuming similar budget as 2025</v>
      </c>
      <c r="F2" s="4">
        <v>1244</v>
      </c>
    </row>
    <row r="3" ht="60" customHeight="1">
      <c r="A3" s="4" t="str">
        <v>CIP</v>
      </c>
      <c r="B3" s="4" t="str">
        <v>1572-MIPO  Impulsando la Agroindustria Rural y el Uso de la Diversidad del Yacón conservada en Pataz y CIP, a través de la Bioeconomía y los Alimentos Funcionales</v>
      </c>
      <c r="C3" s="4" t="str">
        <v>2.2. Enhanced germplasm information for more precise accession targeting</v>
      </c>
      <c r="D3" s="5">
        <v>151074</v>
      </c>
      <c r="E3" s="4" t="str">
        <v>Unclear whether this will be implemented in 2026</v>
      </c>
      <c r="F3" s="4">
        <v>1237</v>
      </c>
    </row>
    <row r="4" ht="60" customHeight="1">
      <c r="A4" s="4" t="str">
        <v>CIP</v>
      </c>
      <c r="B4" s="4" t="str">
        <v>Long Term Patnership Grant</v>
      </c>
      <c r="C4" s="4" t="str">
        <v>1.1. All collections conserved and made available according to international standards and best practices</v>
      </c>
      <c r="D4" s="5">
        <v>269174</v>
      </c>
      <c r="E4" s="4" t="str">
        <v>As per figures received by the Crop Trust</v>
      </c>
      <c r="F4" s="4">
        <v>1223</v>
      </c>
    </row>
    <row r="5" ht="60" customHeight="1">
      <c r="A5" s="4" t="str">
        <v>CIP</v>
      </c>
      <c r="B5" s="4" t="str">
        <v>P-1530-GIZ0-Construction and implementation of a new Cryoban</v>
      </c>
      <c r="C5" s="4" t="str">
        <v>5.1. Regional hubs for coordinated safeguarding of at-risk crop diversity</v>
      </c>
      <c r="D5" s="5">
        <v>309318</v>
      </c>
      <c r="E5" s="4" t="str">
        <v>Maintenance of genetic diversity of cultivated plants and their wild relatives</v>
      </c>
      <c r="F5" s="4">
        <v>1242</v>
      </c>
    </row>
    <row r="6" ht="60" customHeight="1">
      <c r="A6" s="4" t="str">
        <v>CIP</v>
      </c>
      <c r="B6" s="4" t="str">
        <v>P-1547-MAP0-Fortalecimiento de la conservación y uso sosteni</v>
      </c>
      <c r="C6" s="4" t="str">
        <v xml:space="preserve">5.4. Unique crop diversity under threat is protected through the integration of in situ and ex situ conservation strategies </v>
      </c>
      <c r="D6" s="5">
        <v>38015</v>
      </c>
      <c r="E6" s="4" t="str">
        <v>Under the Strategic Alliance Agreement between INIA and CIP</v>
      </c>
      <c r="F6" s="4">
        <v>1245</v>
      </c>
    </row>
    <row r="7" ht="60" customHeight="1">
      <c r="A7" s="4" t="str">
        <v>CIP</v>
      </c>
      <c r="B7" s="4" t="str">
        <v>P-1560-DGUL-Andean Crop Diversity for Climate Change</v>
      </c>
      <c r="C7" s="4" t="str">
        <v>2.2. Enhanced germplasm information for more precise accession targeting</v>
      </c>
      <c r="D7" s="5">
        <v>381662</v>
      </c>
      <c r="E7" s="4" t="str">
        <v>Assuming similar funding as 2025</v>
      </c>
      <c r="F7" s="4">
        <v>1238</v>
      </c>
    </row>
    <row r="8" ht="25" customHeight="1">
      <c r="B8" s="9" t="str">
        <v>W3/Bilateral budget subtotal</v>
      </c>
      <c r="D8" s="9">
        <v>1233474</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CIP</v>
      </c>
      <c r="C2" s="4" t="str">
        <v>Program Director and Associated Allocation</v>
      </c>
      <c r="D2" s="5">
        <v>12000</v>
      </c>
      <c r="E2" s="4" t="str" xml:space="preserve">
        <v xml:space="preserve">Admin support to be shared with 2 SPs.
</v>
      </c>
      <c r="F2" s="4">
        <v>118</v>
      </c>
      <c r="G2" s="4">
        <v>1</v>
      </c>
    </row>
    <row r="3" ht="45" customHeight="1">
      <c r="A3" s="4" t="str">
        <v>AOW00: Cross Cutting</v>
      </c>
      <c r="B3" s="4" t="str">
        <v>CIP</v>
      </c>
      <c r="C3" s="4" t="str">
        <v>Area of Work Leads</v>
      </c>
      <c r="D3" s="5">
        <v>74329</v>
      </c>
      <c r="E3" s="4" t="str">
        <v>Staff costs AoW Lead plus travel costs.</v>
      </c>
      <c r="F3" s="4">
        <v>119</v>
      </c>
      <c r="G3" s="4">
        <v>3</v>
      </c>
    </row>
    <row r="4" ht="25" customHeight="1">
      <c r="C4" s="9" t="str">
        <v>Cross-cutting budget subtotal</v>
      </c>
      <c r="D4" s="9">
        <v>86329</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81329</v>
      </c>
      <c r="C2" s="5">
        <v>2073690</v>
      </c>
      <c r="D2" s="5">
        <v>68329</v>
      </c>
      <c r="E2" s="5">
        <v>0</v>
      </c>
      <c r="F2" s="5">
        <v>74908</v>
      </c>
      <c r="G2" s="5">
        <v>75000</v>
      </c>
      <c r="H2" s="5">
        <f>=SUM(B2:G2)</f>
        <v>0</v>
      </c>
    </row>
    <row r="3" ht="20" customHeight="1">
      <c r="A3" s="4" t="str">
        <v>Operations (supplies, consultants, travels, workshops, other)</v>
      </c>
      <c r="B3" s="5">
        <v>5000</v>
      </c>
      <c r="C3" s="5">
        <v>2226727</v>
      </c>
      <c r="D3" s="5">
        <v>30671</v>
      </c>
      <c r="E3" s="5">
        <v>0</v>
      </c>
      <c r="F3" s="5">
        <v>155092</v>
      </c>
      <c r="G3" s="5">
        <v>117000</v>
      </c>
      <c r="H3" s="5">
        <f>=SUM(B3:G3)</f>
        <v>0</v>
      </c>
    </row>
    <row r="4" ht="20" customHeight="1">
      <c r="A4" s="4" t="str">
        <v>Collaborators non-CGIAR centers</v>
      </c>
      <c r="B4" s="5">
        <v>0</v>
      </c>
      <c r="C4" s="5">
        <v>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8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403</v>
      </c>
    </row>
    <row r="3" ht="45" customHeight="1">
      <c r="A3" s="8" t="str">
        <v>AOW01: Biodiversity Conservation</v>
      </c>
      <c r="B3" s="4" t="str">
        <v>CIP</v>
      </c>
      <c r="C3" s="4" t="str">
        <v>Peru</v>
      </c>
      <c r="D3" s="5">
        <v>100</v>
      </c>
      <c r="E3" s="4">
        <v>16</v>
      </c>
    </row>
    <row r="4" ht="45" customHeight="1">
      <c r="A4" s="8" t="str">
        <v>AOW02: Strategic User Engagement</v>
      </c>
      <c r="B4" s="4" t="str">
        <v>CIP</v>
      </c>
      <c r="C4" s="4" t="str">
        <v>Peru</v>
      </c>
      <c r="D4" s="5">
        <v>50</v>
      </c>
      <c r="E4" s="4">
        <v>2673</v>
      </c>
    </row>
    <row r="5" ht="45" customHeight="1">
      <c r="A5" s="4" t="str">
        <v>AOW02: Strategic User Engagement</v>
      </c>
      <c r="B5" s="4" t="str">
        <v>CIP</v>
      </c>
      <c r="C5" s="4" t="str">
        <v>The United Arab Emirates</v>
      </c>
      <c r="D5" s="5">
        <v>20</v>
      </c>
      <c r="E5" s="4">
        <v>2674</v>
      </c>
    </row>
    <row r="6" ht="45" customHeight="1">
      <c r="A6" s="4" t="str">
        <v>AOW02: Strategic User Engagement</v>
      </c>
      <c r="B6" s="4" t="str">
        <v>CIP</v>
      </c>
      <c r="C6" s="4" t="str">
        <v>United States of America</v>
      </c>
      <c r="D6" s="5">
        <v>30</v>
      </c>
      <c r="E6" s="4">
        <v>2675</v>
      </c>
    </row>
    <row r="7" ht="45" customHeight="1">
      <c r="A7" s="8" t="str">
        <v>AOW04: Germplasm Health</v>
      </c>
      <c r="B7" s="4" t="str">
        <v>CIP</v>
      </c>
      <c r="C7" s="4" t="str">
        <v>Belgium</v>
      </c>
      <c r="D7" s="5">
        <v>8</v>
      </c>
      <c r="E7" s="4">
        <v>761</v>
      </c>
    </row>
    <row r="8" ht="45" customHeight="1">
      <c r="A8" s="4" t="str">
        <v>AOW04: Germplasm Health</v>
      </c>
      <c r="B8" s="4" t="str">
        <v>CIP</v>
      </c>
      <c r="C8" s="4" t="str">
        <v>Colombia</v>
      </c>
      <c r="D8" s="5">
        <v>8</v>
      </c>
      <c r="E8" s="4">
        <v>762</v>
      </c>
    </row>
    <row r="9" ht="45" customHeight="1">
      <c r="A9" s="4" t="str">
        <v>AOW04: Germplasm Health</v>
      </c>
      <c r="B9" s="4" t="str">
        <v>CIP</v>
      </c>
      <c r="C9" s="4" t="str">
        <v>Côte d'Ivoire</v>
      </c>
      <c r="D9" s="5">
        <v>8</v>
      </c>
      <c r="E9" s="4">
        <v>763</v>
      </c>
    </row>
    <row r="10" ht="45" customHeight="1">
      <c r="A10" s="4" t="str">
        <v>AOW04: Germplasm Health</v>
      </c>
      <c r="B10" s="4" t="str">
        <v>CIP</v>
      </c>
      <c r="C10" s="4" t="str">
        <v>Ethiopia</v>
      </c>
      <c r="D10" s="5">
        <v>8</v>
      </c>
      <c r="E10" s="4">
        <v>764</v>
      </c>
    </row>
    <row r="11" ht="45" customHeight="1">
      <c r="A11" s="4" t="str">
        <v>AOW04: Germplasm Health</v>
      </c>
      <c r="B11" s="4" t="str">
        <v>CIP</v>
      </c>
      <c r="C11" s="4" t="str">
        <v>India</v>
      </c>
      <c r="D11" s="5">
        <v>8</v>
      </c>
      <c r="E11" s="4">
        <v>765</v>
      </c>
    </row>
    <row r="12" ht="45" customHeight="1">
      <c r="A12" s="4" t="str">
        <v>AOW04: Germplasm Health</v>
      </c>
      <c r="B12" s="4" t="str">
        <v>CIP</v>
      </c>
      <c r="C12" s="4" t="str">
        <v>Lebanon</v>
      </c>
      <c r="D12" s="5">
        <v>8</v>
      </c>
      <c r="E12" s="4">
        <v>766</v>
      </c>
    </row>
    <row r="13" ht="45" customHeight="1">
      <c r="A13" s="4" t="str">
        <v>AOW04: Germplasm Health</v>
      </c>
      <c r="B13" s="4" t="str">
        <v>CIP</v>
      </c>
      <c r="C13" s="4" t="str">
        <v>Mexico</v>
      </c>
      <c r="D13" s="5">
        <v>9</v>
      </c>
      <c r="E13" s="4">
        <v>767</v>
      </c>
    </row>
    <row r="14" ht="45" customHeight="1">
      <c r="A14" s="4" t="str">
        <v>AOW04: Germplasm Health</v>
      </c>
      <c r="B14" s="4" t="str">
        <v>CIP</v>
      </c>
      <c r="C14" s="4" t="str">
        <v>Morocco</v>
      </c>
      <c r="D14" s="5">
        <v>9</v>
      </c>
      <c r="E14" s="4">
        <v>768</v>
      </c>
    </row>
    <row r="15" ht="45" customHeight="1">
      <c r="A15" s="4" t="str">
        <v>AOW04: Germplasm Health</v>
      </c>
      <c r="B15" s="4" t="str">
        <v>CIP</v>
      </c>
      <c r="C15" s="4" t="str">
        <v>Niger</v>
      </c>
      <c r="D15" s="5">
        <v>8</v>
      </c>
      <c r="E15" s="4">
        <v>769</v>
      </c>
    </row>
    <row r="16" ht="45" customHeight="1">
      <c r="A16" s="4" t="str">
        <v>AOW04: Germplasm Health</v>
      </c>
      <c r="B16" s="4" t="str">
        <v>CIP</v>
      </c>
      <c r="C16" s="4" t="str">
        <v>Nigeria</v>
      </c>
      <c r="D16" s="5">
        <v>8</v>
      </c>
      <c r="E16" s="4">
        <v>770</v>
      </c>
    </row>
    <row r="17" ht="45" customHeight="1">
      <c r="A17" s="4" t="str">
        <v>AOW04: Germplasm Health</v>
      </c>
      <c r="B17" s="4" t="str">
        <v>CIP</v>
      </c>
      <c r="C17" s="4" t="str">
        <v>Peru</v>
      </c>
      <c r="D17" s="5">
        <v>9</v>
      </c>
      <c r="E17" s="4">
        <v>771</v>
      </c>
    </row>
    <row r="18" ht="45" customHeight="1">
      <c r="A18" s="4" t="str">
        <v>AOW04: Germplasm Health</v>
      </c>
      <c r="B18" s="4" t="str">
        <v>CIP</v>
      </c>
      <c r="C18" s="4" t="str">
        <v>Philippines</v>
      </c>
      <c r="D18" s="5">
        <v>9</v>
      </c>
      <c r="E18" s="4">
        <v>772</v>
      </c>
    </row>
    <row r="19" ht="45" customHeight="1">
      <c r="A19" s="8" t="str">
        <v>AOW05: Strengthening Capacity for In Situ and Ex Situ Conservation Globally</v>
      </c>
      <c r="B19" s="4" t="str">
        <v>CIP</v>
      </c>
      <c r="C19" s="4" t="str">
        <v>Argentina</v>
      </c>
      <c r="D19" s="5">
        <v>1.46</v>
      </c>
      <c r="E19" s="4">
        <v>758</v>
      </c>
    </row>
    <row r="20" ht="45" customHeight="1">
      <c r="A20" s="4" t="str">
        <v>AOW05: Strengthening Capacity for In Situ and Ex Situ Conservation Globally</v>
      </c>
      <c r="B20" s="4" t="str">
        <v>CIP</v>
      </c>
      <c r="C20" s="4" t="str">
        <v>Armenia</v>
      </c>
      <c r="D20" s="5">
        <v>1.46</v>
      </c>
      <c r="E20" s="4">
        <v>773</v>
      </c>
    </row>
    <row r="21" ht="45" customHeight="1">
      <c r="A21" s="4" t="str">
        <v>AOW05: Strengthening Capacity for In Situ and Ex Situ Conservation Globally</v>
      </c>
      <c r="B21" s="4" t="str">
        <v>CIP</v>
      </c>
      <c r="C21" s="4" t="str">
        <v>Belgium</v>
      </c>
      <c r="D21" s="5">
        <v>1.46</v>
      </c>
      <c r="E21" s="4">
        <v>775</v>
      </c>
    </row>
    <row r="22" ht="45" customHeight="1">
      <c r="A22" s="4" t="str">
        <v>AOW05: Strengthening Capacity for In Situ and Ex Situ Conservation Globally</v>
      </c>
      <c r="B22" s="4" t="str">
        <v>CIP</v>
      </c>
      <c r="C22" s="4" t="str">
        <v>Benin</v>
      </c>
      <c r="D22" s="5">
        <v>1.46</v>
      </c>
      <c r="E22" s="4">
        <v>776</v>
      </c>
    </row>
    <row r="23" ht="45" customHeight="1">
      <c r="A23" s="4" t="str">
        <v>AOW05: Strengthening Capacity for In Situ and Ex Situ Conservation Globally</v>
      </c>
      <c r="B23" s="4" t="str">
        <v>CIP</v>
      </c>
      <c r="C23" s="4" t="str">
        <v>Brazil</v>
      </c>
      <c r="D23" s="5">
        <v>1.46</v>
      </c>
      <c r="E23" s="4">
        <v>777</v>
      </c>
    </row>
    <row r="24" ht="45" customHeight="1">
      <c r="A24" s="4" t="str">
        <v>AOW05: Strengthening Capacity for In Situ and Ex Situ Conservation Globally</v>
      </c>
      <c r="B24" s="4" t="str">
        <v>CIP</v>
      </c>
      <c r="C24" s="4" t="str">
        <v>Burkina Faso</v>
      </c>
      <c r="D24" s="5">
        <v>1.46</v>
      </c>
      <c r="E24" s="4">
        <v>778</v>
      </c>
    </row>
    <row r="25" ht="45" customHeight="1">
      <c r="A25" s="4" t="str">
        <v>AOW05: Strengthening Capacity for In Situ and Ex Situ Conservation Globally</v>
      </c>
      <c r="B25" s="4" t="str">
        <v>CIP</v>
      </c>
      <c r="C25" s="4" t="str">
        <v>Burundi</v>
      </c>
      <c r="D25" s="5">
        <v>1.46</v>
      </c>
      <c r="E25" s="4">
        <v>779</v>
      </c>
    </row>
    <row r="26" ht="45" customHeight="1">
      <c r="A26" s="4" t="str">
        <v>AOW05: Strengthening Capacity for In Situ and Ex Situ Conservation Globally</v>
      </c>
      <c r="B26" s="4" t="str">
        <v>CIP</v>
      </c>
      <c r="C26" s="4" t="str">
        <v>Cambodia</v>
      </c>
      <c r="D26" s="5">
        <v>1.46</v>
      </c>
      <c r="E26" s="4">
        <v>780</v>
      </c>
    </row>
    <row r="27" ht="45" customHeight="1">
      <c r="A27" s="4" t="str">
        <v>AOW05: Strengthening Capacity for In Situ and Ex Situ Conservation Globally</v>
      </c>
      <c r="B27" s="4" t="str">
        <v>CIP</v>
      </c>
      <c r="C27" s="4" t="str">
        <v>Cameroon</v>
      </c>
      <c r="D27" s="5">
        <v>1.46</v>
      </c>
      <c r="E27" s="4">
        <v>781</v>
      </c>
    </row>
    <row r="28" ht="45" customHeight="1">
      <c r="A28" s="4" t="str">
        <v>AOW05: Strengthening Capacity for In Situ and Ex Situ Conservation Globally</v>
      </c>
      <c r="B28" s="4" t="str">
        <v>CIP</v>
      </c>
      <c r="C28" s="4" t="str">
        <v>Central African Republic</v>
      </c>
      <c r="D28" s="5">
        <v>1.46</v>
      </c>
      <c r="E28" s="4">
        <v>782</v>
      </c>
    </row>
    <row r="29" ht="45" customHeight="1">
      <c r="A29" s="4" t="str">
        <v>AOW05: Strengthening Capacity for In Situ and Ex Situ Conservation Globally</v>
      </c>
      <c r="B29" s="4" t="str">
        <v>CIP</v>
      </c>
      <c r="C29" s="4" t="str">
        <v>Chad</v>
      </c>
      <c r="D29" s="5">
        <v>1.46</v>
      </c>
      <c r="E29" s="4">
        <v>783</v>
      </c>
    </row>
    <row r="30" ht="45" customHeight="1">
      <c r="A30" s="4" t="str">
        <v>AOW05: Strengthening Capacity for In Situ and Ex Situ Conservation Globally</v>
      </c>
      <c r="B30" s="4" t="str">
        <v>CIP</v>
      </c>
      <c r="C30" s="4" t="str">
        <v>Chile</v>
      </c>
      <c r="D30" s="5">
        <v>1.46</v>
      </c>
      <c r="E30" s="4">
        <v>784</v>
      </c>
    </row>
    <row r="31" ht="45" customHeight="1">
      <c r="A31" s="4" t="str">
        <v>AOW05: Strengthening Capacity for In Situ and Ex Situ Conservation Globally</v>
      </c>
      <c r="B31" s="4" t="str">
        <v>CIP</v>
      </c>
      <c r="C31" s="4" t="str">
        <v>Colombia</v>
      </c>
      <c r="D31" s="5">
        <v>1.46</v>
      </c>
      <c r="E31" s="4">
        <v>785</v>
      </c>
    </row>
    <row r="32" ht="45" customHeight="1">
      <c r="A32" s="4" t="str">
        <v>AOW05: Strengthening Capacity for In Situ and Ex Situ Conservation Globally</v>
      </c>
      <c r="B32" s="4" t="str">
        <v>CIP</v>
      </c>
      <c r="C32" s="4" t="str">
        <v>Congo</v>
      </c>
      <c r="D32" s="5">
        <v>1.46</v>
      </c>
      <c r="E32" s="4">
        <v>786</v>
      </c>
    </row>
    <row r="33" ht="45" customHeight="1">
      <c r="A33" s="4" t="str">
        <v>AOW05: Strengthening Capacity for In Situ and Ex Situ Conservation Globally</v>
      </c>
      <c r="B33" s="4" t="str">
        <v>CIP</v>
      </c>
      <c r="C33" s="4" t="str">
        <v>Costa Rica</v>
      </c>
      <c r="D33" s="5">
        <v>1.46</v>
      </c>
      <c r="E33" s="4">
        <v>787</v>
      </c>
    </row>
    <row r="34" ht="45" customHeight="1">
      <c r="A34" s="4" t="str">
        <v>AOW05: Strengthening Capacity for In Situ and Ex Situ Conservation Globally</v>
      </c>
      <c r="B34" s="4" t="str">
        <v>CIP</v>
      </c>
      <c r="C34" s="4" t="str">
        <v>Côte d'Ivoire</v>
      </c>
      <c r="D34" s="5">
        <v>1.46</v>
      </c>
      <c r="E34" s="4">
        <v>789</v>
      </c>
    </row>
    <row r="35" ht="45" customHeight="1">
      <c r="A35" s="4" t="str">
        <v>AOW05: Strengthening Capacity for In Situ and Ex Situ Conservation Globally</v>
      </c>
      <c r="B35" s="4" t="str">
        <v>CIP</v>
      </c>
      <c r="C35" s="4" t="str">
        <v>Cuba</v>
      </c>
      <c r="D35" s="5">
        <v>1.46</v>
      </c>
      <c r="E35" s="4">
        <v>788</v>
      </c>
    </row>
    <row r="36" ht="45" customHeight="1">
      <c r="A36" s="4" t="str">
        <v>AOW05: Strengthening Capacity for In Situ and Ex Situ Conservation Globally</v>
      </c>
      <c r="B36" s="4" t="str">
        <v>CIP</v>
      </c>
      <c r="C36" s="4" t="str">
        <v>Ecuador</v>
      </c>
      <c r="D36" s="5">
        <v>1.46</v>
      </c>
      <c r="E36" s="4">
        <v>790</v>
      </c>
    </row>
    <row r="37" ht="45" customHeight="1">
      <c r="A37" s="4" t="str">
        <v>AOW05: Strengthening Capacity for In Situ and Ex Situ Conservation Globally</v>
      </c>
      <c r="B37" s="4" t="str">
        <v>CIP</v>
      </c>
      <c r="C37" s="4" t="str">
        <v>El Salvador</v>
      </c>
      <c r="D37" s="5">
        <v>1.46</v>
      </c>
      <c r="E37" s="4">
        <v>791</v>
      </c>
    </row>
    <row r="38" ht="45" customHeight="1">
      <c r="A38" s="4" t="str">
        <v>AOW05: Strengthening Capacity for In Situ and Ex Situ Conservation Globally</v>
      </c>
      <c r="B38" s="4" t="str">
        <v>CIP</v>
      </c>
      <c r="C38" s="4" t="str">
        <v>Eswatini</v>
      </c>
      <c r="D38" s="5">
        <v>1.46</v>
      </c>
      <c r="E38" s="4">
        <v>792</v>
      </c>
    </row>
    <row r="39" ht="45" customHeight="1">
      <c r="A39" s="4" t="str">
        <v>AOW05: Strengthening Capacity for In Situ and Ex Situ Conservation Globally</v>
      </c>
      <c r="B39" s="4" t="str">
        <v>CIP</v>
      </c>
      <c r="C39" s="4" t="str">
        <v>Ethiopia</v>
      </c>
      <c r="D39" s="5">
        <v>1.46</v>
      </c>
      <c r="E39" s="4">
        <v>793</v>
      </c>
    </row>
    <row r="40" ht="45" customHeight="1">
      <c r="A40" s="4" t="str">
        <v>AOW05: Strengthening Capacity for In Situ and Ex Situ Conservation Globally</v>
      </c>
      <c r="B40" s="4" t="str">
        <v>CIP</v>
      </c>
      <c r="C40" s="4" t="str">
        <v>Ghana</v>
      </c>
      <c r="D40" s="5">
        <v>1.46</v>
      </c>
      <c r="E40" s="4">
        <v>794</v>
      </c>
    </row>
    <row r="41" ht="45" customHeight="1">
      <c r="A41" s="4" t="str">
        <v>AOW05: Strengthening Capacity for In Situ and Ex Situ Conservation Globally</v>
      </c>
      <c r="B41" s="4" t="str">
        <v>CIP</v>
      </c>
      <c r="C41" s="4" t="str">
        <v>Guatemala</v>
      </c>
      <c r="D41" s="5">
        <v>1.44</v>
      </c>
      <c r="E41" s="4">
        <v>795</v>
      </c>
    </row>
    <row r="42" ht="45" customHeight="1">
      <c r="A42" s="4" t="str">
        <v>AOW05: Strengthening Capacity for In Situ and Ex Situ Conservation Globally</v>
      </c>
      <c r="B42" s="4" t="str">
        <v>CIP</v>
      </c>
      <c r="C42" s="4" t="str">
        <v>Honduras</v>
      </c>
      <c r="D42" s="5">
        <v>1.46</v>
      </c>
      <c r="E42" s="4">
        <v>796</v>
      </c>
    </row>
    <row r="43" ht="45" customHeight="1">
      <c r="A43" s="4" t="str">
        <v>AOW05: Strengthening Capacity for In Situ and Ex Situ Conservation Globally</v>
      </c>
      <c r="B43" s="4" t="str">
        <v>CIP</v>
      </c>
      <c r="C43" s="4" t="str">
        <v>India</v>
      </c>
      <c r="D43" s="5">
        <v>1.46</v>
      </c>
      <c r="E43" s="4">
        <v>797</v>
      </c>
    </row>
    <row r="44" ht="45" customHeight="1">
      <c r="A44" s="4" t="str">
        <v>AOW05: Strengthening Capacity for In Situ and Ex Situ Conservation Globally</v>
      </c>
      <c r="B44" s="4" t="str">
        <v>CIP</v>
      </c>
      <c r="C44" s="4" t="str">
        <v>Indonesia</v>
      </c>
      <c r="D44" s="5">
        <v>1.46</v>
      </c>
      <c r="E44" s="4">
        <v>798</v>
      </c>
    </row>
    <row r="45" ht="45" customHeight="1">
      <c r="A45" s="4" t="str">
        <v>AOW05: Strengthening Capacity for In Situ and Ex Situ Conservation Globally</v>
      </c>
      <c r="B45" s="4" t="str">
        <v>CIP</v>
      </c>
      <c r="C45" s="4" t="str">
        <v>Jordan</v>
      </c>
      <c r="D45" s="5">
        <v>1.46</v>
      </c>
      <c r="E45" s="4">
        <v>799</v>
      </c>
    </row>
    <row r="46" ht="45" customHeight="1">
      <c r="A46" s="4" t="str">
        <v>AOW05: Strengthening Capacity for In Situ and Ex Situ Conservation Globally</v>
      </c>
      <c r="B46" s="4" t="str">
        <v>CIP</v>
      </c>
      <c r="C46" s="4" t="str">
        <v>Kazakhstan</v>
      </c>
      <c r="D46" s="5">
        <v>1.46</v>
      </c>
      <c r="E46" s="4">
        <v>800</v>
      </c>
    </row>
    <row r="47" ht="45" customHeight="1">
      <c r="A47" s="4" t="str">
        <v>AOW05: Strengthening Capacity for In Situ and Ex Situ Conservation Globally</v>
      </c>
      <c r="B47" s="4" t="str">
        <v>CIP</v>
      </c>
      <c r="C47" s="4" t="str">
        <v>Kenya</v>
      </c>
      <c r="D47" s="5">
        <v>1.46</v>
      </c>
      <c r="E47" s="4">
        <v>801</v>
      </c>
    </row>
    <row r="48" ht="45" customHeight="1">
      <c r="A48" s="4" t="str">
        <v>AOW05: Strengthening Capacity for In Situ and Ex Situ Conservation Globally</v>
      </c>
      <c r="B48" s="4" t="str">
        <v>CIP</v>
      </c>
      <c r="C48" s="4" t="str">
        <v>Kyrgyzstan</v>
      </c>
      <c r="D48" s="5">
        <v>1.46</v>
      </c>
      <c r="E48" s="4">
        <v>802</v>
      </c>
    </row>
    <row r="49" ht="45" customHeight="1">
      <c r="A49" s="4" t="str">
        <v>AOW05: Strengthening Capacity for In Situ and Ex Situ Conservation Globally</v>
      </c>
      <c r="B49" s="4" t="str">
        <v>CIP</v>
      </c>
      <c r="C49" s="4" t="str">
        <v>Lao People's Democratic Republic</v>
      </c>
      <c r="D49" s="5">
        <v>1.46</v>
      </c>
      <c r="E49" s="4">
        <v>803</v>
      </c>
    </row>
    <row r="50" ht="45" customHeight="1">
      <c r="A50" s="4" t="str">
        <v>AOW05: Strengthening Capacity for In Situ and Ex Situ Conservation Globally</v>
      </c>
      <c r="B50" s="4" t="str">
        <v>CIP</v>
      </c>
      <c r="C50" s="4" t="str">
        <v>Lebanon</v>
      </c>
      <c r="D50" s="5">
        <v>1.46</v>
      </c>
      <c r="E50" s="4">
        <v>804</v>
      </c>
    </row>
    <row r="51" ht="45" customHeight="1">
      <c r="A51" s="4" t="str">
        <v>AOW05: Strengthening Capacity for In Situ and Ex Situ Conservation Globally</v>
      </c>
      <c r="B51" s="4" t="str">
        <v>CIP</v>
      </c>
      <c r="C51" s="4" t="str">
        <v>Lesotho</v>
      </c>
      <c r="D51" s="5">
        <v>1.46</v>
      </c>
      <c r="E51" s="4">
        <v>805</v>
      </c>
    </row>
    <row r="52" ht="45" customHeight="1">
      <c r="A52" s="4" t="str">
        <v>AOW05: Strengthening Capacity for In Situ and Ex Situ Conservation Globally</v>
      </c>
      <c r="B52" s="4" t="str">
        <v>CIP</v>
      </c>
      <c r="C52" s="4" t="str">
        <v>Libya</v>
      </c>
      <c r="D52" s="5">
        <v>1.46</v>
      </c>
      <c r="E52" s="4">
        <v>806</v>
      </c>
    </row>
    <row r="53" ht="45" customHeight="1">
      <c r="A53" s="4" t="str">
        <v>AOW05: Strengthening Capacity for In Situ and Ex Situ Conservation Globally</v>
      </c>
      <c r="B53" s="4" t="str">
        <v>CIP</v>
      </c>
      <c r="C53" s="4" t="str">
        <v>Madagascar</v>
      </c>
      <c r="D53" s="5">
        <v>1.46</v>
      </c>
      <c r="E53" s="4">
        <v>807</v>
      </c>
    </row>
    <row r="54" ht="45" customHeight="1">
      <c r="A54" s="4" t="str">
        <v>AOW05: Strengthening Capacity for In Situ and Ex Situ Conservation Globally</v>
      </c>
      <c r="B54" s="4" t="str">
        <v>CIP</v>
      </c>
      <c r="C54" s="4" t="str">
        <v>Malawi</v>
      </c>
      <c r="D54" s="5">
        <v>1.46</v>
      </c>
      <c r="E54" s="4">
        <v>808</v>
      </c>
    </row>
    <row r="55" ht="45" customHeight="1">
      <c r="A55" s="4" t="str">
        <v>AOW05: Strengthening Capacity for In Situ and Ex Situ Conservation Globally</v>
      </c>
      <c r="B55" s="4" t="str">
        <v>CIP</v>
      </c>
      <c r="C55" s="4" t="str">
        <v>Mali</v>
      </c>
      <c r="D55" s="5">
        <v>1.44</v>
      </c>
      <c r="E55" s="4">
        <v>809</v>
      </c>
    </row>
    <row r="56" ht="45" customHeight="1">
      <c r="A56" s="4" t="str">
        <v>AOW05: Strengthening Capacity for In Situ and Ex Situ Conservation Globally</v>
      </c>
      <c r="B56" s="4" t="str">
        <v>CIP</v>
      </c>
      <c r="C56" s="4" t="str">
        <v>Mauritius</v>
      </c>
      <c r="D56" s="5">
        <v>1.46</v>
      </c>
      <c r="E56" s="4">
        <v>810</v>
      </c>
    </row>
    <row r="57" ht="45" customHeight="1">
      <c r="A57" s="4" t="str">
        <v>AOW05: Strengthening Capacity for In Situ and Ex Situ Conservation Globally</v>
      </c>
      <c r="B57" s="4" t="str">
        <v>CIP</v>
      </c>
      <c r="C57" s="4" t="str">
        <v>Mexico</v>
      </c>
      <c r="D57" s="5">
        <v>1.46</v>
      </c>
      <c r="E57" s="4">
        <v>811</v>
      </c>
    </row>
    <row r="58" ht="45" customHeight="1">
      <c r="A58" s="4" t="str">
        <v>AOW05: Strengthening Capacity for In Situ and Ex Situ Conservation Globally</v>
      </c>
      <c r="B58" s="4" t="str">
        <v>CIP</v>
      </c>
      <c r="C58" s="4" t="str">
        <v>Morocco</v>
      </c>
      <c r="D58" s="5">
        <v>1.46</v>
      </c>
      <c r="E58" s="4">
        <v>812</v>
      </c>
    </row>
    <row r="59" ht="45" customHeight="1">
      <c r="A59" s="4" t="str">
        <v>AOW05: Strengthening Capacity for In Situ and Ex Situ Conservation Globally</v>
      </c>
      <c r="B59" s="4" t="str">
        <v>CIP</v>
      </c>
      <c r="C59" s="4" t="str">
        <v>Namibia</v>
      </c>
      <c r="D59" s="5">
        <v>1.46</v>
      </c>
      <c r="E59" s="4">
        <v>813</v>
      </c>
    </row>
    <row r="60" ht="45" customHeight="1">
      <c r="A60" s="4" t="str">
        <v>AOW05: Strengthening Capacity for In Situ and Ex Situ Conservation Globally</v>
      </c>
      <c r="B60" s="4" t="str">
        <v>CIP</v>
      </c>
      <c r="C60" s="4" t="str">
        <v>Niger</v>
      </c>
      <c r="D60" s="5">
        <v>1.46</v>
      </c>
      <c r="E60" s="4">
        <v>814</v>
      </c>
    </row>
    <row r="61" ht="45" customHeight="1">
      <c r="A61" s="4" t="str">
        <v>AOW05: Strengthening Capacity for In Situ and Ex Situ Conservation Globally</v>
      </c>
      <c r="B61" s="4" t="str">
        <v>CIP</v>
      </c>
      <c r="C61" s="4" t="str">
        <v>Nigeria</v>
      </c>
      <c r="D61" s="5">
        <v>1.46</v>
      </c>
      <c r="E61" s="4">
        <v>815</v>
      </c>
    </row>
    <row r="62" ht="45" customHeight="1">
      <c r="A62" s="4" t="str">
        <v>AOW05: Strengthening Capacity for In Situ and Ex Situ Conservation Globally</v>
      </c>
      <c r="B62" s="4" t="str">
        <v>CIP</v>
      </c>
      <c r="C62" s="4" t="str">
        <v>Oman</v>
      </c>
      <c r="D62" s="5">
        <v>1.46</v>
      </c>
      <c r="E62" s="4">
        <v>816</v>
      </c>
    </row>
    <row r="63" ht="45" customHeight="1">
      <c r="A63" s="4" t="str">
        <v>AOW05: Strengthening Capacity for In Situ and Ex Situ Conservation Globally</v>
      </c>
      <c r="B63" s="4" t="str">
        <v>CIP</v>
      </c>
      <c r="C63" s="4" t="str">
        <v>Panama</v>
      </c>
      <c r="D63" s="5">
        <v>1.46</v>
      </c>
      <c r="E63" s="4">
        <v>818</v>
      </c>
    </row>
    <row r="64" ht="45" customHeight="1">
      <c r="A64" s="4" t="str">
        <v>AOW05: Strengthening Capacity for In Situ and Ex Situ Conservation Globally</v>
      </c>
      <c r="B64" s="4" t="str">
        <v>CIP</v>
      </c>
      <c r="C64" s="4" t="str">
        <v>Paraguay</v>
      </c>
      <c r="D64" s="5">
        <v>1.46</v>
      </c>
      <c r="E64" s="4">
        <v>820</v>
      </c>
    </row>
    <row r="65" ht="45" customHeight="1">
      <c r="A65" s="4" t="str">
        <v>AOW05: Strengthening Capacity for In Situ and Ex Situ Conservation Globally</v>
      </c>
      <c r="B65" s="4" t="str">
        <v>CIP</v>
      </c>
      <c r="C65" s="4" t="str">
        <v>Peru</v>
      </c>
      <c r="D65" s="5">
        <v>1.88</v>
      </c>
      <c r="E65" s="4">
        <v>821</v>
      </c>
    </row>
    <row r="66" ht="45" customHeight="1">
      <c r="A66" s="4" t="str">
        <v>AOW05: Strengthening Capacity for In Situ and Ex Situ Conservation Globally</v>
      </c>
      <c r="B66" s="4" t="str">
        <v>CIP</v>
      </c>
      <c r="C66" s="4" t="str">
        <v>Philippines</v>
      </c>
      <c r="D66" s="5">
        <v>1.46</v>
      </c>
      <c r="E66" s="4">
        <v>822</v>
      </c>
    </row>
    <row r="67" ht="45" customHeight="1">
      <c r="A67" s="4" t="str">
        <v>AOW05: Strengthening Capacity for In Situ and Ex Situ Conservation Globally</v>
      </c>
      <c r="B67" s="4" t="str">
        <v>CIP</v>
      </c>
      <c r="C67" s="4" t="str">
        <v>Rwanda</v>
      </c>
      <c r="D67" s="5">
        <v>1.46</v>
      </c>
      <c r="E67" s="4">
        <v>823</v>
      </c>
    </row>
    <row r="68" ht="45" customHeight="1">
      <c r="A68" s="4" t="str">
        <v>AOW05: Strengthening Capacity for In Situ and Ex Situ Conservation Globally</v>
      </c>
      <c r="B68" s="4" t="str">
        <v>CIP</v>
      </c>
      <c r="C68" s="4" t="str">
        <v>Senegal</v>
      </c>
      <c r="D68" s="5">
        <v>1.46</v>
      </c>
      <c r="E68" s="4">
        <v>824</v>
      </c>
    </row>
    <row r="69" ht="45" customHeight="1">
      <c r="A69" s="4" t="str">
        <v>AOW05: Strengthening Capacity for In Situ and Ex Situ Conservation Globally</v>
      </c>
      <c r="B69" s="4" t="str">
        <v>CIP</v>
      </c>
      <c r="C69" s="4" t="str">
        <v>Somalia</v>
      </c>
      <c r="D69" s="5">
        <v>1.46</v>
      </c>
      <c r="E69" s="4">
        <v>825</v>
      </c>
    </row>
    <row r="70" ht="45" customHeight="1">
      <c r="A70" s="4" t="str">
        <v>AOW05: Strengthening Capacity for In Situ and Ex Situ Conservation Globally</v>
      </c>
      <c r="B70" s="4" t="str">
        <v>CIP</v>
      </c>
      <c r="C70" s="4" t="str">
        <v>South Sudan</v>
      </c>
      <c r="D70" s="5">
        <v>1.46</v>
      </c>
      <c r="E70" s="4">
        <v>826</v>
      </c>
    </row>
    <row r="71" ht="45" customHeight="1">
      <c r="A71" s="4" t="str">
        <v>AOW05: Strengthening Capacity for In Situ and Ex Situ Conservation Globally</v>
      </c>
      <c r="B71" s="4" t="str">
        <v>CIP</v>
      </c>
      <c r="C71" s="4" t="str">
        <v>Suriname</v>
      </c>
      <c r="D71" s="5">
        <v>1.46</v>
      </c>
      <c r="E71" s="4">
        <v>827</v>
      </c>
    </row>
    <row r="72" ht="45" customHeight="1">
      <c r="A72" s="4" t="str">
        <v>AOW05: Strengthening Capacity for In Situ and Ex Situ Conservation Globally</v>
      </c>
      <c r="B72" s="4" t="str">
        <v>CIP</v>
      </c>
      <c r="C72" s="4" t="str">
        <v>Tanzania</v>
      </c>
      <c r="D72" s="5">
        <v>1.469</v>
      </c>
      <c r="E72" s="4">
        <v>828</v>
      </c>
    </row>
    <row r="73" ht="45" customHeight="1">
      <c r="A73" s="4" t="str">
        <v>AOW05: Strengthening Capacity for In Situ and Ex Situ Conservation Globally</v>
      </c>
      <c r="B73" s="4" t="str">
        <v>CIP</v>
      </c>
      <c r="C73" s="4" t="str">
        <v>The Democratic Republic of the Congo</v>
      </c>
      <c r="D73" s="5">
        <v>1.46</v>
      </c>
      <c r="E73" s="4">
        <v>829</v>
      </c>
    </row>
    <row r="74" ht="45" customHeight="1">
      <c r="A74" s="4" t="str">
        <v>AOW05: Strengthening Capacity for In Situ and Ex Situ Conservation Globally</v>
      </c>
      <c r="B74" s="4" t="str">
        <v>CIP</v>
      </c>
      <c r="C74" s="4" t="str">
        <v>The Socialist Republic of Viet Nam</v>
      </c>
      <c r="D74" s="5">
        <v>1.44</v>
      </c>
      <c r="E74" s="4">
        <v>830</v>
      </c>
    </row>
    <row r="75" ht="45" customHeight="1">
      <c r="A75" s="4" t="str">
        <v>AOW05: Strengthening Capacity for In Situ and Ex Situ Conservation Globally</v>
      </c>
      <c r="B75" s="4" t="str">
        <v>CIP</v>
      </c>
      <c r="C75" s="4" t="str">
        <v>The United Arab Emirates</v>
      </c>
      <c r="D75" s="5">
        <v>1.46</v>
      </c>
      <c r="E75" s="4">
        <v>831</v>
      </c>
    </row>
    <row r="76" ht="45" customHeight="1">
      <c r="A76" s="4" t="str">
        <v>AOW05: Strengthening Capacity for In Situ and Ex Situ Conservation Globally</v>
      </c>
      <c r="B76" s="4" t="str">
        <v>CIP</v>
      </c>
      <c r="C76" s="4" t="str">
        <v>Togo</v>
      </c>
      <c r="D76" s="5">
        <v>1.469</v>
      </c>
      <c r="E76" s="4">
        <v>832</v>
      </c>
    </row>
    <row r="77" ht="45" customHeight="1">
      <c r="A77" s="4" t="str">
        <v>AOW05: Strengthening Capacity for In Situ and Ex Situ Conservation Globally</v>
      </c>
      <c r="B77" s="4" t="str">
        <v>CIP</v>
      </c>
      <c r="C77" s="4" t="str">
        <v>Tunisia</v>
      </c>
      <c r="D77" s="5">
        <v>1.469</v>
      </c>
      <c r="E77" s="4">
        <v>833</v>
      </c>
    </row>
    <row r="78" ht="45" customHeight="1">
      <c r="A78" s="4" t="str">
        <v>AOW05: Strengthening Capacity for In Situ and Ex Situ Conservation Globally</v>
      </c>
      <c r="B78" s="4" t="str">
        <v>CIP</v>
      </c>
      <c r="C78" s="4" t="str">
        <v>Türkiye</v>
      </c>
      <c r="D78" s="5">
        <v>1.469</v>
      </c>
      <c r="E78" s="4">
        <v>834</v>
      </c>
    </row>
    <row r="79" ht="45" customHeight="1">
      <c r="A79" s="4" t="str">
        <v>AOW05: Strengthening Capacity for In Situ and Ex Situ Conservation Globally</v>
      </c>
      <c r="B79" s="4" t="str">
        <v>CIP</v>
      </c>
      <c r="C79" s="4" t="str">
        <v>Uganda</v>
      </c>
      <c r="D79" s="5">
        <v>2</v>
      </c>
      <c r="E79" s="4">
        <v>835</v>
      </c>
    </row>
    <row r="80" ht="45" customHeight="1">
      <c r="A80" s="4" t="str">
        <v>AOW05: Strengthening Capacity for In Situ and Ex Situ Conservation Globally</v>
      </c>
      <c r="B80" s="4" t="str">
        <v>CIP</v>
      </c>
      <c r="C80" s="4" t="str">
        <v>United Republic</v>
      </c>
      <c r="D80" s="5">
        <v>2</v>
      </c>
      <c r="E80" s="4">
        <v>836</v>
      </c>
    </row>
    <row r="81" ht="45" customHeight="1">
      <c r="A81" s="4" t="str">
        <v>AOW05: Strengthening Capacity for In Situ and Ex Situ Conservation Globally</v>
      </c>
      <c r="B81" s="4" t="str">
        <v>CIP</v>
      </c>
      <c r="C81" s="4" t="str">
        <v>Uruguay</v>
      </c>
      <c r="D81" s="5">
        <v>2</v>
      </c>
      <c r="E81" s="4">
        <v>837</v>
      </c>
    </row>
    <row r="82" ht="45" customHeight="1">
      <c r="A82" s="4" t="str">
        <v>AOW05: Strengthening Capacity for In Situ and Ex Situ Conservation Globally</v>
      </c>
      <c r="B82" s="4" t="str">
        <v>CIP</v>
      </c>
      <c r="C82" s="4" t="str">
        <v>Uzbekistan</v>
      </c>
      <c r="D82" s="5">
        <v>2</v>
      </c>
      <c r="E82" s="4">
        <v>838</v>
      </c>
    </row>
    <row r="83" ht="45" customHeight="1">
      <c r="A83" s="4" t="str">
        <v>AOW05: Strengthening Capacity for In Situ and Ex Situ Conservation Globally</v>
      </c>
      <c r="B83" s="4" t="str">
        <v>CIP</v>
      </c>
      <c r="C83" s="4" t="str">
        <v>Zambia</v>
      </c>
      <c r="D83" s="5">
        <v>2</v>
      </c>
      <c r="E83" s="4">
        <v>839</v>
      </c>
    </row>
    <row r="84" ht="45" customHeight="1">
      <c r="A84" s="4" t="str">
        <v>AOW05: Strengthening Capacity for In Situ and Ex Situ Conservation Globally</v>
      </c>
      <c r="B84" s="4" t="str">
        <v>CIP</v>
      </c>
      <c r="C84" s="4" t="str">
        <v>Zimbabwe</v>
      </c>
      <c r="D84" s="5">
        <v>2</v>
      </c>
      <c r="E84" s="4">
        <v>840</v>
      </c>
    </row>
  </sheetData>
  <mergeCells count="5">
    <mergeCell ref="A2"/>
    <mergeCell ref="A3"/>
    <mergeCell ref="A4:A6"/>
    <mergeCell ref="A7:A18"/>
    <mergeCell ref="A19:A84"/>
  </mergeCells>
  <ignoredErrors>
    <ignoredError numberStoredAsText="1" sqref="A1:E84"/>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194</v>
      </c>
    </row>
    <row r="3" ht="45" customHeight="1">
      <c r="A3" s="8" t="str">
        <v>AOW01: Biodiversity Conservation</v>
      </c>
      <c r="B3" s="4" t="str">
        <v>CIP</v>
      </c>
      <c r="C3" s="4" t="str">
        <v>Global</v>
      </c>
      <c r="D3" s="4" t="str">
        <v>global</v>
      </c>
      <c r="E3" s="5">
        <v>100</v>
      </c>
      <c r="F3" s="4">
        <v>195</v>
      </c>
    </row>
    <row r="4" ht="45" customHeight="1">
      <c r="A4" s="8" t="str">
        <v>AOW02: Strategic User Engagement</v>
      </c>
      <c r="B4" s="4" t="str">
        <v>CIP</v>
      </c>
      <c r="C4" s="4" t="str">
        <v>Global</v>
      </c>
      <c r="D4" s="4" t="str">
        <v>global</v>
      </c>
      <c r="E4" s="5">
        <v>100</v>
      </c>
      <c r="F4" s="4">
        <v>989</v>
      </c>
    </row>
    <row r="5" ht="45" customHeight="1">
      <c r="A5" s="8" t="str">
        <v>AOW04: Germplasm Health</v>
      </c>
      <c r="B5" s="4" t="str">
        <v>CIP</v>
      </c>
      <c r="C5" s="4" t="str">
        <v>Global</v>
      </c>
      <c r="D5" s="4" t="str">
        <v>global</v>
      </c>
      <c r="E5" s="5">
        <v>100</v>
      </c>
      <c r="F5" s="4">
        <v>229</v>
      </c>
    </row>
    <row r="6" ht="45" customHeight="1">
      <c r="A6" s="8" t="str">
        <v>AOW05: Strengthening Capacity for In Situ and Ex Situ Conservation Globally</v>
      </c>
      <c r="B6" s="4" t="str">
        <v>CIP</v>
      </c>
      <c r="C6" s="4" t="str">
        <v>Global</v>
      </c>
      <c r="D6" s="4" t="str">
        <v>global</v>
      </c>
      <c r="E6" s="5">
        <v>100</v>
      </c>
      <c r="F6" s="4">
        <v>230</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