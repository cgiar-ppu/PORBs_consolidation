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160079</v>
      </c>
      <c r="K4" s="5">
        <v>160079</v>
      </c>
      <c r="L4" s="5">
        <v>0</v>
      </c>
      <c r="M4" s="5">
        <v>0</v>
      </c>
      <c r="N4" s="4">
        <v>210</v>
      </c>
    </row>
    <row r="5" ht="20" customHeight="1">
      <c r="A5" s="4" t="str">
        <v>AOW01: Accelerating Solutions for Impact</v>
      </c>
      <c r="B5" s="5">
        <v>0</v>
      </c>
      <c r="C5" s="5">
        <v>0</v>
      </c>
      <c r="D5" s="5">
        <v>8</v>
      </c>
      <c r="E5" s="5">
        <v>227500</v>
      </c>
      <c r="F5" s="5">
        <v>0</v>
      </c>
      <c r="G5" s="5">
        <v>0</v>
      </c>
      <c r="H5" s="5">
        <v>0</v>
      </c>
      <c r="I5" s="5">
        <v>0</v>
      </c>
      <c r="J5" s="5">
        <v>227500</v>
      </c>
      <c r="K5" s="5">
        <v>227500</v>
      </c>
      <c r="L5" s="5">
        <v>0</v>
      </c>
      <c r="M5" s="5">
        <v>0</v>
      </c>
      <c r="N5" s="4">
        <v>209</v>
      </c>
    </row>
    <row r="6" ht="20" customHeight="1">
      <c r="A6" s="4" t="str">
        <v>AOW02: Accelerating Change Through Evidence</v>
      </c>
      <c r="B6" s="5">
        <v>0</v>
      </c>
      <c r="C6" s="5">
        <v>0</v>
      </c>
      <c r="D6" s="5">
        <v>9</v>
      </c>
      <c r="E6" s="5">
        <v>333234</v>
      </c>
      <c r="F6" s="5">
        <v>180</v>
      </c>
      <c r="G6" s="5">
        <v>47766</v>
      </c>
      <c r="H6" s="5">
        <v>12</v>
      </c>
      <c r="I6" s="5">
        <v>83250</v>
      </c>
      <c r="J6" s="5">
        <v>464250</v>
      </c>
      <c r="K6" s="5">
        <v>464250</v>
      </c>
      <c r="L6" s="5">
        <v>45000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0</v>
      </c>
      <c r="D8" s="7" t="str">
        <v/>
      </c>
      <c r="E8" s="7">
        <v>560734</v>
      </c>
      <c r="F8" s="7" t="str">
        <v/>
      </c>
      <c r="G8" s="7">
        <v>47766</v>
      </c>
      <c r="H8" s="7" t="str">
        <v/>
      </c>
      <c r="I8" s="7">
        <v>83250</v>
      </c>
      <c r="J8" s="7">
        <v>851829</v>
      </c>
      <c r="K8" s="7">
        <v>851829</v>
      </c>
      <c r="L8" s="7">
        <v>45000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Bioversity (Alliance)</v>
      </c>
      <c r="C3" s="4" t="str">
        <v>1.1.3: Gender-transformative solutions for women's economic empowerment</v>
      </c>
      <c r="D3" s="4" t="str">
        <v>Participatory analysis and methodology for participatory assessment of gender-transformative changes due to gender-transformative intervention in Tanzania: discussion paper</v>
      </c>
      <c r="E3" s="4" t="str">
        <v>Number of knowledge products</v>
      </c>
      <c r="F3" s="4" t="str">
        <v>Canada, Tanzania, United Republic</v>
      </c>
      <c r="G3" s="5">
        <v>1</v>
      </c>
      <c r="H3" s="5">
        <v>46250</v>
      </c>
      <c r="I3" s="4" t="str">
        <v>Key personnel, chargebacks, travel and overhead.</v>
      </c>
      <c r="J3" s="4">
        <v>6106</v>
      </c>
    </row>
    <row r="4" ht="50" customHeight="1">
      <c r="A4" s="4" t="str">
        <v>AOW01: Accelerating Solutions for Impact</v>
      </c>
      <c r="B4" s="4" t="str">
        <v>Bioversity (Alliance)</v>
      </c>
      <c r="C4" s="4" t="str">
        <v xml:space="preserve">1.4.3: Solutions for inclusive leadership </v>
      </c>
      <c r="D4" s="4" t="str">
        <v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v>
      </c>
      <c r="E4" s="4" t="str">
        <v>Number of knowledge products</v>
      </c>
      <c r="F4" s="4" t="str">
        <v>Egypt, Mozambique, Jordan, Zimbabwe, Honduras</v>
      </c>
      <c r="G4" s="5">
        <v>3</v>
      </c>
      <c r="H4" s="5">
        <v>50000</v>
      </c>
      <c r="I4" s="4" t="str">
        <v>Key personnel, chargebacks, travel and overhead.</v>
      </c>
      <c r="J4" s="4">
        <v>6152</v>
      </c>
    </row>
    <row r="5" ht="50" customHeight="1">
      <c r="B5" s="4" t="str">
        <v>Bioversity (Alliance)</v>
      </c>
      <c r="D5" s="4" t="str">
        <v>Scoping study and cross-country analysis of social inclusion/exclusion dynamics, identifying successful models (solutions) and mechanisms for integrating marginalized women, and producing evidence-based recommendations co-validated with decision-makers to inform future interventions.</v>
      </c>
      <c r="E5" s="4" t="str">
        <v>Number of knowledge products</v>
      </c>
      <c r="F5" s="4" t="str">
        <v>Canada, Uganda</v>
      </c>
      <c r="G5" s="5">
        <v>2</v>
      </c>
      <c r="H5" s="5">
        <v>42500</v>
      </c>
      <c r="I5" s="4" t="str">
        <v>Key personnel, chargebacks, travel and overhead.</v>
      </c>
      <c r="J5" s="4">
        <v>6153</v>
      </c>
    </row>
    <row r="6" ht="50" customHeight="1">
      <c r="B6" s="4" t="str">
        <v>Bioversity (Alliance)</v>
      </c>
      <c r="D6" s="4" t="str">
        <v xml:space="preserve">Evaluation report documenting good practices and lessons learned from the Foundation for Ecological Security’s women’s leadership programme in India </v>
      </c>
      <c r="E6" s="4" t="str">
        <v>Number of knowledge products</v>
      </c>
      <c r="F6" s="4" t="str">
        <v>India</v>
      </c>
      <c r="G6" s="5">
        <v>1</v>
      </c>
      <c r="H6" s="5">
        <v>50000</v>
      </c>
      <c r="I6" s="4" t="str">
        <v>Key personnel, chargebacks, travel and overhead.</v>
      </c>
      <c r="J6" s="4">
        <v>6154</v>
      </c>
    </row>
    <row r="7" ht="50" customHeight="1">
      <c r="B7" s="4" t="str">
        <v>Bioversity (Alliance)</v>
      </c>
      <c r="D7" s="4" t="str">
        <v>Scoping study with CSOs on women's voice and leadership in biodiversity action: compilation of effective strategies of grassroots women's organization in biodiversity action, to inform the mid-term review of the Gender Plan of Action of the Convention on Biological Diversity</v>
      </c>
      <c r="E7" s="4" t="str">
        <v>Number of knowledge products</v>
      </c>
      <c r="F7" s="4" t="str">
        <v>Peru, Canada, Guatemala</v>
      </c>
      <c r="G7" s="5">
        <v>1</v>
      </c>
      <c r="H7" s="5">
        <v>38750</v>
      </c>
      <c r="I7" s="4" t="str">
        <v>Key personnel, chargebacks, travel and overhead.</v>
      </c>
      <c r="J7" s="4">
        <v>6155</v>
      </c>
    </row>
    <row r="8" ht="25" customHeight="1">
      <c r="C8" s="9" t="str">
        <v>HLO budget subtotal</v>
      </c>
      <c r="H8" s="9">
        <v>227500</v>
      </c>
      <c r="J8" s="9" t="str">
        <v/>
      </c>
    </row>
    <row r="9" ht="50" customHeight="1">
      <c r="A9" s="8" t="str">
        <v>AOW02: Accelerating Change Through Evidence</v>
      </c>
      <c r="B9" s="4" t="str">
        <v>Bioversity (Alliance)</v>
      </c>
      <c r="C9" s="4" t="str">
        <v>2.1.2: Communities of practice for impactful gender research</v>
      </c>
      <c r="D9" s="4" t="str">
        <v>Gender Transformative Research Methodologies (GTRM) Community of Practice: webinar series and small grants for piloting of gender transformative methods</v>
      </c>
      <c r="E9" s="4" t="str">
        <v>custom</v>
      </c>
      <c r="F9" s="4" t="str">
        <v>Ethiopia, United Kingdom of Great Britain and Northern Ireland, Netherlands (Kingdom of the), Italy</v>
      </c>
      <c r="G9" s="5">
        <v>12</v>
      </c>
      <c r="H9" s="5">
        <v>83250</v>
      </c>
      <c r="I9" s="4" t="str">
        <v>Key personnel, chargebacks, key consultants, workshop organization, travel and overhead.</v>
      </c>
      <c r="J9" s="4">
        <v>6167</v>
      </c>
    </row>
    <row r="10" ht="50" customHeight="1">
      <c r="B10" s="4" t="str">
        <v>Bioversity (Alliance)</v>
      </c>
      <c r="D10" s="4" t="str">
        <v>Road map developed on how to integrate processes that contribute to gender-transformative change into research programs and transdiscplinary work such as living labs</v>
      </c>
      <c r="E10" s="4" t="str">
        <v>Number of knowledge products</v>
      </c>
      <c r="F10" s="4" t="str">
        <v>Netherlands (Kingdom of the), Ethiopia, United Kingdom of Great Britain and Northern Ireland</v>
      </c>
      <c r="G10" s="5">
        <v>1</v>
      </c>
      <c r="H10" s="5">
        <v>40000</v>
      </c>
      <c r="I10" s="4" t="str">
        <v>Key personnel, chargebacks, key consultants, workshop organization, travel and overhead.</v>
      </c>
      <c r="J10" s="4">
        <v>7283</v>
      </c>
    </row>
    <row r="11" ht="50" customHeight="1">
      <c r="A11" s="4" t="str">
        <v>AOW02: Accelerating Change Through Evidence</v>
      </c>
      <c r="B11" s="4" t="str">
        <v>Bioversity (Alliance)</v>
      </c>
      <c r="C11" s="4" t="str">
        <v xml:space="preserve">2.3.1: Learning resources </v>
      </c>
      <c r="D11" s="4" t="str">
        <v xml:space="preserve">Published gender-responsive training materials on landscape governance and biodiversity </v>
      </c>
      <c r="E11" s="4" t="str">
        <v>Number of knowledge products</v>
      </c>
      <c r="F11" s="4" t="str">
        <v>United States of America, Canada, Kenya, Peru</v>
      </c>
      <c r="G11" s="5">
        <v>2</v>
      </c>
      <c r="H11" s="5">
        <v>86000</v>
      </c>
      <c r="I11" s="4" t="str">
        <v>Key personnel, chargebacks, key consultants, workshop organization, travel and overhead.</v>
      </c>
      <c r="J11" s="4">
        <v>6204</v>
      </c>
    </row>
    <row r="12" ht="50" customHeight="1">
      <c r="B12" s="4" t="str">
        <v>Bioversity (Alliance)</v>
      </c>
      <c r="D12" s="4" t="str">
        <v xml:space="preserve">An induction course that supports the institutionalization of GEYSI responsive science and innovation for poverty eradication and equality </v>
      </c>
      <c r="E12" s="4" t="str">
        <v>Number of people trained (capacity sharing for development)</v>
      </c>
      <c r="F12" s="4" t="str">
        <v>Canada, Colombia, Mexico, United States of America</v>
      </c>
      <c r="G12" s="5">
        <v>150</v>
      </c>
      <c r="H12" s="5">
        <v>25000</v>
      </c>
      <c r="I12" s="4" t="str">
        <v>Key personnel, chargebacks, key consultants, workshop organization, travel and overhead.</v>
      </c>
      <c r="J12" s="4">
        <v>6205</v>
      </c>
    </row>
    <row r="13" ht="50" customHeight="1">
      <c r="A13" s="4" t="str">
        <v>AOW02: Accelerating Change Through Evidence</v>
      </c>
      <c r="B13" s="4" t="str">
        <v>Bioversity (Alliance)</v>
      </c>
      <c r="C13" s="4" t="str">
        <v>2.2.3: Co-design with Science Programs and Partners for integrating evidence-based solutions for equality, youth, resilience, and nutrition</v>
      </c>
      <c r="D13" s="4" t="str">
        <v>Center Needs Assessments and strategic roadmaps developed to identify institutional priorities, enabling conditions and opportunities for streamlining human-centered and inclusive digital product development</v>
      </c>
      <c r="E13" s="4" t="str">
        <v>Number of knowledge products</v>
      </c>
      <c r="F13" s="4" t="str">
        <v>United States of America, Kenya, Benin, Peru, Nepal, India, Egypt, Côte d'Ivoire, Malaysia, Germany, Philippines</v>
      </c>
      <c r="G13" s="5">
        <v>1</v>
      </c>
      <c r="H13" s="5">
        <v>25000</v>
      </c>
      <c r="I13" s="4" t="str">
        <v>This KPI and budget is for the Digital Transformation Accelerator from the Sweden W2 funding. GENDER only 'hosting' the budget but all responsibility for delivery and reporting is with DTA.</v>
      </c>
      <c r="J13" s="4">
        <v>8578</v>
      </c>
    </row>
    <row r="14" ht="50" customHeight="1">
      <c r="B14" s="4" t="str">
        <v>Bioversity (Alliance)</v>
      </c>
      <c r="D14" s="4" t="str">
        <v>Report on human-centered digital Champions Networks vision, priorities, and collaborative roadmap for advancing human-centered and inclusive design across CGIAR centers</v>
      </c>
      <c r="E14" s="4" t="str">
        <v>Number of knowledge products</v>
      </c>
      <c r="F14" s="4" t="str">
        <v>Germany</v>
      </c>
      <c r="G14" s="5">
        <v>1</v>
      </c>
      <c r="H14" s="5">
        <v>25000</v>
      </c>
      <c r="I14" s="4" t="str">
        <v>This KPI and budget is for the Digital Transformation Accelerator from the Sweden W2 funding. GENDER only 'hosting' the budget but all responsibility for delivery and reporting is with DTA.</v>
      </c>
      <c r="J14" s="4">
        <v>8585</v>
      </c>
    </row>
    <row r="15" ht="50" customHeight="1">
      <c r="B15" s="4" t="str">
        <v>Bioversity (Alliance)</v>
      </c>
      <c r="D15" s="4" t="str">
        <v>Synthesis report consolidating center-level needs assessment and strategies to identify common priorities, gaps, opportunities, and recommendations for CGIAR-wide integration of human-centered and inclusive design</v>
      </c>
      <c r="E15" s="4" t="str">
        <v>Number of knowledge products</v>
      </c>
      <c r="F15" s="4" t="str">
        <v>Germany</v>
      </c>
      <c r="G15" s="5">
        <v>1</v>
      </c>
      <c r="H15" s="5">
        <v>25000</v>
      </c>
      <c r="I15" s="4" t="str">
        <v>This KPI and budget is for the Digital Transformation Accelerator from the Sweden W2 funding. GENDER only 'hosting' the budget but all responsibility for delivery and reporting is with DTA.</v>
      </c>
      <c r="J15" s="4">
        <v>8586</v>
      </c>
    </row>
    <row r="16" ht="50" customHeight="1">
      <c r="B16" s="4" t="str">
        <v>Bioversity (Alliance)</v>
      </c>
      <c r="D16" s="4" t="str">
        <v>Knowledge products on gender-inclusive agroclimatic monitoring for regenerative farms in Colombia and Guatemala : open dataset, paper, policy brief</v>
      </c>
      <c r="E16" s="4" t="str">
        <v>Number of knowledge products</v>
      </c>
      <c r="F16" s="4" t="str">
        <v>Colombia, Guatemala</v>
      </c>
      <c r="G16" s="5">
        <v>3</v>
      </c>
      <c r="H16" s="5">
        <v>132234</v>
      </c>
      <c r="I16" s="4" t="str">
        <v>Sweden w2 grant for gender and digital</v>
      </c>
      <c r="J16" s="4">
        <v>8601</v>
      </c>
    </row>
    <row r="17" ht="50" customHeight="1">
      <c r="A17" s="4" t="str">
        <v>AOW02: Accelerating Change Through Evidence</v>
      </c>
      <c r="B17" s="4" t="str">
        <v>Bioversity (Alliance)</v>
      </c>
      <c r="C17" s="4" t="str">
        <v>2.3.2: Training for gender equality, youth and social inclusion research quality and uptake</v>
      </c>
      <c r="D17" s="4" t="str">
        <v>Capacity sharing workshop on gender-inclusive agroclimatic monitoring for regenerative farms in Colombia and Guatemala</v>
      </c>
      <c r="E17" s="4" t="str">
        <v>Number of people trained (capacity sharing for development)</v>
      </c>
      <c r="F17" s="4" t="str">
        <v>Colombia, Guatemala</v>
      </c>
      <c r="G17" s="5">
        <v>30</v>
      </c>
      <c r="H17" s="5">
        <v>22766</v>
      </c>
      <c r="I17" s="4" t="str">
        <v>Sweden w2 grant for gender and digital</v>
      </c>
      <c r="J17" s="4">
        <v>8596</v>
      </c>
    </row>
    <row r="18" ht="25" customHeight="1">
      <c r="C18" s="9" t="str">
        <v>HLO budget subtotal</v>
      </c>
      <c r="H18" s="9">
        <v>464250</v>
      </c>
      <c r="J18" s="9" t="str">
        <v/>
      </c>
    </row>
  </sheetData>
  <mergeCells count="14">
    <mergeCell ref="A1:A2"/>
    <mergeCell ref="B1:B2"/>
    <mergeCell ref="C1:C2"/>
    <mergeCell ref="D1:H1"/>
    <mergeCell ref="I1:I2"/>
    <mergeCell ref="J1:J2"/>
    <mergeCell ref="C4:C7"/>
    <mergeCell ref="C8:G8"/>
    <mergeCell ref="A3:A8"/>
    <mergeCell ref="C9:C10"/>
    <mergeCell ref="C11:C12"/>
    <mergeCell ref="C13:C16"/>
    <mergeCell ref="C18:G18"/>
    <mergeCell ref="A9:A18"/>
  </mergeCells>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Accelerating Change Through Evidence</v>
      </c>
      <c r="B2" s="4" t="str">
        <v>Center for International Forestry Research (CIFOR) and World Agroforestry (ICRAF)</v>
      </c>
      <c r="C2" s="4" t="str">
        <v>Bioversity (Alliance)</v>
      </c>
      <c r="D2" s="4" t="str">
        <v>Kenya</v>
      </c>
      <c r="E2" s="5">
        <v>25000</v>
      </c>
      <c r="F2" s="4" t="str">
        <v>This KPI and budget is for the Digital Transformation Accelerator from the Sweden W2 funding. GENDER only 'hosting' the budget but all responsibility for delivery and reporting is with DTA.</v>
      </c>
      <c r="G2" s="4">
        <v>588</v>
      </c>
    </row>
    <row r="3" ht="50" customHeight="1">
      <c r="A3" s="4" t="str">
        <v>AOW02: Accelerating Change Through Evidence</v>
      </c>
      <c r="B3" s="4" t="str">
        <v xml:space="preserve">Fundación Defensores de la Naturaleza </v>
      </c>
      <c r="C3" s="4" t="str">
        <v>Bioversity (Alliance)</v>
      </c>
      <c r="D3" s="4" t="str">
        <v>Guatemala</v>
      </c>
      <c r="E3" s="5">
        <v>10000</v>
      </c>
      <c r="F3" s="4" t="str">
        <v>Gender and digital grant from Sweden w2</v>
      </c>
      <c r="G3" s="4">
        <v>589</v>
      </c>
    </row>
    <row r="4" ht="50" customHeight="1">
      <c r="A4" s="4" t="str">
        <v>AOW02: Accelerating Change Through Evidence</v>
      </c>
      <c r="B4" s="4" t="str">
        <v>Instituto Privado de Investigación sobre Cambio Climático</v>
      </c>
      <c r="C4" s="4" t="str">
        <v>Bioversity (Alliance)</v>
      </c>
      <c r="D4" s="4" t="str">
        <v>Guatemala</v>
      </c>
      <c r="E4" s="5">
        <v>10000</v>
      </c>
      <c r="F4" s="4" t="str">
        <v>Gender and digital grant from Sweden w2</v>
      </c>
      <c r="G4" s="4">
        <v>590</v>
      </c>
    </row>
    <row r="5" ht="25" customHeight="1">
      <c r="B5" s="9" t="str">
        <v>Contracted partners subtotal</v>
      </c>
      <c r="E5" s="9">
        <v>45000</v>
      </c>
      <c r="F5" s="9" t="str">
        <v/>
      </c>
      <c r="G5" s="9" t="str">
        <v/>
      </c>
    </row>
  </sheetData>
  <mergeCells count="2">
    <mergeCell ref="B5:D5"/>
    <mergeCell ref="A2: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Bioversity (Alliance)</v>
      </c>
      <c r="C2" s="4" t="str">
        <v>Area of Work Leads</v>
      </c>
      <c r="D2" s="5">
        <v>160079</v>
      </c>
      <c r="E2" s="4" t="str">
        <v>50% FTE and operational budget</v>
      </c>
      <c r="F2" s="4">
        <v>211</v>
      </c>
      <c r="G2" s="4">
        <v>3</v>
      </c>
    </row>
    <row r="3" ht="25" customHeight="1">
      <c r="C3" s="9" t="str">
        <v>Cross-cutting budget subtotal</v>
      </c>
      <c r="D3" s="9">
        <v>160079</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134895</v>
      </c>
      <c r="C2" s="5">
        <v>171000</v>
      </c>
      <c r="D2" s="5">
        <v>223761</v>
      </c>
      <c r="E2" s="5">
        <v>0</v>
      </c>
      <c r="F2" s="5">
        <f>=SUM(B2:E2)</f>
        <v>0</v>
      </c>
    </row>
    <row r="3" ht="20" customHeight="1">
      <c r="A3" s="4" t="str">
        <v>Operations (supplies, consultants, travels, workshops, other)</v>
      </c>
      <c r="B3" s="5">
        <v>25184</v>
      </c>
      <c r="C3" s="5">
        <v>56500</v>
      </c>
      <c r="D3" s="5">
        <v>195489</v>
      </c>
      <c r="E3" s="5">
        <v>0</v>
      </c>
      <c r="F3" s="5">
        <f>=SUM(B3:E3)</f>
        <v>0</v>
      </c>
    </row>
    <row r="4" ht="20" customHeight="1">
      <c r="A4" s="4" t="str">
        <v>Collaborators non-CGIAR centers</v>
      </c>
      <c r="B4" s="5">
        <v>0</v>
      </c>
      <c r="C4" s="5">
        <v>0</v>
      </c>
      <c r="D4" s="5">
        <v>45000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2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Canada</v>
      </c>
      <c r="D2" s="5">
        <v>100</v>
      </c>
      <c r="E2" s="4">
        <v>2549</v>
      </c>
    </row>
    <row r="3" ht="45" customHeight="1">
      <c r="A3" s="8" t="str">
        <v>AOW01: Accelerating Solutions for Impact</v>
      </c>
      <c r="B3" s="4" t="str">
        <v>Bioversity (Alliance)</v>
      </c>
      <c r="C3" s="4" t="str">
        <v>Canada</v>
      </c>
      <c r="D3" s="5">
        <v>31</v>
      </c>
      <c r="E3" s="4">
        <v>2033</v>
      </c>
    </row>
    <row r="4" ht="45" customHeight="1">
      <c r="A4" s="4" t="str">
        <v>AOW01: Accelerating Solutions for Impact</v>
      </c>
      <c r="B4" s="4" t="str">
        <v>Bioversity (Alliance)</v>
      </c>
      <c r="C4" s="4" t="str">
        <v>Egypt</v>
      </c>
      <c r="D4" s="5">
        <v>5</v>
      </c>
      <c r="E4" s="4">
        <v>1179</v>
      </c>
    </row>
    <row r="5" ht="45" customHeight="1">
      <c r="A5" s="4" t="str">
        <v>AOW01: Accelerating Solutions for Impact</v>
      </c>
      <c r="B5" s="4" t="str">
        <v>Bioversity (Alliance)</v>
      </c>
      <c r="C5" s="4" t="str">
        <v>Guatemala</v>
      </c>
      <c r="D5" s="5">
        <v>7</v>
      </c>
      <c r="E5" s="4">
        <v>1181</v>
      </c>
    </row>
    <row r="6" ht="45" customHeight="1">
      <c r="A6" s="4" t="str">
        <v>AOW01: Accelerating Solutions for Impact</v>
      </c>
      <c r="B6" s="4" t="str">
        <v>Bioversity (Alliance)</v>
      </c>
      <c r="C6" s="4" t="str">
        <v>Honduras</v>
      </c>
      <c r="D6" s="5">
        <v>7</v>
      </c>
      <c r="E6" s="4">
        <v>1182</v>
      </c>
    </row>
    <row r="7" ht="45" customHeight="1">
      <c r="A7" s="4" t="str">
        <v>AOW01: Accelerating Solutions for Impact</v>
      </c>
      <c r="B7" s="4" t="str">
        <v>Bioversity (Alliance)</v>
      </c>
      <c r="C7" s="4" t="str">
        <v>India</v>
      </c>
      <c r="D7" s="5">
        <v>19</v>
      </c>
      <c r="E7" s="4">
        <v>1178</v>
      </c>
    </row>
    <row r="8" ht="45" customHeight="1">
      <c r="A8" s="4" t="str">
        <v>AOW01: Accelerating Solutions for Impact</v>
      </c>
      <c r="B8" s="4" t="str">
        <v>Bioversity (Alliance)</v>
      </c>
      <c r="C8" s="4" t="str">
        <v>Jordan</v>
      </c>
      <c r="D8" s="5">
        <v>3</v>
      </c>
      <c r="E8" s="4">
        <v>1185</v>
      </c>
    </row>
    <row r="9" ht="45" customHeight="1">
      <c r="A9" s="4" t="str">
        <v>AOW01: Accelerating Solutions for Impact</v>
      </c>
      <c r="B9" s="4" t="str">
        <v>Bioversity (Alliance)</v>
      </c>
      <c r="C9" s="4" t="str">
        <v>Mozambique</v>
      </c>
      <c r="D9" s="5">
        <v>3</v>
      </c>
      <c r="E9" s="4">
        <v>1184</v>
      </c>
    </row>
    <row r="10" ht="45" customHeight="1">
      <c r="A10" s="4" t="str">
        <v>AOW01: Accelerating Solutions for Impact</v>
      </c>
      <c r="B10" s="4" t="str">
        <v>Bioversity (Alliance)</v>
      </c>
      <c r="C10" s="4" t="str">
        <v>Peru</v>
      </c>
      <c r="D10" s="5">
        <v>9</v>
      </c>
      <c r="E10" s="4">
        <v>3234</v>
      </c>
    </row>
    <row r="11" ht="45" customHeight="1">
      <c r="A11" s="4" t="str">
        <v>AOW01: Accelerating Solutions for Impact</v>
      </c>
      <c r="B11" s="4" t="str">
        <v>Bioversity (Alliance)</v>
      </c>
      <c r="C11" s="4" t="str">
        <v>Tanzania</v>
      </c>
      <c r="D11" s="5">
        <v>2</v>
      </c>
      <c r="E11" s="4">
        <v>1189</v>
      </c>
    </row>
    <row r="12" ht="45" customHeight="1">
      <c r="A12" s="4" t="str">
        <v>AOW01: Accelerating Solutions for Impact</v>
      </c>
      <c r="B12" s="4" t="str">
        <v>Bioversity (Alliance)</v>
      </c>
      <c r="C12" s="4" t="str">
        <v>Uganda</v>
      </c>
      <c r="D12" s="5">
        <v>11</v>
      </c>
      <c r="E12" s="4">
        <v>1180</v>
      </c>
    </row>
    <row r="13" ht="45" customHeight="1">
      <c r="A13" s="4" t="str">
        <v>AOW01: Accelerating Solutions for Impact</v>
      </c>
      <c r="B13" s="4" t="str">
        <v>Bioversity (Alliance)</v>
      </c>
      <c r="C13" s="4" t="str">
        <v>United Republic</v>
      </c>
      <c r="D13" s="5">
        <v>0</v>
      </c>
      <c r="E13" s="4">
        <v>1188</v>
      </c>
    </row>
    <row r="14" ht="45" customHeight="1">
      <c r="A14" s="4" t="str">
        <v>AOW01: Accelerating Solutions for Impact</v>
      </c>
      <c r="B14" s="4" t="str">
        <v>Bioversity (Alliance)</v>
      </c>
      <c r="C14" s="4" t="str">
        <v>Zimbabwe</v>
      </c>
      <c r="D14" s="5">
        <v>3</v>
      </c>
      <c r="E14" s="4">
        <v>1186</v>
      </c>
    </row>
    <row r="15" ht="45" customHeight="1">
      <c r="A15" s="8" t="str">
        <v>AOW02: Accelerating Change Through Evidence</v>
      </c>
      <c r="B15" s="4" t="str">
        <v>Bioversity (Alliance)</v>
      </c>
      <c r="C15" s="4" t="str">
        <v>Canada</v>
      </c>
      <c r="D15" s="5">
        <v>7</v>
      </c>
      <c r="E15" s="4">
        <v>1193</v>
      </c>
    </row>
    <row r="16" ht="45" customHeight="1">
      <c r="A16" s="4" t="str">
        <v>AOW02: Accelerating Change Through Evidence</v>
      </c>
      <c r="B16" s="4" t="str">
        <v>Bioversity (Alliance)</v>
      </c>
      <c r="C16" s="4" t="str">
        <v>Colombia</v>
      </c>
      <c r="D16" s="5">
        <v>20</v>
      </c>
      <c r="E16" s="4">
        <v>1197</v>
      </c>
    </row>
    <row r="17" ht="45" customHeight="1">
      <c r="A17" s="4" t="str">
        <v>AOW02: Accelerating Change Through Evidence</v>
      </c>
      <c r="B17" s="4" t="str">
        <v>Bioversity (Alliance)</v>
      </c>
      <c r="C17" s="4" t="str">
        <v>Ethiopia</v>
      </c>
      <c r="D17" s="5">
        <v>11</v>
      </c>
      <c r="E17" s="4">
        <v>2034</v>
      </c>
    </row>
    <row r="18" ht="45" customHeight="1">
      <c r="A18" s="4" t="str">
        <v>AOW02: Accelerating Change Through Evidence</v>
      </c>
      <c r="B18" s="4" t="str">
        <v>Bioversity (Alliance)</v>
      </c>
      <c r="C18" s="4" t="str">
        <v>Germany</v>
      </c>
      <c r="D18" s="5">
        <v>1</v>
      </c>
      <c r="E18" s="4">
        <v>3410</v>
      </c>
    </row>
    <row r="19" ht="45" customHeight="1">
      <c r="A19" s="4" t="str">
        <v>AOW02: Accelerating Change Through Evidence</v>
      </c>
      <c r="B19" s="4" t="str">
        <v>Bioversity (Alliance)</v>
      </c>
      <c r="C19" s="4" t="str">
        <v>Guatemala</v>
      </c>
      <c r="D19" s="5">
        <v>20</v>
      </c>
      <c r="E19" s="4">
        <v>3411</v>
      </c>
    </row>
    <row r="20" ht="45" customHeight="1">
      <c r="A20" s="4" t="str">
        <v>AOW02: Accelerating Change Through Evidence</v>
      </c>
      <c r="B20" s="4" t="str">
        <v>Bioversity (Alliance)</v>
      </c>
      <c r="C20" s="4" t="str">
        <v>Italy</v>
      </c>
      <c r="D20" s="5">
        <v>5</v>
      </c>
      <c r="E20" s="4">
        <v>1190</v>
      </c>
    </row>
    <row r="21" ht="45" customHeight="1">
      <c r="A21" s="4" t="str">
        <v>AOW02: Accelerating Change Through Evidence</v>
      </c>
      <c r="B21" s="4" t="str">
        <v>Bioversity (Alliance)</v>
      </c>
      <c r="C21" s="4" t="str">
        <v>Kenya</v>
      </c>
      <c r="D21" s="5">
        <v>9</v>
      </c>
      <c r="E21" s="4">
        <v>1196</v>
      </c>
    </row>
    <row r="22" ht="45" customHeight="1">
      <c r="A22" s="4" t="str">
        <v>AOW02: Accelerating Change Through Evidence</v>
      </c>
      <c r="B22" s="4" t="str">
        <v>Bioversity (Alliance)</v>
      </c>
      <c r="C22" s="4" t="str">
        <v>Mexico</v>
      </c>
      <c r="D22" s="5">
        <v>0</v>
      </c>
      <c r="E22" s="4">
        <v>1198</v>
      </c>
    </row>
    <row r="23" ht="45" customHeight="1">
      <c r="A23" s="4" t="str">
        <v>AOW02: Accelerating Change Through Evidence</v>
      </c>
      <c r="B23" s="4" t="str">
        <v>Bioversity (Alliance)</v>
      </c>
      <c r="C23" s="4" t="str">
        <v>Netherlands (Kingdom of the)</v>
      </c>
      <c r="D23" s="5">
        <v>4</v>
      </c>
      <c r="E23" s="4">
        <v>1192</v>
      </c>
    </row>
    <row r="24" ht="45" customHeight="1">
      <c r="A24" s="4" t="str">
        <v>AOW02: Accelerating Change Through Evidence</v>
      </c>
      <c r="B24" s="4" t="str">
        <v>Bioversity (Alliance)</v>
      </c>
      <c r="C24" s="4" t="str">
        <v>Peru</v>
      </c>
      <c r="D24" s="5">
        <v>4</v>
      </c>
      <c r="E24" s="4">
        <v>1195</v>
      </c>
    </row>
    <row r="25" ht="45" customHeight="1">
      <c r="A25" s="4" t="str">
        <v>AOW02: Accelerating Change Through Evidence</v>
      </c>
      <c r="B25" s="4" t="str">
        <v>Bioversity (Alliance)</v>
      </c>
      <c r="C25" s="4" t="str">
        <v>United Kingdom of Great Britain and Northern Ireland</v>
      </c>
      <c r="D25" s="5">
        <v>11</v>
      </c>
      <c r="E25" s="4">
        <v>1191</v>
      </c>
    </row>
    <row r="26" ht="45" customHeight="1">
      <c r="A26" s="4" t="str">
        <v>AOW02: Accelerating Change Through Evidence</v>
      </c>
      <c r="B26" s="4" t="str">
        <v>Bioversity (Alliance)</v>
      </c>
      <c r="C26" s="4" t="str">
        <v>United States of America</v>
      </c>
      <c r="D26" s="5">
        <v>8</v>
      </c>
      <c r="E26" s="4">
        <v>1194</v>
      </c>
    </row>
  </sheetData>
  <mergeCells count="3">
    <mergeCell ref="A2"/>
    <mergeCell ref="A3:A14"/>
    <mergeCell ref="A15:A26"/>
  </mergeCells>
  <ignoredErrors>
    <ignoredError numberStoredAsText="1" sqref="A1:E26"/>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906</v>
      </c>
    </row>
    <row r="3" ht="45" customHeight="1">
      <c r="A3" s="8" t="str">
        <v>AOW01: Accelerating Solutions for Impact</v>
      </c>
      <c r="B3" s="4" t="str">
        <v>Bioversity (Alliance)</v>
      </c>
      <c r="C3" s="4" t="str">
        <v>Global</v>
      </c>
      <c r="D3" s="4" t="str">
        <v>global</v>
      </c>
      <c r="E3" s="5">
        <v>20</v>
      </c>
      <c r="F3" s="4">
        <v>707</v>
      </c>
    </row>
    <row r="4" ht="45" customHeight="1">
      <c r="A4" s="4" t="str">
        <v>AOW01: Accelerating Solutions for Impact</v>
      </c>
      <c r="B4" s="4" t="str">
        <v>Bioversity (Alliance)</v>
      </c>
      <c r="C4" s="4" t="str">
        <v>Africa</v>
      </c>
      <c r="D4" s="4" t="str">
        <v>region</v>
      </c>
      <c r="E4" s="5">
        <v>40</v>
      </c>
      <c r="F4" s="4">
        <v>405</v>
      </c>
    </row>
    <row r="5" ht="45" customHeight="1">
      <c r="A5" s="4" t="str">
        <v>AOW01: Accelerating Solutions for Impact</v>
      </c>
      <c r="B5" s="4" t="str">
        <v>Bioversity (Alliance)</v>
      </c>
      <c r="C5" s="4" t="str">
        <v>Americas</v>
      </c>
      <c r="D5" s="4" t="str">
        <v>region</v>
      </c>
      <c r="E5" s="5">
        <v>20</v>
      </c>
      <c r="F5" s="4">
        <v>407</v>
      </c>
    </row>
    <row r="6" ht="45" customHeight="1">
      <c r="A6" s="4" t="str">
        <v>AOW01: Accelerating Solutions for Impact</v>
      </c>
      <c r="B6" s="4" t="str">
        <v>Bioversity (Alliance)</v>
      </c>
      <c r="C6" s="4" t="str">
        <v>Asia</v>
      </c>
      <c r="D6" s="4" t="str">
        <v>region</v>
      </c>
      <c r="E6" s="5">
        <v>20</v>
      </c>
      <c r="F6" s="4">
        <v>406</v>
      </c>
    </row>
    <row r="7" ht="45" customHeight="1">
      <c r="A7" s="8" t="str">
        <v>AOW02: Accelerating Change Through Evidence</v>
      </c>
      <c r="B7" s="4" t="str">
        <v>Bioversity (Alliance)</v>
      </c>
      <c r="C7" s="4" t="str">
        <v>Global</v>
      </c>
      <c r="D7" s="4" t="str">
        <v>global</v>
      </c>
      <c r="E7" s="5">
        <v>50</v>
      </c>
      <c r="F7" s="4">
        <v>408</v>
      </c>
    </row>
    <row r="8" ht="45" customHeight="1">
      <c r="A8" s="4" t="str">
        <v>AOW02: Accelerating Change Through Evidence</v>
      </c>
      <c r="B8" s="4" t="str">
        <v>Bioversity (Alliance)</v>
      </c>
      <c r="C8" s="4" t="str">
        <v>Colombia</v>
      </c>
      <c r="D8" s="4" t="str">
        <v>country</v>
      </c>
      <c r="E8" s="5">
        <v>25</v>
      </c>
      <c r="F8" s="4">
        <v>1711</v>
      </c>
    </row>
    <row r="9" ht="45" customHeight="1">
      <c r="A9" s="4" t="str">
        <v>AOW02: Accelerating Change Through Evidence</v>
      </c>
      <c r="B9" s="4" t="str">
        <v>Bioversity (Alliance)</v>
      </c>
      <c r="C9" s="4" t="str">
        <v>Guatemala</v>
      </c>
      <c r="D9" s="4" t="str">
        <v>country</v>
      </c>
      <c r="E9" s="5">
        <v>25</v>
      </c>
      <c r="F9" s="4">
        <v>1712</v>
      </c>
    </row>
  </sheetData>
  <mergeCells count="3">
    <mergeCell ref="A2"/>
    <mergeCell ref="A3:A6"/>
    <mergeCell ref="A7: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