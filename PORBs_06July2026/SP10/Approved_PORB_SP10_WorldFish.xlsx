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210</v>
      </c>
    </row>
    <row r="5" ht="20" customHeight="1">
      <c r="A5" s="4" t="str">
        <v>AOW01: Accelerating Solutions for Impact</v>
      </c>
      <c r="B5" s="5">
        <v>0</v>
      </c>
      <c r="C5" s="5">
        <v>0</v>
      </c>
      <c r="D5" s="5">
        <v>2</v>
      </c>
      <c r="E5" s="5">
        <v>187500</v>
      </c>
      <c r="F5" s="5">
        <v>0</v>
      </c>
      <c r="G5" s="5">
        <v>0</v>
      </c>
      <c r="H5" s="5">
        <v>0</v>
      </c>
      <c r="I5" s="5">
        <v>0</v>
      </c>
      <c r="J5" s="5">
        <v>187500</v>
      </c>
      <c r="K5" s="5">
        <v>187500</v>
      </c>
      <c r="L5" s="5">
        <v>30000</v>
      </c>
      <c r="M5" s="5">
        <v>0</v>
      </c>
      <c r="N5" s="4">
        <v>209</v>
      </c>
    </row>
    <row r="6" ht="20" customHeight="1">
      <c r="A6" s="4" t="str">
        <v>AOW02: Accelerating Change Through Evidence</v>
      </c>
      <c r="B6" s="5">
        <v>0</v>
      </c>
      <c r="C6" s="5">
        <v>0</v>
      </c>
      <c r="D6" s="5">
        <v>9</v>
      </c>
      <c r="E6" s="5">
        <v>167875</v>
      </c>
      <c r="F6" s="5">
        <v>102</v>
      </c>
      <c r="G6" s="5">
        <v>147817</v>
      </c>
      <c r="H6" s="5">
        <v>0</v>
      </c>
      <c r="I6" s="5">
        <v>0</v>
      </c>
      <c r="J6" s="5">
        <v>315692</v>
      </c>
      <c r="K6" s="5">
        <v>315692</v>
      </c>
      <c r="L6" s="5">
        <v>25791</v>
      </c>
      <c r="M6" s="5">
        <v>0</v>
      </c>
      <c r="N6" s="4">
        <v>208</v>
      </c>
    </row>
    <row r="7" ht="20" customHeight="1">
      <c r="A7" s="4" t="str">
        <v>AOW03: Youth Thrive</v>
      </c>
      <c r="B7" s="5">
        <v>0</v>
      </c>
      <c r="C7" s="5">
        <v>0</v>
      </c>
      <c r="D7" s="5">
        <v>3</v>
      </c>
      <c r="E7" s="5">
        <v>110000</v>
      </c>
      <c r="F7" s="5">
        <v>0</v>
      </c>
      <c r="G7" s="5">
        <v>0</v>
      </c>
      <c r="H7" s="5">
        <v>0</v>
      </c>
      <c r="I7" s="5">
        <v>0</v>
      </c>
      <c r="J7" s="5">
        <v>110000</v>
      </c>
      <c r="K7" s="5">
        <v>110000</v>
      </c>
      <c r="L7" s="5">
        <v>0</v>
      </c>
      <c r="M7" s="5">
        <v>0</v>
      </c>
      <c r="N7" s="4">
        <v>207</v>
      </c>
    </row>
    <row r="8" ht="25" customHeight="1">
      <c r="A8" s="6" t="str">
        <v>Total</v>
      </c>
      <c r="B8" s="7" t="str">
        <v/>
      </c>
      <c r="C8" s="7">
        <v>0</v>
      </c>
      <c r="D8" s="7" t="str">
        <v/>
      </c>
      <c r="E8" s="7">
        <v>465375</v>
      </c>
      <c r="F8" s="7" t="str">
        <v/>
      </c>
      <c r="G8" s="7">
        <v>147817</v>
      </c>
      <c r="H8" s="7" t="str">
        <v/>
      </c>
      <c r="I8" s="7">
        <v>0</v>
      </c>
      <c r="J8" s="7">
        <v>613192</v>
      </c>
      <c r="K8" s="7">
        <v>613192</v>
      </c>
      <c r="L8" s="7">
        <v>55791</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1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Solutions for Impact</v>
      </c>
      <c r="B3" s="4" t="str">
        <v>WorldFish</v>
      </c>
      <c r="C3" s="4" t="str">
        <v xml:space="preserve">1.3.2: Financial and extension systems for resources and livelihoods </v>
      </c>
      <c r="D3" s="4" t="str">
        <v>Journal article and blog on the status of financial inclusion in women in fisheries and aquaculture sector in Tanzania research project</v>
      </c>
      <c r="E3" s="4" t="str">
        <v>Number of knowledge products</v>
      </c>
      <c r="F3" s="4" t="str">
        <v>Tanzania, United Republic</v>
      </c>
      <c r="G3" s="5">
        <v>2</v>
      </c>
      <c r="H3" s="5">
        <v>187500</v>
      </c>
      <c r="I3" s="4" t="str">
        <v>covers cots for research and write a journal article and a blog on financial inclusion for women in Tanzania's fisheries and aquaculture sector, plusfor data collection, stakeholder interviews, and publication or open-access fees.</v>
      </c>
      <c r="J3" s="4">
        <v>6132</v>
      </c>
    </row>
    <row r="4" ht="25" customHeight="1">
      <c r="C4" s="9" t="str">
        <v>HLO budget subtotal</v>
      </c>
      <c r="H4" s="9">
        <v>187500</v>
      </c>
      <c r="J4" s="9" t="str">
        <v/>
      </c>
    </row>
    <row r="5" ht="50" customHeight="1">
      <c r="A5" s="8" t="str">
        <v>AOW02: Accelerating Change Through Evidence</v>
      </c>
      <c r="B5" s="4" t="str">
        <v>WorldFish</v>
      </c>
      <c r="C5" s="4" t="str">
        <v>2.1.3: Tools for measuring empowerment and inclusion</v>
      </c>
      <c r="D5" s="4" t="str">
        <v>Capacity building on the use of WEFI quantitative and qualitative instruments</v>
      </c>
      <c r="E5" s="4" t="str">
        <v>Number of people trained (capacity sharing for development)</v>
      </c>
      <c r="F5" s="4" t="str">
        <v>Kenya</v>
      </c>
      <c r="G5" s="5">
        <v>60</v>
      </c>
      <c r="H5" s="5">
        <v>82500</v>
      </c>
      <c r="I5" s="4" t="str">
        <v>Costs to cover 60pax for a training</v>
      </c>
      <c r="J5" s="4">
        <v>6175</v>
      </c>
    </row>
    <row r="6" ht="50" customHeight="1">
      <c r="B6" s="4" t="str">
        <v>WorldFish</v>
      </c>
      <c r="D6" s="4" t="str">
        <v>Knowledge products related to WEFI applications in the inland water systems, aquaculture and in the marine ecosystems</v>
      </c>
      <c r="E6" s="4" t="str">
        <v>Number of knowledge products</v>
      </c>
      <c r="F6" s="4" t="str">
        <v>Kenya</v>
      </c>
      <c r="G6" s="5">
        <v>2</v>
      </c>
      <c r="H6" s="5">
        <v>30000</v>
      </c>
      <c r="I6" s="4" t="str">
        <v>Cost to produce a publication</v>
      </c>
      <c r="J6" s="4">
        <v>6176</v>
      </c>
    </row>
    <row r="7" ht="50" customHeight="1">
      <c r="A7" s="4" t="str">
        <v>AOW02: Accelerating Change Through Evidence</v>
      </c>
      <c r="B7" s="4" t="str">
        <v>WorldFish</v>
      </c>
      <c r="C7" s="4" t="str">
        <v>2.2.3: Co-design with Science Programs and Partners for integrating evidence-based solutions for equality, youth, resilience, and nutrition</v>
      </c>
      <c r="D7" s="4" t="str">
        <v>Center Needs Assessments and strategic roadmaps developed to identify institutional priorities, enabling conditions and opportunities for streamlining human-centered and inclusive digital product development</v>
      </c>
      <c r="E7" s="4" t="str">
        <v>Number of knowledge products</v>
      </c>
      <c r="F7" s="4" t="str">
        <v>United States of America, Kenya, Benin, Peru, Nepal, India, Egypt, Côte d'Ivoire, Malaysia, Germany, Philippines</v>
      </c>
      <c r="G7" s="5">
        <v>1</v>
      </c>
      <c r="H7" s="5">
        <v>25000</v>
      </c>
      <c r="I7" s="4" t="str">
        <v>This KPI and budget is for the Digital Transformation Accelerator from the Sweden W2 funding. GENDER only 'hosting' the budget but all responsibility for delivery and reporting is with DTA.</v>
      </c>
      <c r="J7" s="4">
        <v>8577</v>
      </c>
    </row>
    <row r="8" ht="50" customHeight="1">
      <c r="B8" s="4" t="str">
        <v>WorldFish</v>
      </c>
      <c r="D8" s="4" t="str">
        <v>South-South Mentor–Mentee Fellowship and Leadership Development Programme that pairs NARS professionals with CGIAR gender and inclusion experts for 6–12 months of structured mentoring, leadership training, peer learning, and collaborative action-learning projects designed and implemented</v>
      </c>
      <c r="E8" s="4" t="str">
        <v>Number of people trained (capacity sharing for development)</v>
      </c>
      <c r="F8" s="4" t="str">
        <v>Malaysia, Kenya, Nigeria, The Socialist Republic of Viet Nam</v>
      </c>
      <c r="G8" s="5">
        <v>12</v>
      </c>
      <c r="H8" s="5">
        <v>55000</v>
      </c>
      <c r="I8" s="4" t="str">
        <v>This KPI and budget is for the CapSha Accelerator from the Sweden W2 funding. GENDER only 'hosting' the budget but all responsibility for delivery and reporting is with CapSha.</v>
      </c>
      <c r="J8" s="4">
        <v>8591</v>
      </c>
    </row>
    <row r="9" ht="50" customHeight="1">
      <c r="B9" s="4" t="str">
        <v>WorldFish</v>
      </c>
      <c r="D9" s="4" t="str">
        <v xml:space="preserve">AI-enabled market intelligence prototype for women fish traders — a co-designed, user-tested decision-support tool built on existing Peskas fisheries data infrastructure, with implementation guidance and recommendations for inclusive AI governance and scaling </v>
      </c>
      <c r="E9" s="4" t="str">
        <v>Number of knowledge products</v>
      </c>
      <c r="F9" s="4" t="str">
        <v>Tanzania, United Republic</v>
      </c>
      <c r="G9" s="5">
        <v>1</v>
      </c>
      <c r="H9" s="5">
        <v>48300</v>
      </c>
      <c r="I9" s="4" t="str">
        <v>Grant for gender and digital from Sweden w2 fuds</v>
      </c>
      <c r="J9" s="4">
        <v>8611</v>
      </c>
    </row>
    <row r="10" ht="50" customHeight="1">
      <c r="B10" s="4" t="str">
        <v>WorldFish</v>
      </c>
      <c r="D10" s="4" t="str">
        <v>Open-access, FAIR gender-disaggregated datasets on fisheries market systems, information flows, constraints, and women trader behaviour published</v>
      </c>
      <c r="E10" s="4" t="str">
        <v>Number of knowledge products</v>
      </c>
      <c r="F10" s="4" t="str">
        <v>Tanzania, United Republic</v>
      </c>
      <c r="G10" s="5">
        <v>1</v>
      </c>
      <c r="H10" s="5">
        <v>23445</v>
      </c>
      <c r="I10" s="4" t="str">
        <v>Grant for gender and digital from Sweden w2 fuds</v>
      </c>
      <c r="J10" s="4">
        <v>8612</v>
      </c>
    </row>
    <row r="11" ht="50" customHeight="1">
      <c r="B11" s="4" t="str">
        <v>WorldFish</v>
      </c>
      <c r="D11" s="4" t="str">
        <v xml:space="preserve">Pre-registered research protocol and 1 peer-reviewed journal manuscript on gender-responsive digital innovation and AI-enabled market systems in African small-scale fisheries </v>
      </c>
      <c r="E11" s="4" t="str">
        <v>Number of knowledge products</v>
      </c>
      <c r="F11" s="4" t="str">
        <v>Tanzania, United Republic</v>
      </c>
      <c r="G11" s="5">
        <v>1</v>
      </c>
      <c r="H11" s="5">
        <v>18757</v>
      </c>
      <c r="I11" s="4" t="str">
        <v>Grant for gender and digital from Sweden w2 fuds</v>
      </c>
      <c r="J11" s="4">
        <v>8613</v>
      </c>
    </row>
    <row r="12" ht="50" customHeight="1">
      <c r="B12" s="4" t="str">
        <v>WorldFish</v>
      </c>
      <c r="D12" s="4" t="str">
        <v xml:space="preserve">Policy brief and implementation guidance on inclusive AI governance and digital fisheries transformation, linked to AU-IBAR and Zanzibar Blue Economy strategies </v>
      </c>
      <c r="E12" s="4" t="str">
        <v>Number of knowledge products</v>
      </c>
      <c r="F12" s="4" t="str">
        <v>Tanzania, United Republic</v>
      </c>
      <c r="G12" s="5">
        <v>2</v>
      </c>
      <c r="H12" s="5">
        <v>14401</v>
      </c>
      <c r="I12" s="4" t="str">
        <v>Grant for gender and digital from Sweden w2 fuds</v>
      </c>
      <c r="J12" s="4">
        <v>8614</v>
      </c>
    </row>
    <row r="13" ht="50" customHeight="1">
      <c r="B13" s="4" t="str">
        <v>WorldFish</v>
      </c>
      <c r="D13" s="4" t="str">
        <v xml:space="preserve">Training of women fish traders, NARES partners (TAFIRI, ZAFIRI), and early/mid-career researchers on FAIR fisheries data management, gender-responsive digital design, and AI literacy </v>
      </c>
      <c r="E13" s="4" t="str">
        <v>Number of people trained (capacity sharing for development)</v>
      </c>
      <c r="F13" s="4" t="str">
        <v>Tanzania, United Republic</v>
      </c>
      <c r="G13" s="5">
        <v>30</v>
      </c>
      <c r="H13" s="5">
        <v>10317</v>
      </c>
      <c r="I13" s="4" t="str">
        <v>Grant for gender and digital from Sweden w2 fuds</v>
      </c>
      <c r="J13" s="4">
        <v>8615</v>
      </c>
    </row>
    <row r="14" ht="50" customHeight="1">
      <c r="B14" s="4" t="str">
        <v>WorldFish</v>
      </c>
      <c r="D14" s="4" t="str">
        <v xml:space="preserve">Scalable framework for adapting and evaluating AI-enabled market intelligence systems across African SSF — designed for replication in Kenya, Tanzania, Mozambique, and beyond </v>
      </c>
      <c r="E14" s="4" t="str">
        <v>Number of knowledge products</v>
      </c>
      <c r="F14" s="4" t="str">
        <v>Tanzania, United Republic</v>
      </c>
      <c r="G14" s="5">
        <v>1</v>
      </c>
      <c r="H14" s="5">
        <v>7972</v>
      </c>
      <c r="I14" s="4" t="str">
        <v>Grant for gender and digital from Sweden w2 fuds</v>
      </c>
      <c r="J14" s="4">
        <v>8616</v>
      </c>
    </row>
    <row r="15" ht="25" customHeight="1">
      <c r="C15" s="9" t="str">
        <v>HLO budget subtotal</v>
      </c>
      <c r="H15" s="9">
        <v>315692</v>
      </c>
      <c r="J15" s="9" t="str">
        <v/>
      </c>
    </row>
    <row r="16" ht="50" customHeight="1">
      <c r="A16" s="8" t="str">
        <v>AOW03: Youth Thrive</v>
      </c>
      <c r="B16" s="4" t="str">
        <v>WorldFish</v>
      </c>
      <c r="C16" s="4" t="str">
        <v>3.1.3: Analysis of constraints and pathways for youth in FLWS</v>
      </c>
      <c r="D16" s="4" t="str">
        <v xml:space="preserve">A paper on gendered aspirations and structural constraints in Africa’s blue economy published from a study on youth in coastal Kenya </v>
      </c>
      <c r="E16" s="4" t="str">
        <v>Number of knowledge products</v>
      </c>
      <c r="F16" s="4" t="str">
        <v>Kenya</v>
      </c>
      <c r="G16" s="5">
        <v>1</v>
      </c>
      <c r="H16" s="5">
        <v>40000</v>
      </c>
      <c r="I16" s="4" t="str">
        <v>covers staff time to analyze study data on youth in coastal Kenya, plus operational budget for data cleaning, literature access, and peer review, and staff time to write and publish the journal paper.</v>
      </c>
      <c r="J16" s="4">
        <v>7593</v>
      </c>
    </row>
    <row r="17" ht="50" customHeight="1">
      <c r="B17" s="4" t="str">
        <v>WorldFish</v>
      </c>
      <c r="D17" s="4" t="str">
        <v>Evidence on youth’s participation in financial inclusion in Tanzania published in a brief</v>
      </c>
      <c r="E17" s="4" t="str">
        <v>Number of knowledge products</v>
      </c>
      <c r="F17" s="4" t="str">
        <v>Tanzania, United Republic</v>
      </c>
      <c r="G17" s="5">
        <v>1</v>
      </c>
      <c r="H17" s="5">
        <v>30000</v>
      </c>
      <c r="I17" s="4" t="str">
        <v>covers staff time to synthesize evidence on youth participation in financial services in Tanzania, plus operational budget for stakeholder validation and graphic design, and staff time to produce and share the published brief.</v>
      </c>
      <c r="J17" s="4">
        <v>7594</v>
      </c>
    </row>
    <row r="18" ht="50" customHeight="1">
      <c r="B18" s="4" t="str">
        <v>WorldFish</v>
      </c>
      <c r="D18" s="4" t="str">
        <v>Evidence on the status of youth engagement and aspirations to engage in agri and aquatic food systems in Tanzania published in a brief</v>
      </c>
      <c r="E18" s="4" t="str">
        <v>Number of knowledge products</v>
      </c>
      <c r="F18" s="4" t="str">
        <v>Tanzania, United Republic</v>
      </c>
      <c r="G18" s="5">
        <v>1</v>
      </c>
      <c r="H18" s="5">
        <v>40000</v>
      </c>
      <c r="I18" s="4" t="str">
        <v>covers staff time to analyze survey or qualitative data on youth aspirations in Tanzania, plus operational budget for fieldwork follow-up and translation, and staff time to write and disseminate the final brief.</v>
      </c>
      <c r="J18" s="4">
        <v>7595</v>
      </c>
    </row>
    <row r="19" ht="25" customHeight="1">
      <c r="C19" s="9" t="str">
        <v>HLO budget subtotal</v>
      </c>
      <c r="H19" s="9">
        <v>110000</v>
      </c>
      <c r="J19" s="9" t="str">
        <v/>
      </c>
    </row>
  </sheetData>
  <mergeCells count="15">
    <mergeCell ref="A1:A2"/>
    <mergeCell ref="B1:B2"/>
    <mergeCell ref="C1:C2"/>
    <mergeCell ref="D1:H1"/>
    <mergeCell ref="I1:I2"/>
    <mergeCell ref="J1:J2"/>
    <mergeCell ref="C4:G4"/>
    <mergeCell ref="A3:A4"/>
    <mergeCell ref="C5:C6"/>
    <mergeCell ref="C7:C14"/>
    <mergeCell ref="C15:G15"/>
    <mergeCell ref="A5:A15"/>
    <mergeCell ref="C16:C18"/>
    <mergeCell ref="C19:G19"/>
    <mergeCell ref="A16:A19"/>
  </mergeCells>
  <ignoredErrors>
    <ignoredError numberStoredAsText="1" sqref="A1:J19"/>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Accelerating Solutions for Impact</v>
      </c>
      <c r="B2" s="4" t="str">
        <v>University of Dar es Salaam</v>
      </c>
      <c r="C2" s="4" t="str">
        <v>WorldFish</v>
      </c>
      <c r="D2" s="4" t="str">
        <v>Tanzania, United Republic</v>
      </c>
      <c r="E2" s="5">
        <v>30000</v>
      </c>
      <c r="F2" s="4" t="str">
        <v>TBC</v>
      </c>
      <c r="G2" s="4">
        <v>107</v>
      </c>
    </row>
    <row r="3" ht="25" customHeight="1">
      <c r="B3" s="9" t="str">
        <v>Contracted partners subtotal</v>
      </c>
      <c r="E3" s="9">
        <v>30000</v>
      </c>
      <c r="F3" s="9" t="str">
        <v/>
      </c>
      <c r="G3" s="9" t="str">
        <v/>
      </c>
    </row>
    <row r="4" ht="50" customHeight="1">
      <c r="A4" s="8" t="str">
        <v>AOW02: Accelerating Change Through Evidence</v>
      </c>
      <c r="B4" s="4" t="str">
        <v>Unknown Partner 1</v>
      </c>
      <c r="C4" s="4" t="str">
        <v>WorldFish</v>
      </c>
      <c r="D4" s="4" t="str">
        <v>Tanzania, United Republic</v>
      </c>
      <c r="E4" s="5">
        <v>25791</v>
      </c>
      <c r="F4" s="4" t="str">
        <v>Gender and digital grant from the Sweden w2 funding. Partners TBD</v>
      </c>
      <c r="G4" s="4">
        <v>593</v>
      </c>
    </row>
    <row r="5" ht="25" customHeight="1">
      <c r="B5" s="9" t="str">
        <v>Contracted partners subtotal</v>
      </c>
      <c r="E5" s="9">
        <v>25791</v>
      </c>
      <c r="F5" s="9" t="str">
        <v/>
      </c>
      <c r="G5" s="9" t="str">
        <v/>
      </c>
    </row>
  </sheetData>
  <mergeCells count="4">
    <mergeCell ref="B3:D3"/>
    <mergeCell ref="A2:A3"/>
    <mergeCell ref="B5:D5"/>
    <mergeCell ref="A4:A5"/>
  </mergeCells>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WorldFish</v>
      </c>
      <c r="B2" s="4" t="str">
        <v>F-AG10607-ASIA-AFRICA BLUETECH SUPERHIGHWAY PROJECT (COAST)</v>
      </c>
      <c r="C2" s="4" t="str">
        <v>1.1 Pinpoint and act on restrictive norms</v>
      </c>
      <c r="D2" s="5">
        <v>824739</v>
      </c>
      <c r="E2" s="4" t="str">
        <v>N/A</v>
      </c>
      <c r="F2" s="4">
        <v>1178</v>
      </c>
    </row>
    <row r="3" ht="60" customHeight="1">
      <c r="A3" s="4" t="str">
        <v>WorldFish</v>
      </c>
      <c r="B3" s="4" t="str">
        <v>F-PP-2022-1020-Climate-Resilient Aquaculture Systems for Afr (AG10618)</v>
      </c>
      <c r="C3" s="4" t="str">
        <v>1.2 Evidence-based support for women and youth empowerment</v>
      </c>
      <c r="D3" s="5">
        <v>139737</v>
      </c>
      <c r="E3" s="4" t="str">
        <v>N/A</v>
      </c>
      <c r="F3" s="4">
        <v>1185</v>
      </c>
    </row>
    <row r="4" ht="25" customHeight="1">
      <c r="B4" s="9" t="str">
        <v>W3/Bilateral budget subtotal</v>
      </c>
      <c r="D4" s="9">
        <v>964476</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0</v>
      </c>
      <c r="C2" s="5">
        <v>70993</v>
      </c>
      <c r="D2" s="5">
        <v>165807</v>
      </c>
      <c r="E2" s="5">
        <v>106506</v>
      </c>
      <c r="F2" s="5">
        <f>=SUM(B2:E2)</f>
        <v>0</v>
      </c>
    </row>
    <row r="3" ht="20" customHeight="1">
      <c r="A3" s="4" t="str">
        <v>Operations (supplies, consultants, travels, workshops, other)</v>
      </c>
      <c r="B3" s="5">
        <v>0</v>
      </c>
      <c r="C3" s="5">
        <v>86507</v>
      </c>
      <c r="D3" s="5">
        <v>124094</v>
      </c>
      <c r="E3" s="5">
        <v>3494</v>
      </c>
      <c r="F3" s="5">
        <f>=SUM(B3:E3)</f>
        <v>0</v>
      </c>
    </row>
    <row r="4" ht="20" customHeight="1">
      <c r="A4" s="4" t="str">
        <v>Collaborators non-CGIAR centers</v>
      </c>
      <c r="B4" s="5">
        <v>0</v>
      </c>
      <c r="C4" s="5">
        <v>30000</v>
      </c>
      <c r="D4" s="5">
        <v>25791</v>
      </c>
      <c r="E4" s="5">
        <v>0</v>
      </c>
      <c r="F4" s="5">
        <f>=SUM(B4:E4)</f>
        <v>0</v>
      </c>
    </row>
    <row r="5" ht="20" customHeight="1">
      <c r="A5" s="6" t="str">
        <v>Subtotal</v>
      </c>
      <c r="B5" s="7">
        <f>=SUM(B2:B4)</f>
        <v>0</v>
      </c>
      <c r="C5" s="7">
        <f>=SUM(C2:C4)</f>
        <v>0</v>
      </c>
      <c r="D5" s="7">
        <f>=SUM(D2:D4)</f>
        <v>0</v>
      </c>
      <c r="E5" s="7">
        <f>=SUM(E2:E4)</f>
        <v>0</v>
      </c>
      <c r="F5" s="7">
        <f>=SUM(F2:F4)</f>
        <v>0</v>
      </c>
    </row>
  </sheetData>
  <ignoredErrors>
    <ignoredError numberStoredAsText="1" sqref="A1:F5"/>
  </ignoredErrors>
</worksheet>
</file>

<file path=xl/worksheets/sheet8.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Accelerating Solutions for Impact</v>
      </c>
      <c r="B2" s="4" t="str">
        <v>WorldFish</v>
      </c>
      <c r="C2" s="4" t="str">
        <v>Tanzania</v>
      </c>
      <c r="D2" s="5">
        <v>100</v>
      </c>
      <c r="E2" s="4">
        <v>932</v>
      </c>
    </row>
    <row r="3" ht="45" customHeight="1">
      <c r="A3" s="8" t="str">
        <v>AOW02: Accelerating Change Through Evidence</v>
      </c>
      <c r="B3" s="4" t="str">
        <v>WorldFish</v>
      </c>
      <c r="C3" s="4" t="str">
        <v>Kenya</v>
      </c>
      <c r="D3" s="5">
        <v>36</v>
      </c>
      <c r="E3" s="4">
        <v>347</v>
      </c>
    </row>
    <row r="4" ht="45" customHeight="1">
      <c r="A4" s="4" t="str">
        <v>AOW02: Accelerating Change Through Evidence</v>
      </c>
      <c r="B4" s="4" t="str">
        <v>WorldFish</v>
      </c>
      <c r="C4" s="4" t="str">
        <v>Malaysia</v>
      </c>
      <c r="D4" s="5">
        <v>25</v>
      </c>
      <c r="E4" s="4">
        <v>3416</v>
      </c>
    </row>
    <row r="5" ht="45" customHeight="1">
      <c r="A5" s="4" t="str">
        <v>AOW02: Accelerating Change Through Evidence</v>
      </c>
      <c r="B5" s="4" t="str">
        <v>WorldFish</v>
      </c>
      <c r="C5" s="4" t="str">
        <v>Tanzania</v>
      </c>
      <c r="D5" s="5">
        <v>39</v>
      </c>
      <c r="E5" s="4">
        <v>348</v>
      </c>
    </row>
    <row r="6" ht="45" customHeight="1">
      <c r="A6" s="8" t="str">
        <v>AOW03: Youth Thrive</v>
      </c>
      <c r="B6" s="4" t="str">
        <v>WorldFish</v>
      </c>
      <c r="C6" s="4" t="str">
        <v>Kenya</v>
      </c>
      <c r="D6" s="5">
        <v>36</v>
      </c>
      <c r="E6" s="4">
        <v>346</v>
      </c>
    </row>
    <row r="7" ht="45" customHeight="1">
      <c r="A7" s="4" t="str">
        <v>AOW03: Youth Thrive</v>
      </c>
      <c r="B7" s="4" t="str">
        <v>WorldFish</v>
      </c>
      <c r="C7" s="4" t="str">
        <v>Tanzania</v>
      </c>
      <c r="D7" s="5">
        <v>64</v>
      </c>
      <c r="E7" s="4">
        <v>345</v>
      </c>
    </row>
  </sheetData>
  <mergeCells count="3">
    <mergeCell ref="A2"/>
    <mergeCell ref="A3:A5"/>
    <mergeCell ref="A6:A7"/>
  </mergeCells>
  <ignoredErrors>
    <ignoredError numberStoredAsText="1" sqref="A1:E7"/>
  </ignoredErrors>
</worksheet>
</file>

<file path=xl/worksheets/sheet9.xml><?xml version="1.0" encoding="utf-8"?>
<worksheet xmlns="http://schemas.openxmlformats.org/spreadsheetml/2006/main" xmlns:r="http://schemas.openxmlformats.org/officeDocument/2006/relationships">
  <dimension ref="A1:F7"/>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Accelerating Solutions for Impact</v>
      </c>
      <c r="B2" s="4" t="str">
        <v>WorldFish</v>
      </c>
      <c r="C2" s="4" t="str">
        <v>Tanzania, United Republic</v>
      </c>
      <c r="D2" s="4" t="str">
        <v>country</v>
      </c>
      <c r="E2" s="5">
        <v>100</v>
      </c>
      <c r="F2" s="4">
        <v>260</v>
      </c>
    </row>
    <row r="3" ht="45" customHeight="1">
      <c r="A3" s="8" t="str">
        <v>AOW02: Accelerating Change Through Evidence</v>
      </c>
      <c r="B3" s="4" t="str">
        <v>WorldFish</v>
      </c>
      <c r="C3" s="4" t="str">
        <v>Global</v>
      </c>
      <c r="D3" s="4" t="str">
        <v>global</v>
      </c>
      <c r="E3" s="5">
        <v>25</v>
      </c>
      <c r="F3" s="4">
        <v>1717</v>
      </c>
    </row>
    <row r="4" ht="45" customHeight="1">
      <c r="A4" s="4" t="str">
        <v>AOW02: Accelerating Change Through Evidence</v>
      </c>
      <c r="B4" s="4" t="str">
        <v>WorldFish</v>
      </c>
      <c r="C4" s="4" t="str">
        <v>Kenya</v>
      </c>
      <c r="D4" s="4" t="str">
        <v>country</v>
      </c>
      <c r="E4" s="5">
        <v>35</v>
      </c>
      <c r="F4" s="4">
        <v>1694</v>
      </c>
    </row>
    <row r="5" ht="45" customHeight="1">
      <c r="A5" s="4" t="str">
        <v>AOW02: Accelerating Change Through Evidence</v>
      </c>
      <c r="B5" s="4" t="str">
        <v>WorldFish</v>
      </c>
      <c r="C5" s="4" t="str">
        <v>Tanzania, United Republic</v>
      </c>
      <c r="D5" s="4" t="str">
        <v>country</v>
      </c>
      <c r="E5" s="5">
        <v>40</v>
      </c>
      <c r="F5" s="4">
        <v>1718</v>
      </c>
    </row>
    <row r="6" ht="45" customHeight="1">
      <c r="A6" s="8" t="str">
        <v>AOW03: Youth Thrive</v>
      </c>
      <c r="B6" s="4" t="str">
        <v>WorldFish</v>
      </c>
      <c r="C6" s="4" t="str">
        <v>Kenya</v>
      </c>
      <c r="D6" s="4" t="str">
        <v>country</v>
      </c>
      <c r="E6" s="5">
        <v>50</v>
      </c>
      <c r="F6" s="4">
        <v>1695</v>
      </c>
    </row>
    <row r="7" ht="45" customHeight="1">
      <c r="A7" s="4" t="str">
        <v>AOW03: Youth Thrive</v>
      </c>
      <c r="B7" s="4" t="str">
        <v>WorldFish</v>
      </c>
      <c r="C7" s="4" t="str">
        <v>Tanzania, United Republic</v>
      </c>
      <c r="D7" s="4" t="str">
        <v>country</v>
      </c>
      <c r="E7" s="5">
        <v>50</v>
      </c>
      <c r="F7" s="4">
        <v>1696</v>
      </c>
    </row>
  </sheetData>
  <mergeCells count="3">
    <mergeCell ref="A2"/>
    <mergeCell ref="A3:A5"/>
    <mergeCell ref="A6:A7"/>
  </mergeCells>
  <ignoredErrors>
    <ignoredError numberStoredAsText="1" sqref="A1:F7"/>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