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2</v>
      </c>
      <c r="C5" s="5">
        <v>331613</v>
      </c>
      <c r="D5" s="5">
        <v>3</v>
      </c>
      <c r="E5" s="5">
        <v>140537</v>
      </c>
      <c r="F5" s="5">
        <v>0</v>
      </c>
      <c r="G5" s="5">
        <v>0</v>
      </c>
      <c r="H5" s="5">
        <v>0</v>
      </c>
      <c r="I5" s="5">
        <v>0</v>
      </c>
      <c r="J5" s="5">
        <v>472150</v>
      </c>
      <c r="K5" s="5">
        <v>472150</v>
      </c>
      <c r="L5" s="5">
        <v>66800</v>
      </c>
      <c r="M5" s="5">
        <v>0</v>
      </c>
      <c r="N5" s="4">
        <v>209</v>
      </c>
    </row>
    <row r="6" ht="20" customHeight="1">
      <c r="A6" s="4" t="str">
        <v>AOW02: Accelerating Change Through Evidence</v>
      </c>
      <c r="B6" s="5">
        <v>0</v>
      </c>
      <c r="C6" s="5">
        <v>0</v>
      </c>
      <c r="D6" s="5">
        <v>1</v>
      </c>
      <c r="E6" s="5">
        <v>25000</v>
      </c>
      <c r="F6" s="5">
        <v>12</v>
      </c>
      <c r="G6" s="5">
        <v>55000</v>
      </c>
      <c r="H6" s="5">
        <v>0</v>
      </c>
      <c r="I6" s="5">
        <v>0</v>
      </c>
      <c r="J6" s="5">
        <v>80000</v>
      </c>
      <c r="K6" s="5">
        <v>80000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331613</v>
      </c>
      <c r="D8" s="7" t="str">
        <v/>
      </c>
      <c r="E8" s="7">
        <v>165537</v>
      </c>
      <c r="F8" s="7" t="str">
        <v/>
      </c>
      <c r="G8" s="7">
        <v>55000</v>
      </c>
      <c r="H8" s="7" t="str">
        <v/>
      </c>
      <c r="I8" s="7">
        <v>0</v>
      </c>
      <c r="J8" s="7">
        <v>552150</v>
      </c>
      <c r="K8" s="7">
        <v>552150</v>
      </c>
      <c r="L8" s="7">
        <v>66800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IITA</v>
      </c>
      <c r="C3" s="4" t="str">
        <v>1.1.2: Interventions for addressing restrictive norms</v>
      </c>
      <c r="D3" s="4" t="str">
        <v xml:space="preserve">Profiles of the piloted gender-transformative interventions in Nigeria and Tanzania </v>
      </c>
      <c r="E3" s="4" t="str">
        <v>Number of innovations (innovation development)</v>
      </c>
      <c r="F3" s="4" t="str">
        <v>Nigeria, Tanzania, United Republic</v>
      </c>
      <c r="G3" s="5">
        <v>2</v>
      </c>
      <c r="H3" s="5">
        <v>331613</v>
      </c>
      <c r="I3" s="4" t="str">
        <v>Covers IITA staff costs to support partners piloting the various GT interventions. Budgets for partners to carry out the pilots and some operation budget to travel from the IITA research stations to the study/pilot sites with partners.</v>
      </c>
      <c r="J3" s="4">
        <v>6104</v>
      </c>
    </row>
    <row r="4" ht="50" customHeight="1">
      <c r="A4" s="4" t="str">
        <v>AOW01: Accelerating Solutions for Impact</v>
      </c>
      <c r="B4" s="4" t="str">
        <v>IITA</v>
      </c>
      <c r="C4" s="4" t="str">
        <v>1.1.3: Gender-transformative solutions for women's economic empowerment</v>
      </c>
      <c r="D4" s="4" t="str">
        <v>Endline protocols and surveys for Nigeria and Tanzania: study tools</v>
      </c>
      <c r="E4" s="4" t="str">
        <v>Number of knowledge products</v>
      </c>
      <c r="F4" s="4" t="str">
        <v>Tanzania, United Republic, Nigeria</v>
      </c>
      <c r="G4" s="5">
        <v>2</v>
      </c>
      <c r="H4" s="5">
        <v>110537</v>
      </c>
      <c r="I4" s="4" t="str">
        <v>Mostly covers IITA staff costs to develop the study protocols and tools, with support from partners.</v>
      </c>
      <c r="J4" s="4">
        <v>6109</v>
      </c>
    </row>
    <row r="5" ht="50" customHeight="1">
      <c r="B5" s="4" t="str">
        <v>IITA</v>
      </c>
      <c r="D5" s="4" t="str">
        <v>Published compendium of stories of gender-transformative change</v>
      </c>
      <c r="E5" s="4" t="str">
        <v>Number of knowledge products</v>
      </c>
      <c r="F5" s="4" t="str">
        <v>Tanzania, United Republic, Nigeria</v>
      </c>
      <c r="G5" s="5">
        <v>1</v>
      </c>
      <c r="H5" s="5">
        <v>30000</v>
      </c>
      <c r="I5" s="4" t="str">
        <v>A relatively equal share of budget to IITA staff and partners to develop the stories of change, with some operational funds to collect data.</v>
      </c>
      <c r="J5" s="4">
        <v>7230</v>
      </c>
    </row>
    <row r="6" ht="25" customHeight="1">
      <c r="C6" s="9" t="str">
        <v>HLO budget subtotal</v>
      </c>
      <c r="H6" s="9">
        <v>472150</v>
      </c>
      <c r="J6" s="9" t="str">
        <v/>
      </c>
    </row>
    <row r="7" ht="50" customHeight="1">
      <c r="A7" s="8" t="str">
        <v>AOW02: Accelerating Change Through Evidence</v>
      </c>
      <c r="B7" s="4" t="str">
        <v>IITA</v>
      </c>
      <c r="C7" s="4" t="str">
        <v>2.2.3: Co-design with Science Programs and Partners for integrating evidence-based solutions for equality, youth, resilience, and nutrition</v>
      </c>
      <c r="D7" s="4" t="str">
        <v>Center Needs Assessments and strategic roadmaps developed to identify institutional priorities, enabling conditions and opportunities for streamlining human-centered and inclusive digital product development</v>
      </c>
      <c r="E7" s="4" t="str">
        <v>Number of knowledge products</v>
      </c>
      <c r="F7" s="4" t="str">
        <v>United States of America, Kenya, Benin, Peru, Nepal, India, Egypt, Côte d'Ivoire, Malaysia, Germany, Philippines</v>
      </c>
      <c r="G7" s="5">
        <v>1</v>
      </c>
      <c r="H7" s="5">
        <v>25000</v>
      </c>
      <c r="I7" s="4" t="str">
        <v>This KPI and budget is for the Digital Transformation Accelerator from the Sweden W2 funding. GENDER only 'hosting' the budget but all responsibility for delivery and reporting is with DTA.</v>
      </c>
      <c r="J7" s="4">
        <v>8576</v>
      </c>
    </row>
    <row r="8" ht="50" customHeight="1">
      <c r="B8" s="4" t="str">
        <v>IITA</v>
      </c>
      <c r="D8" s="4" t="str">
        <v>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v>
      </c>
      <c r="E8" s="4" t="str">
        <v>Number of people trained (capacity sharing for development)</v>
      </c>
      <c r="F8" s="4" t="str">
        <v>Malaysia, Kenya, Nigeria, The Socialist Republic of Viet Nam</v>
      </c>
      <c r="G8" s="5">
        <v>12</v>
      </c>
      <c r="H8" s="5">
        <v>55000</v>
      </c>
      <c r="I8" s="4" t="str">
        <v>This KPI and budget is for the CapSha Accelerator from the Sweden W2 funding. GENDER only 'hosting' the budget but all responsibility for delivery and reporting is with CapSha.</v>
      </c>
      <c r="J8" s="4">
        <v>8590</v>
      </c>
    </row>
    <row r="9" ht="25" customHeight="1">
      <c r="C9" s="9" t="str">
        <v>HLO budget subtotal</v>
      </c>
      <c r="H9" s="9">
        <v>80000</v>
      </c>
      <c r="J9" s="9" t="str">
        <v/>
      </c>
    </row>
  </sheetData>
  <mergeCells count="12">
    <mergeCell ref="A1:A2"/>
    <mergeCell ref="B1:B2"/>
    <mergeCell ref="C1:C2"/>
    <mergeCell ref="D1:H1"/>
    <mergeCell ref="I1:I2"/>
    <mergeCell ref="J1:J2"/>
    <mergeCell ref="C4:C5"/>
    <mergeCell ref="C6:G6"/>
    <mergeCell ref="A3:A6"/>
    <mergeCell ref="C7:C8"/>
    <mergeCell ref="C9:G9"/>
    <mergeCell ref="A7: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KOLPING SOCIETY OF TANZANIA</v>
      </c>
      <c r="C2" s="4" t="str">
        <v>IITA</v>
      </c>
      <c r="D2" s="4" t="str">
        <v>Tanzania, United Republic</v>
      </c>
      <c r="E2" s="5">
        <v>12267</v>
      </c>
      <c r="F2" s="4" t="str">
        <v>Budgets for partners to carry out the pilots</v>
      </c>
      <c r="G2" s="4">
        <v>94</v>
      </c>
    </row>
    <row r="3" ht="50" customHeight="1">
      <c r="A3" s="4" t="str">
        <v>AOW01: Accelerating Solutions for Impact</v>
      </c>
      <c r="B3" s="4" t="str">
        <v>NYAKITONTO YOUTH FOR DEVELOPMENT TANZANIA</v>
      </c>
      <c r="C3" s="4" t="str">
        <v>IITA</v>
      </c>
      <c r="D3" s="4" t="str">
        <v>Tanzania, United Republic</v>
      </c>
      <c r="E3" s="5">
        <v>12266</v>
      </c>
      <c r="F3" s="4" t="str">
        <v>Budgets for partners to carry out the pilots</v>
      </c>
      <c r="G3" s="4">
        <v>95</v>
      </c>
    </row>
    <row r="4" ht="50" customHeight="1">
      <c r="A4" s="4" t="str">
        <v>AOW01: Accelerating Solutions for Impact</v>
      </c>
      <c r="B4" s="4" t="str">
        <v>HakiArdhi</v>
      </c>
      <c r="C4" s="4" t="str">
        <v>IITA</v>
      </c>
      <c r="D4" s="4" t="str">
        <v>Tanzania, United Republic</v>
      </c>
      <c r="E4" s="5">
        <v>30000</v>
      </c>
      <c r="F4" s="4" t="str">
        <v>Budgets for partners to carry out the pilots</v>
      </c>
      <c r="G4" s="4">
        <v>96</v>
      </c>
    </row>
    <row r="5" ht="50" customHeight="1">
      <c r="A5" s="4" t="str">
        <v>AOW01: Accelerating Solutions for Impact</v>
      </c>
      <c r="B5" s="4" t="str">
        <v>Justice Development and Peace Commission</v>
      </c>
      <c r="C5" s="4" t="str">
        <v>IITA</v>
      </c>
      <c r="D5" s="4" t="str">
        <v>Nigeria</v>
      </c>
      <c r="E5" s="5">
        <v>12267</v>
      </c>
      <c r="F5" s="4" t="str">
        <v>Budgets for partners to carry out the pilots</v>
      </c>
      <c r="G5" s="4">
        <v>97</v>
      </c>
    </row>
    <row r="6" ht="25" customHeight="1">
      <c r="B6" s="9" t="str">
        <v>Contracted partners subtotal</v>
      </c>
      <c r="E6" s="9">
        <v>66800</v>
      </c>
      <c r="F6" s="9" t="str">
        <v/>
      </c>
      <c r="G6" s="9" t="str">
        <v/>
      </c>
    </row>
  </sheetData>
  <mergeCells count="2">
    <mergeCell ref="B6:D6"/>
    <mergeCell ref="A2:A6"/>
  </mergeCells>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T-PJ-003801-Cassava Value Chain Development to Support Food Security and the Bread Industry in DRC</v>
      </c>
      <c r="C2" s="4" t="str">
        <v>1.2 Evidence-based support for women and youth empowerment</v>
      </c>
      <c r="D2" s="5">
        <v>384812</v>
      </c>
      <c r="E2" s="4" t="str">
        <v>N/A</v>
      </c>
      <c r="F2" s="4">
        <v>1179</v>
      </c>
    </row>
    <row r="3" ht="25" customHeight="1">
      <c r="B3" s="9" t="str">
        <v>W3/Bilateral budget subtotal</v>
      </c>
      <c r="D3" s="9">
        <v>384812</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379143</v>
      </c>
      <c r="D2" s="5">
        <v>36500</v>
      </c>
      <c r="E2" s="5">
        <v>0</v>
      </c>
      <c r="F2" s="5">
        <f>=SUM(B2:E2)</f>
        <v>0</v>
      </c>
    </row>
    <row r="3" ht="20" customHeight="1">
      <c r="A3" s="4" t="str">
        <v>Operations (supplies, consultants, travels, workshops, other)</v>
      </c>
      <c r="B3" s="5">
        <v>0</v>
      </c>
      <c r="C3" s="5">
        <v>26207</v>
      </c>
      <c r="D3" s="5">
        <v>43500</v>
      </c>
      <c r="E3" s="5">
        <v>0</v>
      </c>
      <c r="F3" s="5">
        <f>=SUM(B3:E3)</f>
        <v>0</v>
      </c>
    </row>
    <row r="4" ht="20" customHeight="1">
      <c r="A4" s="4" t="str">
        <v>Collaborators non-CGIAR centers</v>
      </c>
      <c r="B4" s="5">
        <v>0</v>
      </c>
      <c r="C4" s="5">
        <v>66800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IITA</v>
      </c>
      <c r="C2" s="4" t="str">
        <v>Nigeria</v>
      </c>
      <c r="D2" s="5">
        <v>50</v>
      </c>
      <c r="E2" s="4">
        <v>921</v>
      </c>
    </row>
    <row r="3" ht="45" customHeight="1">
      <c r="A3" s="4" t="str">
        <v>AOW01: Accelerating Solutions for Impact</v>
      </c>
      <c r="B3" s="4" t="str">
        <v>IITA</v>
      </c>
      <c r="C3" s="4" t="str">
        <v>Tanzania</v>
      </c>
      <c r="D3" s="5">
        <v>50</v>
      </c>
      <c r="E3" s="4">
        <v>922</v>
      </c>
    </row>
    <row r="4" ht="45" customHeight="1">
      <c r="A4" s="8" t="str">
        <v>AOW02: Accelerating Change Through Evidence</v>
      </c>
      <c r="B4" s="4" t="str">
        <v>IITA</v>
      </c>
      <c r="C4" s="4" t="str">
        <v>Benin</v>
      </c>
      <c r="D4" s="5">
        <v>31</v>
      </c>
      <c r="E4" s="4">
        <v>3407</v>
      </c>
    </row>
    <row r="5" ht="45" customHeight="1">
      <c r="A5" s="4" t="str">
        <v>AOW02: Accelerating Change Through Evidence</v>
      </c>
      <c r="B5" s="4" t="str">
        <v>IITA</v>
      </c>
      <c r="C5" s="4" t="str">
        <v>Nigeria</v>
      </c>
      <c r="D5" s="5">
        <v>69</v>
      </c>
      <c r="E5" s="4">
        <v>3408</v>
      </c>
    </row>
  </sheetData>
  <mergeCells count="2">
    <mergeCell ref="A2:A3"/>
    <mergeCell ref="A4:A5"/>
  </mergeCells>
  <ignoredErrors>
    <ignoredError numberStoredAsText="1" sqref="A1:E5"/>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IITA</v>
      </c>
      <c r="C2" s="4" t="str">
        <v>Nigeria</v>
      </c>
      <c r="D2" s="4" t="str">
        <v>country</v>
      </c>
      <c r="E2" s="5">
        <v>50</v>
      </c>
      <c r="F2" s="4">
        <v>249</v>
      </c>
    </row>
    <row r="3" ht="45" customHeight="1">
      <c r="A3" s="4" t="str">
        <v>AOW01: Accelerating Solutions for Impact</v>
      </c>
      <c r="B3" s="4" t="str">
        <v>IITA</v>
      </c>
      <c r="C3" s="4" t="str">
        <v>Tanzania, United Republic</v>
      </c>
      <c r="D3" s="4" t="str">
        <v>country</v>
      </c>
      <c r="E3" s="5">
        <v>50</v>
      </c>
      <c r="F3" s="4">
        <v>250</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