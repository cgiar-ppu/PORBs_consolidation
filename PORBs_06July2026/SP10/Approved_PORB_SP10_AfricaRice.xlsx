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ummary" sheetId="1" r:id="rId1"/>
    <sheet name="HLO" sheetId="2" r:id="rId2"/>
    <sheet name="Partners" sheetId="3" r:id="rId3"/>
    <sheet name="W3-Bilateral" sheetId="4" r:id="rId4"/>
    <sheet name="MELIA" sheetId="5" r:id="rId5"/>
    <sheet name="Cross Cutting" sheetId="6" r:id="rId6"/>
    <sheet name="Anaplan" sheetId="7" r:id="rId7"/>
    <sheet name="Countries of Implementation" sheetId="8" r:id="rId8"/>
    <sheet name="Location of Benefit" sheetId="9" r:id="rId9"/>
    <sheet name="Synergy Programs" sheetId="10" r:id="rId10"/>
    <sheet name="Outcomes" sheetId="11" r:id="rId1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7" x14ac:knownFonts="1">
    <font>
      <sz val="11"/>
      <name val="Calibri"/>
    </font>
    <font>
      <sz val="11"/>
      <name val="Calibri"/>
    </font>
    <font>
      <sz val="11"/>
      <name val="Calibri"/>
      <b/>
      <color rgb="FFFFFF"/>
    </font>
    <font>
      <sz val="11"/>
      <name val="Calibri"/>
      <b/>
      <color rgb="FFFFFF"/>
    </font>
    <font>
      <sz val="11"/>
      <name val="Calibri"/>
      <b/>
      <color rgb="FFFFFF"/>
    </font>
    <font>
      <sz val="11"/>
      <name val="Calibri"/>
      <b/>
      <color rgb="FFFFFF"/>
    </font>
    <font>
      <sz val="11"/>
      <name val="Calibri"/>
      <b/>
      <color rgb="000000"/>
    </font>
  </fonts>
  <fills count="7">
    <fill>
      <patternFill patternType="none">
        <bgColor/>
      </patternFill>
    </fill>
    <fill>
      <patternFill patternType="gray125">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E6E6E6"/>
        <bgColor/>
      </patternFill>
    </fill>
  </fills>
  <borders count="7">
    <border>
      <left/>
      <right/>
      <top/>
      <bottom/>
      <diagonal/>
    </border>
    <border>
      <left/>
      <right/>
      <top/>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s>
  <cellStyleXfs>
    <xf numFmtId="0" fontId="0" fillId="0" borderId="0"/>
  </cellStyleXfs>
  <cellXfs count="10">
    <xf numFmtId="0" fontId="0" fillId="0" borderId="0" xfId="0"/>
    <xf numFmtId="0" fontId="1" fillId="1" borderId="1" xfId="0" applyFont="1" applyFill="1" applyBorder="1"/>
    <xf numFmtId="0" fontId="0" fillId="0" borderId="0" xfId="0"/>
    <xf numFmtId="0" fontId="2" fillId="2" borderId="2" xfId="0" applyFont="1" applyFill="1" applyBorder="1" applyAlignment="1">
      <alignment horizontal="center" vertical="center" wrapText="true"/>
    </xf>
    <xf numFmtId="0" fontId="0" fillId="0" borderId="3" xfId="0" applyBorder="1" applyAlignment="1">
      <alignment horizontal="center" vertical="center" wrapText="true"/>
    </xf>
    <xf numFmtId="3" fontId="0" fillId="0" borderId="4" xfId="0" applyBorder="1" applyNumberFormat="1" applyAlignment="1">
      <alignment horizontal="center" vertical="center" wrapText="true"/>
    </xf>
    <xf numFmtId="0" fontId="3" fillId="3" borderId="0" xfId="0" applyFont="1" applyFill="1" applyAlignment="1">
      <alignment horizontal="center" vertical="center"/>
    </xf>
    <xf numFmtId="3" fontId="4" fillId="4" borderId="0" xfId="0" applyFont="1" applyFill="1" applyNumberFormat="1" applyAlignment="1">
      <alignment horizontal="center" vertical="center"/>
    </xf>
    <xf numFmtId="0" fontId="5" fillId="5" borderId="5" xfId="0" applyFont="1" applyFill="1" applyBorder="1" applyAlignment="1">
      <alignment horizontal="center" vertical="center"/>
    </xf>
    <xf numFmtId="0" fontId="6" fillId="6" borderId="6" xfId="0" applyFont="1" applyFill="1" applyBorder="1" applyAlignment="1">
      <alignment horizontal="center" vertical="center"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theme" Target="theme/theme1.xml"/><Relationship Id="rId13" Type="http://schemas.openxmlformats.org/officeDocument/2006/relationships/styles" Target="styles.xml"/><Relationship Id="rId1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N8"/>
  <sheetViews>
    <sheetView workbookViewId="0"/>
  </sheetViews>
  <cols>
    <col min="1" max="1" width="30.83203125" customWidth="1"/>
    <col min="2" max="2" width="12.83203125" customWidth="1"/>
    <col min="3" max="3" width="15.83203125" customWidth="1"/>
    <col min="4" max="4" width="12.83203125" customWidth="1"/>
    <col min="5" max="5" width="15.83203125" customWidth="1"/>
    <col min="6" max="6" width="12.83203125" customWidth="1"/>
    <col min="7" max="7" width="15.83203125" customWidth="1"/>
    <col min="8" max="8" width="12.83203125" customWidth="1"/>
    <col min="9" max="9" width="15.83203125" customWidth="1"/>
    <col min="10" max="10" width="35.83203125" customWidth="1"/>
    <col min="11" max="11" width="20.83203125" customWidth="1"/>
    <col min="12" max="12" width="25.83203125" customWidth="1"/>
    <col min="13" max="13" width="25.83203125" customWidth="1"/>
    <col min="14" max="14" width="10.83203125" customWidth="1" hidden="true"/>
  </cols>
  <sheetData>
    <row r="1" ht="15" customHeight="1">
      <c r="A1" s="3" t="str">
        <v>Area of Work</v>
      </c>
      <c r="B1" s="3" t="str">
        <v>Pooled Funding</v>
      </c>
      <c r="K1" s="3" t="str">
        <v>Additional Information</v>
      </c>
      <c r="N1" s="3" t="str">
        <v>aow_id</v>
      </c>
    </row>
    <row r="2" ht="15" customHeight="1">
      <c r="B2" s="3" t="str">
        <v>Innovation Development</v>
      </c>
      <c r="D2" s="3" t="str">
        <v>Knowledge product</v>
      </c>
      <c r="F2" s="3" t="str">
        <v>Capacity Sharing</v>
      </c>
      <c r="H2" s="3" t="str">
        <v>Others outputs</v>
      </c>
      <c r="J2" s="3" t="str">
        <v>Total Pooled Funding budget (USD)</v>
      </c>
      <c r="K2" s="3" t="str">
        <v>Anaplan budget</v>
      </c>
      <c r="L2" s="3" t="str">
        <v>Partner budget</v>
      </c>
      <c r="M2" s="3" t="str">
        <v>MELIA Studies budget</v>
      </c>
    </row>
    <row r="3" ht="15" customHeight="1">
      <c r="B3" s="3" t="str">
        <v>Target</v>
      </c>
      <c r="C3" s="3" t="str">
        <v>Budget</v>
      </c>
      <c r="D3" s="3" t="str">
        <v>Target</v>
      </c>
      <c r="E3" s="3" t="str">
        <v>Budget</v>
      </c>
      <c r="F3" s="3" t="str">
        <v>Target</v>
      </c>
      <c r="G3" s="3" t="str">
        <v>Budget</v>
      </c>
      <c r="H3" s="3" t="str">
        <v>Target</v>
      </c>
      <c r="I3" s="3" t="str">
        <v>Budget</v>
      </c>
    </row>
    <row r="4" ht="20" customHeight="1">
      <c r="A4" s="4" t="str">
        <v>AOW00: Cross Cutting</v>
      </c>
      <c r="B4" s="5">
        <v>0</v>
      </c>
      <c r="C4" s="5">
        <v>0</v>
      </c>
      <c r="D4" s="5">
        <v>0</v>
      </c>
      <c r="E4" s="5">
        <v>0</v>
      </c>
      <c r="F4" s="5">
        <v>0</v>
      </c>
      <c r="G4" s="5">
        <v>0</v>
      </c>
      <c r="H4" s="5">
        <v>0</v>
      </c>
      <c r="I4" s="5">
        <v>0</v>
      </c>
      <c r="J4" s="5">
        <v>100110</v>
      </c>
      <c r="K4" s="5">
        <v>100110</v>
      </c>
      <c r="L4" s="5">
        <v>0</v>
      </c>
      <c r="M4" s="5">
        <v>0</v>
      </c>
      <c r="N4" s="4">
        <v>210</v>
      </c>
    </row>
    <row r="5" ht="20" customHeight="1">
      <c r="A5" s="4" t="str">
        <v>AOW01: Accelerating Solutions for Impact</v>
      </c>
      <c r="B5" s="5">
        <v>2</v>
      </c>
      <c r="C5" s="5">
        <v>70000</v>
      </c>
      <c r="D5" s="5">
        <v>4</v>
      </c>
      <c r="E5" s="5">
        <v>70000</v>
      </c>
      <c r="F5" s="5">
        <v>250</v>
      </c>
      <c r="G5" s="5">
        <v>60000</v>
      </c>
      <c r="H5" s="5">
        <v>0</v>
      </c>
      <c r="I5" s="5">
        <v>0</v>
      </c>
      <c r="J5" s="5">
        <v>200000</v>
      </c>
      <c r="K5" s="5">
        <v>200000</v>
      </c>
      <c r="L5" s="5">
        <v>25000</v>
      </c>
      <c r="M5" s="5">
        <v>0</v>
      </c>
      <c r="N5" s="4">
        <v>209</v>
      </c>
    </row>
    <row r="6" ht="20" customHeight="1">
      <c r="A6" s="4" t="str">
        <v>AOW02: Accelerating Change Through Evidence</v>
      </c>
      <c r="B6" s="5">
        <v>0</v>
      </c>
      <c r="C6" s="5">
        <v>0</v>
      </c>
      <c r="D6" s="5">
        <v>3</v>
      </c>
      <c r="E6" s="5">
        <v>65000</v>
      </c>
      <c r="F6" s="5">
        <v>0</v>
      </c>
      <c r="G6" s="5">
        <v>0</v>
      </c>
      <c r="H6" s="5">
        <v>0</v>
      </c>
      <c r="I6" s="5">
        <v>0</v>
      </c>
      <c r="J6" s="5">
        <v>65000</v>
      </c>
      <c r="K6" s="5">
        <v>65000</v>
      </c>
      <c r="L6" s="5">
        <v>0</v>
      </c>
      <c r="M6" s="5">
        <v>0</v>
      </c>
      <c r="N6" s="4">
        <v>208</v>
      </c>
    </row>
    <row r="7" ht="20" customHeight="1">
      <c r="A7" s="4" t="str">
        <v>AOW03: Youth Thrive</v>
      </c>
      <c r="B7" s="5">
        <v>0</v>
      </c>
      <c r="C7" s="5">
        <v>0</v>
      </c>
      <c r="D7" s="5">
        <v>2</v>
      </c>
      <c r="E7" s="5">
        <v>114500</v>
      </c>
      <c r="F7" s="5">
        <v>0</v>
      </c>
      <c r="G7" s="5">
        <v>0</v>
      </c>
      <c r="H7" s="5">
        <v>0</v>
      </c>
      <c r="I7" s="5">
        <v>0</v>
      </c>
      <c r="J7" s="5">
        <v>114500</v>
      </c>
      <c r="K7" s="5">
        <v>114500</v>
      </c>
      <c r="L7" s="5">
        <v>0</v>
      </c>
      <c r="M7" s="5">
        <v>0</v>
      </c>
      <c r="N7" s="4">
        <v>207</v>
      </c>
    </row>
    <row r="8" ht="25" customHeight="1">
      <c r="A8" s="6" t="str">
        <v>Total</v>
      </c>
      <c r="B8" s="7" t="str">
        <v/>
      </c>
      <c r="C8" s="7">
        <v>70000</v>
      </c>
      <c r="D8" s="7" t="str">
        <v/>
      </c>
      <c r="E8" s="7">
        <v>249500</v>
      </c>
      <c r="F8" s="7" t="str">
        <v/>
      </c>
      <c r="G8" s="7">
        <v>60000</v>
      </c>
      <c r="H8" s="7" t="str">
        <v/>
      </c>
      <c r="I8" s="7">
        <v>0</v>
      </c>
      <c r="J8" s="7">
        <v>479610</v>
      </c>
      <c r="K8" s="7">
        <v>479610</v>
      </c>
      <c r="L8" s="7">
        <v>25000</v>
      </c>
      <c r="M8" s="7">
        <v>0</v>
      </c>
      <c r="N8" s="6" t="str">
        <v/>
      </c>
    </row>
  </sheetData>
  <mergeCells count="11">
    <mergeCell ref="A1:A3"/>
    <mergeCell ref="B1:J1"/>
    <mergeCell ref="K1:M1"/>
    <mergeCell ref="B2:C2"/>
    <mergeCell ref="D2:E2"/>
    <mergeCell ref="F2:G2"/>
    <mergeCell ref="H2:I2"/>
    <mergeCell ref="J2:J3"/>
    <mergeCell ref="K2:K3"/>
    <mergeCell ref="L2:L3"/>
    <mergeCell ref="M2:M3"/>
  </mergeCells>
  <ignoredErrors>
    <ignoredError numberStoredAsText="1" sqref="A1:N8"/>
  </ignoredErrors>
</worksheet>
</file>

<file path=xl/worksheets/sheet2.xml><?xml version="1.0" encoding="utf-8"?>
<worksheet xmlns="http://schemas.openxmlformats.org/spreadsheetml/2006/main" xmlns:r="http://schemas.openxmlformats.org/officeDocument/2006/relationships">
  <dimension ref="A1:J14"/>
  <sheetViews>
    <sheetView workbookViewId="0"/>
  </sheetViews>
  <cols>
    <col min="1" max="1" width="8.83203125" customWidth="1"/>
    <col min="2" max="2" width="15.83203125" customWidth="1"/>
    <col min="3" max="3" width="40.83203125" customWidth="1"/>
    <col min="4" max="4" width="30.83203125" customWidth="1"/>
    <col min="5" max="5" width="30.83203125" customWidth="1"/>
    <col min="6" max="6" width="30.83203125" customWidth="1"/>
    <col min="7" max="7" width="10.83203125" customWidth="1"/>
    <col min="8" max="8" width="15.83203125" customWidth="1"/>
    <col min="9" max="9" width="30.83203125" customWidth="1"/>
    <col min="10" max="10" width="10.83203125" customWidth="1" hidden="true"/>
  </cols>
  <sheetData>
    <row r="1" ht="30" customHeight="1">
      <c r="A1" s="8" t="str">
        <v>AOW</v>
      </c>
      <c r="B1" s="3" t="str">
        <v>Center</v>
      </c>
      <c r="C1" s="3" t="str">
        <v>High Level Output</v>
      </c>
      <c r="D1" s="3" t="str">
        <v>Key Performance Indicators</v>
      </c>
      <c r="I1" s="3" t="str">
        <v>Assumption</v>
      </c>
      <c r="J1" s="3" t="str">
        <v>id</v>
      </c>
    </row>
    <row r="2" ht="30" customHeight="1">
      <c r="D2" s="3" t="str">
        <v>Description</v>
      </c>
      <c r="E2" s="3" t="str">
        <v>Type</v>
      </c>
      <c r="F2" s="3" t="str">
        <v>Country(ies) of implementation</v>
      </c>
      <c r="G2" s="3" t="str">
        <v>Target</v>
      </c>
      <c r="H2" s="3" t="str">
        <v>Budget (USD)</v>
      </c>
    </row>
    <row r="3" ht="50" customHeight="1">
      <c r="A3" s="8" t="str">
        <v>AOW01: Accelerating Solutions for Impact</v>
      </c>
      <c r="B3" s="4" t="str">
        <v>AfricaRice</v>
      </c>
      <c r="C3" s="4" t="str">
        <v xml:space="preserve">1.2.1: Co-designed socio-technical innovation bundles for productivity and resilience </v>
      </c>
      <c r="D3" s="4" t="str">
        <v>STIBs baseline reports for the new learning labs in Mali and Madagascar that include an assessment of vulnerability and empowerment context in the new systems, identification of innovation bundles to strengthen women's empowerment and resilience, and identification of potential partners</v>
      </c>
      <c r="E3" s="4" t="str">
        <v>Number of innovations (innovation development)</v>
      </c>
      <c r="F3" s="4" t="str">
        <v>Mali, Madagascar</v>
      </c>
      <c r="G3" s="5">
        <v>2</v>
      </c>
      <c r="H3" s="5">
        <v>70000</v>
      </c>
      <c r="I3" s="4" t="str">
        <v>Key personnel, chargebacks, supplies &amp; services and overhead.</v>
      </c>
      <c r="J3" s="4">
        <v>6117</v>
      </c>
    </row>
    <row r="4" ht="50" customHeight="1">
      <c r="B4" s="4" t="str">
        <v>AfricaRice</v>
      </c>
      <c r="D4" s="4" t="str">
        <v xml:space="preserve">Stakeholders in STIBs learning labs in Mali and Madagascar trained to integrate technical and social innovations </v>
      </c>
      <c r="E4" s="4" t="str">
        <v>Number of people trained (capacity sharing for development)</v>
      </c>
      <c r="F4" s="4" t="str">
        <v>Mali, Madagascar</v>
      </c>
      <c r="G4" s="5">
        <v>250</v>
      </c>
      <c r="H4" s="5">
        <v>60000</v>
      </c>
      <c r="I4" s="4" t="str">
        <v>Key personnel, chargebacks, supplies &amp; services and overhead.</v>
      </c>
      <c r="J4" s="4">
        <v>6118</v>
      </c>
    </row>
    <row r="5" ht="50" customHeight="1">
      <c r="A5" s="4" t="str">
        <v>AOW01: Accelerating Solutions for Impact</v>
      </c>
      <c r="B5" s="4" t="str">
        <v>AfricaRice</v>
      </c>
      <c r="C5" s="4" t="str">
        <v>1.2.2: Performance and cost effectiveness of socio-technical bundles</v>
      </c>
      <c r="D5" s="4" t="str">
        <v>Published impact study report on STIBs interventions in Mali and Madagascar covering resilience, total factor productivity and cost effectiveness</v>
      </c>
      <c r="E5" s="4" t="str">
        <v>Number of knowledge products</v>
      </c>
      <c r="F5" s="4" t="str">
        <v>Mali, Madagascar</v>
      </c>
      <c r="G5" s="5">
        <v>2</v>
      </c>
      <c r="H5" s="5">
        <v>40000</v>
      </c>
      <c r="I5" s="4" t="str">
        <v>Key personnel, chargebacks, supplies &amp; services and overhead.</v>
      </c>
      <c r="J5" s="4">
        <v>6124</v>
      </c>
    </row>
    <row r="6" ht="50" customHeight="1">
      <c r="A6" s="4" t="str">
        <v>AOW01: Accelerating Solutions for Impact</v>
      </c>
      <c r="B6" s="4" t="str">
        <v>AfricaRice</v>
      </c>
      <c r="C6" s="4" t="str">
        <v xml:space="preserve">1.2.3: Scaling socio-technical innovation bundles  </v>
      </c>
      <c r="D6" s="4" t="str">
        <v>Published STIBs scaling strategies for Mali and Madagascar, including the planned pathways and processes for scaling the approach in the agri-food systems and incorporating diverse crops and practices</v>
      </c>
      <c r="E6" s="4" t="str">
        <v>Number of knowledge products</v>
      </c>
      <c r="F6" s="4" t="str">
        <v>Mali, Madagascar</v>
      </c>
      <c r="G6" s="5">
        <v>2</v>
      </c>
      <c r="H6" s="5">
        <v>30000</v>
      </c>
      <c r="I6" s="4" t="str">
        <v>Key personnel, chargebacks, supplies &amp; services and overhead.</v>
      </c>
      <c r="J6" s="4">
        <v>6131</v>
      </c>
    </row>
    <row r="7" ht="25" customHeight="1">
      <c r="C7" s="9" t="str">
        <v>HLO budget subtotal</v>
      </c>
      <c r="H7" s="9">
        <v>200000</v>
      </c>
      <c r="J7" s="9" t="str">
        <v/>
      </c>
    </row>
    <row r="8" ht="50" customHeight="1">
      <c r="A8" s="8" t="str">
        <v>AOW02: Accelerating Change Through Evidence</v>
      </c>
      <c r="B8" s="4" t="str">
        <v>AfricaRice</v>
      </c>
      <c r="C8" s="4" t="str">
        <v>2.2.3: Co-design with Science Programs and Partners for integrating evidence-based solutions for equality, youth, resilience, and nutrition</v>
      </c>
      <c r="D8" s="4" t="str">
        <v>Validated guidelines for gender monitoring, evaluation and learning in national rice policies</v>
      </c>
      <c r="E8" s="4" t="str">
        <v>Number of knowledge products</v>
      </c>
      <c r="F8" s="4" t="str">
        <v>Kenya, Uganda, Madagascar</v>
      </c>
      <c r="G8" s="5">
        <v>1</v>
      </c>
      <c r="H8" s="5">
        <v>20000</v>
      </c>
      <c r="I8" s="4" t="str">
        <v>Key personnel, chargebacks, supplies &amp; services and overhead.</v>
      </c>
      <c r="J8" s="4">
        <v>7296</v>
      </c>
    </row>
    <row r="9" ht="50" customHeight="1">
      <c r="B9" s="4" t="str">
        <v>AfricaRice</v>
      </c>
      <c r="D9" s="4" t="str">
        <v>Center Needs Assessments and strategic roadmaps developed to identify institutional priorities, enabling conditions and opportunities for streamlining human-centered and inclusive digital product development</v>
      </c>
      <c r="E9" s="4" t="str">
        <v>Number of knowledge products</v>
      </c>
      <c r="F9" s="4" t="str">
        <v>United States of America, Kenya, Benin, Peru, Nepal, India, Egypt, Côte d'Ivoire, Malaysia, Germany, Philippines</v>
      </c>
      <c r="G9" s="5">
        <v>1</v>
      </c>
      <c r="H9" s="5">
        <v>25000</v>
      </c>
      <c r="I9" s="4" t="str">
        <v>This KPI and budget is for the Digital Transformation Accelerator from the Sweden W2 funding. GENDER only 'hosting' the budget but all responsibility for delivery and reporting is with DTA.</v>
      </c>
      <c r="J9" s="4">
        <v>8583</v>
      </c>
    </row>
    <row r="10" ht="50" customHeight="1">
      <c r="A10" s="4" t="str">
        <v>AOW02: Accelerating Change Through Evidence</v>
      </c>
      <c r="B10" s="4" t="str">
        <v>AfricaRice</v>
      </c>
      <c r="C10" s="4" t="str">
        <v xml:space="preserve">2.3.1: Learning resources </v>
      </c>
      <c r="D10" s="4" t="str">
        <v>Validated gendered data collection toolkit tailored to collect sex and age-disaggregated data combined with geospatial systems to support gender policy analysis and implementation</v>
      </c>
      <c r="E10" s="4" t="str">
        <v>Number of knowledge products</v>
      </c>
      <c r="F10" s="4" t="str">
        <v>Madagascar, Uganda, Kenya</v>
      </c>
      <c r="G10" s="5">
        <v>1</v>
      </c>
      <c r="H10" s="5">
        <v>20000</v>
      </c>
      <c r="I10" s="4" t="str">
        <v>Key personnel, chargebacks, supplies &amp; services and overhead.</v>
      </c>
      <c r="J10" s="4">
        <v>7297</v>
      </c>
    </row>
    <row r="11" ht="25" customHeight="1">
      <c r="C11" s="9" t="str">
        <v>HLO budget subtotal</v>
      </c>
      <c r="H11" s="9">
        <v>65000</v>
      </c>
      <c r="J11" s="9" t="str">
        <v/>
      </c>
    </row>
    <row r="12" ht="50" customHeight="1">
      <c r="A12" s="8" t="str">
        <v>AOW03: Youth Thrive</v>
      </c>
      <c r="B12" s="4" t="str">
        <v>AfricaRice</v>
      </c>
      <c r="C12" s="4" t="str">
        <v>3.1.3: Analysis of constraints and pathways for youth in FLWS</v>
      </c>
      <c r="D12" s="4" t="str">
        <v>Age- and gender-specific empowerment indicators defined based on the scoping study in the rice value chain and validated with youth and stakeholders</v>
      </c>
      <c r="E12" s="4" t="str">
        <v>Number of knowledge products</v>
      </c>
      <c r="F12" s="4" t="str">
        <v>Côte d'Ivoire, Senegal</v>
      </c>
      <c r="G12" s="5">
        <v>1</v>
      </c>
      <c r="H12" s="5">
        <v>64500</v>
      </c>
      <c r="I12" s="4" t="str">
        <v>Key personnel, chargebacks, supplies &amp; services and overhead.</v>
      </c>
      <c r="J12" s="4">
        <v>6157</v>
      </c>
    </row>
    <row r="13" ht="50" customHeight="1">
      <c r="B13" s="4" t="str">
        <v>AfricaRice</v>
      </c>
      <c r="D13" s="4" t="str">
        <v>Scoping study and evidence report on pathways enabling youth to access resources, strengthen skills, and exercise agency within the rice value chain, providing actionable recommendations for targeted interventions</v>
      </c>
      <c r="E13" s="4" t="str">
        <v>Number of knowledge products</v>
      </c>
      <c r="F13" s="4" t="str">
        <v>Senegal, Côte d'Ivoire</v>
      </c>
      <c r="G13" s="5">
        <v>1</v>
      </c>
      <c r="H13" s="5">
        <v>50000</v>
      </c>
      <c r="I13" s="4" t="str">
        <v>Key personnel, chargebacks, supplies &amp; services and overhead.</v>
      </c>
      <c r="J13" s="4">
        <v>6160</v>
      </c>
    </row>
    <row r="14" ht="25" customHeight="1">
      <c r="C14" s="9" t="str">
        <v>HLO budget subtotal</v>
      </c>
      <c r="H14" s="9">
        <v>114500</v>
      </c>
      <c r="J14" s="9" t="str">
        <v/>
      </c>
    </row>
  </sheetData>
  <mergeCells count="15">
    <mergeCell ref="A1:A2"/>
    <mergeCell ref="B1:B2"/>
    <mergeCell ref="C1:C2"/>
    <mergeCell ref="D1:H1"/>
    <mergeCell ref="I1:I2"/>
    <mergeCell ref="J1:J2"/>
    <mergeCell ref="C3:C4"/>
    <mergeCell ref="C7:G7"/>
    <mergeCell ref="A3:A7"/>
    <mergeCell ref="C8:C9"/>
    <mergeCell ref="C11:G11"/>
    <mergeCell ref="A8:A11"/>
    <mergeCell ref="C12:C13"/>
    <mergeCell ref="C14:G14"/>
    <mergeCell ref="A12:A14"/>
  </mergeCells>
  <ignoredErrors>
    <ignoredError numberStoredAsText="1" sqref="A1:J14"/>
  </ignoredErrors>
</worksheet>
</file>

<file path=xl/worksheets/sheet3.xml><?xml version="1.0" encoding="utf-8"?>
<worksheet xmlns="http://schemas.openxmlformats.org/spreadsheetml/2006/main" xmlns:r="http://schemas.openxmlformats.org/officeDocument/2006/relationships">
  <dimension ref="A1:G3"/>
  <sheetViews>
    <sheetView workbookViewId="0"/>
  </sheetViews>
  <cols>
    <col min="1" max="1" width="8.83203125" customWidth="1"/>
    <col min="2" max="2" width="40.83203125" customWidth="1"/>
    <col min="3" max="3" width="30.83203125" customWidth="1"/>
    <col min="4" max="4" width="30.83203125" customWidth="1"/>
    <col min="5" max="5" width="30.83203125" customWidth="1"/>
    <col min="6" max="6" width="30.83203125" customWidth="1"/>
    <col min="7" max="7" width="10.83203125" customWidth="1" hidden="true"/>
  </cols>
  <sheetData>
    <row r="1" ht="30" customHeight="1">
      <c r="A1" s="3" t="str">
        <v>AOW</v>
      </c>
      <c r="B1" s="3" t="str">
        <v>Partner</v>
      </c>
      <c r="C1" s="3" t="str">
        <v>Center</v>
      </c>
      <c r="D1" s="3" t="str">
        <v>Geographic location</v>
      </c>
      <c r="E1" s="3" t="str">
        <v>Total Budget (USD)</v>
      </c>
      <c r="F1" s="3" t="str">
        <v>Assumption</v>
      </c>
      <c r="G1" s="3" t="str">
        <v>id</v>
      </c>
    </row>
    <row r="2" ht="50" customHeight="1">
      <c r="A2" s="8" t="str">
        <v>AOW01: Accelerating Solutions for Impact</v>
      </c>
      <c r="B2" s="4" t="str">
        <v>Unknown Partner 1</v>
      </c>
      <c r="C2" s="4" t="str">
        <v>AfricaRice</v>
      </c>
      <c r="D2" s="4" t="str">
        <v>Madagascar</v>
      </c>
      <c r="E2" s="5">
        <v>25000</v>
      </c>
      <c r="F2" s="4" t="str">
        <v>TBC</v>
      </c>
      <c r="G2" s="4">
        <v>261</v>
      </c>
    </row>
    <row r="3" ht="25" customHeight="1">
      <c r="B3" s="9" t="str">
        <v>Contracted partners subtotal</v>
      </c>
      <c r="E3" s="9">
        <v>25000</v>
      </c>
      <c r="F3" s="9" t="str">
        <v/>
      </c>
      <c r="G3" s="9" t="str">
        <v/>
      </c>
    </row>
  </sheetData>
  <mergeCells count="2">
    <mergeCell ref="B3:D3"/>
    <mergeCell ref="A2:A3"/>
  </mergeCells>
  <ignoredErrors>
    <ignoredError numberStoredAsText="1" sqref="A1:G3"/>
  </ignoredErrors>
</worksheet>
</file>

<file path=xl/worksheets/sheet4.xml><?xml version="1.0" encoding="utf-8"?>
<worksheet xmlns="http://schemas.openxmlformats.org/spreadsheetml/2006/main" xmlns:r="http://schemas.openxmlformats.org/officeDocument/2006/relationships">
  <dimension ref="A1:F4"/>
  <sheetViews>
    <sheetView workbookViewId="0"/>
  </sheetViews>
  <cols>
    <col min="1" max="1" width="15.83203125" customWidth="1"/>
    <col min="2" max="2" width="40.83203125" customWidth="1"/>
    <col min="3" max="3" width="30.83203125" customWidth="1"/>
    <col min="4" max="4" width="30.83203125" customWidth="1"/>
    <col min="5" max="5" width="30.83203125" customWidth="1"/>
    <col min="6" max="6" width="10.83203125" customWidth="1" hidden="true"/>
  </cols>
  <sheetData>
    <row r="1" ht="30" customHeight="1">
      <c r="A1" s="3" t="str">
        <v>Center</v>
      </c>
      <c r="B1" s="3" t="str">
        <v>Project title</v>
      </c>
      <c r="C1" s="3" t="str">
        <v>High Level Output title</v>
      </c>
      <c r="D1" s="3" t="str">
        <v>W3/Bilateral Project (USD)</v>
      </c>
      <c r="E1" s="3" t="str">
        <v>Assumption</v>
      </c>
      <c r="F1" s="3" t="str">
        <v>id</v>
      </c>
    </row>
    <row r="2" ht="60" customHeight="1">
      <c r="A2" s="8" t="str">
        <v>AfricaRice</v>
      </c>
      <c r="B2" s="4" t="str">
        <v>A-HP2023-002-MasterCard - WAEMU</v>
      </c>
      <c r="C2" s="4" t="str">
        <v>3.1: Evidence-based scaling of youth-responsive solutions</v>
      </c>
      <c r="D2" s="5">
        <v>645460</v>
      </c>
      <c r="E2" s="4" t="str">
        <v>N/A</v>
      </c>
      <c r="F2" s="4">
        <v>1190</v>
      </c>
    </row>
    <row r="3" ht="60" customHeight="1">
      <c r="A3" s="4" t="str">
        <v>AfricaRice</v>
      </c>
      <c r="B3" s="4" t="str">
        <v>A-HP2023-003-World Bank-Food Systems Resilience</v>
      </c>
      <c r="C3" s="4" t="str">
        <v>1.2 Evidence-based support for women and youth empowerment</v>
      </c>
      <c r="D3" s="5">
        <v>280734</v>
      </c>
      <c r="E3" s="4" t="str">
        <v>N/A</v>
      </c>
      <c r="F3" s="4">
        <v>1184</v>
      </c>
    </row>
    <row r="4" ht="25" customHeight="1">
      <c r="B4" s="9" t="str">
        <v>W3/Bilateral budget subtotal</v>
      </c>
      <c r="D4" s="9">
        <v>926194</v>
      </c>
      <c r="E4" s="9" t="str">
        <v/>
      </c>
      <c r="F4" s="9" t="str">
        <v/>
      </c>
    </row>
  </sheetData>
  <mergeCells count="2">
    <mergeCell ref="B4:C4"/>
    <mergeCell ref="A2:A4"/>
  </mergeCells>
  <ignoredErrors>
    <ignoredError numberStoredAsText="1" sqref="A1:F4"/>
  </ignoredErrors>
</worksheet>
</file>

<file path=xl/worksheets/sheet5.xml><?xml version="1.0" encoding="utf-8"?>
<worksheet xmlns="http://schemas.openxmlformats.org/spreadsheetml/2006/main" xmlns:r="http://schemas.openxmlformats.org/officeDocument/2006/relationships">
  <dimension ref="A1:H1"/>
  <sheetViews>
    <sheetView workbookViewId="0"/>
  </sheetViews>
  <cols>
    <col min="1" max="1" width="8.83203125" customWidth="1"/>
    <col min="2" max="2" width="15.83203125" customWidth="1"/>
    <col min="3" max="3" width="40.83203125" customWidth="1"/>
    <col min="4" max="4" width="30.83203125" customWidth="1"/>
    <col min="5" max="5" width="30.83203125" customWidth="1"/>
    <col min="6" max="6" width="25.83203125" customWidth="1"/>
    <col min="7" max="7" width="30.83203125" customWidth="1"/>
    <col min="8" max="8" width="10.83203125" customWidth="1" hidden="true"/>
  </cols>
  <sheetData>
    <row r="1" ht="30" customHeight="1">
      <c r="A1" s="3" t="str">
        <v>AOW</v>
      </c>
      <c r="B1" s="3" t="str">
        <v>Center</v>
      </c>
      <c r="C1" s="3" t="str">
        <v>MELIA study</v>
      </c>
      <c r="D1" s="3" t="str">
        <v>Supported outcomes</v>
      </c>
      <c r="E1" s="3" t="str">
        <v>Geographic location</v>
      </c>
      <c r="F1" s="3" t="str">
        <v>Total Budget (USD)</v>
      </c>
      <c r="G1" s="3" t="str">
        <v>Assumption</v>
      </c>
      <c r="H1" s="3" t="str">
        <v>id</v>
      </c>
    </row>
  </sheetData>
  <ignoredErrors>
    <ignoredError numberStoredAsText="1" sqref="A1:H1"/>
  </ignoredErrors>
</worksheet>
</file>

<file path=xl/worksheets/sheet6.xml><?xml version="1.0" encoding="utf-8"?>
<worksheet xmlns="http://schemas.openxmlformats.org/spreadsheetml/2006/main" xmlns:r="http://schemas.openxmlformats.org/officeDocument/2006/relationships">
  <dimension ref="A1:G5"/>
  <sheetViews>
    <sheetView workbookViewId="0"/>
  </sheetViews>
  <cols>
    <col min="1" max="1" width="10.83203125" customWidth="1"/>
    <col min="2" max="2" width="15.83203125" customWidth="1"/>
    <col min="3" max="3" width="40.83203125" customWidth="1"/>
    <col min="4" max="4" width="25.83203125" customWidth="1"/>
    <col min="5" max="5" width="30.83203125" customWidth="1"/>
    <col min="6" max="6" width="10.83203125" customWidth="1" hidden="true"/>
    <col min="7" max="7" width="10.83203125" customWidth="1" hidden="true"/>
  </cols>
  <sheetData>
    <row r="1" ht="60" customHeight="1">
      <c r="A1" s="3" t="str">
        <v>AOW</v>
      </c>
      <c r="B1" s="3" t="str">
        <v>Center</v>
      </c>
      <c r="C1" s="3" t="str">
        <v>Cost elements</v>
      </c>
      <c r="D1" s="3" t="str">
        <v>Total budget (USD)</v>
      </c>
      <c r="E1" s="3" t="str">
        <v>Assumption</v>
      </c>
      <c r="F1" s="3" t="str">
        <v>id</v>
      </c>
      <c r="G1" s="3" t="str">
        <v>standerd_cross_cutting_id</v>
      </c>
    </row>
    <row r="2" ht="45" customHeight="1">
      <c r="A2" s="8" t="str">
        <v>AOW00: Cross Cutting</v>
      </c>
      <c r="B2" s="4" t="str">
        <v>AfricaRice</v>
      </c>
      <c r="C2" s="4" t="str">
        <v>MELIA</v>
      </c>
      <c r="D2" s="5">
        <v>0</v>
      </c>
      <c r="E2" s="4" t="str">
        <v/>
      </c>
      <c r="F2" s="4">
        <v>36</v>
      </c>
      <c r="G2" s="4">
        <v>6</v>
      </c>
    </row>
    <row r="3" ht="45" customHeight="1">
      <c r="A3" s="4" t="str">
        <v>AOW00: Cross Cutting</v>
      </c>
      <c r="B3" s="4" t="str">
        <v>AfricaRice</v>
      </c>
      <c r="C3" s="4" t="str">
        <v>Area of Work Leads</v>
      </c>
      <c r="D3" s="5">
        <v>84410</v>
      </c>
      <c r="E3" s="4" t="str">
        <v>30% FTE and operational budget</v>
      </c>
      <c r="F3" s="4">
        <v>210</v>
      </c>
      <c r="G3" s="4">
        <v>3</v>
      </c>
    </row>
    <row r="4" ht="45" customHeight="1">
      <c r="A4" s="4" t="str">
        <v>AOW00: Cross Cutting</v>
      </c>
      <c r="B4" s="4" t="str">
        <v>AfricaRice</v>
      </c>
      <c r="C4" s="4" t="str">
        <v>Operations</v>
      </c>
      <c r="D4" s="5">
        <v>15700</v>
      </c>
      <c r="E4" s="4" t="str">
        <v xml:space="preserve">Facilitation of Accelerator strategic meetings </v>
      </c>
      <c r="F4" s="4">
        <v>257</v>
      </c>
      <c r="G4" s="4">
        <v>4</v>
      </c>
    </row>
    <row r="5" ht="25" customHeight="1">
      <c r="C5" s="9" t="str">
        <v>Cross-cutting budget subtotal</v>
      </c>
      <c r="D5" s="9">
        <v>100110</v>
      </c>
      <c r="E5" s="9" t="str">
        <v/>
      </c>
      <c r="F5" s="9" t="str">
        <v/>
      </c>
      <c r="G5" s="9" t="str">
        <v/>
      </c>
    </row>
  </sheetData>
  <mergeCells count="1">
    <mergeCell ref="A2:A5"/>
  </mergeCells>
  <ignoredErrors>
    <ignoredError numberStoredAsText="1" sqref="A1:G5"/>
  </ignoredErrors>
</worksheet>
</file>

<file path=xl/worksheets/sheet7.xml><?xml version="1.0" encoding="utf-8"?>
<worksheet xmlns="http://schemas.openxmlformats.org/spreadsheetml/2006/main" xmlns:r="http://schemas.openxmlformats.org/officeDocument/2006/relationships">
  <dimension ref="A1:F5"/>
  <sheetViews>
    <sheetView workbookViewId="0"/>
  </sheetViews>
  <cols>
    <col min="1" max="1" width="25.83203125" customWidth="1"/>
    <col min="2" max="2" width="10.83203125" customWidth="1"/>
    <col min="3" max="3" width="10.83203125" customWidth="1"/>
    <col min="4" max="4" width="10.83203125" customWidth="1"/>
    <col min="5" max="5" width="10.83203125" customWidth="1"/>
    <col min="6" max="6" width="20.83203125" customWidth="1"/>
  </cols>
  <sheetData>
    <row r="1" ht="25" customHeight="1">
      <c r="A1" s="3" t="str">
        <v>Main Accounts</v>
      </c>
      <c r="B1" s="3" t="str">
        <v>AOW00</v>
      </c>
      <c r="C1" s="3" t="str">
        <v>AOW01</v>
      </c>
      <c r="D1" s="3" t="str">
        <v>AOW02</v>
      </c>
      <c r="E1" s="3" t="str">
        <v>AOW03</v>
      </c>
      <c r="F1" s="3" t="str">
        <v>Total budget (USD)</v>
      </c>
    </row>
    <row r="2" ht="20" customHeight="1">
      <c r="A2" s="4" t="str">
        <v>Staffing, Chargebacks and Indirect</v>
      </c>
      <c r="B2" s="5">
        <v>66629</v>
      </c>
      <c r="C2" s="5">
        <v>113881</v>
      </c>
      <c r="D2" s="5">
        <v>44700</v>
      </c>
      <c r="E2" s="5">
        <v>76205</v>
      </c>
      <c r="F2" s="5">
        <f>=SUM(B2:E2)</f>
        <v>0</v>
      </c>
    </row>
    <row r="3" ht="20" customHeight="1">
      <c r="A3" s="4" t="str">
        <v>Operations (supplies, consultants, travels, workshops, other)</v>
      </c>
      <c r="B3" s="5">
        <v>33481</v>
      </c>
      <c r="C3" s="5">
        <v>61119</v>
      </c>
      <c r="D3" s="5">
        <v>20300</v>
      </c>
      <c r="E3" s="5">
        <v>38295</v>
      </c>
      <c r="F3" s="5">
        <f>=SUM(B3:E3)</f>
        <v>0</v>
      </c>
    </row>
    <row r="4" ht="20" customHeight="1">
      <c r="A4" s="4" t="str">
        <v>Collaborators non-CGIAR centers</v>
      </c>
      <c r="B4" s="5">
        <v>0</v>
      </c>
      <c r="C4" s="5">
        <v>25000</v>
      </c>
      <c r="D4" s="5">
        <v>0</v>
      </c>
      <c r="E4" s="5">
        <v>0</v>
      </c>
      <c r="F4" s="5">
        <f>=SUM(B4:E4)</f>
        <v>0</v>
      </c>
    </row>
    <row r="5" ht="20" customHeight="1">
      <c r="A5" s="6" t="str">
        <v>Subtotal</v>
      </c>
      <c r="B5" s="7">
        <f>=SUM(B2:B4)</f>
        <v>0</v>
      </c>
      <c r="C5" s="7">
        <f>=SUM(C2:C4)</f>
        <v>0</v>
      </c>
      <c r="D5" s="7">
        <f>=SUM(D2:D4)</f>
        <v>0</v>
      </c>
      <c r="E5" s="7">
        <f>=SUM(E2:E4)</f>
        <v>0</v>
      </c>
      <c r="F5" s="7">
        <f>=SUM(F2:F4)</f>
        <v>0</v>
      </c>
    </row>
  </sheetData>
  <ignoredErrors>
    <ignoredError numberStoredAsText="1" sqref="A1:F5"/>
  </ignoredErrors>
</worksheet>
</file>

<file path=xl/worksheets/sheet8.xml><?xml version="1.0" encoding="utf-8"?>
<worksheet xmlns="http://schemas.openxmlformats.org/spreadsheetml/2006/main" xmlns:r="http://schemas.openxmlformats.org/officeDocument/2006/relationships">
  <dimension ref="A1:E10"/>
  <sheetViews>
    <sheetView workbookViewId="0"/>
  </sheetViews>
  <cols>
    <col min="1" max="1" width="10.83203125" customWidth="1"/>
    <col min="2" max="2" width="15.83203125" customWidth="1"/>
    <col min="3" max="3" width="30.83203125" customWidth="1"/>
    <col min="4" max="4" width="15.83203125" customWidth="1"/>
    <col min="5" max="5" width="10.83203125" customWidth="1" hidden="true"/>
  </cols>
  <sheetData>
    <row r="1" ht="60" customHeight="1">
      <c r="A1" s="3" t="str">
        <v>AOW</v>
      </c>
      <c r="B1" s="3" t="str">
        <v>Center</v>
      </c>
      <c r="C1" s="3" t="str">
        <v>Country</v>
      </c>
      <c r="D1" s="3" t="str">
        <v>Percentage (%)</v>
      </c>
      <c r="E1" s="3" t="str">
        <v>id</v>
      </c>
    </row>
    <row r="2" ht="45" customHeight="1">
      <c r="A2" s="8" t="str">
        <v>AOW00: Cross Cutting</v>
      </c>
      <c r="B2" s="4" t="str">
        <v>AfricaRice</v>
      </c>
      <c r="C2" s="4" t="str">
        <v>Madagascar</v>
      </c>
      <c r="D2" s="5">
        <v>100</v>
      </c>
      <c r="E2" s="4">
        <v>2548</v>
      </c>
    </row>
    <row r="3" ht="45" customHeight="1">
      <c r="A3" s="8" t="str">
        <v>AOW01: Accelerating Solutions for Impact</v>
      </c>
      <c r="B3" s="4" t="str">
        <v>AfricaRice</v>
      </c>
      <c r="C3" s="4" t="str">
        <v>Madagascar</v>
      </c>
      <c r="D3" s="5">
        <v>80</v>
      </c>
      <c r="E3" s="4">
        <v>919</v>
      </c>
    </row>
    <row r="4" ht="45" customHeight="1">
      <c r="A4" s="4" t="str">
        <v>AOW01: Accelerating Solutions for Impact</v>
      </c>
      <c r="B4" s="4" t="str">
        <v>AfricaRice</v>
      </c>
      <c r="C4" s="4" t="str">
        <v>Mali</v>
      </c>
      <c r="D4" s="5">
        <v>20</v>
      </c>
      <c r="E4" s="4">
        <v>920</v>
      </c>
    </row>
    <row r="5" ht="45" customHeight="1">
      <c r="A5" s="8" t="str">
        <v>AOW02: Accelerating Change Through Evidence</v>
      </c>
      <c r="B5" s="4" t="str">
        <v>AfricaRice</v>
      </c>
      <c r="C5" s="4" t="str">
        <v>Côte d'Ivoire</v>
      </c>
      <c r="D5" s="5">
        <v>38</v>
      </c>
      <c r="E5" s="4">
        <v>3403</v>
      </c>
    </row>
    <row r="6" ht="45" customHeight="1">
      <c r="A6" s="4" t="str">
        <v>AOW02: Accelerating Change Through Evidence</v>
      </c>
      <c r="B6" s="4" t="str">
        <v>AfricaRice</v>
      </c>
      <c r="C6" s="4" t="str">
        <v>Kenya</v>
      </c>
      <c r="D6" s="5">
        <v>12</v>
      </c>
      <c r="E6" s="4">
        <v>2052</v>
      </c>
    </row>
    <row r="7" ht="45" customHeight="1">
      <c r="A7" s="4" t="str">
        <v>AOW02: Accelerating Change Through Evidence</v>
      </c>
      <c r="B7" s="4" t="str">
        <v>AfricaRice</v>
      </c>
      <c r="C7" s="4" t="str">
        <v>Madagascar</v>
      </c>
      <c r="D7" s="5">
        <v>40</v>
      </c>
      <c r="E7" s="4">
        <v>1765</v>
      </c>
    </row>
    <row r="8" ht="45" customHeight="1">
      <c r="A8" s="4" t="str">
        <v>AOW02: Accelerating Change Through Evidence</v>
      </c>
      <c r="B8" s="4" t="str">
        <v>AfricaRice</v>
      </c>
      <c r="C8" s="4" t="str">
        <v>Uganda</v>
      </c>
      <c r="D8" s="5">
        <v>10</v>
      </c>
      <c r="E8" s="4">
        <v>2053</v>
      </c>
    </row>
    <row r="9" ht="45" customHeight="1">
      <c r="A9" s="8" t="str">
        <v>AOW03: Youth Thrive</v>
      </c>
      <c r="B9" s="4" t="str">
        <v>AfricaRice</v>
      </c>
      <c r="C9" s="4" t="str">
        <v>Côte d'Ivoire</v>
      </c>
      <c r="D9" s="5">
        <v>70</v>
      </c>
      <c r="E9" s="4">
        <v>1763</v>
      </c>
    </row>
    <row r="10" ht="45" customHeight="1">
      <c r="A10" s="4" t="str">
        <v>AOW03: Youth Thrive</v>
      </c>
      <c r="B10" s="4" t="str">
        <v>AfricaRice</v>
      </c>
      <c r="C10" s="4" t="str">
        <v>Senegal</v>
      </c>
      <c r="D10" s="5">
        <v>30</v>
      </c>
      <c r="E10" s="4">
        <v>3233</v>
      </c>
    </row>
  </sheetData>
  <mergeCells count="4">
    <mergeCell ref="A2"/>
    <mergeCell ref="A3:A4"/>
    <mergeCell ref="A5:A8"/>
    <mergeCell ref="A9:A10"/>
  </mergeCells>
  <ignoredErrors>
    <ignoredError numberStoredAsText="1" sqref="A1:E10"/>
  </ignoredErrors>
</worksheet>
</file>

<file path=xl/worksheets/sheet9.xml><?xml version="1.0" encoding="utf-8"?>
<worksheet xmlns="http://schemas.openxmlformats.org/spreadsheetml/2006/main" xmlns:r="http://schemas.openxmlformats.org/officeDocument/2006/relationships">
  <dimension ref="A1:F6"/>
  <sheetViews>
    <sheetView workbookViewId="0"/>
  </sheetViews>
  <cols>
    <col min="1" max="1" width="10.83203125" customWidth="1"/>
    <col min="2" max="2" width="15.83203125" customWidth="1"/>
    <col min="3" max="3" width="30.83203125" customWidth="1"/>
    <col min="4" max="4" width="12.83203125" customWidth="1"/>
    <col min="5" max="5" width="15.83203125" customWidth="1"/>
    <col min="6" max="6" width="10.83203125" customWidth="1" hidden="true"/>
  </cols>
  <sheetData>
    <row r="1" ht="60" customHeight="1">
      <c r="A1" s="3" t="str">
        <v>AOW</v>
      </c>
      <c r="B1" s="3" t="str">
        <v>Center</v>
      </c>
      <c r="C1" s="3" t="str">
        <v>Location</v>
      </c>
      <c r="D1" s="3" t="str">
        <v>Type</v>
      </c>
      <c r="E1" s="3" t="str">
        <v>Percentage (%)</v>
      </c>
      <c r="F1" s="3" t="str">
        <v>id</v>
      </c>
    </row>
    <row r="2" ht="45" customHeight="1">
      <c r="A2" s="8" t="str">
        <v>AOW00: Cross Cutting</v>
      </c>
      <c r="B2" s="4" t="str">
        <v>AfricaRice</v>
      </c>
      <c r="C2" s="4" t="str">
        <v>Global</v>
      </c>
      <c r="D2" s="4" t="str">
        <v>global</v>
      </c>
      <c r="E2" s="5">
        <v>100</v>
      </c>
      <c r="F2" s="4">
        <v>905</v>
      </c>
    </row>
    <row r="3" ht="45" customHeight="1">
      <c r="A3" s="8" t="str">
        <v>AOW01: Accelerating Solutions for Impact</v>
      </c>
      <c r="B3" s="4" t="str">
        <v>AfricaRice</v>
      </c>
      <c r="C3" s="4" t="str">
        <v>Sub-Saharan Africa</v>
      </c>
      <c r="D3" s="4" t="str">
        <v>region</v>
      </c>
      <c r="E3" s="5">
        <v>100</v>
      </c>
      <c r="F3" s="4">
        <v>622</v>
      </c>
    </row>
    <row r="4" ht="45" customHeight="1">
      <c r="A4" s="8" t="str">
        <v>AOW02: Accelerating Change Through Evidence</v>
      </c>
      <c r="B4" s="4" t="str">
        <v>AfricaRice</v>
      </c>
      <c r="C4" s="4" t="str">
        <v>Global</v>
      </c>
      <c r="D4" s="4" t="str">
        <v>global</v>
      </c>
      <c r="E4" s="5">
        <v>50</v>
      </c>
      <c r="F4" s="4">
        <v>1700</v>
      </c>
    </row>
    <row r="5" ht="45" customHeight="1">
      <c r="A5" s="4" t="str">
        <v>AOW02: Accelerating Change Through Evidence</v>
      </c>
      <c r="B5" s="4" t="str">
        <v>AfricaRice</v>
      </c>
      <c r="C5" s="4" t="str">
        <v>Sub-Saharan Africa</v>
      </c>
      <c r="D5" s="4" t="str">
        <v>region</v>
      </c>
      <c r="E5" s="5">
        <v>50</v>
      </c>
      <c r="F5" s="4">
        <v>621</v>
      </c>
    </row>
    <row r="6" ht="45" customHeight="1">
      <c r="A6" s="8" t="str">
        <v>AOW03: Youth Thrive</v>
      </c>
      <c r="B6" s="4" t="str">
        <v>AfricaRice</v>
      </c>
      <c r="C6" s="4" t="str">
        <v>Sub-Saharan Africa</v>
      </c>
      <c r="D6" s="4" t="str">
        <v>region</v>
      </c>
      <c r="E6" s="5">
        <v>100</v>
      </c>
      <c r="F6" s="4">
        <v>620</v>
      </c>
    </row>
  </sheetData>
  <mergeCells count="4">
    <mergeCell ref="A2"/>
    <mergeCell ref="A3"/>
    <mergeCell ref="A4:A5"/>
    <mergeCell ref="A6"/>
  </mergeCells>
  <ignoredErrors>
    <ignoredError numberStoredAsText="1" sqref="A1:F6"/>
  </ignoredErrors>
</worksheet>
</file>

<file path=xl/worksheets/sheet10.xml><?xml version="1.0" encoding="utf-8"?>
<worksheet xmlns="http://schemas.openxmlformats.org/spreadsheetml/2006/main" xmlns:r="http://schemas.openxmlformats.org/officeDocument/2006/relationships">
  <dimension ref="A1:E1"/>
  <sheetViews>
    <sheetView workbookViewId="0"/>
  </sheetViews>
  <cols>
    <col min="1" max="1" width="8.83203125" customWidth="1"/>
    <col min="2" max="2" width="35.83203125" customWidth="1"/>
    <col min="3" max="3" width="40.83203125" customWidth="1"/>
    <col min="4" max="4" width="50.83203125" customWidth="1"/>
    <col min="5" max="5" width="10.83203125" customWidth="1" hidden="true"/>
  </cols>
  <sheetData>
    <row r="1" ht="30" customHeight="1">
      <c r="A1" s="3" t="str">
        <v>AOW</v>
      </c>
      <c r="B1" s="3" t="str">
        <v>Program or Accelerator</v>
      </c>
      <c r="C1" s="3" t="str">
        <v>High Level Output</v>
      </c>
      <c r="D1" s="3" t="str">
        <v>Brief description</v>
      </c>
      <c r="E1" s="3" t="str">
        <v>id</v>
      </c>
    </row>
  </sheetData>
  <ignoredErrors>
    <ignoredError numberStoredAsText="1" sqref="A1:E1"/>
  </ignoredErrors>
</worksheet>
</file>

<file path=xl/worksheets/sheet11.xml><?xml version="1.0" encoding="utf-8"?>
<worksheet xmlns="http://schemas.openxmlformats.org/spreadsheetml/2006/main" xmlns:r="http://schemas.openxmlformats.org/officeDocument/2006/relationships">
  <dimension ref="A1:G16"/>
  <sheetViews>
    <sheetView workbookViewId="0"/>
  </sheetViews>
  <cols>
    <col min="1" max="1" width="8.83203125" customWidth="1"/>
    <col min="2" max="2" width="40.83203125" customWidth="1"/>
    <col min="3" max="3" width="25.83203125" customWidth="1"/>
    <col min="4" max="4" width="25.83203125" customWidth="1"/>
    <col min="5" max="5" width="30.83203125" customWidth="1"/>
    <col min="6" max="6" width="15.83203125" customWidth="1"/>
    <col min="7" max="7" width="10.83203125" customWidth="1" hidden="true"/>
  </cols>
  <sheetData>
    <row r="1" ht="30" customHeight="1">
      <c r="A1" s="3" t="str">
        <v>AOW</v>
      </c>
      <c r="B1" s="3" t="str">
        <v>Outcome</v>
      </c>
      <c r="C1" s="3" t="str">
        <v>Type of Outcome</v>
      </c>
      <c r="D1" s="3" t="str">
        <v>Indicator Type</v>
      </c>
      <c r="E1" s="3" t="str">
        <v>Geographic Location</v>
      </c>
      <c r="F1" s="3" t="str">
        <v>Target Value</v>
      </c>
      <c r="G1" s="3" t="str">
        <v>id</v>
      </c>
    </row>
    <row r="2" ht="60" customHeight="1">
      <c r="A2" s="8" t="str">
        <v>AOW00: Cross Cutting</v>
      </c>
      <c r="B2" s="4" t="str">
        <v>1.1 Pinpoint and act on restrictive norms</v>
      </c>
      <c r="C2" s="4" t="str">
        <v/>
      </c>
      <c r="D2" s="4" t="str">
        <v>Innovation Use</v>
      </c>
      <c r="E2" s="4" t="str">
        <v>Country: Bangladesh, Nigeria, Tanzania, United Republic</v>
      </c>
      <c r="F2" s="5">
        <v>0</v>
      </c>
      <c r="G2" s="4">
        <v>666</v>
      </c>
    </row>
    <row r="3" ht="60" customHeight="1">
      <c r="A3" s="4" t="str">
        <v>AOW00: Cross Cutting</v>
      </c>
      <c r="B3" s="4" t="str">
        <v>1. Use of metrics and analytics for monitoring progress in addressing structural barriers to gender equality and social inclusion</v>
      </c>
      <c r="C3" s="4" t="str">
        <v/>
      </c>
      <c r="D3" s="4" t="str">
        <v>Innovation Use</v>
      </c>
      <c r="E3" s="4" t="str">
        <v>Country: Bangladesh, Burkina Faso, Chad, China, Colombia, Egypt, Ethiopia, Gambia, Honduras, India, Jordan, Kenya, Lebanon, Malawi, Mali, Morocco, Mozambique, Niger, Nigeria, Papua New Guinea, South Africa, Tanzania, United Republic, Tunisia, Zimbabwe</v>
      </c>
      <c r="F3" s="5">
        <v>0</v>
      </c>
      <c r="G3" s="4">
        <v>667</v>
      </c>
    </row>
    <row r="4" ht="60" customHeight="1">
      <c r="A4" s="4" t="str">
        <v>AOW00: Cross Cutting</v>
      </c>
      <c r="B4" s="4" t="str">
        <v>1.2 Evidence-based support for women and youth empowerment</v>
      </c>
      <c r="C4" s="4" t="str">
        <v/>
      </c>
      <c r="D4" s="4" t="str">
        <v>Innovation Use</v>
      </c>
      <c r="E4" s="4" t="str">
        <v>Country: India</v>
      </c>
      <c r="F4" s="5">
        <v>5</v>
      </c>
      <c r="G4" s="4">
        <v>668</v>
      </c>
    </row>
    <row r="5" ht="60" customHeight="1">
      <c r="A5" s="4" t="str">
        <v>AOW00: Cross Cutting</v>
      </c>
      <c r="B5" s="4" t="str">
        <v>1.2 Evidence-based support for women and youth empowerment</v>
      </c>
      <c r="C5" s="4" t="str">
        <v/>
      </c>
      <c r="D5" s="4" t="str">
        <v>Innovation Use</v>
      </c>
      <c r="E5" s="4" t="str">
        <v>Country: Kenya</v>
      </c>
      <c r="F5" s="5">
        <v>5</v>
      </c>
      <c r="G5" s="4">
        <v>668</v>
      </c>
    </row>
    <row r="6" ht="60" customHeight="1">
      <c r="A6" s="4" t="str">
        <v>AOW00: Cross Cutting</v>
      </c>
      <c r="B6" s="4" t="str">
        <v>1.2 Evidence-based support for women and youth empowerment</v>
      </c>
      <c r="C6" s="4" t="str">
        <v/>
      </c>
      <c r="D6" s="4" t="str">
        <v>Innovation Use</v>
      </c>
      <c r="E6" s="4" t="str">
        <v>Country: Ethiopia</v>
      </c>
      <c r="F6" s="5">
        <v>5</v>
      </c>
      <c r="G6" s="4">
        <v>668</v>
      </c>
    </row>
    <row r="7" ht="60" customHeight="1">
      <c r="A7" s="4" t="str">
        <v>AOW00: Cross Cutting</v>
      </c>
      <c r="B7" s="4" t="str">
        <v>1.2 Evidence-based support for women and youth empowerment</v>
      </c>
      <c r="C7" s="4" t="str">
        <v/>
      </c>
      <c r="D7" s="4" t="str">
        <v>Number of Policy (Policy Change)</v>
      </c>
      <c r="E7" s="4" t="str">
        <v>Country: Ethiopia, India, Kenya</v>
      </c>
      <c r="F7" s="5">
        <v>0</v>
      </c>
      <c r="G7" s="4">
        <v>668</v>
      </c>
    </row>
    <row r="8" ht="60" customHeight="1">
      <c r="A8" s="4" t="str">
        <v>AOW00: Cross Cutting</v>
      </c>
      <c r="B8" s="4" t="str">
        <v xml:space="preserve">1.3 Evidence-based promotion of women's access to resources and social protection </v>
      </c>
      <c r="C8" s="4" t="str">
        <v/>
      </c>
      <c r="D8" s="4" t="str">
        <v>Innovation Use</v>
      </c>
      <c r="E8" s="4" t="str">
        <v>Country: Bangladesh, Egypt, Jordan, Kenya, Mali, Mozambique, Papua New Guinea, Zimbabwe</v>
      </c>
      <c r="F8" s="5">
        <v>0</v>
      </c>
      <c r="G8" s="4">
        <v>669</v>
      </c>
    </row>
    <row r="9" ht="60" customHeight="1">
      <c r="A9" s="4" t="str">
        <v>AOW00: Cross Cutting</v>
      </c>
      <c r="B9" s="4" t="str">
        <v>1.4 Amplify the voices of women, youth and socially excluded groups</v>
      </c>
      <c r="C9" s="4" t="str">
        <v/>
      </c>
      <c r="D9" s="4" t="str">
        <v>Innovation Use</v>
      </c>
      <c r="E9" s="4" t="str">
        <v>Country: Bangladesh, Burkina Faso, Chad, China, Colombia, Gambia, Honduras, India, Lebanon, Malawi, Mali, Morocco, Niger, Nigeria, South Africa, Tunisia</v>
      </c>
      <c r="F9" s="5">
        <v>0</v>
      </c>
      <c r="G9" s="4">
        <v>670</v>
      </c>
    </row>
    <row r="10" ht="60" customHeight="1">
      <c r="A10" s="4" t="str">
        <v>AOW00: Cross Cutting</v>
      </c>
      <c r="B10" s="4" t="str">
        <v>3.1: Evidence-based scaling of youth-responsive solutions</v>
      </c>
      <c r="C10" s="4" t="str">
        <v/>
      </c>
      <c r="D10" s="4" t="str">
        <v>Innovation Use</v>
      </c>
      <c r="E10" s="4" t="str">
        <v>Global</v>
      </c>
      <c r="F10" s="5">
        <v>1</v>
      </c>
      <c r="G10" s="4">
        <v>671</v>
      </c>
    </row>
    <row r="11" ht="60" customHeight="1">
      <c r="A11" s="4" t="str">
        <v>AOW00: Cross Cutting</v>
      </c>
      <c r="B11" s="4" t="str">
        <v>2.1 Use of methodologies and metrics rigorous and ethical research, monitoring practices and measuring empowerment and inclusion</v>
      </c>
      <c r="C11" s="4" t="str">
        <v/>
      </c>
      <c r="D11" s="4" t="str">
        <v>Innovation Use</v>
      </c>
      <c r="E11" s="4" t="str">
        <v>Global</v>
      </c>
      <c r="F11" s="5">
        <v>0</v>
      </c>
      <c r="G11" s="4">
        <v>672</v>
      </c>
    </row>
    <row r="12" ht="60" customHeight="1">
      <c r="A12" s="4" t="str">
        <v>AOW00: Cross Cutting</v>
      </c>
      <c r="B12" s="4" t="str">
        <v>2.2 Evidence-based decision, priority and target setting and investment</v>
      </c>
      <c r="C12" s="4" t="str">
        <v/>
      </c>
      <c r="D12" s="4" t="str">
        <v xml:space="preserve"> Number of partnering organisations that make evidence-based decisions, priority -setting, targeting and investments based on CGIAR and partners' GESI in FLWS research</v>
      </c>
      <c r="E12" s="4" t="str">
        <v>Global</v>
      </c>
      <c r="F12" s="5">
        <v>0</v>
      </c>
      <c r="G12" s="4">
        <v>673</v>
      </c>
    </row>
    <row r="13" ht="60" customHeight="1">
      <c r="A13" s="4" t="str">
        <v>AOW00: Cross Cutting</v>
      </c>
      <c r="B13" s="4" t="str">
        <v>2.3 Institutional change towards a truly inclusive environment that prioritizes the right gender, youth and social inclusion research</v>
      </c>
      <c r="C13" s="4" t="str">
        <v/>
      </c>
      <c r="D13" s="4" t="str">
        <v/>
      </c>
      <c r="E13" s="4" t="str">
        <v/>
      </c>
      <c r="F13" s="5">
        <v>0</v>
      </c>
      <c r="G13" s="4">
        <v>674</v>
      </c>
    </row>
    <row r="14" ht="60" customHeight="1">
      <c r="A14" s="4" t="str">
        <v>AOW00: Cross Cutting</v>
      </c>
      <c r="B14" s="4" t="str">
        <v xml:space="preserve">2. Dissemination, replication and scaling of gender responsive transformative and socially inclusive innovations </v>
      </c>
      <c r="C14" s="4" t="str">
        <v/>
      </c>
      <c r="D14" s="4" t="str">
        <v>Innovation Use</v>
      </c>
      <c r="E14" s="4" t="str">
        <v>Global</v>
      </c>
      <c r="F14" s="5">
        <v>0</v>
      </c>
      <c r="G14" s="4">
        <v>675</v>
      </c>
    </row>
    <row r="15" ht="60" customHeight="1">
      <c r="A15" s="4" t="str">
        <v>AOW00: Cross Cutting</v>
      </c>
      <c r="B15" s="4" t="str">
        <v>3. Use of evidence and innovations to address structural barriers to gender equality and social inclusion</v>
      </c>
      <c r="C15" s="4" t="str">
        <v/>
      </c>
      <c r="D15" s="4" t="str">
        <v>Innovation Use</v>
      </c>
      <c r="E15" s="4" t="str">
        <v>Global</v>
      </c>
      <c r="F15" s="5">
        <v>0</v>
      </c>
      <c r="G15" s="4">
        <v>676</v>
      </c>
    </row>
    <row r="16" ht="60" customHeight="1">
      <c r="A16" s="4" t="str">
        <v>AOW00: Cross Cutting</v>
      </c>
      <c r="B16" s="4" t="str">
        <v>4. Women, youth and socially excluded groups equitably benefit from innovations</v>
      </c>
      <c r="C16" s="4" t="str">
        <v/>
      </c>
      <c r="D16" s="4" t="str">
        <v>Innovation Use</v>
      </c>
      <c r="E16" s="4" t="str">
        <v>Global</v>
      </c>
      <c r="F16" s="5">
        <v>0</v>
      </c>
      <c r="G16" s="4">
        <v>677</v>
      </c>
    </row>
  </sheetData>
  <mergeCells count="3">
    <mergeCell ref="B4:B7"/>
    <mergeCell ref="C4:C7"/>
    <mergeCell ref="A2:A16"/>
  </mergeCells>
  <ignoredErrors>
    <ignoredError numberStoredAsText="1" sqref="A1:G1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11</vt:i4>
      </vt:variant>
    </vt:vector>
  </HeadingPairs>
  <TitlesOfParts>
    <vt:vector size="11" baseType="lpstr">
      <vt:lpstr>Summary</vt:lpstr>
      <vt:lpstr>HLO</vt:lpstr>
      <vt:lpstr>Partners</vt:lpstr>
      <vt:lpstr>W3-Bilateral</vt:lpstr>
      <vt:lpstr>MELIA</vt:lpstr>
      <vt:lpstr>Cross Cutting</vt:lpstr>
      <vt:lpstr>Anaplan</vt:lpstr>
      <vt:lpstr>Countries of Implementation</vt:lpstr>
      <vt:lpstr>Location of Benefit</vt:lpstr>
      <vt:lpstr>Synergy Programs</vt:lpstr>
      <vt:lpstr>Outcomes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