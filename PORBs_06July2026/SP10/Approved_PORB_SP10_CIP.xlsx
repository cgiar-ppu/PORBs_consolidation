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5</v>
      </c>
      <c r="E5" s="5">
        <v>259000</v>
      </c>
      <c r="F5" s="5">
        <v>0</v>
      </c>
      <c r="G5" s="5">
        <v>0</v>
      </c>
      <c r="H5" s="5">
        <v>0</v>
      </c>
      <c r="I5" s="5">
        <v>0</v>
      </c>
      <c r="J5" s="5">
        <v>259000</v>
      </c>
      <c r="K5" s="5">
        <v>259000</v>
      </c>
      <c r="L5" s="5">
        <v>0</v>
      </c>
      <c r="M5" s="5">
        <v>0</v>
      </c>
      <c r="N5" s="4">
        <v>209</v>
      </c>
    </row>
    <row r="6" ht="20" customHeight="1">
      <c r="A6" s="4" t="str">
        <v>AOW02: Accelerating Change Through Evidence</v>
      </c>
      <c r="B6" s="5">
        <v>0</v>
      </c>
      <c r="C6" s="5">
        <v>0</v>
      </c>
      <c r="D6" s="5">
        <v>10</v>
      </c>
      <c r="E6" s="5">
        <v>202000</v>
      </c>
      <c r="F6" s="5">
        <v>42</v>
      </c>
      <c r="G6" s="5">
        <v>128000</v>
      </c>
      <c r="H6" s="5">
        <v>0</v>
      </c>
      <c r="I6" s="5">
        <v>0</v>
      </c>
      <c r="J6" s="5">
        <v>330000</v>
      </c>
      <c r="K6" s="5">
        <v>330000</v>
      </c>
      <c r="L6" s="5">
        <v>40000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461000</v>
      </c>
      <c r="F8" s="7" t="str">
        <v/>
      </c>
      <c r="G8" s="7">
        <v>128000</v>
      </c>
      <c r="H8" s="7" t="str">
        <v/>
      </c>
      <c r="I8" s="7">
        <v>0</v>
      </c>
      <c r="J8" s="7">
        <v>589000</v>
      </c>
      <c r="K8" s="7">
        <v>589000</v>
      </c>
      <c r="L8" s="7">
        <v>40000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CIP</v>
      </c>
      <c r="C3" s="4" t="str">
        <v>1.1.3: Gender-transformative solutions for women's economic empowerment</v>
      </c>
      <c r="D3" s="4" t="str">
        <v>Published book chapter on behavioral and social dimensions driving uptake and impact of innovations</v>
      </c>
      <c r="E3" s="4" t="str">
        <v>Number of knowledge products</v>
      </c>
      <c r="F3" s="4" t="str">
        <v>Peru</v>
      </c>
      <c r="G3" s="5">
        <v>1</v>
      </c>
      <c r="H3" s="5">
        <v>86000</v>
      </c>
      <c r="I3" s="4" t="str">
        <v>Staff cost and operations</v>
      </c>
      <c r="J3" s="4">
        <v>6108</v>
      </c>
    </row>
    <row r="4" ht="50" customHeight="1">
      <c r="B4" s="4" t="str">
        <v>CIP</v>
      </c>
      <c r="D4" s="4" t="str">
        <v>Published paper on modeling of crop traits and their implications on women's time saving in the care economy</v>
      </c>
      <c r="E4" s="4" t="str">
        <v>Number of knowledge products</v>
      </c>
      <c r="F4" s="4" t="str">
        <v>Ecuador</v>
      </c>
      <c r="G4" s="5">
        <v>1</v>
      </c>
      <c r="H4" s="5">
        <v>78500</v>
      </c>
      <c r="I4" s="4" t="str">
        <v>Staff time and operations</v>
      </c>
      <c r="J4" s="4">
        <v>6110</v>
      </c>
    </row>
    <row r="5" ht="50" customHeight="1">
      <c r="A5" s="4" t="str">
        <v>AOW01: Accelerating Solutions for Impact</v>
      </c>
      <c r="B5" s="4" t="str">
        <v>CIP</v>
      </c>
      <c r="C5" s="4" t="str">
        <v xml:space="preserve">1.2.1: Co-designed socio-technical innovation bundles for productivity and resilience </v>
      </c>
      <c r="D5" s="4" t="str">
        <v xml:space="preserve">Published capacity development toolkit for gender-responsive product profiling </v>
      </c>
      <c r="E5" s="4" t="str">
        <v>Number of knowledge products</v>
      </c>
      <c r="F5" s="4" t="str">
        <v>Peru</v>
      </c>
      <c r="G5" s="5">
        <v>1</v>
      </c>
      <c r="H5" s="5">
        <v>47500</v>
      </c>
      <c r="I5" s="4" t="str">
        <v>Staff cost</v>
      </c>
      <c r="J5" s="4">
        <v>6111</v>
      </c>
    </row>
    <row r="6" ht="50" customHeight="1">
      <c r="B6" s="4" t="str">
        <v>CIP</v>
      </c>
      <c r="D6" s="4" t="str">
        <v>Validated and published gender-responsive product profiling tools and policy recommendations for its institutional integration</v>
      </c>
      <c r="E6" s="4" t="str">
        <v>Number of knowledge products</v>
      </c>
      <c r="F6" s="4" t="str">
        <v>Peru</v>
      </c>
      <c r="G6" s="5">
        <v>2</v>
      </c>
      <c r="H6" s="5">
        <v>47000</v>
      </c>
      <c r="I6" s="4" t="str">
        <v>Staff cost</v>
      </c>
      <c r="J6" s="4">
        <v>6119</v>
      </c>
    </row>
    <row r="7" ht="25" customHeight="1">
      <c r="C7" s="9" t="str">
        <v>HLO budget subtotal</v>
      </c>
      <c r="H7" s="9">
        <v>259000</v>
      </c>
      <c r="J7" s="9" t="str">
        <v/>
      </c>
    </row>
    <row r="8" ht="50" customHeight="1">
      <c r="A8" s="8" t="str">
        <v>AOW02: Accelerating Change Through Evidence</v>
      </c>
      <c r="B8" s="4" t="str">
        <v>CIP</v>
      </c>
      <c r="C8" s="4" t="str">
        <v>2.2.3: Co-design with Science Programs and Partners for integrating evidence-based solutions for equality, youth, resilience, and nutrition</v>
      </c>
      <c r="D8" s="4" t="str">
        <v>Center Needs Assessments and strategic roadmaps developed to identify institutional priorities, enabling conditions and opportunities for streamlining human-centered and inclusive digital product development</v>
      </c>
      <c r="E8" s="4" t="str">
        <v>Number of knowledge products</v>
      </c>
      <c r="F8" s="4" t="str">
        <v>United States of America, Kenya, Benin, Peru, Nepal, India, Egypt, Côte d'Ivoire, Malaysia, Germany, Philippines</v>
      </c>
      <c r="G8" s="5">
        <v>1</v>
      </c>
      <c r="H8" s="5">
        <v>25000</v>
      </c>
      <c r="I8" s="4" t="str">
        <v>This KPI and budget is for the Digital Transformation Accelerator from the Sweden W2 funding. GENDER only 'hosting' the budget but all responsibility for delivery and reporting is with DTA.</v>
      </c>
      <c r="J8" s="4">
        <v>8584</v>
      </c>
    </row>
    <row r="9" ht="50" customHeight="1">
      <c r="B9" s="4" t="str">
        <v>CIP</v>
      </c>
      <c r="D9" s="4" t="str">
        <v>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v>
      </c>
      <c r="E9" s="4" t="str">
        <v>Number of people trained (capacity sharing for development)</v>
      </c>
      <c r="F9" s="4" t="str">
        <v>Malaysia, Kenya, Nigeria, The Socialist Republic of Viet Nam</v>
      </c>
      <c r="G9" s="5">
        <v>12</v>
      </c>
      <c r="H9" s="5">
        <v>75000</v>
      </c>
      <c r="I9" s="4" t="str">
        <v>This KPI and budget is for the CapSha Accelerator from the Sweden W2 funding. GENDER only 'hosting' the budget but all responsibility for delivery and reporting is with CapSha.</v>
      </c>
      <c r="J9" s="4">
        <v>8588</v>
      </c>
    </row>
    <row r="10" ht="50" customHeight="1">
      <c r="B10" s="4" t="str">
        <v>CIP</v>
      </c>
      <c r="D10" s="4" t="str">
        <v>Gendered and digital diagnostic report on women-led drone enterprises</v>
      </c>
      <c r="E10" s="4" t="str">
        <v>Number of knowledge products</v>
      </c>
      <c r="F10" s="4" t="str">
        <v>Bolivia (Plurinational State of)</v>
      </c>
      <c r="G10" s="5">
        <v>1</v>
      </c>
      <c r="H10" s="5">
        <v>40000</v>
      </c>
      <c r="I10" s="4" t="str">
        <v>Sweden w2 grant for gender and digital</v>
      </c>
      <c r="J10" s="4">
        <v>8597</v>
      </c>
    </row>
    <row r="11" ht="50" customHeight="1">
      <c r="B11" s="4" t="str">
        <v>CIP</v>
      </c>
      <c r="D11" s="4" t="str">
        <v>Women-led phytosanitary services: policy brief and communication products</v>
      </c>
      <c r="E11" s="4" t="str">
        <v>Number of knowledge products</v>
      </c>
      <c r="F11" s="4" t="str">
        <v>Bolivia (Plurinational State of)</v>
      </c>
      <c r="G11" s="5">
        <v>6</v>
      </c>
      <c r="H11" s="5">
        <v>27000</v>
      </c>
      <c r="I11" s="4" t="str">
        <v>Sweden w2 grant for gender and digital</v>
      </c>
      <c r="J11" s="4">
        <v>8598</v>
      </c>
    </row>
    <row r="12" ht="50" customHeight="1">
      <c r="B12" s="4" t="str">
        <v>CIP</v>
      </c>
      <c r="D12" s="4" t="str">
        <v>Open access protocol for drone-assisted phytosanitary surveillance and early warning developed and validated</v>
      </c>
      <c r="E12" s="4" t="str">
        <v>Number of knowledge products</v>
      </c>
      <c r="F12" s="4" t="str">
        <v>Bolivia (Plurinational State of)</v>
      </c>
      <c r="G12" s="5">
        <v>1</v>
      </c>
      <c r="H12" s="5">
        <v>35000</v>
      </c>
      <c r="I12" s="4" t="str">
        <v>Sweden w2 grant for gender and digital</v>
      </c>
      <c r="J12" s="4">
        <v>8599</v>
      </c>
    </row>
    <row r="13" ht="50" customHeight="1">
      <c r="B13" s="4" t="str">
        <v>CIP</v>
      </c>
      <c r="D13" s="4" t="str">
        <v>Training for women drone operators and NARES on drone operation and use of phytosanitary surveillance and early warning</v>
      </c>
      <c r="E13" s="4" t="str">
        <v>Number of people trained (capacity sharing for development)</v>
      </c>
      <c r="F13" s="4" t="str">
        <v>Bolivia (Plurinational State of)</v>
      </c>
      <c r="G13" s="5">
        <v>30</v>
      </c>
      <c r="H13" s="5">
        <v>53000</v>
      </c>
      <c r="I13" s="4" t="str">
        <v>Sweden w2 grant for gender and digital</v>
      </c>
      <c r="J13" s="4">
        <v>8600</v>
      </c>
    </row>
    <row r="14" ht="50" customHeight="1">
      <c r="A14" s="4" t="str">
        <v>AOW02: Accelerating Change Through Evidence</v>
      </c>
      <c r="B14" s="4" t="str">
        <v>CIP</v>
      </c>
      <c r="C14" s="4" t="str">
        <v>2.3.4: Strategies for making gender equality, youth and social inclusion research an institutional priority</v>
      </c>
      <c r="D14" s="4" t="str">
        <v>Comprehensive report that documents successful and unsuccessful approaches to gender mainstreaming in agricultural organisations and establishes priorities for future learning, capacity strengthening and institutional transformation across the Global South (developed through global convening, cross-country learning and engagement with stakeholders)</v>
      </c>
      <c r="E14" s="4" t="str">
        <v>Number of knowledge products</v>
      </c>
      <c r="F14" s="4" t="str">
        <v>The Socialist Republic of Viet Nam</v>
      </c>
      <c r="G14" s="5">
        <v>1</v>
      </c>
      <c r="H14" s="5">
        <v>75000</v>
      </c>
      <c r="I14" s="4" t="str">
        <v>This KPI and budget is for the CapSha Accelerator from the Sweden W2 funding. GENDER only 'hosting' the budget but all responsibility for delivery and reporting is with CapSha.</v>
      </c>
      <c r="J14" s="4">
        <v>8607</v>
      </c>
    </row>
    <row r="15" ht="25" customHeight="1">
      <c r="C15" s="9" t="str">
        <v>HLO budget subtotal</v>
      </c>
      <c r="H15" s="9">
        <v>330000</v>
      </c>
      <c r="J15" s="9" t="str">
        <v/>
      </c>
    </row>
  </sheetData>
  <mergeCells count="13">
    <mergeCell ref="A1:A2"/>
    <mergeCell ref="B1:B2"/>
    <mergeCell ref="C1:C2"/>
    <mergeCell ref="D1:H1"/>
    <mergeCell ref="I1:I2"/>
    <mergeCell ref="J1:J2"/>
    <mergeCell ref="C3:C4"/>
    <mergeCell ref="C5:C6"/>
    <mergeCell ref="C7:G7"/>
    <mergeCell ref="A3:A7"/>
    <mergeCell ref="C8:C13"/>
    <mergeCell ref="C15:G15"/>
    <mergeCell ref="A8:A15"/>
  </mergeCells>
  <ignoredErrors>
    <ignoredError numberStoredAsText="1" sqref="A1:J15"/>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Unknown Partner 1</v>
      </c>
      <c r="C2" s="4" t="str">
        <v>CIP</v>
      </c>
      <c r="D2" s="4" t="str">
        <v>Bolivia (Plurinational State of)</v>
      </c>
      <c r="E2" s="5">
        <v>40000</v>
      </c>
      <c r="F2" s="4" t="str">
        <v>Partner to be selected soon</v>
      </c>
      <c r="G2" s="4">
        <v>591</v>
      </c>
    </row>
    <row r="3" ht="25" customHeight="1">
      <c r="B3" s="9" t="str">
        <v>Contracted partners subtotal</v>
      </c>
      <c r="E3" s="9">
        <v>40000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CIP</v>
      </c>
      <c r="B2" s="4" t="str">
        <v>P-1490-DFAT-Generating Revenues and Opportunities for Women</v>
      </c>
      <c r="C2" s="4" t="str">
        <v>1.2 Evidence-based support for women and youth empowerment</v>
      </c>
      <c r="D2" s="5">
        <v>657577</v>
      </c>
      <c r="E2" s="4" t="str">
        <v>N/A</v>
      </c>
      <c r="F2" s="4">
        <v>1180</v>
      </c>
    </row>
    <row r="3" ht="25" customHeight="1">
      <c r="B3" s="9" t="str">
        <v>W3/Bilateral budget subtotal</v>
      </c>
      <c r="D3" s="9">
        <v>657577</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256210</v>
      </c>
      <c r="D2" s="5">
        <v>124000</v>
      </c>
      <c r="E2" s="5">
        <v>0</v>
      </c>
      <c r="F2" s="5">
        <f>=SUM(B2:E2)</f>
        <v>0</v>
      </c>
    </row>
    <row r="3" ht="20" customHeight="1">
      <c r="A3" s="4" t="str">
        <v>Operations (supplies, consultants, travels, workshops, other)</v>
      </c>
      <c r="B3" s="5">
        <v>0</v>
      </c>
      <c r="C3" s="5">
        <v>2790</v>
      </c>
      <c r="D3" s="5">
        <v>166000</v>
      </c>
      <c r="E3" s="5">
        <v>0</v>
      </c>
      <c r="F3" s="5">
        <f>=SUM(B3:E3)</f>
        <v>0</v>
      </c>
    </row>
    <row r="4" ht="20" customHeight="1">
      <c r="A4" s="4" t="str">
        <v>Collaborators non-CGIAR centers</v>
      </c>
      <c r="B4" s="5">
        <v>0</v>
      </c>
      <c r="C4" s="5">
        <v>0</v>
      </c>
      <c r="D4" s="5">
        <v>40000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CIP</v>
      </c>
      <c r="C2" s="4" t="str">
        <v>Ecuador</v>
      </c>
      <c r="D2" s="5">
        <v>30</v>
      </c>
      <c r="E2" s="4">
        <v>1158</v>
      </c>
    </row>
    <row r="3" ht="45" customHeight="1">
      <c r="A3" s="4" t="str">
        <v>AOW01: Accelerating Solutions for Impact</v>
      </c>
      <c r="B3" s="4" t="str">
        <v>CIP</v>
      </c>
      <c r="C3" s="4" t="str">
        <v>Peru</v>
      </c>
      <c r="D3" s="5">
        <v>70</v>
      </c>
      <c r="E3" s="4">
        <v>1159</v>
      </c>
    </row>
    <row r="4" ht="45" customHeight="1">
      <c r="A4" s="8" t="str">
        <v>AOW02: Accelerating Change Through Evidence</v>
      </c>
      <c r="B4" s="4" t="str">
        <v>CIP</v>
      </c>
      <c r="C4" s="4" t="str">
        <v>Bolivia (Plurinational State of)</v>
      </c>
      <c r="D4" s="5">
        <v>47</v>
      </c>
      <c r="E4" s="4">
        <v>3414</v>
      </c>
    </row>
    <row r="5" ht="45" customHeight="1">
      <c r="A5" s="4" t="str">
        <v>AOW02: Accelerating Change Through Evidence</v>
      </c>
      <c r="B5" s="4" t="str">
        <v>CIP</v>
      </c>
      <c r="C5" s="4" t="str">
        <v>Peru</v>
      </c>
      <c r="D5" s="5">
        <v>8</v>
      </c>
      <c r="E5" s="4">
        <v>3412</v>
      </c>
    </row>
    <row r="6" ht="45" customHeight="1">
      <c r="A6" s="4" t="str">
        <v>AOW02: Accelerating Change Through Evidence</v>
      </c>
      <c r="B6" s="4" t="str">
        <v>CIP</v>
      </c>
      <c r="C6" s="4" t="str">
        <v>The Socialist Republic of Viet Nam</v>
      </c>
      <c r="D6" s="5">
        <v>45</v>
      </c>
      <c r="E6" s="4">
        <v>3413</v>
      </c>
    </row>
  </sheetData>
  <mergeCells count="2">
    <mergeCell ref="A2:A3"/>
    <mergeCell ref="A4: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1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CIP</v>
      </c>
      <c r="C2" s="4" t="str">
        <v>Africa</v>
      </c>
      <c r="D2" s="4" t="str">
        <v>region</v>
      </c>
      <c r="E2" s="5">
        <v>50</v>
      </c>
      <c r="F2" s="4">
        <v>908</v>
      </c>
    </row>
    <row r="3" ht="45" customHeight="1">
      <c r="A3" s="4" t="str">
        <v>AOW01: Accelerating Solutions for Impact</v>
      </c>
      <c r="B3" s="4" t="str">
        <v>CIP</v>
      </c>
      <c r="C3" s="4" t="str">
        <v>Asia</v>
      </c>
      <c r="D3" s="4" t="str">
        <v>region</v>
      </c>
      <c r="E3" s="5">
        <v>30</v>
      </c>
      <c r="F3" s="4">
        <v>909</v>
      </c>
    </row>
    <row r="4" ht="45" customHeight="1">
      <c r="A4" s="4" t="str">
        <v>AOW01: Accelerating Solutions for Impact</v>
      </c>
      <c r="B4" s="4" t="str">
        <v>CIP</v>
      </c>
      <c r="C4" s="4" t="str">
        <v>Latin America and the Caribbean</v>
      </c>
      <c r="D4" s="4" t="str">
        <v>region</v>
      </c>
      <c r="E4" s="5">
        <v>20</v>
      </c>
      <c r="F4" s="4">
        <v>910</v>
      </c>
    </row>
    <row r="5" ht="45" customHeight="1">
      <c r="A5" s="4" t="str">
        <v>AOW01: Accelerating Solutions for Impact</v>
      </c>
      <c r="B5" s="4" t="str">
        <v>CIP</v>
      </c>
      <c r="C5" s="4" t="str">
        <v>Cambodia</v>
      </c>
      <c r="D5" s="4" t="str">
        <v>country</v>
      </c>
      <c r="E5" s="5">
        <v>0</v>
      </c>
      <c r="F5" s="4">
        <v>386</v>
      </c>
    </row>
    <row r="6" ht="45" customHeight="1">
      <c r="A6" s="4" t="str">
        <v>AOW01: Accelerating Solutions for Impact</v>
      </c>
      <c r="B6" s="4" t="str">
        <v>CIP</v>
      </c>
      <c r="C6" s="4" t="str">
        <v>Ethiopia</v>
      </c>
      <c r="D6" s="4" t="str">
        <v>country</v>
      </c>
      <c r="E6" s="5">
        <v>0</v>
      </c>
      <c r="F6" s="4">
        <v>389</v>
      </c>
    </row>
    <row r="7" ht="45" customHeight="1">
      <c r="A7" s="4" t="str">
        <v>AOW01: Accelerating Solutions for Impact</v>
      </c>
      <c r="B7" s="4" t="str">
        <v>CIP</v>
      </c>
      <c r="C7" s="4" t="str">
        <v>Honduras</v>
      </c>
      <c r="D7" s="4" t="str">
        <v>country</v>
      </c>
      <c r="E7" s="5">
        <v>0</v>
      </c>
      <c r="F7" s="4">
        <v>390</v>
      </c>
    </row>
    <row r="8" ht="45" customHeight="1">
      <c r="A8" s="4" t="str">
        <v>AOW01: Accelerating Solutions for Impact</v>
      </c>
      <c r="B8" s="4" t="str">
        <v>CIP</v>
      </c>
      <c r="C8" s="4" t="str">
        <v>India</v>
      </c>
      <c r="D8" s="4" t="str">
        <v>country</v>
      </c>
      <c r="E8" s="5">
        <v>0</v>
      </c>
      <c r="F8" s="4">
        <v>393</v>
      </c>
    </row>
    <row r="9" ht="45" customHeight="1">
      <c r="A9" s="4" t="str">
        <v>AOW01: Accelerating Solutions for Impact</v>
      </c>
      <c r="B9" s="4" t="str">
        <v>CIP</v>
      </c>
      <c r="C9" s="4" t="str">
        <v>Kenya</v>
      </c>
      <c r="D9" s="4" t="str">
        <v>country</v>
      </c>
      <c r="E9" s="5">
        <v>0</v>
      </c>
      <c r="F9" s="4">
        <v>391</v>
      </c>
    </row>
    <row r="10" ht="45" customHeight="1">
      <c r="A10" s="4" t="str">
        <v>AOW01: Accelerating Solutions for Impact</v>
      </c>
      <c r="B10" s="4" t="str">
        <v>CIP</v>
      </c>
      <c r="C10" s="4" t="str">
        <v>Niger</v>
      </c>
      <c r="D10" s="4" t="str">
        <v>country</v>
      </c>
      <c r="E10" s="5">
        <v>0</v>
      </c>
      <c r="F10" s="4">
        <v>387</v>
      </c>
    </row>
    <row r="11" ht="45" customHeight="1">
      <c r="A11" s="4" t="str">
        <v>AOW01: Accelerating Solutions for Impact</v>
      </c>
      <c r="B11" s="4" t="str">
        <v>CIP</v>
      </c>
      <c r="C11" s="4" t="str">
        <v>Peru</v>
      </c>
      <c r="D11" s="4" t="str">
        <v>country</v>
      </c>
      <c r="E11" s="5">
        <v>0</v>
      </c>
      <c r="F11" s="4">
        <v>392</v>
      </c>
    </row>
    <row r="12" ht="45" customHeight="1">
      <c r="A12" s="4" t="str">
        <v>AOW01: Accelerating Solutions for Impact</v>
      </c>
      <c r="B12" s="4" t="str">
        <v>CIP</v>
      </c>
      <c r="C12" s="4" t="str">
        <v>Philippines</v>
      </c>
      <c r="D12" s="4" t="str">
        <v>country</v>
      </c>
      <c r="E12" s="5">
        <v>0</v>
      </c>
      <c r="F12" s="4">
        <v>385</v>
      </c>
    </row>
    <row r="13" ht="45" customHeight="1">
      <c r="A13" s="4" t="str">
        <v>AOW01: Accelerating Solutions for Impact</v>
      </c>
      <c r="B13" s="4" t="str">
        <v>CIP</v>
      </c>
      <c r="C13" s="4" t="str">
        <v>Rwanda</v>
      </c>
      <c r="D13" s="4" t="str">
        <v>country</v>
      </c>
      <c r="E13" s="5">
        <v>0</v>
      </c>
      <c r="F13" s="4">
        <v>388</v>
      </c>
    </row>
    <row r="14" ht="45" customHeight="1">
      <c r="A14" s="4" t="str">
        <v>AOW01: Accelerating Solutions for Impact</v>
      </c>
      <c r="B14" s="4" t="str">
        <v>CIP</v>
      </c>
      <c r="C14" s="4" t="str">
        <v>Uganda</v>
      </c>
      <c r="D14" s="4" t="str">
        <v>country</v>
      </c>
      <c r="E14" s="5">
        <v>0</v>
      </c>
      <c r="F14" s="4">
        <v>384</v>
      </c>
    </row>
    <row r="15" ht="45" customHeight="1">
      <c r="A15" s="8" t="str">
        <v>AOW02: Accelerating Change Through Evidence</v>
      </c>
      <c r="B15" s="4" t="str">
        <v>CIP</v>
      </c>
      <c r="C15" s="4" t="str">
        <v>Global</v>
      </c>
      <c r="D15" s="4" t="str">
        <v>global</v>
      </c>
      <c r="E15" s="5">
        <v>50</v>
      </c>
      <c r="F15" s="4">
        <v>1713</v>
      </c>
    </row>
    <row r="16" ht="45" customHeight="1">
      <c r="A16" s="4" t="str">
        <v>AOW02: Accelerating Change Through Evidence</v>
      </c>
      <c r="B16" s="4" t="str">
        <v>CIP</v>
      </c>
      <c r="C16" s="4" t="str">
        <v>Bolivia (Plurinational State of)</v>
      </c>
      <c r="D16" s="4" t="str">
        <v>country</v>
      </c>
      <c r="E16" s="5">
        <v>50</v>
      </c>
      <c r="F16" s="4">
        <v>1714</v>
      </c>
    </row>
  </sheetData>
  <mergeCells count="2">
    <mergeCell ref="A2:A14"/>
    <mergeCell ref="A15:A16"/>
  </mergeCells>
  <ignoredErrors>
    <ignoredError numberStoredAsText="1" sqref="A1:F16"/>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